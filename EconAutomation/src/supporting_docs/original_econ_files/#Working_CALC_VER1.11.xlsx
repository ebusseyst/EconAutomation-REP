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printerSettings/printerSettings3.bin" ContentType="application/vnd.openxmlformats-officedocument.spreadsheetml.printerSettings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printerSettings/printerSettings4.bin" ContentType="application/vnd.openxmlformats-officedocument.spreadsheetml.printerSettings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okes5009-my.sharepoint.com/personal/ldeogracias_stokes-associates_com/Documents/Documents/Econ/00 Templates/Templates/Current Worksheets/"/>
    </mc:Choice>
  </mc:AlternateContent>
  <xr:revisionPtr revIDLastSave="0" documentId="14_{C362B757-43C8-4E9E-9066-533E77424F17}" xr6:coauthVersionLast="47" xr6:coauthVersionMax="47" xr10:uidLastSave="{00000000-0000-0000-0000-000000000000}"/>
  <bookViews>
    <workbookView xWindow="-120" yWindow="-120" windowWidth="29040" windowHeight="15720" tabRatio="808" activeTab="8" xr2:uid="{00000000-000D-0000-FFFF-FFFF00000000}"/>
  </bookViews>
  <sheets>
    <sheet name="Item Inputs" sheetId="1" r:id="rId1"/>
    <sheet name="Growth Rates" sheetId="25" r:id="rId2"/>
    <sheet name="DROPS" sheetId="12" r:id="rId3"/>
    <sheet name="CPI" sheetId="28" r:id="rId4"/>
    <sheet name="Roll Up" sheetId="11" r:id="rId5"/>
    <sheet name="DepletionOfFunds" sheetId="23" r:id="rId6"/>
    <sheet name="Future_Cost_By_Year" sheetId="22" r:id="rId7"/>
    <sheet name="CustomDiscountCurve" sheetId="18" r:id="rId8"/>
    <sheet name="PV_Summary_No_Rounding" sheetId="29" r:id="rId9"/>
    <sheet name="PV_Totals_By_Item" sheetId="13" r:id="rId10"/>
    <sheet name="Pivoted_By_Year" sheetId="14" r:id="rId11"/>
    <sheet name="AppOptions" sheetId="16" r:id="rId12"/>
    <sheet name="Options " sheetId="15" r:id="rId13"/>
    <sheet name="GetBloombergDailyYieldCurve_cur" sheetId="8" r:id="rId14"/>
  </sheets>
  <definedNames>
    <definedName name="ExternalData_1" localSheetId="11" hidden="1">AppOptions!$A$1:$B$9</definedName>
    <definedName name="ExternalData_1" localSheetId="5" hidden="1">DepletionOfFunds!$A$1:$O$59</definedName>
    <definedName name="ExternalData_1" localSheetId="6" hidden="1">Future_Cost_By_Year!$A$1:$D$17</definedName>
    <definedName name="ExternalData_1" localSheetId="13" hidden="1">GetBloombergDailyYieldCurve_cur!$A$1:$C$31</definedName>
    <definedName name="ExternalData_1" localSheetId="4" hidden="1">'Roll Up'!$A$1:$AU$49</definedName>
    <definedName name="ExternalData_2" localSheetId="10" hidden="1">Pivoted_By_Year!$A$1:$J$2</definedName>
    <definedName name="ExternalData_2" localSheetId="9" hidden="1">PV_Totals_By_Item!$A$1:$G$6</definedName>
    <definedName name="ExternalData_3" localSheetId="8" hidden="1">PV_Summary_No_Rounding!$A$1:$G$6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L8" i="28" l="1"/>
  <c r="DS8" i="28"/>
  <c r="BZ8" i="28"/>
  <c r="FB8" i="28"/>
  <c r="CP8" i="28"/>
  <c r="BJ8" i="28"/>
  <c r="AT8" i="28"/>
  <c r="N8" i="28"/>
  <c r="DF8" i="28"/>
  <c r="K2" i="14"/>
  <c r="F3" i="8"/>
  <c r="B8" i="1" l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X8" i="28" l="1"/>
  <c r="H55" i="1" l="1"/>
  <c r="I55" i="1"/>
  <c r="G55" i="1"/>
  <c r="J55" i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O133" i="25" l="1"/>
  <c r="L4" i="25"/>
  <c r="O15" i="15" l="1"/>
  <c r="O14" i="15"/>
  <c r="O16" i="15" l="1"/>
  <c r="O17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3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4" xr16:uid="{9E219F96-AC65-41B7-88FE-180D2A184E03}" keepAlive="1" name="Query - Errors in Query2 (3)" description="Connection to the 'Errors in Query2 (3)' query in the workbook." type="5" refreshedVersion="0" background="1">
    <dbPr connection="Provider=Microsoft.Mashup.OleDb.1;Data Source=$Workbook$;Location=&quot;Errors in Query2 (3)&quot;;Extended Properties=&quot;&quot;" command="SELECT * FROM [Errors in Query2 (3)]"/>
  </connection>
  <connection id="5" xr16:uid="{E49FD7B0-9AEF-4D3F-9D15-4EAC6C17BCD6}" keepAlive="1" name="Query - Errors in Query2 (4)" description="Connection to the 'Errors in Query2 (4)' query in the workbook." type="5" refreshedVersion="0" background="1">
    <dbPr connection="Provider=Microsoft.Mashup.OleDb.1;Data Source=$Workbook$;Location=&quot;Errors in Query2 (4)&quot;;Extended Properties=&quot;&quot;" command="SELECT * FROM [Errors in Query2 (4)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12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3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<sst xmlns="http://schemas.openxmlformats.org/spreadsheetml/2006/main" count="947" uniqueCount="305">
  <si>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</si>
  <si>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</si>
  <si>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</si>
  <si>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</si>
  <si>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</si>
  <si>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</si>
  <si>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</si>
  <si>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</si>
  <si>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</si>
  <si>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</si>
  <si>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</si>
  <si>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</si>
  <si>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</si>
  <si>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</si>
  <si>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</si>
  <si>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</si>
  <si>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</si>
  <si>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</si>
  <si>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</si>
  <si>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</si>
  <si>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</si>
  <si>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</si>
  <si>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</si>
  <si>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</si>
  <si>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</si>
  <si>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</si>
  <si>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</si>
  <si>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</si>
  <si>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</si>
  <si>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</si>
  <si>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</si>
  <si>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</si>
  <si>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</si>
  <si>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</si>
  <si>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</si>
  <si>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</si>
  <si>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</si>
  <si>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</si>
  <si>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</si>
  <si>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</si>
  <si>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</si>
  <si>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</si>
  <si>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</si>
  <si>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</si>
  <si>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</si>
  <si>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</si>
  <si>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</si>
  <si>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</si>
  <si>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</si>
  <si>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</si>
  <si>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</si>
  <si>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</si>
  <si>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</si>
  <si>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</si>
  <si>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</si>
  <si>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</si>
  <si>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</si>
  <si>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</si>
  <si>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</si>
  <si>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</si>
  <si>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</si>
  <si>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</si>
  <si>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</si>
  <si>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</si>
  <si>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</si>
  <si>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</si>
  <si>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</si>
  <si>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</si>
  <si>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</si>
  <si>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</si>
  <si>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</si>
  <si>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</si>
  <si>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</si>
  <si>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</si>
  <si>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</si>
  <si>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</si>
  <si>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</si>
  <si>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</si>
  <si>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</si>
  <si>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</si>
  <si>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</si>
  <si>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</si>
  <si>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</si>
  <si>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</si>
  <si>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</si>
  <si>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</si>
  <si>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</si>
  <si>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</si>
  <si>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</si>
  <si>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</si>
  <si>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</si>
  <si>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</si>
  <si>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</si>
  <si>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</si>
  <si>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</si>
  <si>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</si>
  <si>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</si>
  <si>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</si>
  <si>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</si>
  <si>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</si>
  <si>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</si>
  <si>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</si>
  <si>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</si>
  <si>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</si>
  <si>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</si>
  <si>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</si>
  <si>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</si>
  <si>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</si>
  <si>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</si>
  <si>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</si>
  <si>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</si>
  <si>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</si>
  <si>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</si>
  <si>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</si>
  <si>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</si>
  <si>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</si>
  <si>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</si>
  <si>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</si>
  <si>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</si>
  <si>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</si>
  <si>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</si>
  <si>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</si>
  <si>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</si>
  <si>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</si>
  <si>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</si>
  <si>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</si>
  <si>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</si>
  <si>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</si>
  <si>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</si>
  <si>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</si>
  <si>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</si>
  <si>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</si>
  <si>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</si>
  <si>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</si>
  <si>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</si>
  <si>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</si>
  <si>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</si>
  <si>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</si>
  <si>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</si>
  <si>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</si>
  <si>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</si>
  <si>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</si>
  <si>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</si>
  <si>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</si>
  <si>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</si>
  <si>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</si>
  <si>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</si>
  <si>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</si>
  <si>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</si>
  <si>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</si>
  <si>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</si>
  <si>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</si>
  <si>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</si>
  <si>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</si>
  <si>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</si>
  <si>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</si>
  <si>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</si>
  <si>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</si>
  <si>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</si>
  <si>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</si>
  <si>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</si>
  <si>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</si>
  <si>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</si>
  <si>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</si>
  <si>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</si>
  <si>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</si>
  <si>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</si>
  <si>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</si>
  <si>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</si>
  <si>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</si>
  <si>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</si>
  <si>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</si>
  <si>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</si>
  <si>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</si>
  <si>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</si>
  <si>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</si>
  <si>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</si>
  <si>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</si>
  <si>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</si>
  <si>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</si>
  <si>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</si>
  <si>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</si>
  <si>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</si>
  <si>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</si>
  <si>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</si>
  <si>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</si>
  <si>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</si>
  <si>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</si>
  <si>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</si>
  <si>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</si>
  <si>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</si>
  <si>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</si>
  <si>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</si>
  <si>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</si>
  <si>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</si>
  <si>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</si>
  <si>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</si>
  <si>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</si>
  <si>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</si>
  <si>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</si>
  <si>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</si>
  <si>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</si>
  <si>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</si>
  <si>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</si>
  <si>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</si>
  <si>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</si>
  <si>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</si>
  <si>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</si>
  <si>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</si>
  <si>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</si>
  <si>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</si>
  <si>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</si>
  <si>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</si>
  <si>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</si>
  <si>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</si>
  <si>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</si>
  <si>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</si>
  <si>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</si>
  <si>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</si>
  <si>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</si>
  <si>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</si>
  <si>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</si>
  <si>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</si>
  <si>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</si>
  <si>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</si>
  <si>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</si>
  <si>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</si>
  <si>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</si>
  <si>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</si>
  <si>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</si>
  <si>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</si>
  <si>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</si>
  <si>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</si>
  <si>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</si>
  <si>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</si>
  <si>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</si>
  <si>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</si>
  <si>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</si>
  <si>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</si>
  <si>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</si>
  <si>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</si>
  <si>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</si>
  <si>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</si>
  <si>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</si>
  <si>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</si>
  <si>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</si>
  <si>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</si>
  <si>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</si>
  <si>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</si>
  <si>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</si>
  <si>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</si>
  <si>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</si>
  <si>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</si>
  <si>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</si>
  <si>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</si>
  <si>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</si>
  <si>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</si>
  <si>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*2057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</si>
  <si>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</si>
  <si>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</si>
  <si>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</si>
  <si>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</si>
  <si>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</si>
  <si>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</si>
  <si>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</si>
  <si>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</si>
  <si>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</si>
  <si>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2.133</t>
  </si>
  <si>
    <t>2.106</t>
  </si>
  <si>
    <t>2.098</t>
  </si>
  <si>
    <t>2.124</t>
  </si>
  <si>
    <t>2.157</t>
  </si>
  <si>
    <t>2.216</t>
  </si>
  <si>
    <t>2.309</t>
  </si>
  <si>
    <t>2.353</t>
  </si>
  <si>
    <t>2.456</t>
  </si>
  <si>
    <t>2.574</t>
  </si>
  <si>
    <t>2.698</t>
  </si>
  <si>
    <t>2.815</t>
  </si>
  <si>
    <t>2.905</t>
  </si>
  <si>
    <t>3.034</t>
  </si>
  <si>
    <t>3.153</t>
  </si>
  <si>
    <t>3.306</t>
  </si>
  <si>
    <t>3.484</t>
  </si>
  <si>
    <t>3.625</t>
  </si>
  <si>
    <t>3.769</t>
  </si>
  <si>
    <t>3.897</t>
  </si>
  <si>
    <t>3.948</t>
  </si>
  <si>
    <t>3.993</t>
  </si>
  <si>
    <t>4.035</t>
  </si>
  <si>
    <t>4.071</t>
  </si>
  <si>
    <t>4.091</t>
  </si>
  <si>
    <t>4.101</t>
  </si>
  <si>
    <t>4.105</t>
  </si>
  <si>
    <t>4.122</t>
  </si>
  <si>
    <t>4.125</t>
  </si>
  <si>
    <t>4.143</t>
  </si>
  <si>
    <t>Sample Data 1 (1)</t>
  </si>
  <si>
    <t>CONTINUOUS</t>
  </si>
  <si>
    <t>Standard</t>
  </si>
  <si>
    <t>Samle dat 2 (2)</t>
  </si>
  <si>
    <t>adfsf (3)</t>
  </si>
  <si>
    <t>Header</t>
  </si>
  <si>
    <t>Item</t>
  </si>
  <si>
    <t>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</si>
</sst>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#0.0"/>
    <numFmt numFmtId="168" formatCode="#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71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166" fontId="11" fillId="2" borderId="0" xfId="2" applyNumberFormat="1" applyFont="1" applyFill="1"/>
    <xf numFmtId="0" fontId="10" fillId="0" borderId="1" xfId="3" applyFont="1" applyBorder="1" applyAlignment="1">
      <alignment horizontal="center" wrapText="1"/>
    </xf>
    <xf numFmtId="167" fontId="11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165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7" fontId="13" fillId="0" borderId="0" xfId="3" applyNumberFormat="1" applyFont="1" applyAlignment="1">
      <alignment horizontal="right"/>
    </xf>
    <xf numFmtId="168" fontId="13" fillId="0" borderId="0" xfId="3" applyNumberFormat="1" applyFont="1" applyAlignment="1">
      <alignment horizontal="right"/>
    </xf>
    <xf numFmtId="166" fontId="11" fillId="0" borderId="0" xfId="2" applyNumberFormat="1" applyFont="1" applyFill="1"/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0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04"/>
      <tableStyleElement type="headerRow" dxfId="103"/>
      <tableStyleElement type="totalRow" dxfId="10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0.0</c:formatCode>
                <c:ptCount val="31"/>
                <c:pt idx="3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142875</xdr:rowOff>
        </xdr:from>
        <xdr:to>
          <xdr:col>10</xdr:col>
          <xdr:colOff>304800</xdr:colOff>
          <xdr:row>101</xdr:row>
          <xdr:rowOff>142875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4610" unboundColumnsRight="1">
    <queryTableFields count="11">
      <queryTableField id="1" name="YearList" tableColumnId="1"/>
      <queryTableField id="4598" name="ItemKey (Low)" tableColumnId="3"/>
      <queryTableField id="4599" name="Value (Low)" tableColumnId="4"/>
      <queryTableField id="39" name="Year Total (Low)" tableColumnId="32"/>
      <queryTableField id="4600" name="ItemKey (Mid)" tableColumnId="5"/>
      <queryTableField id="4601" name="Value (Mid)" tableColumnId="6"/>
      <queryTableField id="42" name="Year Total (Mid)" tableColumnId="35"/>
      <queryTableField id="4602" name="ItemKey (High)" tableColumnId="7"/>
      <queryTableField id="4603" name="Value (High)" tableColumnId="8"/>
      <queryTableField id="45" name="Year Total (High)" tableColumnId="38"/>
      <queryTableField id="157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101" dataDxfId="100" totalsRowDxfId="99">
  <autoFilter ref="A1:O54" xr:uid="{00000000-0009-0000-0100-000001000000}"/>
  <tableColumns count="15">
    <tableColumn id="1" xr3:uid="{00000000-0010-0000-0000-000001000000}" name="Item Name" dataDxfId="98" totalsRowDxfId="97"/>
    <tableColumn id="13" xr3:uid="{69586349-5A6C-4C48-BCB1-5C8A5322D0D3}" name="ItemKey" dataDxfId="96" totalsRowDxfId="95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94" totalsRowDxfId="93"/>
    <tableColumn id="2" xr3:uid="{00000000-0010-0000-0000-000002000000}" name="Start Year" dataDxfId="92" totalsRowDxfId="91"/>
    <tableColumn id="15" xr3:uid="{5E7EFE17-AC27-4775-8CCB-970D86383EBC}" name="Start Offset (Years)" dataDxfId="90" totalsRowDxfId="89"/>
    <tableColumn id="3" xr3:uid="{00000000-0010-0000-0000-000003000000}" name="Duration" dataDxfId="88" totalsRowDxfId="87"/>
    <tableColumn id="12" xr3:uid="{11331C1E-E934-4A8E-9BD9-32983E09B998}" name="InitialCostLow" totalsRowFunction="sum" dataDxfId="86" totalsRowDxfId="85"/>
    <tableColumn id="9" xr3:uid="{4312D196-F952-45D8-8741-437FA528B4CA}" name="InitialCostHigh" totalsRowFunction="sum" dataDxfId="84" totalsRowDxfId="83"/>
    <tableColumn id="4" xr3:uid="{00000000-0010-0000-0000-000004000000}" name="Low Cost per Use" totalsRowFunction="sum" dataDxfId="82" totalsRowDxfId="81"/>
    <tableColumn id="11" xr3:uid="{DD77257E-FAE9-4D41-827D-7595596F9F01}" name="High Cost per Use" totalsRowFunction="sum" dataDxfId="80" totalsRowDxfId="79"/>
    <tableColumn id="5" xr3:uid="{00000000-0010-0000-0000-000005000000}" name="Frequency" dataDxfId="78" totalsRowDxfId="77"/>
    <tableColumn id="7" xr3:uid="{0CBD786F-1716-4E4E-861E-B4051F17796E}" name="Interval (Years)" dataDxfId="76" totalsRowDxfId="75"/>
    <tableColumn id="10" xr3:uid="{25282397-8296-490A-B301-5F98E9B69B45}" name="Sort Order" dataDxfId="74" totalsRowDxfId="73"/>
    <tableColumn id="6" xr3:uid="{00000000-0010-0000-0000-000006000000}" name="Growth" dataDxfId="72" totalsRowDxfId="71"/>
    <tableColumn id="8" xr3:uid="{DEF69107-78BD-43AA-948E-950FA8C9B6D6}" name="CostType" dataDxfId="70" totalsRowDxfId="6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68" dataDxfId="67">
  <autoFilter ref="A1:B3" xr:uid="{7914EDB0-A692-4509-9B14-CBA25587C27C}"/>
  <tableColumns count="2">
    <tableColumn id="1" xr3:uid="{7B5CB263-8595-47BB-9B83-A136D870840A}" name="Setting" dataDxfId="66"/>
    <tableColumn id="2" xr3:uid="{252EFA06-D044-48FF-AD5F-AD7217789FA2}" name="Value" dataDxfId="6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64" dataDxfId="63">
  <autoFilter ref="A5:B13" xr:uid="{A50B493A-AB6F-4FE2-A4D8-4ED87E71424C}"/>
  <tableColumns count="2">
    <tableColumn id="1" xr3:uid="{454320BB-D2B2-4D0A-B712-14824B86607B}" name="Option Name" dataDxfId="62"/>
    <tableColumn id="2" xr3:uid="{E25BE358-872F-4B95-8C86-8802A909B822}" name="Value" dataDxfId="6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60" dataDxfId="59">
  <autoFilter ref="G1:H2" xr:uid="{89F53BAA-F43D-4D75-8A4E-57A0DEB36107}"/>
  <tableColumns count="2">
    <tableColumn id="1" xr3:uid="{E9BC6FF2-8327-4755-81CC-187A8A29442E}" name="Year" dataDxfId="58"/>
    <tableColumn id="2" xr3:uid="{F1B0F7A0-9E8A-4722-B481-F03CDF78FF2D}" name="Discount Rate (Nominal)" dataDxfId="5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50" tableType="queryTable" totalsRowCount="1">
  <autoFilter ref="A1:AU49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56"/>
    <tableColumn id="2" xr3:uid="{BEE39F59-A19A-4844-AB3B-F69CCBBE3CB8}" name="TotalCostLow" dataDxfId="55"/>
    <tableColumn id="3" xr3:uid="{D3EAF15D-8A8A-454E-98CD-7D8BB727F07A}" name="TotalCostMid" dataDxfId="54"/>
    <tableColumn id="4" xr3:uid="{68B5591D-987C-42D5-AEBB-07D0120DED7D}" name="TotalCostHigh" dataDxfId="53"/>
    <tableColumn id="5" xr3:uid="{56DC093C-17AE-4859-BF59-5E7B3DE611DC}" name="AdjustedRate"/>
    <tableColumn id="6" xr3:uid="{A00483D8-9CC1-4FB1-ADEF-E9FB090DEB45}" name="AdjRate" dataDxfId="52"/>
    <tableColumn id="7" xr3:uid="{2CEB2B29-6B74-4E8E-B933-B2F833E5C50E}" name="PV_Low" dataDxfId="51"/>
    <tableColumn id="8" xr3:uid="{90A022E3-0BF8-4BEC-A762-CEC2DD854641}" name="PV_Mid" dataDxfId="50"/>
    <tableColumn id="9" xr3:uid="{9B568AFC-0A6F-4559-9198-C71A6C0BCEBC}" name="PV_High" dataDxfId="49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48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47" dataDxfId="46">
  <autoFilter ref="A1:C37" xr:uid="{4E875877-9580-437F-888D-2345B7BB85DD}"/>
  <tableColumns count="3">
    <tableColumn id="1" xr3:uid="{DB055912-AF2D-4BCD-AEE5-BE6F46DA8D7C}" name="Year" dataDxfId="45"/>
    <tableColumn id="2" xr3:uid="{E592388B-A21E-4BE9-ACC6-A7E7F25B1CEE}" name="Discount Rate (Nominal)" dataDxfId="44"/>
    <tableColumn id="3" xr3:uid="{01343765-9C51-433B-8C62-967D1D5154EB}" name="%Rate" dataDxfId="4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6" tableType="queryTable" totalsRowShown="0" headerRowDxfId="42" dataDxfId="41">
  <autoFilter ref="A1:G6" xr:uid="{04B72DAB-FFA8-4BF2-811F-CB4D286E2022}"/>
  <tableColumns count="7">
    <tableColumn id="1" xr3:uid="{C0195139-DAFB-4B19-891E-9841DB46068F}" uniqueName="1" name="RowType" queryTableFieldId="1" dataDxfId="40"/>
    <tableColumn id="2" xr3:uid="{71DB2FC5-0689-4F86-A6B5-54437D3B175E}" uniqueName="2" name="CatSort" queryTableFieldId="2" dataDxfId="39"/>
    <tableColumn id="3" xr3:uid="{F6C6AF8E-B196-4FFD-867C-A2806D72705B}" uniqueName="3" name="HeaderRank" queryTableFieldId="3" dataDxfId="38"/>
    <tableColumn id="4" xr3:uid="{25637E68-D570-475A-8D61-6FA40C7EE9C7}" uniqueName="4" name="ITEM/SERVICE" queryTableFieldId="4" dataDxfId="37" dataCellStyle="Currency"/>
    <tableColumn id="5" xr3:uid="{CD1DA0BA-7388-4850-809D-90ACEBF3DFDE}" uniqueName="5" name="LOWER" queryTableFieldId="5" dataDxfId="36" dataCellStyle="Currency"/>
    <tableColumn id="6" xr3:uid="{6B7869F7-699B-4C3E-AC03-338ECB282AEE}" uniqueName="6" name="MIDPOINT" queryTableFieldId="6" dataDxfId="35" dataCellStyle="Currency"/>
    <tableColumn id="7" xr3:uid="{4354290A-5001-49BF-98A8-AF11E800D126}" uniqueName="7" name="UPPER" queryTableFieldId="7" dataDxfId="34" dataCellStyle="Currency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33" dataDxfId="32" totalsRowDxfId="31">
  <autoFilter ref="A1:G6" xr:uid="{6E7C1877-99EE-49EC-9E2B-5081AD3741C3}"/>
  <tableColumns count="7">
    <tableColumn id="5" xr3:uid="{4B646FE9-BCFB-4A51-82F5-7E0DB7AE7849}" uniqueName="5" name="RowType" queryTableFieldId="28" dataDxfId="30" dataCellStyle="Currency"/>
    <tableColumn id="6" xr3:uid="{21F03B1B-B6AB-4F34-B622-776640B2EEC8}" uniqueName="6" name="CatSort" queryTableFieldId="29" dataDxfId="29" dataCellStyle="Currency"/>
    <tableColumn id="7" xr3:uid="{A7FBFC2B-1830-40DB-8412-8D8ABED10172}" uniqueName="7" name="HeaderRank" queryTableFieldId="30" dataDxfId="28" dataCellStyle="Currency"/>
    <tableColumn id="1" xr3:uid="{F9F46062-182D-4AAA-8861-CEEAA03ADDBA}" uniqueName="1" name="ITEM/SERVICE" queryTableFieldId="24" dataDxfId="27" totalsRowDxfId="26"/>
    <tableColumn id="2" xr3:uid="{EE2E4551-8EB5-44CB-AE92-07AF8F679061}" uniqueName="2" name="LOWER" queryTableFieldId="25" dataDxfId="25" totalsRowDxfId="24" dataCellStyle="Currency"/>
    <tableColumn id="3" xr3:uid="{C3486620-2326-4D6A-BDD3-D3CEC5351208}" uniqueName="3" name="MIDPOINT" queryTableFieldId="26" dataDxfId="23" totalsRowDxfId="22" dataCellStyle="Currency"/>
    <tableColumn id="4" xr3:uid="{B6F4AE6F-7A5E-43F8-AF9A-0693CF4C0F30}" uniqueName="4" name="UPPER" totalsRowFunction="sum" queryTableFieldId="27" dataDxfId="21" totalsRowDxfId="20" dataCellStyle="Currency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ableType="queryTable" totalsRowShown="0">
  <autoFilter ref="A1:K2" xr:uid="{0A0A7437-1EEB-4F0D-8AAA-C79C2C3D1F79}"/>
  <tableColumns count="11">
    <tableColumn id="1" xr3:uid="{0A77EAB7-D5C8-4327-A7AC-B3B7DD2E5766}" uniqueName="1" name="YearList" queryTableFieldId="1" dataDxfId="19"/>
    <tableColumn id="3" xr3:uid="{AAD78A2C-03A7-46C3-8DFF-8198EECE1E75}" uniqueName="3" name="ItemKey (Low)" queryTableFieldId="4598" dataDxfId="18"/>
    <tableColumn id="4" xr3:uid="{3DB04C61-78E9-4481-A307-3C799774432C}" uniqueName="4" name="Value (Low)" queryTableFieldId="4599"/>
    <tableColumn id="32" xr3:uid="{E11564CB-6398-4C55-B95C-37B9E3FC8B22}" uniqueName="32" name="Year Total (Low)" queryTableFieldId="39"/>
    <tableColumn id="5" xr3:uid="{915072E0-D4A2-4D95-9B32-4F0D1D7CF2D2}" uniqueName="5" name="ItemKey (Mid)" queryTableFieldId="4600" dataDxfId="17"/>
    <tableColumn id="6" xr3:uid="{428B8927-4240-4A74-B94F-DE06D564A2E0}" uniqueName="6" name="Value (Mid)" queryTableFieldId="4601"/>
    <tableColumn id="35" xr3:uid="{71CB6ADE-A970-474C-88C4-0F798F08C88D}" uniqueName="35" name="Year Total (Mid)" queryTableFieldId="42"/>
    <tableColumn id="7" xr3:uid="{7A4E5DE6-66FF-4936-A48F-519A3DB1B0CE}" uniqueName="7" name="ItemKey (High)" queryTableFieldId="4602" dataDxfId="16"/>
    <tableColumn id="8" xr3:uid="{3689BBFC-85A2-4C4B-8387-46E6CE3E46FE}" uniqueName="8" name="Value (High)" queryTableFieldId="4603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15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14" dataDxfId="13">
  <autoFilter ref="A1:C31" xr:uid="{A3AB1506-1C62-4D21-9E0F-ABFD20A6F8C6}"/>
  <tableColumns count="3">
    <tableColumn id="1" xr3:uid="{017DBA49-A675-4A2C-9D3A-5D218FE48C0E}" uniqueName="1" name="Year" queryTableFieldId="1" dataDxfId="12"/>
    <tableColumn id="2" xr3:uid="{476B3F8B-5148-484F-94EA-C17412D817D4}" uniqueName="2" name="Time To Marity" queryTableFieldId="2" dataDxfId="11"/>
    <tableColumn id="4" xr3:uid="{2E9DC6B9-284C-4F1D-89BF-F5F446B57AC0}" uniqueName="4" name="Discount Rate (Nominal)" queryTableFieldId="4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55"/>
  <sheetViews>
    <sheetView topLeftCell="C1" zoomScale="90" zoomScaleNormal="90" workbookViewId="0">
      <selection activeCell="N5" sqref="N2:N5"/>
    </sheetView>
  </sheetViews>
  <sheetFormatPr defaultColWidth="9.140625" defaultRowHeight="15.75" x14ac:dyDescent="0.25"/>
  <cols>
    <col min="1" max="1" width="71" style="1" customWidth="1"/>
    <col min="2" max="2" width="57.140625" style="1" customWidth="1"/>
    <col min="3" max="3" width="62.7109375" style="1" customWidth="1"/>
    <col min="4" max="7" width="15.28515625" style="1" customWidth="1"/>
    <col min="8" max="8" width="13.140625" style="1" customWidth="1"/>
    <col min="9" max="9" width="16.85546875" style="1" customWidth="1"/>
    <col min="10" max="10" width="12.5703125" style="1" customWidth="1"/>
    <col min="11" max="12" width="9.140625" style="1"/>
    <col min="13" max="13" width="12.42578125" style="1" customWidth="1"/>
    <col min="14" max="14" width="10.5703125" style="1" customWidth="1"/>
    <col min="15" max="17" width="9.140625" style="1"/>
    <col min="18" max="18" width="0.85546875" style="1" customWidth="1"/>
    <col min="19" max="19" width="16.28515625" style="1" customWidth="1"/>
    <col min="20" max="20" width="18.42578125" style="1" customWidth="1"/>
    <col min="21" max="21" width="13.140625" style="1" customWidth="1"/>
    <col min="22" max="16384" width="9.140625" style="1"/>
  </cols>
  <sheetData>
    <row r="1" spans="1:16" x14ac:dyDescent="0.25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 x14ac:dyDescent="0.25">
      <c r="A2"/>
      <c r="B2" s="1" t="str">
        <f>ItemInputs[[#This Row],[Item Name]] &amp; " (" &amp; ItemInputs[[#This Row],[Sort Order]] &amp; ")"</f>
        <v xml:space="preserve"> (1)</v>
      </c>
      <c r="D2" s="1">
        <v>2026</v>
      </c>
      <c r="E2" s="1">
        <v>0</v>
      </c>
      <c r="F2" s="1">
        <v>0</v>
      </c>
      <c r="G2" s="43">
        <v>0</v>
      </c>
      <c r="H2" s="43">
        <v>0</v>
      </c>
      <c r="I2" s="43">
        <v>0</v>
      </c>
      <c r="J2" s="43">
        <v>0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4"/>
    </row>
    <row r="3" spans="1:16" x14ac:dyDescent="0.25">
      <c r="A3"/>
      <c r="B3" s="1" t="str">
        <f>ItemInputs[[#This Row],[Item Name]] &amp; " (" &amp; ItemInputs[[#This Row],[Sort Order]] &amp; ")"</f>
        <v xml:space="preserve"> (2)</v>
      </c>
      <c r="D3" s="1">
        <v>2026</v>
      </c>
      <c r="E3" s="1">
        <v>0</v>
      </c>
      <c r="F3" s="1">
        <v>0</v>
      </c>
      <c r="G3" s="43">
        <v>0</v>
      </c>
      <c r="H3" s="43">
        <v>0</v>
      </c>
      <c r="I3" s="43">
        <v>0</v>
      </c>
      <c r="J3" s="43">
        <v>0</v>
      </c>
      <c r="K3" s="1">
        <v>1</v>
      </c>
      <c r="L3" s="1">
        <v>1</v>
      </c>
      <c r="M3" s="1">
        <v>2</v>
      </c>
      <c r="N3" s="1">
        <v>0</v>
      </c>
      <c r="O3" s="1" t="s">
        <v>27</v>
      </c>
      <c r="P3" s="44"/>
    </row>
    <row r="4" spans="1:16" x14ac:dyDescent="0.25">
      <c r="A4"/>
      <c r="B4" s="1" t="str">
        <f>ItemInputs[[#This Row],[Item Name]] &amp; " (" &amp; ItemInputs[[#This Row],[Sort Order]] &amp; ")"</f>
        <v xml:space="preserve"> (3)</v>
      </c>
      <c r="D4" s="1">
        <v>2026</v>
      </c>
      <c r="E4" s="1">
        <v>0</v>
      </c>
      <c r="F4" s="1">
        <v>0</v>
      </c>
      <c r="G4" s="43">
        <v>0</v>
      </c>
      <c r="H4" s="43">
        <v>0</v>
      </c>
      <c r="I4" s="43">
        <v>0</v>
      </c>
      <c r="J4" s="43">
        <v>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4"/>
    </row>
    <row r="5" spans="1:16" x14ac:dyDescent="0.25">
      <c r="A5"/>
      <c r="B5" s="1" t="str">
        <f>ItemInputs[[#This Row],[Item Name]] &amp; " (" &amp; ItemInputs[[#This Row],[Sort Order]] &amp; ")"</f>
        <v xml:space="preserve"> (4)</v>
      </c>
      <c r="D5" s="1">
        <v>2026</v>
      </c>
      <c r="E5" s="1">
        <v>0</v>
      </c>
      <c r="F5" s="1">
        <v>0</v>
      </c>
      <c r="G5" s="43">
        <v>0</v>
      </c>
      <c r="H5" s="43">
        <v>0</v>
      </c>
      <c r="I5" s="43">
        <v>0</v>
      </c>
      <c r="J5" s="43">
        <v>0</v>
      </c>
      <c r="K5" s="1">
        <v>1</v>
      </c>
      <c r="L5" s="1">
        <v>1</v>
      </c>
      <c r="M5" s="1">
        <v>4</v>
      </c>
      <c r="N5" s="1">
        <v>0</v>
      </c>
      <c r="O5" s="1" t="s">
        <v>27</v>
      </c>
      <c r="P5" s="45"/>
    </row>
    <row r="6" spans="1:16" x14ac:dyDescent="0.25">
      <c r="A6"/>
      <c r="B6" s="1" t="str">
        <f>ItemInputs[[#This Row],[Item Name]] &amp; " (" &amp; ItemInputs[[#This Row],[Sort Order]] &amp; ")"</f>
        <v xml:space="preserve"> (5)</v>
      </c>
      <c r="D6" s="1">
        <v>2026</v>
      </c>
      <c r="E6" s="1">
        <v>0</v>
      </c>
      <c r="F6" s="1">
        <v>0</v>
      </c>
      <c r="G6" s="43">
        <v>0</v>
      </c>
      <c r="H6" s="43">
        <v>0</v>
      </c>
      <c r="I6" s="43">
        <v>0</v>
      </c>
      <c r="J6" s="43">
        <v>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4"/>
    </row>
    <row r="7" spans="1:16" x14ac:dyDescent="0.25">
      <c r="A7"/>
      <c r="B7" s="1" t="str">
        <f>ItemInputs[[#This Row],[Item Name]] &amp; " (" &amp; ItemInputs[[#This Row],[Sort Order]] &amp; ")"</f>
        <v xml:space="preserve"> (6)</v>
      </c>
      <c r="D7" s="1">
        <v>2026</v>
      </c>
      <c r="E7" s="1">
        <v>0</v>
      </c>
      <c r="F7" s="1">
        <v>0</v>
      </c>
      <c r="G7" s="43">
        <v>0</v>
      </c>
      <c r="H7" s="43">
        <v>0</v>
      </c>
      <c r="I7" s="43">
        <v>0</v>
      </c>
      <c r="J7" s="43">
        <v>0</v>
      </c>
      <c r="K7" s="1">
        <v>1</v>
      </c>
      <c r="L7" s="1">
        <v>1</v>
      </c>
      <c r="M7" s="1">
        <v>6</v>
      </c>
      <c r="N7" s="1">
        <v>0</v>
      </c>
      <c r="O7" s="1" t="s">
        <v>27</v>
      </c>
      <c r="P7" s="45"/>
    </row>
    <row r="8" spans="1:16" x14ac:dyDescent="0.25">
      <c r="A8"/>
      <c r="B8" s="1" t="str">
        <f>ItemInputs[[#This Row],[Item Name]] &amp; " (" &amp; ItemInputs[[#This Row],[Sort Order]] &amp; ")"</f>
        <v xml:space="preserve"> (7)</v>
      </c>
      <c r="D8" s="1">
        <v>2026</v>
      </c>
      <c r="E8" s="1">
        <v>0</v>
      </c>
      <c r="F8" s="1">
        <v>0</v>
      </c>
      <c r="G8" s="43">
        <v>0</v>
      </c>
      <c r="H8" s="43">
        <v>0</v>
      </c>
      <c r="I8" s="43">
        <v>0</v>
      </c>
      <c r="J8" s="43">
        <v>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5"/>
    </row>
    <row r="9" spans="1:16" x14ac:dyDescent="0.25">
      <c r="A9"/>
      <c r="B9" s="1" t="str">
        <f>ItemInputs[[#This Row],[Item Name]] &amp; " (" &amp; ItemInputs[[#This Row],[Sort Order]] &amp; ")"</f>
        <v xml:space="preserve"> (8)</v>
      </c>
      <c r="D9" s="1">
        <v>2026</v>
      </c>
      <c r="E9" s="1">
        <v>0</v>
      </c>
      <c r="F9" s="1">
        <v>0</v>
      </c>
      <c r="G9" s="43">
        <v>0</v>
      </c>
      <c r="H9" s="43">
        <v>0</v>
      </c>
      <c r="I9" s="43">
        <v>0</v>
      </c>
      <c r="J9" s="43">
        <v>0</v>
      </c>
      <c r="K9" s="1">
        <v>1</v>
      </c>
      <c r="L9" s="1">
        <v>1</v>
      </c>
      <c r="M9" s="1">
        <v>8</v>
      </c>
      <c r="N9" s="1">
        <v>0</v>
      </c>
      <c r="O9" s="1" t="s">
        <v>27</v>
      </c>
      <c r="P9" s="44"/>
    </row>
    <row r="10" spans="1:16" x14ac:dyDescent="0.25">
      <c r="A10"/>
      <c r="B10" s="1" t="str">
        <f>ItemInputs[[#This Row],[Item Name]] &amp; " (" &amp; ItemInputs[[#This Row],[Sort Order]] &amp; ")"</f>
        <v xml:space="preserve"> (9)</v>
      </c>
      <c r="D10" s="1">
        <v>2026</v>
      </c>
      <c r="E10" s="1">
        <v>0</v>
      </c>
      <c r="F10" s="1">
        <v>0</v>
      </c>
      <c r="G10" s="43">
        <v>0</v>
      </c>
      <c r="H10" s="43">
        <v>0</v>
      </c>
      <c r="I10" s="43">
        <v>0</v>
      </c>
      <c r="J10" s="43">
        <v>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4"/>
    </row>
    <row r="11" spans="1:16" x14ac:dyDescent="0.25">
      <c r="A11"/>
      <c r="B11" s="1" t="str">
        <f>ItemInputs[[#This Row],[Item Name]] &amp; " (" &amp; ItemInputs[[#This Row],[Sort Order]] &amp; ")"</f>
        <v xml:space="preserve"> (10)</v>
      </c>
      <c r="D11" s="1">
        <v>2026</v>
      </c>
      <c r="E11" s="1">
        <v>0</v>
      </c>
      <c r="F11" s="1">
        <v>0</v>
      </c>
      <c r="G11" s="43">
        <v>0</v>
      </c>
      <c r="H11" s="43">
        <v>0</v>
      </c>
      <c r="I11" s="43">
        <v>0</v>
      </c>
      <c r="J11" s="43">
        <v>0</v>
      </c>
      <c r="K11" s="1">
        <v>1</v>
      </c>
      <c r="L11" s="1">
        <v>1</v>
      </c>
      <c r="M11" s="1">
        <v>10</v>
      </c>
      <c r="N11" s="1">
        <v>0</v>
      </c>
      <c r="O11" s="1" t="s">
        <v>27</v>
      </c>
      <c r="P11" s="45"/>
    </row>
    <row r="12" spans="1:16" x14ac:dyDescent="0.25">
      <c r="A12"/>
      <c r="B12" s="1" t="str">
        <f>ItemInputs[[#This Row],[Item Name]] &amp; " (" &amp; ItemInputs[[#This Row],[Sort Order]] &amp; ")"</f>
        <v xml:space="preserve"> (11)</v>
      </c>
      <c r="D12" s="1">
        <v>2026</v>
      </c>
      <c r="E12" s="1">
        <v>0</v>
      </c>
      <c r="F12" s="1">
        <v>0</v>
      </c>
      <c r="G12" s="43">
        <v>0</v>
      </c>
      <c r="H12" s="43">
        <v>0</v>
      </c>
      <c r="I12" s="43">
        <v>0</v>
      </c>
      <c r="J12" s="43">
        <v>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 x14ac:dyDescent="0.25">
      <c r="A13"/>
      <c r="B13" s="1" t="str">
        <f>ItemInputs[[#This Row],[Item Name]] &amp; " (" &amp; ItemInputs[[#This Row],[Sort Order]] &amp; ")"</f>
        <v xml:space="preserve"> (12)</v>
      </c>
      <c r="D13" s="1">
        <v>2026</v>
      </c>
      <c r="E13" s="1">
        <v>0</v>
      </c>
      <c r="F13" s="1">
        <v>0</v>
      </c>
      <c r="G13" s="43">
        <v>0</v>
      </c>
      <c r="H13" s="43">
        <v>0</v>
      </c>
      <c r="I13" s="43">
        <v>0</v>
      </c>
      <c r="J13" s="43">
        <v>0</v>
      </c>
      <c r="K13" s="1">
        <v>1</v>
      </c>
      <c r="L13" s="1">
        <v>1</v>
      </c>
      <c r="M13" s="1">
        <v>12</v>
      </c>
      <c r="N13" s="1">
        <v>0</v>
      </c>
      <c r="O13" s="1" t="s">
        <v>27</v>
      </c>
    </row>
    <row r="14" spans="1:16" x14ac:dyDescent="0.25">
      <c r="A14"/>
      <c r="B14" s="1" t="str">
        <f>ItemInputs[[#This Row],[Item Name]] &amp; " (" &amp; ItemInputs[[#This Row],[Sort Order]] &amp; ")"</f>
        <v xml:space="preserve"> (13)</v>
      </c>
      <c r="D14" s="1">
        <v>2026</v>
      </c>
      <c r="E14" s="1">
        <v>0</v>
      </c>
      <c r="F14" s="1">
        <v>0</v>
      </c>
      <c r="G14" s="43">
        <v>0</v>
      </c>
      <c r="H14" s="43">
        <v>0</v>
      </c>
      <c r="I14" s="43">
        <v>0</v>
      </c>
      <c r="J14" s="43">
        <v>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 x14ac:dyDescent="0.25">
      <c r="A15"/>
      <c r="B15" s="1" t="str">
        <f>ItemInputs[[#This Row],[Item Name]] &amp; " (" &amp; ItemInputs[[#This Row],[Sort Order]] &amp; ")"</f>
        <v xml:space="preserve"> (14)</v>
      </c>
      <c r="D15" s="1">
        <v>2026</v>
      </c>
      <c r="E15" s="1">
        <v>0</v>
      </c>
      <c r="F15" s="1">
        <v>0</v>
      </c>
      <c r="G15" s="43">
        <v>0</v>
      </c>
      <c r="H15" s="43">
        <v>0</v>
      </c>
      <c r="I15" s="43">
        <v>0</v>
      </c>
      <c r="J15" s="43">
        <v>0</v>
      </c>
      <c r="K15" s="1">
        <v>1</v>
      </c>
      <c r="L15" s="1">
        <v>1</v>
      </c>
      <c r="M15" s="1">
        <v>14</v>
      </c>
      <c r="N15" s="1">
        <v>0</v>
      </c>
      <c r="O15" s="1" t="s">
        <v>27</v>
      </c>
    </row>
    <row r="16" spans="1:16" x14ac:dyDescent="0.25">
      <c r="A16"/>
      <c r="B16" s="1" t="str">
        <f>ItemInputs[[#This Row],[Item Name]] &amp; " (" &amp; ItemInputs[[#This Row],[Sort Order]] &amp; ")"</f>
        <v xml:space="preserve"> (15)</v>
      </c>
      <c r="D16" s="1">
        <v>2026</v>
      </c>
      <c r="E16" s="1">
        <v>0</v>
      </c>
      <c r="F16" s="1">
        <v>0</v>
      </c>
      <c r="G16" s="43">
        <v>0</v>
      </c>
      <c r="H16" s="43">
        <v>0</v>
      </c>
      <c r="I16" s="43">
        <v>0</v>
      </c>
      <c r="J16" s="43">
        <v>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 x14ac:dyDescent="0.25">
      <c r="A17"/>
      <c r="B17" s="1" t="str">
        <f>ItemInputs[[#This Row],[Item Name]] &amp; " (" &amp; ItemInputs[[#This Row],[Sort Order]] &amp; ")"</f>
        <v xml:space="preserve"> (16)</v>
      </c>
      <c r="D17" s="1">
        <v>2026</v>
      </c>
      <c r="E17" s="1">
        <v>0</v>
      </c>
      <c r="F17" s="1">
        <v>0</v>
      </c>
      <c r="G17" s="43">
        <v>0</v>
      </c>
      <c r="H17" s="43">
        <v>0</v>
      </c>
      <c r="I17" s="43">
        <v>0</v>
      </c>
      <c r="J17" s="43">
        <v>0</v>
      </c>
      <c r="K17" s="1">
        <v>1</v>
      </c>
      <c r="L17" s="1">
        <v>1</v>
      </c>
      <c r="M17" s="1">
        <v>16</v>
      </c>
      <c r="N17" s="1">
        <v>0</v>
      </c>
      <c r="O17" s="1" t="s">
        <v>27</v>
      </c>
    </row>
    <row r="18" spans="1:15" x14ac:dyDescent="0.25">
      <c r="A18"/>
      <c r="B18" s="1" t="str">
        <f>ItemInputs[[#This Row],[Item Name]] &amp; " (" &amp; ItemInputs[[#This Row],[Sort Order]] &amp; ")"</f>
        <v xml:space="preserve"> (17)</v>
      </c>
      <c r="D18" s="1">
        <v>2026</v>
      </c>
      <c r="E18" s="1">
        <v>0</v>
      </c>
      <c r="F18" s="1">
        <v>0</v>
      </c>
      <c r="G18" s="43">
        <v>0</v>
      </c>
      <c r="H18" s="43">
        <v>0</v>
      </c>
      <c r="I18" s="43">
        <v>0</v>
      </c>
      <c r="J18" s="43">
        <v>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 x14ac:dyDescent="0.25">
      <c r="A19"/>
      <c r="B19" s="1" t="str">
        <f>ItemInputs[[#This Row],[Item Name]] &amp; " (" &amp; ItemInputs[[#This Row],[Sort Order]] &amp; ")"</f>
        <v xml:space="preserve"> (18)</v>
      </c>
      <c r="D19" s="1">
        <v>2026</v>
      </c>
      <c r="E19" s="1">
        <v>0</v>
      </c>
      <c r="F19" s="1">
        <v>0</v>
      </c>
      <c r="G19" s="43">
        <v>0</v>
      </c>
      <c r="H19" s="43">
        <v>0</v>
      </c>
      <c r="I19" s="43">
        <v>0</v>
      </c>
      <c r="J19" s="43">
        <v>0</v>
      </c>
      <c r="K19" s="1">
        <v>1</v>
      </c>
      <c r="L19" s="1">
        <v>1</v>
      </c>
      <c r="M19" s="1">
        <v>18</v>
      </c>
      <c r="N19" s="1">
        <v>0</v>
      </c>
      <c r="O19" s="1" t="s">
        <v>27</v>
      </c>
    </row>
    <row r="20" spans="1:15" x14ac:dyDescent="0.25">
      <c r="A20"/>
      <c r="B20" s="1" t="str">
        <f>ItemInputs[[#This Row],[Item Name]] &amp; " (" &amp; ItemInputs[[#This Row],[Sort Order]] &amp; ")"</f>
        <v xml:space="preserve"> (19)</v>
      </c>
      <c r="D20" s="1">
        <v>2026</v>
      </c>
      <c r="E20" s="1">
        <v>0</v>
      </c>
      <c r="F20" s="1">
        <v>0</v>
      </c>
      <c r="G20" s="43">
        <v>0</v>
      </c>
      <c r="H20" s="43">
        <v>0</v>
      </c>
      <c r="I20" s="43">
        <v>0</v>
      </c>
      <c r="J20" s="43">
        <v>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 x14ac:dyDescent="0.25">
      <c r="A21"/>
      <c r="B21" s="1" t="str">
        <f>ItemInputs[[#This Row],[Item Name]] &amp; " (" &amp; ItemInputs[[#This Row],[Sort Order]] &amp; ")"</f>
        <v xml:space="preserve"> (20)</v>
      </c>
      <c r="D21" s="1">
        <v>2026</v>
      </c>
      <c r="E21" s="1">
        <v>0</v>
      </c>
      <c r="F21" s="1">
        <v>0</v>
      </c>
      <c r="G21" s="43">
        <v>0</v>
      </c>
      <c r="H21" s="43">
        <v>0</v>
      </c>
      <c r="I21" s="43">
        <v>0</v>
      </c>
      <c r="J21" s="43">
        <v>0</v>
      </c>
      <c r="K21" s="1">
        <v>1</v>
      </c>
      <c r="L21" s="1">
        <v>1</v>
      </c>
      <c r="M21" s="1">
        <v>20</v>
      </c>
      <c r="N21" s="1">
        <v>0</v>
      </c>
      <c r="O21" s="1" t="s">
        <v>27</v>
      </c>
    </row>
    <row r="22" spans="1:15" x14ac:dyDescent="0.25">
      <c r="A22"/>
      <c r="B22" s="1" t="str">
        <f>ItemInputs[[#This Row],[Item Name]] &amp; " (" &amp; ItemInputs[[#This Row],[Sort Order]] &amp; ")"</f>
        <v xml:space="preserve"> (21)</v>
      </c>
      <c r="D22" s="1">
        <v>2026</v>
      </c>
      <c r="E22" s="1">
        <v>0</v>
      </c>
      <c r="F22" s="1">
        <v>0</v>
      </c>
      <c r="G22" s="43">
        <v>0</v>
      </c>
      <c r="H22" s="43">
        <v>0</v>
      </c>
      <c r="I22" s="43">
        <v>0</v>
      </c>
      <c r="J22" s="43">
        <v>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 x14ac:dyDescent="0.25">
      <c r="A23"/>
      <c r="B23" s="1" t="str">
        <f>ItemInputs[[#This Row],[Item Name]] &amp; " (" &amp; ItemInputs[[#This Row],[Sort Order]] &amp; ")"</f>
        <v xml:space="preserve"> (22)</v>
      </c>
      <c r="D23" s="1">
        <v>2026</v>
      </c>
      <c r="E23" s="1">
        <v>0</v>
      </c>
      <c r="F23" s="1">
        <v>0</v>
      </c>
      <c r="G23" s="43">
        <v>0</v>
      </c>
      <c r="H23" s="43">
        <v>0</v>
      </c>
      <c r="I23" s="43">
        <v>0</v>
      </c>
      <c r="J23" s="43">
        <v>0</v>
      </c>
      <c r="K23" s="1">
        <v>1</v>
      </c>
      <c r="L23" s="1">
        <v>1</v>
      </c>
      <c r="M23" s="1">
        <v>22</v>
      </c>
      <c r="N23" s="1">
        <v>0</v>
      </c>
      <c r="O23" s="1" t="s">
        <v>27</v>
      </c>
    </row>
    <row r="24" spans="1:15" x14ac:dyDescent="0.25">
      <c r="A24"/>
      <c r="B24" s="1" t="str">
        <f>ItemInputs[[#This Row],[Item Name]] &amp; " (" &amp; ItemInputs[[#This Row],[Sort Order]] &amp; ")"</f>
        <v xml:space="preserve"> (23)</v>
      </c>
      <c r="D24" s="1">
        <v>2026</v>
      </c>
      <c r="E24" s="1">
        <v>0</v>
      </c>
      <c r="F24" s="1">
        <v>0</v>
      </c>
      <c r="G24" s="43">
        <v>0</v>
      </c>
      <c r="H24" s="43">
        <v>0</v>
      </c>
      <c r="I24" s="43">
        <v>0</v>
      </c>
      <c r="J24" s="43">
        <v>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 x14ac:dyDescent="0.25">
      <c r="A25"/>
      <c r="B25" s="1" t="str">
        <f>ItemInputs[[#This Row],[Item Name]] &amp; " (" &amp; ItemInputs[[#This Row],[Sort Order]] &amp; ")"</f>
        <v xml:space="preserve"> (24)</v>
      </c>
      <c r="D25" s="1">
        <v>2026</v>
      </c>
      <c r="E25" s="1">
        <v>0</v>
      </c>
      <c r="F25" s="1">
        <v>0</v>
      </c>
      <c r="G25" s="43">
        <v>0</v>
      </c>
      <c r="H25" s="43">
        <v>0</v>
      </c>
      <c r="I25" s="43">
        <v>0</v>
      </c>
      <c r="J25" s="43">
        <v>0</v>
      </c>
      <c r="K25" s="1">
        <v>1</v>
      </c>
      <c r="L25" s="1">
        <v>1</v>
      </c>
      <c r="M25" s="1">
        <v>24</v>
      </c>
      <c r="N25" s="1">
        <v>0</v>
      </c>
      <c r="O25" s="1" t="s">
        <v>27</v>
      </c>
    </row>
    <row r="26" spans="1:15" x14ac:dyDescent="0.25">
      <c r="A26"/>
      <c r="B26" s="1" t="str">
        <f>ItemInputs[[#This Row],[Item Name]] &amp; " (" &amp; ItemInputs[[#This Row],[Sort Order]] &amp; ")"</f>
        <v xml:space="preserve"> (25)</v>
      </c>
      <c r="D26" s="1">
        <v>2026</v>
      </c>
      <c r="E26" s="1">
        <v>0</v>
      </c>
      <c r="F26" s="1">
        <v>0</v>
      </c>
      <c r="G26" s="43">
        <v>0</v>
      </c>
      <c r="H26" s="43">
        <v>0</v>
      </c>
      <c r="I26" s="43">
        <v>0</v>
      </c>
      <c r="J26" s="43">
        <v>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 x14ac:dyDescent="0.25">
      <c r="A27"/>
      <c r="B27" s="1" t="str">
        <f>ItemInputs[[#This Row],[Item Name]] &amp; " (" &amp; ItemInputs[[#This Row],[Sort Order]] &amp; ")"</f>
        <v xml:space="preserve"> (26)</v>
      </c>
      <c r="D27" s="1">
        <v>2026</v>
      </c>
      <c r="E27" s="1">
        <v>0</v>
      </c>
      <c r="F27" s="1">
        <v>0</v>
      </c>
      <c r="G27" s="43">
        <v>0</v>
      </c>
      <c r="H27" s="43">
        <v>0</v>
      </c>
      <c r="I27" s="43">
        <v>0</v>
      </c>
      <c r="J27" s="43">
        <v>0</v>
      </c>
      <c r="K27" s="1">
        <v>1</v>
      </c>
      <c r="L27" s="1">
        <v>1</v>
      </c>
      <c r="M27" s="1">
        <v>26</v>
      </c>
      <c r="N27" s="1">
        <v>0</v>
      </c>
      <c r="O27" s="1" t="s">
        <v>27</v>
      </c>
    </row>
    <row r="28" spans="1:15" x14ac:dyDescent="0.25">
      <c r="A28"/>
      <c r="B28" s="1" t="str">
        <f>ItemInputs[[#This Row],[Item Name]] &amp; " (" &amp; ItemInputs[[#This Row],[Sort Order]] &amp; ")"</f>
        <v xml:space="preserve"> (27)</v>
      </c>
      <c r="D28" s="1">
        <v>2026</v>
      </c>
      <c r="E28" s="1">
        <v>0</v>
      </c>
      <c r="F28" s="1">
        <v>0</v>
      </c>
      <c r="G28" s="43">
        <v>0</v>
      </c>
      <c r="H28" s="43">
        <v>0</v>
      </c>
      <c r="I28" s="43">
        <v>0</v>
      </c>
      <c r="J28" s="43">
        <v>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 x14ac:dyDescent="0.25">
      <c r="A29"/>
      <c r="B29" s="1" t="str">
        <f>ItemInputs[[#This Row],[Item Name]] &amp; " (" &amp; ItemInputs[[#This Row],[Sort Order]] &amp; ")"</f>
        <v xml:space="preserve"> (28)</v>
      </c>
      <c r="D29" s="1">
        <v>2026</v>
      </c>
      <c r="E29" s="1">
        <v>0</v>
      </c>
      <c r="F29" s="1">
        <v>0</v>
      </c>
      <c r="G29" s="43">
        <v>0</v>
      </c>
      <c r="H29" s="43">
        <v>0</v>
      </c>
      <c r="I29" s="43">
        <v>0</v>
      </c>
      <c r="J29" s="43">
        <v>0</v>
      </c>
      <c r="K29" s="1">
        <v>1</v>
      </c>
      <c r="L29" s="1">
        <v>1</v>
      </c>
      <c r="M29" s="1">
        <v>28</v>
      </c>
      <c r="N29" s="1">
        <v>0</v>
      </c>
      <c r="O29" s="1" t="s">
        <v>27</v>
      </c>
    </row>
    <row r="30" spans="1:15" x14ac:dyDescent="0.25">
      <c r="A30"/>
      <c r="B30" s="1" t="str">
        <f>ItemInputs[[#This Row],[Item Name]] &amp; " (" &amp; ItemInputs[[#This Row],[Sort Order]] &amp; ")"</f>
        <v xml:space="preserve"> (29)</v>
      </c>
      <c r="D30" s="1">
        <v>2026</v>
      </c>
      <c r="E30" s="1">
        <v>0</v>
      </c>
      <c r="F30" s="1">
        <v>0</v>
      </c>
      <c r="G30" s="43">
        <v>0</v>
      </c>
      <c r="H30" s="43">
        <v>0</v>
      </c>
      <c r="I30" s="43">
        <v>0</v>
      </c>
      <c r="J30" s="43">
        <v>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 x14ac:dyDescent="0.25">
      <c r="A31"/>
      <c r="B31" s="1" t="str">
        <f>ItemInputs[[#This Row],[Item Name]] &amp; " (" &amp; ItemInputs[[#This Row],[Sort Order]] &amp; ")"</f>
        <v xml:space="preserve"> (30)</v>
      </c>
      <c r="D31" s="1">
        <v>2026</v>
      </c>
      <c r="E31" s="1">
        <v>0</v>
      </c>
      <c r="F31" s="1">
        <v>0</v>
      </c>
      <c r="G31" s="43">
        <v>0</v>
      </c>
      <c r="H31" s="43">
        <v>0</v>
      </c>
      <c r="I31" s="43">
        <v>0</v>
      </c>
      <c r="J31" s="43">
        <v>0</v>
      </c>
      <c r="K31" s="1">
        <v>1</v>
      </c>
      <c r="L31" s="1">
        <v>1</v>
      </c>
      <c r="M31" s="1">
        <v>30</v>
      </c>
      <c r="N31" s="1">
        <v>0</v>
      </c>
      <c r="O31" s="1" t="s">
        <v>27</v>
      </c>
    </row>
    <row r="32" spans="1:15" x14ac:dyDescent="0.25">
      <c r="A32"/>
      <c r="B32" s="1" t="str">
        <f>ItemInputs[[#This Row],[Item Name]] &amp; " (" &amp; ItemInputs[[#This Row],[Sort Order]] &amp; ")"</f>
        <v xml:space="preserve"> (31)</v>
      </c>
      <c r="D32" s="1">
        <v>2026</v>
      </c>
      <c r="E32" s="1">
        <v>0</v>
      </c>
      <c r="F32" s="1">
        <v>0</v>
      </c>
      <c r="G32" s="43">
        <v>0</v>
      </c>
      <c r="H32" s="43">
        <v>0</v>
      </c>
      <c r="I32" s="43">
        <v>0</v>
      </c>
      <c r="J32" s="43">
        <v>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 x14ac:dyDescent="0.25">
      <c r="A33"/>
      <c r="B33" s="1" t="str">
        <f>ItemInputs[[#This Row],[Item Name]] &amp; " (" &amp; ItemInputs[[#This Row],[Sort Order]] &amp; ")"</f>
        <v xml:space="preserve"> (32)</v>
      </c>
      <c r="D33" s="1">
        <v>2026</v>
      </c>
      <c r="E33" s="1">
        <v>0</v>
      </c>
      <c r="F33" s="1">
        <v>0</v>
      </c>
      <c r="G33" s="43">
        <v>0</v>
      </c>
      <c r="H33" s="43">
        <v>0</v>
      </c>
      <c r="I33" s="43">
        <v>0</v>
      </c>
      <c r="J33" s="43">
        <v>0</v>
      </c>
      <c r="K33" s="1">
        <v>1</v>
      </c>
      <c r="L33" s="1">
        <v>1</v>
      </c>
      <c r="M33" s="1">
        <v>32</v>
      </c>
      <c r="N33" s="1">
        <v>0</v>
      </c>
      <c r="O33" s="1" t="s">
        <v>27</v>
      </c>
    </row>
    <row r="34" spans="1:15" x14ac:dyDescent="0.25">
      <c r="A34"/>
      <c r="B34" s="1" t="str">
        <f>ItemInputs[[#This Row],[Item Name]] &amp; " (" &amp; ItemInputs[[#This Row],[Sort Order]] &amp; ")"</f>
        <v xml:space="preserve"> (33)</v>
      </c>
      <c r="D34" s="1">
        <v>2026</v>
      </c>
      <c r="E34" s="1">
        <v>0</v>
      </c>
      <c r="F34" s="1">
        <v>0</v>
      </c>
      <c r="G34" s="43">
        <v>0</v>
      </c>
      <c r="H34" s="43">
        <v>0</v>
      </c>
      <c r="I34" s="43">
        <v>0</v>
      </c>
      <c r="J34" s="43">
        <v>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 x14ac:dyDescent="0.25">
      <c r="A35"/>
      <c r="B35" s="1" t="str">
        <f>ItemInputs[[#This Row],[Item Name]] &amp; " (" &amp; ItemInputs[[#This Row],[Sort Order]] &amp; ")"</f>
        <v xml:space="preserve"> (34)</v>
      </c>
      <c r="D35" s="1">
        <v>2026</v>
      </c>
      <c r="E35" s="1">
        <v>0</v>
      </c>
      <c r="F35" s="1">
        <v>0</v>
      </c>
      <c r="G35" s="43">
        <v>0</v>
      </c>
      <c r="H35" s="43">
        <v>0</v>
      </c>
      <c r="I35" s="43">
        <v>0</v>
      </c>
      <c r="J35" s="43">
        <v>0</v>
      </c>
      <c r="K35" s="1">
        <v>1</v>
      </c>
      <c r="L35" s="1">
        <v>1</v>
      </c>
      <c r="M35" s="1">
        <v>34</v>
      </c>
      <c r="N35" s="1">
        <v>0</v>
      </c>
      <c r="O35" s="1" t="s">
        <v>27</v>
      </c>
    </row>
    <row r="36" spans="1:15" x14ac:dyDescent="0.25">
      <c r="A36"/>
      <c r="B36" s="1" t="str">
        <f>ItemInputs[[#This Row],[Item Name]] &amp; " (" &amp; ItemInputs[[#This Row],[Sort Order]] &amp; ")"</f>
        <v xml:space="preserve"> (35)</v>
      </c>
      <c r="D36" s="1">
        <v>2026</v>
      </c>
      <c r="E36" s="1">
        <v>0</v>
      </c>
      <c r="F36" s="1">
        <v>0</v>
      </c>
      <c r="G36" s="43">
        <v>0</v>
      </c>
      <c r="H36" s="43">
        <v>0</v>
      </c>
      <c r="I36" s="43">
        <v>0</v>
      </c>
      <c r="J36" s="43">
        <v>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 x14ac:dyDescent="0.25">
      <c r="A37"/>
      <c r="B37" s="1" t="str">
        <f>ItemInputs[[#This Row],[Item Name]] &amp; " (" &amp; ItemInputs[[#This Row],[Sort Order]] &amp; ")"</f>
        <v xml:space="preserve"> (36)</v>
      </c>
      <c r="D37" s="1">
        <v>2026</v>
      </c>
      <c r="E37" s="1">
        <v>0</v>
      </c>
      <c r="F37" s="1">
        <v>0</v>
      </c>
      <c r="G37" s="43">
        <v>0</v>
      </c>
      <c r="H37" s="43">
        <v>0</v>
      </c>
      <c r="I37" s="43">
        <v>0</v>
      </c>
      <c r="J37" s="43">
        <v>0</v>
      </c>
      <c r="K37" s="1">
        <v>1</v>
      </c>
      <c r="L37" s="1">
        <v>1</v>
      </c>
      <c r="M37" s="1">
        <v>36</v>
      </c>
      <c r="N37" s="1">
        <v>0</v>
      </c>
      <c r="O37" s="1" t="s">
        <v>27</v>
      </c>
    </row>
    <row r="38" spans="1:15" x14ac:dyDescent="0.25">
      <c r="A38"/>
      <c r="B38" s="1" t="str">
        <f>ItemInputs[[#This Row],[Item Name]] &amp; " (" &amp; ItemInputs[[#This Row],[Sort Order]] &amp; ")"</f>
        <v xml:space="preserve"> (37)</v>
      </c>
      <c r="D38" s="1">
        <v>2026</v>
      </c>
      <c r="E38" s="1">
        <v>0</v>
      </c>
      <c r="F38" s="1">
        <v>0</v>
      </c>
      <c r="G38" s="43">
        <v>0</v>
      </c>
      <c r="H38" s="43">
        <v>0</v>
      </c>
      <c r="I38" s="43">
        <v>0</v>
      </c>
      <c r="J38" s="43">
        <v>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 x14ac:dyDescent="0.25">
      <c r="A39"/>
      <c r="B39" s="1" t="str">
        <f>ItemInputs[[#This Row],[Item Name]] &amp; " (" &amp; ItemInputs[[#This Row],[Sort Order]] &amp; ")"</f>
        <v xml:space="preserve"> (38)</v>
      </c>
      <c r="D39" s="1">
        <v>2026</v>
      </c>
      <c r="E39" s="1">
        <v>0</v>
      </c>
      <c r="F39" s="1">
        <v>0</v>
      </c>
      <c r="G39" s="43">
        <v>0</v>
      </c>
      <c r="H39" s="43">
        <v>0</v>
      </c>
      <c r="I39" s="43">
        <v>0</v>
      </c>
      <c r="J39" s="43">
        <v>0</v>
      </c>
      <c r="K39" s="1">
        <v>1</v>
      </c>
      <c r="L39" s="1">
        <v>1</v>
      </c>
      <c r="M39" s="1">
        <v>38</v>
      </c>
      <c r="N39" s="1">
        <v>0</v>
      </c>
      <c r="O39" s="1" t="s">
        <v>27</v>
      </c>
    </row>
    <row r="40" spans="1:15" x14ac:dyDescent="0.25">
      <c r="A40"/>
      <c r="B40" s="1" t="str">
        <f>ItemInputs[[#This Row],[Item Name]] &amp; " (" &amp; ItemInputs[[#This Row],[Sort Order]] &amp; ")"</f>
        <v xml:space="preserve"> (39)</v>
      </c>
      <c r="D40" s="1">
        <v>2026</v>
      </c>
      <c r="E40" s="1">
        <v>0</v>
      </c>
      <c r="F40" s="1">
        <v>0</v>
      </c>
      <c r="G40" s="43">
        <v>0</v>
      </c>
      <c r="H40" s="43">
        <v>0</v>
      </c>
      <c r="I40" s="43">
        <v>0</v>
      </c>
      <c r="J40" s="43">
        <v>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 x14ac:dyDescent="0.25">
      <c r="A41"/>
      <c r="B41" s="1" t="str">
        <f>ItemInputs[[#This Row],[Item Name]] &amp; " (" &amp; ItemInputs[[#This Row],[Sort Order]] &amp; ")"</f>
        <v xml:space="preserve"> (40)</v>
      </c>
      <c r="D41" s="1">
        <v>2026</v>
      </c>
      <c r="E41" s="1">
        <v>0</v>
      </c>
      <c r="F41" s="1">
        <v>0</v>
      </c>
      <c r="G41" s="43">
        <v>0</v>
      </c>
      <c r="H41" s="43">
        <v>0</v>
      </c>
      <c r="I41" s="43">
        <v>0</v>
      </c>
      <c r="J41" s="43">
        <v>0</v>
      </c>
      <c r="K41" s="1">
        <v>1</v>
      </c>
      <c r="L41" s="1">
        <v>1</v>
      </c>
      <c r="M41" s="1">
        <v>40</v>
      </c>
      <c r="N41" s="1">
        <v>0</v>
      </c>
      <c r="O41" s="1" t="s">
        <v>27</v>
      </c>
    </row>
    <row r="42" spans="1:15" x14ac:dyDescent="0.25">
      <c r="A42"/>
      <c r="B42" s="1" t="str">
        <f>ItemInputs[[#This Row],[Item Name]] &amp; " (" &amp; ItemInputs[[#This Row],[Sort Order]] &amp; ")"</f>
        <v xml:space="preserve"> (41)</v>
      </c>
      <c r="D42" s="1">
        <v>2026</v>
      </c>
      <c r="E42" s="1">
        <v>0</v>
      </c>
      <c r="F42" s="1">
        <v>0</v>
      </c>
      <c r="G42" s="43">
        <v>0</v>
      </c>
      <c r="H42" s="43">
        <v>0</v>
      </c>
      <c r="I42" s="43">
        <v>0</v>
      </c>
      <c r="J42" s="43">
        <v>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 x14ac:dyDescent="0.25">
      <c r="A43"/>
      <c r="B43" s="1" t="str">
        <f>ItemInputs[[#This Row],[Item Name]] &amp; " (" &amp; ItemInputs[[#This Row],[Sort Order]] &amp; ")"</f>
        <v xml:space="preserve"> (42)</v>
      </c>
      <c r="D43" s="1">
        <v>2026</v>
      </c>
      <c r="E43" s="1">
        <v>0</v>
      </c>
      <c r="F43" s="1">
        <v>0</v>
      </c>
      <c r="G43" s="43">
        <v>0</v>
      </c>
      <c r="H43" s="43">
        <v>0</v>
      </c>
      <c r="I43" s="43">
        <v>0</v>
      </c>
      <c r="J43" s="43">
        <v>0</v>
      </c>
      <c r="K43" s="1">
        <v>1</v>
      </c>
      <c r="L43" s="1">
        <v>1</v>
      </c>
      <c r="M43" s="1">
        <v>42</v>
      </c>
      <c r="N43" s="1">
        <v>0</v>
      </c>
      <c r="O43" s="1" t="s">
        <v>27</v>
      </c>
    </row>
    <row r="44" spans="1:15" x14ac:dyDescent="0.25">
      <c r="A44"/>
      <c r="B44" s="1" t="str">
        <f>ItemInputs[[#This Row],[Item Name]] &amp; " (" &amp; ItemInputs[[#This Row],[Sort Order]] &amp; ")"</f>
        <v xml:space="preserve"> (43)</v>
      </c>
      <c r="D44" s="1">
        <v>2026</v>
      </c>
      <c r="E44" s="1">
        <v>0</v>
      </c>
      <c r="F44" s="1">
        <v>0</v>
      </c>
      <c r="G44" s="43">
        <v>0</v>
      </c>
      <c r="H44" s="43">
        <v>0</v>
      </c>
      <c r="I44" s="43">
        <v>0</v>
      </c>
      <c r="J44" s="43">
        <v>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 x14ac:dyDescent="0.25">
      <c r="A45"/>
      <c r="B45" s="1" t="str">
        <f>ItemInputs[[#This Row],[Item Name]] &amp; " (" &amp; ItemInputs[[#This Row],[Sort Order]] &amp; ")"</f>
        <v xml:space="preserve"> (44)</v>
      </c>
      <c r="D45" s="1">
        <v>2026</v>
      </c>
      <c r="E45" s="1">
        <v>0</v>
      </c>
      <c r="F45" s="1">
        <v>0</v>
      </c>
      <c r="G45" s="43">
        <v>0</v>
      </c>
      <c r="H45" s="43">
        <v>0</v>
      </c>
      <c r="I45" s="43">
        <v>0</v>
      </c>
      <c r="J45" s="43">
        <v>0</v>
      </c>
      <c r="K45" s="1">
        <v>1</v>
      </c>
      <c r="L45" s="1">
        <v>1</v>
      </c>
      <c r="M45" s="1">
        <v>44</v>
      </c>
      <c r="N45" s="1">
        <v>0</v>
      </c>
      <c r="O45" s="1" t="s">
        <v>27</v>
      </c>
    </row>
    <row r="46" spans="1:15" x14ac:dyDescent="0.25">
      <c r="A46"/>
      <c r="B46" s="1" t="str">
        <f>ItemInputs[[#This Row],[Item Name]] &amp; " (" &amp; ItemInputs[[#This Row],[Sort Order]] &amp; ")"</f>
        <v xml:space="preserve"> (45)</v>
      </c>
      <c r="D46" s="1">
        <v>2026</v>
      </c>
      <c r="E46" s="1">
        <v>0</v>
      </c>
      <c r="F46" s="1">
        <v>0</v>
      </c>
      <c r="G46" s="43">
        <v>0</v>
      </c>
      <c r="H46" s="43">
        <v>0</v>
      </c>
      <c r="I46" s="43">
        <v>0</v>
      </c>
      <c r="J46" s="43">
        <v>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 x14ac:dyDescent="0.25">
      <c r="A47"/>
      <c r="B47" s="1" t="str">
        <f>ItemInputs[[#This Row],[Item Name]] &amp; " (" &amp; ItemInputs[[#This Row],[Sort Order]] &amp; ")"</f>
        <v xml:space="preserve"> (46)</v>
      </c>
      <c r="D47" s="1">
        <v>2026</v>
      </c>
      <c r="E47" s="1">
        <v>0</v>
      </c>
      <c r="F47" s="1">
        <v>0</v>
      </c>
      <c r="G47" s="43">
        <v>0</v>
      </c>
      <c r="H47" s="43">
        <v>0</v>
      </c>
      <c r="I47" s="43">
        <v>0</v>
      </c>
      <c r="J47" s="43">
        <v>0</v>
      </c>
      <c r="K47" s="1">
        <v>1</v>
      </c>
      <c r="L47" s="1">
        <v>1</v>
      </c>
      <c r="M47" s="1">
        <v>46</v>
      </c>
      <c r="N47" s="1">
        <v>0</v>
      </c>
      <c r="O47" s="1" t="s">
        <v>27</v>
      </c>
    </row>
    <row r="48" spans="1:15" x14ac:dyDescent="0.25">
      <c r="A48"/>
      <c r="B48" s="1" t="str">
        <f>ItemInputs[[#This Row],[Item Name]] &amp; " (" &amp; ItemInputs[[#This Row],[Sort Order]] &amp; ")"</f>
        <v xml:space="preserve"> (47)</v>
      </c>
      <c r="D48" s="1">
        <v>2026</v>
      </c>
      <c r="E48" s="1">
        <v>0</v>
      </c>
      <c r="F48" s="1">
        <v>0</v>
      </c>
      <c r="G48" s="43">
        <v>0</v>
      </c>
      <c r="H48" s="43">
        <v>0</v>
      </c>
      <c r="I48" s="43">
        <v>0</v>
      </c>
      <c r="J48" s="43">
        <v>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 x14ac:dyDescent="0.25">
      <c r="A49"/>
      <c r="B49" s="1" t="str">
        <f>ItemInputs[[#This Row],[Item Name]] &amp; " (" &amp; ItemInputs[[#This Row],[Sort Order]] &amp; ")"</f>
        <v xml:space="preserve"> (48)</v>
      </c>
      <c r="D49" s="1">
        <v>2026</v>
      </c>
      <c r="E49" s="1">
        <v>0</v>
      </c>
      <c r="F49" s="1">
        <v>0</v>
      </c>
      <c r="G49" s="43">
        <v>0</v>
      </c>
      <c r="H49" s="43">
        <v>0</v>
      </c>
      <c r="I49" s="43">
        <v>0</v>
      </c>
      <c r="J49" s="43">
        <v>0</v>
      </c>
      <c r="K49" s="1">
        <v>1</v>
      </c>
      <c r="L49" s="1">
        <v>1</v>
      </c>
      <c r="M49" s="1">
        <v>48</v>
      </c>
      <c r="N49" s="1">
        <v>0</v>
      </c>
      <c r="O49" s="1" t="s">
        <v>27</v>
      </c>
    </row>
    <row r="50" spans="1:15" x14ac:dyDescent="0.25">
      <c r="A50"/>
      <c r="B50" s="1" t="str">
        <f>ItemInputs[[#This Row],[Item Name]] &amp; " (" &amp; ItemInputs[[#This Row],[Sort Order]] &amp; ")"</f>
        <v xml:space="preserve"> (49)</v>
      </c>
      <c r="D50" s="1">
        <v>2026</v>
      </c>
      <c r="E50" s="1">
        <v>0</v>
      </c>
      <c r="F50" s="1">
        <v>0</v>
      </c>
      <c r="G50" s="43">
        <v>0</v>
      </c>
      <c r="H50" s="43">
        <v>0</v>
      </c>
      <c r="I50" s="43">
        <v>0</v>
      </c>
      <c r="J50" s="43">
        <v>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 x14ac:dyDescent="0.25">
      <c r="A51"/>
      <c r="B51" s="1" t="str">
        <f>ItemInputs[[#This Row],[Item Name]] &amp; " (" &amp; ItemInputs[[#This Row],[Sort Order]] &amp; ")"</f>
        <v xml:space="preserve"> (50)</v>
      </c>
      <c r="D51" s="1">
        <v>2026</v>
      </c>
      <c r="E51" s="1">
        <v>0</v>
      </c>
      <c r="F51" s="1">
        <v>0</v>
      </c>
      <c r="G51" s="43">
        <v>0</v>
      </c>
      <c r="H51" s="43">
        <v>0</v>
      </c>
      <c r="I51" s="43">
        <v>0</v>
      </c>
      <c r="J51" s="43">
        <v>0</v>
      </c>
      <c r="K51" s="1">
        <v>1</v>
      </c>
      <c r="L51" s="1">
        <v>1</v>
      </c>
      <c r="M51" s="1">
        <v>50</v>
      </c>
      <c r="N51" s="1">
        <v>0</v>
      </c>
      <c r="O51" s="1" t="s">
        <v>27</v>
      </c>
    </row>
    <row r="52" spans="1:15" x14ac:dyDescent="0.25">
      <c r="A52"/>
      <c r="B52" s="1" t="str">
        <f>ItemInputs[[#This Row],[Item Name]] &amp; " (" &amp; ItemInputs[[#This Row],[Sort Order]] &amp; ")"</f>
        <v xml:space="preserve"> (51)</v>
      </c>
      <c r="D52" s="1">
        <v>2026</v>
      </c>
      <c r="E52" s="1">
        <v>0</v>
      </c>
      <c r="F52" s="1">
        <v>0</v>
      </c>
      <c r="G52" s="43">
        <v>0</v>
      </c>
      <c r="H52" s="43">
        <v>0</v>
      </c>
      <c r="I52" s="43">
        <v>0</v>
      </c>
      <c r="J52" s="43">
        <v>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 x14ac:dyDescent="0.25">
      <c r="A53"/>
      <c r="B53" s="1" t="str">
        <f>ItemInputs[[#This Row],[Item Name]] &amp; " (" &amp; ItemInputs[[#This Row],[Sort Order]] &amp; ")"</f>
        <v xml:space="preserve"> (52)</v>
      </c>
      <c r="D53" s="1">
        <v>2026</v>
      </c>
      <c r="E53" s="1">
        <v>0</v>
      </c>
      <c r="F53" s="1">
        <v>0</v>
      </c>
      <c r="G53" s="43">
        <v>0</v>
      </c>
      <c r="H53" s="43">
        <v>0</v>
      </c>
      <c r="I53" s="43">
        <v>0</v>
      </c>
      <c r="J53" s="43">
        <v>0</v>
      </c>
      <c r="K53" s="1">
        <v>1</v>
      </c>
      <c r="L53" s="1">
        <v>1</v>
      </c>
      <c r="M53" s="1">
        <v>52</v>
      </c>
      <c r="N53" s="1">
        <v>0</v>
      </c>
      <c r="O53" s="1" t="s">
        <v>27</v>
      </c>
    </row>
    <row r="54" spans="1:15" x14ac:dyDescent="0.25">
      <c r="A54"/>
      <c r="B54" s="1" t="str">
        <f>ItemInputs[[#This Row],[Item Name]] &amp; " (" &amp; ItemInputs[[#This Row],[Sort Order]] &amp; ")"</f>
        <v xml:space="preserve"> (53)</v>
      </c>
      <c r="D54" s="1">
        <v>2026</v>
      </c>
      <c r="E54" s="1">
        <v>0</v>
      </c>
      <c r="F54" s="1">
        <v>0</v>
      </c>
      <c r="G54" s="43">
        <v>0</v>
      </c>
      <c r="H54" s="43">
        <v>0</v>
      </c>
      <c r="I54" s="43">
        <v>0</v>
      </c>
      <c r="J54" s="43">
        <v>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 x14ac:dyDescent="0.25">
      <c r="D55" s="19"/>
      <c r="F55" s="19"/>
      <c r="G55" s="46">
        <f>SUBTOTAL(109,ItemInputs[InitialCostLow])</f>
        <v>0</v>
      </c>
      <c r="H55" s="46">
        <f>SUBTOTAL(109,ItemInputs[InitialCostHigh])</f>
        <v>0</v>
      </c>
      <c r="I55" s="46">
        <f>SUBTOTAL(109,ItemInputs[Low Cost per Use])</f>
        <v>0</v>
      </c>
      <c r="J55" s="46">
        <f>SUBTOTAL(109,ItemInputs[High Cost per Use])</f>
        <v>0</v>
      </c>
      <c r="K55" s="19"/>
      <c r="L55" s="19"/>
      <c r="M55" s="19"/>
      <c r="N55" s="19"/>
      <c r="O55" s="19"/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topLeftCell="J107" workbookViewId="0">
      <selection activeCell="M133" sqref="M133"/>
    </sheetView>
  </sheetViews>
  <sheetFormatPr defaultRowHeight="15" x14ac:dyDescent="0.25"/>
  <cols>
    <col min="2" max="2" width="18.85546875" customWidth="1"/>
    <col min="3" max="3" width="12" customWidth="1"/>
    <col min="4" max="4" width="10.5703125" customWidth="1"/>
    <col min="6" max="6" width="12.140625" customWidth="1"/>
    <col min="7" max="7" width="15" customWidth="1"/>
    <col min="9" max="9" width="12.7109375" customWidth="1"/>
  </cols>
  <sheetData>
    <row r="1" spans="1:28" x14ac:dyDescent="0.25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 x14ac:dyDescent="0.25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5.75" thickBot="1" x14ac:dyDescent="0.3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thickTop="1" x14ac:dyDescent="0.25">
      <c r="G4" s="2"/>
      <c r="L4">
        <f>(566.71/233.9)^(1/30)</f>
        <v>1.0299378574496976</v>
      </c>
    </row>
    <row r="5" spans="1:28" x14ac:dyDescent="0.25">
      <c r="G5" s="2"/>
    </row>
    <row r="6" spans="1:28" x14ac:dyDescent="0.25">
      <c r="G6" s="2"/>
    </row>
    <row r="7" spans="1:28" x14ac:dyDescent="0.25">
      <c r="G7" s="2"/>
    </row>
    <row r="8" spans="1:28" x14ac:dyDescent="0.25">
      <c r="G8" s="2"/>
    </row>
    <row r="9" spans="1:28" x14ac:dyDescent="0.25">
      <c r="G9" s="2"/>
    </row>
    <row r="10" spans="1:28" x14ac:dyDescent="0.25">
      <c r="G10" s="2"/>
      <c r="U10" s="7"/>
    </row>
    <row r="11" spans="1:28" x14ac:dyDescent="0.25">
      <c r="G11" s="2"/>
    </row>
    <row r="12" spans="1:28" x14ac:dyDescent="0.25">
      <c r="G12" s="2"/>
    </row>
    <row r="13" spans="1:28" x14ac:dyDescent="0.25">
      <c r="G13" s="2"/>
    </row>
    <row r="14" spans="1:28" x14ac:dyDescent="0.25">
      <c r="G14" s="2"/>
    </row>
    <row r="15" spans="1:28" x14ac:dyDescent="0.25">
      <c r="G15" s="2"/>
    </row>
    <row r="16" spans="1:28" x14ac:dyDescent="0.25">
      <c r="G16" s="2"/>
    </row>
    <row r="17" spans="7:21" x14ac:dyDescent="0.25">
      <c r="G17" s="2"/>
    </row>
    <row r="18" spans="7:21" x14ac:dyDescent="0.25">
      <c r="G18" s="2"/>
    </row>
    <row r="19" spans="7:21" x14ac:dyDescent="0.25">
      <c r="G19" s="2"/>
    </row>
    <row r="20" spans="7:21" x14ac:dyDescent="0.25">
      <c r="G20" s="2"/>
    </row>
    <row r="21" spans="7:21" x14ac:dyDescent="0.25">
      <c r="G21" s="2"/>
    </row>
    <row r="22" spans="7:21" x14ac:dyDescent="0.25">
      <c r="G22" s="2"/>
    </row>
    <row r="23" spans="7:21" x14ac:dyDescent="0.25">
      <c r="G23" s="2"/>
    </row>
    <row r="24" spans="7:21" x14ac:dyDescent="0.25">
      <c r="G24" s="2"/>
      <c r="U24" s="7"/>
    </row>
    <row r="25" spans="7:21" x14ac:dyDescent="0.25">
      <c r="G25" s="2"/>
    </row>
    <row r="26" spans="7:21" x14ac:dyDescent="0.25">
      <c r="G26" s="2"/>
    </row>
    <row r="27" spans="7:21" x14ac:dyDescent="0.25">
      <c r="G27" s="2"/>
    </row>
    <row r="28" spans="7:21" x14ac:dyDescent="0.25">
      <c r="G28" s="2"/>
    </row>
    <row r="29" spans="7:21" x14ac:dyDescent="0.25">
      <c r="G29" s="2"/>
    </row>
    <row r="30" spans="7:21" x14ac:dyDescent="0.25">
      <c r="G30" s="2"/>
    </row>
    <row r="31" spans="7:21" x14ac:dyDescent="0.25">
      <c r="G31" s="2"/>
    </row>
    <row r="32" spans="7:21" x14ac:dyDescent="0.25">
      <c r="G32" s="2"/>
    </row>
    <row r="33" spans="7:20" x14ac:dyDescent="0.25">
      <c r="G33" s="2"/>
    </row>
    <row r="34" spans="7:20" x14ac:dyDescent="0.25">
      <c r="G34" s="2"/>
      <c r="T34" s="2"/>
    </row>
    <row r="35" spans="7:20" x14ac:dyDescent="0.25">
      <c r="G35" s="2"/>
    </row>
    <row r="36" spans="7:20" x14ac:dyDescent="0.25">
      <c r="G36" s="2"/>
    </row>
    <row r="37" spans="7:20" x14ac:dyDescent="0.25">
      <c r="G37" s="2"/>
    </row>
    <row r="38" spans="7:20" x14ac:dyDescent="0.25">
      <c r="G38" s="2"/>
    </row>
    <row r="39" spans="7:20" x14ac:dyDescent="0.25">
      <c r="G39" s="2"/>
    </row>
    <row r="40" spans="7:20" x14ac:dyDescent="0.25">
      <c r="G40" s="2"/>
    </row>
    <row r="41" spans="7:20" x14ac:dyDescent="0.25">
      <c r="G41" s="2"/>
    </row>
    <row r="42" spans="7:20" x14ac:dyDescent="0.25">
      <c r="G42" s="2"/>
    </row>
    <row r="43" spans="7:20" x14ac:dyDescent="0.25">
      <c r="G43" s="2"/>
    </row>
    <row r="44" spans="7:20" x14ac:dyDescent="0.25">
      <c r="G44" s="2"/>
    </row>
    <row r="45" spans="7:20" x14ac:dyDescent="0.25">
      <c r="G45" s="2"/>
    </row>
    <row r="46" spans="7:20" x14ac:dyDescent="0.25">
      <c r="G46" s="2"/>
    </row>
    <row r="47" spans="7:20" x14ac:dyDescent="0.25">
      <c r="G47" s="2"/>
    </row>
    <row r="48" spans="7:20" x14ac:dyDescent="0.25">
      <c r="G48" s="2"/>
    </row>
    <row r="49" spans="4:37" x14ac:dyDescent="0.25">
      <c r="G49" s="2"/>
    </row>
    <row r="50" spans="4:37" x14ac:dyDescent="0.25">
      <c r="G50" s="2"/>
    </row>
    <row r="51" spans="4:37" x14ac:dyDescent="0.25">
      <c r="G51" s="2"/>
    </row>
    <row r="52" spans="4:37" x14ac:dyDescent="0.25">
      <c r="G52" s="2"/>
    </row>
    <row r="53" spans="4:37" x14ac:dyDescent="0.25">
      <c r="G53" s="2"/>
    </row>
    <row r="56" spans="4:37" x14ac:dyDescent="0.25">
      <c r="E56" s="2"/>
    </row>
    <row r="57" spans="4:37" x14ac:dyDescent="0.25">
      <c r="AK57" s="2"/>
    </row>
    <row r="58" spans="4:37" x14ac:dyDescent="0.25">
      <c r="D58" s="2"/>
    </row>
    <row r="59" spans="4:37" x14ac:dyDescent="0.25">
      <c r="L59" s="8"/>
    </row>
    <row r="60" spans="4:37" x14ac:dyDescent="0.25">
      <c r="E60" s="2"/>
    </row>
    <row r="90" spans="10:11" ht="16.5" x14ac:dyDescent="0.25">
      <c r="J90" s="10" t="s">
        <v>146</v>
      </c>
      <c r="K90" s="11" t="s">
        <v>147</v>
      </c>
    </row>
    <row r="91" spans="10:11" x14ac:dyDescent="0.25">
      <c r="J91" s="58" t="s">
        <v>31</v>
      </c>
      <c r="K91" s="58"/>
    </row>
    <row r="92" spans="10:11" ht="49.5" x14ac:dyDescent="0.25">
      <c r="J92" s="10" t="s">
        <v>32</v>
      </c>
      <c r="K92" s="11" t="s">
        <v>148</v>
      </c>
    </row>
    <row r="93" spans="10:11" x14ac:dyDescent="0.25">
      <c r="J93" s="10" t="s">
        <v>33</v>
      </c>
      <c r="K93" s="11" t="s">
        <v>34</v>
      </c>
    </row>
    <row r="94" spans="10:11" ht="16.5" x14ac:dyDescent="0.25">
      <c r="J94" s="10" t="s">
        <v>35</v>
      </c>
      <c r="K94" s="11" t="s">
        <v>149</v>
      </c>
    </row>
    <row r="95" spans="10:11" x14ac:dyDescent="0.25">
      <c r="J95" s="10" t="s">
        <v>36</v>
      </c>
      <c r="K95" s="11" t="s">
        <v>150</v>
      </c>
    </row>
    <row r="96" spans="10:11" x14ac:dyDescent="0.25">
      <c r="J96" s="12"/>
    </row>
    <row r="97" spans="10:24" x14ac:dyDescent="0.25">
      <c r="J97" s="12" t="s">
        <v>151</v>
      </c>
    </row>
    <row r="98" spans="10:24" x14ac:dyDescent="0.25">
      <c r="J98" s="12"/>
    </row>
    <row r="99" spans="10:24" x14ac:dyDescent="0.25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 x14ac:dyDescent="0.25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 x14ac:dyDescent="0.25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 x14ac:dyDescent="0.25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 x14ac:dyDescent="0.25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 x14ac:dyDescent="0.25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 x14ac:dyDescent="0.25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 x14ac:dyDescent="0.25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 x14ac:dyDescent="0.25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 x14ac:dyDescent="0.25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 x14ac:dyDescent="0.25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 x14ac:dyDescent="0.25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 x14ac:dyDescent="0.25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 x14ac:dyDescent="0.25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 x14ac:dyDescent="0.25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 x14ac:dyDescent="0.25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 x14ac:dyDescent="0.25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 x14ac:dyDescent="0.25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 x14ac:dyDescent="0.25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 x14ac:dyDescent="0.25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 x14ac:dyDescent="0.25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 x14ac:dyDescent="0.25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 x14ac:dyDescent="0.25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 x14ac:dyDescent="0.25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 x14ac:dyDescent="0.25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 x14ac:dyDescent="0.25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 x14ac:dyDescent="0.25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 x14ac:dyDescent="0.25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 x14ac:dyDescent="0.25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 x14ac:dyDescent="0.25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 x14ac:dyDescent="0.25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 x14ac:dyDescent="0.25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 x14ac:dyDescent="0.25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9</xdr:col>
                <xdr:colOff>0</xdr:colOff>
                <xdr:row>96</xdr:row>
                <xdr:rowOff>142875</xdr:rowOff>
              </from>
              <to>
                <xdr:col>10</xdr:col>
                <xdr:colOff>304800</xdr:colOff>
                <xdr:row>101</xdr:row>
                <xdr:rowOff>142875</xdr:rowOff>
              </to>
            </anchor>
          </controlPr>
        </control>
      </mc:Choice>
      <mc:Fallback>
        <control shapeId="3073" r:id="rId3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/>
  <dimension ref="A1:H16"/>
  <sheetViews>
    <sheetView workbookViewId="0">
      <selection sqref="A1:XFD1048576"/>
    </sheetView>
  </sheetViews>
  <sheetFormatPr defaultColWidth="9.140625" defaultRowHeight="15.75" x14ac:dyDescent="0.25"/>
  <cols>
    <col min="1" max="1" width="16.28515625" style="1" customWidth="1"/>
    <col min="2" max="2" width="10.140625" style="1" bestFit="1" customWidth="1"/>
    <col min="3" max="7" width="9.140625" style="1"/>
    <col min="8" max="8" width="22.42578125" style="1" customWidth="1"/>
    <col min="9" max="16384" width="9.140625" style="1"/>
  </cols>
  <sheetData>
    <row r="1" spans="1:8" x14ac:dyDescent="0.25">
      <c r="A1" s="1" t="s">
        <v>9</v>
      </c>
      <c r="B1" s="1" t="s">
        <v>10</v>
      </c>
      <c r="G1" s="1" t="s">
        <v>2</v>
      </c>
      <c r="H1" s="1" t="s">
        <v>7</v>
      </c>
    </row>
    <row r="2" spans="1:8" x14ac:dyDescent="0.25">
      <c r="A2" s="1" t="s">
        <v>11</v>
      </c>
      <c r="B2" s="1">
        <v>30</v>
      </c>
    </row>
    <row r="3" spans="1:8" x14ac:dyDescent="0.25">
      <c r="A3" s="1" t="s">
        <v>12</v>
      </c>
      <c r="B3" s="41">
        <v>0</v>
      </c>
    </row>
    <row r="5" spans="1:8" x14ac:dyDescent="0.25">
      <c r="A5" s="1" t="s">
        <v>14</v>
      </c>
      <c r="B5" s="1" t="s">
        <v>10</v>
      </c>
    </row>
    <row r="6" spans="1:8" x14ac:dyDescent="0.25">
      <c r="A6" s="47" t="s">
        <v>15</v>
      </c>
      <c r="B6" s="47" t="s">
        <v>247</v>
      </c>
    </row>
    <row r="7" spans="1:8" x14ac:dyDescent="0.25">
      <c r="A7" s="47" t="s">
        <v>16</v>
      </c>
      <c r="B7" s="48">
        <v>0</v>
      </c>
    </row>
    <row r="8" spans="1:8" x14ac:dyDescent="0.25">
      <c r="A8" s="47" t="s">
        <v>17</v>
      </c>
      <c r="B8" s="47" t="b">
        <v>1</v>
      </c>
    </row>
    <row r="9" spans="1:8" x14ac:dyDescent="0.25">
      <c r="A9" s="47" t="s">
        <v>21</v>
      </c>
      <c r="B9" s="47" t="s">
        <v>23</v>
      </c>
    </row>
    <row r="10" spans="1:8" x14ac:dyDescent="0.25">
      <c r="A10" s="47" t="s">
        <v>154</v>
      </c>
      <c r="B10" s="48">
        <v>2026</v>
      </c>
    </row>
    <row r="11" spans="1:8" x14ac:dyDescent="0.25">
      <c r="A11" s="47" t="s">
        <v>22</v>
      </c>
      <c r="B11" s="48">
        <f>(B12-B13)/365.25</f>
        <v>33.746748802190282</v>
      </c>
    </row>
    <row r="12" spans="1:8" x14ac:dyDescent="0.25">
      <c r="A12" s="47" t="s">
        <v>168</v>
      </c>
      <c r="B12" s="49">
        <v>46037</v>
      </c>
    </row>
    <row r="13" spans="1:8" x14ac:dyDescent="0.25">
      <c r="A13" s="47" t="s">
        <v>169</v>
      </c>
      <c r="B13" s="49">
        <v>33711</v>
      </c>
    </row>
    <row r="16" spans="1:8" x14ac:dyDescent="0.25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/>
  <dimension ref="B1:FD87"/>
  <sheetViews>
    <sheetView topLeftCell="EE8" workbookViewId="0">
      <selection activeCell="CB1" activeCellId="1" sqref="AX1:CA5 CB1:CB5"/>
    </sheetView>
  </sheetViews>
  <sheetFormatPr defaultColWidth="9.140625" defaultRowHeight="15.75" x14ac:dyDescent="0.25"/>
  <cols>
    <col min="1" max="16384" width="9.140625" style="1"/>
  </cols>
  <sheetData>
    <row r="1" spans="2:160" x14ac:dyDescent="0.25">
      <c r="B1" s="61" t="s">
        <v>223</v>
      </c>
      <c r="C1" s="60"/>
      <c r="D1" s="60"/>
      <c r="E1" s="60"/>
      <c r="F1" s="60"/>
      <c r="G1" s="60"/>
      <c r="H1" s="51"/>
      <c r="I1" s="51"/>
      <c r="J1" s="51"/>
      <c r="K1" s="51"/>
      <c r="L1" s="51"/>
      <c r="M1" s="51"/>
      <c r="N1" s="51"/>
      <c r="O1" s="51"/>
      <c r="P1" s="51"/>
      <c r="R1" s="64" t="s">
        <v>223</v>
      </c>
      <c r="S1" s="65"/>
      <c r="T1" s="65"/>
      <c r="U1" s="65"/>
      <c r="V1" s="65"/>
      <c r="W1" s="65"/>
      <c r="X1" s="34"/>
      <c r="Y1" s="34"/>
      <c r="Z1" s="34"/>
      <c r="AA1" s="34"/>
      <c r="AB1" s="34"/>
      <c r="AC1" s="34"/>
      <c r="AD1" s="34"/>
      <c r="AE1" s="34"/>
      <c r="AF1" s="34"/>
      <c r="AH1" s="61" t="s">
        <v>223</v>
      </c>
      <c r="AI1" s="60"/>
      <c r="AJ1" s="60"/>
      <c r="AK1" s="60"/>
      <c r="AL1" s="60"/>
      <c r="AM1" s="60"/>
      <c r="AN1" s="51"/>
      <c r="AO1" s="51"/>
      <c r="AP1" s="51"/>
      <c r="AQ1" s="51"/>
      <c r="AR1" s="51"/>
      <c r="AS1" s="51"/>
      <c r="AT1" s="51"/>
      <c r="AU1" s="51"/>
      <c r="AV1" s="51"/>
      <c r="AX1" s="61" t="s">
        <v>223</v>
      </c>
      <c r="AY1" s="60"/>
      <c r="AZ1" s="60"/>
      <c r="BA1" s="60"/>
      <c r="BB1" s="60"/>
      <c r="BC1" s="60"/>
      <c r="BD1" s="51"/>
      <c r="BE1" s="51"/>
      <c r="BF1" s="51"/>
      <c r="BG1" s="51"/>
      <c r="BH1" s="51"/>
      <c r="BI1" s="51"/>
      <c r="BJ1" s="51"/>
      <c r="BK1" s="51"/>
      <c r="BL1" s="51"/>
      <c r="BN1" s="61" t="s">
        <v>223</v>
      </c>
      <c r="BO1" s="60"/>
      <c r="BP1" s="60"/>
      <c r="BQ1" s="60"/>
      <c r="BR1" s="60"/>
      <c r="BS1" s="60"/>
      <c r="BT1" s="51"/>
      <c r="BU1" s="51"/>
      <c r="BV1" s="51"/>
      <c r="BW1" s="51"/>
      <c r="BX1" s="51"/>
      <c r="BY1" s="51"/>
      <c r="BZ1" s="51"/>
      <c r="CA1" s="51"/>
      <c r="CB1" s="51"/>
      <c r="CC1" s="34"/>
      <c r="CD1" s="61" t="s">
        <v>223</v>
      </c>
      <c r="CE1" s="60"/>
      <c r="CF1" s="60"/>
      <c r="CG1" s="60"/>
      <c r="CH1" s="60"/>
      <c r="CI1" s="60"/>
      <c r="CJ1" s="51"/>
      <c r="CK1" s="51"/>
      <c r="CL1" s="51"/>
      <c r="CM1" s="51"/>
      <c r="CN1" s="51"/>
      <c r="CO1" s="51"/>
      <c r="CP1" s="51"/>
      <c r="CQ1" s="51"/>
      <c r="CR1" s="51"/>
      <c r="CT1" s="61" t="s">
        <v>223</v>
      </c>
      <c r="CU1" s="60"/>
      <c r="CV1" s="60"/>
      <c r="CW1" s="60"/>
      <c r="CX1" s="60"/>
      <c r="CY1" s="60"/>
      <c r="CZ1" s="51"/>
      <c r="DA1" s="51"/>
      <c r="DB1" s="51"/>
      <c r="DC1" s="51"/>
      <c r="DD1" s="51"/>
      <c r="DE1" s="51"/>
      <c r="DF1" s="51"/>
      <c r="DG1" s="51"/>
      <c r="DH1" s="51"/>
      <c r="DJ1" s="61" t="s">
        <v>223</v>
      </c>
      <c r="DK1" s="60"/>
      <c r="DL1" s="60"/>
      <c r="DM1" s="60"/>
      <c r="DN1" s="60"/>
      <c r="DO1" s="60"/>
      <c r="DP1" s="51"/>
      <c r="DQ1" s="51"/>
      <c r="DR1" s="51"/>
      <c r="DS1" s="51"/>
      <c r="DT1" s="51"/>
      <c r="DU1" s="51"/>
      <c r="DV1" s="51"/>
      <c r="DW1" s="51"/>
      <c r="DX1" s="51"/>
      <c r="DZ1" s="61" t="s">
        <v>223</v>
      </c>
      <c r="EA1" s="60"/>
      <c r="EB1" s="60"/>
      <c r="EC1" s="60"/>
      <c r="ED1" s="60"/>
      <c r="EE1" s="60"/>
      <c r="EF1" s="51"/>
      <c r="EG1" s="51"/>
      <c r="EH1" s="51"/>
      <c r="EI1" s="51"/>
      <c r="EJ1" s="51"/>
      <c r="EK1" s="51"/>
      <c r="EL1" s="51"/>
      <c r="EM1" s="51"/>
      <c r="EN1" s="51"/>
      <c r="EP1" s="61" t="s">
        <v>223</v>
      </c>
      <c r="EQ1" s="60"/>
      <c r="ER1" s="60"/>
      <c r="ES1" s="60"/>
      <c r="ET1" s="60"/>
      <c r="EU1" s="60"/>
      <c r="EV1" s="51"/>
      <c r="EW1" s="51"/>
      <c r="EX1" s="51"/>
      <c r="EY1" s="51"/>
      <c r="EZ1" s="51"/>
      <c r="FA1" s="51"/>
      <c r="FB1" s="51"/>
      <c r="FC1" s="51"/>
      <c r="FD1" s="51"/>
    </row>
    <row r="2" spans="2:160" x14ac:dyDescent="0.25">
      <c r="B2" s="61" t="s">
        <v>224</v>
      </c>
      <c r="C2" s="60"/>
      <c r="D2" s="60"/>
      <c r="E2" s="60"/>
      <c r="F2" s="60"/>
      <c r="G2" s="60"/>
      <c r="H2" s="51"/>
      <c r="I2" s="51"/>
      <c r="J2" s="51"/>
      <c r="K2" s="51"/>
      <c r="L2" s="51"/>
      <c r="M2" s="51"/>
      <c r="N2" s="51"/>
      <c r="O2" s="51"/>
      <c r="P2" s="51"/>
      <c r="R2" s="64" t="s">
        <v>224</v>
      </c>
      <c r="S2" s="65"/>
      <c r="T2" s="65"/>
      <c r="U2" s="65"/>
      <c r="V2" s="65"/>
      <c r="W2" s="65"/>
      <c r="X2" s="34"/>
      <c r="Y2" s="34"/>
      <c r="Z2" s="34"/>
      <c r="AA2" s="34"/>
      <c r="AB2" s="34"/>
      <c r="AC2" s="34"/>
      <c r="AD2" s="34"/>
      <c r="AE2" s="34"/>
      <c r="AF2" s="34"/>
      <c r="AH2" s="61" t="s">
        <v>224</v>
      </c>
      <c r="AI2" s="60"/>
      <c r="AJ2" s="60"/>
      <c r="AK2" s="60"/>
      <c r="AL2" s="60"/>
      <c r="AM2" s="60"/>
      <c r="AN2" s="51"/>
      <c r="AO2" s="51"/>
      <c r="AP2" s="51"/>
      <c r="AQ2" s="51"/>
      <c r="AR2" s="51"/>
      <c r="AS2" s="51"/>
      <c r="AT2" s="51"/>
      <c r="AU2" s="51"/>
      <c r="AV2" s="51"/>
      <c r="AX2" s="61" t="s">
        <v>224</v>
      </c>
      <c r="AY2" s="60"/>
      <c r="AZ2" s="60"/>
      <c r="BA2" s="60"/>
      <c r="BB2" s="60"/>
      <c r="BC2" s="60"/>
      <c r="BD2" s="51"/>
      <c r="BE2" s="51"/>
      <c r="BF2" s="51"/>
      <c r="BG2" s="51"/>
      <c r="BH2" s="51"/>
      <c r="BI2" s="51"/>
      <c r="BJ2" s="51"/>
      <c r="BK2" s="51"/>
      <c r="BL2" s="51"/>
      <c r="BN2" s="61" t="s">
        <v>224</v>
      </c>
      <c r="BO2" s="60"/>
      <c r="BP2" s="60"/>
      <c r="BQ2" s="60"/>
      <c r="BR2" s="60"/>
      <c r="BS2" s="60"/>
      <c r="BT2" s="51"/>
      <c r="BU2" s="51"/>
      <c r="BV2" s="51"/>
      <c r="BW2" s="51"/>
      <c r="BX2" s="51"/>
      <c r="BY2" s="51"/>
      <c r="BZ2" s="51"/>
      <c r="CA2" s="51"/>
      <c r="CB2" s="51"/>
      <c r="CC2" s="34"/>
      <c r="CD2" s="61" t="s">
        <v>224</v>
      </c>
      <c r="CE2" s="60"/>
      <c r="CF2" s="60"/>
      <c r="CG2" s="60"/>
      <c r="CH2" s="60"/>
      <c r="CI2" s="60"/>
      <c r="CJ2" s="51"/>
      <c r="CK2" s="51"/>
      <c r="CL2" s="51"/>
      <c r="CM2" s="51"/>
      <c r="CN2" s="51"/>
      <c r="CO2" s="51"/>
      <c r="CP2" s="51"/>
      <c r="CQ2" s="51"/>
      <c r="CR2" s="51"/>
      <c r="CT2" s="61" t="s">
        <v>224</v>
      </c>
      <c r="CU2" s="60"/>
      <c r="CV2" s="60"/>
      <c r="CW2" s="60"/>
      <c r="CX2" s="60"/>
      <c r="CY2" s="60"/>
      <c r="CZ2" s="51"/>
      <c r="DA2" s="51"/>
      <c r="DB2" s="51"/>
      <c r="DC2" s="51"/>
      <c r="DD2" s="51"/>
      <c r="DE2" s="51"/>
      <c r="DF2" s="51"/>
      <c r="DG2" s="51"/>
      <c r="DH2" s="51"/>
      <c r="DJ2" s="61" t="s">
        <v>224</v>
      </c>
      <c r="DK2" s="60"/>
      <c r="DL2" s="60"/>
      <c r="DM2" s="60"/>
      <c r="DN2" s="60"/>
      <c r="DO2" s="60"/>
      <c r="DP2" s="51"/>
      <c r="DQ2" s="51"/>
      <c r="DR2" s="51"/>
      <c r="DS2" s="51"/>
      <c r="DT2" s="51"/>
      <c r="DU2" s="51"/>
      <c r="DV2" s="51"/>
      <c r="DW2" s="51"/>
      <c r="DX2" s="51"/>
      <c r="DZ2" s="61" t="s">
        <v>224</v>
      </c>
      <c r="EA2" s="60"/>
      <c r="EB2" s="60"/>
      <c r="EC2" s="60"/>
      <c r="ED2" s="60"/>
      <c r="EE2" s="60"/>
      <c r="EF2" s="51"/>
      <c r="EG2" s="51"/>
      <c r="EH2" s="51"/>
      <c r="EI2" s="51"/>
      <c r="EJ2" s="51"/>
      <c r="EK2" s="51"/>
      <c r="EL2" s="51"/>
      <c r="EM2" s="51"/>
      <c r="EN2" s="51"/>
      <c r="EP2" s="61" t="s">
        <v>224</v>
      </c>
      <c r="EQ2" s="60"/>
      <c r="ER2" s="60"/>
      <c r="ES2" s="60"/>
      <c r="ET2" s="60"/>
      <c r="EU2" s="60"/>
      <c r="EV2" s="51"/>
      <c r="EW2" s="51"/>
      <c r="EX2" s="51"/>
      <c r="EY2" s="51"/>
      <c r="EZ2" s="51"/>
      <c r="FA2" s="51"/>
      <c r="FB2" s="51"/>
      <c r="FC2" s="51"/>
      <c r="FD2" s="51"/>
    </row>
    <row r="3" spans="2:160" x14ac:dyDescent="0.25">
      <c r="B3" s="60"/>
      <c r="C3" s="60"/>
      <c r="D3" s="60"/>
      <c r="E3" s="60"/>
      <c r="F3" s="60"/>
      <c r="G3" s="60"/>
      <c r="H3" s="51"/>
      <c r="I3" s="51"/>
      <c r="J3" s="51"/>
      <c r="K3" s="51"/>
      <c r="L3" s="51"/>
      <c r="M3" s="51"/>
      <c r="N3" s="51"/>
      <c r="O3" s="51"/>
      <c r="P3" s="51"/>
      <c r="R3" s="65"/>
      <c r="S3" s="65"/>
      <c r="T3" s="65"/>
      <c r="U3" s="65"/>
      <c r="V3" s="65"/>
      <c r="W3" s="65"/>
      <c r="X3" s="34"/>
      <c r="Y3" s="34"/>
      <c r="Z3" s="34"/>
      <c r="AA3" s="34"/>
      <c r="AB3" s="34"/>
      <c r="AC3" s="34"/>
      <c r="AD3" s="34"/>
      <c r="AE3" s="34"/>
      <c r="AF3" s="34"/>
      <c r="AH3" s="60"/>
      <c r="AI3" s="60"/>
      <c r="AJ3" s="60"/>
      <c r="AK3" s="60"/>
      <c r="AL3" s="60"/>
      <c r="AM3" s="60"/>
      <c r="AN3" s="51"/>
      <c r="AO3" s="51"/>
      <c r="AP3" s="51"/>
      <c r="AQ3" s="51"/>
      <c r="AR3" s="51"/>
      <c r="AS3" s="51"/>
      <c r="AT3" s="51"/>
      <c r="AU3" s="51"/>
      <c r="AV3" s="51"/>
      <c r="AX3" s="60"/>
      <c r="AY3" s="60"/>
      <c r="AZ3" s="60"/>
      <c r="BA3" s="60"/>
      <c r="BB3" s="60"/>
      <c r="BC3" s="60"/>
      <c r="BD3" s="51"/>
      <c r="BE3" s="51"/>
      <c r="BF3" s="51"/>
      <c r="BG3" s="51"/>
      <c r="BH3" s="51"/>
      <c r="BI3" s="51"/>
      <c r="BJ3" s="51"/>
      <c r="BK3" s="51"/>
      <c r="BL3" s="51"/>
      <c r="BN3" s="60"/>
      <c r="BO3" s="60"/>
      <c r="BP3" s="60"/>
      <c r="BQ3" s="60"/>
      <c r="BR3" s="60"/>
      <c r="BS3" s="60"/>
      <c r="BT3" s="51"/>
      <c r="BU3" s="51"/>
      <c r="BV3" s="51"/>
      <c r="BW3" s="51"/>
      <c r="BX3" s="51"/>
      <c r="BY3" s="51"/>
      <c r="BZ3" s="51"/>
      <c r="CA3" s="51"/>
      <c r="CB3" s="51"/>
      <c r="CC3" s="34"/>
      <c r="CD3" s="60"/>
      <c r="CE3" s="60"/>
      <c r="CF3" s="60"/>
      <c r="CG3" s="60"/>
      <c r="CH3" s="60"/>
      <c r="CI3" s="60"/>
      <c r="CJ3" s="51"/>
      <c r="CK3" s="51"/>
      <c r="CL3" s="51"/>
      <c r="CM3" s="51"/>
      <c r="CN3" s="51"/>
      <c r="CO3" s="51"/>
      <c r="CP3" s="51"/>
      <c r="CQ3" s="51"/>
      <c r="CR3" s="51"/>
      <c r="CT3" s="60"/>
      <c r="CU3" s="60"/>
      <c r="CV3" s="60"/>
      <c r="CW3" s="60"/>
      <c r="CX3" s="60"/>
      <c r="CY3" s="60"/>
      <c r="CZ3" s="51"/>
      <c r="DA3" s="51"/>
      <c r="DB3" s="51"/>
      <c r="DC3" s="51"/>
      <c r="DD3" s="51"/>
      <c r="DE3" s="51"/>
      <c r="DF3" s="51"/>
      <c r="DG3" s="51"/>
      <c r="DH3" s="51"/>
      <c r="DJ3" s="60"/>
      <c r="DK3" s="60"/>
      <c r="DL3" s="60"/>
      <c r="DM3" s="60"/>
      <c r="DN3" s="60"/>
      <c r="DO3" s="60"/>
      <c r="DP3" s="51"/>
      <c r="DQ3" s="51"/>
      <c r="DR3" s="51"/>
      <c r="DS3" s="51"/>
      <c r="DT3" s="51"/>
      <c r="DU3" s="51"/>
      <c r="DV3" s="51"/>
      <c r="DW3" s="51"/>
      <c r="DX3" s="51"/>
      <c r="DZ3" s="60"/>
      <c r="EA3" s="60"/>
      <c r="EB3" s="60"/>
      <c r="EC3" s="60"/>
      <c r="ED3" s="60"/>
      <c r="EE3" s="60"/>
      <c r="EF3" s="51"/>
      <c r="EG3" s="51"/>
      <c r="EH3" s="51"/>
      <c r="EI3" s="51"/>
      <c r="EJ3" s="51"/>
      <c r="EK3" s="51"/>
      <c r="EL3" s="51"/>
      <c r="EM3" s="51"/>
      <c r="EN3" s="51"/>
      <c r="EP3" s="60"/>
      <c r="EQ3" s="60"/>
      <c r="ER3" s="60"/>
      <c r="ES3" s="60"/>
      <c r="ET3" s="60"/>
      <c r="EU3" s="60"/>
      <c r="EV3" s="51"/>
      <c r="EW3" s="51"/>
      <c r="EX3" s="51"/>
      <c r="EY3" s="51"/>
      <c r="EZ3" s="51"/>
      <c r="FA3" s="51"/>
      <c r="FB3" s="51"/>
      <c r="FC3" s="51"/>
      <c r="FD3" s="51"/>
    </row>
    <row r="4" spans="2:160" ht="31.5" x14ac:dyDescent="0.25">
      <c r="B4" s="52" t="s">
        <v>146</v>
      </c>
      <c r="C4" s="62" t="s">
        <v>170</v>
      </c>
      <c r="D4" s="60"/>
      <c r="E4" s="60"/>
      <c r="F4" s="60"/>
      <c r="G4" s="60"/>
      <c r="H4" s="51"/>
      <c r="I4" s="51"/>
      <c r="J4" s="51"/>
      <c r="K4" s="51"/>
      <c r="L4" s="51"/>
      <c r="M4" s="51"/>
      <c r="N4" s="51"/>
      <c r="O4" s="51"/>
      <c r="P4" s="51"/>
      <c r="R4" s="35" t="s">
        <v>146</v>
      </c>
      <c r="S4" s="67" t="s">
        <v>225</v>
      </c>
      <c r="T4" s="65"/>
      <c r="U4" s="65"/>
      <c r="V4" s="65"/>
      <c r="W4" s="65"/>
      <c r="X4" s="34"/>
      <c r="Y4" s="34"/>
      <c r="Z4" s="34"/>
      <c r="AA4" s="34"/>
      <c r="AB4" s="34"/>
      <c r="AC4" s="34"/>
      <c r="AD4" s="34"/>
      <c r="AE4" s="34"/>
      <c r="AF4" s="34"/>
      <c r="AH4" s="52" t="s">
        <v>146</v>
      </c>
      <c r="AI4" s="62" t="s">
        <v>147</v>
      </c>
      <c r="AJ4" s="60"/>
      <c r="AK4" s="60"/>
      <c r="AL4" s="60"/>
      <c r="AM4" s="60"/>
      <c r="AN4" s="51"/>
      <c r="AO4" s="51"/>
      <c r="AP4" s="51"/>
      <c r="AQ4" s="51"/>
      <c r="AR4" s="51"/>
      <c r="AS4" s="51"/>
      <c r="AT4" s="51"/>
      <c r="AU4" s="51"/>
      <c r="AV4" s="51"/>
      <c r="AX4" s="52" t="s">
        <v>146</v>
      </c>
      <c r="AY4" s="62" t="s">
        <v>171</v>
      </c>
      <c r="AZ4" s="60"/>
      <c r="BA4" s="60"/>
      <c r="BB4" s="60"/>
      <c r="BC4" s="60"/>
      <c r="BD4" s="51"/>
      <c r="BE4" s="51"/>
      <c r="BF4" s="51"/>
      <c r="BG4" s="51"/>
      <c r="BH4" s="51"/>
      <c r="BI4" s="51"/>
      <c r="BJ4" s="51"/>
      <c r="BK4" s="51"/>
      <c r="BL4" s="51"/>
      <c r="BN4" s="52" t="s">
        <v>146</v>
      </c>
      <c r="BO4" s="62" t="s">
        <v>244</v>
      </c>
      <c r="BP4" s="60"/>
      <c r="BQ4" s="60"/>
      <c r="BR4" s="60"/>
      <c r="BS4" s="60"/>
      <c r="BT4" s="51"/>
      <c r="BU4" s="51"/>
      <c r="BV4" s="51"/>
      <c r="BW4" s="51"/>
      <c r="BX4" s="51"/>
      <c r="BY4" s="51"/>
      <c r="BZ4" s="51"/>
      <c r="CA4" s="51"/>
      <c r="CB4" s="51"/>
      <c r="CC4" s="34"/>
      <c r="CD4" s="52" t="s">
        <v>146</v>
      </c>
      <c r="CE4" s="62" t="s">
        <v>241</v>
      </c>
      <c r="CF4" s="60"/>
      <c r="CG4" s="60"/>
      <c r="CH4" s="60"/>
      <c r="CI4" s="60"/>
      <c r="CJ4" s="51"/>
      <c r="CK4" s="51"/>
      <c r="CL4" s="51"/>
      <c r="CM4" s="51"/>
      <c r="CN4" s="51"/>
      <c r="CO4" s="51"/>
      <c r="CP4" s="51"/>
      <c r="CQ4" s="51"/>
      <c r="CR4" s="51"/>
      <c r="CT4" s="52" t="s">
        <v>146</v>
      </c>
      <c r="CU4" s="62" t="s">
        <v>258</v>
      </c>
      <c r="CV4" s="60"/>
      <c r="CW4" s="60"/>
      <c r="CX4" s="60"/>
      <c r="CY4" s="60"/>
      <c r="CZ4" s="51"/>
      <c r="DA4" s="51"/>
      <c r="DB4" s="51"/>
      <c r="DC4" s="51"/>
      <c r="DD4" s="51"/>
      <c r="DE4" s="51"/>
      <c r="DF4" s="51"/>
      <c r="DG4" s="51"/>
      <c r="DH4" s="51"/>
      <c r="DJ4" s="52" t="s">
        <v>146</v>
      </c>
      <c r="DK4" s="62" t="s">
        <v>231</v>
      </c>
      <c r="DL4" s="60"/>
      <c r="DM4" s="60"/>
      <c r="DN4" s="60"/>
      <c r="DO4" s="60"/>
      <c r="DP4" s="51"/>
      <c r="DQ4" s="51"/>
      <c r="DR4" s="51"/>
      <c r="DS4" s="51"/>
      <c r="DT4" s="51"/>
      <c r="DU4" s="51"/>
      <c r="DV4" s="51"/>
      <c r="DW4" s="51"/>
      <c r="DX4" s="51"/>
      <c r="DZ4" s="52" t="s">
        <v>146</v>
      </c>
      <c r="EA4" s="62" t="s">
        <v>248</v>
      </c>
      <c r="EB4" s="60"/>
      <c r="EC4" s="60"/>
      <c r="ED4" s="60"/>
      <c r="EE4" s="60"/>
      <c r="EF4" s="51"/>
      <c r="EG4" s="51"/>
      <c r="EH4" s="51"/>
      <c r="EI4" s="51"/>
      <c r="EJ4" s="51"/>
      <c r="EK4" s="51"/>
      <c r="EL4" s="51"/>
      <c r="EM4" s="51"/>
      <c r="EN4" s="51"/>
      <c r="EP4" s="52" t="s">
        <v>146</v>
      </c>
      <c r="EQ4" s="62" t="s">
        <v>236</v>
      </c>
      <c r="ER4" s="60"/>
      <c r="ES4" s="60"/>
      <c r="ET4" s="60"/>
      <c r="EU4" s="60"/>
      <c r="EV4" s="51"/>
      <c r="EW4" s="51"/>
      <c r="EX4" s="51"/>
      <c r="EY4" s="51"/>
      <c r="EZ4" s="51"/>
      <c r="FA4" s="51"/>
      <c r="FB4" s="51"/>
      <c r="FC4" s="51"/>
      <c r="FD4" s="51"/>
    </row>
    <row r="5" spans="2:160" x14ac:dyDescent="0.25">
      <c r="B5" s="63" t="s">
        <v>31</v>
      </c>
      <c r="C5" s="60"/>
      <c r="D5" s="60"/>
      <c r="E5" s="60"/>
      <c r="F5" s="60"/>
      <c r="G5" s="60"/>
      <c r="H5" s="51"/>
      <c r="I5" s="51"/>
      <c r="J5" s="51"/>
      <c r="K5" s="51"/>
      <c r="L5" s="51"/>
      <c r="M5" s="51"/>
      <c r="N5" s="51"/>
      <c r="O5" s="51"/>
      <c r="P5" s="51"/>
      <c r="R5" s="70" t="s">
        <v>31</v>
      </c>
      <c r="S5" s="65"/>
      <c r="T5" s="65"/>
      <c r="U5" s="65"/>
      <c r="V5" s="65"/>
      <c r="W5" s="65"/>
      <c r="X5" s="34"/>
      <c r="Y5" s="34"/>
      <c r="Z5" s="34"/>
      <c r="AA5" s="34"/>
      <c r="AB5" s="34"/>
      <c r="AC5" s="34"/>
      <c r="AD5" s="34"/>
      <c r="AE5" s="34"/>
      <c r="AF5" s="34"/>
      <c r="AH5" s="63" t="s">
        <v>31</v>
      </c>
      <c r="AI5" s="60"/>
      <c r="AJ5" s="60"/>
      <c r="AK5" s="60"/>
      <c r="AL5" s="60"/>
      <c r="AM5" s="60"/>
      <c r="AN5" s="51"/>
      <c r="AO5" s="51"/>
      <c r="AP5" s="51"/>
      <c r="AQ5" s="51"/>
      <c r="AR5" s="51"/>
      <c r="AS5" s="51"/>
      <c r="AT5" s="51"/>
      <c r="AU5" s="51"/>
      <c r="AV5" s="51"/>
      <c r="AX5" s="63" t="s">
        <v>31</v>
      </c>
      <c r="AY5" s="60"/>
      <c r="AZ5" s="60"/>
      <c r="BA5" s="60"/>
      <c r="BB5" s="60"/>
      <c r="BC5" s="60"/>
      <c r="BD5" s="51"/>
      <c r="BE5" s="51"/>
      <c r="BF5" s="51"/>
      <c r="BG5" s="51"/>
      <c r="BH5" s="51"/>
      <c r="BI5" s="51"/>
      <c r="BJ5" s="51"/>
      <c r="BK5" s="51"/>
      <c r="BL5" s="51"/>
      <c r="BN5" s="63" t="s">
        <v>31</v>
      </c>
      <c r="BO5" s="60"/>
      <c r="BP5" s="60"/>
      <c r="BQ5" s="60"/>
      <c r="BR5" s="60"/>
      <c r="BS5" s="60"/>
      <c r="BT5" s="51"/>
      <c r="BU5" s="51"/>
      <c r="BV5" s="51"/>
      <c r="BW5" s="51"/>
      <c r="BX5" s="51"/>
      <c r="BY5" s="51"/>
      <c r="BZ5" s="51"/>
      <c r="CA5" s="51"/>
      <c r="CB5" s="51"/>
      <c r="CC5" s="34"/>
      <c r="CD5" s="63" t="s">
        <v>31</v>
      </c>
      <c r="CE5" s="60"/>
      <c r="CF5" s="60"/>
      <c r="CG5" s="60"/>
      <c r="CH5" s="60"/>
      <c r="CI5" s="60"/>
      <c r="CJ5" s="51"/>
      <c r="CK5" s="51"/>
      <c r="CL5" s="51"/>
      <c r="CM5" s="51"/>
      <c r="CN5" s="51"/>
      <c r="CO5" s="51"/>
      <c r="CP5" s="51"/>
      <c r="CQ5" s="51"/>
      <c r="CR5" s="51"/>
      <c r="CT5" s="63" t="s">
        <v>31</v>
      </c>
      <c r="CU5" s="60"/>
      <c r="CV5" s="60"/>
      <c r="CW5" s="60"/>
      <c r="CX5" s="60"/>
      <c r="CY5" s="60"/>
      <c r="CZ5" s="51"/>
      <c r="DA5" s="51"/>
      <c r="DB5" s="51"/>
      <c r="DC5" s="51"/>
      <c r="DD5" s="51"/>
      <c r="DE5" s="51"/>
      <c r="DF5" s="51"/>
      <c r="DG5" s="51"/>
      <c r="DH5" s="51"/>
      <c r="DJ5" s="63" t="s">
        <v>31</v>
      </c>
      <c r="DK5" s="60"/>
      <c r="DL5" s="60"/>
      <c r="DM5" s="60"/>
      <c r="DN5" s="60"/>
      <c r="DO5" s="60"/>
      <c r="DP5" s="51"/>
      <c r="DQ5" s="51"/>
      <c r="DR5" s="51"/>
      <c r="DS5" s="51"/>
      <c r="DT5" s="51"/>
      <c r="DU5" s="51"/>
      <c r="DV5" s="51"/>
      <c r="DW5" s="51"/>
      <c r="DX5" s="51"/>
      <c r="DZ5" s="63" t="s">
        <v>31</v>
      </c>
      <c r="EA5" s="60"/>
      <c r="EB5" s="60"/>
      <c r="EC5" s="60"/>
      <c r="ED5" s="60"/>
      <c r="EE5" s="60"/>
      <c r="EF5" s="51"/>
      <c r="EG5" s="51"/>
      <c r="EH5" s="51"/>
      <c r="EI5" s="51"/>
      <c r="EJ5" s="51"/>
      <c r="EK5" s="51"/>
      <c r="EL5" s="51"/>
      <c r="EM5" s="51"/>
      <c r="EN5" s="51"/>
      <c r="EP5" s="63" t="s">
        <v>31</v>
      </c>
      <c r="EQ5" s="60"/>
      <c r="ER5" s="60"/>
      <c r="ES5" s="60"/>
      <c r="ET5" s="60"/>
      <c r="EU5" s="60"/>
      <c r="EV5" s="51"/>
      <c r="EW5" s="51"/>
      <c r="EX5" s="51"/>
      <c r="EY5" s="51"/>
      <c r="EZ5" s="51"/>
      <c r="FA5" s="51"/>
      <c r="FB5" s="51"/>
      <c r="FC5" s="51"/>
      <c r="FD5" s="51"/>
    </row>
    <row r="6" spans="2:160" ht="31.5" x14ac:dyDescent="0.25">
      <c r="B6" s="52" t="s">
        <v>32</v>
      </c>
      <c r="C6" s="62" t="s">
        <v>172</v>
      </c>
      <c r="D6" s="60"/>
      <c r="E6" s="60"/>
      <c r="F6" s="60"/>
      <c r="G6" s="60"/>
      <c r="H6" s="51"/>
      <c r="I6" s="51"/>
      <c r="J6" s="51"/>
      <c r="K6" s="51"/>
      <c r="L6" s="51"/>
      <c r="M6" s="51"/>
      <c r="N6" s="51"/>
      <c r="O6" s="51"/>
      <c r="P6" s="51"/>
      <c r="R6" s="35" t="s">
        <v>32</v>
      </c>
      <c r="S6" s="67" t="s">
        <v>226</v>
      </c>
      <c r="T6" s="65"/>
      <c r="U6" s="65"/>
      <c r="V6" s="65"/>
      <c r="W6" s="65"/>
      <c r="X6" s="34"/>
      <c r="Y6" s="34"/>
      <c r="Z6" s="34"/>
      <c r="AA6" s="34"/>
      <c r="AB6" s="34"/>
      <c r="AC6" s="34"/>
      <c r="AD6" s="34"/>
      <c r="AE6" s="34"/>
      <c r="AF6" s="34"/>
      <c r="AH6" s="52" t="s">
        <v>32</v>
      </c>
      <c r="AI6" s="62" t="s">
        <v>148</v>
      </c>
      <c r="AJ6" s="60"/>
      <c r="AK6" s="60"/>
      <c r="AL6" s="60"/>
      <c r="AM6" s="60"/>
      <c r="AN6" s="51"/>
      <c r="AO6" s="51"/>
      <c r="AP6" s="51"/>
      <c r="AQ6" s="51"/>
      <c r="AR6" s="51"/>
      <c r="AS6" s="51"/>
      <c r="AT6" s="51"/>
      <c r="AU6" s="51"/>
      <c r="AV6" s="51"/>
      <c r="AX6" s="52" t="s">
        <v>32</v>
      </c>
      <c r="AY6" s="62" t="s">
        <v>173</v>
      </c>
      <c r="AZ6" s="60"/>
      <c r="BA6" s="60"/>
      <c r="BB6" s="60"/>
      <c r="BC6" s="60"/>
      <c r="BD6" s="51"/>
      <c r="BE6" s="51"/>
      <c r="BF6" s="51"/>
      <c r="BG6" s="51"/>
      <c r="BH6" s="51"/>
      <c r="BI6" s="51"/>
      <c r="BJ6" s="51"/>
      <c r="BK6" s="51"/>
      <c r="BL6" s="51"/>
      <c r="BN6" s="52" t="s">
        <v>32</v>
      </c>
      <c r="BO6" s="62" t="s">
        <v>245</v>
      </c>
      <c r="BP6" s="60"/>
      <c r="BQ6" s="60"/>
      <c r="BR6" s="60"/>
      <c r="BS6" s="60"/>
      <c r="BT6" s="51"/>
      <c r="BU6" s="51"/>
      <c r="BV6" s="51"/>
      <c r="BW6" s="51"/>
      <c r="BX6" s="51"/>
      <c r="BY6" s="51"/>
      <c r="BZ6" s="51"/>
      <c r="CA6" s="51"/>
      <c r="CB6" s="51"/>
      <c r="CD6" s="52" t="s">
        <v>32</v>
      </c>
      <c r="CE6" s="62" t="s">
        <v>242</v>
      </c>
      <c r="CF6" s="60"/>
      <c r="CG6" s="60"/>
      <c r="CH6" s="60"/>
      <c r="CI6" s="60"/>
      <c r="CJ6" s="51"/>
      <c r="CK6" s="51"/>
      <c r="CL6" s="51"/>
      <c r="CM6" s="51"/>
      <c r="CN6" s="51"/>
      <c r="CO6" s="51"/>
      <c r="CP6" s="51"/>
      <c r="CQ6" s="51"/>
      <c r="CR6" s="51"/>
      <c r="CT6" s="52" t="s">
        <v>32</v>
      </c>
      <c r="CU6" s="62" t="s">
        <v>259</v>
      </c>
      <c r="CV6" s="60"/>
      <c r="CW6" s="60"/>
      <c r="CX6" s="60"/>
      <c r="CY6" s="60"/>
      <c r="CZ6" s="51"/>
      <c r="DA6" s="51"/>
      <c r="DB6" s="51"/>
      <c r="DC6" s="51"/>
      <c r="DD6" s="51"/>
      <c r="DE6" s="51"/>
      <c r="DF6" s="51"/>
      <c r="DG6" s="51"/>
      <c r="DH6" s="51"/>
      <c r="DJ6" s="52" t="s">
        <v>32</v>
      </c>
      <c r="DK6" s="62" t="s">
        <v>232</v>
      </c>
      <c r="DL6" s="60"/>
      <c r="DM6" s="60"/>
      <c r="DN6" s="60"/>
      <c r="DO6" s="60"/>
      <c r="DP6" s="51"/>
      <c r="DQ6" s="51"/>
      <c r="DR6" s="51"/>
      <c r="DS6" s="51"/>
      <c r="DT6" s="51"/>
      <c r="DU6" s="51"/>
      <c r="DV6" s="51"/>
      <c r="DW6" s="51"/>
      <c r="DX6" s="51"/>
      <c r="DZ6" s="52" t="s">
        <v>32</v>
      </c>
      <c r="EA6" s="62" t="s">
        <v>249</v>
      </c>
      <c r="EB6" s="60"/>
      <c r="EC6" s="60"/>
      <c r="ED6" s="60"/>
      <c r="EE6" s="60"/>
      <c r="EF6" s="51"/>
      <c r="EG6" s="51"/>
      <c r="EH6" s="51"/>
      <c r="EI6" s="51"/>
      <c r="EJ6" s="51"/>
      <c r="EK6" s="51"/>
      <c r="EL6" s="51"/>
      <c r="EM6" s="51"/>
      <c r="EN6" s="51"/>
      <c r="EP6" s="52" t="s">
        <v>32</v>
      </c>
      <c r="EQ6" s="62" t="s">
        <v>237</v>
      </c>
      <c r="ER6" s="60"/>
      <c r="ES6" s="60"/>
      <c r="ET6" s="60"/>
      <c r="EU6" s="60"/>
      <c r="EV6" s="51"/>
      <c r="EW6" s="51"/>
      <c r="EX6" s="51"/>
      <c r="EY6" s="51"/>
      <c r="EZ6" s="51"/>
      <c r="FA6" s="51"/>
      <c r="FB6" s="51"/>
      <c r="FC6" s="51"/>
      <c r="FD6" s="51"/>
    </row>
    <row r="7" spans="2:160" x14ac:dyDescent="0.25">
      <c r="B7" s="52" t="s">
        <v>33</v>
      </c>
      <c r="C7" s="62" t="s">
        <v>34</v>
      </c>
      <c r="D7" s="60"/>
      <c r="E7" s="60"/>
      <c r="F7" s="60"/>
      <c r="G7" s="60"/>
      <c r="H7" s="51"/>
      <c r="I7" s="51"/>
      <c r="J7" s="51"/>
      <c r="K7" s="51"/>
      <c r="L7" s="51"/>
      <c r="M7" s="51"/>
      <c r="N7" s="51"/>
      <c r="O7" s="51"/>
      <c r="P7" s="51"/>
      <c r="R7" s="35" t="s">
        <v>33</v>
      </c>
      <c r="S7" s="67" t="s">
        <v>34</v>
      </c>
      <c r="T7" s="65"/>
      <c r="U7" s="65"/>
      <c r="V7" s="65"/>
      <c r="W7" s="65"/>
      <c r="X7" s="34"/>
      <c r="Y7" s="34"/>
      <c r="Z7" s="34"/>
      <c r="AA7" s="34"/>
      <c r="AB7" s="34"/>
      <c r="AC7" s="34"/>
      <c r="AD7" s="34"/>
      <c r="AE7" s="34"/>
      <c r="AF7" s="34"/>
      <c r="AH7" s="52" t="s">
        <v>33</v>
      </c>
      <c r="AI7" s="62" t="s">
        <v>34</v>
      </c>
      <c r="AJ7" s="60"/>
      <c r="AK7" s="60"/>
      <c r="AL7" s="60"/>
      <c r="AM7" s="60"/>
      <c r="AN7" s="51"/>
      <c r="AO7" s="51"/>
      <c r="AP7" s="51"/>
      <c r="AQ7" s="51"/>
      <c r="AR7" s="51"/>
      <c r="AS7" s="51"/>
      <c r="AT7" s="51"/>
      <c r="AU7" s="51"/>
      <c r="AV7" s="51"/>
      <c r="AX7" s="52" t="s">
        <v>33</v>
      </c>
      <c r="AY7" s="62" t="s">
        <v>34</v>
      </c>
      <c r="AZ7" s="60"/>
      <c r="BA7" s="60"/>
      <c r="BB7" s="60"/>
      <c r="BC7" s="60"/>
      <c r="BD7" s="51"/>
      <c r="BE7" s="51"/>
      <c r="BF7" s="51"/>
      <c r="BG7" s="51"/>
      <c r="BH7" s="51"/>
      <c r="BI7" s="51"/>
      <c r="BJ7" s="51"/>
      <c r="BK7" s="51"/>
      <c r="BL7" s="51"/>
      <c r="BN7" s="52" t="s">
        <v>33</v>
      </c>
      <c r="BO7" s="62" t="s">
        <v>34</v>
      </c>
      <c r="BP7" s="60"/>
      <c r="BQ7" s="60"/>
      <c r="BR7" s="60"/>
      <c r="BS7" s="60"/>
      <c r="BT7" s="51"/>
      <c r="BU7" s="51"/>
      <c r="BV7" s="51"/>
      <c r="BW7" s="51"/>
      <c r="BX7" s="51"/>
      <c r="BY7" s="51"/>
      <c r="BZ7" s="51"/>
      <c r="CA7" s="51"/>
      <c r="CB7" s="51"/>
      <c r="CD7" s="52" t="s">
        <v>33</v>
      </c>
      <c r="CE7" s="62" t="s">
        <v>34</v>
      </c>
      <c r="CF7" s="60"/>
      <c r="CG7" s="60"/>
      <c r="CH7" s="60"/>
      <c r="CI7" s="60"/>
      <c r="CJ7" s="51"/>
      <c r="CK7" s="51"/>
      <c r="CL7" s="51"/>
      <c r="CM7" s="51"/>
      <c r="CN7" s="51"/>
      <c r="CO7" s="51"/>
      <c r="CP7" s="51"/>
      <c r="CQ7" s="51"/>
      <c r="CR7" s="51"/>
      <c r="CT7" s="52" t="s">
        <v>33</v>
      </c>
      <c r="CU7" s="62" t="s">
        <v>34</v>
      </c>
      <c r="CV7" s="60"/>
      <c r="CW7" s="60"/>
      <c r="CX7" s="60"/>
      <c r="CY7" s="60"/>
      <c r="CZ7" s="51"/>
      <c r="DA7" s="51"/>
      <c r="DB7" s="51"/>
      <c r="DC7" s="51"/>
      <c r="DD7" s="51"/>
      <c r="DE7" s="51"/>
      <c r="DF7" s="51"/>
      <c r="DG7" s="51"/>
      <c r="DH7" s="51"/>
      <c r="DJ7" s="52" t="s">
        <v>33</v>
      </c>
      <c r="DK7" s="62" t="s">
        <v>34</v>
      </c>
      <c r="DL7" s="60"/>
      <c r="DM7" s="60"/>
      <c r="DN7" s="60"/>
      <c r="DO7" s="60"/>
      <c r="DP7" s="51"/>
      <c r="DQ7" s="51"/>
      <c r="DR7" s="51"/>
      <c r="DS7" s="51"/>
      <c r="DT7" s="51"/>
      <c r="DU7" s="51"/>
      <c r="DV7" s="51"/>
      <c r="DW7" s="51"/>
      <c r="DX7" s="51"/>
      <c r="DZ7" s="52" t="s">
        <v>33</v>
      </c>
      <c r="EA7" s="62" t="s">
        <v>34</v>
      </c>
      <c r="EB7" s="60"/>
      <c r="EC7" s="60"/>
      <c r="ED7" s="60"/>
      <c r="EE7" s="60"/>
      <c r="EF7" s="51"/>
      <c r="EG7" s="51"/>
      <c r="EH7" s="51"/>
      <c r="EI7" s="51"/>
      <c r="EJ7" s="51"/>
      <c r="EK7" s="51"/>
      <c r="EL7" s="51"/>
      <c r="EM7" s="51"/>
      <c r="EN7" s="51"/>
      <c r="EP7" s="52" t="s">
        <v>33</v>
      </c>
      <c r="EQ7" s="62" t="s">
        <v>34</v>
      </c>
      <c r="ER7" s="60"/>
      <c r="ES7" s="60"/>
      <c r="ET7" s="60"/>
      <c r="EU7" s="60"/>
      <c r="EV7" s="51"/>
      <c r="EW7" s="51"/>
      <c r="EX7" s="51"/>
      <c r="EY7" s="51"/>
      <c r="EZ7" s="51"/>
      <c r="FA7" s="51"/>
      <c r="FB7" s="51"/>
      <c r="FC7" s="51"/>
      <c r="FD7" s="51"/>
    </row>
    <row r="8" spans="2:160" x14ac:dyDescent="0.25">
      <c r="B8" s="52" t="s">
        <v>35</v>
      </c>
      <c r="C8" s="62" t="s">
        <v>144</v>
      </c>
      <c r="D8" s="60"/>
      <c r="E8" s="60"/>
      <c r="F8" s="60"/>
      <c r="G8" s="60"/>
      <c r="H8" s="51"/>
      <c r="I8" s="51"/>
      <c r="J8" s="51"/>
      <c r="K8" s="51"/>
      <c r="L8" s="51"/>
      <c r="M8" s="51"/>
      <c r="N8" s="36">
        <f>(N43/N13)^(1/30)-1</f>
        <v>2.3977134838169212E-2</v>
      </c>
      <c r="O8" s="51"/>
      <c r="P8" s="51"/>
      <c r="R8" s="35" t="s">
        <v>35</v>
      </c>
      <c r="S8" s="68" t="s">
        <v>227</v>
      </c>
      <c r="T8" s="69"/>
      <c r="U8" s="69"/>
      <c r="V8" s="69"/>
      <c r="W8" s="69"/>
      <c r="X8" s="36">
        <f>(X43/X13)^(1/30)-1</f>
        <v>2.0736944174645666E-2</v>
      </c>
      <c r="Y8" s="34"/>
      <c r="Z8" s="34"/>
      <c r="AA8" s="34"/>
      <c r="AB8" s="34"/>
      <c r="AC8" s="34"/>
      <c r="AD8" s="34"/>
      <c r="AE8" s="34"/>
      <c r="AF8" s="34"/>
      <c r="AH8" s="52" t="s">
        <v>35</v>
      </c>
      <c r="AI8" s="62" t="s">
        <v>149</v>
      </c>
      <c r="AJ8" s="60"/>
      <c r="AK8" s="60"/>
      <c r="AL8" s="60"/>
      <c r="AM8" s="60"/>
      <c r="AN8" s="51"/>
      <c r="AO8" s="51"/>
      <c r="AP8" s="51"/>
      <c r="AQ8" s="51"/>
      <c r="AR8" s="51"/>
      <c r="AS8" s="51"/>
      <c r="AT8" s="36">
        <f>(AT43/AT13)^(1/30)-1</f>
        <v>3.5117348400309334E-2</v>
      </c>
      <c r="AU8" s="51"/>
      <c r="AV8" s="51"/>
      <c r="AX8" s="52" t="s">
        <v>35</v>
      </c>
      <c r="AY8" s="62" t="s">
        <v>174</v>
      </c>
      <c r="AZ8" s="60"/>
      <c r="BA8" s="60"/>
      <c r="BB8" s="60"/>
      <c r="BC8" s="60"/>
      <c r="BD8" s="51"/>
      <c r="BE8" s="51"/>
      <c r="BF8" s="51"/>
      <c r="BG8" s="51"/>
      <c r="BH8" s="51"/>
      <c r="BI8" s="51"/>
      <c r="BJ8" s="36">
        <f>(BJ43/BJ13)^(1/30)-1</f>
        <v>2.9548225004298212E-2</v>
      </c>
      <c r="BK8" s="51"/>
      <c r="BL8" s="51"/>
      <c r="BN8" s="52" t="s">
        <v>35</v>
      </c>
      <c r="BO8" s="62" t="s">
        <v>246</v>
      </c>
      <c r="BP8" s="60"/>
      <c r="BQ8" s="60"/>
      <c r="BR8" s="60"/>
      <c r="BS8" s="60"/>
      <c r="BT8" s="51"/>
      <c r="BU8" s="51"/>
      <c r="BV8" s="51"/>
      <c r="BW8" s="51"/>
      <c r="BX8" s="51"/>
      <c r="BY8" s="51"/>
      <c r="BZ8" s="36">
        <f>(BZ29/BZ13)^(1/16)-1</f>
        <v>6.3201478284775625E-3</v>
      </c>
      <c r="CA8" s="51" t="s">
        <v>263</v>
      </c>
      <c r="CB8" s="51"/>
      <c r="CD8" s="52" t="s">
        <v>35</v>
      </c>
      <c r="CE8" s="62" t="s">
        <v>243</v>
      </c>
      <c r="CF8" s="60"/>
      <c r="CG8" s="60"/>
      <c r="CH8" s="60"/>
      <c r="CI8" s="60"/>
      <c r="CJ8" s="51"/>
      <c r="CK8" s="51"/>
      <c r="CL8" s="51"/>
      <c r="CM8" s="51"/>
      <c r="CN8" s="51"/>
      <c r="CO8" s="51"/>
      <c r="CP8" s="36">
        <f>(CP43/CP13)^(1/30)-1</f>
        <v>2.5219757035239265E-2</v>
      </c>
      <c r="CQ8" s="51"/>
      <c r="CR8" s="51"/>
      <c r="CT8" s="52" t="s">
        <v>35</v>
      </c>
      <c r="CU8" s="62" t="s">
        <v>260</v>
      </c>
      <c r="CV8" s="60"/>
      <c r="CW8" s="60"/>
      <c r="CX8" s="60"/>
      <c r="CY8" s="60"/>
      <c r="CZ8" s="51"/>
      <c r="DA8" s="51"/>
      <c r="DB8" s="51"/>
      <c r="DC8" s="51"/>
      <c r="DD8" s="51"/>
      <c r="DE8" s="51"/>
      <c r="DF8" s="36">
        <f>(DF42/DF13)^(1/29)-1</f>
        <v>5.2913605158896315E-2</v>
      </c>
      <c r="DG8" s="51" t="s">
        <v>262</v>
      </c>
      <c r="DH8" s="51"/>
      <c r="DJ8" s="52" t="s">
        <v>35</v>
      </c>
      <c r="DK8" s="62" t="s">
        <v>233</v>
      </c>
      <c r="DL8" s="60"/>
      <c r="DM8" s="60"/>
      <c r="DN8" s="60"/>
      <c r="DO8" s="60"/>
      <c r="DP8" s="51"/>
      <c r="DQ8" s="51"/>
      <c r="DR8" s="51"/>
      <c r="DS8" s="36">
        <f>(DS42/DS14)^(1/28)-1</f>
        <v>5.2018836646548605E-2</v>
      </c>
      <c r="DT8" s="51"/>
      <c r="DU8" s="51"/>
      <c r="DV8" s="57"/>
      <c r="DW8" s="51"/>
      <c r="DX8" s="51"/>
      <c r="DZ8" s="52" t="s">
        <v>35</v>
      </c>
      <c r="EA8" s="62" t="s">
        <v>139</v>
      </c>
      <c r="EB8" s="60"/>
      <c r="EC8" s="60"/>
      <c r="ED8" s="60"/>
      <c r="EE8" s="60"/>
      <c r="EF8" s="51"/>
      <c r="EG8" s="51"/>
      <c r="EH8" s="51"/>
      <c r="EI8" s="51"/>
      <c r="EJ8" s="51"/>
      <c r="EK8" s="51"/>
      <c r="EL8" s="36">
        <f>(EL43/EL13)^(1/30)-1</f>
        <v>5.2900906226266198E-2</v>
      </c>
      <c r="EM8" s="51"/>
      <c r="EN8" s="51"/>
      <c r="EP8" s="52" t="s">
        <v>35</v>
      </c>
      <c r="EQ8" s="62" t="s">
        <v>238</v>
      </c>
      <c r="ER8" s="60"/>
      <c r="ES8" s="60"/>
      <c r="ET8" s="60"/>
      <c r="EU8" s="60"/>
      <c r="EV8" s="51"/>
      <c r="EW8" s="51"/>
      <c r="EX8" s="51"/>
      <c r="EY8" s="51"/>
      <c r="EZ8" s="51"/>
      <c r="FA8" s="51"/>
      <c r="FB8" s="36">
        <f>(FB29/FB14)^(1/15)-1</f>
        <v>7.3233117948781068E-3</v>
      </c>
      <c r="FC8" s="51"/>
      <c r="FD8" s="51"/>
    </row>
    <row r="9" spans="2:160" ht="31.5" x14ac:dyDescent="0.25">
      <c r="B9" s="52" t="s">
        <v>36</v>
      </c>
      <c r="C9" s="62" t="s">
        <v>150</v>
      </c>
      <c r="D9" s="60"/>
      <c r="E9" s="60"/>
      <c r="F9" s="60"/>
      <c r="G9" s="60"/>
      <c r="H9" s="51"/>
      <c r="I9" s="51"/>
      <c r="J9" s="51"/>
      <c r="K9" s="51"/>
      <c r="L9" s="51"/>
      <c r="M9" s="51"/>
      <c r="N9" s="51"/>
      <c r="O9" s="51"/>
      <c r="P9" s="51"/>
      <c r="R9" s="35" t="s">
        <v>36</v>
      </c>
      <c r="S9" s="67" t="s">
        <v>228</v>
      </c>
      <c r="T9" s="65"/>
      <c r="U9" s="65"/>
      <c r="V9" s="65"/>
      <c r="W9" s="65"/>
      <c r="X9" s="34"/>
      <c r="Y9" s="34"/>
      <c r="Z9" s="34"/>
      <c r="AA9" s="34"/>
      <c r="AB9" s="34"/>
      <c r="AC9" s="34"/>
      <c r="AD9" s="34"/>
      <c r="AE9" s="34"/>
      <c r="AF9" s="34"/>
      <c r="AH9" s="52" t="s">
        <v>36</v>
      </c>
      <c r="AI9" s="62" t="s">
        <v>150</v>
      </c>
      <c r="AJ9" s="60"/>
      <c r="AK9" s="60"/>
      <c r="AL9" s="60"/>
      <c r="AM9" s="60"/>
      <c r="AN9" s="51"/>
      <c r="AO9" s="51"/>
      <c r="AP9" s="51"/>
      <c r="AQ9" s="51"/>
      <c r="AR9" s="51"/>
      <c r="AS9" s="51"/>
      <c r="AT9" s="51"/>
      <c r="AU9" s="51"/>
      <c r="AV9" s="51"/>
      <c r="AX9" s="52" t="s">
        <v>36</v>
      </c>
      <c r="AY9" s="62" t="s">
        <v>150</v>
      </c>
      <c r="AZ9" s="60"/>
      <c r="BA9" s="60"/>
      <c r="BB9" s="60"/>
      <c r="BC9" s="60"/>
      <c r="BD9" s="51"/>
      <c r="BE9" s="51"/>
      <c r="BF9" s="51"/>
      <c r="BG9" s="51"/>
      <c r="BH9" s="51"/>
      <c r="BI9" s="51"/>
      <c r="BJ9" s="51"/>
      <c r="BK9" s="51"/>
      <c r="BL9" s="51"/>
      <c r="BN9" s="52" t="s">
        <v>36</v>
      </c>
      <c r="BO9" s="62" t="s">
        <v>239</v>
      </c>
      <c r="BP9" s="60"/>
      <c r="BQ9" s="60"/>
      <c r="BR9" s="60"/>
      <c r="BS9" s="60"/>
      <c r="BT9" s="51"/>
      <c r="BU9" s="51"/>
      <c r="BV9" s="51"/>
      <c r="BW9" s="51"/>
      <c r="BX9" s="51"/>
      <c r="BY9" s="51"/>
      <c r="BZ9" s="51"/>
      <c r="CA9" s="51"/>
      <c r="CB9" s="51"/>
      <c r="CD9" s="52" t="s">
        <v>36</v>
      </c>
      <c r="CE9" s="62" t="s">
        <v>150</v>
      </c>
      <c r="CF9" s="60"/>
      <c r="CG9" s="60"/>
      <c r="CH9" s="60"/>
      <c r="CI9" s="60"/>
      <c r="CJ9" s="51"/>
      <c r="CK9" s="51"/>
      <c r="CL9" s="51"/>
      <c r="CM9" s="51"/>
      <c r="CN9" s="51"/>
      <c r="CO9" s="51"/>
      <c r="CP9" s="51"/>
      <c r="CQ9" s="51"/>
      <c r="CR9" s="51"/>
      <c r="CT9" s="52" t="s">
        <v>36</v>
      </c>
      <c r="CU9" s="62" t="s">
        <v>234</v>
      </c>
      <c r="CV9" s="60"/>
      <c r="CW9" s="60"/>
      <c r="CX9" s="60"/>
      <c r="CY9" s="60"/>
      <c r="CZ9" s="51"/>
      <c r="DA9" s="51"/>
      <c r="DB9" s="51"/>
      <c r="DC9" s="51"/>
      <c r="DD9" s="51"/>
      <c r="DE9" s="51"/>
      <c r="DF9" s="51"/>
      <c r="DG9" s="51"/>
      <c r="DH9" s="51"/>
      <c r="DJ9" s="52" t="s">
        <v>36</v>
      </c>
      <c r="DK9" s="62" t="s">
        <v>234</v>
      </c>
      <c r="DL9" s="60"/>
      <c r="DM9" s="60"/>
      <c r="DN9" s="60"/>
      <c r="DO9" s="60"/>
      <c r="DP9" s="51"/>
      <c r="DQ9" s="51"/>
      <c r="DR9" s="51"/>
      <c r="DS9" s="51"/>
      <c r="DT9" s="51"/>
      <c r="DU9" s="51"/>
      <c r="DV9" s="51"/>
      <c r="DW9" s="51"/>
      <c r="DX9" s="51"/>
      <c r="DZ9" s="52" t="s">
        <v>36</v>
      </c>
      <c r="EA9" s="62" t="s">
        <v>228</v>
      </c>
      <c r="EB9" s="60"/>
      <c r="EC9" s="60"/>
      <c r="ED9" s="60"/>
      <c r="EE9" s="60"/>
      <c r="EF9" s="51"/>
      <c r="EG9" s="51"/>
      <c r="EH9" s="51"/>
      <c r="EI9" s="51"/>
      <c r="EJ9" s="51"/>
      <c r="EK9" s="51"/>
      <c r="EL9" s="51"/>
      <c r="EM9" s="51"/>
      <c r="EN9" s="51"/>
      <c r="EP9" s="52" t="s">
        <v>36</v>
      </c>
      <c r="EQ9" s="62" t="s">
        <v>239</v>
      </c>
      <c r="ER9" s="60"/>
      <c r="ES9" s="60"/>
      <c r="ET9" s="60"/>
      <c r="EU9" s="60"/>
      <c r="EV9" s="51"/>
      <c r="EW9" s="51"/>
      <c r="EX9" s="51"/>
      <c r="EY9" s="51"/>
      <c r="EZ9" s="51"/>
      <c r="FA9" s="51"/>
      <c r="FB9" s="51"/>
      <c r="FC9" s="51"/>
      <c r="FD9" s="51"/>
    </row>
    <row r="10" spans="2:160" x14ac:dyDescent="0.25">
      <c r="B10" s="52" t="s">
        <v>229</v>
      </c>
      <c r="C10" s="59" t="s">
        <v>230</v>
      </c>
      <c r="D10" s="60"/>
      <c r="E10" s="60"/>
      <c r="F10" s="60"/>
      <c r="G10" s="60"/>
      <c r="H10" s="51"/>
      <c r="I10" s="51"/>
      <c r="J10" s="51"/>
      <c r="K10" s="51"/>
      <c r="L10" s="51"/>
      <c r="M10" s="51"/>
      <c r="N10" s="51"/>
      <c r="O10" s="51"/>
      <c r="P10" s="51"/>
      <c r="R10" s="35" t="s">
        <v>229</v>
      </c>
      <c r="S10" s="66" t="s">
        <v>230</v>
      </c>
      <c r="T10" s="65"/>
      <c r="U10" s="65"/>
      <c r="V10" s="65"/>
      <c r="W10" s="65"/>
      <c r="X10" s="34"/>
      <c r="Y10" s="34"/>
      <c r="Z10" s="34"/>
      <c r="AA10" s="34"/>
      <c r="AB10" s="34"/>
      <c r="AC10" s="34"/>
      <c r="AD10" s="34"/>
      <c r="AE10" s="34"/>
      <c r="AF10" s="34"/>
      <c r="AH10" s="52" t="s">
        <v>229</v>
      </c>
      <c r="AI10" s="59" t="s">
        <v>230</v>
      </c>
      <c r="AJ10" s="60"/>
      <c r="AK10" s="60"/>
      <c r="AL10" s="60"/>
      <c r="AM10" s="60"/>
      <c r="AN10" s="51"/>
      <c r="AO10" s="51"/>
      <c r="AP10" s="51"/>
      <c r="AQ10" s="51"/>
      <c r="AR10" s="51"/>
      <c r="AS10" s="51"/>
      <c r="AT10" s="51"/>
      <c r="AU10" s="51"/>
      <c r="AV10" s="51"/>
      <c r="AX10" s="52" t="s">
        <v>229</v>
      </c>
      <c r="AY10" s="59" t="s">
        <v>230</v>
      </c>
      <c r="AZ10" s="60"/>
      <c r="BA10" s="60"/>
      <c r="BB10" s="60"/>
      <c r="BC10" s="60"/>
      <c r="BD10" s="51"/>
      <c r="BE10" s="51"/>
      <c r="BF10" s="51"/>
      <c r="BG10" s="51"/>
      <c r="BH10" s="51"/>
      <c r="BI10" s="51"/>
      <c r="BJ10" s="51"/>
      <c r="BK10" s="51"/>
      <c r="BL10" s="51"/>
      <c r="BN10" s="52" t="s">
        <v>229</v>
      </c>
      <c r="BO10" s="59" t="s">
        <v>240</v>
      </c>
      <c r="BP10" s="60"/>
      <c r="BQ10" s="60"/>
      <c r="BR10" s="60"/>
      <c r="BS10" s="60"/>
      <c r="BT10" s="51"/>
      <c r="BU10" s="51"/>
      <c r="BV10" s="51"/>
      <c r="BW10" s="51"/>
      <c r="BX10" s="51"/>
      <c r="BY10" s="51"/>
      <c r="BZ10" s="51"/>
      <c r="CA10" s="51"/>
      <c r="CB10" s="51"/>
      <c r="CD10" s="52" t="s">
        <v>229</v>
      </c>
      <c r="CE10" s="59" t="s">
        <v>230</v>
      </c>
      <c r="CF10" s="60"/>
      <c r="CG10" s="60"/>
      <c r="CH10" s="60"/>
      <c r="CI10" s="60"/>
      <c r="CJ10" s="51"/>
      <c r="CK10" s="51"/>
      <c r="CL10" s="51"/>
      <c r="CM10" s="51"/>
      <c r="CN10" s="51"/>
      <c r="CO10" s="51"/>
      <c r="CP10" s="51"/>
      <c r="CQ10" s="51"/>
      <c r="CR10" s="51"/>
      <c r="CT10" s="52" t="s">
        <v>229</v>
      </c>
      <c r="CU10" s="59" t="s">
        <v>235</v>
      </c>
      <c r="CV10" s="60"/>
      <c r="CW10" s="60"/>
      <c r="CX10" s="60"/>
      <c r="CY10" s="60"/>
      <c r="CZ10" s="51"/>
      <c r="DA10" s="51"/>
      <c r="DB10" s="51"/>
      <c r="DC10" s="51"/>
      <c r="DD10" s="51"/>
      <c r="DE10" s="51"/>
      <c r="DF10" s="51"/>
      <c r="DG10" s="51"/>
      <c r="DH10" s="51"/>
      <c r="DJ10" s="52" t="s">
        <v>229</v>
      </c>
      <c r="DK10" s="59" t="s">
        <v>235</v>
      </c>
      <c r="DL10" s="60"/>
      <c r="DM10" s="60"/>
      <c r="DN10" s="60"/>
      <c r="DO10" s="60"/>
      <c r="DP10" s="51"/>
      <c r="DQ10" s="51"/>
      <c r="DR10" s="51"/>
      <c r="DS10" s="51"/>
      <c r="DT10" s="51"/>
      <c r="DU10" s="51"/>
      <c r="DV10" s="51"/>
      <c r="DW10" s="51"/>
      <c r="DX10" s="51"/>
      <c r="DZ10" s="52" t="s">
        <v>229</v>
      </c>
      <c r="EA10" s="59" t="s">
        <v>230</v>
      </c>
      <c r="EB10" s="60"/>
      <c r="EC10" s="60"/>
      <c r="ED10" s="60"/>
      <c r="EE10" s="60"/>
      <c r="EF10" s="51"/>
      <c r="EG10" s="51"/>
      <c r="EH10" s="51"/>
      <c r="EI10" s="51"/>
      <c r="EJ10" s="51"/>
      <c r="EK10" s="51"/>
      <c r="EL10" s="51"/>
      <c r="EM10" s="51"/>
      <c r="EN10" s="51"/>
      <c r="EP10" s="52" t="s">
        <v>229</v>
      </c>
      <c r="EQ10" s="59" t="s">
        <v>240</v>
      </c>
      <c r="ER10" s="60"/>
      <c r="ES10" s="60"/>
      <c r="ET10" s="60"/>
      <c r="EU10" s="60"/>
      <c r="EV10" s="51"/>
      <c r="EW10" s="51"/>
      <c r="EX10" s="51"/>
      <c r="EY10" s="51"/>
      <c r="EZ10" s="51"/>
      <c r="FA10" s="51"/>
      <c r="FB10" s="51"/>
      <c r="FC10" s="51"/>
      <c r="FD10" s="51"/>
    </row>
    <row r="12" spans="2:160" ht="16.5" thickBot="1" x14ac:dyDescent="0.3">
      <c r="B12" s="53" t="s">
        <v>2</v>
      </c>
      <c r="C12" s="53" t="s">
        <v>37</v>
      </c>
      <c r="D12" s="53" t="s">
        <v>38</v>
      </c>
      <c r="E12" s="53" t="s">
        <v>39</v>
      </c>
      <c r="F12" s="53" t="s">
        <v>40</v>
      </c>
      <c r="G12" s="53" t="s">
        <v>41</v>
      </c>
      <c r="H12" s="53" t="s">
        <v>42</v>
      </c>
      <c r="I12" s="53" t="s">
        <v>43</v>
      </c>
      <c r="J12" s="53" t="s">
        <v>44</v>
      </c>
      <c r="K12" s="53" t="s">
        <v>45</v>
      </c>
      <c r="L12" s="53" t="s">
        <v>46</v>
      </c>
      <c r="M12" s="53" t="s">
        <v>47</v>
      </c>
      <c r="N12" s="53" t="s">
        <v>48</v>
      </c>
      <c r="O12" s="53" t="s">
        <v>49</v>
      </c>
      <c r="P12" s="53" t="s">
        <v>50</v>
      </c>
      <c r="R12" s="37" t="s">
        <v>2</v>
      </c>
      <c r="S12" s="37" t="s">
        <v>37</v>
      </c>
      <c r="T12" s="37" t="s">
        <v>38</v>
      </c>
      <c r="U12" s="37" t="s">
        <v>39</v>
      </c>
      <c r="V12" s="37" t="s">
        <v>40</v>
      </c>
      <c r="W12" s="37" t="s">
        <v>41</v>
      </c>
      <c r="X12" s="37" t="s">
        <v>42</v>
      </c>
      <c r="Y12" s="37" t="s">
        <v>43</v>
      </c>
      <c r="Z12" s="37" t="s">
        <v>44</v>
      </c>
      <c r="AA12" s="37" t="s">
        <v>45</v>
      </c>
      <c r="AB12" s="37" t="s">
        <v>46</v>
      </c>
      <c r="AC12" s="37" t="s">
        <v>47</v>
      </c>
      <c r="AD12" s="37" t="s">
        <v>48</v>
      </c>
      <c r="AE12" s="37" t="s">
        <v>49</v>
      </c>
      <c r="AF12" s="37" t="s">
        <v>50</v>
      </c>
      <c r="AH12" s="53" t="s">
        <v>2</v>
      </c>
      <c r="AI12" s="53" t="s">
        <v>37</v>
      </c>
      <c r="AJ12" s="53" t="s">
        <v>38</v>
      </c>
      <c r="AK12" s="53" t="s">
        <v>39</v>
      </c>
      <c r="AL12" s="53" t="s">
        <v>40</v>
      </c>
      <c r="AM12" s="53" t="s">
        <v>41</v>
      </c>
      <c r="AN12" s="53" t="s">
        <v>42</v>
      </c>
      <c r="AO12" s="53" t="s">
        <v>43</v>
      </c>
      <c r="AP12" s="53" t="s">
        <v>44</v>
      </c>
      <c r="AQ12" s="53" t="s">
        <v>45</v>
      </c>
      <c r="AR12" s="53" t="s">
        <v>46</v>
      </c>
      <c r="AS12" s="53" t="s">
        <v>47</v>
      </c>
      <c r="AT12" s="53" t="s">
        <v>48</v>
      </c>
      <c r="AU12" s="53" t="s">
        <v>49</v>
      </c>
      <c r="AV12" s="53" t="s">
        <v>50</v>
      </c>
      <c r="AX12" s="53" t="s">
        <v>2</v>
      </c>
      <c r="AY12" s="53" t="s">
        <v>37</v>
      </c>
      <c r="AZ12" s="53" t="s">
        <v>38</v>
      </c>
      <c r="BA12" s="53" t="s">
        <v>39</v>
      </c>
      <c r="BB12" s="53" t="s">
        <v>40</v>
      </c>
      <c r="BC12" s="53" t="s">
        <v>41</v>
      </c>
      <c r="BD12" s="53" t="s">
        <v>42</v>
      </c>
      <c r="BE12" s="53" t="s">
        <v>43</v>
      </c>
      <c r="BF12" s="53" t="s">
        <v>44</v>
      </c>
      <c r="BG12" s="53" t="s">
        <v>45</v>
      </c>
      <c r="BH12" s="53" t="s">
        <v>46</v>
      </c>
      <c r="BI12" s="53" t="s">
        <v>47</v>
      </c>
      <c r="BJ12" s="53" t="s">
        <v>48</v>
      </c>
      <c r="BK12" s="53" t="s">
        <v>49</v>
      </c>
      <c r="BL12" s="53" t="s">
        <v>50</v>
      </c>
      <c r="BN12" s="53" t="s">
        <v>2</v>
      </c>
      <c r="BO12" s="53" t="s">
        <v>37</v>
      </c>
      <c r="BP12" s="53" t="s">
        <v>38</v>
      </c>
      <c r="BQ12" s="53" t="s">
        <v>39</v>
      </c>
      <c r="BR12" s="53" t="s">
        <v>40</v>
      </c>
      <c r="BS12" s="53" t="s">
        <v>41</v>
      </c>
      <c r="BT12" s="53" t="s">
        <v>42</v>
      </c>
      <c r="BU12" s="53" t="s">
        <v>43</v>
      </c>
      <c r="BV12" s="53" t="s">
        <v>44</v>
      </c>
      <c r="BW12" s="53" t="s">
        <v>45</v>
      </c>
      <c r="BX12" s="53" t="s">
        <v>46</v>
      </c>
      <c r="BY12" s="53" t="s">
        <v>47</v>
      </c>
      <c r="BZ12" s="53" t="s">
        <v>48</v>
      </c>
      <c r="CA12" s="53" t="s">
        <v>49</v>
      </c>
      <c r="CB12" s="53" t="s">
        <v>50</v>
      </c>
      <c r="CD12" s="53" t="s">
        <v>2</v>
      </c>
      <c r="CE12" s="53" t="s">
        <v>37</v>
      </c>
      <c r="CF12" s="53" t="s">
        <v>38</v>
      </c>
      <c r="CG12" s="53" t="s">
        <v>39</v>
      </c>
      <c r="CH12" s="53" t="s">
        <v>40</v>
      </c>
      <c r="CI12" s="53" t="s">
        <v>41</v>
      </c>
      <c r="CJ12" s="53" t="s">
        <v>42</v>
      </c>
      <c r="CK12" s="53" t="s">
        <v>43</v>
      </c>
      <c r="CL12" s="53" t="s">
        <v>44</v>
      </c>
      <c r="CM12" s="53" t="s">
        <v>45</v>
      </c>
      <c r="CN12" s="53" t="s">
        <v>46</v>
      </c>
      <c r="CO12" s="53" t="s">
        <v>47</v>
      </c>
      <c r="CP12" s="53" t="s">
        <v>48</v>
      </c>
      <c r="CQ12" s="53" t="s">
        <v>49</v>
      </c>
      <c r="CR12" s="53" t="s">
        <v>50</v>
      </c>
      <c r="CT12" s="53" t="s">
        <v>2</v>
      </c>
      <c r="CU12" s="53" t="s">
        <v>37</v>
      </c>
      <c r="CV12" s="53" t="s">
        <v>38</v>
      </c>
      <c r="CW12" s="53" t="s">
        <v>39</v>
      </c>
      <c r="CX12" s="53" t="s">
        <v>40</v>
      </c>
      <c r="CY12" s="53" t="s">
        <v>41</v>
      </c>
      <c r="CZ12" s="53" t="s">
        <v>42</v>
      </c>
      <c r="DA12" s="53" t="s">
        <v>43</v>
      </c>
      <c r="DB12" s="53" t="s">
        <v>44</v>
      </c>
      <c r="DC12" s="53" t="s">
        <v>45</v>
      </c>
      <c r="DD12" s="53" t="s">
        <v>46</v>
      </c>
      <c r="DE12" s="53" t="s">
        <v>47</v>
      </c>
      <c r="DF12" s="53" t="s">
        <v>48</v>
      </c>
      <c r="DG12" s="53" t="s">
        <v>49</v>
      </c>
      <c r="DH12" s="53" t="s">
        <v>50</v>
      </c>
      <c r="DJ12" s="53" t="s">
        <v>2</v>
      </c>
      <c r="DK12" s="53" t="s">
        <v>37</v>
      </c>
      <c r="DL12" s="53" t="s">
        <v>38</v>
      </c>
      <c r="DM12" s="53" t="s">
        <v>39</v>
      </c>
      <c r="DN12" s="53" t="s">
        <v>40</v>
      </c>
      <c r="DO12" s="53" t="s">
        <v>41</v>
      </c>
      <c r="DP12" s="53" t="s">
        <v>42</v>
      </c>
      <c r="DQ12" s="53" t="s">
        <v>43</v>
      </c>
      <c r="DR12" s="53" t="s">
        <v>44</v>
      </c>
      <c r="DS12" s="53" t="s">
        <v>45</v>
      </c>
      <c r="DT12" s="53" t="s">
        <v>46</v>
      </c>
      <c r="DU12" s="53" t="s">
        <v>47</v>
      </c>
      <c r="DV12" s="53" t="s">
        <v>48</v>
      </c>
      <c r="DW12" s="53" t="s">
        <v>49</v>
      </c>
      <c r="DX12" s="53" t="s">
        <v>50</v>
      </c>
      <c r="DZ12" s="53" t="s">
        <v>2</v>
      </c>
      <c r="EA12" s="53" t="s">
        <v>37</v>
      </c>
      <c r="EB12" s="53" t="s">
        <v>38</v>
      </c>
      <c r="EC12" s="53" t="s">
        <v>39</v>
      </c>
      <c r="ED12" s="53" t="s">
        <v>40</v>
      </c>
      <c r="EE12" s="53" t="s">
        <v>41</v>
      </c>
      <c r="EF12" s="53" t="s">
        <v>42</v>
      </c>
      <c r="EG12" s="53" t="s">
        <v>43</v>
      </c>
      <c r="EH12" s="53" t="s">
        <v>44</v>
      </c>
      <c r="EI12" s="53" t="s">
        <v>45</v>
      </c>
      <c r="EJ12" s="53" t="s">
        <v>46</v>
      </c>
      <c r="EK12" s="53" t="s">
        <v>47</v>
      </c>
      <c r="EL12" s="53" t="s">
        <v>48</v>
      </c>
      <c r="EM12" s="53" t="s">
        <v>49</v>
      </c>
      <c r="EN12" s="53" t="s">
        <v>50</v>
      </c>
      <c r="EP12" s="53" t="s">
        <v>2</v>
      </c>
      <c r="EQ12" s="53" t="s">
        <v>37</v>
      </c>
      <c r="ER12" s="53" t="s">
        <v>38</v>
      </c>
      <c r="ES12" s="53" t="s">
        <v>39</v>
      </c>
      <c r="ET12" s="53" t="s">
        <v>40</v>
      </c>
      <c r="EU12" s="53" t="s">
        <v>41</v>
      </c>
      <c r="EV12" s="53" t="s">
        <v>42</v>
      </c>
      <c r="EW12" s="53" t="s">
        <v>43</v>
      </c>
      <c r="EX12" s="53" t="s">
        <v>44</v>
      </c>
      <c r="EY12" s="53" t="s">
        <v>45</v>
      </c>
      <c r="EZ12" s="53" t="s">
        <v>46</v>
      </c>
      <c r="FA12" s="53" t="s">
        <v>47</v>
      </c>
      <c r="FB12" s="53" t="s">
        <v>48</v>
      </c>
      <c r="FC12" s="53" t="s">
        <v>49</v>
      </c>
      <c r="FD12" s="53" t="s">
        <v>50</v>
      </c>
    </row>
    <row r="13" spans="2:160" ht="16.5" thickTop="1" x14ac:dyDescent="0.25">
      <c r="B13" s="54">
        <v>1995</v>
      </c>
      <c r="C13" s="55">
        <v>204</v>
      </c>
      <c r="D13" s="55">
        <v>206.1</v>
      </c>
      <c r="E13" s="55">
        <v>206.7</v>
      </c>
      <c r="F13" s="55">
        <v>207.4</v>
      </c>
      <c r="G13" s="55">
        <v>208.3</v>
      </c>
      <c r="H13" s="55">
        <v>208.7</v>
      </c>
      <c r="I13" s="55">
        <v>209.8</v>
      </c>
      <c r="J13" s="55">
        <v>210.1</v>
      </c>
      <c r="K13" s="55">
        <v>210.3</v>
      </c>
      <c r="L13" s="55">
        <v>210.9</v>
      </c>
      <c r="M13" s="55">
        <v>211.5</v>
      </c>
      <c r="N13" s="55">
        <v>212.1</v>
      </c>
      <c r="O13" s="51"/>
      <c r="P13" s="51"/>
      <c r="R13" s="33">
        <v>1995</v>
      </c>
      <c r="S13" s="38">
        <v>143.6</v>
      </c>
      <c r="T13" s="38">
        <v>144</v>
      </c>
      <c r="U13" s="38">
        <v>144</v>
      </c>
      <c r="V13" s="38">
        <v>144.6</v>
      </c>
      <c r="W13" s="38">
        <v>144.69999999999999</v>
      </c>
      <c r="X13" s="38">
        <v>144.69999999999999</v>
      </c>
      <c r="Y13" s="38">
        <v>142.9</v>
      </c>
      <c r="Z13" s="38">
        <v>143.5</v>
      </c>
      <c r="AA13" s="38">
        <v>143.4</v>
      </c>
      <c r="AB13" s="38">
        <v>143.6</v>
      </c>
      <c r="AC13" s="38">
        <v>143.69999999999999</v>
      </c>
      <c r="AD13" s="38">
        <v>144.1</v>
      </c>
      <c r="AE13" s="34"/>
      <c r="AF13" s="34"/>
      <c r="AH13" s="54">
        <v>1995</v>
      </c>
      <c r="AI13" s="55">
        <v>219.8</v>
      </c>
      <c r="AJ13" s="55">
        <v>221.3</v>
      </c>
      <c r="AK13" s="55">
        <v>221.8</v>
      </c>
      <c r="AL13" s="55">
        <v>222.4</v>
      </c>
      <c r="AM13" s="55">
        <v>223</v>
      </c>
      <c r="AN13" s="55">
        <v>223.5</v>
      </c>
      <c r="AO13" s="55">
        <v>224.6</v>
      </c>
      <c r="AP13" s="55">
        <v>225.6</v>
      </c>
      <c r="AQ13" s="55">
        <v>226.1</v>
      </c>
      <c r="AR13" s="55">
        <v>226.9</v>
      </c>
      <c r="AS13" s="55">
        <v>227.4</v>
      </c>
      <c r="AT13" s="55">
        <v>227.8</v>
      </c>
      <c r="AU13" s="55">
        <v>222</v>
      </c>
      <c r="AV13" s="55">
        <v>226.4</v>
      </c>
      <c r="AX13" s="54">
        <v>1995</v>
      </c>
      <c r="AY13" s="55">
        <v>233</v>
      </c>
      <c r="AZ13" s="55">
        <v>233.6</v>
      </c>
      <c r="BA13" s="55">
        <v>233.6</v>
      </c>
      <c r="BB13" s="55">
        <v>233.5</v>
      </c>
      <c r="BC13" s="55">
        <v>233.9</v>
      </c>
      <c r="BD13" s="55">
        <v>234.4</v>
      </c>
      <c r="BE13" s="55">
        <v>235</v>
      </c>
      <c r="BF13" s="55">
        <v>235.4</v>
      </c>
      <c r="BG13" s="55">
        <v>235.7</v>
      </c>
      <c r="BH13" s="55">
        <v>236.7</v>
      </c>
      <c r="BI13" s="55">
        <v>237.7</v>
      </c>
      <c r="BJ13" s="55">
        <v>237.8</v>
      </c>
      <c r="BK13" s="51"/>
      <c r="BL13" s="51"/>
      <c r="BN13" s="54">
        <v>2009</v>
      </c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6">
        <v>100</v>
      </c>
      <c r="CA13" s="51"/>
      <c r="CB13" s="51"/>
      <c r="CD13" s="54">
        <v>1995</v>
      </c>
      <c r="CE13" s="55">
        <v>150.30000000000001</v>
      </c>
      <c r="CF13" s="55">
        <v>150.9</v>
      </c>
      <c r="CG13" s="55">
        <v>151.4</v>
      </c>
      <c r="CH13" s="55">
        <v>151.9</v>
      </c>
      <c r="CI13" s="55">
        <v>152.19999999999999</v>
      </c>
      <c r="CJ13" s="55">
        <v>152.5</v>
      </c>
      <c r="CK13" s="55">
        <v>152.5</v>
      </c>
      <c r="CL13" s="55">
        <v>152.9</v>
      </c>
      <c r="CM13" s="55">
        <v>153.19999999999999</v>
      </c>
      <c r="CN13" s="55">
        <v>153.69999999999999</v>
      </c>
      <c r="CO13" s="55">
        <v>153.6</v>
      </c>
      <c r="CP13" s="55">
        <v>153.5</v>
      </c>
      <c r="CQ13" s="55">
        <v>151.5</v>
      </c>
      <c r="CR13" s="55">
        <v>153.19999999999999</v>
      </c>
      <c r="CT13" s="54">
        <v>1996</v>
      </c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5">
        <v>100</v>
      </c>
      <c r="DG13" s="51"/>
      <c r="DH13" s="51"/>
      <c r="DJ13" s="54">
        <v>1996</v>
      </c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5">
        <v>100</v>
      </c>
      <c r="DW13" s="51"/>
      <c r="DX13" s="51"/>
      <c r="DZ13" s="54">
        <v>1995</v>
      </c>
      <c r="EA13" s="55">
        <v>200.9</v>
      </c>
      <c r="EB13" s="55">
        <v>202</v>
      </c>
      <c r="EC13" s="55">
        <v>201.7</v>
      </c>
      <c r="ED13" s="55">
        <v>202.1</v>
      </c>
      <c r="EE13" s="55">
        <v>202.4</v>
      </c>
      <c r="EF13" s="55">
        <v>202.5</v>
      </c>
      <c r="EG13" s="55">
        <v>204</v>
      </c>
      <c r="EH13" s="55">
        <v>206</v>
      </c>
      <c r="EI13" s="55">
        <v>206.5</v>
      </c>
      <c r="EJ13" s="55">
        <v>208.1</v>
      </c>
      <c r="EK13" s="55">
        <v>209.3</v>
      </c>
      <c r="EL13" s="55">
        <v>209.2</v>
      </c>
      <c r="EM13" s="51"/>
      <c r="EN13" s="51"/>
      <c r="EP13" s="54">
        <v>2009</v>
      </c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6">
        <v>100</v>
      </c>
      <c r="FC13" s="51"/>
      <c r="FD13" s="51"/>
    </row>
    <row r="14" spans="2:160" x14ac:dyDescent="0.25">
      <c r="B14" s="54">
        <v>1996</v>
      </c>
      <c r="C14" s="55">
        <v>213.4</v>
      </c>
      <c r="D14" s="55">
        <v>214.5</v>
      </c>
      <c r="E14" s="55">
        <v>215</v>
      </c>
      <c r="F14" s="55">
        <v>215.4</v>
      </c>
      <c r="G14" s="55">
        <v>215.9</v>
      </c>
      <c r="H14" s="55">
        <v>216</v>
      </c>
      <c r="I14" s="55">
        <v>217</v>
      </c>
      <c r="J14" s="55">
        <v>217</v>
      </c>
      <c r="K14" s="55">
        <v>217.3</v>
      </c>
      <c r="L14" s="55">
        <v>217.9</v>
      </c>
      <c r="M14" s="55">
        <v>218.6</v>
      </c>
      <c r="N14" s="55">
        <v>218.5</v>
      </c>
      <c r="O14" s="51"/>
      <c r="P14" s="51"/>
      <c r="R14" s="33">
        <v>1996</v>
      </c>
      <c r="S14" s="38">
        <v>144.69999999999999</v>
      </c>
      <c r="T14" s="38">
        <v>145.19999999999999</v>
      </c>
      <c r="U14" s="38">
        <v>145.5</v>
      </c>
      <c r="V14" s="38">
        <v>145.80000000000001</v>
      </c>
      <c r="W14" s="38">
        <v>146.4</v>
      </c>
      <c r="X14" s="38">
        <v>146.69999999999999</v>
      </c>
      <c r="Y14" s="38">
        <v>146.6</v>
      </c>
      <c r="Z14" s="38">
        <v>146.69999999999999</v>
      </c>
      <c r="AA14" s="38">
        <v>146.9</v>
      </c>
      <c r="AB14" s="38">
        <v>147.4</v>
      </c>
      <c r="AC14" s="38">
        <v>148.30000000000001</v>
      </c>
      <c r="AD14" s="38">
        <v>148.4</v>
      </c>
      <c r="AE14" s="34"/>
      <c r="AF14" s="34"/>
      <c r="AH14" s="54">
        <v>1996</v>
      </c>
      <c r="AI14" s="55">
        <v>229.3</v>
      </c>
      <c r="AJ14" s="55">
        <v>230.3</v>
      </c>
      <c r="AK14" s="55">
        <v>230.7</v>
      </c>
      <c r="AL14" s="55">
        <v>231.1</v>
      </c>
      <c r="AM14" s="55">
        <v>231.6</v>
      </c>
      <c r="AN14" s="55">
        <v>231.9</v>
      </c>
      <c r="AO14" s="55">
        <v>232.9</v>
      </c>
      <c r="AP14" s="55">
        <v>233.4</v>
      </c>
      <c r="AQ14" s="55">
        <v>233.6</v>
      </c>
      <c r="AR14" s="55">
        <v>234.2</v>
      </c>
      <c r="AS14" s="55">
        <v>234.9</v>
      </c>
      <c r="AT14" s="55">
        <v>235</v>
      </c>
      <c r="AU14" s="55">
        <v>230.8</v>
      </c>
      <c r="AV14" s="55">
        <v>234</v>
      </c>
      <c r="AX14" s="54">
        <v>1996</v>
      </c>
      <c r="AY14" s="55">
        <v>238.9</v>
      </c>
      <c r="AZ14" s="55">
        <v>240.2</v>
      </c>
      <c r="BA14" s="55">
        <v>241.1</v>
      </c>
      <c r="BB14" s="55">
        <v>242</v>
      </c>
      <c r="BC14" s="55">
        <v>242.1</v>
      </c>
      <c r="BD14" s="55">
        <v>242.9</v>
      </c>
      <c r="BE14" s="55">
        <v>243.3</v>
      </c>
      <c r="BF14" s="55">
        <v>243.9</v>
      </c>
      <c r="BG14" s="55">
        <v>243.9</v>
      </c>
      <c r="BH14" s="55">
        <v>245.5</v>
      </c>
      <c r="BI14" s="55">
        <v>245.1</v>
      </c>
      <c r="BJ14" s="55">
        <v>245.4</v>
      </c>
      <c r="BK14" s="51"/>
      <c r="BL14" s="51"/>
      <c r="BN14" s="54">
        <v>2010</v>
      </c>
      <c r="BO14" s="56">
        <v>99.849000000000004</v>
      </c>
      <c r="BP14" s="56">
        <v>100.31</v>
      </c>
      <c r="BQ14" s="56">
        <v>100.726</v>
      </c>
      <c r="BR14" s="56">
        <v>100.90900000000001</v>
      </c>
      <c r="BS14" s="56">
        <v>101.123</v>
      </c>
      <c r="BT14" s="56">
        <v>100.82299999999999</v>
      </c>
      <c r="BU14" s="56">
        <v>100.009</v>
      </c>
      <c r="BV14" s="56">
        <v>99.204999999999998</v>
      </c>
      <c r="BW14" s="56">
        <v>99.361000000000004</v>
      </c>
      <c r="BX14" s="56">
        <v>99.150999999999996</v>
      </c>
      <c r="BY14" s="56">
        <v>99.052999999999997</v>
      </c>
      <c r="BZ14" s="56">
        <v>98.974999999999994</v>
      </c>
      <c r="CA14" s="51"/>
      <c r="CB14" s="51"/>
      <c r="CD14" s="54">
        <v>1996</v>
      </c>
      <c r="CE14" s="55">
        <v>154.4</v>
      </c>
      <c r="CF14" s="55">
        <v>154.9</v>
      </c>
      <c r="CG14" s="55">
        <v>155.69999999999999</v>
      </c>
      <c r="CH14" s="55">
        <v>156.30000000000001</v>
      </c>
      <c r="CI14" s="55">
        <v>156.6</v>
      </c>
      <c r="CJ14" s="55">
        <v>156.69999999999999</v>
      </c>
      <c r="CK14" s="55">
        <v>157</v>
      </c>
      <c r="CL14" s="55">
        <v>157.30000000000001</v>
      </c>
      <c r="CM14" s="55">
        <v>157.80000000000001</v>
      </c>
      <c r="CN14" s="55">
        <v>158.30000000000001</v>
      </c>
      <c r="CO14" s="55">
        <v>158.6</v>
      </c>
      <c r="CP14" s="55">
        <v>158.6</v>
      </c>
      <c r="CQ14" s="55">
        <v>155.80000000000001</v>
      </c>
      <c r="CR14" s="55">
        <v>157.9</v>
      </c>
      <c r="CT14" s="54">
        <v>1997</v>
      </c>
      <c r="CU14" s="55">
        <v>100.8</v>
      </c>
      <c r="CV14" s="55">
        <v>101</v>
      </c>
      <c r="CW14" s="55">
        <v>101.1</v>
      </c>
      <c r="CX14" s="55">
        <v>101.2</v>
      </c>
      <c r="CY14" s="55">
        <v>101.3</v>
      </c>
      <c r="CZ14" s="55">
        <v>101.3</v>
      </c>
      <c r="DA14" s="55">
        <v>101.5</v>
      </c>
      <c r="DB14" s="55">
        <v>101.9</v>
      </c>
      <c r="DC14" s="55">
        <v>102</v>
      </c>
      <c r="DD14" s="55">
        <v>102.3</v>
      </c>
      <c r="DE14" s="55">
        <v>102.7</v>
      </c>
      <c r="DF14" s="55">
        <v>103.2</v>
      </c>
      <c r="DG14" s="51"/>
      <c r="DH14" s="51"/>
      <c r="DJ14" s="54">
        <v>1997</v>
      </c>
      <c r="DK14" s="55">
        <v>100.6</v>
      </c>
      <c r="DL14" s="55">
        <v>100.8</v>
      </c>
      <c r="DM14" s="55">
        <v>100.9</v>
      </c>
      <c r="DN14" s="55">
        <v>101</v>
      </c>
      <c r="DO14" s="55">
        <v>101</v>
      </c>
      <c r="DP14" s="55">
        <v>101</v>
      </c>
      <c r="DQ14" s="55">
        <v>101.3</v>
      </c>
      <c r="DR14" s="55">
        <v>101.5</v>
      </c>
      <c r="DS14" s="55">
        <v>101.6</v>
      </c>
      <c r="DT14" s="55">
        <v>101.7</v>
      </c>
      <c r="DU14" s="55">
        <v>102.1</v>
      </c>
      <c r="DV14" s="55">
        <v>102.5</v>
      </c>
      <c r="DW14" s="51"/>
      <c r="DX14" s="51"/>
      <c r="DZ14" s="54">
        <v>1996</v>
      </c>
      <c r="EA14" s="55">
        <v>211</v>
      </c>
      <c r="EB14" s="55">
        <v>211.7</v>
      </c>
      <c r="EC14" s="55">
        <v>212.3</v>
      </c>
      <c r="ED14" s="55">
        <v>212.9</v>
      </c>
      <c r="EE14" s="55">
        <v>213.6</v>
      </c>
      <c r="EF14" s="55">
        <v>215.1</v>
      </c>
      <c r="EG14" s="55">
        <v>216.3</v>
      </c>
      <c r="EH14" s="55">
        <v>216.7</v>
      </c>
      <c r="EI14" s="55">
        <v>216.6</v>
      </c>
      <c r="EJ14" s="55">
        <v>217.2</v>
      </c>
      <c r="EK14" s="55">
        <v>218</v>
      </c>
      <c r="EL14" s="55">
        <v>219.2</v>
      </c>
      <c r="EM14" s="51"/>
      <c r="EN14" s="51"/>
      <c r="EP14" s="54">
        <v>2010</v>
      </c>
      <c r="EQ14" s="56">
        <v>100.123</v>
      </c>
      <c r="ER14" s="56">
        <v>99.991</v>
      </c>
      <c r="ES14" s="56">
        <v>99.522000000000006</v>
      </c>
      <c r="ET14" s="56">
        <v>98.876999999999995</v>
      </c>
      <c r="EU14" s="56">
        <v>98.698999999999998</v>
      </c>
      <c r="EV14" s="56">
        <v>97.888000000000005</v>
      </c>
      <c r="EW14" s="56">
        <v>97.900999999999996</v>
      </c>
      <c r="EX14" s="56">
        <v>98.144999999999996</v>
      </c>
      <c r="EY14" s="56">
        <v>98.983999999999995</v>
      </c>
      <c r="EZ14" s="56">
        <v>99.081999999999994</v>
      </c>
      <c r="FA14" s="56">
        <v>99.77</v>
      </c>
      <c r="FB14" s="56">
        <v>99.944999999999993</v>
      </c>
      <c r="FC14" s="51"/>
      <c r="FD14" s="51"/>
    </row>
    <row r="15" spans="2:160" x14ac:dyDescent="0.25">
      <c r="B15" s="54">
        <v>1997</v>
      </c>
      <c r="C15" s="55">
        <v>219.8</v>
      </c>
      <c r="D15" s="55">
        <v>220.7</v>
      </c>
      <c r="E15" s="55">
        <v>221.9</v>
      </c>
      <c r="F15" s="55">
        <v>222.3</v>
      </c>
      <c r="G15" s="55">
        <v>222.9</v>
      </c>
      <c r="H15" s="55">
        <v>223.2</v>
      </c>
      <c r="I15" s="55">
        <v>223.5</v>
      </c>
      <c r="J15" s="55">
        <v>223.8</v>
      </c>
      <c r="K15" s="55">
        <v>223.8</v>
      </c>
      <c r="L15" s="55">
        <v>223.9</v>
      </c>
      <c r="M15" s="55">
        <v>224.1</v>
      </c>
      <c r="N15" s="55">
        <v>224.5</v>
      </c>
      <c r="O15" s="51"/>
      <c r="P15" s="51"/>
      <c r="R15" s="33">
        <v>1997</v>
      </c>
      <c r="S15" s="38">
        <v>149.1</v>
      </c>
      <c r="T15" s="38">
        <v>150.6</v>
      </c>
      <c r="U15" s="38">
        <v>151.19999999999999</v>
      </c>
      <c r="V15" s="38">
        <v>151.9</v>
      </c>
      <c r="W15" s="38">
        <v>152.1</v>
      </c>
      <c r="X15" s="38">
        <v>152.1</v>
      </c>
      <c r="Y15" s="38">
        <v>152.1</v>
      </c>
      <c r="Z15" s="38">
        <v>152.5</v>
      </c>
      <c r="AA15" s="38">
        <v>152.30000000000001</v>
      </c>
      <c r="AB15" s="38">
        <v>152.19999999999999</v>
      </c>
      <c r="AC15" s="38">
        <v>153</v>
      </c>
      <c r="AD15" s="38">
        <v>153</v>
      </c>
      <c r="AE15" s="34"/>
      <c r="AF15" s="34"/>
      <c r="AH15" s="54">
        <v>1997</v>
      </c>
      <c r="AI15" s="55">
        <v>236.3</v>
      </c>
      <c r="AJ15" s="55">
        <v>237.1</v>
      </c>
      <c r="AK15" s="55">
        <v>237.7</v>
      </c>
      <c r="AL15" s="55">
        <v>238.1</v>
      </c>
      <c r="AM15" s="55">
        <v>238.5</v>
      </c>
      <c r="AN15" s="55">
        <v>238.7</v>
      </c>
      <c r="AO15" s="55">
        <v>239.2</v>
      </c>
      <c r="AP15" s="55">
        <v>239.8</v>
      </c>
      <c r="AQ15" s="55">
        <v>240</v>
      </c>
      <c r="AR15" s="55">
        <v>240.5</v>
      </c>
      <c r="AS15" s="55">
        <v>241.2</v>
      </c>
      <c r="AT15" s="55">
        <v>241.8</v>
      </c>
      <c r="AU15" s="55">
        <v>237.7</v>
      </c>
      <c r="AV15" s="55">
        <v>240.4</v>
      </c>
      <c r="AX15" s="54">
        <v>1997</v>
      </c>
      <c r="AY15" s="55">
        <v>246.5</v>
      </c>
      <c r="AZ15" s="55">
        <v>247.6</v>
      </c>
      <c r="BA15" s="55">
        <v>248.6</v>
      </c>
      <c r="BB15" s="55">
        <v>249.2</v>
      </c>
      <c r="BC15" s="55">
        <v>249.9</v>
      </c>
      <c r="BD15" s="55">
        <v>250.4</v>
      </c>
      <c r="BE15" s="55">
        <v>250</v>
      </c>
      <c r="BF15" s="55">
        <v>249.4</v>
      </c>
      <c r="BG15" s="55">
        <v>249.3</v>
      </c>
      <c r="BH15" s="55">
        <v>249</v>
      </c>
      <c r="BI15" s="55">
        <v>249.7</v>
      </c>
      <c r="BJ15" s="55">
        <v>251.5</v>
      </c>
      <c r="BK15" s="51"/>
      <c r="BL15" s="51"/>
      <c r="BN15" s="54">
        <v>2011</v>
      </c>
      <c r="BO15" s="56">
        <v>98.417000000000002</v>
      </c>
      <c r="BP15" s="56">
        <v>98.290999999999997</v>
      </c>
      <c r="BQ15" s="56">
        <v>99.007000000000005</v>
      </c>
      <c r="BR15" s="56">
        <v>99.588999999999999</v>
      </c>
      <c r="BS15" s="56">
        <v>99.04</v>
      </c>
      <c r="BT15" s="56">
        <v>98.641000000000005</v>
      </c>
      <c r="BU15" s="56">
        <v>98.421000000000006</v>
      </c>
      <c r="BV15" s="56">
        <v>97.894999999999996</v>
      </c>
      <c r="BW15" s="56">
        <v>97.92</v>
      </c>
      <c r="BX15" s="56">
        <v>98.210999999999999</v>
      </c>
      <c r="BY15" s="56">
        <v>98.941999999999993</v>
      </c>
      <c r="BZ15" s="56">
        <v>99.088999999999999</v>
      </c>
      <c r="CA15" s="51"/>
      <c r="CB15" s="51"/>
      <c r="CD15" s="54">
        <v>1997</v>
      </c>
      <c r="CE15" s="55">
        <v>159.1</v>
      </c>
      <c r="CF15" s="55">
        <v>159.6</v>
      </c>
      <c r="CG15" s="55">
        <v>160</v>
      </c>
      <c r="CH15" s="55">
        <v>160.19999999999999</v>
      </c>
      <c r="CI15" s="55">
        <v>160.1</v>
      </c>
      <c r="CJ15" s="55">
        <v>160.30000000000001</v>
      </c>
      <c r="CK15" s="55">
        <v>160.5</v>
      </c>
      <c r="CL15" s="55">
        <v>160.80000000000001</v>
      </c>
      <c r="CM15" s="55">
        <v>161.19999999999999</v>
      </c>
      <c r="CN15" s="55">
        <v>161.6</v>
      </c>
      <c r="CO15" s="55">
        <v>161.5</v>
      </c>
      <c r="CP15" s="55">
        <v>161.30000000000001</v>
      </c>
      <c r="CQ15" s="55">
        <v>159.9</v>
      </c>
      <c r="CR15" s="55">
        <v>161.19999999999999</v>
      </c>
      <c r="CT15" s="54">
        <v>1998</v>
      </c>
      <c r="CU15" s="55">
        <v>103.5</v>
      </c>
      <c r="CV15" s="55">
        <v>104.1</v>
      </c>
      <c r="CW15" s="55">
        <v>104.1</v>
      </c>
      <c r="CX15" s="55">
        <v>104.3</v>
      </c>
      <c r="CY15" s="55">
        <v>104.2</v>
      </c>
      <c r="CZ15" s="55">
        <v>104.3</v>
      </c>
      <c r="DA15" s="55">
        <v>105.2</v>
      </c>
      <c r="DB15" s="55">
        <v>105.7</v>
      </c>
      <c r="DC15" s="55">
        <v>105.5</v>
      </c>
      <c r="DD15" s="55">
        <v>105.9</v>
      </c>
      <c r="DE15" s="55">
        <v>106.2</v>
      </c>
      <c r="DF15" s="55">
        <v>106.4</v>
      </c>
      <c r="DG15" s="51"/>
      <c r="DH15" s="51"/>
      <c r="DJ15" s="54">
        <v>1998</v>
      </c>
      <c r="DK15" s="55">
        <v>102.8</v>
      </c>
      <c r="DL15" s="55">
        <v>103.3</v>
      </c>
      <c r="DM15" s="55">
        <v>103.2</v>
      </c>
      <c r="DN15" s="55">
        <v>103.3</v>
      </c>
      <c r="DO15" s="55">
        <v>103.2</v>
      </c>
      <c r="DP15" s="55">
        <v>103.4</v>
      </c>
      <c r="DQ15" s="55">
        <v>104.2</v>
      </c>
      <c r="DR15" s="55">
        <v>104.6</v>
      </c>
      <c r="DS15" s="55">
        <v>104.5</v>
      </c>
      <c r="DT15" s="55">
        <v>104.7</v>
      </c>
      <c r="DU15" s="55">
        <v>105</v>
      </c>
      <c r="DV15" s="55">
        <v>105.2</v>
      </c>
      <c r="DW15" s="51"/>
      <c r="DX15" s="51"/>
      <c r="DZ15" s="54">
        <v>1997</v>
      </c>
      <c r="EA15" s="55">
        <v>221.5</v>
      </c>
      <c r="EB15" s="55">
        <v>223.2</v>
      </c>
      <c r="EC15" s="55">
        <v>223.1</v>
      </c>
      <c r="ED15" s="55">
        <v>223.3</v>
      </c>
      <c r="EE15" s="55">
        <v>223.6</v>
      </c>
      <c r="EF15" s="55">
        <v>224.1</v>
      </c>
      <c r="EG15" s="55">
        <v>224.6</v>
      </c>
      <c r="EH15" s="55">
        <v>225.6</v>
      </c>
      <c r="EI15" s="55">
        <v>226.1</v>
      </c>
      <c r="EJ15" s="55">
        <v>227.2</v>
      </c>
      <c r="EK15" s="55">
        <v>227.7</v>
      </c>
      <c r="EL15" s="55">
        <v>228.3</v>
      </c>
      <c r="EM15" s="51"/>
      <c r="EN15" s="51"/>
      <c r="EP15" s="54">
        <v>2011</v>
      </c>
      <c r="EQ15" s="56">
        <v>99.994</v>
      </c>
      <c r="ER15" s="56">
        <v>99.57</v>
      </c>
      <c r="ES15" s="56">
        <v>99.561999999999998</v>
      </c>
      <c r="ET15" s="56">
        <v>99.382000000000005</v>
      </c>
      <c r="EU15" s="56">
        <v>98.965000000000003</v>
      </c>
      <c r="EV15" s="56">
        <v>100.194</v>
      </c>
      <c r="EW15" s="56">
        <v>98.188999999999993</v>
      </c>
      <c r="EX15" s="56">
        <v>97.253</v>
      </c>
      <c r="EY15" s="56">
        <v>98.816999999999993</v>
      </c>
      <c r="EZ15" s="56">
        <v>100.383</v>
      </c>
      <c r="FA15" s="56">
        <v>100.262</v>
      </c>
      <c r="FB15" s="56">
        <v>99.593999999999994</v>
      </c>
      <c r="FC15" s="51"/>
      <c r="FD15" s="51"/>
    </row>
    <row r="16" spans="2:160" x14ac:dyDescent="0.25">
      <c r="B16" s="54">
        <v>1998</v>
      </c>
      <c r="C16" s="55">
        <v>225.3</v>
      </c>
      <c r="D16" s="55">
        <v>226.9</v>
      </c>
      <c r="E16" s="55">
        <v>227.6</v>
      </c>
      <c r="F16" s="55">
        <v>228.1</v>
      </c>
      <c r="G16" s="55">
        <v>228.6</v>
      </c>
      <c r="H16" s="55">
        <v>229.8</v>
      </c>
      <c r="I16" s="55">
        <v>230.1</v>
      </c>
      <c r="J16" s="55">
        <v>230.9</v>
      </c>
      <c r="K16" s="55">
        <v>231.4</v>
      </c>
      <c r="L16" s="55">
        <v>231.4</v>
      </c>
      <c r="M16" s="55">
        <v>231.7</v>
      </c>
      <c r="N16" s="55">
        <v>231.9</v>
      </c>
      <c r="O16" s="51"/>
      <c r="P16" s="51"/>
      <c r="R16" s="33">
        <v>1998</v>
      </c>
      <c r="S16" s="38">
        <v>154.1</v>
      </c>
      <c r="T16" s="38">
        <v>154.4</v>
      </c>
      <c r="U16" s="38">
        <v>155</v>
      </c>
      <c r="V16" s="38">
        <v>155.5</v>
      </c>
      <c r="W16" s="38">
        <v>155.80000000000001</v>
      </c>
      <c r="X16" s="38">
        <v>155.80000000000001</v>
      </c>
      <c r="Y16" s="38">
        <v>155.4</v>
      </c>
      <c r="Z16" s="38">
        <v>154.9</v>
      </c>
      <c r="AA16" s="38">
        <v>155.1</v>
      </c>
      <c r="AB16" s="38">
        <v>155.5</v>
      </c>
      <c r="AC16" s="38">
        <v>156.4</v>
      </c>
      <c r="AD16" s="38">
        <v>156.69999999999999</v>
      </c>
      <c r="AE16" s="34"/>
      <c r="AF16" s="34"/>
      <c r="AH16" s="54">
        <v>1998</v>
      </c>
      <c r="AI16" s="55">
        <v>242.9</v>
      </c>
      <c r="AJ16" s="55">
        <v>244.2</v>
      </c>
      <c r="AK16" s="55">
        <v>244.8</v>
      </c>
      <c r="AL16" s="55">
        <v>245.4</v>
      </c>
      <c r="AM16" s="55">
        <v>245.9</v>
      </c>
      <c r="AN16" s="55">
        <v>246.5</v>
      </c>
      <c r="AO16" s="55">
        <v>247.4</v>
      </c>
      <c r="AP16" s="55">
        <v>248.2</v>
      </c>
      <c r="AQ16" s="55">
        <v>248.4</v>
      </c>
      <c r="AR16" s="55">
        <v>249</v>
      </c>
      <c r="AS16" s="55">
        <v>249.3</v>
      </c>
      <c r="AT16" s="55">
        <v>249.6</v>
      </c>
      <c r="AU16" s="55">
        <v>245</v>
      </c>
      <c r="AV16" s="55">
        <v>248.7</v>
      </c>
      <c r="AX16" s="54">
        <v>1998</v>
      </c>
      <c r="AY16" s="55">
        <v>252.4</v>
      </c>
      <c r="AZ16" s="55">
        <v>253.7</v>
      </c>
      <c r="BA16" s="55">
        <v>253.9</v>
      </c>
      <c r="BB16" s="55">
        <v>255.9</v>
      </c>
      <c r="BC16" s="55">
        <v>258.2</v>
      </c>
      <c r="BD16" s="55">
        <v>258.7</v>
      </c>
      <c r="BE16" s="55">
        <v>259.39999999999998</v>
      </c>
      <c r="BF16" s="55">
        <v>260.5</v>
      </c>
      <c r="BG16" s="55">
        <v>261.8</v>
      </c>
      <c r="BH16" s="55">
        <v>262.39999999999998</v>
      </c>
      <c r="BI16" s="55">
        <v>262.8</v>
      </c>
      <c r="BJ16" s="55">
        <v>263.8</v>
      </c>
      <c r="BK16" s="51"/>
      <c r="BL16" s="51"/>
      <c r="BN16" s="54">
        <v>2012</v>
      </c>
      <c r="BO16" s="56">
        <v>98.644999999999996</v>
      </c>
      <c r="BP16" s="56">
        <v>98.161000000000001</v>
      </c>
      <c r="BQ16" s="56">
        <v>99.153999999999996</v>
      </c>
      <c r="BR16" s="56">
        <v>98.891999999999996</v>
      </c>
      <c r="BS16" s="56">
        <v>99.376999999999995</v>
      </c>
      <c r="BT16" s="56">
        <v>99.486999999999995</v>
      </c>
      <c r="BU16" s="56">
        <v>99.801000000000002</v>
      </c>
      <c r="BV16" s="56">
        <v>99.811999999999998</v>
      </c>
      <c r="BW16" s="56">
        <v>99.659000000000006</v>
      </c>
      <c r="BX16" s="56">
        <v>99.522999999999996</v>
      </c>
      <c r="BY16" s="56">
        <v>99.805000000000007</v>
      </c>
      <c r="BZ16" s="56">
        <v>99.742000000000004</v>
      </c>
      <c r="CA16" s="51"/>
      <c r="CB16" s="51"/>
      <c r="CD16" s="54">
        <v>1998</v>
      </c>
      <c r="CE16" s="55">
        <v>161.6</v>
      </c>
      <c r="CF16" s="55">
        <v>161.9</v>
      </c>
      <c r="CG16" s="55">
        <v>162.19999999999999</v>
      </c>
      <c r="CH16" s="55">
        <v>162.5</v>
      </c>
      <c r="CI16" s="55">
        <v>162.80000000000001</v>
      </c>
      <c r="CJ16" s="55">
        <v>163</v>
      </c>
      <c r="CK16" s="55">
        <v>163.19999999999999</v>
      </c>
      <c r="CL16" s="55">
        <v>163.4</v>
      </c>
      <c r="CM16" s="55">
        <v>163.6</v>
      </c>
      <c r="CN16" s="55">
        <v>164</v>
      </c>
      <c r="CO16" s="55">
        <v>164</v>
      </c>
      <c r="CP16" s="55">
        <v>163.9</v>
      </c>
      <c r="CQ16" s="55">
        <v>162.30000000000001</v>
      </c>
      <c r="CR16" s="55">
        <v>163.69999999999999</v>
      </c>
      <c r="CT16" s="54">
        <v>1999</v>
      </c>
      <c r="CU16" s="55">
        <v>107.5</v>
      </c>
      <c r="CV16" s="55">
        <v>108.1</v>
      </c>
      <c r="CW16" s="55">
        <v>108.3</v>
      </c>
      <c r="CX16" s="55">
        <v>108.1</v>
      </c>
      <c r="CY16" s="55">
        <v>108.4</v>
      </c>
      <c r="CZ16" s="55">
        <v>108.6</v>
      </c>
      <c r="DA16" s="55">
        <v>109.3</v>
      </c>
      <c r="DB16" s="55">
        <v>110</v>
      </c>
      <c r="DC16" s="55">
        <v>110.3</v>
      </c>
      <c r="DD16" s="55">
        <v>110.6</v>
      </c>
      <c r="DE16" s="55">
        <v>110.9</v>
      </c>
      <c r="DF16" s="55">
        <v>111.8</v>
      </c>
      <c r="DG16" s="51"/>
      <c r="DH16" s="51"/>
      <c r="DJ16" s="54">
        <v>1999</v>
      </c>
      <c r="DK16" s="55">
        <v>106.3</v>
      </c>
      <c r="DL16" s="55">
        <v>106.9</v>
      </c>
      <c r="DM16" s="55">
        <v>106.9</v>
      </c>
      <c r="DN16" s="55">
        <v>106.8</v>
      </c>
      <c r="DO16" s="55">
        <v>107</v>
      </c>
      <c r="DP16" s="55">
        <v>107.2</v>
      </c>
      <c r="DQ16" s="55">
        <v>107.8</v>
      </c>
      <c r="DR16" s="55">
        <v>108.4</v>
      </c>
      <c r="DS16" s="55">
        <v>108.7</v>
      </c>
      <c r="DT16" s="55">
        <v>108.9</v>
      </c>
      <c r="DU16" s="55">
        <v>109.2</v>
      </c>
      <c r="DV16" s="55">
        <v>110.1</v>
      </c>
      <c r="DW16" s="51"/>
      <c r="DX16" s="51"/>
      <c r="DZ16" s="54">
        <v>1998</v>
      </c>
      <c r="EA16" s="55">
        <v>228.6</v>
      </c>
      <c r="EB16" s="55">
        <v>230.4</v>
      </c>
      <c r="EC16" s="55">
        <v>230.9</v>
      </c>
      <c r="ED16" s="55">
        <v>231.5</v>
      </c>
      <c r="EE16" s="55">
        <v>231.7</v>
      </c>
      <c r="EF16" s="55">
        <v>231.6</v>
      </c>
      <c r="EG16" s="55">
        <v>233.5</v>
      </c>
      <c r="EH16" s="55">
        <v>234.9</v>
      </c>
      <c r="EI16" s="55">
        <v>234.7</v>
      </c>
      <c r="EJ16" s="55">
        <v>236</v>
      </c>
      <c r="EK16" s="55">
        <v>236.7</v>
      </c>
      <c r="EL16" s="55">
        <v>237.3</v>
      </c>
      <c r="EM16" s="51"/>
      <c r="EN16" s="51"/>
      <c r="EP16" s="54">
        <v>2012</v>
      </c>
      <c r="EQ16" s="56">
        <v>99.688000000000002</v>
      </c>
      <c r="ER16" s="56">
        <v>100.387</v>
      </c>
      <c r="ES16" s="56">
        <v>100.047</v>
      </c>
      <c r="ET16" s="56">
        <v>100.17100000000001</v>
      </c>
      <c r="EU16" s="56">
        <v>101.172</v>
      </c>
      <c r="EV16" s="56">
        <v>100.93</v>
      </c>
      <c r="EW16" s="56">
        <v>100.62</v>
      </c>
      <c r="EX16" s="56">
        <v>100.10599999999999</v>
      </c>
      <c r="EY16" s="56">
        <v>100.175</v>
      </c>
      <c r="EZ16" s="56">
        <v>100.72199999999999</v>
      </c>
      <c r="FA16" s="56">
        <v>101.459</v>
      </c>
      <c r="FB16" s="56">
        <v>101.529</v>
      </c>
      <c r="FC16" s="51"/>
      <c r="FD16" s="51"/>
    </row>
    <row r="17" spans="2:160" x14ac:dyDescent="0.25">
      <c r="B17" s="54">
        <v>1999</v>
      </c>
      <c r="C17" s="55">
        <v>232.9</v>
      </c>
      <c r="D17" s="55">
        <v>233.9</v>
      </c>
      <c r="E17" s="55">
        <v>234.4</v>
      </c>
      <c r="F17" s="55">
        <v>235.3</v>
      </c>
      <c r="G17" s="55">
        <v>235.2</v>
      </c>
      <c r="H17" s="55">
        <v>236.1</v>
      </c>
      <c r="I17" s="55">
        <v>236.9</v>
      </c>
      <c r="J17" s="55">
        <v>237</v>
      </c>
      <c r="K17" s="55">
        <v>237.1</v>
      </c>
      <c r="L17" s="55">
        <v>237.7</v>
      </c>
      <c r="M17" s="55">
        <v>237.9</v>
      </c>
      <c r="N17" s="55">
        <v>237.9</v>
      </c>
      <c r="R17" s="33">
        <v>1999</v>
      </c>
      <c r="S17" s="38">
        <v>158</v>
      </c>
      <c r="T17" s="38">
        <v>158.30000000000001</v>
      </c>
      <c r="U17" s="38">
        <v>158.4</v>
      </c>
      <c r="V17" s="38">
        <v>158.4</v>
      </c>
      <c r="W17" s="38">
        <v>158.6</v>
      </c>
      <c r="X17" s="38">
        <v>158.5</v>
      </c>
      <c r="Y17" s="38">
        <v>158.5</v>
      </c>
      <c r="Z17" s="38">
        <v>158.6</v>
      </c>
      <c r="AA17" s="38">
        <v>158.9</v>
      </c>
      <c r="AB17" s="38">
        <v>159.4</v>
      </c>
      <c r="AC17" s="38">
        <v>159.5</v>
      </c>
      <c r="AD17" s="38">
        <v>159.30000000000001</v>
      </c>
      <c r="AH17" s="54">
        <v>1999</v>
      </c>
      <c r="AI17" s="55">
        <v>251.3</v>
      </c>
      <c r="AJ17" s="55">
        <v>252.6</v>
      </c>
      <c r="AK17" s="55">
        <v>253.1</v>
      </c>
      <c r="AL17" s="55">
        <v>253.5</v>
      </c>
      <c r="AM17" s="55">
        <v>254</v>
      </c>
      <c r="AN17" s="55">
        <v>254.6</v>
      </c>
      <c r="AO17" s="55">
        <v>255.5</v>
      </c>
      <c r="AP17" s="55">
        <v>256.2</v>
      </c>
      <c r="AQ17" s="55">
        <v>256.60000000000002</v>
      </c>
      <c r="AR17" s="55">
        <v>257.10000000000002</v>
      </c>
      <c r="AS17" s="55">
        <v>257.7</v>
      </c>
      <c r="AT17" s="55">
        <v>258.5</v>
      </c>
      <c r="AU17" s="55">
        <v>253.2</v>
      </c>
      <c r="AV17" s="55">
        <v>256.89999999999998</v>
      </c>
      <c r="AX17" s="54">
        <v>1999</v>
      </c>
      <c r="AY17" s="55">
        <v>265.5</v>
      </c>
      <c r="AZ17" s="55">
        <v>267.39999999999998</v>
      </c>
      <c r="BA17" s="55">
        <v>268.60000000000002</v>
      </c>
      <c r="BB17" s="55">
        <v>270.8</v>
      </c>
      <c r="BC17" s="55">
        <v>271.8</v>
      </c>
      <c r="BD17" s="55">
        <v>273.39999999999998</v>
      </c>
      <c r="BE17" s="55">
        <v>274.39999999999998</v>
      </c>
      <c r="BF17" s="55">
        <v>276.10000000000002</v>
      </c>
      <c r="BG17" s="55">
        <v>276.39999999999998</v>
      </c>
      <c r="BH17" s="55">
        <v>277.3</v>
      </c>
      <c r="BI17" s="55">
        <v>278.89999999999998</v>
      </c>
      <c r="BJ17" s="55">
        <v>279.89999999999998</v>
      </c>
      <c r="BN17" s="54">
        <v>2013</v>
      </c>
      <c r="BO17" s="56">
        <v>99.402000000000001</v>
      </c>
      <c r="BP17" s="56">
        <v>98.828999999999994</v>
      </c>
      <c r="BQ17" s="56">
        <v>99.05</v>
      </c>
      <c r="BR17" s="56">
        <v>99.724000000000004</v>
      </c>
      <c r="BS17" s="56">
        <v>99.647999999999996</v>
      </c>
      <c r="BT17" s="56">
        <v>99.94</v>
      </c>
      <c r="BU17" s="56">
        <v>99.825000000000003</v>
      </c>
      <c r="BV17" s="56">
        <v>99.028999999999996</v>
      </c>
      <c r="BW17" s="56">
        <v>99.245000000000005</v>
      </c>
      <c r="BX17" s="56">
        <v>99.811000000000007</v>
      </c>
      <c r="BY17" s="56">
        <v>99.319000000000003</v>
      </c>
      <c r="BZ17" s="56">
        <v>98.444999999999993</v>
      </c>
      <c r="CA17" s="51"/>
      <c r="CB17" s="51"/>
      <c r="CD17" s="54">
        <v>1999</v>
      </c>
      <c r="CE17" s="55">
        <v>164.3</v>
      </c>
      <c r="CF17" s="55">
        <v>164.5</v>
      </c>
      <c r="CG17" s="55">
        <v>165</v>
      </c>
      <c r="CH17" s="55">
        <v>166.2</v>
      </c>
      <c r="CI17" s="55">
        <v>166.2</v>
      </c>
      <c r="CJ17" s="55">
        <v>166.2</v>
      </c>
      <c r="CK17" s="55">
        <v>166.7</v>
      </c>
      <c r="CL17" s="55">
        <v>167.1</v>
      </c>
      <c r="CM17" s="55">
        <v>167.9</v>
      </c>
      <c r="CN17" s="55">
        <v>168.2</v>
      </c>
      <c r="CO17" s="55">
        <v>168.3</v>
      </c>
      <c r="CP17" s="55">
        <v>168.3</v>
      </c>
      <c r="CQ17" s="55">
        <v>165.4</v>
      </c>
      <c r="CR17" s="55">
        <v>167.8</v>
      </c>
      <c r="CT17" s="54">
        <v>2000</v>
      </c>
      <c r="CU17" s="55">
        <v>112.6</v>
      </c>
      <c r="CV17" s="55">
        <v>113.4</v>
      </c>
      <c r="CW17" s="55">
        <v>113.8</v>
      </c>
      <c r="CX17" s="55">
        <v>114.2</v>
      </c>
      <c r="CY17" s="55">
        <v>114.5</v>
      </c>
      <c r="CZ17" s="55">
        <v>115.2</v>
      </c>
      <c r="DA17" s="55">
        <v>116.2</v>
      </c>
      <c r="DB17" s="55">
        <v>117.3</v>
      </c>
      <c r="DC17" s="55">
        <v>117.8</v>
      </c>
      <c r="DD17" s="55">
        <v>118.2</v>
      </c>
      <c r="DE17" s="55">
        <v>118.6</v>
      </c>
      <c r="DF17" s="55">
        <v>118.8</v>
      </c>
      <c r="DJ17" s="54">
        <v>2000</v>
      </c>
      <c r="DK17" s="55">
        <v>110.7</v>
      </c>
      <c r="DL17" s="55">
        <v>111.6</v>
      </c>
      <c r="DM17" s="55">
        <v>112.1</v>
      </c>
      <c r="DN17" s="55">
        <v>112.4</v>
      </c>
      <c r="DO17" s="55">
        <v>112.6</v>
      </c>
      <c r="DP17" s="55">
        <v>113.1</v>
      </c>
      <c r="DQ17" s="55">
        <v>113.9</v>
      </c>
      <c r="DR17" s="55">
        <v>115</v>
      </c>
      <c r="DS17" s="55">
        <v>115.6</v>
      </c>
      <c r="DT17" s="55">
        <v>115.8</v>
      </c>
      <c r="DU17" s="55">
        <v>116.1</v>
      </c>
      <c r="DV17" s="55">
        <v>116.3</v>
      </c>
      <c r="DZ17" s="54">
        <v>1999</v>
      </c>
      <c r="EA17" s="55">
        <v>239.7</v>
      </c>
      <c r="EB17" s="55">
        <v>241.3</v>
      </c>
      <c r="EC17" s="55">
        <v>242.2</v>
      </c>
      <c r="ED17" s="55">
        <v>241.6</v>
      </c>
      <c r="EE17" s="55">
        <v>243.6</v>
      </c>
      <c r="EF17" s="55">
        <v>244.3</v>
      </c>
      <c r="EG17" s="55">
        <v>245.9</v>
      </c>
      <c r="EH17" s="55">
        <v>248.5</v>
      </c>
      <c r="EI17" s="55">
        <v>249.4</v>
      </c>
      <c r="EJ17" s="55">
        <v>250.7</v>
      </c>
      <c r="EK17" s="55">
        <v>251.5</v>
      </c>
      <c r="EL17" s="55">
        <v>253.3</v>
      </c>
      <c r="EP17" s="54">
        <v>2013</v>
      </c>
      <c r="EQ17" s="56">
        <v>101.553</v>
      </c>
      <c r="ER17" s="56">
        <v>101.599</v>
      </c>
      <c r="ES17" s="56">
        <v>101.54600000000001</v>
      </c>
      <c r="ET17" s="56">
        <v>101.79</v>
      </c>
      <c r="EU17" s="56">
        <v>101.264</v>
      </c>
      <c r="EV17" s="56">
        <v>101.318</v>
      </c>
      <c r="EW17" s="56">
        <v>100.471</v>
      </c>
      <c r="EX17" s="56">
        <v>100.203</v>
      </c>
      <c r="EY17" s="56">
        <v>100.863</v>
      </c>
      <c r="EZ17" s="56">
        <v>101.434</v>
      </c>
      <c r="FA17" s="56">
        <v>100.34099999999999</v>
      </c>
      <c r="FB17" s="56">
        <v>99.878</v>
      </c>
      <c r="FC17" s="51"/>
      <c r="FD17" s="51"/>
    </row>
    <row r="18" spans="2:160" x14ac:dyDescent="0.25">
      <c r="B18" s="54">
        <v>2000</v>
      </c>
      <c r="C18" s="55">
        <v>239.6</v>
      </c>
      <c r="D18" s="55">
        <v>241.8</v>
      </c>
      <c r="E18" s="55">
        <v>243.4</v>
      </c>
      <c r="F18" s="55">
        <v>244</v>
      </c>
      <c r="G18" s="55">
        <v>244.1</v>
      </c>
      <c r="H18" s="55">
        <v>245.2</v>
      </c>
      <c r="I18" s="55">
        <v>245.4</v>
      </c>
      <c r="J18" s="55">
        <v>245.8</v>
      </c>
      <c r="K18" s="55">
        <v>246.3</v>
      </c>
      <c r="L18" s="55">
        <v>246.6</v>
      </c>
      <c r="M18" s="55">
        <v>246.5</v>
      </c>
      <c r="N18" s="55">
        <v>247.1</v>
      </c>
      <c r="R18" s="33">
        <v>2000</v>
      </c>
      <c r="S18" s="38">
        <v>159.80000000000001</v>
      </c>
      <c r="T18" s="38">
        <v>160.4</v>
      </c>
      <c r="U18" s="38">
        <v>160.6</v>
      </c>
      <c r="V18" s="38">
        <v>160.69999999999999</v>
      </c>
      <c r="W18" s="38">
        <v>161.4</v>
      </c>
      <c r="X18" s="38">
        <v>162.1</v>
      </c>
      <c r="Y18" s="38">
        <v>162.30000000000001</v>
      </c>
      <c r="Z18" s="38">
        <v>162.9</v>
      </c>
      <c r="AA18" s="38">
        <v>163</v>
      </c>
      <c r="AB18" s="38">
        <v>162.9</v>
      </c>
      <c r="AC18" s="38">
        <v>163.19999999999999</v>
      </c>
      <c r="AD18" s="38">
        <v>163.4</v>
      </c>
      <c r="AH18" s="54">
        <v>2000</v>
      </c>
      <c r="AI18" s="55">
        <v>260.10000000000002</v>
      </c>
      <c r="AJ18" s="55">
        <v>262</v>
      </c>
      <c r="AK18" s="55">
        <v>263.2</v>
      </c>
      <c r="AL18" s="55">
        <v>263.89999999999998</v>
      </c>
      <c r="AM18" s="55">
        <v>264.39999999999998</v>
      </c>
      <c r="AN18" s="55">
        <v>265.60000000000002</v>
      </c>
      <c r="AO18" s="55">
        <v>266.7</v>
      </c>
      <c r="AP18" s="55">
        <v>268</v>
      </c>
      <c r="AQ18" s="55">
        <v>268.7</v>
      </c>
      <c r="AR18" s="55">
        <v>269.39999999999998</v>
      </c>
      <c r="AS18" s="55">
        <v>269.8</v>
      </c>
      <c r="AT18" s="55">
        <v>270.39999999999998</v>
      </c>
      <c r="AU18" s="55">
        <v>263.2</v>
      </c>
      <c r="AV18" s="55">
        <v>268.8</v>
      </c>
      <c r="AX18" s="54">
        <v>2000</v>
      </c>
      <c r="AY18" s="55">
        <v>280.89999999999998</v>
      </c>
      <c r="AZ18" s="55">
        <v>281.5</v>
      </c>
      <c r="BA18" s="55">
        <v>282.7</v>
      </c>
      <c r="BB18" s="55">
        <v>284.10000000000002</v>
      </c>
      <c r="BC18" s="55">
        <v>284</v>
      </c>
      <c r="BD18" s="55">
        <v>285.10000000000002</v>
      </c>
      <c r="BE18" s="55">
        <v>286</v>
      </c>
      <c r="BF18" s="55">
        <v>287.2</v>
      </c>
      <c r="BG18" s="55">
        <v>287.3</v>
      </c>
      <c r="BH18" s="55">
        <v>287.8</v>
      </c>
      <c r="BI18" s="55">
        <v>288.5</v>
      </c>
      <c r="BJ18" s="55">
        <v>290</v>
      </c>
      <c r="BN18" s="54">
        <v>2014</v>
      </c>
      <c r="BO18" s="56">
        <v>98.388999999999996</v>
      </c>
      <c r="BP18" s="56">
        <v>98.076999999999998</v>
      </c>
      <c r="BQ18" s="56">
        <v>98.159000000000006</v>
      </c>
      <c r="BR18" s="56">
        <v>98.736999999999995</v>
      </c>
      <c r="BS18" s="56">
        <v>98.876000000000005</v>
      </c>
      <c r="BT18" s="56">
        <v>98.897999999999996</v>
      </c>
      <c r="BU18" s="56">
        <v>99.096000000000004</v>
      </c>
      <c r="BV18" s="56">
        <v>98.43</v>
      </c>
      <c r="BW18" s="56">
        <v>99.876000000000005</v>
      </c>
      <c r="BX18" s="56">
        <v>97.73</v>
      </c>
      <c r="BY18" s="56">
        <v>97.894999999999996</v>
      </c>
      <c r="BZ18" s="56">
        <v>98.278000000000006</v>
      </c>
      <c r="CA18" s="51"/>
      <c r="CB18" s="51"/>
      <c r="CD18" s="54">
        <v>2000</v>
      </c>
      <c r="CE18" s="55">
        <v>168.8</v>
      </c>
      <c r="CF18" s="55">
        <v>169.8</v>
      </c>
      <c r="CG18" s="55">
        <v>171.2</v>
      </c>
      <c r="CH18" s="55">
        <v>171.3</v>
      </c>
      <c r="CI18" s="55">
        <v>171.5</v>
      </c>
      <c r="CJ18" s="55">
        <v>172.4</v>
      </c>
      <c r="CK18" s="55">
        <v>172.8</v>
      </c>
      <c r="CL18" s="55">
        <v>172.8</v>
      </c>
      <c r="CM18" s="55">
        <v>173.7</v>
      </c>
      <c r="CN18" s="55">
        <v>174</v>
      </c>
      <c r="CO18" s="55">
        <v>174.1</v>
      </c>
      <c r="CP18" s="55">
        <v>174</v>
      </c>
      <c r="CQ18" s="55">
        <v>170.8</v>
      </c>
      <c r="CR18" s="55">
        <v>173.6</v>
      </c>
      <c r="CT18" s="54">
        <v>2001</v>
      </c>
      <c r="CU18" s="55">
        <v>120</v>
      </c>
      <c r="CV18" s="55">
        <v>120.9</v>
      </c>
      <c r="CW18" s="55">
        <v>121.6</v>
      </c>
      <c r="CX18" s="55">
        <v>121.9</v>
      </c>
      <c r="CY18" s="55">
        <v>122.5</v>
      </c>
      <c r="CZ18" s="55">
        <v>123</v>
      </c>
      <c r="DA18" s="55">
        <v>123.5</v>
      </c>
      <c r="DB18" s="55">
        <v>124.7</v>
      </c>
      <c r="DC18" s="55">
        <v>125.2</v>
      </c>
      <c r="DD18" s="55">
        <v>126</v>
      </c>
      <c r="DE18" s="55">
        <v>126.9</v>
      </c>
      <c r="DF18" s="55">
        <v>127.4</v>
      </c>
      <c r="DJ18" s="54">
        <v>2001</v>
      </c>
      <c r="DK18" s="55">
        <v>117.5</v>
      </c>
      <c r="DL18" s="55">
        <v>118.5</v>
      </c>
      <c r="DM18" s="55">
        <v>119.2</v>
      </c>
      <c r="DN18" s="55">
        <v>119.4</v>
      </c>
      <c r="DO18" s="55">
        <v>120</v>
      </c>
      <c r="DP18" s="55">
        <v>120.6</v>
      </c>
      <c r="DQ18" s="55">
        <v>120.9</v>
      </c>
      <c r="DR18" s="55">
        <v>121.7</v>
      </c>
      <c r="DS18" s="55">
        <v>122.3</v>
      </c>
      <c r="DT18" s="55">
        <v>123.2</v>
      </c>
      <c r="DU18" s="55">
        <v>124.1</v>
      </c>
      <c r="DV18" s="55">
        <v>124.3</v>
      </c>
      <c r="DZ18" s="54">
        <v>2000</v>
      </c>
      <c r="EA18" s="55">
        <v>256</v>
      </c>
      <c r="EB18" s="55">
        <v>257.5</v>
      </c>
      <c r="EC18" s="55">
        <v>257.89999999999998</v>
      </c>
      <c r="ED18" s="55">
        <v>259.2</v>
      </c>
      <c r="EE18" s="55">
        <v>260.10000000000002</v>
      </c>
      <c r="EF18" s="55">
        <v>262</v>
      </c>
      <c r="EG18" s="55">
        <v>264.60000000000002</v>
      </c>
      <c r="EH18" s="55">
        <v>266.89999999999998</v>
      </c>
      <c r="EI18" s="55">
        <v>268.10000000000002</v>
      </c>
      <c r="EJ18" s="55">
        <v>270.2</v>
      </c>
      <c r="EK18" s="55">
        <v>271.39999999999998</v>
      </c>
      <c r="EL18" s="55">
        <v>271.60000000000002</v>
      </c>
      <c r="EP18" s="54">
        <v>2014</v>
      </c>
      <c r="EQ18" s="56">
        <v>100.345</v>
      </c>
      <c r="ER18" s="56">
        <v>99.942999999999998</v>
      </c>
      <c r="ES18" s="56">
        <v>99.988</v>
      </c>
      <c r="ET18" s="56">
        <v>100.377</v>
      </c>
      <c r="EU18" s="56">
        <v>100.626</v>
      </c>
      <c r="EV18" s="56">
        <v>100.22199999999999</v>
      </c>
      <c r="EW18" s="56">
        <v>100.673</v>
      </c>
      <c r="EX18" s="56">
        <v>100.467</v>
      </c>
      <c r="EY18" s="56">
        <v>100.4</v>
      </c>
      <c r="EZ18" s="56">
        <v>100.914</v>
      </c>
      <c r="FA18" s="56">
        <v>100.92400000000001</v>
      </c>
      <c r="FB18" s="56">
        <v>100.803</v>
      </c>
      <c r="FC18" s="51"/>
      <c r="FD18" s="51"/>
    </row>
    <row r="19" spans="2:160" x14ac:dyDescent="0.25">
      <c r="B19" s="54">
        <v>2001</v>
      </c>
      <c r="C19" s="55">
        <v>250.1</v>
      </c>
      <c r="D19" s="55">
        <v>251.5</v>
      </c>
      <c r="E19" s="55">
        <v>251.8</v>
      </c>
      <c r="F19" s="55">
        <v>252.8</v>
      </c>
      <c r="G19" s="55">
        <v>252.8</v>
      </c>
      <c r="H19" s="55">
        <v>253.6</v>
      </c>
      <c r="I19" s="55">
        <v>253.5</v>
      </c>
      <c r="J19" s="55">
        <v>255</v>
      </c>
      <c r="K19" s="55">
        <v>255.1</v>
      </c>
      <c r="L19" s="55">
        <v>255.8</v>
      </c>
      <c r="M19" s="55">
        <v>255.9</v>
      </c>
      <c r="N19" s="55">
        <v>255.8</v>
      </c>
      <c r="R19" s="33">
        <v>2001</v>
      </c>
      <c r="S19" s="38">
        <v>164.2</v>
      </c>
      <c r="T19" s="38">
        <v>165.7</v>
      </c>
      <c r="U19" s="38">
        <v>166.2</v>
      </c>
      <c r="V19" s="38">
        <v>166.5</v>
      </c>
      <c r="W19" s="38">
        <v>166.8</v>
      </c>
      <c r="X19" s="38">
        <v>167.4</v>
      </c>
      <c r="Y19" s="38">
        <v>167.5</v>
      </c>
      <c r="Z19" s="38">
        <v>168.5</v>
      </c>
      <c r="AA19" s="38">
        <v>168.6</v>
      </c>
      <c r="AB19" s="38">
        <v>168.5</v>
      </c>
      <c r="AC19" s="38">
        <v>168.9</v>
      </c>
      <c r="AD19" s="38">
        <v>169</v>
      </c>
      <c r="AH19" s="54">
        <v>2001</v>
      </c>
      <c r="AI19" s="55">
        <v>273</v>
      </c>
      <c r="AJ19" s="55">
        <v>274.89999999999998</v>
      </c>
      <c r="AK19" s="55">
        <v>275.89999999999998</v>
      </c>
      <c r="AL19" s="55">
        <v>276.8</v>
      </c>
      <c r="AM19" s="55">
        <v>277.3</v>
      </c>
      <c r="AN19" s="55">
        <v>278.3</v>
      </c>
      <c r="AO19" s="55">
        <v>278.89999999999998</v>
      </c>
      <c r="AP19" s="55">
        <v>280.5</v>
      </c>
      <c r="AQ19" s="55">
        <v>281</v>
      </c>
      <c r="AR19" s="55">
        <v>282</v>
      </c>
      <c r="AS19" s="55">
        <v>283</v>
      </c>
      <c r="AT19" s="55">
        <v>283.5</v>
      </c>
      <c r="AU19" s="55">
        <v>276</v>
      </c>
      <c r="AV19" s="55">
        <v>281.5</v>
      </c>
      <c r="AX19" s="54">
        <v>2001</v>
      </c>
      <c r="AY19" s="55">
        <v>292.10000000000002</v>
      </c>
      <c r="AZ19" s="55">
        <v>294.8</v>
      </c>
      <c r="BA19" s="55">
        <v>296.5</v>
      </c>
      <c r="BB19" s="55">
        <v>297.8</v>
      </c>
      <c r="BC19" s="55">
        <v>298.5</v>
      </c>
      <c r="BD19" s="55">
        <v>300.7</v>
      </c>
      <c r="BE19" s="55">
        <v>302.3</v>
      </c>
      <c r="BF19" s="55">
        <v>303.39999999999998</v>
      </c>
      <c r="BG19" s="55">
        <v>304.8</v>
      </c>
      <c r="BH19" s="55">
        <v>305.7</v>
      </c>
      <c r="BI19" s="55">
        <v>306.3</v>
      </c>
      <c r="BJ19" s="55">
        <v>307.3</v>
      </c>
      <c r="BN19" s="54">
        <v>2015</v>
      </c>
      <c r="BO19" s="56">
        <v>97.337000000000003</v>
      </c>
      <c r="BP19" s="56">
        <v>98.262</v>
      </c>
      <c r="BQ19" s="56">
        <v>97.882999999999996</v>
      </c>
      <c r="BR19" s="56">
        <v>98.168999999999997</v>
      </c>
      <c r="BS19" s="56">
        <v>98.227999999999994</v>
      </c>
      <c r="BT19" s="56">
        <v>97.272000000000006</v>
      </c>
      <c r="BU19" s="56">
        <v>97.908000000000001</v>
      </c>
      <c r="BV19" s="56">
        <v>97.738</v>
      </c>
      <c r="BW19" s="56">
        <v>97.849000000000004</v>
      </c>
      <c r="BX19" s="56">
        <v>97.899000000000001</v>
      </c>
      <c r="BY19" s="56">
        <v>97.673000000000002</v>
      </c>
      <c r="BZ19" s="56">
        <v>97.045000000000002</v>
      </c>
      <c r="CA19" s="51"/>
      <c r="CB19" s="51"/>
      <c r="CD19" s="54">
        <v>2001</v>
      </c>
      <c r="CE19" s="55">
        <v>175.1</v>
      </c>
      <c r="CF19" s="55">
        <v>175.8</v>
      </c>
      <c r="CG19" s="55">
        <v>176.2</v>
      </c>
      <c r="CH19" s="55">
        <v>176.9</v>
      </c>
      <c r="CI19" s="55">
        <v>177.7</v>
      </c>
      <c r="CJ19" s="55">
        <v>178</v>
      </c>
      <c r="CK19" s="55">
        <v>177.5</v>
      </c>
      <c r="CL19" s="55">
        <v>177.5</v>
      </c>
      <c r="CM19" s="55">
        <v>178.3</v>
      </c>
      <c r="CN19" s="55">
        <v>177.7</v>
      </c>
      <c r="CO19" s="55">
        <v>177.4</v>
      </c>
      <c r="CP19" s="55">
        <v>176.7</v>
      </c>
      <c r="CQ19" s="55">
        <v>176.6</v>
      </c>
      <c r="CR19" s="55">
        <v>177.5</v>
      </c>
      <c r="CT19" s="54">
        <v>2002</v>
      </c>
      <c r="CU19" s="55">
        <v>129.19999999999999</v>
      </c>
      <c r="CV19" s="55">
        <v>130.4</v>
      </c>
      <c r="CW19" s="55">
        <v>131.5</v>
      </c>
      <c r="CX19" s="55">
        <v>132.69999999999999</v>
      </c>
      <c r="CY19" s="55">
        <v>133.5</v>
      </c>
      <c r="CZ19" s="55">
        <v>133.69999999999999</v>
      </c>
      <c r="DA19" s="55">
        <v>134.6</v>
      </c>
      <c r="DB19" s="55">
        <v>136</v>
      </c>
      <c r="DC19" s="55">
        <v>136.69999999999999</v>
      </c>
      <c r="DD19" s="55">
        <v>138.1</v>
      </c>
      <c r="DE19" s="55">
        <v>139.6</v>
      </c>
      <c r="DF19" s="55">
        <v>140.30000000000001</v>
      </c>
      <c r="DJ19" s="54">
        <v>2002</v>
      </c>
      <c r="DK19" s="55">
        <v>126.3</v>
      </c>
      <c r="DL19" s="55">
        <v>127.4</v>
      </c>
      <c r="DM19" s="55">
        <v>128.69999999999999</v>
      </c>
      <c r="DN19" s="55">
        <v>129.6</v>
      </c>
      <c r="DO19" s="55">
        <v>130</v>
      </c>
      <c r="DP19" s="55">
        <v>130.4</v>
      </c>
      <c r="DQ19" s="55">
        <v>131.19999999999999</v>
      </c>
      <c r="DR19" s="55">
        <v>132.30000000000001</v>
      </c>
      <c r="DS19" s="55">
        <v>133.19999999999999</v>
      </c>
      <c r="DT19" s="55">
        <v>133.9</v>
      </c>
      <c r="DU19" s="55">
        <v>135.4</v>
      </c>
      <c r="DV19" s="55">
        <v>136</v>
      </c>
      <c r="DZ19" s="54">
        <v>2001</v>
      </c>
      <c r="EA19" s="55">
        <v>274.39999999999998</v>
      </c>
      <c r="EB19" s="55">
        <v>274.5</v>
      </c>
      <c r="EC19" s="55">
        <v>275.89999999999998</v>
      </c>
      <c r="ED19" s="55">
        <v>276.7</v>
      </c>
      <c r="EE19" s="55">
        <v>277.7</v>
      </c>
      <c r="EF19" s="55">
        <v>278.10000000000002</v>
      </c>
      <c r="EG19" s="55">
        <v>280.5</v>
      </c>
      <c r="EH19" s="55">
        <v>284.39999999999998</v>
      </c>
      <c r="EI19" s="55">
        <v>285.89999999999998</v>
      </c>
      <c r="EJ19" s="55">
        <v>287.10000000000002</v>
      </c>
      <c r="EK19" s="55">
        <v>288.3</v>
      </c>
      <c r="EL19" s="55">
        <v>290.2</v>
      </c>
      <c r="EP19" s="54">
        <v>2015</v>
      </c>
      <c r="EQ19" s="56">
        <v>99.305000000000007</v>
      </c>
      <c r="ER19" s="56">
        <v>99.92</v>
      </c>
      <c r="ES19" s="56">
        <v>99.691000000000003</v>
      </c>
      <c r="ET19" s="56">
        <v>100.15</v>
      </c>
      <c r="EU19" s="56">
        <v>100.575</v>
      </c>
      <c r="EV19" s="56">
        <v>100.188</v>
      </c>
      <c r="EW19" s="56">
        <v>99.799000000000007</v>
      </c>
      <c r="EX19" s="56">
        <v>99.707999999999998</v>
      </c>
      <c r="EY19" s="56">
        <v>99.522000000000006</v>
      </c>
      <c r="EZ19" s="56">
        <v>99.656000000000006</v>
      </c>
      <c r="FA19" s="56">
        <v>99.364999999999995</v>
      </c>
      <c r="FB19" s="56">
        <v>99.004999999999995</v>
      </c>
      <c r="FC19" s="51"/>
      <c r="FD19" s="51"/>
    </row>
    <row r="20" spans="2:160" x14ac:dyDescent="0.25">
      <c r="B20" s="54">
        <v>2002</v>
      </c>
      <c r="C20" s="55">
        <v>258.10000000000002</v>
      </c>
      <c r="D20" s="55">
        <v>258.10000000000002</v>
      </c>
      <c r="E20" s="55">
        <v>258.3</v>
      </c>
      <c r="F20" s="55">
        <v>258.2</v>
      </c>
      <c r="G20" s="55">
        <v>258.7</v>
      </c>
      <c r="H20" s="55">
        <v>259.2</v>
      </c>
      <c r="I20" s="55">
        <v>262</v>
      </c>
      <c r="J20" s="55">
        <v>262</v>
      </c>
      <c r="K20" s="55">
        <v>261.7</v>
      </c>
      <c r="L20" s="55">
        <v>263.2</v>
      </c>
      <c r="M20" s="55">
        <v>263.89999999999998</v>
      </c>
      <c r="N20" s="55">
        <v>264.10000000000002</v>
      </c>
      <c r="R20" s="33">
        <v>2002</v>
      </c>
      <c r="S20" s="38">
        <v>169.7</v>
      </c>
      <c r="T20" s="38">
        <v>170.2</v>
      </c>
      <c r="U20" s="38">
        <v>170.3</v>
      </c>
      <c r="V20" s="38">
        <v>171.6</v>
      </c>
      <c r="W20" s="38">
        <v>171.4</v>
      </c>
      <c r="X20" s="38">
        <v>171.3</v>
      </c>
      <c r="Y20" s="38">
        <v>171.3</v>
      </c>
      <c r="Z20" s="38">
        <v>171.6</v>
      </c>
      <c r="AA20" s="38">
        <v>171.7</v>
      </c>
      <c r="AB20" s="38">
        <v>173.6</v>
      </c>
      <c r="AC20" s="38">
        <v>174.2</v>
      </c>
      <c r="AD20" s="38">
        <v>175.1</v>
      </c>
      <c r="AH20" s="54">
        <v>2002</v>
      </c>
      <c r="AI20" s="55">
        <v>286.2</v>
      </c>
      <c r="AJ20" s="55">
        <v>287.7</v>
      </c>
      <c r="AK20" s="55">
        <v>288.89999999999998</v>
      </c>
      <c r="AL20" s="55">
        <v>290.2</v>
      </c>
      <c r="AM20" s="55">
        <v>291.2</v>
      </c>
      <c r="AN20" s="55">
        <v>291.7</v>
      </c>
      <c r="AO20" s="55">
        <v>293.8</v>
      </c>
      <c r="AP20" s="55">
        <v>294.7</v>
      </c>
      <c r="AQ20" s="55">
        <v>295.2</v>
      </c>
      <c r="AR20" s="55">
        <v>297.10000000000002</v>
      </c>
      <c r="AS20" s="55">
        <v>298.5</v>
      </c>
      <c r="AT20" s="55">
        <v>299.39999999999998</v>
      </c>
      <c r="AU20" s="55">
        <v>289.3</v>
      </c>
      <c r="AV20" s="55">
        <v>296.5</v>
      </c>
      <c r="AX20" s="54">
        <v>2002</v>
      </c>
      <c r="AY20" s="55">
        <v>309.10000000000002</v>
      </c>
      <c r="AZ20" s="55">
        <v>312</v>
      </c>
      <c r="BA20" s="55">
        <v>312.8</v>
      </c>
      <c r="BB20" s="55">
        <v>314.10000000000002</v>
      </c>
      <c r="BC20" s="55">
        <v>315.3</v>
      </c>
      <c r="BD20" s="55">
        <v>317</v>
      </c>
      <c r="BE20" s="55">
        <v>318.2</v>
      </c>
      <c r="BF20" s="55">
        <v>318.2</v>
      </c>
      <c r="BG20" s="55">
        <v>318.89999999999998</v>
      </c>
      <c r="BH20" s="55">
        <v>320</v>
      </c>
      <c r="BI20" s="55">
        <v>321</v>
      </c>
      <c r="BJ20" s="55">
        <v>321.2</v>
      </c>
      <c r="BN20" s="54">
        <v>2016</v>
      </c>
      <c r="BO20" s="56">
        <v>96.673000000000002</v>
      </c>
      <c r="BP20" s="56">
        <v>96.477999999999994</v>
      </c>
      <c r="BQ20" s="56">
        <v>96.319000000000003</v>
      </c>
      <c r="BR20" s="56">
        <v>96.728999999999999</v>
      </c>
      <c r="BS20" s="56">
        <v>96.992999999999995</v>
      </c>
      <c r="BT20" s="56">
        <v>96.825000000000003</v>
      </c>
      <c r="BU20" s="56">
        <v>96.296999999999997</v>
      </c>
      <c r="BV20" s="56">
        <v>96.51</v>
      </c>
      <c r="BW20" s="56">
        <v>97.299000000000007</v>
      </c>
      <c r="BX20" s="56">
        <v>96.554000000000002</v>
      </c>
      <c r="BY20" s="56">
        <v>96.393000000000001</v>
      </c>
      <c r="BZ20" s="56">
        <v>96.489000000000004</v>
      </c>
      <c r="CA20" s="51"/>
      <c r="CB20" s="51"/>
      <c r="CD20" s="54">
        <v>2002</v>
      </c>
      <c r="CE20" s="55">
        <v>177.1</v>
      </c>
      <c r="CF20" s="55">
        <v>177.8</v>
      </c>
      <c r="CG20" s="55">
        <v>178.8</v>
      </c>
      <c r="CH20" s="55">
        <v>179.8</v>
      </c>
      <c r="CI20" s="55">
        <v>179.8</v>
      </c>
      <c r="CJ20" s="55">
        <v>179.9</v>
      </c>
      <c r="CK20" s="55">
        <v>180.1</v>
      </c>
      <c r="CL20" s="55">
        <v>180.7</v>
      </c>
      <c r="CM20" s="55">
        <v>181</v>
      </c>
      <c r="CN20" s="55">
        <v>181.3</v>
      </c>
      <c r="CO20" s="55">
        <v>181.3</v>
      </c>
      <c r="CP20" s="55">
        <v>180.9</v>
      </c>
      <c r="CQ20" s="55">
        <v>178.9</v>
      </c>
      <c r="CR20" s="55">
        <v>180.9</v>
      </c>
      <c r="CT20" s="54">
        <v>2003</v>
      </c>
      <c r="CU20" s="55">
        <v>141.4</v>
      </c>
      <c r="CV20" s="55">
        <v>142.30000000000001</v>
      </c>
      <c r="CW20" s="55">
        <v>142.5</v>
      </c>
      <c r="CX20" s="55">
        <v>142.4</v>
      </c>
      <c r="CY20" s="55">
        <v>142.4</v>
      </c>
      <c r="CZ20" s="55">
        <v>143.6</v>
      </c>
      <c r="DA20" s="55">
        <v>144.69999999999999</v>
      </c>
      <c r="DB20" s="55">
        <v>145.9</v>
      </c>
      <c r="DC20" s="55">
        <v>146.5</v>
      </c>
      <c r="DD20" s="55">
        <v>146.9</v>
      </c>
      <c r="DE20" s="55">
        <v>148.80000000000001</v>
      </c>
      <c r="DF20" s="55">
        <v>149.30000000000001</v>
      </c>
      <c r="DJ20" s="54">
        <v>2003</v>
      </c>
      <c r="DK20" s="55">
        <v>136.9</v>
      </c>
      <c r="DL20" s="55">
        <v>138.1</v>
      </c>
      <c r="DM20" s="55">
        <v>138</v>
      </c>
      <c r="DN20" s="55">
        <v>138.19999999999999</v>
      </c>
      <c r="DO20" s="55">
        <v>138.30000000000001</v>
      </c>
      <c r="DP20" s="55">
        <v>139.1</v>
      </c>
      <c r="DQ20" s="55">
        <v>140.1</v>
      </c>
      <c r="DR20" s="55">
        <v>141.19999999999999</v>
      </c>
      <c r="DS20" s="55">
        <v>141.9</v>
      </c>
      <c r="DT20" s="55">
        <v>141.9</v>
      </c>
      <c r="DU20" s="55">
        <v>143.5</v>
      </c>
      <c r="DV20" s="55">
        <v>143.69999999999999</v>
      </c>
      <c r="DZ20" s="54">
        <v>2002</v>
      </c>
      <c r="EA20" s="55">
        <v>293.7</v>
      </c>
      <c r="EB20" s="55">
        <v>296.39999999999998</v>
      </c>
      <c r="EC20" s="55">
        <v>297.8</v>
      </c>
      <c r="ED20" s="55">
        <v>302</v>
      </c>
      <c r="EE20" s="55">
        <v>306.7</v>
      </c>
      <c r="EF20" s="55">
        <v>307.7</v>
      </c>
      <c r="EG20" s="55">
        <v>309.8</v>
      </c>
      <c r="EH20" s="55">
        <v>314.3</v>
      </c>
      <c r="EI20" s="55">
        <v>315.2</v>
      </c>
      <c r="EJ20" s="55">
        <v>321.10000000000002</v>
      </c>
      <c r="EK20" s="55">
        <v>325.60000000000002</v>
      </c>
      <c r="EL20" s="55">
        <v>327</v>
      </c>
      <c r="EP20" s="54">
        <v>2016</v>
      </c>
      <c r="EQ20" s="56">
        <v>99.319000000000003</v>
      </c>
      <c r="ER20" s="56">
        <v>99.912000000000006</v>
      </c>
      <c r="ES20" s="56">
        <v>98.906000000000006</v>
      </c>
      <c r="ET20" s="56">
        <v>98.614000000000004</v>
      </c>
      <c r="EU20" s="56">
        <v>99.277000000000001</v>
      </c>
      <c r="EV20" s="56">
        <v>99.569000000000003</v>
      </c>
      <c r="EW20" s="56">
        <v>99.849000000000004</v>
      </c>
      <c r="EX20" s="56">
        <v>99.608999999999995</v>
      </c>
      <c r="EY20" s="56">
        <v>98.918999999999997</v>
      </c>
      <c r="EZ20" s="56">
        <v>98.867000000000004</v>
      </c>
      <c r="FA20" s="56">
        <v>99.141000000000005</v>
      </c>
      <c r="FB20" s="56">
        <v>99.275999999999996</v>
      </c>
      <c r="FC20" s="51"/>
      <c r="FD20" s="51"/>
    </row>
    <row r="21" spans="2:160" x14ac:dyDescent="0.25">
      <c r="B21" s="54">
        <v>2003</v>
      </c>
      <c r="C21" s="55">
        <v>265</v>
      </c>
      <c r="D21" s="55">
        <v>266</v>
      </c>
      <c r="E21" s="55">
        <v>266</v>
      </c>
      <c r="F21" s="55">
        <v>266.7</v>
      </c>
      <c r="G21" s="55">
        <v>267.60000000000002</v>
      </c>
      <c r="H21" s="55">
        <v>267.3</v>
      </c>
      <c r="I21" s="55">
        <v>268.10000000000002</v>
      </c>
      <c r="J21" s="55">
        <v>268.2</v>
      </c>
      <c r="K21" s="55">
        <v>268.5</v>
      </c>
      <c r="L21" s="55">
        <v>269.2</v>
      </c>
      <c r="M21" s="55">
        <v>269.2</v>
      </c>
      <c r="N21" s="55">
        <v>270.10000000000002</v>
      </c>
      <c r="R21" s="33">
        <v>2003</v>
      </c>
      <c r="S21" s="38">
        <v>175.6</v>
      </c>
      <c r="T21" s="38">
        <v>176</v>
      </c>
      <c r="U21" s="38">
        <v>175.8</v>
      </c>
      <c r="V21" s="38">
        <v>176.2</v>
      </c>
      <c r="W21" s="38">
        <v>176.3</v>
      </c>
      <c r="X21" s="38">
        <v>176.6</v>
      </c>
      <c r="Y21" s="38">
        <v>176.8</v>
      </c>
      <c r="Z21" s="38">
        <v>177.3</v>
      </c>
      <c r="AA21" s="38">
        <v>177.8</v>
      </c>
      <c r="AB21" s="38">
        <v>178.6</v>
      </c>
      <c r="AC21" s="38">
        <v>178.5</v>
      </c>
      <c r="AD21" s="38">
        <v>179.2</v>
      </c>
      <c r="AH21" s="54">
        <v>2003</v>
      </c>
      <c r="AI21" s="55">
        <v>300.8</v>
      </c>
      <c r="AJ21" s="55">
        <v>302.3</v>
      </c>
      <c r="AK21" s="55">
        <v>302.60000000000002</v>
      </c>
      <c r="AL21" s="55">
        <v>303.10000000000002</v>
      </c>
      <c r="AM21" s="55">
        <v>304.2</v>
      </c>
      <c r="AN21" s="55">
        <v>305.2</v>
      </c>
      <c r="AO21" s="55">
        <v>306.39999999999998</v>
      </c>
      <c r="AP21" s="55">
        <v>307.2</v>
      </c>
      <c r="AQ21" s="55">
        <v>308.2</v>
      </c>
      <c r="AR21" s="55">
        <v>309.10000000000002</v>
      </c>
      <c r="AS21" s="55">
        <v>310.60000000000002</v>
      </c>
      <c r="AT21" s="55">
        <v>311.89999999999998</v>
      </c>
      <c r="AU21" s="55">
        <v>303</v>
      </c>
      <c r="AV21" s="55">
        <v>308.89999999999998</v>
      </c>
      <c r="AX21" s="54">
        <v>2003</v>
      </c>
      <c r="AY21" s="55">
        <v>323.2</v>
      </c>
      <c r="AZ21" s="55">
        <v>323.60000000000002</v>
      </c>
      <c r="BA21" s="55">
        <v>324.5</v>
      </c>
      <c r="BB21" s="55">
        <v>324.7</v>
      </c>
      <c r="BC21" s="55">
        <v>324.60000000000002</v>
      </c>
      <c r="BD21" s="55">
        <v>325</v>
      </c>
      <c r="BE21" s="55">
        <v>326.8</v>
      </c>
      <c r="BF21" s="55">
        <v>327.7</v>
      </c>
      <c r="BG21" s="55">
        <v>328.8</v>
      </c>
      <c r="BH21" s="55">
        <v>329.1</v>
      </c>
      <c r="BI21" s="55">
        <v>328.1</v>
      </c>
      <c r="BJ21" s="55">
        <v>329.1</v>
      </c>
      <c r="BN21" s="54">
        <v>2017</v>
      </c>
      <c r="BO21" s="56">
        <v>96.744</v>
      </c>
      <c r="BP21" s="56">
        <v>96.820999999999998</v>
      </c>
      <c r="BQ21" s="56">
        <v>97.427000000000007</v>
      </c>
      <c r="BR21" s="56">
        <v>97.459000000000003</v>
      </c>
      <c r="BS21" s="56">
        <v>98.114000000000004</v>
      </c>
      <c r="BT21" s="56">
        <v>98.085999999999999</v>
      </c>
      <c r="BU21" s="56">
        <v>98.539000000000001</v>
      </c>
      <c r="BV21" s="56">
        <v>98.057000000000002</v>
      </c>
      <c r="BW21" s="56">
        <v>96.730999999999995</v>
      </c>
      <c r="BX21" s="56">
        <v>96.906999999999996</v>
      </c>
      <c r="BY21" s="56">
        <v>97.013000000000005</v>
      </c>
      <c r="BZ21" s="56">
        <v>97.191999999999993</v>
      </c>
      <c r="CA21" s="51"/>
      <c r="CB21" s="51"/>
      <c r="CD21" s="54">
        <v>2003</v>
      </c>
      <c r="CE21" s="55">
        <v>181.7</v>
      </c>
      <c r="CF21" s="55">
        <v>183.1</v>
      </c>
      <c r="CG21" s="55">
        <v>184.2</v>
      </c>
      <c r="CH21" s="55">
        <v>183.8</v>
      </c>
      <c r="CI21" s="55">
        <v>183.5</v>
      </c>
      <c r="CJ21" s="55">
        <v>183.7</v>
      </c>
      <c r="CK21" s="55">
        <v>183.9</v>
      </c>
      <c r="CL21" s="55">
        <v>184.6</v>
      </c>
      <c r="CM21" s="55">
        <v>185.2</v>
      </c>
      <c r="CN21" s="55">
        <v>185</v>
      </c>
      <c r="CO21" s="55">
        <v>184.5</v>
      </c>
      <c r="CP21" s="55">
        <v>184.3</v>
      </c>
      <c r="CQ21" s="55">
        <v>183.3</v>
      </c>
      <c r="CR21" s="55">
        <v>184.6</v>
      </c>
      <c r="CT21" s="54">
        <v>2004</v>
      </c>
      <c r="CU21" s="55">
        <v>150.30000000000001</v>
      </c>
      <c r="CV21" s="55">
        <v>151.4</v>
      </c>
      <c r="CW21" s="55">
        <v>151.80000000000001</v>
      </c>
      <c r="CX21" s="55">
        <v>151.80000000000001</v>
      </c>
      <c r="CY21" s="55">
        <v>152.19999999999999</v>
      </c>
      <c r="CZ21" s="55">
        <v>153</v>
      </c>
      <c r="DA21" s="55">
        <v>153.80000000000001</v>
      </c>
      <c r="DB21" s="55">
        <v>153.69999999999999</v>
      </c>
      <c r="DC21" s="55">
        <v>154.19999999999999</v>
      </c>
      <c r="DD21" s="55">
        <v>155.1</v>
      </c>
      <c r="DE21" s="55">
        <v>156</v>
      </c>
      <c r="DF21" s="55">
        <v>157.1</v>
      </c>
      <c r="DJ21" s="54">
        <v>2004</v>
      </c>
      <c r="DK21" s="55">
        <v>145.1</v>
      </c>
      <c r="DL21" s="55">
        <v>146.19999999999999</v>
      </c>
      <c r="DM21" s="55">
        <v>146.80000000000001</v>
      </c>
      <c r="DN21" s="55">
        <v>146.69999999999999</v>
      </c>
      <c r="DO21" s="55">
        <v>147</v>
      </c>
      <c r="DP21" s="55">
        <v>147.5</v>
      </c>
      <c r="DQ21" s="55">
        <v>148.5</v>
      </c>
      <c r="DR21" s="55">
        <v>148.69999999999999</v>
      </c>
      <c r="DS21" s="55">
        <v>149.1</v>
      </c>
      <c r="DT21" s="55">
        <v>149.6</v>
      </c>
      <c r="DU21" s="55">
        <v>150.5</v>
      </c>
      <c r="DV21" s="55">
        <v>151.80000000000001</v>
      </c>
      <c r="DZ21" s="54">
        <v>2003</v>
      </c>
      <c r="EA21" s="55">
        <v>330.3</v>
      </c>
      <c r="EB21" s="55">
        <v>332.2</v>
      </c>
      <c r="EC21" s="55">
        <v>333.2</v>
      </c>
      <c r="ED21" s="55">
        <v>332</v>
      </c>
      <c r="EE21" s="55">
        <v>332</v>
      </c>
      <c r="EF21" s="55">
        <v>335.3</v>
      </c>
      <c r="EG21" s="55">
        <v>338.5</v>
      </c>
      <c r="EH21" s="55">
        <v>341.2</v>
      </c>
      <c r="EI21" s="55">
        <v>342.1</v>
      </c>
      <c r="EJ21" s="55">
        <v>342.8</v>
      </c>
      <c r="EK21" s="55">
        <v>347.1</v>
      </c>
      <c r="EL21" s="55">
        <v>348.5</v>
      </c>
      <c r="EP21" s="54">
        <v>2017</v>
      </c>
      <c r="EQ21" s="56">
        <v>99.209000000000003</v>
      </c>
      <c r="ER21" s="56">
        <v>100.029</v>
      </c>
      <c r="ES21" s="56">
        <v>99.974000000000004</v>
      </c>
      <c r="ET21" s="56">
        <v>99.908000000000001</v>
      </c>
      <c r="EU21" s="56">
        <v>99.902000000000001</v>
      </c>
      <c r="EV21" s="56">
        <v>99.605999999999995</v>
      </c>
      <c r="EW21" s="56">
        <v>99.057000000000002</v>
      </c>
      <c r="EX21" s="56">
        <v>99.210999999999999</v>
      </c>
      <c r="EY21" s="56">
        <v>99.573999999999998</v>
      </c>
      <c r="EZ21" s="56">
        <v>99.375</v>
      </c>
      <c r="FA21" s="56">
        <v>99.802999999999997</v>
      </c>
      <c r="FB21" s="56">
        <v>99.397000000000006</v>
      </c>
      <c r="FC21" s="51"/>
      <c r="FD21" s="51"/>
    </row>
    <row r="22" spans="2:160" x14ac:dyDescent="0.25">
      <c r="B22" s="54">
        <v>2004</v>
      </c>
      <c r="C22" s="55">
        <v>271.5</v>
      </c>
      <c r="D22" s="55">
        <v>275.10000000000002</v>
      </c>
      <c r="E22" s="55">
        <v>277.3</v>
      </c>
      <c r="F22" s="55">
        <v>277.8</v>
      </c>
      <c r="G22" s="55">
        <v>278.10000000000002</v>
      </c>
      <c r="H22" s="55">
        <v>278.3</v>
      </c>
      <c r="I22" s="55">
        <v>278.5</v>
      </c>
      <c r="J22" s="55">
        <v>280</v>
      </c>
      <c r="K22" s="55">
        <v>280.2</v>
      </c>
      <c r="L22" s="55">
        <v>280.7</v>
      </c>
      <c r="M22" s="55">
        <v>280.89999999999998</v>
      </c>
      <c r="N22" s="55">
        <v>280.8</v>
      </c>
      <c r="R22" s="33">
        <v>2004</v>
      </c>
      <c r="S22" s="38">
        <v>179.5</v>
      </c>
      <c r="T22" s="38">
        <v>179.2</v>
      </c>
      <c r="U22" s="38">
        <v>180.3</v>
      </c>
      <c r="V22" s="38">
        <v>181.4</v>
      </c>
      <c r="W22" s="38">
        <v>181.8</v>
      </c>
      <c r="X22" s="38">
        <v>182.1</v>
      </c>
      <c r="Y22" s="38">
        <v>182.1</v>
      </c>
      <c r="Z22" s="38">
        <v>182.9</v>
      </c>
      <c r="AA22" s="38">
        <v>183.1</v>
      </c>
      <c r="AB22" s="38">
        <v>183.3</v>
      </c>
      <c r="AC22" s="38">
        <v>183.3</v>
      </c>
      <c r="AD22" s="38">
        <v>183.7</v>
      </c>
      <c r="AH22" s="54">
        <v>2004</v>
      </c>
      <c r="AI22" s="55">
        <v>313.8</v>
      </c>
      <c r="AJ22" s="55">
        <v>316.60000000000002</v>
      </c>
      <c r="AK22" s="55">
        <v>318.39999999999998</v>
      </c>
      <c r="AL22" s="55">
        <v>319.2</v>
      </c>
      <c r="AM22" s="55">
        <v>319.8</v>
      </c>
      <c r="AN22" s="55">
        <v>321</v>
      </c>
      <c r="AO22" s="55">
        <v>322.3</v>
      </c>
      <c r="AP22" s="55">
        <v>323.10000000000002</v>
      </c>
      <c r="AQ22" s="55">
        <v>323.7</v>
      </c>
      <c r="AR22" s="55">
        <v>324.8</v>
      </c>
      <c r="AS22" s="55">
        <v>326</v>
      </c>
      <c r="AT22" s="55">
        <v>327.3</v>
      </c>
      <c r="AU22" s="55">
        <v>318.10000000000002</v>
      </c>
      <c r="AV22" s="55">
        <v>324.5</v>
      </c>
      <c r="AX22" s="54">
        <v>2004</v>
      </c>
      <c r="AY22" s="55">
        <v>330.4</v>
      </c>
      <c r="AZ22" s="55">
        <v>332.5</v>
      </c>
      <c r="BA22" s="55">
        <v>333.6</v>
      </c>
      <c r="BB22" s="55">
        <v>335.3</v>
      </c>
      <c r="BC22" s="55">
        <v>336.8</v>
      </c>
      <c r="BD22" s="55">
        <v>337.7</v>
      </c>
      <c r="BE22" s="55">
        <v>338.4</v>
      </c>
      <c r="BF22" s="55">
        <v>338.7</v>
      </c>
      <c r="BG22" s="55">
        <v>339.7</v>
      </c>
      <c r="BH22" s="55">
        <v>340.7</v>
      </c>
      <c r="BI22" s="55">
        <v>340.5</v>
      </c>
      <c r="BJ22" s="55">
        <v>340.7</v>
      </c>
      <c r="BN22" s="54">
        <v>2018</v>
      </c>
      <c r="BO22" s="56">
        <v>96.4</v>
      </c>
      <c r="BP22" s="56">
        <v>96.679000000000002</v>
      </c>
      <c r="BQ22" s="56">
        <v>97.575000000000003</v>
      </c>
      <c r="BR22" s="56">
        <v>97.224999999999994</v>
      </c>
      <c r="BS22" s="56">
        <v>97.206000000000003</v>
      </c>
      <c r="BT22" s="56">
        <v>97.536000000000001</v>
      </c>
      <c r="BU22" s="56">
        <v>96.956999999999994</v>
      </c>
      <c r="BV22" s="56">
        <v>96.444999999999993</v>
      </c>
      <c r="BW22" s="56">
        <v>95.641000000000005</v>
      </c>
      <c r="BX22" s="56">
        <v>97.103999999999999</v>
      </c>
      <c r="BY22" s="56">
        <v>97.504999999999995</v>
      </c>
      <c r="BZ22" s="56">
        <v>96.808000000000007</v>
      </c>
      <c r="CA22" s="56">
        <v>97.103999999999999</v>
      </c>
      <c r="CB22" s="56">
        <v>96.742999999999995</v>
      </c>
      <c r="CD22" s="54">
        <v>2004</v>
      </c>
      <c r="CE22" s="55">
        <v>185.2</v>
      </c>
      <c r="CF22" s="55">
        <v>186.2</v>
      </c>
      <c r="CG22" s="55">
        <v>187.4</v>
      </c>
      <c r="CH22" s="55">
        <v>188</v>
      </c>
      <c r="CI22" s="55">
        <v>189.1</v>
      </c>
      <c r="CJ22" s="55">
        <v>189.7</v>
      </c>
      <c r="CK22" s="55">
        <v>189.4</v>
      </c>
      <c r="CL22" s="55">
        <v>189.5</v>
      </c>
      <c r="CM22" s="55">
        <v>189.9</v>
      </c>
      <c r="CN22" s="55">
        <v>190.9</v>
      </c>
      <c r="CO22" s="55">
        <v>191</v>
      </c>
      <c r="CP22" s="55">
        <v>190.3</v>
      </c>
      <c r="CQ22" s="55">
        <v>187.6</v>
      </c>
      <c r="CR22" s="55">
        <v>190.2</v>
      </c>
      <c r="CT22" s="54">
        <v>2005</v>
      </c>
      <c r="CU22" s="55">
        <v>158.30000000000001</v>
      </c>
      <c r="CV22" s="55">
        <v>159.69999999999999</v>
      </c>
      <c r="CW22" s="55">
        <v>160.6</v>
      </c>
      <c r="CX22" s="55">
        <v>160.6</v>
      </c>
      <c r="CY22" s="55">
        <v>160.6</v>
      </c>
      <c r="CZ22" s="55">
        <v>160.80000000000001</v>
      </c>
      <c r="DA22" s="55">
        <v>162</v>
      </c>
      <c r="DB22" s="55">
        <v>161.4</v>
      </c>
      <c r="DC22" s="55">
        <v>161.5</v>
      </c>
      <c r="DD22" s="55">
        <v>162.9</v>
      </c>
      <c r="DE22" s="55">
        <v>165.2</v>
      </c>
      <c r="DF22" s="55">
        <v>165.2</v>
      </c>
      <c r="DJ22" s="54">
        <v>2005</v>
      </c>
      <c r="DK22" s="55">
        <v>153.4</v>
      </c>
      <c r="DL22" s="55">
        <v>154.9</v>
      </c>
      <c r="DM22" s="55">
        <v>156</v>
      </c>
      <c r="DN22" s="55">
        <v>155.80000000000001</v>
      </c>
      <c r="DO22" s="55">
        <v>155.9</v>
      </c>
      <c r="DP22" s="55">
        <v>156.1</v>
      </c>
      <c r="DQ22" s="55">
        <v>157.1</v>
      </c>
      <c r="DR22" s="55">
        <v>156.6</v>
      </c>
      <c r="DS22" s="55">
        <v>156.69999999999999</v>
      </c>
      <c r="DT22" s="55">
        <v>157.69999999999999</v>
      </c>
      <c r="DU22" s="55">
        <v>159.5</v>
      </c>
      <c r="DV22" s="55">
        <v>159.80000000000001</v>
      </c>
      <c r="DZ22" s="54">
        <v>2004</v>
      </c>
      <c r="EA22" s="55">
        <v>349.5</v>
      </c>
      <c r="EB22" s="55">
        <v>352.2</v>
      </c>
      <c r="EC22" s="55">
        <v>353.4</v>
      </c>
      <c r="ED22" s="55">
        <v>353.1</v>
      </c>
      <c r="EE22" s="55">
        <v>353.9</v>
      </c>
      <c r="EF22" s="55">
        <v>356.8</v>
      </c>
      <c r="EG22" s="55">
        <v>357.9</v>
      </c>
      <c r="EH22" s="55">
        <v>355.6</v>
      </c>
      <c r="EI22" s="55">
        <v>356.7</v>
      </c>
      <c r="EJ22" s="55">
        <v>360</v>
      </c>
      <c r="EK22" s="55">
        <v>362</v>
      </c>
      <c r="EL22" s="55">
        <v>364.2</v>
      </c>
      <c r="EP22" s="54">
        <v>2018</v>
      </c>
      <c r="EQ22" s="56">
        <v>99.855999999999995</v>
      </c>
      <c r="ER22" s="56">
        <v>100.42700000000001</v>
      </c>
      <c r="ES22" s="56">
        <v>98.399000000000001</v>
      </c>
      <c r="ET22" s="56">
        <v>98.076999999999998</v>
      </c>
      <c r="EU22" s="56">
        <v>100.486</v>
      </c>
      <c r="EV22" s="56">
        <v>100.512</v>
      </c>
      <c r="EW22" s="56">
        <v>100.349</v>
      </c>
      <c r="EX22" s="56">
        <v>99.53</v>
      </c>
      <c r="EY22" s="56">
        <v>100.52800000000001</v>
      </c>
      <c r="EZ22" s="56">
        <v>101.048</v>
      </c>
      <c r="FA22" s="56">
        <v>101.51600000000001</v>
      </c>
      <c r="FB22" s="56">
        <v>101.176</v>
      </c>
      <c r="FC22" s="56">
        <v>99.626000000000005</v>
      </c>
      <c r="FD22" s="56">
        <v>100.691</v>
      </c>
    </row>
    <row r="23" spans="2:160" x14ac:dyDescent="0.25">
      <c r="B23" s="54">
        <v>2005</v>
      </c>
      <c r="C23" s="55">
        <v>282</v>
      </c>
      <c r="D23" s="55">
        <v>285.2</v>
      </c>
      <c r="E23" s="55">
        <v>285.89999999999998</v>
      </c>
      <c r="F23" s="55">
        <v>286.89999999999998</v>
      </c>
      <c r="G23" s="55">
        <v>287.7</v>
      </c>
      <c r="H23" s="55">
        <v>287.8</v>
      </c>
      <c r="I23" s="55">
        <v>288.39999999999998</v>
      </c>
      <c r="J23" s="55">
        <v>288.60000000000002</v>
      </c>
      <c r="K23" s="55">
        <v>289</v>
      </c>
      <c r="L23" s="55">
        <v>289.2</v>
      </c>
      <c r="M23" s="55">
        <v>289.3</v>
      </c>
      <c r="N23" s="55">
        <v>289.5</v>
      </c>
      <c r="R23" s="33">
        <v>2005</v>
      </c>
      <c r="S23" s="38">
        <v>184.3</v>
      </c>
      <c r="T23" s="38">
        <v>186</v>
      </c>
      <c r="U23" s="38">
        <v>186.1</v>
      </c>
      <c r="V23" s="38">
        <v>186.2</v>
      </c>
      <c r="W23" s="38">
        <v>186.7</v>
      </c>
      <c r="X23" s="38">
        <v>186.7</v>
      </c>
      <c r="Y23" s="38">
        <v>186.9</v>
      </c>
      <c r="Z23" s="38">
        <v>187</v>
      </c>
      <c r="AA23" s="38">
        <v>187.2</v>
      </c>
      <c r="AB23" s="38">
        <v>188</v>
      </c>
      <c r="AC23" s="38">
        <v>188.2</v>
      </c>
      <c r="AD23" s="38">
        <v>188.3</v>
      </c>
      <c r="AH23" s="54">
        <v>2005</v>
      </c>
      <c r="AI23" s="55">
        <v>329.5</v>
      </c>
      <c r="AJ23" s="55">
        <v>332.5</v>
      </c>
      <c r="AK23" s="55">
        <v>334.3</v>
      </c>
      <c r="AL23" s="55">
        <v>335.2</v>
      </c>
      <c r="AM23" s="55">
        <v>335.9</v>
      </c>
      <c r="AN23" s="55">
        <v>336.3</v>
      </c>
      <c r="AO23" s="55">
        <v>337.8</v>
      </c>
      <c r="AP23" s="55">
        <v>337.3</v>
      </c>
      <c r="AQ23" s="55">
        <v>337.9</v>
      </c>
      <c r="AR23" s="55">
        <v>339.7</v>
      </c>
      <c r="AS23" s="55">
        <v>341.7</v>
      </c>
      <c r="AT23" s="55">
        <v>342</v>
      </c>
      <c r="AU23" s="55">
        <v>334</v>
      </c>
      <c r="AV23" s="55">
        <v>339.4</v>
      </c>
      <c r="AX23" s="54">
        <v>2005</v>
      </c>
      <c r="AY23" s="55">
        <v>342.6</v>
      </c>
      <c r="AZ23" s="55">
        <v>344.5</v>
      </c>
      <c r="BA23" s="55">
        <v>344.5</v>
      </c>
      <c r="BB23" s="55">
        <v>344.8</v>
      </c>
      <c r="BC23" s="55">
        <v>346.8</v>
      </c>
      <c r="BD23" s="55">
        <v>348.6</v>
      </c>
      <c r="BE23" s="55">
        <v>349.9</v>
      </c>
      <c r="BF23" s="55">
        <v>350.7</v>
      </c>
      <c r="BG23" s="55">
        <v>351.8</v>
      </c>
      <c r="BH23" s="55">
        <v>353.2</v>
      </c>
      <c r="BI23" s="55">
        <v>355.1</v>
      </c>
      <c r="BJ23" s="55">
        <v>355.7</v>
      </c>
      <c r="BN23" s="54">
        <v>2019</v>
      </c>
      <c r="BO23" s="56">
        <v>96.59</v>
      </c>
      <c r="BP23" s="56">
        <v>95.867000000000004</v>
      </c>
      <c r="BQ23" s="56">
        <v>95.965999999999994</v>
      </c>
      <c r="BR23" s="56">
        <v>96.441999999999993</v>
      </c>
      <c r="BS23" s="56">
        <v>97.048000000000002</v>
      </c>
      <c r="BT23" s="56">
        <v>97.37</v>
      </c>
      <c r="BU23" s="56">
        <v>97.411000000000001</v>
      </c>
      <c r="BV23" s="56">
        <v>99</v>
      </c>
      <c r="BW23" s="56">
        <v>98.162999999999997</v>
      </c>
      <c r="BX23" s="56">
        <v>98.046000000000006</v>
      </c>
      <c r="BY23" s="56">
        <v>98.236999999999995</v>
      </c>
      <c r="BZ23" s="56">
        <v>97.308999999999997</v>
      </c>
      <c r="CA23" s="56">
        <v>96.546999999999997</v>
      </c>
      <c r="CB23" s="56">
        <v>98.028000000000006</v>
      </c>
      <c r="CD23" s="54">
        <v>2005</v>
      </c>
      <c r="CE23" s="55">
        <v>190.7</v>
      </c>
      <c r="CF23" s="55">
        <v>191.8</v>
      </c>
      <c r="CG23" s="55">
        <v>193.3</v>
      </c>
      <c r="CH23" s="55">
        <v>194.6</v>
      </c>
      <c r="CI23" s="55">
        <v>194.4</v>
      </c>
      <c r="CJ23" s="55">
        <v>194.5</v>
      </c>
      <c r="CK23" s="55">
        <v>195.4</v>
      </c>
      <c r="CL23" s="55">
        <v>196.4</v>
      </c>
      <c r="CM23" s="55">
        <v>198.8</v>
      </c>
      <c r="CN23" s="55">
        <v>199.2</v>
      </c>
      <c r="CO23" s="55">
        <v>197.6</v>
      </c>
      <c r="CP23" s="55">
        <v>196.8</v>
      </c>
      <c r="CQ23" s="55">
        <v>193.2</v>
      </c>
      <c r="CR23" s="55">
        <v>197.4</v>
      </c>
      <c r="CT23" s="54">
        <v>2006</v>
      </c>
      <c r="CU23" s="55">
        <v>166.7</v>
      </c>
      <c r="CV23" s="55">
        <v>169.3</v>
      </c>
      <c r="CW23" s="55">
        <v>170.4</v>
      </c>
      <c r="CX23" s="55">
        <v>170.9</v>
      </c>
      <c r="CY23" s="55">
        <v>171.4</v>
      </c>
      <c r="CZ23" s="55">
        <v>172</v>
      </c>
      <c r="DA23" s="55">
        <v>172.6</v>
      </c>
      <c r="DB23" s="55">
        <v>173.3</v>
      </c>
      <c r="DC23" s="55">
        <v>173.6</v>
      </c>
      <c r="DD23" s="55">
        <v>174.3</v>
      </c>
      <c r="DE23" s="55">
        <v>175.7</v>
      </c>
      <c r="DF23" s="55">
        <v>175.4</v>
      </c>
      <c r="DJ23" s="54">
        <v>2006</v>
      </c>
      <c r="DK23" s="55">
        <v>161.6</v>
      </c>
      <c r="DL23" s="55">
        <v>164</v>
      </c>
      <c r="DM23" s="55">
        <v>166.4</v>
      </c>
      <c r="DN23" s="55">
        <v>166.6</v>
      </c>
      <c r="DO23" s="55">
        <v>167.4</v>
      </c>
      <c r="DP23" s="55">
        <v>167.4</v>
      </c>
      <c r="DQ23" s="55">
        <v>167.9</v>
      </c>
      <c r="DR23" s="55">
        <v>168.4</v>
      </c>
      <c r="DS23" s="55">
        <v>168.7</v>
      </c>
      <c r="DT23" s="55">
        <v>169.6</v>
      </c>
      <c r="DU23" s="55">
        <v>170.8</v>
      </c>
      <c r="DV23" s="55">
        <v>170.6</v>
      </c>
      <c r="DZ23" s="54">
        <v>2005</v>
      </c>
      <c r="EA23" s="55">
        <v>365.5</v>
      </c>
      <c r="EB23" s="55">
        <v>367.8</v>
      </c>
      <c r="EC23" s="55">
        <v>369.8</v>
      </c>
      <c r="ED23" s="55">
        <v>369.8</v>
      </c>
      <c r="EE23" s="55">
        <v>370.2</v>
      </c>
      <c r="EF23" s="55">
        <v>371.1</v>
      </c>
      <c r="EG23" s="55">
        <v>373.8</v>
      </c>
      <c r="EH23" s="55">
        <v>372.8</v>
      </c>
      <c r="EI23" s="55">
        <v>372.8</v>
      </c>
      <c r="EJ23" s="55">
        <v>376.8</v>
      </c>
      <c r="EK23" s="55">
        <v>382.9</v>
      </c>
      <c r="EL23" s="55">
        <v>382.5</v>
      </c>
      <c r="EP23" s="54">
        <v>2019</v>
      </c>
      <c r="EQ23" s="56">
        <v>101.92400000000001</v>
      </c>
      <c r="ER23" s="56">
        <v>101.295</v>
      </c>
      <c r="ES23" s="56">
        <v>99.754999999999995</v>
      </c>
      <c r="ET23" s="56">
        <v>101.789</v>
      </c>
      <c r="EU23" s="56">
        <v>103.438</v>
      </c>
      <c r="EV23" s="56">
        <v>104.03400000000001</v>
      </c>
      <c r="EW23" s="56">
        <v>102.009</v>
      </c>
      <c r="EX23" s="56">
        <v>102.003</v>
      </c>
      <c r="EY23" s="56">
        <v>101.577</v>
      </c>
      <c r="EZ23" s="56">
        <v>102.459</v>
      </c>
      <c r="FA23" s="56">
        <v>103.465</v>
      </c>
      <c r="FB23" s="56">
        <v>102.461</v>
      </c>
      <c r="FC23" s="56">
        <v>102.039</v>
      </c>
      <c r="FD23" s="56">
        <v>102.32899999999999</v>
      </c>
    </row>
    <row r="24" spans="2:160" x14ac:dyDescent="0.25">
      <c r="B24" s="54">
        <v>2006</v>
      </c>
      <c r="C24" s="55">
        <v>288.5</v>
      </c>
      <c r="D24" s="55">
        <v>289.8</v>
      </c>
      <c r="E24" s="55">
        <v>291.39999999999998</v>
      </c>
      <c r="F24" s="55">
        <v>291.39999999999998</v>
      </c>
      <c r="G24" s="55">
        <v>291.7</v>
      </c>
      <c r="H24" s="55">
        <v>291.7</v>
      </c>
      <c r="I24" s="55">
        <v>292.10000000000002</v>
      </c>
      <c r="J24" s="55">
        <v>292.5</v>
      </c>
      <c r="K24" s="55">
        <v>292.5</v>
      </c>
      <c r="L24" s="55">
        <v>293.2</v>
      </c>
      <c r="M24" s="55">
        <v>293.7</v>
      </c>
      <c r="N24" s="55">
        <v>294.3</v>
      </c>
      <c r="R24" s="33">
        <v>2006</v>
      </c>
      <c r="S24" s="38">
        <v>188.1</v>
      </c>
      <c r="T24" s="38">
        <v>190.4</v>
      </c>
      <c r="U24" s="38">
        <v>191.1</v>
      </c>
      <c r="V24" s="38">
        <v>191.2</v>
      </c>
      <c r="W24" s="38">
        <v>191.4</v>
      </c>
      <c r="X24" s="38">
        <v>191.4</v>
      </c>
      <c r="Y24" s="38">
        <v>192.3</v>
      </c>
      <c r="Z24" s="38">
        <v>193.3</v>
      </c>
      <c r="AA24" s="38">
        <v>194.2</v>
      </c>
      <c r="AB24" s="38">
        <v>194.2</v>
      </c>
      <c r="AC24" s="38">
        <v>194.1</v>
      </c>
      <c r="AD24" s="38">
        <v>194.2</v>
      </c>
      <c r="AH24" s="54">
        <v>2006</v>
      </c>
      <c r="AI24" s="55">
        <v>342.9</v>
      </c>
      <c r="AJ24" s="55">
        <v>346.1</v>
      </c>
      <c r="AK24" s="55">
        <v>348</v>
      </c>
      <c r="AL24" s="55">
        <v>348.8</v>
      </c>
      <c r="AM24" s="55">
        <v>349.7</v>
      </c>
      <c r="AN24" s="55">
        <v>350.3</v>
      </c>
      <c r="AO24" s="55">
        <v>351.2</v>
      </c>
      <c r="AP24" s="55">
        <v>352.1</v>
      </c>
      <c r="AQ24" s="55">
        <v>352.7</v>
      </c>
      <c r="AR24" s="55">
        <v>354</v>
      </c>
      <c r="AS24" s="55">
        <v>355.6</v>
      </c>
      <c r="AT24" s="55">
        <v>356</v>
      </c>
      <c r="AU24" s="55">
        <v>347.6</v>
      </c>
      <c r="AV24" s="55">
        <v>353.6</v>
      </c>
      <c r="AX24" s="54">
        <v>2006</v>
      </c>
      <c r="AY24" s="55">
        <v>357.6</v>
      </c>
      <c r="AZ24" s="55">
        <v>359.9</v>
      </c>
      <c r="BA24" s="55">
        <v>361.5</v>
      </c>
      <c r="BB24" s="55">
        <v>362.7</v>
      </c>
      <c r="BC24" s="55">
        <v>364.2</v>
      </c>
      <c r="BD24" s="55">
        <v>365.2</v>
      </c>
      <c r="BE24" s="55">
        <v>366.1</v>
      </c>
      <c r="BF24" s="55">
        <v>367.2</v>
      </c>
      <c r="BG24" s="55">
        <v>368.4</v>
      </c>
      <c r="BH24" s="55">
        <v>367.7</v>
      </c>
      <c r="BI24" s="55">
        <v>364.5</v>
      </c>
      <c r="BJ24" s="55">
        <v>362.3</v>
      </c>
      <c r="BN24" s="54">
        <v>2020</v>
      </c>
      <c r="BO24" s="56">
        <v>96.058999999999997</v>
      </c>
      <c r="BP24" s="56">
        <v>95.814999999999998</v>
      </c>
      <c r="BQ24" s="56">
        <v>96.564999999999998</v>
      </c>
      <c r="BR24" s="56">
        <v>96.120999999999995</v>
      </c>
      <c r="BS24" s="56">
        <v>96.521000000000001</v>
      </c>
      <c r="BT24" s="56">
        <v>96.411000000000001</v>
      </c>
      <c r="BU24" s="56">
        <v>96.423000000000002</v>
      </c>
      <c r="BV24" s="56">
        <v>97.356999999999999</v>
      </c>
      <c r="BW24" s="56">
        <v>97.56</v>
      </c>
      <c r="BX24" s="56">
        <v>96.251000000000005</v>
      </c>
      <c r="BY24" s="56">
        <v>96.341999999999999</v>
      </c>
      <c r="BZ24" s="56">
        <v>95.941000000000003</v>
      </c>
      <c r="CA24" s="56">
        <v>96.248999999999995</v>
      </c>
      <c r="CB24" s="56">
        <v>96.646000000000001</v>
      </c>
      <c r="CD24" s="54">
        <v>2006</v>
      </c>
      <c r="CE24" s="55">
        <v>198.3</v>
      </c>
      <c r="CF24" s="55">
        <v>198.7</v>
      </c>
      <c r="CG24" s="55">
        <v>199.8</v>
      </c>
      <c r="CH24" s="55">
        <v>201.5</v>
      </c>
      <c r="CI24" s="55">
        <v>202.5</v>
      </c>
      <c r="CJ24" s="55">
        <v>202.9</v>
      </c>
      <c r="CK24" s="55">
        <v>203.5</v>
      </c>
      <c r="CL24" s="55">
        <v>203.9</v>
      </c>
      <c r="CM24" s="55">
        <v>202.9</v>
      </c>
      <c r="CN24" s="55">
        <v>201.8</v>
      </c>
      <c r="CO24" s="55">
        <v>201.5</v>
      </c>
      <c r="CP24" s="55">
        <v>201.8</v>
      </c>
      <c r="CQ24" s="55">
        <v>200.6</v>
      </c>
      <c r="CR24" s="55">
        <v>202.6</v>
      </c>
      <c r="CT24" s="54">
        <v>2007</v>
      </c>
      <c r="CU24" s="56">
        <v>177.29300000000001</v>
      </c>
      <c r="CV24" s="56">
        <v>179.43600000000001</v>
      </c>
      <c r="CW24" s="56">
        <v>180.28200000000001</v>
      </c>
      <c r="CX24" s="56">
        <v>180.98</v>
      </c>
      <c r="CY24" s="56">
        <v>181.708</v>
      </c>
      <c r="CZ24" s="56">
        <v>182.00700000000001</v>
      </c>
      <c r="DA24" s="56">
        <v>183.67699999999999</v>
      </c>
      <c r="DB24" s="56">
        <v>184.29300000000001</v>
      </c>
      <c r="DC24" s="56">
        <v>185.49799999999999</v>
      </c>
      <c r="DD24" s="56">
        <v>187.72900000000001</v>
      </c>
      <c r="DE24" s="56">
        <v>189.797</v>
      </c>
      <c r="DF24" s="56">
        <v>189.90799999999999</v>
      </c>
      <c r="DJ24" s="54">
        <v>2007</v>
      </c>
      <c r="DK24" s="56">
        <v>172.547</v>
      </c>
      <c r="DL24" s="56">
        <v>174.74299999999999</v>
      </c>
      <c r="DM24" s="56">
        <v>174.82599999999999</v>
      </c>
      <c r="DN24" s="56">
        <v>175.56700000000001</v>
      </c>
      <c r="DO24" s="56">
        <v>176.387</v>
      </c>
      <c r="DP24" s="56">
        <v>176.697</v>
      </c>
      <c r="DQ24" s="56">
        <v>178.32400000000001</v>
      </c>
      <c r="DR24" s="56">
        <v>178.96799999999999</v>
      </c>
      <c r="DS24" s="56">
        <v>179.84399999999999</v>
      </c>
      <c r="DT24" s="56">
        <v>181.76900000000001</v>
      </c>
      <c r="DU24" s="56">
        <v>183.45</v>
      </c>
      <c r="DV24" s="56">
        <v>183.595</v>
      </c>
      <c r="DZ24" s="54">
        <v>2006</v>
      </c>
      <c r="EA24" s="55">
        <v>384.6</v>
      </c>
      <c r="EB24" s="55">
        <v>391.2</v>
      </c>
      <c r="EC24" s="55">
        <v>390.7</v>
      </c>
      <c r="ED24" s="55">
        <v>392.7</v>
      </c>
      <c r="EE24" s="55">
        <v>392.1</v>
      </c>
      <c r="EF24" s="55">
        <v>393.4</v>
      </c>
      <c r="EG24" s="55">
        <v>395.1</v>
      </c>
      <c r="EH24" s="55">
        <v>397.6</v>
      </c>
      <c r="EI24" s="55">
        <v>398.3</v>
      </c>
      <c r="EJ24" s="55">
        <v>399.2</v>
      </c>
      <c r="EK24" s="55">
        <v>402.8</v>
      </c>
      <c r="EL24" s="55">
        <v>402.4</v>
      </c>
      <c r="EP24" s="54">
        <v>2020</v>
      </c>
      <c r="EQ24" s="56">
        <v>101.605</v>
      </c>
      <c r="ER24" s="56">
        <v>101.32</v>
      </c>
      <c r="ES24" s="56">
        <v>101.093</v>
      </c>
      <c r="ET24" s="56">
        <v>100.438</v>
      </c>
      <c r="EU24" s="56">
        <v>101.902</v>
      </c>
      <c r="EV24" s="56">
        <v>101.831</v>
      </c>
      <c r="EW24" s="56">
        <v>102.184</v>
      </c>
      <c r="EX24" s="56">
        <v>100.979</v>
      </c>
      <c r="EY24" s="56">
        <v>98.981999999999999</v>
      </c>
      <c r="EZ24" s="56">
        <v>97.590999999999994</v>
      </c>
      <c r="FA24" s="56">
        <v>92.429000000000002</v>
      </c>
      <c r="FB24" s="56">
        <v>92.218999999999994</v>
      </c>
      <c r="FC24" s="56">
        <v>101.36499999999999</v>
      </c>
      <c r="FD24" s="56">
        <v>97.397000000000006</v>
      </c>
    </row>
    <row r="25" spans="2:160" x14ac:dyDescent="0.25">
      <c r="B25" s="54">
        <v>2007</v>
      </c>
      <c r="C25" s="56">
        <v>297.75099999999998</v>
      </c>
      <c r="D25" s="56">
        <v>301.56</v>
      </c>
      <c r="E25" s="56">
        <v>301.97399999999999</v>
      </c>
      <c r="F25" s="56">
        <v>302.06799999999998</v>
      </c>
      <c r="G25" s="56">
        <v>302.32</v>
      </c>
      <c r="H25" s="56">
        <v>302.64299999999997</v>
      </c>
      <c r="I25" s="56">
        <v>303.89</v>
      </c>
      <c r="J25" s="56">
        <v>304.45699999999999</v>
      </c>
      <c r="K25" s="56">
        <v>304.49799999999999</v>
      </c>
      <c r="L25" s="56">
        <v>305.74900000000002</v>
      </c>
      <c r="M25" s="56">
        <v>305.69099999999997</v>
      </c>
      <c r="N25" s="56">
        <v>306.30399999999997</v>
      </c>
      <c r="R25" s="33">
        <v>2007</v>
      </c>
      <c r="S25" s="39">
        <v>195.01300000000001</v>
      </c>
      <c r="T25" s="39">
        <v>195.667</v>
      </c>
      <c r="U25" s="39">
        <v>196.56100000000001</v>
      </c>
      <c r="V25" s="39">
        <v>196.74100000000001</v>
      </c>
      <c r="W25" s="39">
        <v>196.96</v>
      </c>
      <c r="X25" s="39">
        <v>197.12700000000001</v>
      </c>
      <c r="Y25" s="39">
        <v>197.38800000000001</v>
      </c>
      <c r="Z25" s="39">
        <v>197.613</v>
      </c>
      <c r="AA25" s="39">
        <v>197.702</v>
      </c>
      <c r="AB25" s="39">
        <v>198.43199999999999</v>
      </c>
      <c r="AC25" s="39">
        <v>199.45400000000001</v>
      </c>
      <c r="AD25" s="39">
        <v>200.31200000000001</v>
      </c>
      <c r="AH25" s="54">
        <v>2007</v>
      </c>
      <c r="AI25" s="56">
        <v>359.75700000000001</v>
      </c>
      <c r="AJ25" s="56">
        <v>363.90800000000002</v>
      </c>
      <c r="AK25" s="56">
        <v>365.16399999999999</v>
      </c>
      <c r="AL25" s="56">
        <v>366.07</v>
      </c>
      <c r="AM25" s="56">
        <v>367.12700000000001</v>
      </c>
      <c r="AN25" s="56">
        <v>367.75799999999998</v>
      </c>
      <c r="AO25" s="56">
        <v>370.00799999999998</v>
      </c>
      <c r="AP25" s="56">
        <v>371.46100000000001</v>
      </c>
      <c r="AQ25" s="56">
        <v>372.43200000000002</v>
      </c>
      <c r="AR25" s="56">
        <v>374.75</v>
      </c>
      <c r="AS25" s="56">
        <v>376.25</v>
      </c>
      <c r="AT25" s="56">
        <v>376.94</v>
      </c>
      <c r="AU25" s="56">
        <v>364.964</v>
      </c>
      <c r="AV25" s="56">
        <v>373.64</v>
      </c>
      <c r="AX25" s="54">
        <v>2007</v>
      </c>
      <c r="AY25" s="56">
        <v>367.072</v>
      </c>
      <c r="AZ25" s="56">
        <v>366.55799999999999</v>
      </c>
      <c r="BA25" s="56">
        <v>365.07799999999997</v>
      </c>
      <c r="BB25" s="56">
        <v>366.83800000000002</v>
      </c>
      <c r="BC25" s="56">
        <v>366.952</v>
      </c>
      <c r="BD25" s="56">
        <v>366.78199999999998</v>
      </c>
      <c r="BE25" s="56">
        <v>369.39</v>
      </c>
      <c r="BF25" s="56">
        <v>370.721</v>
      </c>
      <c r="BG25" s="56">
        <v>370.97199999999998</v>
      </c>
      <c r="BH25" s="56">
        <v>371.85599999999999</v>
      </c>
      <c r="BI25" s="56">
        <v>373.28</v>
      </c>
      <c r="BJ25" s="56">
        <v>374.38900000000001</v>
      </c>
      <c r="BN25" s="54">
        <v>2021</v>
      </c>
      <c r="BO25" s="56">
        <v>94.852999999999994</v>
      </c>
      <c r="BP25" s="56">
        <v>94.293000000000006</v>
      </c>
      <c r="BQ25" s="56">
        <v>94.507000000000005</v>
      </c>
      <c r="BR25" s="56">
        <v>95.537999999999997</v>
      </c>
      <c r="BS25" s="56">
        <v>96.210999999999999</v>
      </c>
      <c r="BT25" s="56">
        <v>95.965000000000003</v>
      </c>
      <c r="BU25" s="56">
        <v>96.561999999999998</v>
      </c>
      <c r="BV25" s="56">
        <v>95.846999999999994</v>
      </c>
      <c r="BW25" s="56">
        <v>95.929000000000002</v>
      </c>
      <c r="BX25" s="56">
        <v>96.887</v>
      </c>
      <c r="BY25" s="56">
        <v>97.119</v>
      </c>
      <c r="BZ25" s="56">
        <v>96.751999999999995</v>
      </c>
      <c r="CA25" s="56">
        <v>95.227999999999994</v>
      </c>
      <c r="CB25" s="56">
        <v>96.516000000000005</v>
      </c>
      <c r="CD25" s="54">
        <v>2007</v>
      </c>
      <c r="CE25" s="56">
        <v>202.416</v>
      </c>
      <c r="CF25" s="56">
        <v>203.499</v>
      </c>
      <c r="CG25" s="56">
        <v>205.352</v>
      </c>
      <c r="CH25" s="56">
        <v>206.68600000000001</v>
      </c>
      <c r="CI25" s="56">
        <v>207.94900000000001</v>
      </c>
      <c r="CJ25" s="56">
        <v>208.352</v>
      </c>
      <c r="CK25" s="56">
        <v>208.29900000000001</v>
      </c>
      <c r="CL25" s="56">
        <v>207.917</v>
      </c>
      <c r="CM25" s="56">
        <v>208.49</v>
      </c>
      <c r="CN25" s="56">
        <v>208.93600000000001</v>
      </c>
      <c r="CO25" s="56">
        <v>210.17699999999999</v>
      </c>
      <c r="CP25" s="56">
        <v>210.036</v>
      </c>
      <c r="CQ25" s="56">
        <v>205.709</v>
      </c>
      <c r="CR25" s="56">
        <v>208.976</v>
      </c>
      <c r="CT25" s="54">
        <v>2008</v>
      </c>
      <c r="CU25" s="56">
        <v>192.87799999999999</v>
      </c>
      <c r="CV25" s="56">
        <v>194.81800000000001</v>
      </c>
      <c r="CW25" s="56">
        <v>195.20599999999999</v>
      </c>
      <c r="CX25" s="56">
        <v>195.68799999999999</v>
      </c>
      <c r="CY25" s="56">
        <v>196.03200000000001</v>
      </c>
      <c r="CZ25" s="56">
        <v>196.19900000000001</v>
      </c>
      <c r="DA25" s="56">
        <v>196.97300000000001</v>
      </c>
      <c r="DB25" s="56">
        <v>197.786</v>
      </c>
      <c r="DC25" s="56">
        <v>198.69300000000001</v>
      </c>
      <c r="DD25" s="56">
        <v>199.98400000000001</v>
      </c>
      <c r="DE25" s="56">
        <v>200.923</v>
      </c>
      <c r="DF25" s="56">
        <v>201.053</v>
      </c>
      <c r="DJ25" s="54">
        <v>2008</v>
      </c>
      <c r="DK25" s="56">
        <v>186.48</v>
      </c>
      <c r="DL25" s="56">
        <v>188.81700000000001</v>
      </c>
      <c r="DM25" s="56">
        <v>189.12200000000001</v>
      </c>
      <c r="DN25" s="56">
        <v>189.68199999999999</v>
      </c>
      <c r="DO25" s="56">
        <v>189.68700000000001</v>
      </c>
      <c r="DP25" s="56">
        <v>190.15899999999999</v>
      </c>
      <c r="DQ25" s="56">
        <v>190.78899999999999</v>
      </c>
      <c r="DR25" s="56">
        <v>191.21199999999999</v>
      </c>
      <c r="DS25" s="56">
        <v>192.09100000000001</v>
      </c>
      <c r="DT25" s="56">
        <v>193.31700000000001</v>
      </c>
      <c r="DU25" s="56">
        <v>194.04</v>
      </c>
      <c r="DV25" s="56">
        <v>194.07300000000001</v>
      </c>
      <c r="DZ25" s="54">
        <v>2007</v>
      </c>
      <c r="EA25" s="56">
        <v>405.84699999999998</v>
      </c>
      <c r="EB25" s="56">
        <v>410.863</v>
      </c>
      <c r="EC25" s="56">
        <v>416.32499999999999</v>
      </c>
      <c r="ED25" s="56">
        <v>418.19099999999997</v>
      </c>
      <c r="EE25" s="56">
        <v>419.53399999999999</v>
      </c>
      <c r="EF25" s="56">
        <v>420.29300000000001</v>
      </c>
      <c r="EG25" s="56">
        <v>423.92700000000002</v>
      </c>
      <c r="EH25" s="56">
        <v>425.35300000000001</v>
      </c>
      <c r="EI25" s="56">
        <v>430.166</v>
      </c>
      <c r="EJ25" s="56">
        <v>436.16500000000002</v>
      </c>
      <c r="EK25" s="56">
        <v>442.01100000000002</v>
      </c>
      <c r="EL25" s="56">
        <v>442.08499999999998</v>
      </c>
      <c r="EP25" s="54">
        <v>2021</v>
      </c>
      <c r="EQ25" s="56">
        <v>95.402000000000001</v>
      </c>
      <c r="ER25" s="56">
        <v>95.781999999999996</v>
      </c>
      <c r="ES25" s="56">
        <v>95.379000000000005</v>
      </c>
      <c r="ET25" s="56">
        <v>94.864000000000004</v>
      </c>
      <c r="EU25" s="56">
        <v>96.003</v>
      </c>
      <c r="EV25" s="56">
        <v>95.451999999999998</v>
      </c>
      <c r="EW25" s="56">
        <v>95.572000000000003</v>
      </c>
      <c r="EX25" s="56">
        <v>96.435000000000002</v>
      </c>
      <c r="EY25" s="56">
        <v>97.361999999999995</v>
      </c>
      <c r="EZ25" s="56">
        <v>97.623999999999995</v>
      </c>
      <c r="FA25" s="56">
        <v>97.191999999999993</v>
      </c>
      <c r="FB25" s="56">
        <v>97.691999999999993</v>
      </c>
      <c r="FC25" s="56">
        <v>95.48</v>
      </c>
      <c r="FD25" s="56">
        <v>96.98</v>
      </c>
    </row>
    <row r="26" spans="2:160" x14ac:dyDescent="0.25">
      <c r="B26" s="54">
        <v>2008</v>
      </c>
      <c r="C26" s="56">
        <v>308.14499999999998</v>
      </c>
      <c r="D26" s="56">
        <v>307.774</v>
      </c>
      <c r="E26" s="56">
        <v>308.42399999999998</v>
      </c>
      <c r="F26" s="56">
        <v>308.488</v>
      </c>
      <c r="G26" s="56">
        <v>310.77600000000001</v>
      </c>
      <c r="H26" s="56">
        <v>311.03699999999998</v>
      </c>
      <c r="I26" s="56">
        <v>311.27</v>
      </c>
      <c r="J26" s="56">
        <v>312.78800000000001</v>
      </c>
      <c r="K26" s="56">
        <v>313.59199999999998</v>
      </c>
      <c r="L26" s="56">
        <v>314.041</v>
      </c>
      <c r="M26" s="56">
        <v>314.52999999999997</v>
      </c>
      <c r="N26" s="56">
        <v>315.233</v>
      </c>
      <c r="R26" s="33">
        <v>2008</v>
      </c>
      <c r="S26" s="39">
        <v>200.94399999999999</v>
      </c>
      <c r="T26" s="39">
        <v>202.63399999999999</v>
      </c>
      <c r="U26" s="39">
        <v>202.67</v>
      </c>
      <c r="V26" s="39">
        <v>203.50700000000001</v>
      </c>
      <c r="W26" s="39">
        <v>204.70599999999999</v>
      </c>
      <c r="X26" s="39">
        <v>205.904</v>
      </c>
      <c r="Y26" s="39">
        <v>207.626</v>
      </c>
      <c r="Z26" s="39">
        <v>207.17099999999999</v>
      </c>
      <c r="AA26" s="39">
        <v>207.25899999999999</v>
      </c>
      <c r="AB26" s="39">
        <v>207.78800000000001</v>
      </c>
      <c r="AC26" s="39">
        <v>207.851</v>
      </c>
      <c r="AD26" s="39">
        <v>207.85</v>
      </c>
      <c r="AH26" s="54">
        <v>2008</v>
      </c>
      <c r="AI26" s="56">
        <v>380.13499999999999</v>
      </c>
      <c r="AJ26" s="56">
        <v>382.19600000000003</v>
      </c>
      <c r="AK26" s="56">
        <v>382.87200000000001</v>
      </c>
      <c r="AL26" s="56">
        <v>383.29199999999997</v>
      </c>
      <c r="AM26" s="56">
        <v>384.505</v>
      </c>
      <c r="AN26" s="56">
        <v>384.685</v>
      </c>
      <c r="AO26" s="56">
        <v>385.36099999999999</v>
      </c>
      <c r="AP26" s="56">
        <v>385.99</v>
      </c>
      <c r="AQ26" s="56">
        <v>386.57900000000001</v>
      </c>
      <c r="AR26" s="56">
        <v>387.44</v>
      </c>
      <c r="AS26" s="56">
        <v>387.99200000000002</v>
      </c>
      <c r="AT26" s="56">
        <v>388.267</v>
      </c>
      <c r="AU26" s="56">
        <v>382.94799999999998</v>
      </c>
      <c r="AV26" s="56">
        <v>386.93799999999999</v>
      </c>
      <c r="AX26" s="54">
        <v>2008</v>
      </c>
      <c r="AY26" s="56">
        <v>377.82799999999997</v>
      </c>
      <c r="AZ26" s="56">
        <v>379.31</v>
      </c>
      <c r="BA26" s="56">
        <v>380.40699999999998</v>
      </c>
      <c r="BB26" s="56">
        <v>379.61200000000002</v>
      </c>
      <c r="BC26" s="56">
        <v>377.14400000000001</v>
      </c>
      <c r="BD26" s="56">
        <v>377.42899999999997</v>
      </c>
      <c r="BE26" s="56">
        <v>376.81299999999999</v>
      </c>
      <c r="BF26" s="56">
        <v>376.38499999999999</v>
      </c>
      <c r="BG26" s="56">
        <v>377.09399999999999</v>
      </c>
      <c r="BH26" s="56">
        <v>377.95600000000002</v>
      </c>
      <c r="BI26" s="56">
        <v>379.49099999999999</v>
      </c>
      <c r="BJ26" s="56">
        <v>379.94299999999998</v>
      </c>
      <c r="BN26" s="54">
        <v>2022</v>
      </c>
      <c r="BO26" s="56">
        <v>96.42</v>
      </c>
      <c r="BP26" s="56">
        <v>97.12</v>
      </c>
      <c r="BQ26" s="56">
        <v>98.421999999999997</v>
      </c>
      <c r="BR26" s="56">
        <v>98.436999999999998</v>
      </c>
      <c r="BS26" s="56">
        <v>99.302000000000007</v>
      </c>
      <c r="BT26" s="56">
        <v>100.465</v>
      </c>
      <c r="BU26" s="56">
        <v>101.76600000000001</v>
      </c>
      <c r="BV26" s="56">
        <v>101.68600000000001</v>
      </c>
      <c r="BW26" s="56">
        <v>101.262</v>
      </c>
      <c r="BX26" s="56">
        <v>101.664</v>
      </c>
      <c r="BY26" s="56">
        <v>102.38500000000001</v>
      </c>
      <c r="BZ26" s="56">
        <v>101.968</v>
      </c>
      <c r="CA26" s="56">
        <v>98.361000000000004</v>
      </c>
      <c r="CB26" s="56">
        <v>101.789</v>
      </c>
      <c r="CD26" s="54">
        <v>2008</v>
      </c>
      <c r="CE26" s="56">
        <v>211.08</v>
      </c>
      <c r="CF26" s="56">
        <v>211.69300000000001</v>
      </c>
      <c r="CG26" s="56">
        <v>213.52799999999999</v>
      </c>
      <c r="CH26" s="56">
        <v>214.82300000000001</v>
      </c>
      <c r="CI26" s="56">
        <v>216.63200000000001</v>
      </c>
      <c r="CJ26" s="56">
        <v>218.815</v>
      </c>
      <c r="CK26" s="56">
        <v>219.964</v>
      </c>
      <c r="CL26" s="56">
        <v>219.08600000000001</v>
      </c>
      <c r="CM26" s="56">
        <v>218.78299999999999</v>
      </c>
      <c r="CN26" s="56">
        <v>216.57300000000001</v>
      </c>
      <c r="CO26" s="56">
        <v>212.42500000000001</v>
      </c>
      <c r="CP26" s="56">
        <v>210.22800000000001</v>
      </c>
      <c r="CQ26" s="56">
        <v>214.429</v>
      </c>
      <c r="CR26" s="56">
        <v>216.17699999999999</v>
      </c>
      <c r="CT26" s="54">
        <v>2009</v>
      </c>
      <c r="CU26" s="56">
        <v>203.95699999999999</v>
      </c>
      <c r="CV26" s="56">
        <v>206.845</v>
      </c>
      <c r="CW26" s="56">
        <v>207.92500000000001</v>
      </c>
      <c r="CX26" s="56">
        <v>209.41200000000001</v>
      </c>
      <c r="CY26" s="56">
        <v>209.11</v>
      </c>
      <c r="CZ26" s="56">
        <v>209.27699999999999</v>
      </c>
      <c r="DA26" s="56">
        <v>210.92</v>
      </c>
      <c r="DB26" s="56">
        <v>211.64400000000001</v>
      </c>
      <c r="DC26" s="56">
        <v>212.84800000000001</v>
      </c>
      <c r="DD26" s="56">
        <v>213.88200000000001</v>
      </c>
      <c r="DE26" s="56">
        <v>216.38399999999999</v>
      </c>
      <c r="DF26" s="56">
        <v>216.57</v>
      </c>
      <c r="DJ26" s="54">
        <v>2009</v>
      </c>
      <c r="DK26" s="56">
        <v>196.32400000000001</v>
      </c>
      <c r="DL26" s="56">
        <v>199.691</v>
      </c>
      <c r="DM26" s="56">
        <v>200.74799999999999</v>
      </c>
      <c r="DN26" s="56">
        <v>202.239</v>
      </c>
      <c r="DO26" s="56">
        <v>202.126</v>
      </c>
      <c r="DP26" s="56">
        <v>202.59899999999999</v>
      </c>
      <c r="DQ26" s="56">
        <v>203.89500000000001</v>
      </c>
      <c r="DR26" s="56">
        <v>204.91200000000001</v>
      </c>
      <c r="DS26" s="56">
        <v>205.71299999999999</v>
      </c>
      <c r="DT26" s="56">
        <v>206.536</v>
      </c>
      <c r="DU26" s="56">
        <v>208.91300000000001</v>
      </c>
      <c r="DV26" s="56">
        <v>209.07499999999999</v>
      </c>
      <c r="DZ26" s="54">
        <v>2008</v>
      </c>
      <c r="EA26" s="56">
        <v>448.15199999999999</v>
      </c>
      <c r="EB26" s="56">
        <v>451.15300000000002</v>
      </c>
      <c r="EC26" s="56">
        <v>451.89600000000002</v>
      </c>
      <c r="ED26" s="56">
        <v>452.00700000000001</v>
      </c>
      <c r="EE26" s="56">
        <v>454.197</v>
      </c>
      <c r="EF26" s="56">
        <v>453.60899999999998</v>
      </c>
      <c r="EG26" s="56">
        <v>455.83699999999999</v>
      </c>
      <c r="EH26" s="56">
        <v>458.66</v>
      </c>
      <c r="EI26" s="56">
        <v>460.50799999999998</v>
      </c>
      <c r="EJ26" s="56">
        <v>463.29500000000002</v>
      </c>
      <c r="EK26" s="56">
        <v>466.14</v>
      </c>
      <c r="EL26" s="56">
        <v>466.73599999999999</v>
      </c>
      <c r="EP26" s="54">
        <v>2022</v>
      </c>
      <c r="EQ26" s="56">
        <v>98.971000000000004</v>
      </c>
      <c r="ER26" s="56">
        <v>98.486999999999995</v>
      </c>
      <c r="ES26" s="56">
        <v>98.274000000000001</v>
      </c>
      <c r="ET26" s="56">
        <v>98.593000000000004</v>
      </c>
      <c r="EU26" s="56">
        <v>100.542</v>
      </c>
      <c r="EV26" s="56">
        <v>101.129</v>
      </c>
      <c r="EW26" s="56">
        <v>101.914</v>
      </c>
      <c r="EX26" s="56">
        <v>102.264</v>
      </c>
      <c r="EY26" s="56">
        <v>103.22499999999999</v>
      </c>
      <c r="EZ26" s="56">
        <v>102.574</v>
      </c>
      <c r="FA26" s="56">
        <v>104.3</v>
      </c>
      <c r="FB26" s="56">
        <v>106.664</v>
      </c>
      <c r="FC26" s="56">
        <v>99.332999999999998</v>
      </c>
      <c r="FD26" s="56">
        <v>103.49</v>
      </c>
    </row>
    <row r="27" spans="2:160" x14ac:dyDescent="0.25">
      <c r="B27" s="54">
        <v>2009</v>
      </c>
      <c r="C27" s="56">
        <v>316.74400000000003</v>
      </c>
      <c r="D27" s="56">
        <v>317.75799999999998</v>
      </c>
      <c r="E27" s="56">
        <v>318.87299999999999</v>
      </c>
      <c r="F27" s="56">
        <v>318.72199999999998</v>
      </c>
      <c r="G27" s="56">
        <v>320.95499999999998</v>
      </c>
      <c r="H27" s="56">
        <v>321.18099999999998</v>
      </c>
      <c r="I27" s="56">
        <v>321.89800000000002</v>
      </c>
      <c r="J27" s="56">
        <v>322.33999999999997</v>
      </c>
      <c r="K27" s="56">
        <v>322.58199999999999</v>
      </c>
      <c r="L27" s="56">
        <v>322.91199999999998</v>
      </c>
      <c r="M27" s="56">
        <v>322.88299999999998</v>
      </c>
      <c r="N27" s="56">
        <v>323.12400000000002</v>
      </c>
      <c r="R27" s="33">
        <v>2009</v>
      </c>
      <c r="S27" s="39">
        <v>208.59</v>
      </c>
      <c r="T27" s="39">
        <v>208.75200000000001</v>
      </c>
      <c r="U27" s="39">
        <v>208.941</v>
      </c>
      <c r="V27" s="39">
        <v>209.08099999999999</v>
      </c>
      <c r="W27" s="39">
        <v>209.02099999999999</v>
      </c>
      <c r="X27" s="39">
        <v>209.62799999999999</v>
      </c>
      <c r="Y27" s="39">
        <v>209.727</v>
      </c>
      <c r="Z27" s="39">
        <v>209.87</v>
      </c>
      <c r="AA27" s="39">
        <v>209.86600000000001</v>
      </c>
      <c r="AB27" s="39">
        <v>210.67599999999999</v>
      </c>
      <c r="AC27" s="39">
        <v>211.66800000000001</v>
      </c>
      <c r="AD27" s="39">
        <v>211.524</v>
      </c>
      <c r="AH27" s="54">
        <v>2009</v>
      </c>
      <c r="AI27" s="56">
        <v>391.36500000000001</v>
      </c>
      <c r="AJ27" s="56">
        <v>394.04700000000003</v>
      </c>
      <c r="AK27" s="56">
        <v>394.83699999999999</v>
      </c>
      <c r="AL27" s="56">
        <v>395.75299999999999</v>
      </c>
      <c r="AM27" s="56">
        <v>396.64800000000002</v>
      </c>
      <c r="AN27" s="56">
        <v>396.75</v>
      </c>
      <c r="AO27" s="56">
        <v>397.86799999999999</v>
      </c>
      <c r="AP27" s="56">
        <v>398.303</v>
      </c>
      <c r="AQ27" s="56">
        <v>399.16</v>
      </c>
      <c r="AR27" s="56">
        <v>400.01499999999999</v>
      </c>
      <c r="AS27" s="56">
        <v>401.392</v>
      </c>
      <c r="AT27" s="56">
        <v>401.452</v>
      </c>
      <c r="AU27" s="56">
        <v>394.9</v>
      </c>
      <c r="AV27" s="56">
        <v>399.69799999999998</v>
      </c>
      <c r="AX27" s="54">
        <v>2009</v>
      </c>
      <c r="AY27" s="56">
        <v>383.28</v>
      </c>
      <c r="AZ27" s="56">
        <v>386.45600000000002</v>
      </c>
      <c r="BA27" s="56">
        <v>386.85899999999998</v>
      </c>
      <c r="BB27" s="56">
        <v>388.71100000000001</v>
      </c>
      <c r="BC27" s="56">
        <v>390.221</v>
      </c>
      <c r="BD27" s="56">
        <v>390.55799999999999</v>
      </c>
      <c r="BE27" s="56">
        <v>390.56299999999999</v>
      </c>
      <c r="BF27" s="56">
        <v>392.79899999999998</v>
      </c>
      <c r="BG27" s="56">
        <v>394.70699999999999</v>
      </c>
      <c r="BH27" s="56">
        <v>395.75900000000001</v>
      </c>
      <c r="BI27" s="56">
        <v>396.21600000000001</v>
      </c>
      <c r="BJ27" s="56">
        <v>396.52600000000001</v>
      </c>
      <c r="BN27" s="54">
        <v>2023</v>
      </c>
      <c r="BO27" s="56">
        <v>101.081</v>
      </c>
      <c r="BP27" s="56">
        <v>101.47199999999999</v>
      </c>
      <c r="BQ27" s="56">
        <v>103.03</v>
      </c>
      <c r="BR27" s="56">
        <v>103.863</v>
      </c>
      <c r="BS27" s="56">
        <v>105.467</v>
      </c>
      <c r="BT27" s="56">
        <v>106.078</v>
      </c>
      <c r="BU27" s="56">
        <v>108.119</v>
      </c>
      <c r="BV27" s="56">
        <v>109.349</v>
      </c>
      <c r="BW27" s="56">
        <v>109.76600000000001</v>
      </c>
      <c r="BX27" s="56">
        <v>109.89700000000001</v>
      </c>
      <c r="BY27" s="56">
        <v>110.377</v>
      </c>
      <c r="BZ27" s="56">
        <v>110.441</v>
      </c>
      <c r="CA27" s="56">
        <v>103.499</v>
      </c>
      <c r="CB27" s="56">
        <v>109.658</v>
      </c>
      <c r="CD27" s="54">
        <v>2009</v>
      </c>
      <c r="CE27" s="56">
        <v>211.143</v>
      </c>
      <c r="CF27" s="56">
        <v>212.19300000000001</v>
      </c>
      <c r="CG27" s="56">
        <v>212.709</v>
      </c>
      <c r="CH27" s="56">
        <v>213.24</v>
      </c>
      <c r="CI27" s="56">
        <v>213.85599999999999</v>
      </c>
      <c r="CJ27" s="56">
        <v>215.69300000000001</v>
      </c>
      <c r="CK27" s="56">
        <v>215.351</v>
      </c>
      <c r="CL27" s="56">
        <v>215.834</v>
      </c>
      <c r="CM27" s="56">
        <v>215.96899999999999</v>
      </c>
      <c r="CN27" s="56">
        <v>216.17699999999999</v>
      </c>
      <c r="CO27" s="56">
        <v>216.33</v>
      </c>
      <c r="CP27" s="56">
        <v>215.94900000000001</v>
      </c>
      <c r="CQ27" s="56">
        <v>213.13900000000001</v>
      </c>
      <c r="CR27" s="56">
        <v>215.935</v>
      </c>
      <c r="CT27" s="54">
        <v>2010</v>
      </c>
      <c r="CU27" s="56">
        <v>219.34</v>
      </c>
      <c r="CV27" s="56">
        <v>223.614</v>
      </c>
      <c r="CW27" s="56">
        <v>225.822</v>
      </c>
      <c r="CX27" s="56">
        <v>226.13300000000001</v>
      </c>
      <c r="CY27" s="56">
        <v>226.18600000000001</v>
      </c>
      <c r="CZ27" s="56">
        <v>226.57900000000001</v>
      </c>
      <c r="DA27" s="56">
        <v>225.55199999999999</v>
      </c>
      <c r="DB27" s="56">
        <v>226.2</v>
      </c>
      <c r="DC27" s="56">
        <v>230.08500000000001</v>
      </c>
      <c r="DD27" s="56">
        <v>231.96100000000001</v>
      </c>
      <c r="DE27" s="56">
        <v>232.298</v>
      </c>
      <c r="DF27" s="56">
        <v>232.953</v>
      </c>
      <c r="DJ27" s="54">
        <v>2010</v>
      </c>
      <c r="DK27" s="56">
        <v>212.268</v>
      </c>
      <c r="DL27" s="56">
        <v>216.697</v>
      </c>
      <c r="DM27" s="56">
        <v>219.733</v>
      </c>
      <c r="DN27" s="56">
        <v>220.48400000000001</v>
      </c>
      <c r="DO27" s="56">
        <v>220.381</v>
      </c>
      <c r="DP27" s="56">
        <v>221.036</v>
      </c>
      <c r="DQ27" s="56">
        <v>219.857</v>
      </c>
      <c r="DR27" s="56">
        <v>220.785</v>
      </c>
      <c r="DS27" s="56">
        <v>224.88300000000001</v>
      </c>
      <c r="DT27" s="56">
        <v>226.768</v>
      </c>
      <c r="DU27" s="56">
        <v>227.18600000000001</v>
      </c>
      <c r="DV27" s="56">
        <v>228.22200000000001</v>
      </c>
      <c r="DZ27" s="54">
        <v>2009</v>
      </c>
      <c r="EA27" s="56">
        <v>477.601</v>
      </c>
      <c r="EB27" s="56">
        <v>480.85300000000001</v>
      </c>
      <c r="EC27" s="56">
        <v>483.20600000000002</v>
      </c>
      <c r="ED27" s="56">
        <v>487.43299999999999</v>
      </c>
      <c r="EE27" s="56">
        <v>486.06799999999998</v>
      </c>
      <c r="EF27" s="56">
        <v>486.19499999999999</v>
      </c>
      <c r="EG27" s="56">
        <v>491.09800000000001</v>
      </c>
      <c r="EH27" s="56">
        <v>492.22899999999998</v>
      </c>
      <c r="EI27" s="56">
        <v>495.37799999999999</v>
      </c>
      <c r="EJ27" s="56">
        <v>498.113</v>
      </c>
      <c r="EK27" s="56">
        <v>504.44299999999998</v>
      </c>
      <c r="EL27" s="56">
        <v>504.84300000000002</v>
      </c>
      <c r="EP27" s="54">
        <v>2023</v>
      </c>
      <c r="EQ27" s="56">
        <v>105.86199999999999</v>
      </c>
      <c r="ER27" s="56">
        <v>106.114</v>
      </c>
      <c r="ES27" s="56">
        <v>107.376</v>
      </c>
      <c r="ET27" s="56">
        <v>108.36499999999999</v>
      </c>
      <c r="EU27" s="56">
        <v>110.88500000000001</v>
      </c>
      <c r="EV27" s="56">
        <v>110.93</v>
      </c>
      <c r="EW27" s="56">
        <v>110.55800000000001</v>
      </c>
      <c r="EX27" s="56">
        <v>110.453</v>
      </c>
      <c r="EY27" s="56">
        <v>111.03700000000001</v>
      </c>
      <c r="EZ27" s="56">
        <v>109.127</v>
      </c>
      <c r="FA27" s="56">
        <v>109.718</v>
      </c>
      <c r="FB27" s="56">
        <v>111.06699999999999</v>
      </c>
      <c r="FC27" s="56">
        <v>108.255</v>
      </c>
      <c r="FD27" s="56">
        <v>110.327</v>
      </c>
    </row>
    <row r="28" spans="2:160" x14ac:dyDescent="0.25">
      <c r="B28" s="54">
        <v>2010</v>
      </c>
      <c r="C28" s="56">
        <v>327.17599999999999</v>
      </c>
      <c r="D28" s="56">
        <v>329.02800000000002</v>
      </c>
      <c r="E28" s="56">
        <v>329.08699999999999</v>
      </c>
      <c r="F28" s="56">
        <v>329.62299999999999</v>
      </c>
      <c r="G28" s="56">
        <v>329.72399999999999</v>
      </c>
      <c r="H28" s="56">
        <v>330.91500000000002</v>
      </c>
      <c r="I28" s="56">
        <v>332.47899999999998</v>
      </c>
      <c r="J28" s="56">
        <v>332.83600000000001</v>
      </c>
      <c r="K28" s="56">
        <v>333.71499999999997</v>
      </c>
      <c r="L28" s="56">
        <v>333.39400000000001</v>
      </c>
      <c r="M28" s="56">
        <v>333.86900000000003</v>
      </c>
      <c r="N28" s="56">
        <v>334.11200000000002</v>
      </c>
      <c r="R28" s="33">
        <v>2010</v>
      </c>
      <c r="S28" s="39">
        <v>212.02699999999999</v>
      </c>
      <c r="T28" s="39">
        <v>213.566</v>
      </c>
      <c r="U28" s="39">
        <v>214.10900000000001</v>
      </c>
      <c r="V28" s="39">
        <v>214.203</v>
      </c>
      <c r="W28" s="39">
        <v>213.703</v>
      </c>
      <c r="X28" s="39">
        <v>213.88</v>
      </c>
      <c r="Y28" s="39">
        <v>214.315</v>
      </c>
      <c r="Z28" s="39">
        <v>215.023</v>
      </c>
      <c r="AA28" s="39">
        <v>215.36500000000001</v>
      </c>
      <c r="AB28" s="39">
        <v>215.32599999999999</v>
      </c>
      <c r="AC28" s="39">
        <v>215.49600000000001</v>
      </c>
      <c r="AD28" s="39">
        <v>215.42699999999999</v>
      </c>
      <c r="AH28" s="54">
        <v>2010</v>
      </c>
      <c r="AI28" s="56">
        <v>404.93700000000001</v>
      </c>
      <c r="AJ28" s="56">
        <v>408.447</v>
      </c>
      <c r="AK28" s="56">
        <v>409.68700000000001</v>
      </c>
      <c r="AL28" s="56">
        <v>410.25599999999997</v>
      </c>
      <c r="AM28" s="56">
        <v>410.173</v>
      </c>
      <c r="AN28" s="56">
        <v>410.80200000000002</v>
      </c>
      <c r="AO28" s="56">
        <v>410.71</v>
      </c>
      <c r="AP28" s="56">
        <v>411.18200000000002</v>
      </c>
      <c r="AQ28" s="56">
        <v>413.80700000000002</v>
      </c>
      <c r="AR28" s="56">
        <v>414.56400000000002</v>
      </c>
      <c r="AS28" s="56">
        <v>414.85</v>
      </c>
      <c r="AT28" s="56">
        <v>415.07900000000001</v>
      </c>
      <c r="AU28" s="56">
        <v>409.05</v>
      </c>
      <c r="AV28" s="56">
        <v>413.36500000000001</v>
      </c>
      <c r="AX28" s="54">
        <v>2010</v>
      </c>
      <c r="AY28" s="56">
        <v>400.49799999999999</v>
      </c>
      <c r="AZ28" s="56">
        <v>404.09</v>
      </c>
      <c r="BA28" s="56">
        <v>405.76299999999998</v>
      </c>
      <c r="BB28" s="56">
        <v>406.61799999999999</v>
      </c>
      <c r="BC28" s="56">
        <v>407.11</v>
      </c>
      <c r="BD28" s="56">
        <v>407.56200000000001</v>
      </c>
      <c r="BE28" s="56">
        <v>407.05799999999999</v>
      </c>
      <c r="BF28" s="56">
        <v>409.1</v>
      </c>
      <c r="BG28" s="56">
        <v>410.28899999999999</v>
      </c>
      <c r="BH28" s="56">
        <v>410.94400000000002</v>
      </c>
      <c r="BI28" s="56">
        <v>412.06900000000002</v>
      </c>
      <c r="BJ28" s="56">
        <v>412.786</v>
      </c>
      <c r="BN28" s="54">
        <v>2024</v>
      </c>
      <c r="BO28" s="56">
        <v>110.41200000000001</v>
      </c>
      <c r="BP28" s="56">
        <v>110.902</v>
      </c>
      <c r="BQ28" s="56">
        <v>110.628</v>
      </c>
      <c r="BR28" s="56">
        <v>111.821</v>
      </c>
      <c r="BS28" s="56">
        <v>111.652</v>
      </c>
      <c r="BT28" s="56">
        <v>112.015</v>
      </c>
      <c r="BU28" s="56">
        <v>112.343</v>
      </c>
      <c r="BV28" s="56">
        <v>112.014</v>
      </c>
      <c r="BW28" s="56">
        <v>110.557</v>
      </c>
      <c r="BX28" s="56">
        <v>109.315</v>
      </c>
      <c r="BY28" s="56">
        <v>109.92</v>
      </c>
      <c r="BZ28" s="56">
        <v>110.07599999999999</v>
      </c>
      <c r="CA28" s="56">
        <v>111.238</v>
      </c>
      <c r="CB28" s="56">
        <v>110.70399999999999</v>
      </c>
      <c r="CD28" s="54">
        <v>2010</v>
      </c>
      <c r="CE28" s="56">
        <v>216.68700000000001</v>
      </c>
      <c r="CF28" s="56">
        <v>216.74100000000001</v>
      </c>
      <c r="CG28" s="56">
        <v>217.631</v>
      </c>
      <c r="CH28" s="56">
        <v>218.00899999999999</v>
      </c>
      <c r="CI28" s="56">
        <v>218.178</v>
      </c>
      <c r="CJ28" s="56">
        <v>217.965</v>
      </c>
      <c r="CK28" s="56">
        <v>218.011</v>
      </c>
      <c r="CL28" s="56">
        <v>218.31200000000001</v>
      </c>
      <c r="CM28" s="56">
        <v>218.43899999999999</v>
      </c>
      <c r="CN28" s="56">
        <v>218.71100000000001</v>
      </c>
      <c r="CO28" s="56">
        <v>218.803</v>
      </c>
      <c r="CP28" s="56">
        <v>219.179</v>
      </c>
      <c r="CQ28" s="56">
        <v>217.535</v>
      </c>
      <c r="CR28" s="56">
        <v>218.57599999999999</v>
      </c>
      <c r="CT28" s="54">
        <v>2011</v>
      </c>
      <c r="CU28" s="56">
        <v>234.791</v>
      </c>
      <c r="CV28" s="56">
        <v>237.904</v>
      </c>
      <c r="CW28" s="56">
        <v>238.22300000000001</v>
      </c>
      <c r="CX28" s="56">
        <v>239.453</v>
      </c>
      <c r="CY28" s="56">
        <v>240.334</v>
      </c>
      <c r="CZ28" s="56">
        <v>240.39500000000001</v>
      </c>
      <c r="DA28" s="56">
        <v>241.251</v>
      </c>
      <c r="DB28" s="56">
        <v>242.03200000000001</v>
      </c>
      <c r="DC28" s="56">
        <v>242.61500000000001</v>
      </c>
      <c r="DD28" s="56">
        <v>244.59200000000001</v>
      </c>
      <c r="DE28" s="56">
        <v>246.58699999999999</v>
      </c>
      <c r="DF28" s="56">
        <v>246.37700000000001</v>
      </c>
      <c r="DJ28" s="54">
        <v>2011</v>
      </c>
      <c r="DK28" s="56">
        <v>230.09200000000001</v>
      </c>
      <c r="DL28" s="56">
        <v>232.93299999999999</v>
      </c>
      <c r="DM28" s="56">
        <v>233.399</v>
      </c>
      <c r="DN28" s="56">
        <v>234.69499999999999</v>
      </c>
      <c r="DO28" s="56">
        <v>235.56700000000001</v>
      </c>
      <c r="DP28" s="56">
        <v>235.75899999999999</v>
      </c>
      <c r="DQ28" s="56">
        <v>236.45400000000001</v>
      </c>
      <c r="DR28" s="56">
        <v>237.21899999999999</v>
      </c>
      <c r="DS28" s="56">
        <v>237.61500000000001</v>
      </c>
      <c r="DT28" s="56">
        <v>240.02600000000001</v>
      </c>
      <c r="DU28" s="56">
        <v>242.672</v>
      </c>
      <c r="DV28" s="56">
        <v>242.364</v>
      </c>
      <c r="DZ28" s="54">
        <v>2010</v>
      </c>
      <c r="EA28" s="56">
        <v>507.64100000000002</v>
      </c>
      <c r="EB28" s="56">
        <v>516.32600000000002</v>
      </c>
      <c r="EC28" s="56">
        <v>518.72199999999998</v>
      </c>
      <c r="ED28" s="56">
        <v>518.64200000000005</v>
      </c>
      <c r="EE28" s="56">
        <v>518.76199999999994</v>
      </c>
      <c r="EF28" s="56">
        <v>518.73900000000003</v>
      </c>
      <c r="EG28" s="56">
        <v>516.39099999999996</v>
      </c>
      <c r="EH28" s="56">
        <v>516.97299999999996</v>
      </c>
      <c r="EI28" s="56">
        <v>524.673</v>
      </c>
      <c r="EJ28" s="56">
        <v>529.06200000000001</v>
      </c>
      <c r="EK28" s="56">
        <v>530.01400000000001</v>
      </c>
      <c r="EL28" s="56">
        <v>530.654</v>
      </c>
      <c r="EP28" s="54">
        <v>2024</v>
      </c>
      <c r="EQ28" s="56">
        <v>109.506</v>
      </c>
      <c r="ER28" s="56">
        <v>109.723</v>
      </c>
      <c r="ES28" s="56">
        <v>110.40900000000001</v>
      </c>
      <c r="ET28" s="56">
        <v>110.01</v>
      </c>
      <c r="EU28" s="56">
        <v>110.758</v>
      </c>
      <c r="EV28" s="56">
        <v>111.84</v>
      </c>
      <c r="EW28" s="56">
        <v>111.711</v>
      </c>
      <c r="EX28" s="56">
        <v>111.16800000000001</v>
      </c>
      <c r="EY28" s="56">
        <v>111.363</v>
      </c>
      <c r="EZ28" s="56">
        <v>111.398</v>
      </c>
      <c r="FA28" s="56">
        <v>111.001</v>
      </c>
      <c r="FB28" s="56">
        <v>109.867</v>
      </c>
      <c r="FC28" s="56">
        <v>110.374</v>
      </c>
      <c r="FD28" s="56">
        <v>111.08499999999999</v>
      </c>
    </row>
    <row r="29" spans="2:160" x14ac:dyDescent="0.25">
      <c r="B29" s="54">
        <v>2011</v>
      </c>
      <c r="C29" s="56">
        <v>335.625</v>
      </c>
      <c r="D29" s="56">
        <v>339.05399999999997</v>
      </c>
      <c r="E29" s="56">
        <v>339.53199999999998</v>
      </c>
      <c r="F29" s="56">
        <v>339.42700000000002</v>
      </c>
      <c r="G29" s="56">
        <v>339.53399999999999</v>
      </c>
      <c r="H29" s="56">
        <v>340.01100000000002</v>
      </c>
      <c r="I29" s="56">
        <v>340.58499999999998</v>
      </c>
      <c r="J29" s="56">
        <v>341.14100000000002</v>
      </c>
      <c r="K29" s="56">
        <v>341.041</v>
      </c>
      <c r="L29" s="56">
        <v>342.26600000000002</v>
      </c>
      <c r="M29" s="56">
        <v>342.435</v>
      </c>
      <c r="N29" s="56">
        <v>342.96600000000001</v>
      </c>
      <c r="R29" s="33">
        <v>2011</v>
      </c>
      <c r="S29" s="39">
        <v>216.45</v>
      </c>
      <c r="T29" s="39">
        <v>217.57400000000001</v>
      </c>
      <c r="U29" s="39">
        <v>216.964</v>
      </c>
      <c r="V29" s="39">
        <v>217.22900000000001</v>
      </c>
      <c r="W29" s="39">
        <v>217.35900000000001</v>
      </c>
      <c r="X29" s="39">
        <v>217.702</v>
      </c>
      <c r="Y29" s="39">
        <v>217.934</v>
      </c>
      <c r="Z29" s="39">
        <v>217.303</v>
      </c>
      <c r="AA29" s="39">
        <v>217.184</v>
      </c>
      <c r="AB29" s="39">
        <v>217.49100000000001</v>
      </c>
      <c r="AC29" s="39">
        <v>217.809</v>
      </c>
      <c r="AD29" s="39">
        <v>218.22300000000001</v>
      </c>
      <c r="AH29" s="54">
        <v>2011</v>
      </c>
      <c r="AI29" s="56">
        <v>417.02499999999998</v>
      </c>
      <c r="AJ29" s="56">
        <v>420.56700000000001</v>
      </c>
      <c r="AK29" s="56">
        <v>420.85199999999998</v>
      </c>
      <c r="AL29" s="56">
        <v>421.71600000000001</v>
      </c>
      <c r="AM29" s="56">
        <v>422.43799999999999</v>
      </c>
      <c r="AN29" s="56">
        <v>422.81299999999999</v>
      </c>
      <c r="AO29" s="56">
        <v>423.84699999999998</v>
      </c>
      <c r="AP29" s="56">
        <v>424.54599999999999</v>
      </c>
      <c r="AQ29" s="56">
        <v>425.25799999999998</v>
      </c>
      <c r="AR29" s="56">
        <v>427.46699999999998</v>
      </c>
      <c r="AS29" s="56">
        <v>429.19099999999997</v>
      </c>
      <c r="AT29" s="56">
        <v>430.005</v>
      </c>
      <c r="AU29" s="56">
        <v>420.90199999999999</v>
      </c>
      <c r="AV29" s="56">
        <v>426.71899999999999</v>
      </c>
      <c r="AX29" s="54">
        <v>2011</v>
      </c>
      <c r="AY29" s="56">
        <v>416.26600000000002</v>
      </c>
      <c r="AZ29" s="56">
        <v>420.32900000000001</v>
      </c>
      <c r="BA29" s="56">
        <v>422.16800000000001</v>
      </c>
      <c r="BB29" s="56">
        <v>424.26400000000001</v>
      </c>
      <c r="BC29" s="56">
        <v>425.18900000000002</v>
      </c>
      <c r="BD29" s="56">
        <v>424.76100000000002</v>
      </c>
      <c r="BE29" s="56">
        <v>425.60399999999998</v>
      </c>
      <c r="BF29" s="56">
        <v>426.77499999999998</v>
      </c>
      <c r="BG29" s="56">
        <v>427.58499999999998</v>
      </c>
      <c r="BH29" s="56">
        <v>428.29399999999998</v>
      </c>
      <c r="BI29" s="56">
        <v>428.71800000000002</v>
      </c>
      <c r="BJ29" s="56">
        <v>429.81700000000001</v>
      </c>
      <c r="BN29" s="54">
        <v>2025</v>
      </c>
      <c r="BO29" s="56">
        <v>109.026</v>
      </c>
      <c r="BP29" s="56">
        <v>109.627</v>
      </c>
      <c r="BQ29" s="56">
        <v>109.959</v>
      </c>
      <c r="BR29" s="56">
        <v>110.55</v>
      </c>
      <c r="BS29" s="56">
        <v>110.973</v>
      </c>
      <c r="BT29" s="56">
        <v>110.129</v>
      </c>
      <c r="BU29" s="56">
        <v>110.32599999999999</v>
      </c>
      <c r="BV29" s="56">
        <v>109.373</v>
      </c>
      <c r="BW29" s="56">
        <v>108.577</v>
      </c>
      <c r="BX29" s="51" t="s">
        <v>261</v>
      </c>
      <c r="BY29" s="56">
        <v>109.06</v>
      </c>
      <c r="BZ29" s="56">
        <v>110.60599999999999</v>
      </c>
      <c r="CA29" s="56">
        <v>110.044</v>
      </c>
      <c r="CB29" s="56">
        <v>109.58799999999999</v>
      </c>
      <c r="CD29" s="54">
        <v>2011</v>
      </c>
      <c r="CE29" s="56">
        <v>220.22300000000001</v>
      </c>
      <c r="CF29" s="56">
        <v>221.309</v>
      </c>
      <c r="CG29" s="56">
        <v>223.46700000000001</v>
      </c>
      <c r="CH29" s="56">
        <v>224.90600000000001</v>
      </c>
      <c r="CI29" s="56">
        <v>225.964</v>
      </c>
      <c r="CJ29" s="56">
        <v>225.72200000000001</v>
      </c>
      <c r="CK29" s="56">
        <v>225.922</v>
      </c>
      <c r="CL29" s="56">
        <v>226.54499999999999</v>
      </c>
      <c r="CM29" s="56">
        <v>226.88900000000001</v>
      </c>
      <c r="CN29" s="56">
        <v>226.42099999999999</v>
      </c>
      <c r="CO29" s="56">
        <v>226.23</v>
      </c>
      <c r="CP29" s="56">
        <v>225.672</v>
      </c>
      <c r="CQ29" s="56">
        <v>223.59800000000001</v>
      </c>
      <c r="CR29" s="56">
        <v>226.28</v>
      </c>
      <c r="CT29" s="54">
        <v>2012</v>
      </c>
      <c r="CU29" s="56">
        <v>248.41</v>
      </c>
      <c r="CV29" s="56">
        <v>250.56</v>
      </c>
      <c r="CW29" s="56">
        <v>250.63800000000001</v>
      </c>
      <c r="CX29" s="56">
        <v>251.81899999999999</v>
      </c>
      <c r="CY29" s="56">
        <v>252.476</v>
      </c>
      <c r="CZ29" s="56">
        <v>254.24799999999999</v>
      </c>
      <c r="DA29" s="56">
        <v>254.982</v>
      </c>
      <c r="DB29" s="56">
        <v>253.38</v>
      </c>
      <c r="DC29" s="56">
        <v>254.738</v>
      </c>
      <c r="DD29" s="56">
        <v>255.477</v>
      </c>
      <c r="DE29" s="56">
        <v>257.53699999999998</v>
      </c>
      <c r="DF29" s="56">
        <v>258.48599999999999</v>
      </c>
      <c r="DJ29" s="54">
        <v>2012</v>
      </c>
      <c r="DK29" s="56">
        <v>244.411</v>
      </c>
      <c r="DL29" s="56">
        <v>245.721</v>
      </c>
      <c r="DM29" s="56">
        <v>245.73599999999999</v>
      </c>
      <c r="DN29" s="56">
        <v>247.14</v>
      </c>
      <c r="DO29" s="56">
        <v>247.64599999999999</v>
      </c>
      <c r="DP29" s="56">
        <v>250.62700000000001</v>
      </c>
      <c r="DQ29" s="56">
        <v>251.04</v>
      </c>
      <c r="DR29" s="56">
        <v>248.85599999999999</v>
      </c>
      <c r="DS29" s="56">
        <v>249.85599999999999</v>
      </c>
      <c r="DT29" s="56">
        <v>250.11600000000001</v>
      </c>
      <c r="DU29" s="56">
        <v>251.86099999999999</v>
      </c>
      <c r="DV29" s="56">
        <v>252.51</v>
      </c>
      <c r="DZ29" s="54">
        <v>2011</v>
      </c>
      <c r="EA29" s="56">
        <v>534.14700000000005</v>
      </c>
      <c r="EB29" s="56">
        <v>540.74300000000005</v>
      </c>
      <c r="EC29" s="56">
        <v>541.42700000000002</v>
      </c>
      <c r="ED29" s="56">
        <v>543.51700000000005</v>
      </c>
      <c r="EE29" s="56">
        <v>545.14099999999996</v>
      </c>
      <c r="EF29" s="56">
        <v>544.91499999999996</v>
      </c>
      <c r="EG29" s="56">
        <v>547.11199999999997</v>
      </c>
      <c r="EH29" s="56">
        <v>548.61</v>
      </c>
      <c r="EI29" s="56">
        <v>549.79899999999998</v>
      </c>
      <c r="EJ29" s="56">
        <v>553.07399999999996</v>
      </c>
      <c r="EK29" s="56">
        <v>556.899</v>
      </c>
      <c r="EL29" s="56">
        <v>556.97500000000002</v>
      </c>
      <c r="EP29" s="54">
        <v>2025</v>
      </c>
      <c r="EQ29" s="56">
        <v>109.196</v>
      </c>
      <c r="ER29" s="56">
        <v>108.8</v>
      </c>
      <c r="ES29" s="56">
        <v>109.047</v>
      </c>
      <c r="ET29" s="56">
        <v>109.465</v>
      </c>
      <c r="EU29" s="56">
        <v>110.49</v>
      </c>
      <c r="EV29" s="56">
        <v>111.024</v>
      </c>
      <c r="EW29" s="56">
        <v>112.20399999999999</v>
      </c>
      <c r="EX29" s="56">
        <v>112.86499999999999</v>
      </c>
      <c r="EY29" s="56">
        <v>112.217</v>
      </c>
      <c r="EZ29" s="51" t="s">
        <v>261</v>
      </c>
      <c r="FA29" s="56">
        <v>112.80800000000001</v>
      </c>
      <c r="FB29" s="56">
        <v>111.505</v>
      </c>
      <c r="FC29" s="56">
        <v>109.67</v>
      </c>
      <c r="FD29" s="56">
        <v>112.32</v>
      </c>
    </row>
    <row r="30" spans="2:160" x14ac:dyDescent="0.25">
      <c r="B30" s="54">
        <v>2012</v>
      </c>
      <c r="C30" s="56">
        <v>343.65699999999998</v>
      </c>
      <c r="D30" s="56">
        <v>343.56400000000002</v>
      </c>
      <c r="E30" s="56">
        <v>343.86700000000002</v>
      </c>
      <c r="F30" s="56">
        <v>344.15100000000001</v>
      </c>
      <c r="G30" s="56">
        <v>345.11799999999999</v>
      </c>
      <c r="H30" s="56">
        <v>347.40800000000002</v>
      </c>
      <c r="I30" s="56">
        <v>348.82799999999997</v>
      </c>
      <c r="J30" s="56">
        <v>349.608</v>
      </c>
      <c r="K30" s="56">
        <v>350.86500000000001</v>
      </c>
      <c r="L30" s="56">
        <v>350.41500000000002</v>
      </c>
      <c r="M30" s="56">
        <v>350.27699999999999</v>
      </c>
      <c r="N30" s="56">
        <v>349.91</v>
      </c>
      <c r="R30" s="33">
        <v>2012</v>
      </c>
      <c r="S30" s="39">
        <v>218.44399999999999</v>
      </c>
      <c r="T30" s="39">
        <v>219.023</v>
      </c>
      <c r="U30" s="39">
        <v>219.28700000000001</v>
      </c>
      <c r="V30" s="39">
        <v>219.29499999999999</v>
      </c>
      <c r="W30" s="39">
        <v>219.65299999999999</v>
      </c>
      <c r="X30" s="39">
        <v>219.523</v>
      </c>
      <c r="Y30" s="39">
        <v>219.61699999999999</v>
      </c>
      <c r="Z30" s="39">
        <v>220.20599999999999</v>
      </c>
      <c r="AA30" s="39">
        <v>220.03</v>
      </c>
      <c r="AB30" s="39">
        <v>220.17099999999999</v>
      </c>
      <c r="AC30" s="39">
        <v>220.02199999999999</v>
      </c>
      <c r="AD30" s="39">
        <v>220.029</v>
      </c>
      <c r="AH30" s="54">
        <v>2012</v>
      </c>
      <c r="AI30" s="56">
        <v>432.58300000000003</v>
      </c>
      <c r="AJ30" s="56">
        <v>434.83199999999999</v>
      </c>
      <c r="AK30" s="56">
        <v>435.721</v>
      </c>
      <c r="AL30" s="56">
        <v>437.15100000000001</v>
      </c>
      <c r="AM30" s="56">
        <v>438.76600000000002</v>
      </c>
      <c r="AN30" s="56">
        <v>441.041</v>
      </c>
      <c r="AO30" s="56">
        <v>442.30500000000001</v>
      </c>
      <c r="AP30" s="56">
        <v>442.41</v>
      </c>
      <c r="AQ30" s="56">
        <v>443.81200000000001</v>
      </c>
      <c r="AR30" s="56">
        <v>444.24200000000002</v>
      </c>
      <c r="AS30" s="56">
        <v>445.27800000000002</v>
      </c>
      <c r="AT30" s="56">
        <v>445.95499999999998</v>
      </c>
      <c r="AU30" s="56">
        <v>436.68200000000002</v>
      </c>
      <c r="AV30" s="56">
        <v>444</v>
      </c>
      <c r="AX30" s="54">
        <v>2012</v>
      </c>
      <c r="AY30" s="56">
        <v>433.577</v>
      </c>
      <c r="AZ30" s="56">
        <v>438.45299999999997</v>
      </c>
      <c r="BA30" s="56">
        <v>439.76100000000002</v>
      </c>
      <c r="BB30" s="56">
        <v>439.78399999999999</v>
      </c>
      <c r="BC30" s="56">
        <v>439.14</v>
      </c>
      <c r="BD30" s="56">
        <v>439.459</v>
      </c>
      <c r="BE30" s="56">
        <v>442.11500000000001</v>
      </c>
      <c r="BF30" s="56">
        <v>443.86900000000003</v>
      </c>
      <c r="BG30" s="56">
        <v>443.52800000000002</v>
      </c>
      <c r="BH30" s="56">
        <v>443.60599999999999</v>
      </c>
      <c r="BI30" s="56">
        <v>440.59100000000001</v>
      </c>
      <c r="BJ30" s="56">
        <v>437.90499999999997</v>
      </c>
      <c r="CD30" s="54">
        <v>2012</v>
      </c>
      <c r="CE30" s="56">
        <v>226.66499999999999</v>
      </c>
      <c r="CF30" s="56">
        <v>227.66300000000001</v>
      </c>
      <c r="CG30" s="56">
        <v>229.392</v>
      </c>
      <c r="CH30" s="56">
        <v>230.08500000000001</v>
      </c>
      <c r="CI30" s="56">
        <v>229.815</v>
      </c>
      <c r="CJ30" s="56">
        <v>229.47800000000001</v>
      </c>
      <c r="CK30" s="56">
        <v>229.10400000000001</v>
      </c>
      <c r="CL30" s="56">
        <v>230.37899999999999</v>
      </c>
      <c r="CM30" s="56">
        <v>231.40700000000001</v>
      </c>
      <c r="CN30" s="56">
        <v>231.31700000000001</v>
      </c>
      <c r="CO30" s="56">
        <v>230.221</v>
      </c>
      <c r="CP30" s="56">
        <v>229.601</v>
      </c>
      <c r="CQ30" s="56">
        <v>228.85</v>
      </c>
      <c r="CR30" s="56">
        <v>230.33799999999999</v>
      </c>
      <c r="CT30" s="54">
        <v>2013</v>
      </c>
      <c r="CU30" s="56">
        <v>260.03500000000003</v>
      </c>
      <c r="CV30" s="56">
        <v>264.07100000000003</v>
      </c>
      <c r="CW30" s="56">
        <v>264.58600000000001</v>
      </c>
      <c r="CX30" s="56">
        <v>262.59500000000003</v>
      </c>
      <c r="CY30" s="56">
        <v>262.06</v>
      </c>
      <c r="CZ30" s="56">
        <v>263.28699999999998</v>
      </c>
      <c r="DA30" s="56">
        <v>263.69799999999998</v>
      </c>
      <c r="DB30" s="56">
        <v>267.74099999999999</v>
      </c>
      <c r="DC30" s="56">
        <v>269.69099999999997</v>
      </c>
      <c r="DD30" s="56">
        <v>269.27</v>
      </c>
      <c r="DE30" s="56">
        <v>268.97800000000001</v>
      </c>
      <c r="DF30" s="56">
        <v>269.36500000000001</v>
      </c>
      <c r="DJ30" s="54">
        <v>2013</v>
      </c>
      <c r="DK30" s="56">
        <v>254.32</v>
      </c>
      <c r="DL30" s="56">
        <v>258.78899999999999</v>
      </c>
      <c r="DM30" s="56">
        <v>259.08199999999999</v>
      </c>
      <c r="DN30" s="56">
        <v>256.98200000000003</v>
      </c>
      <c r="DO30" s="56">
        <v>256.601</v>
      </c>
      <c r="DP30" s="56">
        <v>257.79300000000001</v>
      </c>
      <c r="DQ30" s="56">
        <v>258.10599999999999</v>
      </c>
      <c r="DR30" s="56">
        <v>261.91500000000002</v>
      </c>
      <c r="DS30" s="56">
        <v>263.45800000000003</v>
      </c>
      <c r="DT30" s="56">
        <v>263.20299999999997</v>
      </c>
      <c r="DU30" s="56">
        <v>262.85899999999998</v>
      </c>
      <c r="DV30" s="56">
        <v>263.58100000000002</v>
      </c>
      <c r="DZ30" s="54">
        <v>2012</v>
      </c>
      <c r="EA30" s="56">
        <v>561.73500000000001</v>
      </c>
      <c r="EB30" s="56">
        <v>567.50599999999997</v>
      </c>
      <c r="EC30" s="56">
        <v>567.83600000000001</v>
      </c>
      <c r="ED30" s="56">
        <v>569.80399999999997</v>
      </c>
      <c r="EE30" s="56">
        <v>571.173</v>
      </c>
      <c r="EF30" s="56">
        <v>573.78899999999999</v>
      </c>
      <c r="EG30" s="56">
        <v>575.79600000000005</v>
      </c>
      <c r="EH30" s="56">
        <v>572.30700000000002</v>
      </c>
      <c r="EI30" s="56">
        <v>576.50400000000002</v>
      </c>
      <c r="EJ30" s="56">
        <v>578.72699999999998</v>
      </c>
      <c r="EK30" s="56">
        <v>585.41200000000003</v>
      </c>
      <c r="EL30" s="56">
        <v>587.68799999999999</v>
      </c>
    </row>
    <row r="31" spans="2:160" x14ac:dyDescent="0.25">
      <c r="B31" s="54">
        <v>2013</v>
      </c>
      <c r="C31" s="56">
        <v>351.25</v>
      </c>
      <c r="D31" s="56">
        <v>352.26600000000002</v>
      </c>
      <c r="E31" s="56">
        <v>352.57499999999999</v>
      </c>
      <c r="F31" s="56">
        <v>353.529</v>
      </c>
      <c r="G31" s="56">
        <v>353.37200000000001</v>
      </c>
      <c r="H31" s="56">
        <v>355.10500000000002</v>
      </c>
      <c r="I31" s="56">
        <v>354.77499999999998</v>
      </c>
      <c r="J31" s="56">
        <v>354.71199999999999</v>
      </c>
      <c r="K31" s="56">
        <v>354.96699999999998</v>
      </c>
      <c r="L31" s="56">
        <v>355.35399999999998</v>
      </c>
      <c r="M31" s="56">
        <v>355.55500000000001</v>
      </c>
      <c r="N31" s="56">
        <v>356.46899999999999</v>
      </c>
      <c r="R31" s="33">
        <v>2013</v>
      </c>
      <c r="S31" s="39">
        <v>221.35400000000001</v>
      </c>
      <c r="T31" s="39">
        <v>222.14699999999999</v>
      </c>
      <c r="U31" s="39">
        <v>222.72200000000001</v>
      </c>
      <c r="V31" s="39">
        <v>222.666</v>
      </c>
      <c r="W31" s="39">
        <v>222.518</v>
      </c>
      <c r="X31" s="39">
        <v>223.298</v>
      </c>
      <c r="Y31" s="39">
        <v>223.40799999999999</v>
      </c>
      <c r="Z31" s="39">
        <v>223.61</v>
      </c>
      <c r="AA31" s="39">
        <v>224.453</v>
      </c>
      <c r="AB31" s="39">
        <v>224.595</v>
      </c>
      <c r="AC31" s="39">
        <v>224.75</v>
      </c>
      <c r="AD31" s="39">
        <v>224.58</v>
      </c>
      <c r="AH31" s="54">
        <v>2013</v>
      </c>
      <c r="AI31" s="56">
        <v>448.226</v>
      </c>
      <c r="AJ31" s="56">
        <v>451.625</v>
      </c>
      <c r="AK31" s="56">
        <v>452.596</v>
      </c>
      <c r="AL31" s="56">
        <v>452.08300000000003</v>
      </c>
      <c r="AM31" s="56">
        <v>451.64800000000002</v>
      </c>
      <c r="AN31" s="56">
        <v>453.32499999999999</v>
      </c>
      <c r="AO31" s="56">
        <v>453.77300000000002</v>
      </c>
      <c r="AP31" s="56">
        <v>456.06200000000001</v>
      </c>
      <c r="AQ31" s="56">
        <v>457.45800000000003</v>
      </c>
      <c r="AR31" s="56">
        <v>457.13499999999999</v>
      </c>
      <c r="AS31" s="56">
        <v>456.85500000000002</v>
      </c>
      <c r="AT31" s="56">
        <v>457.29599999999999</v>
      </c>
      <c r="AU31" s="56">
        <v>451.584</v>
      </c>
      <c r="AV31" s="56">
        <v>456.43</v>
      </c>
      <c r="AX31" s="54">
        <v>2013</v>
      </c>
      <c r="AY31" s="56">
        <v>440.57900000000001</v>
      </c>
      <c r="AZ31" s="56">
        <v>441.77600000000001</v>
      </c>
      <c r="BA31" s="56">
        <v>442.91199999999998</v>
      </c>
      <c r="BB31" s="56">
        <v>442.31</v>
      </c>
      <c r="BC31" s="56">
        <v>438.721</v>
      </c>
      <c r="BD31" s="56">
        <v>439.72300000000001</v>
      </c>
      <c r="BE31" s="56">
        <v>441.48899999999998</v>
      </c>
      <c r="BF31" s="56">
        <v>444.625</v>
      </c>
      <c r="BG31" s="56">
        <v>445.15600000000001</v>
      </c>
      <c r="BH31" s="56">
        <v>446.04300000000001</v>
      </c>
      <c r="BI31" s="56">
        <v>446.03199999999998</v>
      </c>
      <c r="BJ31" s="56">
        <v>441.589</v>
      </c>
      <c r="CD31" s="54">
        <v>2013</v>
      </c>
      <c r="CE31" s="56">
        <v>230.28</v>
      </c>
      <c r="CF31" s="56">
        <v>232.166</v>
      </c>
      <c r="CG31" s="56">
        <v>232.773</v>
      </c>
      <c r="CH31" s="56">
        <v>232.53100000000001</v>
      </c>
      <c r="CI31" s="56">
        <v>232.94499999999999</v>
      </c>
      <c r="CJ31" s="56">
        <v>233.50399999999999</v>
      </c>
      <c r="CK31" s="56">
        <v>233.596</v>
      </c>
      <c r="CL31" s="56">
        <v>233.87700000000001</v>
      </c>
      <c r="CM31" s="56">
        <v>234.149</v>
      </c>
      <c r="CN31" s="56">
        <v>233.54599999999999</v>
      </c>
      <c r="CO31" s="56">
        <v>233.06899999999999</v>
      </c>
      <c r="CP31" s="56">
        <v>233.04900000000001</v>
      </c>
      <c r="CQ31" s="56">
        <v>232.36600000000001</v>
      </c>
      <c r="CR31" s="56">
        <v>233.548</v>
      </c>
      <c r="CT31" s="54">
        <v>2014</v>
      </c>
      <c r="CU31" s="56">
        <v>272.48500000000001</v>
      </c>
      <c r="CV31" s="56">
        <v>276.55500000000001</v>
      </c>
      <c r="CW31" s="56">
        <v>277.97399999999999</v>
      </c>
      <c r="CX31" s="56">
        <v>278.49599999999998</v>
      </c>
      <c r="CY31" s="56">
        <v>278.56799999999998</v>
      </c>
      <c r="CZ31" s="56">
        <v>278.69499999999999</v>
      </c>
      <c r="DA31" s="56">
        <v>279.58699999999999</v>
      </c>
      <c r="DB31" s="56">
        <v>278.608</v>
      </c>
      <c r="DC31" s="56">
        <v>279.54000000000002</v>
      </c>
      <c r="DD31" s="56">
        <v>280.49599999999998</v>
      </c>
      <c r="DE31" s="56">
        <v>281.49099999999999</v>
      </c>
      <c r="DF31" s="56">
        <v>282.54700000000003</v>
      </c>
      <c r="DJ31" s="54">
        <v>2014</v>
      </c>
      <c r="DK31" s="56">
        <v>267.91699999999997</v>
      </c>
      <c r="DL31" s="56">
        <v>272.07100000000003</v>
      </c>
      <c r="DM31" s="56">
        <v>273.80799999999999</v>
      </c>
      <c r="DN31" s="56">
        <v>274.46600000000001</v>
      </c>
      <c r="DO31" s="56">
        <v>274.82900000000001</v>
      </c>
      <c r="DP31" s="56">
        <v>275.16199999999998</v>
      </c>
      <c r="DQ31" s="56">
        <v>275.64600000000002</v>
      </c>
      <c r="DR31" s="56">
        <v>274.75799999999998</v>
      </c>
      <c r="DS31" s="56">
        <v>275.43099999999998</v>
      </c>
      <c r="DT31" s="56">
        <v>276.166</v>
      </c>
      <c r="DU31" s="56">
        <v>276.95499999999998</v>
      </c>
      <c r="DV31" s="56">
        <v>278.10300000000001</v>
      </c>
      <c r="DZ31" s="54">
        <v>2013</v>
      </c>
      <c r="EA31" s="56">
        <v>590.14599999999996</v>
      </c>
      <c r="EB31" s="56">
        <v>598.04899999999998</v>
      </c>
      <c r="EC31" s="56">
        <v>599.64099999999996</v>
      </c>
      <c r="ED31" s="56">
        <v>595.678</v>
      </c>
      <c r="EE31" s="56">
        <v>594.09100000000001</v>
      </c>
      <c r="EF31" s="56">
        <v>596.28700000000003</v>
      </c>
      <c r="EG31" s="56">
        <v>597.32600000000002</v>
      </c>
      <c r="EH31" s="56">
        <v>606.36199999999997</v>
      </c>
      <c r="EI31" s="56">
        <v>611.43200000000002</v>
      </c>
      <c r="EJ31" s="56">
        <v>610.65200000000004</v>
      </c>
      <c r="EK31" s="56">
        <v>610.30899999999997</v>
      </c>
      <c r="EL31" s="56">
        <v>610.06500000000005</v>
      </c>
    </row>
    <row r="32" spans="2:160" x14ac:dyDescent="0.25">
      <c r="B32" s="54">
        <v>2014</v>
      </c>
      <c r="C32" s="56">
        <v>356.79599999999999</v>
      </c>
      <c r="D32" s="56">
        <v>356.93900000000002</v>
      </c>
      <c r="E32" s="56">
        <v>357.46499999999997</v>
      </c>
      <c r="F32" s="56">
        <v>358.41500000000002</v>
      </c>
      <c r="G32" s="56">
        <v>359.54700000000003</v>
      </c>
      <c r="H32" s="56">
        <v>359.05599999999998</v>
      </c>
      <c r="I32" s="56">
        <v>358.58499999999998</v>
      </c>
      <c r="J32" s="56">
        <v>359.96699999999998</v>
      </c>
      <c r="K32" s="56">
        <v>359.87900000000002</v>
      </c>
      <c r="L32" s="56">
        <v>359.85500000000002</v>
      </c>
      <c r="M32" s="56">
        <v>361.00099999999998</v>
      </c>
      <c r="N32" s="56">
        <v>361.65899999999999</v>
      </c>
      <c r="R32" s="33">
        <v>2014</v>
      </c>
      <c r="S32" s="39">
        <v>225.03399999999999</v>
      </c>
      <c r="T32" s="39">
        <v>225.215</v>
      </c>
      <c r="U32" s="39">
        <v>225.20699999999999</v>
      </c>
      <c r="V32" s="39">
        <v>224.672</v>
      </c>
      <c r="W32" s="39">
        <v>225.29499999999999</v>
      </c>
      <c r="X32" s="39">
        <v>226.608</v>
      </c>
      <c r="Y32" s="39">
        <v>227.07599999999999</v>
      </c>
      <c r="Z32" s="39">
        <v>226.30600000000001</v>
      </c>
      <c r="AA32" s="39">
        <v>225.94499999999999</v>
      </c>
      <c r="AB32" s="39">
        <v>227.18299999999999</v>
      </c>
      <c r="AC32" s="39">
        <v>229.11799999999999</v>
      </c>
      <c r="AD32" s="39">
        <v>229.05699999999999</v>
      </c>
      <c r="AH32" s="54">
        <v>2014</v>
      </c>
      <c r="AI32" s="56">
        <v>459.61799999999999</v>
      </c>
      <c r="AJ32" s="56">
        <v>462.64800000000002</v>
      </c>
      <c r="AK32" s="56">
        <v>463.678</v>
      </c>
      <c r="AL32" s="56">
        <v>464.238</v>
      </c>
      <c r="AM32" s="56">
        <v>465.01400000000001</v>
      </c>
      <c r="AN32" s="56">
        <v>464.96</v>
      </c>
      <c r="AO32" s="56">
        <v>465.166</v>
      </c>
      <c r="AP32" s="56">
        <v>464.93599999999998</v>
      </c>
      <c r="AQ32" s="56">
        <v>465.40300000000002</v>
      </c>
      <c r="AR32" s="56">
        <v>466.03800000000001</v>
      </c>
      <c r="AS32" s="56">
        <v>467.48200000000003</v>
      </c>
      <c r="AT32" s="56">
        <v>468.39299999999997</v>
      </c>
      <c r="AU32" s="56">
        <v>463.35899999999998</v>
      </c>
      <c r="AV32" s="56">
        <v>466.23599999999999</v>
      </c>
      <c r="AX32" s="54">
        <v>2014</v>
      </c>
      <c r="AY32" s="56">
        <v>446.76600000000002</v>
      </c>
      <c r="AZ32" s="56">
        <v>453.12099999999998</v>
      </c>
      <c r="BA32" s="56">
        <v>452.12</v>
      </c>
      <c r="BB32" s="56">
        <v>453.012</v>
      </c>
      <c r="BC32" s="56">
        <v>454.35899999999998</v>
      </c>
      <c r="BD32" s="56">
        <v>457.60899999999998</v>
      </c>
      <c r="BE32" s="56">
        <v>459.83199999999999</v>
      </c>
      <c r="BF32" s="56">
        <v>460.83699999999999</v>
      </c>
      <c r="BG32" s="56">
        <v>461.87</v>
      </c>
      <c r="BH32" s="56">
        <v>464.36799999999999</v>
      </c>
      <c r="BI32" s="56">
        <v>466.447</v>
      </c>
      <c r="BJ32" s="56">
        <v>469.77800000000002</v>
      </c>
      <c r="CD32" s="54">
        <v>2014</v>
      </c>
      <c r="CE32" s="56">
        <v>233.916</v>
      </c>
      <c r="CF32" s="56">
        <v>234.78100000000001</v>
      </c>
      <c r="CG32" s="56">
        <v>236.29300000000001</v>
      </c>
      <c r="CH32" s="56">
        <v>237.072</v>
      </c>
      <c r="CI32" s="56">
        <v>237.9</v>
      </c>
      <c r="CJ32" s="56">
        <v>238.34299999999999</v>
      </c>
      <c r="CK32" s="56">
        <v>238.25</v>
      </c>
      <c r="CL32" s="56">
        <v>237.852</v>
      </c>
      <c r="CM32" s="56">
        <v>238.03100000000001</v>
      </c>
      <c r="CN32" s="56">
        <v>237.43299999999999</v>
      </c>
      <c r="CO32" s="56">
        <v>236.15100000000001</v>
      </c>
      <c r="CP32" s="56">
        <v>234.81200000000001</v>
      </c>
      <c r="CQ32" s="56">
        <v>236.38399999999999</v>
      </c>
      <c r="CR32" s="56">
        <v>237.08799999999999</v>
      </c>
      <c r="CT32" s="54">
        <v>2015</v>
      </c>
      <c r="CU32" s="56">
        <v>284.22500000000002</v>
      </c>
      <c r="CV32" s="56">
        <v>286.30799999999999</v>
      </c>
      <c r="CW32" s="56">
        <v>287.42</v>
      </c>
      <c r="CX32" s="56">
        <v>291.77499999999998</v>
      </c>
      <c r="CY32" s="56">
        <v>292.25700000000001</v>
      </c>
      <c r="CZ32" s="56">
        <v>288.959</v>
      </c>
      <c r="DA32" s="56">
        <v>288.89499999999998</v>
      </c>
      <c r="DB32" s="56">
        <v>288.18099999999998</v>
      </c>
      <c r="DC32" s="56">
        <v>289.13400000000001</v>
      </c>
      <c r="DD32" s="56">
        <v>295.28199999999998</v>
      </c>
      <c r="DE32" s="56">
        <v>294.76499999999999</v>
      </c>
      <c r="DF32" s="56">
        <v>294.37700000000001</v>
      </c>
      <c r="DJ32" s="54">
        <v>2015</v>
      </c>
      <c r="DK32" s="56">
        <v>279.45</v>
      </c>
      <c r="DL32" s="56">
        <v>281.33800000000002</v>
      </c>
      <c r="DM32" s="56">
        <v>282.18299999999999</v>
      </c>
      <c r="DN32" s="56">
        <v>286.32799999999997</v>
      </c>
      <c r="DO32" s="56">
        <v>286.68299999999999</v>
      </c>
      <c r="DP32" s="56">
        <v>283.33100000000002</v>
      </c>
      <c r="DQ32" s="56">
        <v>283.49900000000002</v>
      </c>
      <c r="DR32" s="56">
        <v>283.34399999999999</v>
      </c>
      <c r="DS32" s="56">
        <v>284.25599999999997</v>
      </c>
      <c r="DT32" s="56">
        <v>290.63900000000001</v>
      </c>
      <c r="DU32" s="56">
        <v>290.05399999999997</v>
      </c>
      <c r="DV32" s="56">
        <v>289.7</v>
      </c>
      <c r="DZ32" s="54">
        <v>2014</v>
      </c>
      <c r="EA32" s="56">
        <v>615.04</v>
      </c>
      <c r="EB32" s="56">
        <v>624.15599999999995</v>
      </c>
      <c r="EC32" s="56">
        <v>626.51499999999999</v>
      </c>
      <c r="ED32" s="56">
        <v>627.44100000000003</v>
      </c>
      <c r="EE32" s="56">
        <v>626.64800000000002</v>
      </c>
      <c r="EF32" s="56">
        <v>627.98800000000006</v>
      </c>
      <c r="EG32" s="56">
        <v>630.79899999999998</v>
      </c>
      <c r="EH32" s="56">
        <v>628.71600000000001</v>
      </c>
      <c r="EI32" s="56">
        <v>631.88800000000003</v>
      </c>
      <c r="EJ32" s="56">
        <v>634.18299999999999</v>
      </c>
      <c r="EK32" s="56">
        <v>635.82899999999995</v>
      </c>
      <c r="EL32" s="56">
        <v>637.75</v>
      </c>
    </row>
    <row r="33" spans="2:144" x14ac:dyDescent="0.25">
      <c r="B33" s="54">
        <v>2015</v>
      </c>
      <c r="C33" s="56">
        <v>362.74</v>
      </c>
      <c r="D33" s="56">
        <v>361.24200000000002</v>
      </c>
      <c r="E33" s="56">
        <v>363.53100000000001</v>
      </c>
      <c r="F33" s="56">
        <v>365.14600000000002</v>
      </c>
      <c r="G33" s="56">
        <v>365.214</v>
      </c>
      <c r="H33" s="56">
        <v>366.541</v>
      </c>
      <c r="I33" s="56">
        <v>367.45</v>
      </c>
      <c r="J33" s="56">
        <v>366.36500000000001</v>
      </c>
      <c r="K33" s="56">
        <v>367.17599999999999</v>
      </c>
      <c r="L33" s="56">
        <v>366.65199999999999</v>
      </c>
      <c r="M33" s="56">
        <v>370.59899999999999</v>
      </c>
      <c r="N33" s="56">
        <v>370.32400000000001</v>
      </c>
      <c r="O33" s="51"/>
      <c r="P33" s="51"/>
      <c r="R33" s="33">
        <v>2015</v>
      </c>
      <c r="S33" s="39">
        <v>227.60300000000001</v>
      </c>
      <c r="T33" s="39">
        <v>228.005</v>
      </c>
      <c r="U33" s="39">
        <v>227.97399999999999</v>
      </c>
      <c r="V33" s="39">
        <v>227.964</v>
      </c>
      <c r="W33" s="39">
        <v>228.02699999999999</v>
      </c>
      <c r="X33" s="39">
        <v>227.99199999999999</v>
      </c>
      <c r="Y33" s="39">
        <v>228.29599999999999</v>
      </c>
      <c r="Z33" s="39">
        <v>228.83600000000001</v>
      </c>
      <c r="AA33" s="39">
        <v>228.803</v>
      </c>
      <c r="AB33" s="39">
        <v>228.8</v>
      </c>
      <c r="AC33" s="39">
        <v>228.36500000000001</v>
      </c>
      <c r="AD33" s="39">
        <v>228.291</v>
      </c>
      <c r="AE33" s="34"/>
      <c r="AF33" s="34"/>
      <c r="AH33" s="54">
        <v>2015</v>
      </c>
      <c r="AI33" s="56">
        <v>470.03</v>
      </c>
      <c r="AJ33" s="56">
        <v>471.13799999999998</v>
      </c>
      <c r="AK33" s="56">
        <v>472.64499999999998</v>
      </c>
      <c r="AL33" s="56">
        <v>476.16300000000001</v>
      </c>
      <c r="AM33" s="56">
        <v>476.8</v>
      </c>
      <c r="AN33" s="56">
        <v>475.54599999999999</v>
      </c>
      <c r="AO33" s="56">
        <v>475.95600000000002</v>
      </c>
      <c r="AP33" s="56">
        <v>475.18900000000002</v>
      </c>
      <c r="AQ33" s="56">
        <v>476.46600000000001</v>
      </c>
      <c r="AR33" s="56">
        <v>480.245</v>
      </c>
      <c r="AS33" s="56">
        <v>481.89400000000001</v>
      </c>
      <c r="AT33" s="56">
        <v>481.983</v>
      </c>
      <c r="AU33" s="56">
        <v>473.72</v>
      </c>
      <c r="AV33" s="56">
        <v>478.62200000000001</v>
      </c>
      <c r="AX33" s="54">
        <v>2015</v>
      </c>
      <c r="AY33" s="56">
        <v>471.75400000000002</v>
      </c>
      <c r="AZ33" s="56">
        <v>476.63799999999998</v>
      </c>
      <c r="BA33" s="56">
        <v>478.07600000000002</v>
      </c>
      <c r="BB33" s="56">
        <v>478.20600000000002</v>
      </c>
      <c r="BC33" s="56">
        <v>478.56599999999997</v>
      </c>
      <c r="BD33" s="56">
        <v>479.642</v>
      </c>
      <c r="BE33" s="56">
        <v>480.21</v>
      </c>
      <c r="BF33" s="56">
        <v>482.392</v>
      </c>
      <c r="BG33" s="56">
        <v>481.26</v>
      </c>
      <c r="BH33" s="56">
        <v>481.42599999999999</v>
      </c>
      <c r="BI33" s="56">
        <v>482.47800000000001</v>
      </c>
      <c r="BJ33" s="56">
        <v>481.13400000000001</v>
      </c>
      <c r="BK33" s="51"/>
      <c r="BL33" s="51"/>
      <c r="CD33" s="54">
        <v>2015</v>
      </c>
      <c r="CE33" s="56">
        <v>233.70699999999999</v>
      </c>
      <c r="CF33" s="56">
        <v>234.72200000000001</v>
      </c>
      <c r="CG33" s="56">
        <v>236.119</v>
      </c>
      <c r="CH33" s="56">
        <v>236.59899999999999</v>
      </c>
      <c r="CI33" s="56">
        <v>237.80500000000001</v>
      </c>
      <c r="CJ33" s="56">
        <v>238.63800000000001</v>
      </c>
      <c r="CK33" s="56">
        <v>238.654</v>
      </c>
      <c r="CL33" s="56">
        <v>238.316</v>
      </c>
      <c r="CM33" s="56">
        <v>237.94499999999999</v>
      </c>
      <c r="CN33" s="56">
        <v>237.83799999999999</v>
      </c>
      <c r="CO33" s="56">
        <v>237.33600000000001</v>
      </c>
      <c r="CP33" s="56">
        <v>236.52500000000001</v>
      </c>
      <c r="CQ33" s="56">
        <v>236.26499999999999</v>
      </c>
      <c r="CR33" s="56">
        <v>237.76900000000001</v>
      </c>
      <c r="CT33" s="54">
        <v>2016</v>
      </c>
      <c r="CU33" s="56">
        <v>297.25200000000001</v>
      </c>
      <c r="CV33" s="56">
        <v>301.00700000000001</v>
      </c>
      <c r="CW33" s="56">
        <v>300.303</v>
      </c>
      <c r="CX33" s="56">
        <v>300.733</v>
      </c>
      <c r="CY33" s="56">
        <v>301.71300000000002</v>
      </c>
      <c r="CZ33" s="56">
        <v>301.27699999999999</v>
      </c>
      <c r="DA33" s="56">
        <v>302.161</v>
      </c>
      <c r="DB33" s="56">
        <v>305.97199999999998</v>
      </c>
      <c r="DC33" s="56">
        <v>306.404</v>
      </c>
      <c r="DD33" s="56">
        <v>307.43299999999999</v>
      </c>
      <c r="DE33" s="56">
        <v>307.40300000000002</v>
      </c>
      <c r="DF33" s="56">
        <v>307.46499999999997</v>
      </c>
      <c r="DG33" s="51"/>
      <c r="DH33" s="51"/>
      <c r="DJ33" s="54">
        <v>2016</v>
      </c>
      <c r="DK33" s="56">
        <v>293.00299999999999</v>
      </c>
      <c r="DL33" s="56">
        <v>297.92399999999998</v>
      </c>
      <c r="DM33" s="56">
        <v>297.04199999999997</v>
      </c>
      <c r="DN33" s="56">
        <v>297.66000000000003</v>
      </c>
      <c r="DO33" s="56">
        <v>298.733</v>
      </c>
      <c r="DP33" s="56">
        <v>297.887</v>
      </c>
      <c r="DQ33" s="56">
        <v>298.625</v>
      </c>
      <c r="DR33" s="56">
        <v>301.80399999999997</v>
      </c>
      <c r="DS33" s="56">
        <v>302.06599999999997</v>
      </c>
      <c r="DT33" s="56">
        <v>303.84899999999999</v>
      </c>
      <c r="DU33" s="56">
        <v>303.90499999999997</v>
      </c>
      <c r="DV33" s="56">
        <v>303.91500000000002</v>
      </c>
      <c r="DW33" s="51"/>
      <c r="DX33" s="51"/>
      <c r="DZ33" s="54">
        <v>2015</v>
      </c>
      <c r="EA33" s="56">
        <v>642.399</v>
      </c>
      <c r="EB33" s="56">
        <v>645.92499999999995</v>
      </c>
      <c r="EC33" s="56">
        <v>648.61400000000003</v>
      </c>
      <c r="ED33" s="56">
        <v>658.82899999999995</v>
      </c>
      <c r="EE33" s="56">
        <v>659.99300000000005</v>
      </c>
      <c r="EF33" s="56">
        <v>652.18100000000004</v>
      </c>
      <c r="EG33" s="56">
        <v>650.70399999999995</v>
      </c>
      <c r="EH33" s="56">
        <v>647.88</v>
      </c>
      <c r="EI33" s="56">
        <v>650.27700000000004</v>
      </c>
      <c r="EJ33" s="56">
        <v>661.81100000000004</v>
      </c>
      <c r="EK33" s="56">
        <v>660.32399999999996</v>
      </c>
      <c r="EL33" s="56">
        <v>659.35299999999995</v>
      </c>
      <c r="EM33" s="51"/>
      <c r="EN33" s="51"/>
    </row>
    <row r="34" spans="2:144" x14ac:dyDescent="0.25">
      <c r="B34" s="54">
        <v>2016</v>
      </c>
      <c r="C34" s="56">
        <v>370.911</v>
      </c>
      <c r="D34" s="56">
        <v>372.09100000000001</v>
      </c>
      <c r="E34" s="56">
        <v>372.67200000000003</v>
      </c>
      <c r="F34" s="56">
        <v>372.96100000000001</v>
      </c>
      <c r="G34" s="56">
        <v>376.26299999999998</v>
      </c>
      <c r="H34" s="56">
        <v>377.678</v>
      </c>
      <c r="I34" s="56">
        <v>380.08300000000003</v>
      </c>
      <c r="J34" s="56">
        <v>382.15600000000001</v>
      </c>
      <c r="K34" s="56">
        <v>382.13400000000001</v>
      </c>
      <c r="L34" s="56">
        <v>381.40600000000001</v>
      </c>
      <c r="M34" s="56">
        <v>384.11</v>
      </c>
      <c r="N34" s="56">
        <v>384.51900000000001</v>
      </c>
      <c r="O34" s="51"/>
      <c r="P34" s="51"/>
      <c r="R34" s="33">
        <v>2016</v>
      </c>
      <c r="S34" s="39">
        <v>228.81700000000001</v>
      </c>
      <c r="T34" s="39">
        <v>228.858</v>
      </c>
      <c r="U34" s="39">
        <v>228.68199999999999</v>
      </c>
      <c r="V34" s="39">
        <v>228.93299999999999</v>
      </c>
      <c r="W34" s="39">
        <v>231.20599999999999</v>
      </c>
      <c r="X34" s="39">
        <v>230.32400000000001</v>
      </c>
      <c r="Y34" s="39">
        <v>232.46899999999999</v>
      </c>
      <c r="Z34" s="39">
        <v>231.911</v>
      </c>
      <c r="AA34" s="39">
        <v>231.95099999999999</v>
      </c>
      <c r="AB34" s="39">
        <v>232.01499999999999</v>
      </c>
      <c r="AC34" s="39">
        <v>233.07599999999999</v>
      </c>
      <c r="AD34" s="39">
        <v>233.25899999999999</v>
      </c>
      <c r="AE34" s="34"/>
      <c r="AF34" s="34"/>
      <c r="AH34" s="54">
        <v>2016</v>
      </c>
      <c r="AI34" s="56">
        <v>485.32100000000003</v>
      </c>
      <c r="AJ34" s="56">
        <v>489.43200000000002</v>
      </c>
      <c r="AK34" s="56">
        <v>489.52</v>
      </c>
      <c r="AL34" s="56">
        <v>490.84800000000001</v>
      </c>
      <c r="AM34" s="56">
        <v>493.27</v>
      </c>
      <c r="AN34" s="56">
        <v>493.43799999999999</v>
      </c>
      <c r="AO34" s="56">
        <v>495.43099999999998</v>
      </c>
      <c r="AP34" s="56">
        <v>499.18700000000001</v>
      </c>
      <c r="AQ34" s="56">
        <v>499.483</v>
      </c>
      <c r="AR34" s="56">
        <v>499.71699999999998</v>
      </c>
      <c r="AS34" s="56">
        <v>500.697</v>
      </c>
      <c r="AT34" s="56">
        <v>500.84500000000003</v>
      </c>
      <c r="AU34" s="56">
        <v>490.30500000000001</v>
      </c>
      <c r="AV34" s="56">
        <v>499.22699999999998</v>
      </c>
      <c r="AX34" s="54">
        <v>2016</v>
      </c>
      <c r="AY34" s="56">
        <v>485.79599999999999</v>
      </c>
      <c r="AZ34" s="56">
        <v>493.07499999999999</v>
      </c>
      <c r="BA34" s="56">
        <v>495.19099999999997</v>
      </c>
      <c r="BB34" s="56">
        <v>497.29700000000003</v>
      </c>
      <c r="BC34" s="56">
        <v>493.29300000000001</v>
      </c>
      <c r="BD34" s="56">
        <v>498.13600000000002</v>
      </c>
      <c r="BE34" s="56">
        <v>502.83300000000003</v>
      </c>
      <c r="BF34" s="56">
        <v>512.06100000000004</v>
      </c>
      <c r="BG34" s="56">
        <v>514.78099999999995</v>
      </c>
      <c r="BH34" s="56">
        <v>515.15899999999999</v>
      </c>
      <c r="BI34" s="56">
        <v>511.31099999999998</v>
      </c>
      <c r="BJ34" s="56">
        <v>511.19099999999997</v>
      </c>
      <c r="BK34" s="51"/>
      <c r="BL34" s="51"/>
      <c r="CD34" s="54">
        <v>2016</v>
      </c>
      <c r="CE34" s="56">
        <v>236.916</v>
      </c>
      <c r="CF34" s="56">
        <v>237.11099999999999</v>
      </c>
      <c r="CG34" s="56">
        <v>238.13200000000001</v>
      </c>
      <c r="CH34" s="56">
        <v>239.261</v>
      </c>
      <c r="CI34" s="56">
        <v>240.22900000000001</v>
      </c>
      <c r="CJ34" s="56">
        <v>241.018</v>
      </c>
      <c r="CK34" s="56">
        <v>240.62799999999999</v>
      </c>
      <c r="CL34" s="56">
        <v>240.84899999999999</v>
      </c>
      <c r="CM34" s="56">
        <v>241.428</v>
      </c>
      <c r="CN34" s="56">
        <v>241.72900000000001</v>
      </c>
      <c r="CO34" s="56">
        <v>241.35300000000001</v>
      </c>
      <c r="CP34" s="56">
        <v>241.43199999999999</v>
      </c>
      <c r="CQ34" s="56">
        <v>238.77799999999999</v>
      </c>
      <c r="CR34" s="56">
        <v>241.23699999999999</v>
      </c>
      <c r="CT34" s="54">
        <v>2017</v>
      </c>
      <c r="CU34" s="56">
        <v>309.92899999999997</v>
      </c>
      <c r="CV34" s="56">
        <v>313.97399999999999</v>
      </c>
      <c r="CW34" s="56">
        <v>314.529</v>
      </c>
      <c r="CX34" s="56">
        <v>317.053</v>
      </c>
      <c r="CY34" s="56">
        <v>316.65300000000002</v>
      </c>
      <c r="CZ34" s="56">
        <v>318.31299999999999</v>
      </c>
      <c r="DA34" s="56">
        <v>319.387</v>
      </c>
      <c r="DB34" s="56">
        <v>319.39400000000001</v>
      </c>
      <c r="DC34" s="56">
        <v>320.44900000000001</v>
      </c>
      <c r="DD34" s="56">
        <v>322.36799999999999</v>
      </c>
      <c r="DE34" s="56">
        <v>322.87099999999998</v>
      </c>
      <c r="DF34" s="56">
        <v>323.11399999999998</v>
      </c>
      <c r="DG34" s="51"/>
      <c r="DH34" s="51"/>
      <c r="DJ34" s="54">
        <v>2017</v>
      </c>
      <c r="DK34" s="56">
        <v>306.43799999999999</v>
      </c>
      <c r="DL34" s="56">
        <v>309.51400000000001</v>
      </c>
      <c r="DM34" s="56">
        <v>309.346</v>
      </c>
      <c r="DN34" s="56">
        <v>311.32299999999998</v>
      </c>
      <c r="DO34" s="56">
        <v>310.80099999999999</v>
      </c>
      <c r="DP34" s="56">
        <v>312.68599999999998</v>
      </c>
      <c r="DQ34" s="56">
        <v>313.28800000000001</v>
      </c>
      <c r="DR34" s="56">
        <v>313.65199999999999</v>
      </c>
      <c r="DS34" s="56">
        <v>313.80200000000002</v>
      </c>
      <c r="DT34" s="56">
        <v>315.66899999999998</v>
      </c>
      <c r="DU34" s="56">
        <v>316.65800000000002</v>
      </c>
      <c r="DV34" s="56">
        <v>316.74400000000003</v>
      </c>
      <c r="DW34" s="51"/>
      <c r="DX34" s="51"/>
      <c r="DZ34" s="54">
        <v>2016</v>
      </c>
      <c r="EA34" s="56">
        <v>663.98800000000006</v>
      </c>
      <c r="EB34" s="56">
        <v>666.59199999999998</v>
      </c>
      <c r="EC34" s="56">
        <v>665.15300000000002</v>
      </c>
      <c r="ED34" s="56">
        <v>665.60199999999998</v>
      </c>
      <c r="EE34" s="56">
        <v>667.45299999999997</v>
      </c>
      <c r="EF34" s="56">
        <v>667.072</v>
      </c>
      <c r="EG34" s="56">
        <v>669.37</v>
      </c>
      <c r="EH34" s="56">
        <v>678.5</v>
      </c>
      <c r="EI34" s="56">
        <v>680.48299999999995</v>
      </c>
      <c r="EJ34" s="56">
        <v>681.71600000000001</v>
      </c>
      <c r="EK34" s="56">
        <v>681.3</v>
      </c>
      <c r="EL34" s="56">
        <v>681.25300000000004</v>
      </c>
      <c r="EM34" s="51"/>
      <c r="EN34" s="51"/>
    </row>
    <row r="35" spans="2:144" x14ac:dyDescent="0.25">
      <c r="B35" s="54">
        <v>2017</v>
      </c>
      <c r="C35" s="56">
        <v>384.88200000000001</v>
      </c>
      <c r="D35" s="56">
        <v>385.35300000000001</v>
      </c>
      <c r="E35" s="56">
        <v>383.96499999999997</v>
      </c>
      <c r="F35" s="56">
        <v>379.88600000000002</v>
      </c>
      <c r="G35" s="56">
        <v>379.20699999999999</v>
      </c>
      <c r="H35" s="56">
        <v>377.74700000000001</v>
      </c>
      <c r="I35" s="56">
        <v>377.98899999999998</v>
      </c>
      <c r="J35" s="56">
        <v>378.99</v>
      </c>
      <c r="K35" s="56">
        <v>379.16899999999998</v>
      </c>
      <c r="L35" s="56">
        <v>379.072</v>
      </c>
      <c r="M35" s="56">
        <v>377.03699999999998</v>
      </c>
      <c r="N35" s="56">
        <v>377.73399999999998</v>
      </c>
      <c r="O35" s="51"/>
      <c r="P35" s="51"/>
      <c r="R35" s="33">
        <v>2017</v>
      </c>
      <c r="S35" s="39">
        <v>234.95400000000001</v>
      </c>
      <c r="T35" s="39">
        <v>235.67099999999999</v>
      </c>
      <c r="U35" s="39">
        <v>236.29300000000001</v>
      </c>
      <c r="V35" s="39">
        <v>236.29300000000001</v>
      </c>
      <c r="W35" s="39">
        <v>236.29300000000001</v>
      </c>
      <c r="X35" s="39">
        <v>236.08699999999999</v>
      </c>
      <c r="Y35" s="39">
        <v>236.12899999999999</v>
      </c>
      <c r="Z35" s="39">
        <v>236.12899999999999</v>
      </c>
      <c r="AA35" s="39">
        <v>237.209</v>
      </c>
      <c r="AB35" s="39">
        <v>237.71700000000001</v>
      </c>
      <c r="AC35" s="39">
        <v>238.24299999999999</v>
      </c>
      <c r="AD35" s="39">
        <v>238.09</v>
      </c>
      <c r="AE35" s="34"/>
      <c r="AF35" s="34"/>
      <c r="AH35" s="54">
        <v>2017</v>
      </c>
      <c r="AI35" s="56">
        <v>502.94799999999998</v>
      </c>
      <c r="AJ35" s="56">
        <v>506.10500000000002</v>
      </c>
      <c r="AK35" s="56">
        <v>505.99099999999999</v>
      </c>
      <c r="AL35" s="56">
        <v>505.85500000000002</v>
      </c>
      <c r="AM35" s="56">
        <v>505.61099999999999</v>
      </c>
      <c r="AN35" s="56">
        <v>505.81299999999999</v>
      </c>
      <c r="AO35" s="56">
        <v>506.68099999999998</v>
      </c>
      <c r="AP35" s="56">
        <v>507.39</v>
      </c>
      <c r="AQ35" s="56">
        <v>508.07799999999997</v>
      </c>
      <c r="AR35" s="56">
        <v>509.25599999999997</v>
      </c>
      <c r="AS35" s="56">
        <v>508.87900000000002</v>
      </c>
      <c r="AT35" s="56">
        <v>509.04500000000002</v>
      </c>
      <c r="AU35" s="56">
        <v>505.387</v>
      </c>
      <c r="AV35" s="56">
        <v>508.22199999999998</v>
      </c>
      <c r="AX35" s="54">
        <v>2017</v>
      </c>
      <c r="AY35" s="56">
        <v>515.46799999999996</v>
      </c>
      <c r="AZ35" s="56">
        <v>518.61800000000005</v>
      </c>
      <c r="BA35" s="56">
        <v>518.47</v>
      </c>
      <c r="BB35" s="56">
        <v>512.73800000000006</v>
      </c>
      <c r="BC35" s="56">
        <v>512.58199999999999</v>
      </c>
      <c r="BD35" s="56">
        <v>517.21699999999998</v>
      </c>
      <c r="BE35" s="56">
        <v>524.05600000000004</v>
      </c>
      <c r="BF35" s="56">
        <v>526.10500000000002</v>
      </c>
      <c r="BG35" s="56">
        <v>522.01800000000003</v>
      </c>
      <c r="BH35" s="56">
        <v>520.35</v>
      </c>
      <c r="BI35" s="56">
        <v>522.41099999999994</v>
      </c>
      <c r="BJ35" s="56">
        <v>525.38499999999999</v>
      </c>
      <c r="BK35" s="51"/>
      <c r="BL35" s="51"/>
      <c r="CD35" s="54">
        <v>2017</v>
      </c>
      <c r="CE35" s="56">
        <v>242.839</v>
      </c>
      <c r="CF35" s="56">
        <v>243.60300000000001</v>
      </c>
      <c r="CG35" s="56">
        <v>243.80099999999999</v>
      </c>
      <c r="CH35" s="56">
        <v>244.524</v>
      </c>
      <c r="CI35" s="56">
        <v>244.733</v>
      </c>
      <c r="CJ35" s="56">
        <v>244.95500000000001</v>
      </c>
      <c r="CK35" s="56">
        <v>244.786</v>
      </c>
      <c r="CL35" s="56">
        <v>245.51900000000001</v>
      </c>
      <c r="CM35" s="56">
        <v>246.81899999999999</v>
      </c>
      <c r="CN35" s="56">
        <v>246.66300000000001</v>
      </c>
      <c r="CO35" s="56">
        <v>246.66900000000001</v>
      </c>
      <c r="CP35" s="56">
        <v>246.524</v>
      </c>
      <c r="CQ35" s="56">
        <v>244.07599999999999</v>
      </c>
      <c r="CR35" s="56">
        <v>246.16300000000001</v>
      </c>
      <c r="CT35" s="54">
        <v>2018</v>
      </c>
      <c r="CU35" s="56">
        <v>328.63499999999999</v>
      </c>
      <c r="CV35" s="56">
        <v>329.70100000000002</v>
      </c>
      <c r="CW35" s="56">
        <v>330.75900000000001</v>
      </c>
      <c r="CX35" s="56">
        <v>331.28899999999999</v>
      </c>
      <c r="CY35" s="56">
        <v>331.65100000000001</v>
      </c>
      <c r="CZ35" s="56">
        <v>333.40800000000002</v>
      </c>
      <c r="DA35" s="56">
        <v>334.03300000000002</v>
      </c>
      <c r="DB35" s="56">
        <v>332.70800000000003</v>
      </c>
      <c r="DC35" s="56">
        <v>332.59500000000003</v>
      </c>
      <c r="DD35" s="56">
        <v>332.85300000000001</v>
      </c>
      <c r="DE35" s="56">
        <v>334.24200000000002</v>
      </c>
      <c r="DF35" s="56">
        <v>334.964</v>
      </c>
      <c r="DG35" s="56">
        <v>330.90699999999998</v>
      </c>
      <c r="DH35" s="56">
        <v>333.56599999999997</v>
      </c>
      <c r="DJ35" s="54">
        <v>2018</v>
      </c>
      <c r="DK35" s="56">
        <v>322.327</v>
      </c>
      <c r="DL35" s="56">
        <v>323.20699999999999</v>
      </c>
      <c r="DM35" s="56">
        <v>323.47199999999998</v>
      </c>
      <c r="DN35" s="56">
        <v>323.69400000000002</v>
      </c>
      <c r="DO35" s="56">
        <v>324.17200000000003</v>
      </c>
      <c r="DP35" s="56">
        <v>325.82100000000003</v>
      </c>
      <c r="DQ35" s="56">
        <v>326.077</v>
      </c>
      <c r="DR35" s="56">
        <v>324.87900000000002</v>
      </c>
      <c r="DS35" s="56">
        <v>325.39100000000002</v>
      </c>
      <c r="DT35" s="56">
        <v>324.75400000000002</v>
      </c>
      <c r="DU35" s="56">
        <v>324.84199999999998</v>
      </c>
      <c r="DV35" s="56">
        <v>325.76299999999998</v>
      </c>
      <c r="DW35" s="56">
        <v>323.78199999999998</v>
      </c>
      <c r="DX35" s="56">
        <v>325.28399999999999</v>
      </c>
      <c r="DZ35" s="54">
        <v>2017</v>
      </c>
      <c r="EA35" s="56">
        <v>686.33100000000002</v>
      </c>
      <c r="EB35" s="56">
        <v>695.41099999999994</v>
      </c>
      <c r="EC35" s="56">
        <v>696.85</v>
      </c>
      <c r="ED35" s="56">
        <v>705.346</v>
      </c>
      <c r="EE35" s="56">
        <v>704.56600000000003</v>
      </c>
      <c r="EF35" s="56">
        <v>707.89499999999998</v>
      </c>
      <c r="EG35" s="56">
        <v>710.21600000000001</v>
      </c>
      <c r="EH35" s="56">
        <v>709.36800000000005</v>
      </c>
      <c r="EI35" s="56">
        <v>711.43100000000004</v>
      </c>
      <c r="EJ35" s="56">
        <v>714.56100000000004</v>
      </c>
      <c r="EK35" s="56">
        <v>713.54300000000001</v>
      </c>
      <c r="EL35" s="56">
        <v>714.21100000000001</v>
      </c>
      <c r="EM35" s="51"/>
      <c r="EN35" s="51"/>
    </row>
    <row r="36" spans="2:144" x14ac:dyDescent="0.25">
      <c r="B36" s="54">
        <v>2018</v>
      </c>
      <c r="C36" s="56">
        <v>379.077</v>
      </c>
      <c r="D36" s="56">
        <v>380.47</v>
      </c>
      <c r="E36" s="56">
        <v>380.76600000000002</v>
      </c>
      <c r="F36" s="56">
        <v>381.07600000000002</v>
      </c>
      <c r="G36" s="56">
        <v>381.30900000000003</v>
      </c>
      <c r="H36" s="56">
        <v>380.99099999999999</v>
      </c>
      <c r="I36" s="56">
        <v>380.404</v>
      </c>
      <c r="J36" s="56">
        <v>380.14299999999997</v>
      </c>
      <c r="K36" s="56">
        <v>380.928</v>
      </c>
      <c r="L36" s="56">
        <v>380.48899999999998</v>
      </c>
      <c r="M36" s="56">
        <v>379.87200000000001</v>
      </c>
      <c r="N36" s="56">
        <v>379.88499999999999</v>
      </c>
      <c r="O36" s="56">
        <v>380.61500000000001</v>
      </c>
      <c r="P36" s="56">
        <v>380.28699999999998</v>
      </c>
      <c r="R36" s="33">
        <v>2018</v>
      </c>
      <c r="S36" s="39">
        <v>237.02699999999999</v>
      </c>
      <c r="T36" s="39">
        <v>235.05600000000001</v>
      </c>
      <c r="U36" s="39">
        <v>236.93799999999999</v>
      </c>
      <c r="V36" s="39">
        <v>237.43</v>
      </c>
      <c r="W36" s="39">
        <v>237.66300000000001</v>
      </c>
      <c r="X36" s="39">
        <v>237.82599999999999</v>
      </c>
      <c r="Y36" s="39">
        <v>237.82599999999999</v>
      </c>
      <c r="Z36" s="39">
        <v>237.499</v>
      </c>
      <c r="AA36" s="39">
        <v>237.154</v>
      </c>
      <c r="AB36" s="39">
        <v>237.34399999999999</v>
      </c>
      <c r="AC36" s="39">
        <v>238.25</v>
      </c>
      <c r="AD36" s="39">
        <v>238.25</v>
      </c>
      <c r="AE36" s="39">
        <v>236.99</v>
      </c>
      <c r="AF36" s="39">
        <v>237.721</v>
      </c>
      <c r="AH36" s="54">
        <v>2018</v>
      </c>
      <c r="AI36" s="56">
        <v>513.13499999999999</v>
      </c>
      <c r="AJ36" s="56">
        <v>515.20500000000004</v>
      </c>
      <c r="AK36" s="56">
        <v>516.71299999999997</v>
      </c>
      <c r="AL36" s="56">
        <v>517.22799999999995</v>
      </c>
      <c r="AM36" s="56">
        <v>517.22</v>
      </c>
      <c r="AN36" s="56">
        <v>518.30700000000002</v>
      </c>
      <c r="AO36" s="56">
        <v>518.27700000000004</v>
      </c>
      <c r="AP36" s="56">
        <v>516.84100000000001</v>
      </c>
      <c r="AQ36" s="56">
        <v>518.10799999999995</v>
      </c>
      <c r="AR36" s="56">
        <v>519.15200000000004</v>
      </c>
      <c r="AS36" s="56">
        <v>520.97299999999996</v>
      </c>
      <c r="AT36" s="56">
        <v>522.50599999999997</v>
      </c>
      <c r="AU36" s="56">
        <v>516.30100000000004</v>
      </c>
      <c r="AV36" s="56">
        <v>519.30999999999995</v>
      </c>
      <c r="AX36" s="54">
        <v>2018</v>
      </c>
      <c r="AY36" s="56">
        <v>527.76700000000005</v>
      </c>
      <c r="AZ36" s="56">
        <v>529.279</v>
      </c>
      <c r="BA36" s="56">
        <v>528.16700000000003</v>
      </c>
      <c r="BB36" s="56">
        <v>526.34500000000003</v>
      </c>
      <c r="BC36" s="56">
        <v>531.69200000000001</v>
      </c>
      <c r="BD36" s="56">
        <v>533.72</v>
      </c>
      <c r="BE36" s="56">
        <v>528.86500000000001</v>
      </c>
      <c r="BF36" s="56">
        <v>530.16499999999996</v>
      </c>
      <c r="BG36" s="56">
        <v>528.12400000000002</v>
      </c>
      <c r="BH36" s="56">
        <v>524.37</v>
      </c>
      <c r="BI36" s="56">
        <v>525.49400000000003</v>
      </c>
      <c r="BJ36" s="56">
        <v>522.10500000000002</v>
      </c>
      <c r="BK36" s="56">
        <v>529.495</v>
      </c>
      <c r="BL36" s="56">
        <v>526.52099999999996</v>
      </c>
      <c r="CD36" s="54">
        <v>2018</v>
      </c>
      <c r="CE36" s="56">
        <v>247.86699999999999</v>
      </c>
      <c r="CF36" s="56">
        <v>248.99100000000001</v>
      </c>
      <c r="CG36" s="56">
        <v>249.554</v>
      </c>
      <c r="CH36" s="56">
        <v>250.54599999999999</v>
      </c>
      <c r="CI36" s="56">
        <v>251.58799999999999</v>
      </c>
      <c r="CJ36" s="56">
        <v>251.989</v>
      </c>
      <c r="CK36" s="56">
        <v>252.006</v>
      </c>
      <c r="CL36" s="56">
        <v>252.14599999999999</v>
      </c>
      <c r="CM36" s="56">
        <v>252.43899999999999</v>
      </c>
      <c r="CN36" s="56">
        <v>252.88499999999999</v>
      </c>
      <c r="CO36" s="56">
        <v>252.03800000000001</v>
      </c>
      <c r="CP36" s="56">
        <v>251.233</v>
      </c>
      <c r="CQ36" s="56">
        <v>250.089</v>
      </c>
      <c r="CR36" s="56">
        <v>252.125</v>
      </c>
      <c r="CT36" s="54">
        <v>2019</v>
      </c>
      <c r="CU36" s="56">
        <v>336.22500000000002</v>
      </c>
      <c r="CV36" s="56">
        <v>336.23399999999998</v>
      </c>
      <c r="CW36" s="56">
        <v>336.64800000000002</v>
      </c>
      <c r="CX36" s="56">
        <v>335.19799999999998</v>
      </c>
      <c r="CY36" s="56">
        <v>335.96600000000001</v>
      </c>
      <c r="CZ36" s="56">
        <v>335.07799999999997</v>
      </c>
      <c r="DA36" s="56">
        <v>336.60399999999998</v>
      </c>
      <c r="DB36" s="56">
        <v>339.78100000000001</v>
      </c>
      <c r="DC36" s="56">
        <v>339.512</v>
      </c>
      <c r="DD36" s="56">
        <v>344.363</v>
      </c>
      <c r="DE36" s="56">
        <v>345.22699999999998</v>
      </c>
      <c r="DF36" s="56">
        <v>344.93299999999999</v>
      </c>
      <c r="DG36" s="56">
        <v>335.892</v>
      </c>
      <c r="DH36" s="56">
        <v>341.73700000000002</v>
      </c>
      <c r="DJ36" s="54">
        <v>2019</v>
      </c>
      <c r="DK36" s="56">
        <v>326.80700000000002</v>
      </c>
      <c r="DL36" s="56">
        <v>327.08100000000002</v>
      </c>
      <c r="DM36" s="56">
        <v>327.81400000000002</v>
      </c>
      <c r="DN36" s="56">
        <v>326.73599999999999</v>
      </c>
      <c r="DO36" s="56">
        <v>327.99299999999999</v>
      </c>
      <c r="DP36" s="56">
        <v>327.548</v>
      </c>
      <c r="DQ36" s="56">
        <v>328.90100000000001</v>
      </c>
      <c r="DR36" s="56">
        <v>330.923</v>
      </c>
      <c r="DS36" s="56">
        <v>330.79599999999999</v>
      </c>
      <c r="DT36" s="56">
        <v>335.30500000000001</v>
      </c>
      <c r="DU36" s="56">
        <v>336.40100000000001</v>
      </c>
      <c r="DV36" s="56">
        <v>336.52499999999998</v>
      </c>
      <c r="DW36" s="56">
        <v>327.33</v>
      </c>
      <c r="DX36" s="56">
        <v>333.142</v>
      </c>
      <c r="DZ36" s="54">
        <v>2018</v>
      </c>
      <c r="EA36" s="56">
        <v>727.70799999999997</v>
      </c>
      <c r="EB36" s="56">
        <v>729.28</v>
      </c>
      <c r="EC36" s="56">
        <v>732.61800000000005</v>
      </c>
      <c r="ED36" s="56">
        <v>733.79100000000005</v>
      </c>
      <c r="EE36" s="56">
        <v>734.53200000000004</v>
      </c>
      <c r="EF36" s="56">
        <v>738.40300000000002</v>
      </c>
      <c r="EG36" s="56">
        <v>740.71900000000005</v>
      </c>
      <c r="EH36" s="56">
        <v>736.52</v>
      </c>
      <c r="EI36" s="56">
        <v>734.34100000000001</v>
      </c>
      <c r="EJ36" s="56">
        <v>735.745</v>
      </c>
      <c r="EK36" s="56">
        <v>741.18299999999999</v>
      </c>
      <c r="EL36" s="56">
        <v>742.92100000000005</v>
      </c>
      <c r="EM36" s="56">
        <v>732.72199999999998</v>
      </c>
      <c r="EN36" s="56">
        <v>738.572</v>
      </c>
    </row>
    <row r="37" spans="2:144" x14ac:dyDescent="0.25">
      <c r="B37" s="54">
        <v>2019</v>
      </c>
      <c r="C37" s="56">
        <v>382.03199999999998</v>
      </c>
      <c r="D37" s="56">
        <v>383.00900000000001</v>
      </c>
      <c r="E37" s="56">
        <v>381.04500000000002</v>
      </c>
      <c r="F37" s="56">
        <v>382.15</v>
      </c>
      <c r="G37" s="56">
        <v>382.43599999999998</v>
      </c>
      <c r="H37" s="56">
        <v>382.702</v>
      </c>
      <c r="I37" s="56">
        <v>383.04700000000003</v>
      </c>
      <c r="J37" s="56">
        <v>382.858</v>
      </c>
      <c r="K37" s="56">
        <v>384.45400000000001</v>
      </c>
      <c r="L37" s="56">
        <v>384.90100000000001</v>
      </c>
      <c r="M37" s="56">
        <v>385.01</v>
      </c>
      <c r="N37" s="56">
        <v>385.09199999999998</v>
      </c>
      <c r="O37" s="56">
        <v>382.22899999999998</v>
      </c>
      <c r="P37" s="56">
        <v>384.22699999999998</v>
      </c>
      <c r="R37" s="33">
        <v>2019</v>
      </c>
      <c r="S37" s="39">
        <v>237.35599999999999</v>
      </c>
      <c r="T37" s="39">
        <v>238.24700000000001</v>
      </c>
      <c r="U37" s="39">
        <v>238.88</v>
      </c>
      <c r="V37" s="39">
        <v>238.339</v>
      </c>
      <c r="W37" s="39">
        <v>238.94200000000001</v>
      </c>
      <c r="X37" s="39">
        <v>239.09299999999999</v>
      </c>
      <c r="Y37" s="39">
        <v>238.98699999999999</v>
      </c>
      <c r="Z37" s="39">
        <v>239.80600000000001</v>
      </c>
      <c r="AA37" s="39">
        <v>240.83199999999999</v>
      </c>
      <c r="AB37" s="39">
        <v>239.90600000000001</v>
      </c>
      <c r="AC37" s="39">
        <v>239.923</v>
      </c>
      <c r="AD37" s="39">
        <v>240.13800000000001</v>
      </c>
      <c r="AE37" s="39">
        <v>238.476</v>
      </c>
      <c r="AF37" s="39">
        <v>239.93199999999999</v>
      </c>
      <c r="AH37" s="54">
        <v>2019</v>
      </c>
      <c r="AI37" s="56">
        <v>525.69799999999998</v>
      </c>
      <c r="AJ37" s="56">
        <v>527.68299999999999</v>
      </c>
      <c r="AK37" s="56">
        <v>528.57500000000005</v>
      </c>
      <c r="AL37" s="56">
        <v>529.37099999999998</v>
      </c>
      <c r="AM37" s="56">
        <v>531.56600000000003</v>
      </c>
      <c r="AN37" s="56">
        <v>532.95600000000002</v>
      </c>
      <c r="AO37" s="56">
        <v>535.51499999999999</v>
      </c>
      <c r="AP37" s="56">
        <v>539.06600000000003</v>
      </c>
      <c r="AQ37" s="56">
        <v>540.81299999999999</v>
      </c>
      <c r="AR37" s="56">
        <v>545.65200000000004</v>
      </c>
      <c r="AS37" s="56">
        <v>547.73500000000001</v>
      </c>
      <c r="AT37" s="56">
        <v>549.077</v>
      </c>
      <c r="AU37" s="56">
        <v>529.30799999999999</v>
      </c>
      <c r="AV37" s="56">
        <v>542.976</v>
      </c>
      <c r="AX37" s="54">
        <v>2019</v>
      </c>
      <c r="AY37" s="56">
        <v>525.10299999999995</v>
      </c>
      <c r="AZ37" s="56">
        <v>522.971</v>
      </c>
      <c r="BA37" s="56">
        <v>526.09699999999998</v>
      </c>
      <c r="BB37" s="56">
        <v>528.00800000000004</v>
      </c>
      <c r="BC37" s="56">
        <v>526.43899999999996</v>
      </c>
      <c r="BD37" s="56">
        <v>522.95699999999999</v>
      </c>
      <c r="BE37" s="56">
        <v>524.82899999999995</v>
      </c>
      <c r="BF37" s="56">
        <v>526.62900000000002</v>
      </c>
      <c r="BG37" s="56">
        <v>522.51800000000003</v>
      </c>
      <c r="BH37" s="56">
        <v>529.63499999999999</v>
      </c>
      <c r="BI37" s="56">
        <v>528.28499999999997</v>
      </c>
      <c r="BJ37" s="56">
        <v>537.94600000000003</v>
      </c>
      <c r="BK37" s="56">
        <v>525.26300000000003</v>
      </c>
      <c r="BL37" s="56">
        <v>528.30700000000002</v>
      </c>
      <c r="CD37" s="54">
        <v>2019</v>
      </c>
      <c r="CE37" s="56">
        <v>251.71199999999999</v>
      </c>
      <c r="CF37" s="56">
        <v>252.77600000000001</v>
      </c>
      <c r="CG37" s="56">
        <v>254.202</v>
      </c>
      <c r="CH37" s="56">
        <v>255.548</v>
      </c>
      <c r="CI37" s="56">
        <v>256.09199999999998</v>
      </c>
      <c r="CJ37" s="56">
        <v>256.14299999999997</v>
      </c>
      <c r="CK37" s="56">
        <v>256.57100000000003</v>
      </c>
      <c r="CL37" s="56">
        <v>256.55799999999999</v>
      </c>
      <c r="CM37" s="56">
        <v>256.75900000000001</v>
      </c>
      <c r="CN37" s="56">
        <v>257.346</v>
      </c>
      <c r="CO37" s="56">
        <v>257.20800000000003</v>
      </c>
      <c r="CP37" s="56">
        <v>256.97399999999999</v>
      </c>
      <c r="CQ37" s="56">
        <v>254.41200000000001</v>
      </c>
      <c r="CR37" s="56">
        <v>256.90300000000002</v>
      </c>
      <c r="CT37" s="54">
        <v>2020</v>
      </c>
      <c r="CU37" s="56">
        <v>349.15199999999999</v>
      </c>
      <c r="CV37" s="56">
        <v>350.63499999999999</v>
      </c>
      <c r="CW37" s="56">
        <v>351.35</v>
      </c>
      <c r="CX37" s="56">
        <v>352.67599999999999</v>
      </c>
      <c r="CY37" s="56">
        <v>352.28699999999998</v>
      </c>
      <c r="CZ37" s="56">
        <v>352.79399999999998</v>
      </c>
      <c r="DA37" s="56">
        <v>353.38099999999997</v>
      </c>
      <c r="DB37" s="56">
        <v>353.33199999999999</v>
      </c>
      <c r="DC37" s="56">
        <v>355.12900000000002</v>
      </c>
      <c r="DD37" s="56">
        <v>354.28899999999999</v>
      </c>
      <c r="DE37" s="56">
        <v>355.16399999999999</v>
      </c>
      <c r="DF37" s="56">
        <v>355.23200000000003</v>
      </c>
      <c r="DG37" s="56">
        <v>351.48200000000003</v>
      </c>
      <c r="DH37" s="56">
        <v>354.42099999999999</v>
      </c>
      <c r="DJ37" s="54">
        <v>2020</v>
      </c>
      <c r="DK37" s="56">
        <v>340.435</v>
      </c>
      <c r="DL37" s="56">
        <v>340.06799999999998</v>
      </c>
      <c r="DM37" s="56">
        <v>340.90899999999999</v>
      </c>
      <c r="DN37" s="56">
        <v>342.04399999999998</v>
      </c>
      <c r="DO37" s="56">
        <v>342.649</v>
      </c>
      <c r="DP37" s="56">
        <v>343.00400000000002</v>
      </c>
      <c r="DQ37" s="56">
        <v>343.53399999999999</v>
      </c>
      <c r="DR37" s="56">
        <v>343.12299999999999</v>
      </c>
      <c r="DS37" s="56">
        <v>344.16500000000002</v>
      </c>
      <c r="DT37" s="56">
        <v>343.19</v>
      </c>
      <c r="DU37" s="56">
        <v>343.94200000000001</v>
      </c>
      <c r="DV37" s="56">
        <v>343.512</v>
      </c>
      <c r="DW37" s="56">
        <v>341.51799999999997</v>
      </c>
      <c r="DX37" s="56">
        <v>343.57799999999997</v>
      </c>
      <c r="DZ37" s="54">
        <v>2019</v>
      </c>
      <c r="EA37" s="56">
        <v>745.49099999999999</v>
      </c>
      <c r="EB37" s="56">
        <v>744.74699999999996</v>
      </c>
      <c r="EC37" s="56">
        <v>745.25</v>
      </c>
      <c r="ED37" s="56">
        <v>740.74099999999999</v>
      </c>
      <c r="EE37" s="56">
        <v>740.86099999999999</v>
      </c>
      <c r="EF37" s="56">
        <v>738.85799999999995</v>
      </c>
      <c r="EG37" s="56">
        <v>743.44200000000001</v>
      </c>
      <c r="EH37" s="56">
        <v>751.69399999999996</v>
      </c>
      <c r="EI37" s="56">
        <v>750.25099999999998</v>
      </c>
      <c r="EJ37" s="56">
        <v>757.46900000000005</v>
      </c>
      <c r="EK37" s="56">
        <v>757.64</v>
      </c>
      <c r="EL37" s="56">
        <v>757.74900000000002</v>
      </c>
      <c r="EM37" s="56">
        <v>742.65800000000002</v>
      </c>
      <c r="EN37" s="56">
        <v>753.04100000000005</v>
      </c>
    </row>
    <row r="38" spans="2:144" x14ac:dyDescent="0.25">
      <c r="B38" s="54">
        <v>2020</v>
      </c>
      <c r="C38" s="56">
        <v>384.71499999999997</v>
      </c>
      <c r="D38" s="56">
        <v>386.202</v>
      </c>
      <c r="E38" s="56">
        <v>386.483</v>
      </c>
      <c r="F38" s="56">
        <v>386.86200000000002</v>
      </c>
      <c r="G38" s="56">
        <v>389.32900000000001</v>
      </c>
      <c r="H38" s="56">
        <v>390.71800000000002</v>
      </c>
      <c r="I38" s="56">
        <v>392.928</v>
      </c>
      <c r="J38" s="56">
        <v>393.02499999999998</v>
      </c>
      <c r="K38" s="56">
        <v>392.47399999999999</v>
      </c>
      <c r="L38" s="56">
        <v>392.09899999999999</v>
      </c>
      <c r="M38" s="56">
        <v>392.15600000000001</v>
      </c>
      <c r="N38" s="56">
        <v>391.80700000000002</v>
      </c>
      <c r="O38" s="56">
        <v>387.38499999999999</v>
      </c>
      <c r="P38" s="56">
        <v>392.41500000000002</v>
      </c>
      <c r="R38" s="33">
        <v>2020</v>
      </c>
      <c r="S38" s="39">
        <v>240.58500000000001</v>
      </c>
      <c r="T38" s="39">
        <v>240.68899999999999</v>
      </c>
      <c r="U38" s="39">
        <v>240.70699999999999</v>
      </c>
      <c r="V38" s="39">
        <v>241.08500000000001</v>
      </c>
      <c r="W38" s="39">
        <v>241.41900000000001</v>
      </c>
      <c r="X38" s="39">
        <v>242.11500000000001</v>
      </c>
      <c r="Y38" s="39">
        <v>242.38</v>
      </c>
      <c r="Z38" s="39">
        <v>242.38</v>
      </c>
      <c r="AA38" s="39">
        <v>243.578</v>
      </c>
      <c r="AB38" s="39">
        <v>243.578</v>
      </c>
      <c r="AC38" s="39">
        <v>243.43700000000001</v>
      </c>
      <c r="AD38" s="39">
        <v>243.32</v>
      </c>
      <c r="AE38" s="39">
        <v>241.1</v>
      </c>
      <c r="AF38" s="39">
        <v>243.11199999999999</v>
      </c>
      <c r="AH38" s="54">
        <v>2020</v>
      </c>
      <c r="AI38" s="56">
        <v>552.721</v>
      </c>
      <c r="AJ38" s="56">
        <v>555.59699999999998</v>
      </c>
      <c r="AK38" s="56">
        <v>557.88900000000001</v>
      </c>
      <c r="AL38" s="56">
        <v>559.99400000000003</v>
      </c>
      <c r="AM38" s="56">
        <v>562.70100000000002</v>
      </c>
      <c r="AN38" s="56">
        <v>564.75400000000002</v>
      </c>
      <c r="AO38" s="56">
        <v>567.29899999999998</v>
      </c>
      <c r="AP38" s="56">
        <v>567.77099999999996</v>
      </c>
      <c r="AQ38" s="56">
        <v>567.52499999999998</v>
      </c>
      <c r="AR38" s="56">
        <v>565.99900000000002</v>
      </c>
      <c r="AS38" s="56">
        <v>565.34500000000003</v>
      </c>
      <c r="AT38" s="56">
        <v>564.20100000000002</v>
      </c>
      <c r="AU38" s="56">
        <v>558.94299999999998</v>
      </c>
      <c r="AV38" s="56">
        <v>566.35699999999997</v>
      </c>
      <c r="AX38" s="54">
        <v>2020</v>
      </c>
      <c r="AY38" s="56">
        <v>538.154</v>
      </c>
      <c r="AZ38" s="56">
        <v>535.548</v>
      </c>
      <c r="BA38" s="56">
        <v>533.88499999999999</v>
      </c>
      <c r="BB38" s="56">
        <v>533.76700000000005</v>
      </c>
      <c r="BC38" s="56">
        <v>533.32500000000005</v>
      </c>
      <c r="BD38" s="56">
        <v>533.46</v>
      </c>
      <c r="BE38" s="56">
        <v>533.55100000000004</v>
      </c>
      <c r="BF38" s="56">
        <v>534.25400000000002</v>
      </c>
      <c r="BG38" s="56">
        <v>529.96600000000001</v>
      </c>
      <c r="BH38" s="56">
        <v>527.649</v>
      </c>
      <c r="BI38" s="56">
        <v>526.16700000000003</v>
      </c>
      <c r="BJ38" s="56">
        <v>525.24400000000003</v>
      </c>
      <c r="BK38" s="56">
        <v>534.69000000000005</v>
      </c>
      <c r="BL38" s="56">
        <v>529.47199999999998</v>
      </c>
      <c r="CD38" s="54">
        <v>2020</v>
      </c>
      <c r="CE38" s="56">
        <v>257.971</v>
      </c>
      <c r="CF38" s="56">
        <v>258.678</v>
      </c>
      <c r="CG38" s="56">
        <v>258.11500000000001</v>
      </c>
      <c r="CH38" s="56">
        <v>256.38900000000001</v>
      </c>
      <c r="CI38" s="56">
        <v>256.39400000000001</v>
      </c>
      <c r="CJ38" s="56">
        <v>257.79700000000003</v>
      </c>
      <c r="CK38" s="56">
        <v>259.101</v>
      </c>
      <c r="CL38" s="56">
        <v>259.91800000000001</v>
      </c>
      <c r="CM38" s="56">
        <v>260.27999999999997</v>
      </c>
      <c r="CN38" s="56">
        <v>260.38799999999998</v>
      </c>
      <c r="CO38" s="56">
        <v>260.22899999999998</v>
      </c>
      <c r="CP38" s="56">
        <v>260.47399999999999</v>
      </c>
      <c r="CQ38" s="56">
        <v>257.55700000000002</v>
      </c>
      <c r="CR38" s="56">
        <v>260.065</v>
      </c>
      <c r="CT38" s="54">
        <v>2021</v>
      </c>
      <c r="CU38" s="56">
        <v>358.733</v>
      </c>
      <c r="CV38" s="56">
        <v>359.52100000000002</v>
      </c>
      <c r="CW38" s="56">
        <v>361.46800000000002</v>
      </c>
      <c r="CX38" s="56">
        <v>361.58499999999998</v>
      </c>
      <c r="CY38" s="56">
        <v>361.28500000000003</v>
      </c>
      <c r="CZ38" s="56">
        <v>361.38400000000001</v>
      </c>
      <c r="DA38" s="56">
        <v>363.25400000000002</v>
      </c>
      <c r="DB38" s="56">
        <v>365.84300000000002</v>
      </c>
      <c r="DC38" s="56">
        <v>366.39400000000001</v>
      </c>
      <c r="DD38" s="56">
        <v>368.59300000000002</v>
      </c>
      <c r="DE38" s="56">
        <v>367.47899999999998</v>
      </c>
      <c r="DF38" s="56">
        <v>366.85399999999998</v>
      </c>
      <c r="DG38" s="56">
        <v>360.66300000000001</v>
      </c>
      <c r="DH38" s="56">
        <v>366.40300000000002</v>
      </c>
      <c r="DJ38" s="54">
        <v>2021</v>
      </c>
      <c r="DK38" s="56">
        <v>346.38099999999997</v>
      </c>
      <c r="DL38" s="56">
        <v>347.60199999999998</v>
      </c>
      <c r="DM38" s="56">
        <v>348.99400000000003</v>
      </c>
      <c r="DN38" s="56">
        <v>349.65100000000001</v>
      </c>
      <c r="DO38" s="56">
        <v>349.541</v>
      </c>
      <c r="DP38" s="56">
        <v>349.25400000000002</v>
      </c>
      <c r="DQ38" s="56">
        <v>351.34500000000003</v>
      </c>
      <c r="DR38" s="56">
        <v>354.94499999999999</v>
      </c>
      <c r="DS38" s="56">
        <v>355.18700000000001</v>
      </c>
      <c r="DT38" s="56">
        <v>357.10500000000002</v>
      </c>
      <c r="DU38" s="56">
        <v>356.09300000000002</v>
      </c>
      <c r="DV38" s="56">
        <v>355.68299999999999</v>
      </c>
      <c r="DW38" s="56">
        <v>348.57100000000003</v>
      </c>
      <c r="DX38" s="56">
        <v>355.06</v>
      </c>
      <c r="DZ38" s="54">
        <v>2020</v>
      </c>
      <c r="EA38" s="56">
        <v>768.84500000000003</v>
      </c>
      <c r="EB38" s="56">
        <v>771.05499999999995</v>
      </c>
      <c r="EC38" s="56">
        <v>772.07299999999998</v>
      </c>
      <c r="ED38" s="56">
        <v>771.40300000000002</v>
      </c>
      <c r="EE38" s="56">
        <v>766.40700000000004</v>
      </c>
      <c r="EF38" s="56">
        <v>768.096</v>
      </c>
      <c r="EG38" s="56">
        <v>770.09400000000005</v>
      </c>
      <c r="EH38" s="56">
        <v>771.76599999999996</v>
      </c>
      <c r="EI38" s="56">
        <v>775.03899999999999</v>
      </c>
      <c r="EJ38" s="56">
        <v>773.63099999999997</v>
      </c>
      <c r="EK38" s="56">
        <v>775.16600000000005</v>
      </c>
      <c r="EL38" s="56">
        <v>775.41700000000003</v>
      </c>
      <c r="EM38" s="56">
        <v>769.64700000000005</v>
      </c>
      <c r="EN38" s="56">
        <v>773.51900000000001</v>
      </c>
    </row>
    <row r="39" spans="2:144" x14ac:dyDescent="0.25">
      <c r="B39" s="54">
        <v>2021</v>
      </c>
      <c r="C39" s="56">
        <v>397.892</v>
      </c>
      <c r="D39" s="56">
        <v>405.89699999999999</v>
      </c>
      <c r="E39" s="56">
        <v>407.048</v>
      </c>
      <c r="F39" s="56">
        <v>405.86900000000003</v>
      </c>
      <c r="G39" s="56">
        <v>405.74400000000003</v>
      </c>
      <c r="H39" s="56">
        <v>406.81200000000001</v>
      </c>
      <c r="I39" s="56">
        <v>408.44499999999999</v>
      </c>
      <c r="J39" s="56">
        <v>408.49</v>
      </c>
      <c r="K39" s="56">
        <v>407.26600000000002</v>
      </c>
      <c r="L39" s="56">
        <v>407.39100000000002</v>
      </c>
      <c r="M39" s="56">
        <v>408.84300000000002</v>
      </c>
      <c r="N39" s="56">
        <v>408.64400000000001</v>
      </c>
      <c r="O39" s="56">
        <v>404.87700000000001</v>
      </c>
      <c r="P39" s="56">
        <v>408.18</v>
      </c>
      <c r="R39" s="33">
        <v>2021</v>
      </c>
      <c r="S39" s="39">
        <v>247.15299999999999</v>
      </c>
      <c r="T39" s="39">
        <v>246.67099999999999</v>
      </c>
      <c r="U39" s="39">
        <v>247.06899999999999</v>
      </c>
      <c r="V39" s="39">
        <v>247.24600000000001</v>
      </c>
      <c r="W39" s="39">
        <v>247.78399999999999</v>
      </c>
      <c r="X39" s="39">
        <v>247.745</v>
      </c>
      <c r="Y39" s="39">
        <v>247.804</v>
      </c>
      <c r="Z39" s="39">
        <v>247.804</v>
      </c>
      <c r="AA39" s="39">
        <v>248.614</v>
      </c>
      <c r="AB39" s="39">
        <v>248.614</v>
      </c>
      <c r="AC39" s="39">
        <v>248.614</v>
      </c>
      <c r="AD39" s="39">
        <v>250.25899999999999</v>
      </c>
      <c r="AE39" s="39">
        <v>247.27799999999999</v>
      </c>
      <c r="AF39" s="39">
        <v>248.61799999999999</v>
      </c>
      <c r="AH39" s="54">
        <v>2021</v>
      </c>
      <c r="AI39" s="56">
        <v>568.77800000000002</v>
      </c>
      <c r="AJ39" s="56">
        <v>572.37800000000004</v>
      </c>
      <c r="AK39" s="56">
        <v>573.00900000000001</v>
      </c>
      <c r="AL39" s="56">
        <v>572.10799999999995</v>
      </c>
      <c r="AM39" s="56">
        <v>571.255</v>
      </c>
      <c r="AN39" s="56">
        <v>570.50900000000001</v>
      </c>
      <c r="AO39" s="56">
        <v>571.93399999999997</v>
      </c>
      <c r="AP39" s="56">
        <v>573.5</v>
      </c>
      <c r="AQ39" s="56">
        <v>572.55899999999997</v>
      </c>
      <c r="AR39" s="56">
        <v>575.49300000000005</v>
      </c>
      <c r="AS39" s="56">
        <v>577.07600000000002</v>
      </c>
      <c r="AT39" s="56">
        <v>578.55499999999995</v>
      </c>
      <c r="AU39" s="56">
        <v>571.34</v>
      </c>
      <c r="AV39" s="56">
        <v>574.85299999999995</v>
      </c>
      <c r="AX39" s="54">
        <v>2021</v>
      </c>
      <c r="AY39" s="56">
        <v>525.43399999999997</v>
      </c>
      <c r="AZ39" s="56">
        <v>521.23099999999999</v>
      </c>
      <c r="BA39" s="56">
        <v>521.375</v>
      </c>
      <c r="BB39" s="56">
        <v>523.87599999999998</v>
      </c>
      <c r="BC39" s="56">
        <v>522.11599999999999</v>
      </c>
      <c r="BD39" s="56">
        <v>519.86099999999999</v>
      </c>
      <c r="BE39" s="56">
        <v>519.95699999999999</v>
      </c>
      <c r="BF39" s="56">
        <v>519.72900000000004</v>
      </c>
      <c r="BG39" s="56">
        <v>521.50599999999997</v>
      </c>
      <c r="BH39" s="56">
        <v>523.86199999999997</v>
      </c>
      <c r="BI39" s="56">
        <v>524.50900000000001</v>
      </c>
      <c r="BJ39" s="56">
        <v>525.25099999999998</v>
      </c>
      <c r="BK39" s="56">
        <v>522.31600000000003</v>
      </c>
      <c r="BL39" s="56">
        <v>522.46900000000005</v>
      </c>
      <c r="CD39" s="54">
        <v>2021</v>
      </c>
      <c r="CE39" s="56">
        <v>261.58199999999999</v>
      </c>
      <c r="CF39" s="56">
        <v>263.01400000000001</v>
      </c>
      <c r="CG39" s="56">
        <v>264.87700000000001</v>
      </c>
      <c r="CH39" s="56">
        <v>267.05399999999997</v>
      </c>
      <c r="CI39" s="56">
        <v>269.19499999999999</v>
      </c>
      <c r="CJ39" s="56">
        <v>271.69600000000003</v>
      </c>
      <c r="CK39" s="56">
        <v>273.00299999999999</v>
      </c>
      <c r="CL39" s="56">
        <v>273.56700000000001</v>
      </c>
      <c r="CM39" s="56">
        <v>274.31</v>
      </c>
      <c r="CN39" s="56">
        <v>276.589</v>
      </c>
      <c r="CO39" s="56">
        <v>277.94799999999998</v>
      </c>
      <c r="CP39" s="56">
        <v>278.80200000000002</v>
      </c>
      <c r="CQ39" s="56">
        <v>266.23599999999999</v>
      </c>
      <c r="CR39" s="56">
        <v>275.70299999999997</v>
      </c>
      <c r="CT39" s="54">
        <v>2022</v>
      </c>
      <c r="CU39" s="56">
        <v>371.64600000000002</v>
      </c>
      <c r="CV39" s="56">
        <v>371.745</v>
      </c>
      <c r="CW39" s="56">
        <v>373.30700000000002</v>
      </c>
      <c r="CX39" s="56">
        <v>374.50099999999998</v>
      </c>
      <c r="CY39" s="56">
        <v>375.27300000000002</v>
      </c>
      <c r="CZ39" s="56">
        <v>375.31799999999998</v>
      </c>
      <c r="DA39" s="56">
        <v>377.41500000000002</v>
      </c>
      <c r="DB39" s="56">
        <v>380.339</v>
      </c>
      <c r="DC39" s="56">
        <v>380.46499999999997</v>
      </c>
      <c r="DD39" s="51"/>
      <c r="DE39" s="56">
        <v>378.209</v>
      </c>
      <c r="DF39" s="56">
        <v>383.15</v>
      </c>
      <c r="DG39" s="56">
        <v>373.63200000000001</v>
      </c>
      <c r="DH39" s="56">
        <v>380.02</v>
      </c>
      <c r="DJ39" s="54">
        <v>2022</v>
      </c>
      <c r="DK39" s="56">
        <v>360.56700000000001</v>
      </c>
      <c r="DL39" s="56">
        <v>360.12299999999999</v>
      </c>
      <c r="DM39" s="56">
        <v>361.31799999999998</v>
      </c>
      <c r="DN39" s="56">
        <v>362.51600000000002</v>
      </c>
      <c r="DO39" s="56">
        <v>363.185</v>
      </c>
      <c r="DP39" s="56">
        <v>362.83300000000003</v>
      </c>
      <c r="DQ39" s="56">
        <v>365.07100000000003</v>
      </c>
      <c r="DR39" s="51"/>
      <c r="DS39" s="56">
        <v>368.92599999999999</v>
      </c>
      <c r="DT39" s="51"/>
      <c r="DU39" s="56">
        <v>366.005</v>
      </c>
      <c r="DV39" s="56">
        <v>370.41699999999997</v>
      </c>
      <c r="DW39" s="56">
        <v>361.75700000000001</v>
      </c>
      <c r="DX39" s="56">
        <v>367.988</v>
      </c>
      <c r="DZ39" s="54">
        <v>2021</v>
      </c>
      <c r="EA39" s="56">
        <v>784.49400000000003</v>
      </c>
      <c r="EB39" s="56">
        <v>784.471</v>
      </c>
      <c r="EC39" s="56">
        <v>789.73299999999995</v>
      </c>
      <c r="ED39" s="56">
        <v>785.95100000000002</v>
      </c>
      <c r="EE39" s="56">
        <v>785.71299999999997</v>
      </c>
      <c r="EF39" s="56">
        <v>788.00699999999995</v>
      </c>
      <c r="EG39" s="56">
        <v>790.19899999999996</v>
      </c>
      <c r="EH39" s="56">
        <v>794.25400000000002</v>
      </c>
      <c r="EI39" s="56">
        <v>795.81299999999999</v>
      </c>
      <c r="EJ39" s="56">
        <v>800.13199999999995</v>
      </c>
      <c r="EK39" s="56">
        <v>795.88199999999995</v>
      </c>
      <c r="EL39" s="56">
        <v>793.98500000000001</v>
      </c>
      <c r="EM39" s="56">
        <v>786.39499999999998</v>
      </c>
      <c r="EN39" s="56">
        <v>795.04399999999998</v>
      </c>
    </row>
    <row r="40" spans="2:144" x14ac:dyDescent="0.25">
      <c r="B40" s="54">
        <v>2022</v>
      </c>
      <c r="C40" s="56">
        <v>408.33499999999998</v>
      </c>
      <c r="D40" s="56">
        <v>407.98399999999998</v>
      </c>
      <c r="E40" s="56">
        <v>409.99799999999999</v>
      </c>
      <c r="F40" s="56">
        <v>410.83</v>
      </c>
      <c r="G40" s="56">
        <v>410.24900000000002</v>
      </c>
      <c r="H40" s="56">
        <v>410.72899999999998</v>
      </c>
      <c r="I40" s="56">
        <v>411.846</v>
      </c>
      <c r="J40" s="56">
        <v>412.82799999999997</v>
      </c>
      <c r="K40" s="56">
        <v>414.767</v>
      </c>
      <c r="L40" s="56">
        <v>414.89699999999999</v>
      </c>
      <c r="M40" s="56">
        <v>415.048</v>
      </c>
      <c r="N40" s="56">
        <v>415.61099999999999</v>
      </c>
      <c r="O40" s="56">
        <v>409.68799999999999</v>
      </c>
      <c r="P40" s="56">
        <v>414.166</v>
      </c>
      <c r="R40" s="33">
        <v>2022</v>
      </c>
      <c r="S40" s="39">
        <v>256.43700000000001</v>
      </c>
      <c r="T40" s="39">
        <v>258.61099999999999</v>
      </c>
      <c r="U40" s="39">
        <v>257.988</v>
      </c>
      <c r="V40" s="39">
        <v>257.303</v>
      </c>
      <c r="W40" s="39">
        <v>259.02600000000001</v>
      </c>
      <c r="X40" s="39">
        <v>259.38400000000001</v>
      </c>
      <c r="Y40" s="39">
        <v>258.62</v>
      </c>
      <c r="Z40" s="39">
        <v>258.81200000000001</v>
      </c>
      <c r="AA40" s="39">
        <v>258.82600000000002</v>
      </c>
      <c r="AB40" s="39">
        <v>258.94</v>
      </c>
      <c r="AC40" s="39">
        <v>257.83600000000001</v>
      </c>
      <c r="AD40" s="39">
        <v>255.471</v>
      </c>
      <c r="AE40" s="39">
        <v>258.125</v>
      </c>
      <c r="AF40" s="39">
        <v>258.084</v>
      </c>
      <c r="AH40" s="54">
        <v>2022</v>
      </c>
      <c r="AI40" s="56">
        <v>584.11099999999999</v>
      </c>
      <c r="AJ40" s="56">
        <v>586.17700000000002</v>
      </c>
      <c r="AK40" s="56">
        <v>589.65200000000004</v>
      </c>
      <c r="AL40" s="56">
        <v>591.94000000000005</v>
      </c>
      <c r="AM40" s="56">
        <v>594.24300000000005</v>
      </c>
      <c r="AN40" s="56">
        <v>598.03499999999997</v>
      </c>
      <c r="AO40" s="56">
        <v>601.05600000000004</v>
      </c>
      <c r="AP40" s="56">
        <v>605.88300000000004</v>
      </c>
      <c r="AQ40" s="56">
        <v>609.85199999999998</v>
      </c>
      <c r="AR40" s="56">
        <v>606.83900000000006</v>
      </c>
      <c r="AS40" s="56">
        <v>602.33299999999997</v>
      </c>
      <c r="AT40" s="56">
        <v>602.39499999999998</v>
      </c>
      <c r="AU40" s="56">
        <v>590.69299999999998</v>
      </c>
      <c r="AV40" s="56">
        <v>604.726</v>
      </c>
      <c r="AX40" s="54">
        <v>2022</v>
      </c>
      <c r="AY40" s="56">
        <v>532.04399999999998</v>
      </c>
      <c r="AZ40" s="56">
        <v>533.59199999999998</v>
      </c>
      <c r="BA40" s="56">
        <v>532.72199999999998</v>
      </c>
      <c r="BB40" s="56">
        <v>532.97500000000002</v>
      </c>
      <c r="BC40" s="56">
        <v>532.19500000000005</v>
      </c>
      <c r="BD40" s="56">
        <v>532.65599999999995</v>
      </c>
      <c r="BE40" s="56">
        <v>534.31200000000001</v>
      </c>
      <c r="BF40" s="56">
        <v>536.21199999999999</v>
      </c>
      <c r="BG40" s="56">
        <v>535.82000000000005</v>
      </c>
      <c r="BH40" s="56">
        <v>535.24800000000005</v>
      </c>
      <c r="BI40" s="56">
        <v>534.42399999999998</v>
      </c>
      <c r="BJ40" s="56">
        <v>534.9</v>
      </c>
      <c r="BK40" s="56">
        <v>532.697</v>
      </c>
      <c r="BL40" s="56">
        <v>535.15300000000002</v>
      </c>
      <c r="CD40" s="54">
        <v>2022</v>
      </c>
      <c r="CE40" s="56">
        <v>281.14800000000002</v>
      </c>
      <c r="CF40" s="56">
        <v>283.71600000000001</v>
      </c>
      <c r="CG40" s="56">
        <v>287.50400000000002</v>
      </c>
      <c r="CH40" s="56">
        <v>289.10899999999998</v>
      </c>
      <c r="CI40" s="56">
        <v>292.29599999999999</v>
      </c>
      <c r="CJ40" s="56">
        <v>296.31099999999998</v>
      </c>
      <c r="CK40" s="56">
        <v>296.27600000000001</v>
      </c>
      <c r="CL40" s="56">
        <v>296.17099999999999</v>
      </c>
      <c r="CM40" s="56">
        <v>296.80799999999999</v>
      </c>
      <c r="CN40" s="56">
        <v>298.012</v>
      </c>
      <c r="CO40" s="56">
        <v>297.71100000000001</v>
      </c>
      <c r="CP40" s="56">
        <v>296.79700000000003</v>
      </c>
      <c r="CQ40" s="56">
        <v>288.34699999999998</v>
      </c>
      <c r="CR40" s="56">
        <v>296.96300000000002</v>
      </c>
      <c r="CT40" s="54">
        <v>2023</v>
      </c>
      <c r="CU40" s="56">
        <v>385.06400000000002</v>
      </c>
      <c r="CV40" s="56">
        <v>384.99599999999998</v>
      </c>
      <c r="CW40" s="56">
        <v>383.42</v>
      </c>
      <c r="CX40" s="56">
        <v>385.35500000000002</v>
      </c>
      <c r="CY40" s="56">
        <v>389.166</v>
      </c>
      <c r="CZ40" s="56">
        <v>390.79300000000001</v>
      </c>
      <c r="DA40" s="56">
        <v>389.06099999999998</v>
      </c>
      <c r="DB40" s="56">
        <v>391.678</v>
      </c>
      <c r="DC40" s="56">
        <v>397.53100000000001</v>
      </c>
      <c r="DD40" s="56">
        <v>401.75200000000001</v>
      </c>
      <c r="DE40" s="56">
        <v>402.22199999999998</v>
      </c>
      <c r="DF40" s="56">
        <v>404.40699999999998</v>
      </c>
      <c r="DG40" s="56">
        <v>386.46600000000001</v>
      </c>
      <c r="DH40" s="56">
        <v>397.77499999999998</v>
      </c>
      <c r="DJ40" s="54">
        <v>2023</v>
      </c>
      <c r="DK40" s="56">
        <v>372.36</v>
      </c>
      <c r="DL40" s="56">
        <v>372.233</v>
      </c>
      <c r="DM40" s="56">
        <v>369.73399999999998</v>
      </c>
      <c r="DN40" s="56">
        <v>371.81099999999998</v>
      </c>
      <c r="DO40" s="56">
        <v>375.702</v>
      </c>
      <c r="DP40" s="56">
        <v>376.23500000000001</v>
      </c>
      <c r="DQ40" s="56">
        <v>374.505</v>
      </c>
      <c r="DR40" s="56">
        <v>377.09100000000001</v>
      </c>
      <c r="DS40" s="56">
        <v>382.91899999999998</v>
      </c>
      <c r="DT40" s="56">
        <v>386.36399999999998</v>
      </c>
      <c r="DU40" s="56">
        <v>386.61399999999998</v>
      </c>
      <c r="DV40" s="56">
        <v>388.54199999999997</v>
      </c>
      <c r="DW40" s="56">
        <v>373.01299999999998</v>
      </c>
      <c r="DX40" s="56">
        <v>382.673</v>
      </c>
      <c r="DZ40" s="54">
        <v>2022</v>
      </c>
      <c r="EA40" s="56">
        <v>803.41300000000001</v>
      </c>
      <c r="EB40" s="56">
        <v>805.13099999999997</v>
      </c>
      <c r="EC40" s="56">
        <v>809.20100000000002</v>
      </c>
      <c r="ED40" s="56">
        <v>811.68600000000004</v>
      </c>
      <c r="EE40" s="56">
        <v>813.56500000000005</v>
      </c>
      <c r="EF40" s="56">
        <v>813.73800000000006</v>
      </c>
      <c r="EG40" s="56">
        <v>817.65700000000004</v>
      </c>
      <c r="EH40" s="56">
        <v>823.09699999999998</v>
      </c>
      <c r="EI40" s="56">
        <v>823.05700000000002</v>
      </c>
      <c r="EJ40" s="51"/>
      <c r="EK40" s="56">
        <v>819.65099999999995</v>
      </c>
      <c r="EL40" s="56">
        <v>830.98699999999997</v>
      </c>
      <c r="EM40" s="56">
        <v>809.45600000000002</v>
      </c>
      <c r="EN40" s="56">
        <v>823.03099999999995</v>
      </c>
    </row>
    <row r="41" spans="2:144" x14ac:dyDescent="0.25">
      <c r="B41" s="54">
        <v>2023</v>
      </c>
      <c r="C41" s="56">
        <v>415.197</v>
      </c>
      <c r="D41" s="56">
        <v>413.03399999999999</v>
      </c>
      <c r="E41" s="56">
        <v>412.11900000000003</v>
      </c>
      <c r="F41" s="56">
        <v>411.95100000000002</v>
      </c>
      <c r="G41" s="56">
        <v>409.88499999999999</v>
      </c>
      <c r="H41" s="56">
        <v>412.81200000000001</v>
      </c>
      <c r="I41" s="56">
        <v>413.43700000000001</v>
      </c>
      <c r="J41" s="56">
        <v>413.87700000000001</v>
      </c>
      <c r="K41" s="56">
        <v>413.96600000000001</v>
      </c>
      <c r="L41" s="56">
        <v>409.755</v>
      </c>
      <c r="M41" s="56">
        <v>412.01100000000002</v>
      </c>
      <c r="N41" s="56">
        <v>412.93</v>
      </c>
      <c r="O41" s="56">
        <v>412.5</v>
      </c>
      <c r="P41" s="56">
        <v>412.66300000000001</v>
      </c>
      <c r="R41" s="33">
        <v>2023</v>
      </c>
      <c r="S41" s="39">
        <v>255.43799999999999</v>
      </c>
      <c r="T41" s="39">
        <v>256.30500000000001</v>
      </c>
      <c r="U41" s="39">
        <v>257.43099999999998</v>
      </c>
      <c r="V41" s="39">
        <v>257.98</v>
      </c>
      <c r="W41" s="39">
        <v>261.04899999999998</v>
      </c>
      <c r="X41" s="39">
        <v>259.43200000000002</v>
      </c>
      <c r="Y41" s="39">
        <v>261.03399999999999</v>
      </c>
      <c r="Z41" s="39">
        <v>258.98899999999998</v>
      </c>
      <c r="AA41" s="39">
        <v>259.20999999999998</v>
      </c>
      <c r="AB41" s="39">
        <v>259.137</v>
      </c>
      <c r="AC41" s="39">
        <v>259.16000000000003</v>
      </c>
      <c r="AD41" s="39">
        <v>259.16000000000003</v>
      </c>
      <c r="AE41" s="39">
        <v>257.93900000000002</v>
      </c>
      <c r="AF41" s="39">
        <v>259.44799999999998</v>
      </c>
      <c r="AH41" s="54">
        <v>2023</v>
      </c>
      <c r="AI41" s="56">
        <v>601.55100000000004</v>
      </c>
      <c r="AJ41" s="56">
        <v>598.77800000000002</v>
      </c>
      <c r="AK41" s="56">
        <v>595.745</v>
      </c>
      <c r="AL41" s="56">
        <v>594.346</v>
      </c>
      <c r="AM41" s="56">
        <v>593.73800000000006</v>
      </c>
      <c r="AN41" s="56">
        <v>593.50300000000004</v>
      </c>
      <c r="AO41" s="56">
        <v>591.83199999999999</v>
      </c>
      <c r="AP41" s="56">
        <v>592.91300000000001</v>
      </c>
      <c r="AQ41" s="56">
        <v>593.77700000000004</v>
      </c>
      <c r="AR41" s="56">
        <v>594.97400000000005</v>
      </c>
      <c r="AS41" s="56">
        <v>597.01599999999996</v>
      </c>
      <c r="AT41" s="56">
        <v>599.46400000000006</v>
      </c>
      <c r="AU41" s="56">
        <v>596.27700000000004</v>
      </c>
      <c r="AV41" s="56">
        <v>594.99599999999998</v>
      </c>
      <c r="AX41" s="54">
        <v>2023</v>
      </c>
      <c r="AY41" s="56">
        <v>546.10699999999997</v>
      </c>
      <c r="AZ41" s="56">
        <v>546.31200000000001</v>
      </c>
      <c r="BA41" s="56">
        <v>547.07799999999997</v>
      </c>
      <c r="BB41" s="56">
        <v>548.51</v>
      </c>
      <c r="BC41" s="56">
        <v>548.92899999999997</v>
      </c>
      <c r="BD41" s="56">
        <v>549.14</v>
      </c>
      <c r="BE41" s="56">
        <v>549.21199999999999</v>
      </c>
      <c r="BF41" s="56">
        <v>551.34400000000005</v>
      </c>
      <c r="BG41" s="56">
        <v>547.57899999999995</v>
      </c>
      <c r="BH41" s="56">
        <v>552.05799999999999</v>
      </c>
      <c r="BI41" s="56">
        <v>554.6</v>
      </c>
      <c r="BJ41" s="56">
        <v>552.625</v>
      </c>
      <c r="BK41" s="56">
        <v>547.67899999999997</v>
      </c>
      <c r="BL41" s="56">
        <v>551.23599999999999</v>
      </c>
      <c r="CD41" s="54">
        <v>2023</v>
      </c>
      <c r="CE41" s="56">
        <v>299.17</v>
      </c>
      <c r="CF41" s="56">
        <v>300.83999999999997</v>
      </c>
      <c r="CG41" s="56">
        <v>301.83600000000001</v>
      </c>
      <c r="CH41" s="56">
        <v>303.363</v>
      </c>
      <c r="CI41" s="56">
        <v>304.12700000000001</v>
      </c>
      <c r="CJ41" s="56">
        <v>305.10899999999998</v>
      </c>
      <c r="CK41" s="56">
        <v>305.69099999999997</v>
      </c>
      <c r="CL41" s="56">
        <v>307.02600000000001</v>
      </c>
      <c r="CM41" s="56">
        <v>307.78899999999999</v>
      </c>
      <c r="CN41" s="56">
        <v>307.67099999999999</v>
      </c>
      <c r="CO41" s="56">
        <v>307.05099999999999</v>
      </c>
      <c r="CP41" s="56">
        <v>306.74599999999998</v>
      </c>
      <c r="CQ41" s="56">
        <v>302.40800000000002</v>
      </c>
      <c r="CR41" s="56">
        <v>306.99599999999998</v>
      </c>
      <c r="CT41" s="54">
        <v>2024</v>
      </c>
      <c r="CU41" s="56">
        <v>410.69499999999999</v>
      </c>
      <c r="CV41" s="56">
        <v>408.34500000000003</v>
      </c>
      <c r="CW41" s="56">
        <v>412.36500000000001</v>
      </c>
      <c r="CX41" s="56">
        <v>415.02499999999998</v>
      </c>
      <c r="CY41" s="56">
        <v>417.16300000000001</v>
      </c>
      <c r="CZ41" s="56">
        <v>417.64800000000002</v>
      </c>
      <c r="DA41" s="56">
        <v>412.92599999999999</v>
      </c>
      <c r="DB41" s="51"/>
      <c r="DC41" s="56">
        <v>415.29300000000001</v>
      </c>
      <c r="DD41" s="56">
        <v>417.49900000000002</v>
      </c>
      <c r="DE41" s="56">
        <v>417.50299999999999</v>
      </c>
      <c r="DF41" s="56">
        <v>418.46699999999998</v>
      </c>
      <c r="DG41" s="56">
        <v>413.54</v>
      </c>
      <c r="DH41" s="56">
        <v>416.05900000000003</v>
      </c>
      <c r="DJ41" s="54">
        <v>2024</v>
      </c>
      <c r="DK41" s="56">
        <v>394.38900000000001</v>
      </c>
      <c r="DL41" s="56">
        <v>392.75700000000001</v>
      </c>
      <c r="DM41" s="56">
        <v>395.19299999999998</v>
      </c>
      <c r="DN41" s="56">
        <v>398.315</v>
      </c>
      <c r="DO41" s="56">
        <v>400.04199999999997</v>
      </c>
      <c r="DP41" s="51"/>
      <c r="DQ41" s="56">
        <v>397.35199999999998</v>
      </c>
      <c r="DR41" s="51"/>
      <c r="DS41" s="56">
        <v>399.64600000000002</v>
      </c>
      <c r="DT41" s="56">
        <v>400.60599999999999</v>
      </c>
      <c r="DU41" s="56">
        <v>399.93</v>
      </c>
      <c r="DV41" s="51"/>
      <c r="DW41" s="56">
        <v>396.911</v>
      </c>
      <c r="DX41" s="56">
        <v>399.56</v>
      </c>
      <c r="DZ41" s="54">
        <v>2023</v>
      </c>
      <c r="EA41" s="56">
        <v>835.09500000000003</v>
      </c>
      <c r="EB41" s="56">
        <v>834.33900000000006</v>
      </c>
      <c r="EC41" s="56">
        <v>842.26099999999997</v>
      </c>
      <c r="ED41" s="56">
        <v>845.66600000000005</v>
      </c>
      <c r="EE41" s="56">
        <v>853.18200000000002</v>
      </c>
      <c r="EF41" s="56">
        <v>860.404</v>
      </c>
      <c r="EG41" s="56">
        <v>857.49</v>
      </c>
      <c r="EH41" s="56">
        <v>863.51400000000001</v>
      </c>
      <c r="EI41" s="56">
        <v>873.65</v>
      </c>
      <c r="EJ41" s="56">
        <v>878.73299999999995</v>
      </c>
      <c r="EK41" s="56">
        <v>879.81200000000001</v>
      </c>
      <c r="EL41" s="56">
        <v>886.62900000000002</v>
      </c>
      <c r="EM41" s="56">
        <v>845.15800000000002</v>
      </c>
      <c r="EN41" s="56">
        <v>873.30499999999995</v>
      </c>
    </row>
    <row r="42" spans="2:144" x14ac:dyDescent="0.25">
      <c r="B42" s="54">
        <v>2024</v>
      </c>
      <c r="C42" s="56">
        <v>415.42700000000002</v>
      </c>
      <c r="D42" s="56">
        <v>414.702</v>
      </c>
      <c r="E42" s="56">
        <v>415.11799999999999</v>
      </c>
      <c r="F42" s="56">
        <v>415.64800000000002</v>
      </c>
      <c r="G42" s="56">
        <v>415.58100000000002</v>
      </c>
      <c r="H42" s="56">
        <v>415.96100000000001</v>
      </c>
      <c r="I42" s="56">
        <v>416.31200000000001</v>
      </c>
      <c r="J42" s="56">
        <v>416.37</v>
      </c>
      <c r="K42" s="56">
        <v>420.17</v>
      </c>
      <c r="L42" s="56">
        <v>422.42500000000001</v>
      </c>
      <c r="M42" s="56">
        <v>423.59100000000001</v>
      </c>
      <c r="N42" s="56">
        <v>423.86</v>
      </c>
      <c r="O42" s="56">
        <v>415.40600000000001</v>
      </c>
      <c r="P42" s="56">
        <v>420.45499999999998</v>
      </c>
      <c r="R42" s="33">
        <v>2024</v>
      </c>
      <c r="S42" s="39">
        <v>260.839</v>
      </c>
      <c r="T42" s="39">
        <v>260.05599999999998</v>
      </c>
      <c r="U42" s="39">
        <v>261.65800000000002</v>
      </c>
      <c r="V42" s="39">
        <v>259.59500000000003</v>
      </c>
      <c r="W42" s="39">
        <v>259.58699999999999</v>
      </c>
      <c r="X42" s="39">
        <v>260.74400000000003</v>
      </c>
      <c r="Y42" s="39">
        <v>261.029</v>
      </c>
      <c r="Z42" s="39">
        <v>260.89800000000002</v>
      </c>
      <c r="AA42" s="39">
        <v>264.92500000000001</v>
      </c>
      <c r="AB42" s="39">
        <v>263.10300000000001</v>
      </c>
      <c r="AC42" s="39">
        <v>263.17099999999999</v>
      </c>
      <c r="AD42" s="39">
        <v>263.87799999999999</v>
      </c>
      <c r="AE42" s="39">
        <v>260.41300000000001</v>
      </c>
      <c r="AF42" s="39">
        <v>262.834</v>
      </c>
      <c r="AH42" s="54">
        <v>2024</v>
      </c>
      <c r="AI42" s="56">
        <v>605.25699999999995</v>
      </c>
      <c r="AJ42" s="56">
        <v>605.16200000000003</v>
      </c>
      <c r="AK42" s="56">
        <v>608.52800000000002</v>
      </c>
      <c r="AL42" s="56">
        <v>610.15099999999995</v>
      </c>
      <c r="AM42" s="56">
        <v>611.904</v>
      </c>
      <c r="AN42" s="56">
        <v>613.03300000000002</v>
      </c>
      <c r="AO42" s="56">
        <v>611.13699999999994</v>
      </c>
      <c r="AP42" s="56">
        <v>611.93499999999995</v>
      </c>
      <c r="AQ42" s="56">
        <v>615.35400000000004</v>
      </c>
      <c r="AR42" s="56">
        <v>617.75300000000004</v>
      </c>
      <c r="AS42" s="56">
        <v>619.11800000000005</v>
      </c>
      <c r="AT42" s="56">
        <v>619.68600000000004</v>
      </c>
      <c r="AU42" s="56">
        <v>609.00599999999997</v>
      </c>
      <c r="AV42" s="56">
        <v>615.83100000000002</v>
      </c>
      <c r="AX42" s="54">
        <v>2024</v>
      </c>
      <c r="AY42" s="56">
        <v>548.245</v>
      </c>
      <c r="AZ42" s="56">
        <v>547.68200000000002</v>
      </c>
      <c r="BA42" s="56">
        <v>549.40499999999997</v>
      </c>
      <c r="BB42" s="56">
        <v>550.678</v>
      </c>
      <c r="BC42" s="56">
        <v>562.16800000000001</v>
      </c>
      <c r="BD42" s="56">
        <v>562.33900000000006</v>
      </c>
      <c r="BE42" s="56">
        <v>563.03499999999997</v>
      </c>
      <c r="BF42" s="56">
        <v>562.17399999999998</v>
      </c>
      <c r="BG42" s="56">
        <v>559.48699999999997</v>
      </c>
      <c r="BH42" s="56">
        <v>560.83600000000001</v>
      </c>
      <c r="BI42" s="56">
        <v>558.49699999999996</v>
      </c>
      <c r="BJ42" s="56">
        <v>558.74400000000003</v>
      </c>
      <c r="BK42" s="56">
        <v>553.41999999999996</v>
      </c>
      <c r="BL42" s="56">
        <v>560.46199999999999</v>
      </c>
      <c r="CD42" s="54">
        <v>2024</v>
      </c>
      <c r="CE42" s="56">
        <v>308.41699999999997</v>
      </c>
      <c r="CF42" s="56">
        <v>310.32600000000002</v>
      </c>
      <c r="CG42" s="56">
        <v>312.33199999999999</v>
      </c>
      <c r="CH42" s="56">
        <v>313.548</v>
      </c>
      <c r="CI42" s="56">
        <v>314.06900000000002</v>
      </c>
      <c r="CJ42" s="56">
        <v>314.17500000000001</v>
      </c>
      <c r="CK42" s="56">
        <v>314.54000000000002</v>
      </c>
      <c r="CL42" s="56">
        <v>314.79599999999999</v>
      </c>
      <c r="CM42" s="56">
        <v>315.30099999999999</v>
      </c>
      <c r="CN42" s="56">
        <v>315.66399999999999</v>
      </c>
      <c r="CO42" s="56">
        <v>315.49299999999999</v>
      </c>
      <c r="CP42" s="56">
        <v>315.60500000000002</v>
      </c>
      <c r="CQ42" s="56">
        <v>312.14499999999998</v>
      </c>
      <c r="CR42" s="56">
        <v>315.233</v>
      </c>
      <c r="CT42" s="54">
        <v>2025</v>
      </c>
      <c r="CU42" s="56">
        <v>422.42899999999997</v>
      </c>
      <c r="CV42" s="56">
        <v>423.005</v>
      </c>
      <c r="CW42" s="56">
        <v>427.68900000000002</v>
      </c>
      <c r="CX42" s="56">
        <v>430.16199999999998</v>
      </c>
      <c r="CY42" s="56">
        <v>432.089</v>
      </c>
      <c r="CZ42" s="56">
        <v>435.03699999999998</v>
      </c>
      <c r="DA42" s="56">
        <v>437.053</v>
      </c>
      <c r="DB42" s="56">
        <v>436.91699999999997</v>
      </c>
      <c r="DC42" s="56">
        <v>438.31</v>
      </c>
      <c r="DD42" s="51" t="s">
        <v>261</v>
      </c>
      <c r="DE42" s="56">
        <v>441.45699999999999</v>
      </c>
      <c r="DF42" s="56">
        <v>446.05599999999998</v>
      </c>
      <c r="DG42" s="56">
        <v>428.40199999999999</v>
      </c>
      <c r="DH42" s="51"/>
      <c r="DJ42" s="54">
        <v>2025</v>
      </c>
      <c r="DK42" s="56">
        <v>405.16500000000002</v>
      </c>
      <c r="DL42" s="56">
        <v>405.85300000000001</v>
      </c>
      <c r="DM42" s="56">
        <v>413.93099999999998</v>
      </c>
      <c r="DN42" s="56">
        <v>415.6</v>
      </c>
      <c r="DO42" s="56">
        <v>415.35599999999999</v>
      </c>
      <c r="DP42" s="51"/>
      <c r="DQ42" s="56">
        <v>418.67</v>
      </c>
      <c r="DR42" s="51"/>
      <c r="DS42" s="56">
        <v>420.29300000000001</v>
      </c>
      <c r="DT42" s="51" t="s">
        <v>261</v>
      </c>
      <c r="DU42" s="51"/>
      <c r="DV42" s="51"/>
      <c r="DW42" s="56">
        <v>412.40100000000001</v>
      </c>
      <c r="DX42" s="51"/>
      <c r="DZ42" s="54">
        <v>2024</v>
      </c>
      <c r="EA42" s="56">
        <v>904.51599999999996</v>
      </c>
      <c r="EB42" s="56">
        <v>900.46600000000001</v>
      </c>
      <c r="EC42" s="56">
        <v>912.15200000000004</v>
      </c>
      <c r="ED42" s="56">
        <v>915.37900000000002</v>
      </c>
      <c r="EE42" s="56">
        <v>920.33500000000004</v>
      </c>
      <c r="EF42" s="56">
        <v>920.71500000000003</v>
      </c>
      <c r="EG42" s="56">
        <v>903.67499999999995</v>
      </c>
      <c r="EH42" s="51"/>
      <c r="EI42" s="56">
        <v>909.52700000000004</v>
      </c>
      <c r="EJ42" s="56">
        <v>916.24300000000005</v>
      </c>
      <c r="EK42" s="56">
        <v>919.298</v>
      </c>
      <c r="EL42" s="56">
        <v>921.928</v>
      </c>
      <c r="EM42" s="56">
        <v>912.26099999999997</v>
      </c>
      <c r="EN42" s="56">
        <v>913.125</v>
      </c>
    </row>
    <row r="43" spans="2:144" x14ac:dyDescent="0.25">
      <c r="B43" s="54">
        <v>2025</v>
      </c>
      <c r="C43" s="56">
        <v>424.125</v>
      </c>
      <c r="D43" s="56">
        <v>425.68400000000003</v>
      </c>
      <c r="E43" s="56">
        <v>427.10199999999998</v>
      </c>
      <c r="F43" s="56">
        <v>428.57400000000001</v>
      </c>
      <c r="G43" s="56">
        <v>427.488</v>
      </c>
      <c r="H43" s="56">
        <v>428.39800000000002</v>
      </c>
      <c r="I43" s="56">
        <v>429.279</v>
      </c>
      <c r="J43" s="56">
        <v>430.75299999999999</v>
      </c>
      <c r="K43" s="56">
        <v>430.24599999999998</v>
      </c>
      <c r="L43" s="51" t="s">
        <v>261</v>
      </c>
      <c r="M43" s="56">
        <v>430.62299999999999</v>
      </c>
      <c r="N43" s="56">
        <v>431.76600000000002</v>
      </c>
      <c r="O43" s="56">
        <v>426.89499999999998</v>
      </c>
      <c r="P43" s="56">
        <v>430.53300000000002</v>
      </c>
      <c r="R43" s="33">
        <v>2025</v>
      </c>
      <c r="S43" s="39">
        <v>264.11200000000002</v>
      </c>
      <c r="T43" s="39">
        <v>264.61700000000002</v>
      </c>
      <c r="U43" s="39">
        <v>264.14299999999997</v>
      </c>
      <c r="V43" s="39">
        <v>265.59800000000001</v>
      </c>
      <c r="W43" s="39">
        <v>265.738</v>
      </c>
      <c r="X43" s="39">
        <v>267.84500000000003</v>
      </c>
      <c r="Y43" s="34"/>
      <c r="Z43" s="34"/>
      <c r="AA43" s="34"/>
      <c r="AB43" s="34"/>
      <c r="AC43" s="34"/>
      <c r="AD43" s="34"/>
      <c r="AE43" s="39">
        <v>265.34199999999998</v>
      </c>
      <c r="AF43" s="34"/>
      <c r="AH43" s="54">
        <v>2025</v>
      </c>
      <c r="AI43" s="56">
        <v>621.66099999999994</v>
      </c>
      <c r="AJ43" s="56">
        <v>623.39200000000005</v>
      </c>
      <c r="AK43" s="56">
        <v>626.88800000000003</v>
      </c>
      <c r="AL43" s="56">
        <v>629.30700000000002</v>
      </c>
      <c r="AM43" s="56">
        <v>630.16200000000003</v>
      </c>
      <c r="AN43" s="56">
        <v>633.65899999999999</v>
      </c>
      <c r="AO43" s="56">
        <v>637.42499999999995</v>
      </c>
      <c r="AP43" s="56">
        <v>637.81700000000001</v>
      </c>
      <c r="AQ43" s="56">
        <v>639.21500000000003</v>
      </c>
      <c r="AR43" s="51" t="s">
        <v>261</v>
      </c>
      <c r="AS43" s="56">
        <v>639.45500000000004</v>
      </c>
      <c r="AT43" s="56">
        <v>641.56600000000003</v>
      </c>
      <c r="AU43" s="56">
        <v>627.51199999999994</v>
      </c>
      <c r="AV43" s="56">
        <v>639.096</v>
      </c>
      <c r="AX43" s="54">
        <v>2025</v>
      </c>
      <c r="AY43" s="56">
        <v>572.65499999999997</v>
      </c>
      <c r="AZ43" s="56">
        <v>572.74800000000005</v>
      </c>
      <c r="BA43" s="56">
        <v>561.202</v>
      </c>
      <c r="BB43" s="56">
        <v>563.25300000000004</v>
      </c>
      <c r="BC43" s="56">
        <v>566.71600000000001</v>
      </c>
      <c r="BD43" s="56">
        <v>569.09799999999996</v>
      </c>
      <c r="BE43" s="56">
        <v>567.97500000000002</v>
      </c>
      <c r="BF43" s="56">
        <v>567.11699999999996</v>
      </c>
      <c r="BG43" s="56">
        <v>569.04600000000005</v>
      </c>
      <c r="BH43" s="51" t="s">
        <v>261</v>
      </c>
      <c r="BI43" s="56">
        <v>568.88499999999999</v>
      </c>
      <c r="BJ43" s="56">
        <v>569.65599999999995</v>
      </c>
      <c r="BK43" s="56">
        <v>567.61199999999997</v>
      </c>
      <c r="BL43" s="56">
        <v>568.53599999999994</v>
      </c>
      <c r="CD43" s="54">
        <v>2025</v>
      </c>
      <c r="CE43" s="56">
        <v>317.67099999999999</v>
      </c>
      <c r="CF43" s="56">
        <v>319.08199999999999</v>
      </c>
      <c r="CG43" s="56">
        <v>319.79899999999998</v>
      </c>
      <c r="CH43" s="56">
        <v>320.79500000000002</v>
      </c>
      <c r="CI43" s="56">
        <v>321.46499999999997</v>
      </c>
      <c r="CJ43" s="56">
        <v>322.56099999999998</v>
      </c>
      <c r="CK43" s="56">
        <v>323.048</v>
      </c>
      <c r="CL43" s="56">
        <v>323.976</v>
      </c>
      <c r="CM43" s="56">
        <v>324.8</v>
      </c>
      <c r="CN43" s="51" t="s">
        <v>261</v>
      </c>
      <c r="CO43" s="56">
        <v>324.12200000000001</v>
      </c>
      <c r="CP43" s="56">
        <v>324.05399999999997</v>
      </c>
      <c r="CQ43" s="56">
        <v>320.22899999999998</v>
      </c>
      <c r="CR43" s="56">
        <v>324</v>
      </c>
      <c r="DZ43" s="54">
        <v>2025</v>
      </c>
      <c r="EA43" s="56">
        <v>928.42700000000002</v>
      </c>
      <c r="EB43" s="56">
        <v>929.10500000000002</v>
      </c>
      <c r="EC43" s="56">
        <v>935.8</v>
      </c>
      <c r="ED43" s="56">
        <v>942.11099999999999</v>
      </c>
      <c r="EE43" s="56">
        <v>950.01300000000003</v>
      </c>
      <c r="EF43" s="56">
        <v>955.51199999999994</v>
      </c>
      <c r="EG43" s="56">
        <v>961.59199999999998</v>
      </c>
      <c r="EH43" s="56">
        <v>965.31500000000005</v>
      </c>
      <c r="EI43" s="56">
        <v>965.55399999999997</v>
      </c>
      <c r="EJ43" s="51" t="s">
        <v>261</v>
      </c>
      <c r="EK43" s="56">
        <v>973.56600000000003</v>
      </c>
      <c r="EL43" s="56">
        <v>982.17</v>
      </c>
      <c r="EM43" s="56">
        <v>940.16099999999994</v>
      </c>
      <c r="EN43" s="51"/>
    </row>
    <row r="45" spans="2:144" x14ac:dyDescent="0.25">
      <c r="R45" s="61" t="s">
        <v>223</v>
      </c>
      <c r="S45" s="60"/>
      <c r="T45" s="60"/>
      <c r="U45" s="60"/>
      <c r="V45" s="60"/>
      <c r="W45" s="60"/>
      <c r="X45" s="51"/>
      <c r="Y45" s="51"/>
      <c r="Z45" s="51"/>
      <c r="AA45" s="51"/>
      <c r="AB45" s="51"/>
      <c r="AC45" s="51"/>
      <c r="AD45" s="51"/>
      <c r="AE45" s="51"/>
      <c r="AF45" s="51"/>
    </row>
    <row r="46" spans="2:144" x14ac:dyDescent="0.25">
      <c r="R46" s="61" t="s">
        <v>224</v>
      </c>
      <c r="S46" s="60"/>
      <c r="T46" s="60"/>
      <c r="U46" s="60"/>
      <c r="V46" s="60"/>
      <c r="W46" s="60"/>
      <c r="X46" s="51"/>
      <c r="Y46" s="51"/>
      <c r="Z46" s="51"/>
      <c r="AA46" s="51"/>
      <c r="AB46" s="51"/>
      <c r="AC46" s="51"/>
      <c r="AD46" s="51"/>
      <c r="AE46" s="51"/>
      <c r="AF46" s="51"/>
    </row>
    <row r="47" spans="2:144" ht="25.5" customHeight="1" x14ac:dyDescent="0.25">
      <c r="R47" s="60"/>
      <c r="S47" s="60"/>
      <c r="T47" s="60"/>
      <c r="U47" s="60"/>
      <c r="V47" s="60"/>
      <c r="W47" s="60"/>
      <c r="X47" s="51"/>
      <c r="Y47" s="51"/>
      <c r="Z47" s="51"/>
      <c r="AA47" s="51"/>
      <c r="AB47" s="51"/>
      <c r="AC47" s="51"/>
      <c r="AD47" s="51"/>
      <c r="AE47" s="51"/>
      <c r="AF47" s="51"/>
    </row>
    <row r="48" spans="2:144" ht="25.5" customHeight="1" x14ac:dyDescent="0.25">
      <c r="R48" s="52" t="s">
        <v>146</v>
      </c>
      <c r="S48" s="62" t="s">
        <v>225</v>
      </c>
      <c r="T48" s="60"/>
      <c r="U48" s="60"/>
      <c r="V48" s="60"/>
      <c r="W48" s="60"/>
      <c r="X48" s="51"/>
      <c r="Y48" s="51"/>
      <c r="Z48" s="51"/>
      <c r="AA48" s="51"/>
      <c r="AB48" s="51"/>
      <c r="AC48" s="51"/>
      <c r="AD48" s="51"/>
      <c r="AE48" s="51"/>
      <c r="AF48" s="51"/>
    </row>
    <row r="49" spans="18:32" ht="25.5" customHeight="1" x14ac:dyDescent="0.25">
      <c r="R49" s="63" t="s">
        <v>31</v>
      </c>
      <c r="S49" s="60"/>
      <c r="T49" s="60"/>
      <c r="U49" s="60"/>
      <c r="V49" s="60"/>
      <c r="W49" s="60"/>
      <c r="X49" s="51"/>
      <c r="Y49" s="51"/>
      <c r="Z49" s="51"/>
      <c r="AA49" s="51"/>
      <c r="AB49" s="51"/>
      <c r="AC49" s="51"/>
      <c r="AD49" s="51"/>
      <c r="AE49" s="51"/>
      <c r="AF49" s="51"/>
    </row>
    <row r="50" spans="18:32" ht="25.5" x14ac:dyDescent="0.25">
      <c r="R50" s="52" t="s">
        <v>32</v>
      </c>
      <c r="S50" s="62" t="s">
        <v>226</v>
      </c>
      <c r="T50" s="60"/>
      <c r="U50" s="60"/>
      <c r="V50" s="60"/>
      <c r="W50" s="60"/>
      <c r="X50" s="51"/>
      <c r="Y50" s="51"/>
      <c r="Z50" s="51"/>
      <c r="AA50" s="51"/>
      <c r="AB50" s="51"/>
      <c r="AC50" s="51"/>
      <c r="AD50" s="51"/>
      <c r="AE50" s="51"/>
      <c r="AF50" s="51"/>
    </row>
    <row r="51" spans="18:32" ht="15.75" customHeight="1" x14ac:dyDescent="0.25">
      <c r="R51" s="52" t="s">
        <v>33</v>
      </c>
      <c r="S51" s="62" t="s">
        <v>34</v>
      </c>
      <c r="T51" s="60"/>
      <c r="U51" s="60"/>
      <c r="V51" s="60"/>
      <c r="W51" s="60"/>
      <c r="X51" s="51"/>
      <c r="Y51" s="51"/>
      <c r="Z51" s="51"/>
      <c r="AA51" s="51"/>
      <c r="AB51" s="51"/>
      <c r="AC51" s="51"/>
      <c r="AD51" s="51"/>
      <c r="AE51" s="51"/>
      <c r="AF51" s="51"/>
    </row>
    <row r="52" spans="18:32" ht="25.5" customHeight="1" x14ac:dyDescent="0.25">
      <c r="R52" s="52" t="s">
        <v>35</v>
      </c>
      <c r="S52" s="62" t="s">
        <v>227</v>
      </c>
      <c r="T52" s="60"/>
      <c r="U52" s="60"/>
      <c r="V52" s="60"/>
      <c r="W52" s="60"/>
      <c r="X52" s="51"/>
      <c r="Y52" s="51"/>
      <c r="Z52" s="51"/>
      <c r="AA52" s="51"/>
      <c r="AB52" s="51"/>
      <c r="AC52" s="51"/>
      <c r="AD52" s="57"/>
      <c r="AE52" s="51"/>
      <c r="AF52" s="51"/>
    </row>
    <row r="53" spans="18:32" ht="25.5" x14ac:dyDescent="0.25">
      <c r="R53" s="52" t="s">
        <v>36</v>
      </c>
      <c r="S53" s="62" t="s">
        <v>228</v>
      </c>
      <c r="T53" s="60"/>
      <c r="U53" s="60"/>
      <c r="V53" s="60"/>
      <c r="W53" s="60"/>
      <c r="X53" s="51"/>
      <c r="Y53" s="51"/>
      <c r="Z53" s="51"/>
      <c r="AA53" s="51"/>
      <c r="AB53" s="51"/>
      <c r="AC53" s="51"/>
      <c r="AD53" s="51"/>
      <c r="AE53" s="51"/>
      <c r="AF53" s="51"/>
    </row>
    <row r="54" spans="18:32" x14ac:dyDescent="0.25">
      <c r="R54" s="52" t="s">
        <v>229</v>
      </c>
      <c r="S54" s="59" t="s">
        <v>230</v>
      </c>
      <c r="T54" s="60"/>
      <c r="U54" s="60"/>
      <c r="V54" s="60"/>
      <c r="W54" s="60"/>
      <c r="X54" s="51"/>
      <c r="Y54" s="51"/>
      <c r="Z54" s="51"/>
      <c r="AA54" s="51"/>
      <c r="AB54" s="51"/>
      <c r="AC54" s="51"/>
      <c r="AD54" s="51"/>
      <c r="AE54" s="51"/>
      <c r="AF54" s="51"/>
    </row>
    <row r="56" spans="18:32" ht="16.5" thickBot="1" x14ac:dyDescent="0.3">
      <c r="R56" s="53" t="s">
        <v>2</v>
      </c>
      <c r="S56" s="53" t="s">
        <v>37</v>
      </c>
      <c r="T56" s="53" t="s">
        <v>38</v>
      </c>
      <c r="U56" s="53" t="s">
        <v>39</v>
      </c>
      <c r="V56" s="53" t="s">
        <v>40</v>
      </c>
      <c r="W56" s="53" t="s">
        <v>41</v>
      </c>
      <c r="X56" s="53" t="s">
        <v>42</v>
      </c>
      <c r="Y56" s="53" t="s">
        <v>43</v>
      </c>
      <c r="Z56" s="53" t="s">
        <v>44</v>
      </c>
      <c r="AA56" s="53" t="s">
        <v>45</v>
      </c>
      <c r="AB56" s="53" t="s">
        <v>46</v>
      </c>
      <c r="AC56" s="53" t="s">
        <v>47</v>
      </c>
      <c r="AD56" s="53" t="s">
        <v>48</v>
      </c>
      <c r="AE56" s="53" t="s">
        <v>49</v>
      </c>
      <c r="AF56" s="53" t="s">
        <v>50</v>
      </c>
    </row>
    <row r="57" spans="18:32" ht="16.5" thickTop="1" x14ac:dyDescent="0.25">
      <c r="R57" s="54">
        <v>1995</v>
      </c>
      <c r="S57" s="55">
        <v>143.6</v>
      </c>
      <c r="T57" s="55">
        <v>144</v>
      </c>
      <c r="U57" s="55">
        <v>144</v>
      </c>
      <c r="V57" s="55">
        <v>144.6</v>
      </c>
      <c r="W57" s="55">
        <v>144.69999999999999</v>
      </c>
      <c r="X57" s="55">
        <v>144.69999999999999</v>
      </c>
      <c r="Y57" s="55">
        <v>142.9</v>
      </c>
      <c r="Z57" s="55">
        <v>143.5</v>
      </c>
      <c r="AA57" s="55">
        <v>143.4</v>
      </c>
      <c r="AB57" s="55">
        <v>143.6</v>
      </c>
      <c r="AC57" s="55">
        <v>143.69999999999999</v>
      </c>
      <c r="AD57" s="55">
        <v>144.1</v>
      </c>
      <c r="AE57" s="51"/>
      <c r="AF57" s="51"/>
    </row>
    <row r="58" spans="18:32" x14ac:dyDescent="0.25">
      <c r="R58" s="54">
        <v>1996</v>
      </c>
      <c r="S58" s="55">
        <v>144.69999999999999</v>
      </c>
      <c r="T58" s="55">
        <v>145.19999999999999</v>
      </c>
      <c r="U58" s="55">
        <v>145.5</v>
      </c>
      <c r="V58" s="55">
        <v>145.80000000000001</v>
      </c>
      <c r="W58" s="55">
        <v>146.4</v>
      </c>
      <c r="X58" s="55">
        <v>146.69999999999999</v>
      </c>
      <c r="Y58" s="55">
        <v>146.6</v>
      </c>
      <c r="Z58" s="55">
        <v>146.69999999999999</v>
      </c>
      <c r="AA58" s="55">
        <v>146.9</v>
      </c>
      <c r="AB58" s="55">
        <v>147.4</v>
      </c>
      <c r="AC58" s="55">
        <v>148.30000000000001</v>
      </c>
      <c r="AD58" s="55">
        <v>148.4</v>
      </c>
      <c r="AE58" s="51"/>
      <c r="AF58" s="51"/>
    </row>
    <row r="59" spans="18:32" x14ac:dyDescent="0.25">
      <c r="R59" s="54">
        <v>1997</v>
      </c>
      <c r="S59" s="55">
        <v>149.1</v>
      </c>
      <c r="T59" s="55">
        <v>150.6</v>
      </c>
      <c r="U59" s="55">
        <v>151.19999999999999</v>
      </c>
      <c r="V59" s="55">
        <v>151.9</v>
      </c>
      <c r="W59" s="55">
        <v>152.1</v>
      </c>
      <c r="X59" s="55">
        <v>152.1</v>
      </c>
      <c r="Y59" s="55">
        <v>152.1</v>
      </c>
      <c r="Z59" s="55">
        <v>152.5</v>
      </c>
      <c r="AA59" s="55">
        <v>152.30000000000001</v>
      </c>
      <c r="AB59" s="55">
        <v>152.19999999999999</v>
      </c>
      <c r="AC59" s="55">
        <v>153</v>
      </c>
      <c r="AD59" s="55">
        <v>153</v>
      </c>
      <c r="AE59" s="51"/>
      <c r="AF59" s="51"/>
    </row>
    <row r="60" spans="18:32" x14ac:dyDescent="0.25">
      <c r="R60" s="54">
        <v>1998</v>
      </c>
      <c r="S60" s="55">
        <v>154.1</v>
      </c>
      <c r="T60" s="55">
        <v>154.4</v>
      </c>
      <c r="U60" s="55">
        <v>155</v>
      </c>
      <c r="V60" s="55">
        <v>155.5</v>
      </c>
      <c r="W60" s="55">
        <v>155.80000000000001</v>
      </c>
      <c r="X60" s="55">
        <v>155.80000000000001</v>
      </c>
      <c r="Y60" s="55">
        <v>155.4</v>
      </c>
      <c r="Z60" s="55">
        <v>154.9</v>
      </c>
      <c r="AA60" s="55">
        <v>155.1</v>
      </c>
      <c r="AB60" s="55">
        <v>155.5</v>
      </c>
      <c r="AC60" s="55">
        <v>156.4</v>
      </c>
      <c r="AD60" s="55">
        <v>156.69999999999999</v>
      </c>
      <c r="AE60" s="51"/>
      <c r="AF60" s="51"/>
    </row>
    <row r="61" spans="18:32" x14ac:dyDescent="0.25">
      <c r="R61" s="54">
        <v>1999</v>
      </c>
      <c r="S61" s="55">
        <v>158</v>
      </c>
      <c r="T61" s="55">
        <v>158.30000000000001</v>
      </c>
      <c r="U61" s="55">
        <v>158.4</v>
      </c>
      <c r="V61" s="55">
        <v>158.4</v>
      </c>
      <c r="W61" s="55">
        <v>158.6</v>
      </c>
      <c r="X61" s="55">
        <v>158.5</v>
      </c>
      <c r="Y61" s="55">
        <v>158.5</v>
      </c>
      <c r="Z61" s="55">
        <v>158.6</v>
      </c>
      <c r="AA61" s="55">
        <v>158.9</v>
      </c>
      <c r="AB61" s="55">
        <v>159.4</v>
      </c>
      <c r="AC61" s="55">
        <v>159.5</v>
      </c>
      <c r="AD61" s="55">
        <v>159.30000000000001</v>
      </c>
    </row>
    <row r="62" spans="18:32" x14ac:dyDescent="0.25">
      <c r="R62" s="54">
        <v>2000</v>
      </c>
      <c r="S62" s="55">
        <v>159.80000000000001</v>
      </c>
      <c r="T62" s="55">
        <v>160.4</v>
      </c>
      <c r="U62" s="55">
        <v>160.6</v>
      </c>
      <c r="V62" s="55">
        <v>160.69999999999999</v>
      </c>
      <c r="W62" s="55">
        <v>161.4</v>
      </c>
      <c r="X62" s="55">
        <v>162.1</v>
      </c>
      <c r="Y62" s="55">
        <v>162.30000000000001</v>
      </c>
      <c r="Z62" s="55">
        <v>162.9</v>
      </c>
      <c r="AA62" s="55">
        <v>163</v>
      </c>
      <c r="AB62" s="55">
        <v>162.9</v>
      </c>
      <c r="AC62" s="55">
        <v>163.19999999999999</v>
      </c>
      <c r="AD62" s="55">
        <v>163.4</v>
      </c>
    </row>
    <row r="63" spans="18:32" x14ac:dyDescent="0.25">
      <c r="R63" s="54">
        <v>2001</v>
      </c>
      <c r="S63" s="55">
        <v>164.2</v>
      </c>
      <c r="T63" s="55">
        <v>165.7</v>
      </c>
      <c r="U63" s="55">
        <v>166.2</v>
      </c>
      <c r="V63" s="55">
        <v>166.5</v>
      </c>
      <c r="W63" s="55">
        <v>166.8</v>
      </c>
      <c r="X63" s="55">
        <v>167.4</v>
      </c>
      <c r="Y63" s="55">
        <v>167.5</v>
      </c>
      <c r="Z63" s="55">
        <v>168.5</v>
      </c>
      <c r="AA63" s="55">
        <v>168.6</v>
      </c>
      <c r="AB63" s="55">
        <v>168.5</v>
      </c>
      <c r="AC63" s="55">
        <v>168.9</v>
      </c>
      <c r="AD63" s="55">
        <v>169</v>
      </c>
    </row>
    <row r="64" spans="18:32" x14ac:dyDescent="0.25">
      <c r="R64" s="54">
        <v>2002</v>
      </c>
      <c r="S64" s="55">
        <v>169.7</v>
      </c>
      <c r="T64" s="55">
        <v>170.2</v>
      </c>
      <c r="U64" s="55">
        <v>170.3</v>
      </c>
      <c r="V64" s="55">
        <v>171.6</v>
      </c>
      <c r="W64" s="55">
        <v>171.4</v>
      </c>
      <c r="X64" s="55">
        <v>171.3</v>
      </c>
      <c r="Y64" s="55">
        <v>171.3</v>
      </c>
      <c r="Z64" s="55">
        <v>171.6</v>
      </c>
      <c r="AA64" s="55">
        <v>171.7</v>
      </c>
      <c r="AB64" s="55">
        <v>173.6</v>
      </c>
      <c r="AC64" s="55">
        <v>174.2</v>
      </c>
      <c r="AD64" s="55">
        <v>175.1</v>
      </c>
    </row>
    <row r="65" spans="18:32" x14ac:dyDescent="0.25">
      <c r="R65" s="54">
        <v>2003</v>
      </c>
      <c r="S65" s="55">
        <v>175.6</v>
      </c>
      <c r="T65" s="55">
        <v>176</v>
      </c>
      <c r="U65" s="55">
        <v>175.8</v>
      </c>
      <c r="V65" s="55">
        <v>176.2</v>
      </c>
      <c r="W65" s="55">
        <v>176.3</v>
      </c>
      <c r="X65" s="55">
        <v>176.6</v>
      </c>
      <c r="Y65" s="55">
        <v>176.8</v>
      </c>
      <c r="Z65" s="55">
        <v>177.3</v>
      </c>
      <c r="AA65" s="55">
        <v>177.8</v>
      </c>
      <c r="AB65" s="55">
        <v>178.6</v>
      </c>
      <c r="AC65" s="55">
        <v>178.5</v>
      </c>
      <c r="AD65" s="55">
        <v>179.2</v>
      </c>
    </row>
    <row r="66" spans="18:32" x14ac:dyDescent="0.25">
      <c r="R66" s="54">
        <v>2004</v>
      </c>
      <c r="S66" s="55">
        <v>179.5</v>
      </c>
      <c r="T66" s="55">
        <v>179.2</v>
      </c>
      <c r="U66" s="55">
        <v>180.3</v>
      </c>
      <c r="V66" s="55">
        <v>181.4</v>
      </c>
      <c r="W66" s="55">
        <v>181.8</v>
      </c>
      <c r="X66" s="55">
        <v>182.1</v>
      </c>
      <c r="Y66" s="55">
        <v>182.1</v>
      </c>
      <c r="Z66" s="55">
        <v>182.9</v>
      </c>
      <c r="AA66" s="55">
        <v>183.1</v>
      </c>
      <c r="AB66" s="55">
        <v>183.3</v>
      </c>
      <c r="AC66" s="55">
        <v>183.3</v>
      </c>
      <c r="AD66" s="55">
        <v>183.7</v>
      </c>
    </row>
    <row r="67" spans="18:32" x14ac:dyDescent="0.25">
      <c r="R67" s="54">
        <v>2005</v>
      </c>
      <c r="S67" s="55">
        <v>184.3</v>
      </c>
      <c r="T67" s="55">
        <v>186</v>
      </c>
      <c r="U67" s="55">
        <v>186.1</v>
      </c>
      <c r="V67" s="55">
        <v>186.2</v>
      </c>
      <c r="W67" s="55">
        <v>186.7</v>
      </c>
      <c r="X67" s="55">
        <v>186.7</v>
      </c>
      <c r="Y67" s="55">
        <v>186.9</v>
      </c>
      <c r="Z67" s="55">
        <v>187</v>
      </c>
      <c r="AA67" s="55">
        <v>187.2</v>
      </c>
      <c r="AB67" s="55">
        <v>188</v>
      </c>
      <c r="AC67" s="55">
        <v>188.2</v>
      </c>
      <c r="AD67" s="55">
        <v>188.3</v>
      </c>
    </row>
    <row r="68" spans="18:32" x14ac:dyDescent="0.25">
      <c r="R68" s="54">
        <v>2006</v>
      </c>
      <c r="S68" s="55">
        <v>188.1</v>
      </c>
      <c r="T68" s="55">
        <v>190.4</v>
      </c>
      <c r="U68" s="55">
        <v>191.1</v>
      </c>
      <c r="V68" s="55">
        <v>191.2</v>
      </c>
      <c r="W68" s="55">
        <v>191.4</v>
      </c>
      <c r="X68" s="55">
        <v>191.4</v>
      </c>
      <c r="Y68" s="55">
        <v>192.3</v>
      </c>
      <c r="Z68" s="55">
        <v>193.3</v>
      </c>
      <c r="AA68" s="55">
        <v>194.2</v>
      </c>
      <c r="AB68" s="55">
        <v>194.2</v>
      </c>
      <c r="AC68" s="55">
        <v>194.1</v>
      </c>
      <c r="AD68" s="55">
        <v>194.2</v>
      </c>
    </row>
    <row r="69" spans="18:32" x14ac:dyDescent="0.25">
      <c r="R69" s="54">
        <v>2007</v>
      </c>
      <c r="S69" s="56">
        <v>195.01300000000001</v>
      </c>
      <c r="T69" s="56">
        <v>195.667</v>
      </c>
      <c r="U69" s="56">
        <v>196.56100000000001</v>
      </c>
      <c r="V69" s="56">
        <v>196.74100000000001</v>
      </c>
      <c r="W69" s="56">
        <v>196.96</v>
      </c>
      <c r="X69" s="56">
        <v>197.12700000000001</v>
      </c>
      <c r="Y69" s="56">
        <v>197.38800000000001</v>
      </c>
      <c r="Z69" s="56">
        <v>197.613</v>
      </c>
      <c r="AA69" s="56">
        <v>197.702</v>
      </c>
      <c r="AB69" s="56">
        <v>198.43199999999999</v>
      </c>
      <c r="AC69" s="56">
        <v>199.45400000000001</v>
      </c>
      <c r="AD69" s="56">
        <v>200.31200000000001</v>
      </c>
    </row>
    <row r="70" spans="18:32" x14ac:dyDescent="0.25">
      <c r="R70" s="54">
        <v>2008</v>
      </c>
      <c r="S70" s="56">
        <v>200.94399999999999</v>
      </c>
      <c r="T70" s="56">
        <v>202.63399999999999</v>
      </c>
      <c r="U70" s="56">
        <v>202.67</v>
      </c>
      <c r="V70" s="56">
        <v>203.50700000000001</v>
      </c>
      <c r="W70" s="56">
        <v>204.70599999999999</v>
      </c>
      <c r="X70" s="56">
        <v>205.904</v>
      </c>
      <c r="Y70" s="56">
        <v>207.626</v>
      </c>
      <c r="Z70" s="56">
        <v>207.17099999999999</v>
      </c>
      <c r="AA70" s="56">
        <v>207.25899999999999</v>
      </c>
      <c r="AB70" s="56">
        <v>207.78800000000001</v>
      </c>
      <c r="AC70" s="56">
        <v>207.851</v>
      </c>
      <c r="AD70" s="56">
        <v>207.85</v>
      </c>
    </row>
    <row r="71" spans="18:32" x14ac:dyDescent="0.25">
      <c r="R71" s="54">
        <v>2009</v>
      </c>
      <c r="S71" s="56">
        <v>208.59</v>
      </c>
      <c r="T71" s="56">
        <v>208.75200000000001</v>
      </c>
      <c r="U71" s="56">
        <v>208.941</v>
      </c>
      <c r="V71" s="56">
        <v>209.08099999999999</v>
      </c>
      <c r="W71" s="56">
        <v>209.02099999999999</v>
      </c>
      <c r="X71" s="56">
        <v>209.62799999999999</v>
      </c>
      <c r="Y71" s="56">
        <v>209.727</v>
      </c>
      <c r="Z71" s="56">
        <v>209.87</v>
      </c>
      <c r="AA71" s="56">
        <v>209.86600000000001</v>
      </c>
      <c r="AB71" s="56">
        <v>210.67599999999999</v>
      </c>
      <c r="AC71" s="56">
        <v>211.66800000000001</v>
      </c>
      <c r="AD71" s="56">
        <v>211.524</v>
      </c>
    </row>
    <row r="72" spans="18:32" x14ac:dyDescent="0.25">
      <c r="R72" s="54">
        <v>2010</v>
      </c>
      <c r="S72" s="56">
        <v>212.02699999999999</v>
      </c>
      <c r="T72" s="56">
        <v>213.566</v>
      </c>
      <c r="U72" s="56">
        <v>214.10900000000001</v>
      </c>
      <c r="V72" s="56">
        <v>214.203</v>
      </c>
      <c r="W72" s="56">
        <v>213.703</v>
      </c>
      <c r="X72" s="56">
        <v>213.88</v>
      </c>
      <c r="Y72" s="56">
        <v>214.315</v>
      </c>
      <c r="Z72" s="56">
        <v>215.023</v>
      </c>
      <c r="AA72" s="56">
        <v>215.36500000000001</v>
      </c>
      <c r="AB72" s="56">
        <v>215.32599999999999</v>
      </c>
      <c r="AC72" s="56">
        <v>215.49600000000001</v>
      </c>
      <c r="AD72" s="56">
        <v>215.42699999999999</v>
      </c>
    </row>
    <row r="73" spans="18:32" x14ac:dyDescent="0.25">
      <c r="R73" s="54">
        <v>2011</v>
      </c>
      <c r="S73" s="56">
        <v>216.45</v>
      </c>
      <c r="T73" s="56">
        <v>217.57400000000001</v>
      </c>
      <c r="U73" s="56">
        <v>216.964</v>
      </c>
      <c r="V73" s="56">
        <v>217.22900000000001</v>
      </c>
      <c r="W73" s="56">
        <v>217.35900000000001</v>
      </c>
      <c r="X73" s="56">
        <v>217.702</v>
      </c>
      <c r="Y73" s="56">
        <v>217.934</v>
      </c>
      <c r="Z73" s="56">
        <v>217.303</v>
      </c>
      <c r="AA73" s="56">
        <v>217.184</v>
      </c>
      <c r="AB73" s="56">
        <v>217.49100000000001</v>
      </c>
      <c r="AC73" s="56">
        <v>217.809</v>
      </c>
      <c r="AD73" s="56">
        <v>218.22300000000001</v>
      </c>
    </row>
    <row r="74" spans="18:32" x14ac:dyDescent="0.25">
      <c r="R74" s="54">
        <v>2012</v>
      </c>
      <c r="S74" s="56">
        <v>218.44399999999999</v>
      </c>
      <c r="T74" s="56">
        <v>219.023</v>
      </c>
      <c r="U74" s="56">
        <v>219.28700000000001</v>
      </c>
      <c r="V74" s="56">
        <v>219.29499999999999</v>
      </c>
      <c r="W74" s="56">
        <v>219.65299999999999</v>
      </c>
      <c r="X74" s="56">
        <v>219.523</v>
      </c>
      <c r="Y74" s="56">
        <v>219.61699999999999</v>
      </c>
      <c r="Z74" s="56">
        <v>220.20599999999999</v>
      </c>
      <c r="AA74" s="56">
        <v>220.03</v>
      </c>
      <c r="AB74" s="56">
        <v>220.17099999999999</v>
      </c>
      <c r="AC74" s="56">
        <v>220.02199999999999</v>
      </c>
      <c r="AD74" s="56">
        <v>220.029</v>
      </c>
    </row>
    <row r="75" spans="18:32" x14ac:dyDescent="0.25">
      <c r="R75" s="54">
        <v>2013</v>
      </c>
      <c r="S75" s="56">
        <v>221.35400000000001</v>
      </c>
      <c r="T75" s="56">
        <v>222.14699999999999</v>
      </c>
      <c r="U75" s="56">
        <v>222.72200000000001</v>
      </c>
      <c r="V75" s="56">
        <v>222.666</v>
      </c>
      <c r="W75" s="56">
        <v>222.518</v>
      </c>
      <c r="X75" s="56">
        <v>223.298</v>
      </c>
      <c r="Y75" s="56">
        <v>223.40799999999999</v>
      </c>
      <c r="Z75" s="56">
        <v>223.61</v>
      </c>
      <c r="AA75" s="56">
        <v>224.453</v>
      </c>
      <c r="AB75" s="56">
        <v>224.595</v>
      </c>
      <c r="AC75" s="56">
        <v>224.75</v>
      </c>
      <c r="AD75" s="56">
        <v>224.58</v>
      </c>
    </row>
    <row r="76" spans="18:32" x14ac:dyDescent="0.25">
      <c r="R76" s="54">
        <v>2014</v>
      </c>
      <c r="S76" s="56">
        <v>225.03399999999999</v>
      </c>
      <c r="T76" s="56">
        <v>225.215</v>
      </c>
      <c r="U76" s="56">
        <v>225.20699999999999</v>
      </c>
      <c r="V76" s="56">
        <v>224.672</v>
      </c>
      <c r="W76" s="56">
        <v>225.29499999999999</v>
      </c>
      <c r="X76" s="56">
        <v>226.608</v>
      </c>
      <c r="Y76" s="56">
        <v>227.07599999999999</v>
      </c>
      <c r="Z76" s="56">
        <v>226.30600000000001</v>
      </c>
      <c r="AA76" s="56">
        <v>225.94499999999999</v>
      </c>
      <c r="AB76" s="56">
        <v>227.18299999999999</v>
      </c>
      <c r="AC76" s="56">
        <v>229.11799999999999</v>
      </c>
      <c r="AD76" s="56">
        <v>229.05699999999999</v>
      </c>
    </row>
    <row r="77" spans="18:32" x14ac:dyDescent="0.25">
      <c r="R77" s="54">
        <v>2015</v>
      </c>
      <c r="S77" s="56">
        <v>227.60300000000001</v>
      </c>
      <c r="T77" s="56">
        <v>228.005</v>
      </c>
      <c r="U77" s="56">
        <v>227.97399999999999</v>
      </c>
      <c r="V77" s="56">
        <v>227.964</v>
      </c>
      <c r="W77" s="56">
        <v>228.02699999999999</v>
      </c>
      <c r="X77" s="56">
        <v>227.99199999999999</v>
      </c>
      <c r="Y77" s="56">
        <v>228.29599999999999</v>
      </c>
      <c r="Z77" s="56">
        <v>228.83600000000001</v>
      </c>
      <c r="AA77" s="56">
        <v>228.803</v>
      </c>
      <c r="AB77" s="56">
        <v>228.8</v>
      </c>
      <c r="AC77" s="56">
        <v>228.36500000000001</v>
      </c>
      <c r="AD77" s="56">
        <v>228.291</v>
      </c>
      <c r="AE77" s="51"/>
      <c r="AF77" s="51"/>
    </row>
    <row r="78" spans="18:32" x14ac:dyDescent="0.25">
      <c r="R78" s="54">
        <v>2016</v>
      </c>
      <c r="S78" s="56">
        <v>228.81700000000001</v>
      </c>
      <c r="T78" s="56">
        <v>228.858</v>
      </c>
      <c r="U78" s="56">
        <v>228.68199999999999</v>
      </c>
      <c r="V78" s="56">
        <v>228.93299999999999</v>
      </c>
      <c r="W78" s="56">
        <v>231.20599999999999</v>
      </c>
      <c r="X78" s="56">
        <v>230.32400000000001</v>
      </c>
      <c r="Y78" s="56">
        <v>232.46899999999999</v>
      </c>
      <c r="Z78" s="56">
        <v>231.911</v>
      </c>
      <c r="AA78" s="56">
        <v>231.95099999999999</v>
      </c>
      <c r="AB78" s="56">
        <v>232.01499999999999</v>
      </c>
      <c r="AC78" s="56">
        <v>233.07599999999999</v>
      </c>
      <c r="AD78" s="56">
        <v>233.25899999999999</v>
      </c>
      <c r="AE78" s="51"/>
      <c r="AF78" s="51"/>
    </row>
    <row r="79" spans="18:32" x14ac:dyDescent="0.25">
      <c r="R79" s="54">
        <v>2017</v>
      </c>
      <c r="S79" s="56">
        <v>234.95400000000001</v>
      </c>
      <c r="T79" s="56">
        <v>235.67099999999999</v>
      </c>
      <c r="U79" s="56">
        <v>236.29300000000001</v>
      </c>
      <c r="V79" s="56">
        <v>236.29300000000001</v>
      </c>
      <c r="W79" s="56">
        <v>236.29300000000001</v>
      </c>
      <c r="X79" s="56">
        <v>236.08699999999999</v>
      </c>
      <c r="Y79" s="56">
        <v>236.12899999999999</v>
      </c>
      <c r="Z79" s="56">
        <v>236.12899999999999</v>
      </c>
      <c r="AA79" s="56">
        <v>237.209</v>
      </c>
      <c r="AB79" s="56">
        <v>237.71700000000001</v>
      </c>
      <c r="AC79" s="56">
        <v>238.24299999999999</v>
      </c>
      <c r="AD79" s="56">
        <v>238.09</v>
      </c>
      <c r="AE79" s="51"/>
      <c r="AF79" s="51"/>
    </row>
    <row r="80" spans="18:32" x14ac:dyDescent="0.25">
      <c r="R80" s="54">
        <v>2018</v>
      </c>
      <c r="S80" s="56">
        <v>237.02699999999999</v>
      </c>
      <c r="T80" s="56">
        <v>235.05600000000001</v>
      </c>
      <c r="U80" s="56">
        <v>236.93799999999999</v>
      </c>
      <c r="V80" s="56">
        <v>237.43</v>
      </c>
      <c r="W80" s="56">
        <v>237.66300000000001</v>
      </c>
      <c r="X80" s="56">
        <v>237.82599999999999</v>
      </c>
      <c r="Y80" s="56">
        <v>237.82599999999999</v>
      </c>
      <c r="Z80" s="56">
        <v>237.499</v>
      </c>
      <c r="AA80" s="56">
        <v>237.154</v>
      </c>
      <c r="AB80" s="56">
        <v>237.34399999999999</v>
      </c>
      <c r="AC80" s="56">
        <v>238.25</v>
      </c>
      <c r="AD80" s="56">
        <v>238.25</v>
      </c>
      <c r="AE80" s="56">
        <v>236.99</v>
      </c>
      <c r="AF80" s="56">
        <v>237.721</v>
      </c>
    </row>
    <row r="81" spans="18:32" x14ac:dyDescent="0.25">
      <c r="R81" s="54">
        <v>2019</v>
      </c>
      <c r="S81" s="56">
        <v>237.35599999999999</v>
      </c>
      <c r="T81" s="56">
        <v>238.24700000000001</v>
      </c>
      <c r="U81" s="56">
        <v>238.88</v>
      </c>
      <c r="V81" s="56">
        <v>238.339</v>
      </c>
      <c r="W81" s="56">
        <v>238.94200000000001</v>
      </c>
      <c r="X81" s="56">
        <v>239.09299999999999</v>
      </c>
      <c r="Y81" s="56">
        <v>238.98699999999999</v>
      </c>
      <c r="Z81" s="56">
        <v>239.80600000000001</v>
      </c>
      <c r="AA81" s="56">
        <v>240.83199999999999</v>
      </c>
      <c r="AB81" s="56">
        <v>239.90600000000001</v>
      </c>
      <c r="AC81" s="56">
        <v>239.923</v>
      </c>
      <c r="AD81" s="56">
        <v>240.13800000000001</v>
      </c>
      <c r="AE81" s="56">
        <v>238.476</v>
      </c>
      <c r="AF81" s="56">
        <v>239.93199999999999</v>
      </c>
    </row>
    <row r="82" spans="18:32" x14ac:dyDescent="0.25">
      <c r="R82" s="54">
        <v>2020</v>
      </c>
      <c r="S82" s="56">
        <v>240.58500000000001</v>
      </c>
      <c r="T82" s="56">
        <v>240.68899999999999</v>
      </c>
      <c r="U82" s="56">
        <v>240.70699999999999</v>
      </c>
      <c r="V82" s="56">
        <v>241.08500000000001</v>
      </c>
      <c r="W82" s="56">
        <v>241.41900000000001</v>
      </c>
      <c r="X82" s="56">
        <v>242.11500000000001</v>
      </c>
      <c r="Y82" s="56">
        <v>242.38</v>
      </c>
      <c r="Z82" s="56">
        <v>242.38</v>
      </c>
      <c r="AA82" s="56">
        <v>243.578</v>
      </c>
      <c r="AB82" s="56">
        <v>243.578</v>
      </c>
      <c r="AC82" s="56">
        <v>243.43700000000001</v>
      </c>
      <c r="AD82" s="56">
        <v>243.32</v>
      </c>
      <c r="AE82" s="56">
        <v>241.1</v>
      </c>
      <c r="AF82" s="56">
        <v>243.11199999999999</v>
      </c>
    </row>
    <row r="83" spans="18:32" x14ac:dyDescent="0.25">
      <c r="R83" s="54">
        <v>2021</v>
      </c>
      <c r="S83" s="56">
        <v>247.15299999999999</v>
      </c>
      <c r="T83" s="56">
        <v>246.67099999999999</v>
      </c>
      <c r="U83" s="56">
        <v>247.06899999999999</v>
      </c>
      <c r="V83" s="56">
        <v>247.24600000000001</v>
      </c>
      <c r="W83" s="56">
        <v>247.78399999999999</v>
      </c>
      <c r="X83" s="56">
        <v>247.745</v>
      </c>
      <c r="Y83" s="56">
        <v>247.804</v>
      </c>
      <c r="Z83" s="56">
        <v>247.804</v>
      </c>
      <c r="AA83" s="56">
        <v>248.614</v>
      </c>
      <c r="AB83" s="56">
        <v>248.614</v>
      </c>
      <c r="AC83" s="56">
        <v>248.614</v>
      </c>
      <c r="AD83" s="56">
        <v>250.25899999999999</v>
      </c>
      <c r="AE83" s="56">
        <v>247.27799999999999</v>
      </c>
      <c r="AF83" s="56">
        <v>248.61799999999999</v>
      </c>
    </row>
    <row r="84" spans="18:32" x14ac:dyDescent="0.25">
      <c r="R84" s="54">
        <v>2022</v>
      </c>
      <c r="S84" s="56">
        <v>256.43700000000001</v>
      </c>
      <c r="T84" s="56">
        <v>258.61099999999999</v>
      </c>
      <c r="U84" s="56">
        <v>257.988</v>
      </c>
      <c r="V84" s="56">
        <v>257.303</v>
      </c>
      <c r="W84" s="56">
        <v>259.02600000000001</v>
      </c>
      <c r="X84" s="56">
        <v>259.38400000000001</v>
      </c>
      <c r="Y84" s="56">
        <v>258.62</v>
      </c>
      <c r="Z84" s="56">
        <v>258.81200000000001</v>
      </c>
      <c r="AA84" s="56">
        <v>258.82600000000002</v>
      </c>
      <c r="AB84" s="56">
        <v>258.94</v>
      </c>
      <c r="AC84" s="56">
        <v>257.83600000000001</v>
      </c>
      <c r="AD84" s="56">
        <v>255.471</v>
      </c>
      <c r="AE84" s="56">
        <v>258.125</v>
      </c>
      <c r="AF84" s="56">
        <v>258.084</v>
      </c>
    </row>
    <row r="85" spans="18:32" x14ac:dyDescent="0.25">
      <c r="R85" s="54">
        <v>2023</v>
      </c>
      <c r="S85" s="56">
        <v>255.43799999999999</v>
      </c>
      <c r="T85" s="56">
        <v>256.30500000000001</v>
      </c>
      <c r="U85" s="56">
        <v>257.43099999999998</v>
      </c>
      <c r="V85" s="56">
        <v>257.98</v>
      </c>
      <c r="W85" s="56">
        <v>261.04899999999998</v>
      </c>
      <c r="X85" s="56">
        <v>259.43200000000002</v>
      </c>
      <c r="Y85" s="56">
        <v>261.03399999999999</v>
      </c>
      <c r="Z85" s="56">
        <v>258.98899999999998</v>
      </c>
      <c r="AA85" s="56">
        <v>259.20999999999998</v>
      </c>
      <c r="AB85" s="56">
        <v>259.137</v>
      </c>
      <c r="AC85" s="56">
        <v>259.16000000000003</v>
      </c>
      <c r="AD85" s="56">
        <v>259.16000000000003</v>
      </c>
      <c r="AE85" s="56">
        <v>257.93900000000002</v>
      </c>
      <c r="AF85" s="56">
        <v>259.44799999999998</v>
      </c>
    </row>
    <row r="86" spans="18:32" x14ac:dyDescent="0.25">
      <c r="R86" s="54">
        <v>2024</v>
      </c>
      <c r="S86" s="56">
        <v>260.839</v>
      </c>
      <c r="T86" s="56">
        <v>260.05599999999998</v>
      </c>
      <c r="U86" s="56">
        <v>261.65800000000002</v>
      </c>
      <c r="V86" s="56">
        <v>259.59500000000003</v>
      </c>
      <c r="W86" s="56">
        <v>259.58699999999999</v>
      </c>
      <c r="X86" s="56">
        <v>260.74400000000003</v>
      </c>
      <c r="Y86" s="56">
        <v>261.029</v>
      </c>
      <c r="Z86" s="56">
        <v>260.89800000000002</v>
      </c>
      <c r="AA86" s="56">
        <v>264.92500000000001</v>
      </c>
      <c r="AB86" s="56">
        <v>263.10300000000001</v>
      </c>
      <c r="AC86" s="56">
        <v>263.17099999999999</v>
      </c>
      <c r="AD86" s="56">
        <v>263.87799999999999</v>
      </c>
      <c r="AE86" s="56">
        <v>260.41300000000001</v>
      </c>
      <c r="AF86" s="56">
        <v>262.834</v>
      </c>
    </row>
    <row r="87" spans="18:32" x14ac:dyDescent="0.25">
      <c r="R87" s="54">
        <v>2025</v>
      </c>
      <c r="S87" s="56">
        <v>264.11200000000002</v>
      </c>
      <c r="T87" s="56">
        <v>264.61700000000002</v>
      </c>
      <c r="U87" s="56">
        <v>264.14299999999997</v>
      </c>
      <c r="V87" s="56">
        <v>265.59800000000001</v>
      </c>
      <c r="W87" s="56">
        <v>265.738</v>
      </c>
      <c r="X87" s="56">
        <v>267.84500000000003</v>
      </c>
      <c r="Y87" s="51"/>
      <c r="Z87" s="51"/>
      <c r="AA87" s="51"/>
      <c r="AB87" s="51" t="s">
        <v>261</v>
      </c>
      <c r="AC87" s="51"/>
      <c r="AD87" s="51"/>
      <c r="AE87" s="56">
        <v>265.34199999999998</v>
      </c>
      <c r="AF87" s="51"/>
    </row>
  </sheetData>
  <mergeCells count="110"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/>
  <dimension ref="A1:AU49"/>
  <sheetViews>
    <sheetView workbookViewId="0">
      <selection sqref="A1:AU3"/>
    </sheetView>
  </sheetViews>
  <sheetFormatPr defaultRowHeight="15" x14ac:dyDescent="0.25"/>
  <cols>
    <col min="1" max="1" width="12.7109375" bestFit="1" customWidth="1"/>
    <col min="2" max="2" width="15.28515625" bestFit="1" customWidth="1"/>
    <col min="3" max="3" width="10.7109375" bestFit="1" customWidth="1"/>
    <col min="4" max="4" width="11.28515625" bestFit="1" customWidth="1"/>
    <col min="5" max="5" width="19.140625" bestFit="1" customWidth="1"/>
    <col min="6" max="6" width="10.5703125" bestFit="1" customWidth="1"/>
    <col min="7" max="7" width="15" bestFit="1" customWidth="1"/>
    <col min="8" max="8" width="15.42578125" bestFit="1" customWidth="1"/>
    <col min="9" max="9" width="17.7109375" bestFit="1" customWidth="1"/>
    <col min="10" max="10" width="18" bestFit="1" customWidth="1"/>
    <col min="11" max="11" width="12" bestFit="1" customWidth="1"/>
    <col min="12" max="12" width="16" bestFit="1" customWidth="1"/>
    <col min="13" max="13" width="11.85546875" bestFit="1" customWidth="1"/>
    <col min="14" max="14" width="9.42578125" bestFit="1" customWidth="1"/>
    <col min="15" max="15" width="11" bestFit="1" customWidth="1"/>
    <col min="16" max="16" width="15.85546875" bestFit="1" customWidth="1"/>
    <col min="17" max="17" width="10.140625" bestFit="1" customWidth="1"/>
    <col min="18" max="18" width="12.28515625" bestFit="1" customWidth="1"/>
    <col min="19" max="19" width="9.140625" bestFit="1" customWidth="1"/>
    <col min="20" max="20" width="9.7109375" bestFit="1" customWidth="1"/>
    <col min="21" max="21" width="9.28515625" bestFit="1" customWidth="1"/>
    <col min="22" max="22" width="13.28515625" bestFit="1" customWidth="1"/>
    <col min="23" max="23" width="11" bestFit="1" customWidth="1"/>
    <col min="24" max="24" width="14.140625" bestFit="1" customWidth="1"/>
    <col min="25" max="25" width="10.85546875" bestFit="1" customWidth="1"/>
    <col min="26" max="26" width="12.7109375" bestFit="1" customWidth="1"/>
    <col min="27" max="27" width="17.28515625" bestFit="1" customWidth="1"/>
    <col min="28" max="29" width="17.7109375" bestFit="1" customWidth="1"/>
    <col min="30" max="30" width="18.140625" bestFit="1" customWidth="1"/>
    <col min="31" max="31" width="16.7109375" bestFit="1" customWidth="1"/>
    <col min="32" max="32" width="17" bestFit="1" customWidth="1"/>
    <col min="33" max="33" width="17.5703125" bestFit="1" customWidth="1"/>
    <col min="34" max="34" width="17.85546875" bestFit="1" customWidth="1"/>
    <col min="35" max="35" width="9.42578125" bestFit="1" customWidth="1"/>
    <col min="36" max="36" width="24" bestFit="1" customWidth="1"/>
    <col min="37" max="37" width="10.7109375" bestFit="1" customWidth="1"/>
    <col min="38" max="38" width="20.42578125" bestFit="1" customWidth="1"/>
    <col min="39" max="39" width="15" bestFit="1" customWidth="1"/>
    <col min="40" max="40" width="19.5703125" bestFit="1" customWidth="1"/>
    <col min="41" max="42" width="10.7109375" bestFit="1" customWidth="1"/>
    <col min="43" max="43" width="9.5703125" bestFit="1" customWidth="1"/>
    <col min="44" max="44" width="12.85546875" bestFit="1" customWidth="1"/>
    <col min="45" max="45" width="18.7109375" bestFit="1" customWidth="1"/>
    <col min="46" max="46" width="19.140625" bestFit="1" customWidth="1"/>
    <col min="47" max="47" width="18.7109375" bestFit="1" customWidth="1"/>
    <col min="48" max="48" width="18.42578125" bestFit="1" customWidth="1"/>
    <col min="49" max="49" width="25" bestFit="1" customWidth="1"/>
    <col min="50" max="50" width="46" customWidth="1"/>
    <col min="51" max="51" width="11.7109375" bestFit="1" customWidth="1"/>
    <col min="52" max="53" width="18.7109375" bestFit="1" customWidth="1"/>
    <col min="54" max="54" width="19.140625" bestFit="1" customWidth="1"/>
    <col min="55" max="55" width="60.5703125" customWidth="1"/>
    <col min="56" max="58" width="18.42578125" bestFit="1" customWidth="1"/>
    <col min="62" max="62" width="22.28515625" customWidth="1"/>
    <col min="67" max="67" width="15.42578125" customWidth="1"/>
  </cols>
  <sheetData>
    <row r="1" spans="1:47" x14ac:dyDescent="0.25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  <row r="2" spans="1:47" x14ac:dyDescent="0.25">
      <c r="A2" t="s">
        <v>264</v>
      </c>
      <c r="B2" t="s">
        <v>297</v>
      </c>
      <c r="D2">
        <v>2026</v>
      </c>
      <c r="E2">
        <v>0</v>
      </c>
      <c r="F2">
        <v>15</v>
      </c>
      <c r="G2">
        <v>0</v>
      </c>
      <c r="H2">
        <v>0</v>
      </c>
      <c r="I2">
        <v>1000</v>
      </c>
      <c r="J2">
        <v>2000</v>
      </c>
      <c r="K2">
        <v>1</v>
      </c>
      <c r="L2">
        <v>1</v>
      </c>
      <c r="M2">
        <v>1</v>
      </c>
      <c r="N2">
        <v>2</v>
      </c>
      <c r="O2" t="s">
        <v>27</v>
      </c>
      <c r="P2" t="s">
        <v>298</v>
      </c>
      <c r="Q2">
        <v>2026</v>
      </c>
      <c r="R2">
        <v>2041</v>
      </c>
      <c r="S2" t="s">
        <v>299</v>
      </c>
      <c r="T2">
        <v>2026</v>
      </c>
      <c r="U2">
        <v>33.75</v>
      </c>
      <c r="V2">
        <v>1</v>
      </c>
      <c r="W2">
        <v>2026</v>
      </c>
      <c r="X2">
        <v>0</v>
      </c>
      <c r="Y2">
        <v>2026</v>
      </c>
      <c r="Z2">
        <v>1</v>
      </c>
      <c r="AA2">
        <v>1000</v>
      </c>
      <c r="AB2">
        <v>2000</v>
      </c>
      <c r="AC2">
        <v>1000</v>
      </c>
      <c r="AD2">
        <v>2000</v>
      </c>
      <c r="AE2">
        <v>0</v>
      </c>
      <c r="AF2">
        <v>0</v>
      </c>
      <c r="AG2">
        <v>1000</v>
      </c>
      <c r="AH2">
        <v>2000</v>
      </c>
      <c r="AI2">
        <v>1</v>
      </c>
      <c r="AJ2">
        <v>0</v>
      </c>
      <c r="AK2">
        <v>2027</v>
      </c>
      <c r="AL2">
        <v>0</v>
      </c>
      <c r="AM2">
        <v>0</v>
      </c>
      <c r="AN2">
        <v>0</v>
      </c>
      <c r="AO2">
        <v>1</v>
      </c>
      <c r="AP2">
        <v>1</v>
      </c>
      <c r="AQ2">
        <v>1</v>
      </c>
      <c r="AR2" t="b">
        <v>1</v>
      </c>
      <c r="AS2">
        <v>1000</v>
      </c>
      <c r="AT2">
        <v>2000</v>
      </c>
      <c r="AU2">
        <v>1500</v>
      </c>
    </row>
    <row r="3" spans="1:47" x14ac:dyDescent="0.25">
      <c r="A3" t="s">
        <v>264</v>
      </c>
      <c r="B3" t="s">
        <v>297</v>
      </c>
      <c r="D3">
        <v>2026</v>
      </c>
      <c r="E3">
        <v>0</v>
      </c>
      <c r="F3">
        <v>15</v>
      </c>
      <c r="G3">
        <v>0</v>
      </c>
      <c r="H3">
        <v>0</v>
      </c>
      <c r="I3">
        <v>1000</v>
      </c>
      <c r="J3">
        <v>2000</v>
      </c>
      <c r="K3">
        <v>1</v>
      </c>
      <c r="L3">
        <v>1</v>
      </c>
      <c r="M3">
        <v>1</v>
      </c>
      <c r="N3">
        <v>2</v>
      </c>
      <c r="O3" t="s">
        <v>27</v>
      </c>
      <c r="P3" t="s">
        <v>298</v>
      </c>
      <c r="Q3">
        <v>2026</v>
      </c>
      <c r="R3">
        <v>2041</v>
      </c>
      <c r="S3" t="s">
        <v>299</v>
      </c>
      <c r="T3">
        <v>2027</v>
      </c>
      <c r="U3">
        <v>34.75</v>
      </c>
      <c r="V3">
        <v>1</v>
      </c>
      <c r="W3">
        <v>2027</v>
      </c>
      <c r="X3">
        <v>1</v>
      </c>
      <c r="Y3">
        <v>2027</v>
      </c>
      <c r="Z3">
        <v>1</v>
      </c>
      <c r="AA3">
        <v>1020</v>
      </c>
      <c r="AB3">
        <v>2040</v>
      </c>
      <c r="AC3">
        <v>1020</v>
      </c>
      <c r="AD3">
        <v>2040</v>
      </c>
      <c r="AE3">
        <v>0</v>
      </c>
      <c r="AF3">
        <v>0</v>
      </c>
      <c r="AG3">
        <v>1020</v>
      </c>
      <c r="AH3">
        <v>2040</v>
      </c>
      <c r="AI3">
        <v>1</v>
      </c>
      <c r="AJ3">
        <v>0</v>
      </c>
      <c r="AK3">
        <v>2028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 t="b">
        <v>0</v>
      </c>
      <c r="AS3">
        <v>1020</v>
      </c>
      <c r="AT3">
        <v>2040</v>
      </c>
      <c r="AU3">
        <v>1530</v>
      </c>
    </row>
    <row r="4" spans="1:47" x14ac:dyDescent="0.25">
      <c r="A4" t="s">
        <v>264</v>
      </c>
      <c r="B4" t="s">
        <v>297</v>
      </c>
      <c r="D4">
        <v>2026</v>
      </c>
      <c r="E4">
        <v>0</v>
      </c>
      <c r="F4">
        <v>15</v>
      </c>
      <c r="G4">
        <v>0</v>
      </c>
      <c r="H4">
        <v>0</v>
      </c>
      <c r="I4">
        <v>1000</v>
      </c>
      <c r="J4">
        <v>2000</v>
      </c>
      <c r="K4">
        <v>1</v>
      </c>
      <c r="L4">
        <v>1</v>
      </c>
      <c r="M4">
        <v>1</v>
      </c>
      <c r="N4">
        <v>2</v>
      </c>
      <c r="O4" t="s">
        <v>27</v>
      </c>
      <c r="P4" t="s">
        <v>298</v>
      </c>
      <c r="Q4">
        <v>2026</v>
      </c>
      <c r="R4">
        <v>2041</v>
      </c>
      <c r="S4" t="s">
        <v>299</v>
      </c>
      <c r="T4">
        <v>2028</v>
      </c>
      <c r="U4">
        <v>35.75</v>
      </c>
      <c r="V4">
        <v>1</v>
      </c>
      <c r="W4">
        <v>2028</v>
      </c>
      <c r="X4">
        <v>2</v>
      </c>
      <c r="Y4">
        <v>2028</v>
      </c>
      <c r="Z4">
        <v>1</v>
      </c>
      <c r="AA4">
        <v>1040.4000000000001</v>
      </c>
      <c r="AB4">
        <v>2080.8000000000002</v>
      </c>
      <c r="AC4">
        <v>1040.4000000000001</v>
      </c>
      <c r="AD4">
        <v>2080.8000000000002</v>
      </c>
      <c r="AE4">
        <v>0</v>
      </c>
      <c r="AF4">
        <v>0</v>
      </c>
      <c r="AG4">
        <v>1040.4000000000001</v>
      </c>
      <c r="AH4">
        <v>2080.8000000000002</v>
      </c>
      <c r="AI4">
        <v>1</v>
      </c>
      <c r="AJ4">
        <v>0</v>
      </c>
      <c r="AK4">
        <v>2029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 t="b">
        <v>0</v>
      </c>
      <c r="AS4">
        <v>1040.4000000000001</v>
      </c>
      <c r="AT4">
        <v>2080.8000000000002</v>
      </c>
      <c r="AU4">
        <v>1560.6000000000001</v>
      </c>
    </row>
    <row r="5" spans="1:47" x14ac:dyDescent="0.25">
      <c r="A5" t="s">
        <v>264</v>
      </c>
      <c r="B5" t="s">
        <v>297</v>
      </c>
      <c r="D5">
        <v>2026</v>
      </c>
      <c r="E5">
        <v>0</v>
      </c>
      <c r="F5">
        <v>15</v>
      </c>
      <c r="G5">
        <v>0</v>
      </c>
      <c r="H5">
        <v>0</v>
      </c>
      <c r="I5">
        <v>1000</v>
      </c>
      <c r="J5">
        <v>2000</v>
      </c>
      <c r="K5">
        <v>1</v>
      </c>
      <c r="L5">
        <v>1</v>
      </c>
      <c r="M5">
        <v>1</v>
      </c>
      <c r="N5">
        <v>2</v>
      </c>
      <c r="O5" t="s">
        <v>27</v>
      </c>
      <c r="P5" t="s">
        <v>298</v>
      </c>
      <c r="Q5">
        <v>2026</v>
      </c>
      <c r="R5">
        <v>2041</v>
      </c>
      <c r="S5" t="s">
        <v>299</v>
      </c>
      <c r="T5">
        <v>2029</v>
      </c>
      <c r="U5">
        <v>36.75</v>
      </c>
      <c r="V5">
        <v>1</v>
      </c>
      <c r="W5">
        <v>2029</v>
      </c>
      <c r="X5">
        <v>3</v>
      </c>
      <c r="Y5">
        <v>2029</v>
      </c>
      <c r="Z5">
        <v>1</v>
      </c>
      <c r="AA5">
        <v>1061.2080000000001</v>
      </c>
      <c r="AB5">
        <v>2122.4160000000002</v>
      </c>
      <c r="AC5">
        <v>1061.2080000000001</v>
      </c>
      <c r="AD5">
        <v>2122.4160000000002</v>
      </c>
      <c r="AE5">
        <v>0</v>
      </c>
      <c r="AF5">
        <v>0</v>
      </c>
      <c r="AG5">
        <v>1061.2080000000001</v>
      </c>
      <c r="AH5">
        <v>2122.4160000000002</v>
      </c>
      <c r="AI5">
        <v>1</v>
      </c>
      <c r="AJ5">
        <v>0</v>
      </c>
      <c r="AK5">
        <v>2030</v>
      </c>
      <c r="AL5">
        <v>0</v>
      </c>
      <c r="AM5">
        <v>0</v>
      </c>
      <c r="AN5">
        <v>0</v>
      </c>
      <c r="AO5">
        <v>1</v>
      </c>
      <c r="AP5">
        <v>1</v>
      </c>
      <c r="AQ5">
        <v>1</v>
      </c>
      <c r="AR5" t="b">
        <v>0</v>
      </c>
      <c r="AS5">
        <v>1061.2080000000001</v>
      </c>
      <c r="AT5">
        <v>2122.4160000000002</v>
      </c>
      <c r="AU5">
        <v>1591.8120000000001</v>
      </c>
    </row>
    <row r="6" spans="1:47" x14ac:dyDescent="0.25">
      <c r="A6" t="s">
        <v>264</v>
      </c>
      <c r="B6" t="s">
        <v>297</v>
      </c>
      <c r="D6">
        <v>2026</v>
      </c>
      <c r="E6">
        <v>0</v>
      </c>
      <c r="F6">
        <v>15</v>
      </c>
      <c r="G6">
        <v>0</v>
      </c>
      <c r="H6">
        <v>0</v>
      </c>
      <c r="I6">
        <v>1000</v>
      </c>
      <c r="J6">
        <v>2000</v>
      </c>
      <c r="K6">
        <v>1</v>
      </c>
      <c r="L6">
        <v>1</v>
      </c>
      <c r="M6">
        <v>1</v>
      </c>
      <c r="N6">
        <v>2</v>
      </c>
      <c r="O6" t="s">
        <v>27</v>
      </c>
      <c r="P6" t="s">
        <v>298</v>
      </c>
      <c r="Q6">
        <v>2026</v>
      </c>
      <c r="R6">
        <v>2041</v>
      </c>
      <c r="S6" t="s">
        <v>299</v>
      </c>
      <c r="T6">
        <v>2030</v>
      </c>
      <c r="U6">
        <v>37.75</v>
      </c>
      <c r="V6">
        <v>1</v>
      </c>
      <c r="W6">
        <v>2030</v>
      </c>
      <c r="X6">
        <v>4</v>
      </c>
      <c r="Y6">
        <v>2030</v>
      </c>
      <c r="Z6">
        <v>1</v>
      </c>
      <c r="AA6">
        <v>1082.4321600000001</v>
      </c>
      <c r="AB6">
        <v>2164.8643200000001</v>
      </c>
      <c r="AC6">
        <v>1082.4321600000001</v>
      </c>
      <c r="AD6">
        <v>2164.8643200000001</v>
      </c>
      <c r="AE6">
        <v>0</v>
      </c>
      <c r="AF6">
        <v>0</v>
      </c>
      <c r="AG6">
        <v>1082.4321600000001</v>
      </c>
      <c r="AH6">
        <v>2164.8643200000001</v>
      </c>
      <c r="AI6">
        <v>1</v>
      </c>
      <c r="AJ6">
        <v>0</v>
      </c>
      <c r="AK6">
        <v>2031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 t="b">
        <v>0</v>
      </c>
      <c r="AS6">
        <v>1082.4321600000001</v>
      </c>
      <c r="AT6">
        <v>2164.8643200000001</v>
      </c>
      <c r="AU6">
        <v>1623.64824</v>
      </c>
    </row>
    <row r="7" spans="1:47" x14ac:dyDescent="0.25">
      <c r="A7" t="s">
        <v>264</v>
      </c>
      <c r="B7" t="s">
        <v>297</v>
      </c>
      <c r="D7">
        <v>2026</v>
      </c>
      <c r="E7">
        <v>0</v>
      </c>
      <c r="F7">
        <v>15</v>
      </c>
      <c r="G7">
        <v>0</v>
      </c>
      <c r="H7">
        <v>0</v>
      </c>
      <c r="I7">
        <v>1000</v>
      </c>
      <c r="J7">
        <v>2000</v>
      </c>
      <c r="K7">
        <v>1</v>
      </c>
      <c r="L7">
        <v>1</v>
      </c>
      <c r="M7">
        <v>1</v>
      </c>
      <c r="N7">
        <v>2</v>
      </c>
      <c r="O7" t="s">
        <v>27</v>
      </c>
      <c r="P7" t="s">
        <v>298</v>
      </c>
      <c r="Q7">
        <v>2026</v>
      </c>
      <c r="R7">
        <v>2041</v>
      </c>
      <c r="S7" t="s">
        <v>299</v>
      </c>
      <c r="T7">
        <v>2031</v>
      </c>
      <c r="U7">
        <v>38.75</v>
      </c>
      <c r="V7">
        <v>1</v>
      </c>
      <c r="W7">
        <v>2031</v>
      </c>
      <c r="X7">
        <v>5</v>
      </c>
      <c r="Y7">
        <v>2031</v>
      </c>
      <c r="Z7">
        <v>1</v>
      </c>
      <c r="AA7">
        <v>1104.0808032</v>
      </c>
      <c r="AB7">
        <v>2208.1616064</v>
      </c>
      <c r="AC7">
        <v>1104.0808032</v>
      </c>
      <c r="AD7">
        <v>2208.1616064</v>
      </c>
      <c r="AE7">
        <v>0</v>
      </c>
      <c r="AF7">
        <v>0</v>
      </c>
      <c r="AG7">
        <v>1104.0808032</v>
      </c>
      <c r="AH7">
        <v>2208.1616064</v>
      </c>
      <c r="AI7">
        <v>1</v>
      </c>
      <c r="AJ7">
        <v>0</v>
      </c>
      <c r="AK7">
        <v>2032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 t="b">
        <v>0</v>
      </c>
      <c r="AS7">
        <v>1104.0808032</v>
      </c>
      <c r="AT7">
        <v>2208.1616064</v>
      </c>
      <c r="AU7">
        <v>1656.1212048</v>
      </c>
    </row>
    <row r="8" spans="1:47" x14ac:dyDescent="0.25">
      <c r="A8" t="s">
        <v>264</v>
      </c>
      <c r="B8" t="s">
        <v>297</v>
      </c>
      <c r="D8">
        <v>2026</v>
      </c>
      <c r="E8">
        <v>0</v>
      </c>
      <c r="F8">
        <v>15</v>
      </c>
      <c r="G8">
        <v>0</v>
      </c>
      <c r="H8">
        <v>0</v>
      </c>
      <c r="I8">
        <v>1000</v>
      </c>
      <c r="J8">
        <v>2000</v>
      </c>
      <c r="K8">
        <v>1</v>
      </c>
      <c r="L8">
        <v>1</v>
      </c>
      <c r="M8">
        <v>1</v>
      </c>
      <c r="N8">
        <v>2</v>
      </c>
      <c r="O8" t="s">
        <v>27</v>
      </c>
      <c r="P8" t="s">
        <v>298</v>
      </c>
      <c r="Q8">
        <v>2026</v>
      </c>
      <c r="R8">
        <v>2041</v>
      </c>
      <c r="S8" t="s">
        <v>299</v>
      </c>
      <c r="T8">
        <v>2032</v>
      </c>
      <c r="U8">
        <v>39.75</v>
      </c>
      <c r="V8">
        <v>1</v>
      </c>
      <c r="W8">
        <v>2032</v>
      </c>
      <c r="X8">
        <v>6</v>
      </c>
      <c r="Y8">
        <v>2032</v>
      </c>
      <c r="Z8">
        <v>1</v>
      </c>
      <c r="AA8">
        <v>1126.1624192640002</v>
      </c>
      <c r="AB8">
        <v>2252.3248385280003</v>
      </c>
      <c r="AC8">
        <v>1126.1624192640002</v>
      </c>
      <c r="AD8">
        <v>2252.3248385280003</v>
      </c>
      <c r="AE8">
        <v>0</v>
      </c>
      <c r="AF8">
        <v>0</v>
      </c>
      <c r="AG8">
        <v>1126.1624192640002</v>
      </c>
      <c r="AH8">
        <v>2252.3248385280003</v>
      </c>
      <c r="AI8">
        <v>1</v>
      </c>
      <c r="AJ8">
        <v>0</v>
      </c>
      <c r="AK8">
        <v>2033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 t="b">
        <v>0</v>
      </c>
      <c r="AS8">
        <v>1126.1624192640002</v>
      </c>
      <c r="AT8">
        <v>2252.3248385280003</v>
      </c>
      <c r="AU8">
        <v>1689.2436288960002</v>
      </c>
    </row>
    <row r="9" spans="1:47" x14ac:dyDescent="0.25">
      <c r="A9" t="s">
        <v>264</v>
      </c>
      <c r="B9" t="s">
        <v>297</v>
      </c>
      <c r="D9">
        <v>2026</v>
      </c>
      <c r="E9">
        <v>0</v>
      </c>
      <c r="F9">
        <v>15</v>
      </c>
      <c r="G9">
        <v>0</v>
      </c>
      <c r="H9">
        <v>0</v>
      </c>
      <c r="I9">
        <v>1000</v>
      </c>
      <c r="J9">
        <v>2000</v>
      </c>
      <c r="K9">
        <v>1</v>
      </c>
      <c r="L9">
        <v>1</v>
      </c>
      <c r="M9">
        <v>1</v>
      </c>
      <c r="N9">
        <v>2</v>
      </c>
      <c r="O9" t="s">
        <v>27</v>
      </c>
      <c r="P9" t="s">
        <v>298</v>
      </c>
      <c r="Q9">
        <v>2026</v>
      </c>
      <c r="R9">
        <v>2041</v>
      </c>
      <c r="S9" t="s">
        <v>299</v>
      </c>
      <c r="T9">
        <v>2033</v>
      </c>
      <c r="U9">
        <v>40.75</v>
      </c>
      <c r="V9">
        <v>1</v>
      </c>
      <c r="W9">
        <v>2033</v>
      </c>
      <c r="X9">
        <v>7</v>
      </c>
      <c r="Y9">
        <v>2033</v>
      </c>
      <c r="Z9">
        <v>1</v>
      </c>
      <c r="AA9">
        <v>1148.68566764928</v>
      </c>
      <c r="AB9">
        <v>2297.3713352985601</v>
      </c>
      <c r="AC9">
        <v>1148.68566764928</v>
      </c>
      <c r="AD9">
        <v>2297.3713352985601</v>
      </c>
      <c r="AE9">
        <v>0</v>
      </c>
      <c r="AF9">
        <v>0</v>
      </c>
      <c r="AG9">
        <v>1148.68566764928</v>
      </c>
      <c r="AH9">
        <v>2297.3713352985601</v>
      </c>
      <c r="AI9">
        <v>1</v>
      </c>
      <c r="AJ9">
        <v>0</v>
      </c>
      <c r="AK9">
        <v>2034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 t="b">
        <v>0</v>
      </c>
      <c r="AS9">
        <v>1148.68566764928</v>
      </c>
      <c r="AT9">
        <v>2297.3713352985601</v>
      </c>
      <c r="AU9">
        <v>1723.0285014739202</v>
      </c>
    </row>
    <row r="10" spans="1:47" x14ac:dyDescent="0.25">
      <c r="A10" t="s">
        <v>264</v>
      </c>
      <c r="B10" t="s">
        <v>297</v>
      </c>
      <c r="D10">
        <v>2026</v>
      </c>
      <c r="E10">
        <v>0</v>
      </c>
      <c r="F10">
        <v>15</v>
      </c>
      <c r="G10">
        <v>0</v>
      </c>
      <c r="H10">
        <v>0</v>
      </c>
      <c r="I10">
        <v>1000</v>
      </c>
      <c r="J10">
        <v>2000</v>
      </c>
      <c r="K10">
        <v>1</v>
      </c>
      <c r="L10">
        <v>1</v>
      </c>
      <c r="M10">
        <v>1</v>
      </c>
      <c r="N10">
        <v>2</v>
      </c>
      <c r="O10" t="s">
        <v>27</v>
      </c>
      <c r="P10" t="s">
        <v>298</v>
      </c>
      <c r="Q10">
        <v>2026</v>
      </c>
      <c r="R10">
        <v>2041</v>
      </c>
      <c r="S10" t="s">
        <v>299</v>
      </c>
      <c r="T10">
        <v>2034</v>
      </c>
      <c r="U10">
        <v>41.75</v>
      </c>
      <c r="V10">
        <v>1</v>
      </c>
      <c r="W10">
        <v>2034</v>
      </c>
      <c r="X10">
        <v>8</v>
      </c>
      <c r="Y10">
        <v>2034</v>
      </c>
      <c r="Z10">
        <v>1</v>
      </c>
      <c r="AA10">
        <v>1171.6593810022657</v>
      </c>
      <c r="AB10">
        <v>2343.3187620045314</v>
      </c>
      <c r="AC10">
        <v>1171.6593810022657</v>
      </c>
      <c r="AD10">
        <v>2343.3187620045314</v>
      </c>
      <c r="AE10">
        <v>0</v>
      </c>
      <c r="AF10">
        <v>0</v>
      </c>
      <c r="AG10">
        <v>1171.6593810022657</v>
      </c>
      <c r="AH10">
        <v>2343.3187620045314</v>
      </c>
      <c r="AI10">
        <v>1</v>
      </c>
      <c r="AJ10">
        <v>0</v>
      </c>
      <c r="AK10">
        <v>2035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 t="b">
        <v>0</v>
      </c>
      <c r="AS10">
        <v>1171.6593810022657</v>
      </c>
      <c r="AT10">
        <v>2343.3187620045314</v>
      </c>
      <c r="AU10">
        <v>1757.4890715033985</v>
      </c>
    </row>
    <row r="11" spans="1:47" x14ac:dyDescent="0.25">
      <c r="A11" t="s">
        <v>264</v>
      </c>
      <c r="B11" t="s">
        <v>297</v>
      </c>
      <c r="D11">
        <v>2026</v>
      </c>
      <c r="E11">
        <v>0</v>
      </c>
      <c r="F11">
        <v>15</v>
      </c>
      <c r="G11">
        <v>0</v>
      </c>
      <c r="H11">
        <v>0</v>
      </c>
      <c r="I11">
        <v>1000</v>
      </c>
      <c r="J11">
        <v>2000</v>
      </c>
      <c r="K11">
        <v>1</v>
      </c>
      <c r="L11">
        <v>1</v>
      </c>
      <c r="M11">
        <v>1</v>
      </c>
      <c r="N11">
        <v>2</v>
      </c>
      <c r="O11" t="s">
        <v>27</v>
      </c>
      <c r="P11" t="s">
        <v>298</v>
      </c>
      <c r="Q11">
        <v>2026</v>
      </c>
      <c r="R11">
        <v>2041</v>
      </c>
      <c r="S11" t="s">
        <v>299</v>
      </c>
      <c r="T11">
        <v>2035</v>
      </c>
      <c r="U11">
        <v>42.75</v>
      </c>
      <c r="V11">
        <v>1</v>
      </c>
      <c r="W11">
        <v>2035</v>
      </c>
      <c r="X11">
        <v>9</v>
      </c>
      <c r="Y11">
        <v>2035</v>
      </c>
      <c r="Z11">
        <v>1</v>
      </c>
      <c r="AA11">
        <v>1195.0925686223111</v>
      </c>
      <c r="AB11">
        <v>2390.1851372446222</v>
      </c>
      <c r="AC11">
        <v>1195.0925686223111</v>
      </c>
      <c r="AD11">
        <v>2390.1851372446222</v>
      </c>
      <c r="AE11">
        <v>0</v>
      </c>
      <c r="AF11">
        <v>0</v>
      </c>
      <c r="AG11">
        <v>1195.0925686223111</v>
      </c>
      <c r="AH11">
        <v>2390.1851372446222</v>
      </c>
      <c r="AI11">
        <v>1</v>
      </c>
      <c r="AJ11">
        <v>0</v>
      </c>
      <c r="AK11">
        <v>2036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 t="b">
        <v>0</v>
      </c>
      <c r="AS11">
        <v>1195.0925686223111</v>
      </c>
      <c r="AT11">
        <v>2390.1851372446222</v>
      </c>
      <c r="AU11">
        <v>1792.6388529334668</v>
      </c>
    </row>
    <row r="12" spans="1:47" x14ac:dyDescent="0.25">
      <c r="A12" t="s">
        <v>264</v>
      </c>
      <c r="B12" t="s">
        <v>297</v>
      </c>
      <c r="D12">
        <v>2026</v>
      </c>
      <c r="E12">
        <v>0</v>
      </c>
      <c r="F12">
        <v>15</v>
      </c>
      <c r="G12">
        <v>0</v>
      </c>
      <c r="H12">
        <v>0</v>
      </c>
      <c r="I12">
        <v>1000</v>
      </c>
      <c r="J12">
        <v>2000</v>
      </c>
      <c r="K12">
        <v>1</v>
      </c>
      <c r="L12">
        <v>1</v>
      </c>
      <c r="M12">
        <v>1</v>
      </c>
      <c r="N12">
        <v>2</v>
      </c>
      <c r="O12" t="s">
        <v>27</v>
      </c>
      <c r="P12" t="s">
        <v>298</v>
      </c>
      <c r="Q12">
        <v>2026</v>
      </c>
      <c r="R12">
        <v>2041</v>
      </c>
      <c r="S12" t="s">
        <v>299</v>
      </c>
      <c r="T12">
        <v>2036</v>
      </c>
      <c r="U12">
        <v>43.75</v>
      </c>
      <c r="V12">
        <v>1</v>
      </c>
      <c r="W12">
        <v>2036</v>
      </c>
      <c r="X12">
        <v>10</v>
      </c>
      <c r="Y12">
        <v>2036</v>
      </c>
      <c r="Z12">
        <v>1</v>
      </c>
      <c r="AA12">
        <v>1218.9944199947574</v>
      </c>
      <c r="AB12">
        <v>2437.9888399895149</v>
      </c>
      <c r="AC12">
        <v>1218.9944199947574</v>
      </c>
      <c r="AD12">
        <v>2437.9888399895149</v>
      </c>
      <c r="AE12">
        <v>0</v>
      </c>
      <c r="AF12">
        <v>0</v>
      </c>
      <c r="AG12">
        <v>1218.9944199947574</v>
      </c>
      <c r="AH12">
        <v>2437.9888399895149</v>
      </c>
      <c r="AI12">
        <v>1</v>
      </c>
      <c r="AJ12">
        <v>0</v>
      </c>
      <c r="AK12">
        <v>2037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 t="b">
        <v>0</v>
      </c>
      <c r="AS12">
        <v>1218.9944199947574</v>
      </c>
      <c r="AT12">
        <v>2437.9888399895149</v>
      </c>
      <c r="AU12">
        <v>1828.491629992136</v>
      </c>
    </row>
    <row r="13" spans="1:47" x14ac:dyDescent="0.25">
      <c r="A13" t="s">
        <v>264</v>
      </c>
      <c r="B13" t="s">
        <v>297</v>
      </c>
      <c r="D13">
        <v>2026</v>
      </c>
      <c r="E13">
        <v>0</v>
      </c>
      <c r="F13">
        <v>15</v>
      </c>
      <c r="G13">
        <v>0</v>
      </c>
      <c r="H13">
        <v>0</v>
      </c>
      <c r="I13">
        <v>1000</v>
      </c>
      <c r="J13">
        <v>2000</v>
      </c>
      <c r="K13">
        <v>1</v>
      </c>
      <c r="L13">
        <v>1</v>
      </c>
      <c r="M13">
        <v>1</v>
      </c>
      <c r="N13">
        <v>2</v>
      </c>
      <c r="O13" t="s">
        <v>27</v>
      </c>
      <c r="P13" t="s">
        <v>298</v>
      </c>
      <c r="Q13">
        <v>2026</v>
      </c>
      <c r="R13">
        <v>2041</v>
      </c>
      <c r="S13" t="s">
        <v>299</v>
      </c>
      <c r="T13">
        <v>2037</v>
      </c>
      <c r="U13">
        <v>44.75</v>
      </c>
      <c r="V13">
        <v>1</v>
      </c>
      <c r="W13">
        <v>2037</v>
      </c>
      <c r="X13">
        <v>11</v>
      </c>
      <c r="Y13">
        <v>2037</v>
      </c>
      <c r="Z13">
        <v>1</v>
      </c>
      <c r="AA13">
        <v>1243.3743083946524</v>
      </c>
      <c r="AB13">
        <v>2486.7486167893048</v>
      </c>
      <c r="AC13">
        <v>1243.3743083946524</v>
      </c>
      <c r="AD13">
        <v>2486.7486167893048</v>
      </c>
      <c r="AE13">
        <v>0</v>
      </c>
      <c r="AF13">
        <v>0</v>
      </c>
      <c r="AG13">
        <v>1243.3743083946524</v>
      </c>
      <c r="AH13">
        <v>2486.7486167893048</v>
      </c>
      <c r="AI13">
        <v>1</v>
      </c>
      <c r="AJ13">
        <v>0</v>
      </c>
      <c r="AK13">
        <v>2038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 t="b">
        <v>0</v>
      </c>
      <c r="AS13">
        <v>1243.3743083946524</v>
      </c>
      <c r="AT13">
        <v>2486.7486167893048</v>
      </c>
      <c r="AU13">
        <v>1865.0614625919786</v>
      </c>
    </row>
    <row r="14" spans="1:47" x14ac:dyDescent="0.25">
      <c r="A14" t="s">
        <v>264</v>
      </c>
      <c r="B14" t="s">
        <v>297</v>
      </c>
      <c r="D14">
        <v>2026</v>
      </c>
      <c r="E14">
        <v>0</v>
      </c>
      <c r="F14">
        <v>15</v>
      </c>
      <c r="G14">
        <v>0</v>
      </c>
      <c r="H14">
        <v>0</v>
      </c>
      <c r="I14">
        <v>1000</v>
      </c>
      <c r="J14">
        <v>2000</v>
      </c>
      <c r="K14">
        <v>1</v>
      </c>
      <c r="L14">
        <v>1</v>
      </c>
      <c r="M14">
        <v>1</v>
      </c>
      <c r="N14">
        <v>2</v>
      </c>
      <c r="O14" t="s">
        <v>27</v>
      </c>
      <c r="P14" t="s">
        <v>298</v>
      </c>
      <c r="Q14">
        <v>2026</v>
      </c>
      <c r="R14">
        <v>2041</v>
      </c>
      <c r="S14" t="s">
        <v>299</v>
      </c>
      <c r="T14">
        <v>2038</v>
      </c>
      <c r="U14">
        <v>45.75</v>
      </c>
      <c r="V14">
        <v>1</v>
      </c>
      <c r="W14">
        <v>2038</v>
      </c>
      <c r="X14">
        <v>12</v>
      </c>
      <c r="Y14">
        <v>2038</v>
      </c>
      <c r="Z14">
        <v>1</v>
      </c>
      <c r="AA14">
        <v>1268.2417945625455</v>
      </c>
      <c r="AB14">
        <v>2536.4835891250909</v>
      </c>
      <c r="AC14">
        <v>1268.2417945625455</v>
      </c>
      <c r="AD14">
        <v>2536.4835891250909</v>
      </c>
      <c r="AE14">
        <v>0</v>
      </c>
      <c r="AF14">
        <v>0</v>
      </c>
      <c r="AG14">
        <v>1268.2417945625455</v>
      </c>
      <c r="AH14">
        <v>2536.4835891250909</v>
      </c>
      <c r="AI14">
        <v>1</v>
      </c>
      <c r="AJ14">
        <v>0</v>
      </c>
      <c r="AK14">
        <v>2039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 t="b">
        <v>0</v>
      </c>
      <c r="AS14">
        <v>1268.2417945625455</v>
      </c>
      <c r="AT14">
        <v>2536.4835891250909</v>
      </c>
      <c r="AU14">
        <v>1902.3626918438181</v>
      </c>
    </row>
    <row r="15" spans="1:47" x14ac:dyDescent="0.25">
      <c r="A15" t="s">
        <v>264</v>
      </c>
      <c r="B15" t="s">
        <v>297</v>
      </c>
      <c r="D15">
        <v>2026</v>
      </c>
      <c r="E15">
        <v>0</v>
      </c>
      <c r="F15">
        <v>15</v>
      </c>
      <c r="G15">
        <v>0</v>
      </c>
      <c r="H15">
        <v>0</v>
      </c>
      <c r="I15">
        <v>1000</v>
      </c>
      <c r="J15">
        <v>2000</v>
      </c>
      <c r="K15">
        <v>1</v>
      </c>
      <c r="L15">
        <v>1</v>
      </c>
      <c r="M15">
        <v>1</v>
      </c>
      <c r="N15">
        <v>2</v>
      </c>
      <c r="O15" t="s">
        <v>27</v>
      </c>
      <c r="P15" t="s">
        <v>298</v>
      </c>
      <c r="Q15">
        <v>2026</v>
      </c>
      <c r="R15">
        <v>2041</v>
      </c>
      <c r="S15" t="s">
        <v>299</v>
      </c>
      <c r="T15">
        <v>2039</v>
      </c>
      <c r="U15">
        <v>46.75</v>
      </c>
      <c r="V15">
        <v>1</v>
      </c>
      <c r="W15">
        <v>2039</v>
      </c>
      <c r="X15">
        <v>13</v>
      </c>
      <c r="Y15">
        <v>2039</v>
      </c>
      <c r="Z15">
        <v>1</v>
      </c>
      <c r="AA15">
        <v>1293.6066304537965</v>
      </c>
      <c r="AB15">
        <v>2587.2132609075929</v>
      </c>
      <c r="AC15">
        <v>1293.6066304537965</v>
      </c>
      <c r="AD15">
        <v>2587.2132609075929</v>
      </c>
      <c r="AE15">
        <v>0</v>
      </c>
      <c r="AF15">
        <v>0</v>
      </c>
      <c r="AG15">
        <v>1293.6066304537965</v>
      </c>
      <c r="AH15">
        <v>2587.2132609075929</v>
      </c>
      <c r="AI15">
        <v>1</v>
      </c>
      <c r="AJ15">
        <v>0</v>
      </c>
      <c r="AK15">
        <v>2040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 t="b">
        <v>0</v>
      </c>
      <c r="AS15">
        <v>1293.6066304537965</v>
      </c>
      <c r="AT15">
        <v>2587.2132609075929</v>
      </c>
      <c r="AU15">
        <v>1940.4099456806948</v>
      </c>
    </row>
    <row r="16" spans="1:47" x14ac:dyDescent="0.25">
      <c r="A16" t="s">
        <v>264</v>
      </c>
      <c r="B16" t="s">
        <v>297</v>
      </c>
      <c r="D16">
        <v>2026</v>
      </c>
      <c r="E16">
        <v>0</v>
      </c>
      <c r="F16">
        <v>15</v>
      </c>
      <c r="G16">
        <v>0</v>
      </c>
      <c r="H16">
        <v>0</v>
      </c>
      <c r="I16">
        <v>1000</v>
      </c>
      <c r="J16">
        <v>2000</v>
      </c>
      <c r="K16">
        <v>1</v>
      </c>
      <c r="L16">
        <v>1</v>
      </c>
      <c r="M16">
        <v>1</v>
      </c>
      <c r="N16">
        <v>2</v>
      </c>
      <c r="O16" t="s">
        <v>27</v>
      </c>
      <c r="P16" t="s">
        <v>298</v>
      </c>
      <c r="Q16">
        <v>2026</v>
      </c>
      <c r="R16">
        <v>2041</v>
      </c>
      <c r="S16" t="s">
        <v>299</v>
      </c>
      <c r="T16">
        <v>2040</v>
      </c>
      <c r="U16">
        <v>47.75</v>
      </c>
      <c r="V16">
        <v>1</v>
      </c>
      <c r="W16">
        <v>2040</v>
      </c>
      <c r="X16">
        <v>14</v>
      </c>
      <c r="Y16">
        <v>2040</v>
      </c>
      <c r="Z16">
        <v>1</v>
      </c>
      <c r="AA16">
        <v>1319.4787630628723</v>
      </c>
      <c r="AB16">
        <v>2638.9575261257446</v>
      </c>
      <c r="AC16">
        <v>1319.4787630628723</v>
      </c>
      <c r="AD16">
        <v>2638.9575261257446</v>
      </c>
      <c r="AE16">
        <v>0</v>
      </c>
      <c r="AF16">
        <v>0</v>
      </c>
      <c r="AG16">
        <v>1319.4787630628723</v>
      </c>
      <c r="AH16">
        <v>2638.9575261257446</v>
      </c>
      <c r="AI16">
        <v>1</v>
      </c>
      <c r="AJ16">
        <v>0</v>
      </c>
      <c r="AK16">
        <v>2041</v>
      </c>
      <c r="AM16">
        <v>0</v>
      </c>
      <c r="AN16">
        <v>0</v>
      </c>
      <c r="AO16">
        <v>1</v>
      </c>
      <c r="AP16">
        <v>1</v>
      </c>
      <c r="AQ16">
        <v>1</v>
      </c>
      <c r="AR16" t="b">
        <v>0</v>
      </c>
      <c r="AS16">
        <v>1319.4787630628723</v>
      </c>
      <c r="AT16">
        <v>2638.9575261257446</v>
      </c>
      <c r="AU16">
        <v>1979.2181445943083</v>
      </c>
    </row>
    <row r="17" spans="1:47" x14ac:dyDescent="0.25">
      <c r="A17" t="s">
        <v>264</v>
      </c>
      <c r="B17" t="s">
        <v>297</v>
      </c>
      <c r="D17">
        <v>2026</v>
      </c>
      <c r="E17">
        <v>0</v>
      </c>
      <c r="M17">
        <v>1</v>
      </c>
      <c r="Q17">
        <v>2026</v>
      </c>
      <c r="R17">
        <v>2041</v>
      </c>
      <c r="T17">
        <v>2041</v>
      </c>
      <c r="U17">
        <v>48.75</v>
      </c>
      <c r="W17">
        <v>2041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S17">
        <v>0</v>
      </c>
      <c r="AT17">
        <v>0</v>
      </c>
      <c r="AU17">
        <v>0</v>
      </c>
    </row>
    <row r="18" spans="1:47" x14ac:dyDescent="0.25">
      <c r="A18" t="s">
        <v>265</v>
      </c>
      <c r="B18" t="s">
        <v>300</v>
      </c>
      <c r="D18">
        <v>2026</v>
      </c>
      <c r="E18">
        <v>0</v>
      </c>
      <c r="F18">
        <v>15</v>
      </c>
      <c r="G18">
        <v>0</v>
      </c>
      <c r="H18">
        <v>0</v>
      </c>
      <c r="I18">
        <v>1000</v>
      </c>
      <c r="J18">
        <v>2000</v>
      </c>
      <c r="K18">
        <v>1</v>
      </c>
      <c r="L18">
        <v>1</v>
      </c>
      <c r="M18">
        <v>2</v>
      </c>
      <c r="N18">
        <v>2</v>
      </c>
      <c r="O18" t="s">
        <v>27</v>
      </c>
      <c r="P18" t="s">
        <v>298</v>
      </c>
      <c r="Q18">
        <v>2026</v>
      </c>
      <c r="R18">
        <v>2041</v>
      </c>
      <c r="S18" t="s">
        <v>299</v>
      </c>
      <c r="T18">
        <v>2026</v>
      </c>
      <c r="U18">
        <v>33.75</v>
      </c>
      <c r="V18">
        <v>1</v>
      </c>
      <c r="W18">
        <v>2026</v>
      </c>
      <c r="X18">
        <v>0</v>
      </c>
      <c r="Y18">
        <v>2026</v>
      </c>
      <c r="Z18">
        <v>1</v>
      </c>
      <c r="AA18">
        <v>1000</v>
      </c>
      <c r="AB18">
        <v>2000</v>
      </c>
      <c r="AC18">
        <v>1000</v>
      </c>
      <c r="AD18">
        <v>2000</v>
      </c>
      <c r="AE18">
        <v>0</v>
      </c>
      <c r="AF18">
        <v>0</v>
      </c>
      <c r="AG18">
        <v>1000</v>
      </c>
      <c r="AH18">
        <v>2000</v>
      </c>
      <c r="AI18">
        <v>1</v>
      </c>
      <c r="AJ18">
        <v>0</v>
      </c>
      <c r="AK18">
        <v>2027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1</v>
      </c>
      <c r="AR18" t="b">
        <v>1</v>
      </c>
      <c r="AS18">
        <v>1000</v>
      </c>
      <c r="AT18">
        <v>2000</v>
      </c>
      <c r="AU18">
        <v>1500</v>
      </c>
    </row>
    <row r="19" spans="1:47" x14ac:dyDescent="0.25">
      <c r="A19" t="s">
        <v>265</v>
      </c>
      <c r="B19" t="s">
        <v>300</v>
      </c>
      <c r="D19">
        <v>2026</v>
      </c>
      <c r="E19">
        <v>0</v>
      </c>
      <c r="F19">
        <v>15</v>
      </c>
      <c r="G19">
        <v>0</v>
      </c>
      <c r="H19">
        <v>0</v>
      </c>
      <c r="I19">
        <v>1000</v>
      </c>
      <c r="J19">
        <v>2000</v>
      </c>
      <c r="K19">
        <v>1</v>
      </c>
      <c r="L19">
        <v>1</v>
      </c>
      <c r="M19">
        <v>2</v>
      </c>
      <c r="N19">
        <v>2</v>
      </c>
      <c r="O19" t="s">
        <v>27</v>
      </c>
      <c r="P19" t="s">
        <v>298</v>
      </c>
      <c r="Q19">
        <v>2026</v>
      </c>
      <c r="R19">
        <v>2041</v>
      </c>
      <c r="S19" t="s">
        <v>299</v>
      </c>
      <c r="T19">
        <v>2027</v>
      </c>
      <c r="U19">
        <v>34.75</v>
      </c>
      <c r="V19">
        <v>1</v>
      </c>
      <c r="W19">
        <v>2027</v>
      </c>
      <c r="X19">
        <v>1</v>
      </c>
      <c r="Y19">
        <v>2027</v>
      </c>
      <c r="Z19">
        <v>1</v>
      </c>
      <c r="AA19">
        <v>1020</v>
      </c>
      <c r="AB19">
        <v>2040</v>
      </c>
      <c r="AC19">
        <v>1020</v>
      </c>
      <c r="AD19">
        <v>2040</v>
      </c>
      <c r="AE19">
        <v>0</v>
      </c>
      <c r="AF19">
        <v>0</v>
      </c>
      <c r="AG19">
        <v>1020</v>
      </c>
      <c r="AH19">
        <v>2040</v>
      </c>
      <c r="AI19">
        <v>1</v>
      </c>
      <c r="AJ19">
        <v>0</v>
      </c>
      <c r="AK19">
        <v>2028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 t="b">
        <v>0</v>
      </c>
      <c r="AS19">
        <v>1020</v>
      </c>
      <c r="AT19">
        <v>2040</v>
      </c>
      <c r="AU19">
        <v>1530</v>
      </c>
    </row>
    <row r="20" spans="1:47" x14ac:dyDescent="0.25">
      <c r="A20" t="s">
        <v>265</v>
      </c>
      <c r="B20" t="s">
        <v>300</v>
      </c>
      <c r="D20">
        <v>2026</v>
      </c>
      <c r="E20">
        <v>0</v>
      </c>
      <c r="F20">
        <v>15</v>
      </c>
      <c r="G20">
        <v>0</v>
      </c>
      <c r="H20">
        <v>0</v>
      </c>
      <c r="I20">
        <v>1000</v>
      </c>
      <c r="J20">
        <v>2000</v>
      </c>
      <c r="K20">
        <v>1</v>
      </c>
      <c r="L20">
        <v>1</v>
      </c>
      <c r="M20">
        <v>2</v>
      </c>
      <c r="N20">
        <v>2</v>
      </c>
      <c r="O20" t="s">
        <v>27</v>
      </c>
      <c r="P20" t="s">
        <v>298</v>
      </c>
      <c r="Q20">
        <v>2026</v>
      </c>
      <c r="R20">
        <v>2041</v>
      </c>
      <c r="S20" t="s">
        <v>299</v>
      </c>
      <c r="T20">
        <v>2028</v>
      </c>
      <c r="U20">
        <v>35.75</v>
      </c>
      <c r="V20">
        <v>1</v>
      </c>
      <c r="W20">
        <v>2028</v>
      </c>
      <c r="X20">
        <v>2</v>
      </c>
      <c r="Y20">
        <v>2028</v>
      </c>
      <c r="Z20">
        <v>1</v>
      </c>
      <c r="AA20">
        <v>1040.4000000000001</v>
      </c>
      <c r="AB20">
        <v>2080.8000000000002</v>
      </c>
      <c r="AC20">
        <v>1040.4000000000001</v>
      </c>
      <c r="AD20">
        <v>2080.8000000000002</v>
      </c>
      <c r="AE20">
        <v>0</v>
      </c>
      <c r="AF20">
        <v>0</v>
      </c>
      <c r="AG20">
        <v>1040.4000000000001</v>
      </c>
      <c r="AH20">
        <v>2080.8000000000002</v>
      </c>
      <c r="AI20">
        <v>1</v>
      </c>
      <c r="AJ20">
        <v>0</v>
      </c>
      <c r="AK20">
        <v>2029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 t="b">
        <v>0</v>
      </c>
      <c r="AS20">
        <v>1040.4000000000001</v>
      </c>
      <c r="AT20">
        <v>2080.8000000000002</v>
      </c>
      <c r="AU20">
        <v>1560.6000000000001</v>
      </c>
    </row>
    <row r="21" spans="1:47" x14ac:dyDescent="0.25">
      <c r="A21" t="s">
        <v>265</v>
      </c>
      <c r="B21" t="s">
        <v>300</v>
      </c>
      <c r="D21">
        <v>2026</v>
      </c>
      <c r="E21">
        <v>0</v>
      </c>
      <c r="F21">
        <v>15</v>
      </c>
      <c r="G21">
        <v>0</v>
      </c>
      <c r="H21">
        <v>0</v>
      </c>
      <c r="I21">
        <v>1000</v>
      </c>
      <c r="J21">
        <v>2000</v>
      </c>
      <c r="K21">
        <v>1</v>
      </c>
      <c r="L21">
        <v>1</v>
      </c>
      <c r="M21">
        <v>2</v>
      </c>
      <c r="N21">
        <v>2</v>
      </c>
      <c r="O21" t="s">
        <v>27</v>
      </c>
      <c r="P21" t="s">
        <v>298</v>
      </c>
      <c r="Q21">
        <v>2026</v>
      </c>
      <c r="R21">
        <v>2041</v>
      </c>
      <c r="S21" t="s">
        <v>299</v>
      </c>
      <c r="T21">
        <v>2029</v>
      </c>
      <c r="U21">
        <v>36.75</v>
      </c>
      <c r="V21">
        <v>1</v>
      </c>
      <c r="W21">
        <v>2029</v>
      </c>
      <c r="X21">
        <v>3</v>
      </c>
      <c r="Y21">
        <v>2029</v>
      </c>
      <c r="Z21">
        <v>1</v>
      </c>
      <c r="AA21">
        <v>1061.2080000000001</v>
      </c>
      <c r="AB21">
        <v>2122.4160000000002</v>
      </c>
      <c r="AC21">
        <v>1061.2080000000001</v>
      </c>
      <c r="AD21">
        <v>2122.4160000000002</v>
      </c>
      <c r="AE21">
        <v>0</v>
      </c>
      <c r="AF21">
        <v>0</v>
      </c>
      <c r="AG21">
        <v>1061.2080000000001</v>
      </c>
      <c r="AH21">
        <v>2122.4160000000002</v>
      </c>
      <c r="AI21">
        <v>1</v>
      </c>
      <c r="AJ21">
        <v>0</v>
      </c>
      <c r="AK21">
        <v>2030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1</v>
      </c>
      <c r="AR21" t="b">
        <v>0</v>
      </c>
      <c r="AS21">
        <v>1061.2080000000001</v>
      </c>
      <c r="AT21">
        <v>2122.4160000000002</v>
      </c>
      <c r="AU21">
        <v>1591.8120000000001</v>
      </c>
    </row>
    <row r="22" spans="1:47" x14ac:dyDescent="0.25">
      <c r="A22" t="s">
        <v>265</v>
      </c>
      <c r="B22" t="s">
        <v>300</v>
      </c>
      <c r="D22">
        <v>2026</v>
      </c>
      <c r="E22">
        <v>0</v>
      </c>
      <c r="F22">
        <v>15</v>
      </c>
      <c r="G22">
        <v>0</v>
      </c>
      <c r="H22">
        <v>0</v>
      </c>
      <c r="I22">
        <v>1000</v>
      </c>
      <c r="J22">
        <v>2000</v>
      </c>
      <c r="K22">
        <v>1</v>
      </c>
      <c r="L22">
        <v>1</v>
      </c>
      <c r="M22">
        <v>2</v>
      </c>
      <c r="N22">
        <v>2</v>
      </c>
      <c r="O22" t="s">
        <v>27</v>
      </c>
      <c r="P22" t="s">
        <v>298</v>
      </c>
      <c r="Q22">
        <v>2026</v>
      </c>
      <c r="R22">
        <v>2041</v>
      </c>
      <c r="S22" t="s">
        <v>299</v>
      </c>
      <c r="T22">
        <v>2030</v>
      </c>
      <c r="U22">
        <v>37.75</v>
      </c>
      <c r="V22">
        <v>1</v>
      </c>
      <c r="W22">
        <v>2030</v>
      </c>
      <c r="X22">
        <v>4</v>
      </c>
      <c r="Y22">
        <v>2030</v>
      </c>
      <c r="Z22">
        <v>1</v>
      </c>
      <c r="AA22">
        <v>1082.4321600000001</v>
      </c>
      <c r="AB22">
        <v>2164.8643200000001</v>
      </c>
      <c r="AC22">
        <v>1082.4321600000001</v>
      </c>
      <c r="AD22">
        <v>2164.8643200000001</v>
      </c>
      <c r="AE22">
        <v>0</v>
      </c>
      <c r="AF22">
        <v>0</v>
      </c>
      <c r="AG22">
        <v>1082.4321600000001</v>
      </c>
      <c r="AH22">
        <v>2164.8643200000001</v>
      </c>
      <c r="AI22">
        <v>1</v>
      </c>
      <c r="AJ22">
        <v>0</v>
      </c>
      <c r="AK22">
        <v>2031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 t="b">
        <v>0</v>
      </c>
      <c r="AS22">
        <v>1082.4321600000001</v>
      </c>
      <c r="AT22">
        <v>2164.8643200000001</v>
      </c>
      <c r="AU22">
        <v>1623.64824</v>
      </c>
    </row>
    <row r="23" spans="1:47" x14ac:dyDescent="0.25">
      <c r="A23" t="s">
        <v>265</v>
      </c>
      <c r="B23" t="s">
        <v>300</v>
      </c>
      <c r="D23">
        <v>2026</v>
      </c>
      <c r="E23">
        <v>0</v>
      </c>
      <c r="F23">
        <v>15</v>
      </c>
      <c r="G23">
        <v>0</v>
      </c>
      <c r="H23">
        <v>0</v>
      </c>
      <c r="I23">
        <v>1000</v>
      </c>
      <c r="J23">
        <v>2000</v>
      </c>
      <c r="K23">
        <v>1</v>
      </c>
      <c r="L23">
        <v>1</v>
      </c>
      <c r="M23">
        <v>2</v>
      </c>
      <c r="N23">
        <v>2</v>
      </c>
      <c r="O23" t="s">
        <v>27</v>
      </c>
      <c r="P23" t="s">
        <v>298</v>
      </c>
      <c r="Q23">
        <v>2026</v>
      </c>
      <c r="R23">
        <v>2041</v>
      </c>
      <c r="S23" t="s">
        <v>299</v>
      </c>
      <c r="T23">
        <v>2031</v>
      </c>
      <c r="U23">
        <v>38.75</v>
      </c>
      <c r="V23">
        <v>1</v>
      </c>
      <c r="W23">
        <v>2031</v>
      </c>
      <c r="X23">
        <v>5</v>
      </c>
      <c r="Y23">
        <v>2031</v>
      </c>
      <c r="Z23">
        <v>1</v>
      </c>
      <c r="AA23">
        <v>1104.0808032</v>
      </c>
      <c r="AB23">
        <v>2208.1616064</v>
      </c>
      <c r="AC23">
        <v>1104.0808032</v>
      </c>
      <c r="AD23">
        <v>2208.1616064</v>
      </c>
      <c r="AE23">
        <v>0</v>
      </c>
      <c r="AF23">
        <v>0</v>
      </c>
      <c r="AG23">
        <v>1104.0808032</v>
      </c>
      <c r="AH23">
        <v>2208.1616064</v>
      </c>
      <c r="AI23">
        <v>1</v>
      </c>
      <c r="AJ23">
        <v>0</v>
      </c>
      <c r="AK23">
        <v>2032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 t="b">
        <v>0</v>
      </c>
      <c r="AS23">
        <v>1104.0808032</v>
      </c>
      <c r="AT23">
        <v>2208.1616064</v>
      </c>
      <c r="AU23">
        <v>1656.1212048</v>
      </c>
    </row>
    <row r="24" spans="1:47" x14ac:dyDescent="0.25">
      <c r="A24" t="s">
        <v>265</v>
      </c>
      <c r="B24" t="s">
        <v>300</v>
      </c>
      <c r="D24">
        <v>2026</v>
      </c>
      <c r="E24">
        <v>0</v>
      </c>
      <c r="F24">
        <v>15</v>
      </c>
      <c r="G24">
        <v>0</v>
      </c>
      <c r="H24">
        <v>0</v>
      </c>
      <c r="I24">
        <v>1000</v>
      </c>
      <c r="J24">
        <v>2000</v>
      </c>
      <c r="K24">
        <v>1</v>
      </c>
      <c r="L24">
        <v>1</v>
      </c>
      <c r="M24">
        <v>2</v>
      </c>
      <c r="N24">
        <v>2</v>
      </c>
      <c r="O24" t="s">
        <v>27</v>
      </c>
      <c r="P24" t="s">
        <v>298</v>
      </c>
      <c r="Q24">
        <v>2026</v>
      </c>
      <c r="R24">
        <v>2041</v>
      </c>
      <c r="S24" t="s">
        <v>299</v>
      </c>
      <c r="T24">
        <v>2032</v>
      </c>
      <c r="U24">
        <v>39.75</v>
      </c>
      <c r="V24">
        <v>1</v>
      </c>
      <c r="W24">
        <v>2032</v>
      </c>
      <c r="X24">
        <v>6</v>
      </c>
      <c r="Y24">
        <v>2032</v>
      </c>
      <c r="Z24">
        <v>1</v>
      </c>
      <c r="AA24">
        <v>1126.1624192640002</v>
      </c>
      <c r="AB24">
        <v>2252.3248385280003</v>
      </c>
      <c r="AC24">
        <v>1126.1624192640002</v>
      </c>
      <c r="AD24">
        <v>2252.3248385280003</v>
      </c>
      <c r="AE24">
        <v>0</v>
      </c>
      <c r="AF24">
        <v>0</v>
      </c>
      <c r="AG24">
        <v>1126.1624192640002</v>
      </c>
      <c r="AH24">
        <v>2252.3248385280003</v>
      </c>
      <c r="AI24">
        <v>1</v>
      </c>
      <c r="AJ24">
        <v>0</v>
      </c>
      <c r="AK24">
        <v>2033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 t="b">
        <v>0</v>
      </c>
      <c r="AS24">
        <v>1126.1624192640002</v>
      </c>
      <c r="AT24">
        <v>2252.3248385280003</v>
      </c>
      <c r="AU24">
        <v>1689.2436288960002</v>
      </c>
    </row>
    <row r="25" spans="1:47" x14ac:dyDescent="0.25">
      <c r="A25" t="s">
        <v>265</v>
      </c>
      <c r="B25" t="s">
        <v>300</v>
      </c>
      <c r="D25">
        <v>2026</v>
      </c>
      <c r="E25">
        <v>0</v>
      </c>
      <c r="F25">
        <v>15</v>
      </c>
      <c r="G25">
        <v>0</v>
      </c>
      <c r="H25">
        <v>0</v>
      </c>
      <c r="I25">
        <v>1000</v>
      </c>
      <c r="J25">
        <v>2000</v>
      </c>
      <c r="K25">
        <v>1</v>
      </c>
      <c r="L25">
        <v>1</v>
      </c>
      <c r="M25">
        <v>2</v>
      </c>
      <c r="N25">
        <v>2</v>
      </c>
      <c r="O25" t="s">
        <v>27</v>
      </c>
      <c r="P25" t="s">
        <v>298</v>
      </c>
      <c r="Q25">
        <v>2026</v>
      </c>
      <c r="R25">
        <v>2041</v>
      </c>
      <c r="S25" t="s">
        <v>299</v>
      </c>
      <c r="T25">
        <v>2033</v>
      </c>
      <c r="U25">
        <v>40.75</v>
      </c>
      <c r="V25">
        <v>1</v>
      </c>
      <c r="W25">
        <v>2033</v>
      </c>
      <c r="X25">
        <v>7</v>
      </c>
      <c r="Y25">
        <v>2033</v>
      </c>
      <c r="Z25">
        <v>1</v>
      </c>
      <c r="AA25">
        <v>1148.68566764928</v>
      </c>
      <c r="AB25">
        <v>2297.3713352985601</v>
      </c>
      <c r="AC25">
        <v>1148.68566764928</v>
      </c>
      <c r="AD25">
        <v>2297.3713352985601</v>
      </c>
      <c r="AE25">
        <v>0</v>
      </c>
      <c r="AF25">
        <v>0</v>
      </c>
      <c r="AG25">
        <v>1148.68566764928</v>
      </c>
      <c r="AH25">
        <v>2297.3713352985601</v>
      </c>
      <c r="AI25">
        <v>1</v>
      </c>
      <c r="AJ25">
        <v>0</v>
      </c>
      <c r="AK25">
        <v>2034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 t="b">
        <v>0</v>
      </c>
      <c r="AS25">
        <v>1148.68566764928</v>
      </c>
      <c r="AT25">
        <v>2297.3713352985601</v>
      </c>
      <c r="AU25">
        <v>1723.0285014739202</v>
      </c>
    </row>
    <row r="26" spans="1:47" x14ac:dyDescent="0.25">
      <c r="A26" t="s">
        <v>265</v>
      </c>
      <c r="B26" t="s">
        <v>300</v>
      </c>
      <c r="D26">
        <v>2026</v>
      </c>
      <c r="E26">
        <v>0</v>
      </c>
      <c r="F26">
        <v>15</v>
      </c>
      <c r="G26">
        <v>0</v>
      </c>
      <c r="H26">
        <v>0</v>
      </c>
      <c r="I26">
        <v>1000</v>
      </c>
      <c r="J26">
        <v>2000</v>
      </c>
      <c r="K26">
        <v>1</v>
      </c>
      <c r="L26">
        <v>1</v>
      </c>
      <c r="M26">
        <v>2</v>
      </c>
      <c r="N26">
        <v>2</v>
      </c>
      <c r="O26" t="s">
        <v>27</v>
      </c>
      <c r="P26" t="s">
        <v>298</v>
      </c>
      <c r="Q26">
        <v>2026</v>
      </c>
      <c r="R26">
        <v>2041</v>
      </c>
      <c r="S26" t="s">
        <v>299</v>
      </c>
      <c r="T26">
        <v>2034</v>
      </c>
      <c r="U26">
        <v>41.75</v>
      </c>
      <c r="V26">
        <v>1</v>
      </c>
      <c r="W26">
        <v>2034</v>
      </c>
      <c r="X26">
        <v>8</v>
      </c>
      <c r="Y26">
        <v>2034</v>
      </c>
      <c r="Z26">
        <v>1</v>
      </c>
      <c r="AA26">
        <v>1171.6593810022657</v>
      </c>
      <c r="AB26">
        <v>2343.3187620045314</v>
      </c>
      <c r="AC26">
        <v>1171.6593810022657</v>
      </c>
      <c r="AD26">
        <v>2343.3187620045314</v>
      </c>
      <c r="AE26">
        <v>0</v>
      </c>
      <c r="AF26">
        <v>0</v>
      </c>
      <c r="AG26">
        <v>1171.6593810022657</v>
      </c>
      <c r="AH26">
        <v>2343.3187620045314</v>
      </c>
      <c r="AI26">
        <v>1</v>
      </c>
      <c r="AJ26">
        <v>0</v>
      </c>
      <c r="AK26">
        <v>2035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1</v>
      </c>
      <c r="AR26" t="b">
        <v>0</v>
      </c>
      <c r="AS26">
        <v>1171.6593810022657</v>
      </c>
      <c r="AT26">
        <v>2343.3187620045314</v>
      </c>
      <c r="AU26">
        <v>1757.4890715033985</v>
      </c>
    </row>
    <row r="27" spans="1:47" x14ac:dyDescent="0.25">
      <c r="A27" t="s">
        <v>265</v>
      </c>
      <c r="B27" t="s">
        <v>300</v>
      </c>
      <c r="D27">
        <v>2026</v>
      </c>
      <c r="E27">
        <v>0</v>
      </c>
      <c r="F27">
        <v>15</v>
      </c>
      <c r="G27">
        <v>0</v>
      </c>
      <c r="H27">
        <v>0</v>
      </c>
      <c r="I27">
        <v>1000</v>
      </c>
      <c r="J27">
        <v>2000</v>
      </c>
      <c r="K27">
        <v>1</v>
      </c>
      <c r="L27">
        <v>1</v>
      </c>
      <c r="M27">
        <v>2</v>
      </c>
      <c r="N27">
        <v>2</v>
      </c>
      <c r="O27" t="s">
        <v>27</v>
      </c>
      <c r="P27" t="s">
        <v>298</v>
      </c>
      <c r="Q27">
        <v>2026</v>
      </c>
      <c r="R27">
        <v>2041</v>
      </c>
      <c r="S27" t="s">
        <v>299</v>
      </c>
      <c r="T27">
        <v>2035</v>
      </c>
      <c r="U27">
        <v>42.75</v>
      </c>
      <c r="V27">
        <v>1</v>
      </c>
      <c r="W27">
        <v>2035</v>
      </c>
      <c r="X27">
        <v>9</v>
      </c>
      <c r="Y27">
        <v>2035</v>
      </c>
      <c r="Z27">
        <v>1</v>
      </c>
      <c r="AA27">
        <v>1195.0925686223111</v>
      </c>
      <c r="AB27">
        <v>2390.1851372446222</v>
      </c>
      <c r="AC27">
        <v>1195.0925686223111</v>
      </c>
      <c r="AD27">
        <v>2390.1851372446222</v>
      </c>
      <c r="AE27">
        <v>0</v>
      </c>
      <c r="AF27">
        <v>0</v>
      </c>
      <c r="AG27">
        <v>1195.0925686223111</v>
      </c>
      <c r="AH27">
        <v>2390.1851372446222</v>
      </c>
      <c r="AI27">
        <v>1</v>
      </c>
      <c r="AJ27">
        <v>0</v>
      </c>
      <c r="AK27">
        <v>2036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 t="b">
        <v>0</v>
      </c>
      <c r="AS27">
        <v>1195.0925686223111</v>
      </c>
      <c r="AT27">
        <v>2390.1851372446222</v>
      </c>
      <c r="AU27">
        <v>1792.6388529334668</v>
      </c>
    </row>
    <row r="28" spans="1:47" x14ac:dyDescent="0.25">
      <c r="A28" t="s">
        <v>265</v>
      </c>
      <c r="B28" t="s">
        <v>300</v>
      </c>
      <c r="D28">
        <v>2026</v>
      </c>
      <c r="E28">
        <v>0</v>
      </c>
      <c r="F28">
        <v>15</v>
      </c>
      <c r="G28">
        <v>0</v>
      </c>
      <c r="H28">
        <v>0</v>
      </c>
      <c r="I28">
        <v>1000</v>
      </c>
      <c r="J28">
        <v>2000</v>
      </c>
      <c r="K28">
        <v>1</v>
      </c>
      <c r="L28">
        <v>1</v>
      </c>
      <c r="M28">
        <v>2</v>
      </c>
      <c r="N28">
        <v>2</v>
      </c>
      <c r="O28" t="s">
        <v>27</v>
      </c>
      <c r="P28" t="s">
        <v>298</v>
      </c>
      <c r="Q28">
        <v>2026</v>
      </c>
      <c r="R28">
        <v>2041</v>
      </c>
      <c r="S28" t="s">
        <v>299</v>
      </c>
      <c r="T28">
        <v>2036</v>
      </c>
      <c r="U28">
        <v>43.75</v>
      </c>
      <c r="V28">
        <v>1</v>
      </c>
      <c r="W28">
        <v>2036</v>
      </c>
      <c r="X28">
        <v>10</v>
      </c>
      <c r="Y28">
        <v>2036</v>
      </c>
      <c r="Z28">
        <v>1</v>
      </c>
      <c r="AA28">
        <v>1218.9944199947574</v>
      </c>
      <c r="AB28">
        <v>2437.9888399895149</v>
      </c>
      <c r="AC28">
        <v>1218.9944199947574</v>
      </c>
      <c r="AD28">
        <v>2437.9888399895149</v>
      </c>
      <c r="AE28">
        <v>0</v>
      </c>
      <c r="AF28">
        <v>0</v>
      </c>
      <c r="AG28">
        <v>1218.9944199947574</v>
      </c>
      <c r="AH28">
        <v>2437.9888399895149</v>
      </c>
      <c r="AI28">
        <v>1</v>
      </c>
      <c r="AJ28">
        <v>0</v>
      </c>
      <c r="AK28">
        <v>2037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1</v>
      </c>
      <c r="AR28" t="b">
        <v>0</v>
      </c>
      <c r="AS28">
        <v>1218.9944199947574</v>
      </c>
      <c r="AT28">
        <v>2437.9888399895149</v>
      </c>
      <c r="AU28">
        <v>1828.491629992136</v>
      </c>
    </row>
    <row r="29" spans="1:47" x14ac:dyDescent="0.25">
      <c r="A29" t="s">
        <v>265</v>
      </c>
      <c r="B29" t="s">
        <v>300</v>
      </c>
      <c r="D29">
        <v>2026</v>
      </c>
      <c r="E29">
        <v>0</v>
      </c>
      <c r="F29">
        <v>15</v>
      </c>
      <c r="G29">
        <v>0</v>
      </c>
      <c r="H29">
        <v>0</v>
      </c>
      <c r="I29">
        <v>1000</v>
      </c>
      <c r="J29">
        <v>2000</v>
      </c>
      <c r="K29">
        <v>1</v>
      </c>
      <c r="L29">
        <v>1</v>
      </c>
      <c r="M29">
        <v>2</v>
      </c>
      <c r="N29">
        <v>2</v>
      </c>
      <c r="O29" t="s">
        <v>27</v>
      </c>
      <c r="P29" t="s">
        <v>298</v>
      </c>
      <c r="Q29">
        <v>2026</v>
      </c>
      <c r="R29">
        <v>2041</v>
      </c>
      <c r="S29" t="s">
        <v>299</v>
      </c>
      <c r="T29">
        <v>2037</v>
      </c>
      <c r="U29">
        <v>44.75</v>
      </c>
      <c r="V29">
        <v>1</v>
      </c>
      <c r="W29">
        <v>2037</v>
      </c>
      <c r="X29">
        <v>11</v>
      </c>
      <c r="Y29">
        <v>2037</v>
      </c>
      <c r="Z29">
        <v>1</v>
      </c>
      <c r="AA29">
        <v>1243.3743083946524</v>
      </c>
      <c r="AB29">
        <v>2486.7486167893048</v>
      </c>
      <c r="AC29">
        <v>1243.3743083946524</v>
      </c>
      <c r="AD29">
        <v>2486.7486167893048</v>
      </c>
      <c r="AE29">
        <v>0</v>
      </c>
      <c r="AF29">
        <v>0</v>
      </c>
      <c r="AG29">
        <v>1243.3743083946524</v>
      </c>
      <c r="AH29">
        <v>2486.7486167893048</v>
      </c>
      <c r="AI29">
        <v>1</v>
      </c>
      <c r="AJ29">
        <v>0</v>
      </c>
      <c r="AK29">
        <v>2038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 t="b">
        <v>0</v>
      </c>
      <c r="AS29">
        <v>1243.3743083946524</v>
      </c>
      <c r="AT29">
        <v>2486.7486167893048</v>
      </c>
      <c r="AU29">
        <v>1865.0614625919786</v>
      </c>
    </row>
    <row r="30" spans="1:47" x14ac:dyDescent="0.25">
      <c r="A30" t="s">
        <v>265</v>
      </c>
      <c r="B30" t="s">
        <v>300</v>
      </c>
      <c r="D30">
        <v>2026</v>
      </c>
      <c r="E30">
        <v>0</v>
      </c>
      <c r="F30">
        <v>15</v>
      </c>
      <c r="G30">
        <v>0</v>
      </c>
      <c r="H30">
        <v>0</v>
      </c>
      <c r="I30">
        <v>1000</v>
      </c>
      <c r="J30">
        <v>2000</v>
      </c>
      <c r="K30">
        <v>1</v>
      </c>
      <c r="L30">
        <v>1</v>
      </c>
      <c r="M30">
        <v>2</v>
      </c>
      <c r="N30">
        <v>2</v>
      </c>
      <c r="O30" t="s">
        <v>27</v>
      </c>
      <c r="P30" t="s">
        <v>298</v>
      </c>
      <c r="Q30">
        <v>2026</v>
      </c>
      <c r="R30">
        <v>2041</v>
      </c>
      <c r="S30" t="s">
        <v>299</v>
      </c>
      <c r="T30">
        <v>2038</v>
      </c>
      <c r="U30">
        <v>45.75</v>
      </c>
      <c r="V30">
        <v>1</v>
      </c>
      <c r="W30">
        <v>2038</v>
      </c>
      <c r="X30">
        <v>12</v>
      </c>
      <c r="Y30">
        <v>2038</v>
      </c>
      <c r="Z30">
        <v>1</v>
      </c>
      <c r="AA30">
        <v>1268.2417945625455</v>
      </c>
      <c r="AB30">
        <v>2536.4835891250909</v>
      </c>
      <c r="AC30">
        <v>1268.2417945625455</v>
      </c>
      <c r="AD30">
        <v>2536.4835891250909</v>
      </c>
      <c r="AE30">
        <v>0</v>
      </c>
      <c r="AF30">
        <v>0</v>
      </c>
      <c r="AG30">
        <v>1268.2417945625455</v>
      </c>
      <c r="AH30">
        <v>2536.4835891250909</v>
      </c>
      <c r="AI30">
        <v>1</v>
      </c>
      <c r="AJ30">
        <v>0</v>
      </c>
      <c r="AK30">
        <v>2039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 t="b">
        <v>0</v>
      </c>
      <c r="AS30">
        <v>1268.2417945625455</v>
      </c>
      <c r="AT30">
        <v>2536.4835891250909</v>
      </c>
      <c r="AU30">
        <v>1902.3626918438181</v>
      </c>
    </row>
    <row r="31" spans="1:47" x14ac:dyDescent="0.25">
      <c r="A31" t="s">
        <v>265</v>
      </c>
      <c r="B31" t="s">
        <v>300</v>
      </c>
      <c r="D31">
        <v>2026</v>
      </c>
      <c r="E31">
        <v>0</v>
      </c>
      <c r="F31">
        <v>15</v>
      </c>
      <c r="G31">
        <v>0</v>
      </c>
      <c r="H31">
        <v>0</v>
      </c>
      <c r="I31">
        <v>1000</v>
      </c>
      <c r="J31">
        <v>2000</v>
      </c>
      <c r="K31">
        <v>1</v>
      </c>
      <c r="L31">
        <v>1</v>
      </c>
      <c r="M31">
        <v>2</v>
      </c>
      <c r="N31">
        <v>2</v>
      </c>
      <c r="O31" t="s">
        <v>27</v>
      </c>
      <c r="P31" t="s">
        <v>298</v>
      </c>
      <c r="Q31">
        <v>2026</v>
      </c>
      <c r="R31">
        <v>2041</v>
      </c>
      <c r="S31" t="s">
        <v>299</v>
      </c>
      <c r="T31">
        <v>2039</v>
      </c>
      <c r="U31">
        <v>46.75</v>
      </c>
      <c r="V31">
        <v>1</v>
      </c>
      <c r="W31">
        <v>2039</v>
      </c>
      <c r="X31">
        <v>13</v>
      </c>
      <c r="Y31">
        <v>2039</v>
      </c>
      <c r="Z31">
        <v>1</v>
      </c>
      <c r="AA31">
        <v>1293.6066304537965</v>
      </c>
      <c r="AB31">
        <v>2587.2132609075929</v>
      </c>
      <c r="AC31">
        <v>1293.6066304537965</v>
      </c>
      <c r="AD31">
        <v>2587.2132609075929</v>
      </c>
      <c r="AE31">
        <v>0</v>
      </c>
      <c r="AF31">
        <v>0</v>
      </c>
      <c r="AG31">
        <v>1293.6066304537965</v>
      </c>
      <c r="AH31">
        <v>2587.2132609075929</v>
      </c>
      <c r="AI31">
        <v>1</v>
      </c>
      <c r="AJ31">
        <v>0</v>
      </c>
      <c r="AK31">
        <v>2040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 t="b">
        <v>0</v>
      </c>
      <c r="AS31">
        <v>1293.6066304537965</v>
      </c>
      <c r="AT31">
        <v>2587.2132609075929</v>
      </c>
      <c r="AU31">
        <v>1940.4099456806948</v>
      </c>
    </row>
    <row r="32" spans="1:47" x14ac:dyDescent="0.25">
      <c r="A32" t="s">
        <v>265</v>
      </c>
      <c r="B32" t="s">
        <v>300</v>
      </c>
      <c r="D32">
        <v>2026</v>
      </c>
      <c r="E32">
        <v>0</v>
      </c>
      <c r="F32">
        <v>15</v>
      </c>
      <c r="G32">
        <v>0</v>
      </c>
      <c r="H32">
        <v>0</v>
      </c>
      <c r="I32">
        <v>1000</v>
      </c>
      <c r="J32">
        <v>2000</v>
      </c>
      <c r="K32">
        <v>1</v>
      </c>
      <c r="L32">
        <v>1</v>
      </c>
      <c r="M32">
        <v>2</v>
      </c>
      <c r="N32">
        <v>2</v>
      </c>
      <c r="O32" t="s">
        <v>27</v>
      </c>
      <c r="P32" t="s">
        <v>298</v>
      </c>
      <c r="Q32">
        <v>2026</v>
      </c>
      <c r="R32">
        <v>2041</v>
      </c>
      <c r="S32" t="s">
        <v>299</v>
      </c>
      <c r="T32">
        <v>2040</v>
      </c>
      <c r="U32">
        <v>47.75</v>
      </c>
      <c r="V32">
        <v>1</v>
      </c>
      <c r="W32">
        <v>2040</v>
      </c>
      <c r="X32">
        <v>14</v>
      </c>
      <c r="Y32">
        <v>2040</v>
      </c>
      <c r="Z32">
        <v>1</v>
      </c>
      <c r="AA32">
        <v>1319.4787630628723</v>
      </c>
      <c r="AB32">
        <v>2638.9575261257446</v>
      </c>
      <c r="AC32">
        <v>1319.4787630628723</v>
      </c>
      <c r="AD32">
        <v>2638.9575261257446</v>
      </c>
      <c r="AE32">
        <v>0</v>
      </c>
      <c r="AF32">
        <v>0</v>
      </c>
      <c r="AG32">
        <v>1319.4787630628723</v>
      </c>
      <c r="AH32">
        <v>2638.9575261257446</v>
      </c>
      <c r="AI32">
        <v>1</v>
      </c>
      <c r="AJ32">
        <v>0</v>
      </c>
      <c r="AK32">
        <v>2041</v>
      </c>
      <c r="AM32">
        <v>0</v>
      </c>
      <c r="AN32">
        <v>0</v>
      </c>
      <c r="AO32">
        <v>1</v>
      </c>
      <c r="AP32">
        <v>1</v>
      </c>
      <c r="AQ32">
        <v>1</v>
      </c>
      <c r="AR32" t="b">
        <v>0</v>
      </c>
      <c r="AS32">
        <v>1319.4787630628723</v>
      </c>
      <c r="AT32">
        <v>2638.9575261257446</v>
      </c>
      <c r="AU32">
        <v>1979.2181445943083</v>
      </c>
    </row>
    <row r="33" spans="1:47" x14ac:dyDescent="0.25">
      <c r="A33" t="s">
        <v>265</v>
      </c>
      <c r="B33" t="s">
        <v>300</v>
      </c>
      <c r="D33">
        <v>2026</v>
      </c>
      <c r="E33">
        <v>0</v>
      </c>
      <c r="M33">
        <v>2</v>
      </c>
      <c r="Q33">
        <v>2026</v>
      </c>
      <c r="R33">
        <v>2041</v>
      </c>
      <c r="T33">
        <v>2041</v>
      </c>
      <c r="U33">
        <v>48.75</v>
      </c>
      <c r="W33">
        <v>2041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S33">
        <v>0</v>
      </c>
      <c r="AT33">
        <v>0</v>
      </c>
      <c r="AU33">
        <v>0</v>
      </c>
    </row>
    <row r="34" spans="1:47" x14ac:dyDescent="0.25">
      <c r="A34" t="s">
        <v>266</v>
      </c>
      <c r="B34" t="s">
        <v>301</v>
      </c>
      <c r="D34">
        <v>2026</v>
      </c>
      <c r="E34">
        <v>0</v>
      </c>
      <c r="F34">
        <v>15</v>
      </c>
      <c r="G34">
        <v>0</v>
      </c>
      <c r="H34">
        <v>0</v>
      </c>
      <c r="I34">
        <v>1000</v>
      </c>
      <c r="J34">
        <v>2000</v>
      </c>
      <c r="K34">
        <v>1</v>
      </c>
      <c r="L34">
        <v>1</v>
      </c>
      <c r="M34">
        <v>3</v>
      </c>
      <c r="N34">
        <v>2</v>
      </c>
      <c r="O34" t="s">
        <v>27</v>
      </c>
      <c r="P34" t="s">
        <v>298</v>
      </c>
      <c r="Q34">
        <v>2026</v>
      </c>
      <c r="R34">
        <v>2041</v>
      </c>
      <c r="S34" t="s">
        <v>299</v>
      </c>
      <c r="T34">
        <v>2026</v>
      </c>
      <c r="U34">
        <v>33.75</v>
      </c>
      <c r="V34">
        <v>1</v>
      </c>
      <c r="W34">
        <v>2026</v>
      </c>
      <c r="X34">
        <v>0</v>
      </c>
      <c r="Y34">
        <v>2026</v>
      </c>
      <c r="Z34">
        <v>1</v>
      </c>
      <c r="AA34">
        <v>1000</v>
      </c>
      <c r="AB34">
        <v>2000</v>
      </c>
      <c r="AC34">
        <v>1000</v>
      </c>
      <c r="AD34">
        <v>2000</v>
      </c>
      <c r="AE34">
        <v>0</v>
      </c>
      <c r="AF34">
        <v>0</v>
      </c>
      <c r="AG34">
        <v>1000</v>
      </c>
      <c r="AH34">
        <v>2000</v>
      </c>
      <c r="AI34">
        <v>1</v>
      </c>
      <c r="AJ34">
        <v>0</v>
      </c>
      <c r="AK34">
        <v>2027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 t="b">
        <v>1</v>
      </c>
      <c r="AS34">
        <v>1000</v>
      </c>
      <c r="AT34">
        <v>2000</v>
      </c>
      <c r="AU34">
        <v>1500</v>
      </c>
    </row>
    <row r="35" spans="1:47" x14ac:dyDescent="0.25">
      <c r="A35" t="s">
        <v>266</v>
      </c>
      <c r="B35" t="s">
        <v>301</v>
      </c>
      <c r="D35">
        <v>2026</v>
      </c>
      <c r="E35">
        <v>0</v>
      </c>
      <c r="F35">
        <v>15</v>
      </c>
      <c r="G35">
        <v>0</v>
      </c>
      <c r="H35">
        <v>0</v>
      </c>
      <c r="I35">
        <v>1000</v>
      </c>
      <c r="J35">
        <v>2000</v>
      </c>
      <c r="K35">
        <v>1</v>
      </c>
      <c r="L35">
        <v>1</v>
      </c>
      <c r="M35">
        <v>3</v>
      </c>
      <c r="N35">
        <v>2</v>
      </c>
      <c r="O35" t="s">
        <v>27</v>
      </c>
      <c r="P35" t="s">
        <v>298</v>
      </c>
      <c r="Q35">
        <v>2026</v>
      </c>
      <c r="R35">
        <v>2041</v>
      </c>
      <c r="S35" t="s">
        <v>299</v>
      </c>
      <c r="T35">
        <v>2027</v>
      </c>
      <c r="U35">
        <v>34.75</v>
      </c>
      <c r="V35">
        <v>1</v>
      </c>
      <c r="W35">
        <v>2027</v>
      </c>
      <c r="X35">
        <v>1</v>
      </c>
      <c r="Y35">
        <v>2027</v>
      </c>
      <c r="Z35">
        <v>1</v>
      </c>
      <c r="AA35">
        <v>1020</v>
      </c>
      <c r="AB35">
        <v>2040</v>
      </c>
      <c r="AC35">
        <v>1020</v>
      </c>
      <c r="AD35">
        <v>2040</v>
      </c>
      <c r="AE35">
        <v>0</v>
      </c>
      <c r="AF35">
        <v>0</v>
      </c>
      <c r="AG35">
        <v>1020</v>
      </c>
      <c r="AH35">
        <v>2040</v>
      </c>
      <c r="AI35">
        <v>1</v>
      </c>
      <c r="AJ35">
        <v>0</v>
      </c>
      <c r="AK35">
        <v>2028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 t="b">
        <v>0</v>
      </c>
      <c r="AS35">
        <v>1020</v>
      </c>
      <c r="AT35">
        <v>2040</v>
      </c>
      <c r="AU35">
        <v>1530</v>
      </c>
    </row>
    <row r="36" spans="1:47" x14ac:dyDescent="0.25">
      <c r="A36" t="s">
        <v>266</v>
      </c>
      <c r="B36" t="s">
        <v>301</v>
      </c>
      <c r="D36">
        <v>2026</v>
      </c>
      <c r="E36">
        <v>0</v>
      </c>
      <c r="F36">
        <v>15</v>
      </c>
      <c r="G36">
        <v>0</v>
      </c>
      <c r="H36">
        <v>0</v>
      </c>
      <c r="I36">
        <v>1000</v>
      </c>
      <c r="J36">
        <v>2000</v>
      </c>
      <c r="K36">
        <v>1</v>
      </c>
      <c r="L36">
        <v>1</v>
      </c>
      <c r="M36">
        <v>3</v>
      </c>
      <c r="N36">
        <v>2</v>
      </c>
      <c r="O36" t="s">
        <v>27</v>
      </c>
      <c r="P36" t="s">
        <v>298</v>
      </c>
      <c r="Q36">
        <v>2026</v>
      </c>
      <c r="R36">
        <v>2041</v>
      </c>
      <c r="S36" t="s">
        <v>299</v>
      </c>
      <c r="T36">
        <v>2028</v>
      </c>
      <c r="U36">
        <v>35.75</v>
      </c>
      <c r="V36">
        <v>1</v>
      </c>
      <c r="W36">
        <v>2028</v>
      </c>
      <c r="X36">
        <v>2</v>
      </c>
      <c r="Y36">
        <v>2028</v>
      </c>
      <c r="Z36">
        <v>1</v>
      </c>
      <c r="AA36">
        <v>1040.4000000000001</v>
      </c>
      <c r="AB36">
        <v>2080.8000000000002</v>
      </c>
      <c r="AC36">
        <v>1040.4000000000001</v>
      </c>
      <c r="AD36">
        <v>2080.8000000000002</v>
      </c>
      <c r="AE36">
        <v>0</v>
      </c>
      <c r="AF36">
        <v>0</v>
      </c>
      <c r="AG36">
        <v>1040.4000000000001</v>
      </c>
      <c r="AH36">
        <v>2080.8000000000002</v>
      </c>
      <c r="AI36">
        <v>1</v>
      </c>
      <c r="AJ36">
        <v>0</v>
      </c>
      <c r="AK36">
        <v>2029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1</v>
      </c>
      <c r="AR36" t="b">
        <v>0</v>
      </c>
      <c r="AS36">
        <v>1040.4000000000001</v>
      </c>
      <c r="AT36">
        <v>2080.8000000000002</v>
      </c>
      <c r="AU36">
        <v>1560.6000000000001</v>
      </c>
    </row>
    <row r="37" spans="1:47" x14ac:dyDescent="0.25">
      <c r="A37" t="s">
        <v>266</v>
      </c>
      <c r="B37" t="s">
        <v>301</v>
      </c>
      <c r="D37">
        <v>2026</v>
      </c>
      <c r="E37">
        <v>0</v>
      </c>
      <c r="F37">
        <v>15</v>
      </c>
      <c r="G37">
        <v>0</v>
      </c>
      <c r="H37">
        <v>0</v>
      </c>
      <c r="I37">
        <v>1000</v>
      </c>
      <c r="J37">
        <v>2000</v>
      </c>
      <c r="K37">
        <v>1</v>
      </c>
      <c r="L37">
        <v>1</v>
      </c>
      <c r="M37">
        <v>3</v>
      </c>
      <c r="N37">
        <v>2</v>
      </c>
      <c r="O37" t="s">
        <v>27</v>
      </c>
      <c r="P37" t="s">
        <v>298</v>
      </c>
      <c r="Q37">
        <v>2026</v>
      </c>
      <c r="R37">
        <v>2041</v>
      </c>
      <c r="S37" t="s">
        <v>299</v>
      </c>
      <c r="T37">
        <v>2029</v>
      </c>
      <c r="U37">
        <v>36.75</v>
      </c>
      <c r="V37">
        <v>1</v>
      </c>
      <c r="W37">
        <v>2029</v>
      </c>
      <c r="X37">
        <v>3</v>
      </c>
      <c r="Y37">
        <v>2029</v>
      </c>
      <c r="Z37">
        <v>1</v>
      </c>
      <c r="AA37">
        <v>1061.2080000000001</v>
      </c>
      <c r="AB37">
        <v>2122.4160000000002</v>
      </c>
      <c r="AC37">
        <v>1061.2080000000001</v>
      </c>
      <c r="AD37">
        <v>2122.4160000000002</v>
      </c>
      <c r="AE37">
        <v>0</v>
      </c>
      <c r="AF37">
        <v>0</v>
      </c>
      <c r="AG37">
        <v>1061.2080000000001</v>
      </c>
      <c r="AH37">
        <v>2122.4160000000002</v>
      </c>
      <c r="AI37">
        <v>1</v>
      </c>
      <c r="AJ37">
        <v>0</v>
      </c>
      <c r="AK37">
        <v>2030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1</v>
      </c>
      <c r="AR37" t="b">
        <v>0</v>
      </c>
      <c r="AS37">
        <v>1061.2080000000001</v>
      </c>
      <c r="AT37">
        <v>2122.4160000000002</v>
      </c>
      <c r="AU37">
        <v>1591.8120000000001</v>
      </c>
    </row>
    <row r="38" spans="1:47" x14ac:dyDescent="0.25">
      <c r="A38" t="s">
        <v>266</v>
      </c>
      <c r="B38" t="s">
        <v>301</v>
      </c>
      <c r="D38">
        <v>2026</v>
      </c>
      <c r="E38">
        <v>0</v>
      </c>
      <c r="F38">
        <v>15</v>
      </c>
      <c r="G38">
        <v>0</v>
      </c>
      <c r="H38">
        <v>0</v>
      </c>
      <c r="I38">
        <v>1000</v>
      </c>
      <c r="J38">
        <v>2000</v>
      </c>
      <c r="K38">
        <v>1</v>
      </c>
      <c r="L38">
        <v>1</v>
      </c>
      <c r="M38">
        <v>3</v>
      </c>
      <c r="N38">
        <v>2</v>
      </c>
      <c r="O38" t="s">
        <v>27</v>
      </c>
      <c r="P38" t="s">
        <v>298</v>
      </c>
      <c r="Q38">
        <v>2026</v>
      </c>
      <c r="R38">
        <v>2041</v>
      </c>
      <c r="S38" t="s">
        <v>299</v>
      </c>
      <c r="T38">
        <v>2030</v>
      </c>
      <c r="U38">
        <v>37.75</v>
      </c>
      <c r="V38">
        <v>1</v>
      </c>
      <c r="W38">
        <v>2030</v>
      </c>
      <c r="X38">
        <v>4</v>
      </c>
      <c r="Y38">
        <v>2030</v>
      </c>
      <c r="Z38">
        <v>1</v>
      </c>
      <c r="AA38">
        <v>1082.4321600000001</v>
      </c>
      <c r="AB38">
        <v>2164.8643200000001</v>
      </c>
      <c r="AC38">
        <v>1082.4321600000001</v>
      </c>
      <c r="AD38">
        <v>2164.8643200000001</v>
      </c>
      <c r="AE38">
        <v>0</v>
      </c>
      <c r="AF38">
        <v>0</v>
      </c>
      <c r="AG38">
        <v>1082.4321600000001</v>
      </c>
      <c r="AH38">
        <v>2164.8643200000001</v>
      </c>
      <c r="AI38">
        <v>1</v>
      </c>
      <c r="AJ38">
        <v>0</v>
      </c>
      <c r="AK38">
        <v>2031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 t="b">
        <v>0</v>
      </c>
      <c r="AS38">
        <v>1082.4321600000001</v>
      </c>
      <c r="AT38">
        <v>2164.8643200000001</v>
      </c>
      <c r="AU38">
        <v>1623.64824</v>
      </c>
    </row>
    <row r="39" spans="1:47" x14ac:dyDescent="0.25">
      <c r="A39" t="s">
        <v>266</v>
      </c>
      <c r="B39" t="s">
        <v>301</v>
      </c>
      <c r="D39">
        <v>2026</v>
      </c>
      <c r="E39">
        <v>0</v>
      </c>
      <c r="F39">
        <v>15</v>
      </c>
      <c r="G39">
        <v>0</v>
      </c>
      <c r="H39">
        <v>0</v>
      </c>
      <c r="I39">
        <v>1000</v>
      </c>
      <c r="J39">
        <v>2000</v>
      </c>
      <c r="K39">
        <v>1</v>
      </c>
      <c r="L39">
        <v>1</v>
      </c>
      <c r="M39">
        <v>3</v>
      </c>
      <c r="N39">
        <v>2</v>
      </c>
      <c r="O39" t="s">
        <v>27</v>
      </c>
      <c r="P39" t="s">
        <v>298</v>
      </c>
      <c r="Q39">
        <v>2026</v>
      </c>
      <c r="R39">
        <v>2041</v>
      </c>
      <c r="S39" t="s">
        <v>299</v>
      </c>
      <c r="T39">
        <v>2031</v>
      </c>
      <c r="U39">
        <v>38.75</v>
      </c>
      <c r="V39">
        <v>1</v>
      </c>
      <c r="W39">
        <v>2031</v>
      </c>
      <c r="X39">
        <v>5</v>
      </c>
      <c r="Y39">
        <v>2031</v>
      </c>
      <c r="Z39">
        <v>1</v>
      </c>
      <c r="AA39">
        <v>1104.0808032</v>
      </c>
      <c r="AB39">
        <v>2208.1616064</v>
      </c>
      <c r="AC39">
        <v>1104.0808032</v>
      </c>
      <c r="AD39">
        <v>2208.1616064</v>
      </c>
      <c r="AE39">
        <v>0</v>
      </c>
      <c r="AF39">
        <v>0</v>
      </c>
      <c r="AG39">
        <v>1104.0808032</v>
      </c>
      <c r="AH39">
        <v>2208.1616064</v>
      </c>
      <c r="AI39">
        <v>1</v>
      </c>
      <c r="AJ39">
        <v>0</v>
      </c>
      <c r="AK39">
        <v>2032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 t="b">
        <v>0</v>
      </c>
      <c r="AS39">
        <v>1104.0808032</v>
      </c>
      <c r="AT39">
        <v>2208.1616064</v>
      </c>
      <c r="AU39">
        <v>1656.1212048</v>
      </c>
    </row>
    <row r="40" spans="1:47" x14ac:dyDescent="0.25">
      <c r="A40" t="s">
        <v>266</v>
      </c>
      <c r="B40" t="s">
        <v>301</v>
      </c>
      <c r="D40">
        <v>2026</v>
      </c>
      <c r="E40">
        <v>0</v>
      </c>
      <c r="F40">
        <v>15</v>
      </c>
      <c r="G40">
        <v>0</v>
      </c>
      <c r="H40">
        <v>0</v>
      </c>
      <c r="I40">
        <v>1000</v>
      </c>
      <c r="J40">
        <v>2000</v>
      </c>
      <c r="K40">
        <v>1</v>
      </c>
      <c r="L40">
        <v>1</v>
      </c>
      <c r="M40">
        <v>3</v>
      </c>
      <c r="N40">
        <v>2</v>
      </c>
      <c r="O40" t="s">
        <v>27</v>
      </c>
      <c r="P40" t="s">
        <v>298</v>
      </c>
      <c r="Q40">
        <v>2026</v>
      </c>
      <c r="R40">
        <v>2041</v>
      </c>
      <c r="S40" t="s">
        <v>299</v>
      </c>
      <c r="T40">
        <v>2032</v>
      </c>
      <c r="U40">
        <v>39.75</v>
      </c>
      <c r="V40">
        <v>1</v>
      </c>
      <c r="W40">
        <v>2032</v>
      </c>
      <c r="X40">
        <v>6</v>
      </c>
      <c r="Y40">
        <v>2032</v>
      </c>
      <c r="Z40">
        <v>1</v>
      </c>
      <c r="AA40">
        <v>1126.1624192640002</v>
      </c>
      <c r="AB40">
        <v>2252.3248385280003</v>
      </c>
      <c r="AC40">
        <v>1126.1624192640002</v>
      </c>
      <c r="AD40">
        <v>2252.3248385280003</v>
      </c>
      <c r="AE40">
        <v>0</v>
      </c>
      <c r="AF40">
        <v>0</v>
      </c>
      <c r="AG40">
        <v>1126.1624192640002</v>
      </c>
      <c r="AH40">
        <v>2252.3248385280003</v>
      </c>
      <c r="AI40">
        <v>1</v>
      </c>
      <c r="AJ40">
        <v>0</v>
      </c>
      <c r="AK40">
        <v>2033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 t="b">
        <v>0</v>
      </c>
      <c r="AS40">
        <v>1126.1624192640002</v>
      </c>
      <c r="AT40">
        <v>2252.3248385280003</v>
      </c>
      <c r="AU40">
        <v>1689.2436288960002</v>
      </c>
    </row>
    <row r="41" spans="1:47" x14ac:dyDescent="0.25">
      <c r="A41" t="s">
        <v>266</v>
      </c>
      <c r="B41" t="s">
        <v>301</v>
      </c>
      <c r="D41">
        <v>2026</v>
      </c>
      <c r="E41">
        <v>0</v>
      </c>
      <c r="F41">
        <v>15</v>
      </c>
      <c r="G41">
        <v>0</v>
      </c>
      <c r="H41">
        <v>0</v>
      </c>
      <c r="I41">
        <v>1000</v>
      </c>
      <c r="J41">
        <v>2000</v>
      </c>
      <c r="K41">
        <v>1</v>
      </c>
      <c r="L41">
        <v>1</v>
      </c>
      <c r="M41">
        <v>3</v>
      </c>
      <c r="N41">
        <v>2</v>
      </c>
      <c r="O41" t="s">
        <v>27</v>
      </c>
      <c r="P41" t="s">
        <v>298</v>
      </c>
      <c r="Q41">
        <v>2026</v>
      </c>
      <c r="R41">
        <v>2041</v>
      </c>
      <c r="S41" t="s">
        <v>299</v>
      </c>
      <c r="T41">
        <v>2033</v>
      </c>
      <c r="U41">
        <v>40.75</v>
      </c>
      <c r="V41">
        <v>1</v>
      </c>
      <c r="W41">
        <v>2033</v>
      </c>
      <c r="X41">
        <v>7</v>
      </c>
      <c r="Y41">
        <v>2033</v>
      </c>
      <c r="Z41">
        <v>1</v>
      </c>
      <c r="AA41">
        <v>1148.68566764928</v>
      </c>
      <c r="AB41">
        <v>2297.3713352985601</v>
      </c>
      <c r="AC41">
        <v>1148.68566764928</v>
      </c>
      <c r="AD41">
        <v>2297.3713352985601</v>
      </c>
      <c r="AE41">
        <v>0</v>
      </c>
      <c r="AF41">
        <v>0</v>
      </c>
      <c r="AG41">
        <v>1148.68566764928</v>
      </c>
      <c r="AH41">
        <v>2297.3713352985601</v>
      </c>
      <c r="AI41">
        <v>1</v>
      </c>
      <c r="AJ41">
        <v>0</v>
      </c>
      <c r="AK41">
        <v>2034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1</v>
      </c>
      <c r="AR41" t="b">
        <v>0</v>
      </c>
      <c r="AS41">
        <v>1148.68566764928</v>
      </c>
      <c r="AT41">
        <v>2297.3713352985601</v>
      </c>
      <c r="AU41">
        <v>1723.0285014739202</v>
      </c>
    </row>
    <row r="42" spans="1:47" x14ac:dyDescent="0.25">
      <c r="A42" t="s">
        <v>266</v>
      </c>
      <c r="B42" t="s">
        <v>301</v>
      </c>
      <c r="D42">
        <v>2026</v>
      </c>
      <c r="E42">
        <v>0</v>
      </c>
      <c r="F42">
        <v>15</v>
      </c>
      <c r="G42">
        <v>0</v>
      </c>
      <c r="H42">
        <v>0</v>
      </c>
      <c r="I42">
        <v>1000</v>
      </c>
      <c r="J42">
        <v>2000</v>
      </c>
      <c r="K42">
        <v>1</v>
      </c>
      <c r="L42">
        <v>1</v>
      </c>
      <c r="M42">
        <v>3</v>
      </c>
      <c r="N42">
        <v>2</v>
      </c>
      <c r="O42" t="s">
        <v>27</v>
      </c>
      <c r="P42" t="s">
        <v>298</v>
      </c>
      <c r="Q42">
        <v>2026</v>
      </c>
      <c r="R42">
        <v>2041</v>
      </c>
      <c r="S42" t="s">
        <v>299</v>
      </c>
      <c r="T42">
        <v>2034</v>
      </c>
      <c r="U42">
        <v>41.75</v>
      </c>
      <c r="V42">
        <v>1</v>
      </c>
      <c r="W42">
        <v>2034</v>
      </c>
      <c r="X42">
        <v>8</v>
      </c>
      <c r="Y42">
        <v>2034</v>
      </c>
      <c r="Z42">
        <v>1</v>
      </c>
      <c r="AA42">
        <v>1171.6593810022657</v>
      </c>
      <c r="AB42">
        <v>2343.3187620045314</v>
      </c>
      <c r="AC42">
        <v>1171.6593810022657</v>
      </c>
      <c r="AD42">
        <v>2343.3187620045314</v>
      </c>
      <c r="AE42">
        <v>0</v>
      </c>
      <c r="AF42">
        <v>0</v>
      </c>
      <c r="AG42">
        <v>1171.6593810022657</v>
      </c>
      <c r="AH42">
        <v>2343.3187620045314</v>
      </c>
      <c r="AI42">
        <v>1</v>
      </c>
      <c r="AJ42">
        <v>0</v>
      </c>
      <c r="AK42">
        <v>2035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1</v>
      </c>
      <c r="AR42" t="b">
        <v>0</v>
      </c>
      <c r="AS42">
        <v>1171.6593810022657</v>
      </c>
      <c r="AT42">
        <v>2343.3187620045314</v>
      </c>
      <c r="AU42">
        <v>1757.4890715033985</v>
      </c>
    </row>
    <row r="43" spans="1:47" x14ac:dyDescent="0.25">
      <c r="A43" t="s">
        <v>266</v>
      </c>
      <c r="B43" t="s">
        <v>301</v>
      </c>
      <c r="D43">
        <v>2026</v>
      </c>
      <c r="E43">
        <v>0</v>
      </c>
      <c r="F43">
        <v>15</v>
      </c>
      <c r="G43">
        <v>0</v>
      </c>
      <c r="H43">
        <v>0</v>
      </c>
      <c r="I43">
        <v>1000</v>
      </c>
      <c r="J43">
        <v>2000</v>
      </c>
      <c r="K43">
        <v>1</v>
      </c>
      <c r="L43">
        <v>1</v>
      </c>
      <c r="M43">
        <v>3</v>
      </c>
      <c r="N43">
        <v>2</v>
      </c>
      <c r="O43" t="s">
        <v>27</v>
      </c>
      <c r="P43" t="s">
        <v>298</v>
      </c>
      <c r="Q43">
        <v>2026</v>
      </c>
      <c r="R43">
        <v>2041</v>
      </c>
      <c r="S43" t="s">
        <v>299</v>
      </c>
      <c r="T43">
        <v>2035</v>
      </c>
      <c r="U43">
        <v>42.75</v>
      </c>
      <c r="V43">
        <v>1</v>
      </c>
      <c r="W43">
        <v>2035</v>
      </c>
      <c r="X43">
        <v>9</v>
      </c>
      <c r="Y43">
        <v>2035</v>
      </c>
      <c r="Z43">
        <v>1</v>
      </c>
      <c r="AA43">
        <v>1195.0925686223111</v>
      </c>
      <c r="AB43">
        <v>2390.1851372446222</v>
      </c>
      <c r="AC43">
        <v>1195.0925686223111</v>
      </c>
      <c r="AD43">
        <v>2390.1851372446222</v>
      </c>
      <c r="AE43">
        <v>0</v>
      </c>
      <c r="AF43">
        <v>0</v>
      </c>
      <c r="AG43">
        <v>1195.0925686223111</v>
      </c>
      <c r="AH43">
        <v>2390.1851372446222</v>
      </c>
      <c r="AI43">
        <v>1</v>
      </c>
      <c r="AJ43">
        <v>0</v>
      </c>
      <c r="AK43">
        <v>2036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 t="b">
        <v>0</v>
      </c>
      <c r="AS43">
        <v>1195.0925686223111</v>
      </c>
      <c r="AT43">
        <v>2390.1851372446222</v>
      </c>
      <c r="AU43">
        <v>1792.6388529334668</v>
      </c>
    </row>
    <row r="44" spans="1:47" x14ac:dyDescent="0.25">
      <c r="A44" t="s">
        <v>266</v>
      </c>
      <c r="B44" t="s">
        <v>301</v>
      </c>
      <c r="D44">
        <v>2026</v>
      </c>
      <c r="E44">
        <v>0</v>
      </c>
      <c r="F44">
        <v>15</v>
      </c>
      <c r="G44">
        <v>0</v>
      </c>
      <c r="H44">
        <v>0</v>
      </c>
      <c r="I44">
        <v>1000</v>
      </c>
      <c r="J44">
        <v>2000</v>
      </c>
      <c r="K44">
        <v>1</v>
      </c>
      <c r="L44">
        <v>1</v>
      </c>
      <c r="M44">
        <v>3</v>
      </c>
      <c r="N44">
        <v>2</v>
      </c>
      <c r="O44" t="s">
        <v>27</v>
      </c>
      <c r="P44" t="s">
        <v>298</v>
      </c>
      <c r="Q44">
        <v>2026</v>
      </c>
      <c r="R44">
        <v>2041</v>
      </c>
      <c r="S44" t="s">
        <v>299</v>
      </c>
      <c r="T44">
        <v>2036</v>
      </c>
      <c r="U44">
        <v>43.75</v>
      </c>
      <c r="V44">
        <v>1</v>
      </c>
      <c r="W44">
        <v>2036</v>
      </c>
      <c r="X44">
        <v>10</v>
      </c>
      <c r="Y44">
        <v>2036</v>
      </c>
      <c r="Z44">
        <v>1</v>
      </c>
      <c r="AA44">
        <v>1218.9944199947574</v>
      </c>
      <c r="AB44">
        <v>2437.9888399895149</v>
      </c>
      <c r="AC44">
        <v>1218.9944199947574</v>
      </c>
      <c r="AD44">
        <v>2437.9888399895149</v>
      </c>
      <c r="AE44">
        <v>0</v>
      </c>
      <c r="AF44">
        <v>0</v>
      </c>
      <c r="AG44">
        <v>1218.9944199947574</v>
      </c>
      <c r="AH44">
        <v>2437.9888399895149</v>
      </c>
      <c r="AI44">
        <v>1</v>
      </c>
      <c r="AJ44">
        <v>0</v>
      </c>
      <c r="AK44">
        <v>2037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 t="b">
        <v>0</v>
      </c>
      <c r="AS44">
        <v>1218.9944199947574</v>
      </c>
      <c r="AT44">
        <v>2437.9888399895149</v>
      </c>
      <c r="AU44">
        <v>1828.491629992136</v>
      </c>
    </row>
    <row r="45" spans="1:47" x14ac:dyDescent="0.25">
      <c r="A45" t="s">
        <v>266</v>
      </c>
      <c r="B45" t="s">
        <v>301</v>
      </c>
      <c r="D45">
        <v>2026</v>
      </c>
      <c r="E45">
        <v>0</v>
      </c>
      <c r="F45">
        <v>15</v>
      </c>
      <c r="G45">
        <v>0</v>
      </c>
      <c r="H45">
        <v>0</v>
      </c>
      <c r="I45">
        <v>1000</v>
      </c>
      <c r="J45">
        <v>2000</v>
      </c>
      <c r="K45">
        <v>1</v>
      </c>
      <c r="L45">
        <v>1</v>
      </c>
      <c r="M45">
        <v>3</v>
      </c>
      <c r="N45">
        <v>2</v>
      </c>
      <c r="O45" t="s">
        <v>27</v>
      </c>
      <c r="P45" t="s">
        <v>298</v>
      </c>
      <c r="Q45">
        <v>2026</v>
      </c>
      <c r="R45">
        <v>2041</v>
      </c>
      <c r="S45" t="s">
        <v>299</v>
      </c>
      <c r="T45">
        <v>2037</v>
      </c>
      <c r="U45">
        <v>44.75</v>
      </c>
      <c r="V45">
        <v>1</v>
      </c>
      <c r="W45">
        <v>2037</v>
      </c>
      <c r="X45">
        <v>11</v>
      </c>
      <c r="Y45">
        <v>2037</v>
      </c>
      <c r="Z45">
        <v>1</v>
      </c>
      <c r="AA45">
        <v>1243.3743083946524</v>
      </c>
      <c r="AB45">
        <v>2486.7486167893048</v>
      </c>
      <c r="AC45">
        <v>1243.3743083946524</v>
      </c>
      <c r="AD45">
        <v>2486.7486167893048</v>
      </c>
      <c r="AE45">
        <v>0</v>
      </c>
      <c r="AF45">
        <v>0</v>
      </c>
      <c r="AG45">
        <v>1243.3743083946524</v>
      </c>
      <c r="AH45">
        <v>2486.7486167893048</v>
      </c>
      <c r="AI45">
        <v>1</v>
      </c>
      <c r="AJ45">
        <v>0</v>
      </c>
      <c r="AK45">
        <v>2038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 t="b">
        <v>0</v>
      </c>
      <c r="AS45">
        <v>1243.3743083946524</v>
      </c>
      <c r="AT45">
        <v>2486.7486167893048</v>
      </c>
      <c r="AU45">
        <v>1865.0614625919786</v>
      </c>
    </row>
    <row r="46" spans="1:47" x14ac:dyDescent="0.25">
      <c r="A46" t="s">
        <v>266</v>
      </c>
      <c r="B46" t="s">
        <v>301</v>
      </c>
      <c r="D46">
        <v>2026</v>
      </c>
      <c r="E46">
        <v>0</v>
      </c>
      <c r="F46">
        <v>15</v>
      </c>
      <c r="G46">
        <v>0</v>
      </c>
      <c r="H46">
        <v>0</v>
      </c>
      <c r="I46">
        <v>1000</v>
      </c>
      <c r="J46">
        <v>2000</v>
      </c>
      <c r="K46">
        <v>1</v>
      </c>
      <c r="L46">
        <v>1</v>
      </c>
      <c r="M46">
        <v>3</v>
      </c>
      <c r="N46">
        <v>2</v>
      </c>
      <c r="O46" t="s">
        <v>27</v>
      </c>
      <c r="P46" t="s">
        <v>298</v>
      </c>
      <c r="Q46">
        <v>2026</v>
      </c>
      <c r="R46">
        <v>2041</v>
      </c>
      <c r="S46" t="s">
        <v>299</v>
      </c>
      <c r="T46">
        <v>2038</v>
      </c>
      <c r="U46">
        <v>45.75</v>
      </c>
      <c r="V46">
        <v>1</v>
      </c>
      <c r="W46">
        <v>2038</v>
      </c>
      <c r="X46">
        <v>12</v>
      </c>
      <c r="Y46">
        <v>2038</v>
      </c>
      <c r="Z46">
        <v>1</v>
      </c>
      <c r="AA46">
        <v>1268.2417945625455</v>
      </c>
      <c r="AB46">
        <v>2536.4835891250909</v>
      </c>
      <c r="AC46">
        <v>1268.2417945625455</v>
      </c>
      <c r="AD46">
        <v>2536.4835891250909</v>
      </c>
      <c r="AE46">
        <v>0</v>
      </c>
      <c r="AF46">
        <v>0</v>
      </c>
      <c r="AG46">
        <v>1268.2417945625455</v>
      </c>
      <c r="AH46">
        <v>2536.4835891250909</v>
      </c>
      <c r="AI46">
        <v>1</v>
      </c>
      <c r="AJ46">
        <v>0</v>
      </c>
      <c r="AK46">
        <v>2039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 t="b">
        <v>0</v>
      </c>
      <c r="AS46">
        <v>1268.2417945625455</v>
      </c>
      <c r="AT46">
        <v>2536.4835891250909</v>
      </c>
      <c r="AU46">
        <v>1902.3626918438181</v>
      </c>
    </row>
    <row r="47" spans="1:47" x14ac:dyDescent="0.25">
      <c r="A47" t="s">
        <v>266</v>
      </c>
      <c r="B47" t="s">
        <v>301</v>
      </c>
      <c r="D47">
        <v>2026</v>
      </c>
      <c r="E47">
        <v>0</v>
      </c>
      <c r="F47">
        <v>15</v>
      </c>
      <c r="G47">
        <v>0</v>
      </c>
      <c r="H47">
        <v>0</v>
      </c>
      <c r="I47">
        <v>1000</v>
      </c>
      <c r="J47">
        <v>2000</v>
      </c>
      <c r="K47">
        <v>1</v>
      </c>
      <c r="L47">
        <v>1</v>
      </c>
      <c r="M47">
        <v>3</v>
      </c>
      <c r="N47">
        <v>2</v>
      </c>
      <c r="O47" t="s">
        <v>27</v>
      </c>
      <c r="P47" t="s">
        <v>298</v>
      </c>
      <c r="Q47">
        <v>2026</v>
      </c>
      <c r="R47">
        <v>2041</v>
      </c>
      <c r="S47" t="s">
        <v>299</v>
      </c>
      <c r="T47">
        <v>2039</v>
      </c>
      <c r="U47">
        <v>46.75</v>
      </c>
      <c r="V47">
        <v>1</v>
      </c>
      <c r="W47">
        <v>2039</v>
      </c>
      <c r="X47">
        <v>13</v>
      </c>
      <c r="Y47">
        <v>2039</v>
      </c>
      <c r="Z47">
        <v>1</v>
      </c>
      <c r="AA47">
        <v>1293.6066304537965</v>
      </c>
      <c r="AB47">
        <v>2587.2132609075929</v>
      </c>
      <c r="AC47">
        <v>1293.6066304537965</v>
      </c>
      <c r="AD47">
        <v>2587.2132609075929</v>
      </c>
      <c r="AE47">
        <v>0</v>
      </c>
      <c r="AF47">
        <v>0</v>
      </c>
      <c r="AG47">
        <v>1293.6066304537965</v>
      </c>
      <c r="AH47">
        <v>2587.2132609075929</v>
      </c>
      <c r="AI47">
        <v>1</v>
      </c>
      <c r="AJ47">
        <v>0</v>
      </c>
      <c r="AK47">
        <v>2040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 t="b">
        <v>0</v>
      </c>
      <c r="AS47">
        <v>1293.6066304537965</v>
      </c>
      <c r="AT47">
        <v>2587.2132609075929</v>
      </c>
      <c r="AU47">
        <v>1940.4099456806948</v>
      </c>
    </row>
    <row r="48" spans="1:47" x14ac:dyDescent="0.25">
      <c r="A48" t="s">
        <v>266</v>
      </c>
      <c r="B48" t="s">
        <v>301</v>
      </c>
      <c r="D48">
        <v>2026</v>
      </c>
      <c r="E48">
        <v>0</v>
      </c>
      <c r="F48">
        <v>15</v>
      </c>
      <c r="G48">
        <v>0</v>
      </c>
      <c r="H48">
        <v>0</v>
      </c>
      <c r="I48">
        <v>1000</v>
      </c>
      <c r="J48">
        <v>2000</v>
      </c>
      <c r="K48">
        <v>1</v>
      </c>
      <c r="L48">
        <v>1</v>
      </c>
      <c r="M48">
        <v>3</v>
      </c>
      <c r="N48">
        <v>2</v>
      </c>
      <c r="O48" t="s">
        <v>27</v>
      </c>
      <c r="P48" t="s">
        <v>298</v>
      </c>
      <c r="Q48">
        <v>2026</v>
      </c>
      <c r="R48">
        <v>2041</v>
      </c>
      <c r="S48" t="s">
        <v>299</v>
      </c>
      <c r="T48">
        <v>2040</v>
      </c>
      <c r="U48">
        <v>47.75</v>
      </c>
      <c r="V48">
        <v>1</v>
      </c>
      <c r="W48">
        <v>2040</v>
      </c>
      <c r="X48">
        <v>14</v>
      </c>
      <c r="Y48">
        <v>2040</v>
      </c>
      <c r="Z48">
        <v>1</v>
      </c>
      <c r="AA48">
        <v>1319.4787630628723</v>
      </c>
      <c r="AB48">
        <v>2638.9575261257446</v>
      </c>
      <c r="AC48">
        <v>1319.4787630628723</v>
      </c>
      <c r="AD48">
        <v>2638.9575261257446</v>
      </c>
      <c r="AE48">
        <v>0</v>
      </c>
      <c r="AF48">
        <v>0</v>
      </c>
      <c r="AG48">
        <v>1319.4787630628723</v>
      </c>
      <c r="AH48">
        <v>2638.9575261257446</v>
      </c>
      <c r="AI48">
        <v>1</v>
      </c>
      <c r="AJ48">
        <v>0</v>
      </c>
      <c r="AK48">
        <v>2041</v>
      </c>
      <c r="AM48">
        <v>0</v>
      </c>
      <c r="AN48">
        <v>0</v>
      </c>
      <c r="AO48">
        <v>1</v>
      </c>
      <c r="AP48">
        <v>1</v>
      </c>
      <c r="AQ48">
        <v>1</v>
      </c>
      <c r="AR48" t="b">
        <v>0</v>
      </c>
      <c r="AS48">
        <v>1319.4787630628723</v>
      </c>
      <c r="AT48">
        <v>2638.9575261257446</v>
      </c>
      <c r="AU48">
        <v>1979.2181445943083</v>
      </c>
    </row>
    <row r="49" spans="1:47" x14ac:dyDescent="0.25">
      <c r="A49" t="s">
        <v>266</v>
      </c>
      <c r="B49" t="s">
        <v>301</v>
      </c>
      <c r="D49">
        <v>2026</v>
      </c>
      <c r="E49">
        <v>0</v>
      </c>
      <c r="M49">
        <v>3</v>
      </c>
      <c r="Q49">
        <v>2026</v>
      </c>
      <c r="R49">
        <v>2041</v>
      </c>
      <c r="T49">
        <v>2041</v>
      </c>
      <c r="U49">
        <v>48.75</v>
      </c>
      <c r="W49">
        <v>2041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S49">
        <v>0</v>
      </c>
      <c r="AT49">
        <v>0</v>
      </c>
      <c r="AU49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topLeftCell="A25" workbookViewId="0">
      <selection activeCell="K24" sqref="K24"/>
    </sheetView>
  </sheetViews>
  <sheetFormatPr defaultRowHeight="15" x14ac:dyDescent="0.25"/>
  <cols>
    <col min="1" max="1" width="9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9.28515625" bestFit="1" customWidth="1"/>
    <col min="7" max="9" width="11.7109375" bestFit="1" customWidth="1"/>
    <col min="10" max="10" width="16.7109375" bestFit="1" customWidth="1"/>
    <col min="11" max="11" width="15.42578125" bestFit="1" customWidth="1"/>
    <col min="12" max="12" width="16.5703125" bestFit="1" customWidth="1"/>
    <col min="13" max="13" width="15.285156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 x14ac:dyDescent="0.2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 x14ac:dyDescent="0.2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 x14ac:dyDescent="0.2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 x14ac:dyDescent="0.2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 x14ac:dyDescent="0.2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 x14ac:dyDescent="0.2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 x14ac:dyDescent="0.2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 x14ac:dyDescent="0.25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 x14ac:dyDescent="0.25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 x14ac:dyDescent="0.25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 x14ac:dyDescent="0.25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 x14ac:dyDescent="0.25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 x14ac:dyDescent="0.25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 x14ac:dyDescent="0.25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 x14ac:dyDescent="0.25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 x14ac:dyDescent="0.25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 x14ac:dyDescent="0.25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 x14ac:dyDescent="0.25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 x14ac:dyDescent="0.25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 x14ac:dyDescent="0.25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 x14ac:dyDescent="0.25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 x14ac:dyDescent="0.25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 x14ac:dyDescent="0.25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 x14ac:dyDescent="0.25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 x14ac:dyDescent="0.25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 x14ac:dyDescent="0.25">
      <c r="A35">
        <v>2059</v>
      </c>
      <c r="B35">
        <v>0</v>
      </c>
      <c r="C35">
        <v>0</v>
      </c>
      <c r="D35">
        <v>0</v>
      </c>
    </row>
    <row r="36" spans="1:9" x14ac:dyDescent="0.25">
      <c r="A36">
        <v>2060</v>
      </c>
      <c r="B36">
        <v>0</v>
      </c>
      <c r="C36">
        <v>0</v>
      </c>
      <c r="D36">
        <v>0</v>
      </c>
    </row>
    <row r="37" spans="1:9" x14ac:dyDescent="0.25">
      <c r="A37">
        <v>2061</v>
      </c>
      <c r="B37">
        <v>0</v>
      </c>
      <c r="C37">
        <v>0</v>
      </c>
      <c r="D37">
        <v>0</v>
      </c>
    </row>
    <row r="38" spans="1:9" x14ac:dyDescent="0.25">
      <c r="A38">
        <v>2062</v>
      </c>
      <c r="B38">
        <v>0</v>
      </c>
      <c r="C38">
        <v>0</v>
      </c>
      <c r="D38">
        <v>0</v>
      </c>
    </row>
    <row r="39" spans="1:9" x14ac:dyDescent="0.25">
      <c r="A39">
        <v>2063</v>
      </c>
      <c r="B39">
        <v>0</v>
      </c>
      <c r="C39">
        <v>0</v>
      </c>
      <c r="D39">
        <v>0</v>
      </c>
    </row>
    <row r="40" spans="1:9" x14ac:dyDescent="0.25">
      <c r="A40">
        <v>2064</v>
      </c>
      <c r="B40">
        <v>0</v>
      </c>
      <c r="C40">
        <v>0</v>
      </c>
      <c r="D40">
        <v>0</v>
      </c>
    </row>
    <row r="41" spans="1:9" x14ac:dyDescent="0.25">
      <c r="A41">
        <v>2065</v>
      </c>
      <c r="B41">
        <v>0</v>
      </c>
      <c r="C41">
        <v>0</v>
      </c>
      <c r="D41">
        <v>0</v>
      </c>
    </row>
    <row r="42" spans="1:9" x14ac:dyDescent="0.25">
      <c r="A42">
        <v>2066</v>
      </c>
      <c r="B42">
        <v>0</v>
      </c>
      <c r="C42">
        <v>0</v>
      </c>
      <c r="D42">
        <v>0</v>
      </c>
    </row>
    <row r="43" spans="1:9" x14ac:dyDescent="0.25">
      <c r="A43">
        <v>2067</v>
      </c>
      <c r="B43">
        <v>0</v>
      </c>
      <c r="C43">
        <v>0</v>
      </c>
      <c r="D43">
        <v>0</v>
      </c>
    </row>
    <row r="44" spans="1:9" x14ac:dyDescent="0.25">
      <c r="A44">
        <v>2068</v>
      </c>
      <c r="B44">
        <v>0</v>
      </c>
      <c r="C44">
        <v>0</v>
      </c>
      <c r="D44">
        <v>0</v>
      </c>
    </row>
    <row r="45" spans="1:9" x14ac:dyDescent="0.25">
      <c r="A45">
        <v>2069</v>
      </c>
      <c r="B45">
        <v>0</v>
      </c>
      <c r="C45">
        <v>0</v>
      </c>
      <c r="D45">
        <v>0</v>
      </c>
    </row>
    <row r="46" spans="1:9" x14ac:dyDescent="0.25">
      <c r="A46">
        <v>2070</v>
      </c>
      <c r="B46">
        <v>0</v>
      </c>
      <c r="C46">
        <v>0</v>
      </c>
      <c r="D46">
        <v>0</v>
      </c>
    </row>
    <row r="47" spans="1:9" x14ac:dyDescent="0.25">
      <c r="A47">
        <v>2071</v>
      </c>
      <c r="B47">
        <v>0</v>
      </c>
      <c r="C47">
        <v>0</v>
      </c>
      <c r="D47">
        <v>0</v>
      </c>
    </row>
    <row r="48" spans="1:9" x14ac:dyDescent="0.25">
      <c r="A48">
        <v>2072</v>
      </c>
      <c r="B48">
        <v>0</v>
      </c>
      <c r="C48">
        <v>0</v>
      </c>
      <c r="D48">
        <v>0</v>
      </c>
    </row>
    <row r="49" spans="1:4" x14ac:dyDescent="0.25">
      <c r="A49">
        <v>2073</v>
      </c>
      <c r="B49">
        <v>0</v>
      </c>
      <c r="C49">
        <v>0</v>
      </c>
      <c r="D49">
        <v>0</v>
      </c>
    </row>
    <row r="50" spans="1:4" x14ac:dyDescent="0.25">
      <c r="A50">
        <v>2074</v>
      </c>
      <c r="B50">
        <v>0</v>
      </c>
      <c r="C50">
        <v>0</v>
      </c>
      <c r="D50">
        <v>0</v>
      </c>
    </row>
    <row r="51" spans="1:4" x14ac:dyDescent="0.25">
      <c r="A51">
        <v>2075</v>
      </c>
      <c r="B51">
        <v>0</v>
      </c>
      <c r="C51">
        <v>0</v>
      </c>
      <c r="D51">
        <v>0</v>
      </c>
    </row>
    <row r="52" spans="1:4" x14ac:dyDescent="0.25">
      <c r="A52">
        <v>2076</v>
      </c>
      <c r="B52">
        <v>0</v>
      </c>
      <c r="C52">
        <v>0</v>
      </c>
      <c r="D52">
        <v>0</v>
      </c>
    </row>
    <row r="53" spans="1:4" x14ac:dyDescent="0.25">
      <c r="A53">
        <v>2077</v>
      </c>
      <c r="B53">
        <v>0</v>
      </c>
      <c r="C53">
        <v>0</v>
      </c>
      <c r="D53">
        <v>0</v>
      </c>
    </row>
    <row r="54" spans="1:4" x14ac:dyDescent="0.25">
      <c r="A54">
        <v>2078</v>
      </c>
      <c r="B54">
        <v>0</v>
      </c>
      <c r="C54">
        <v>0</v>
      </c>
      <c r="D54">
        <v>0</v>
      </c>
    </row>
    <row r="55" spans="1:4" x14ac:dyDescent="0.25">
      <c r="A55">
        <v>2079</v>
      </c>
      <c r="B55">
        <v>0</v>
      </c>
      <c r="C55">
        <v>0</v>
      </c>
      <c r="D55">
        <v>0</v>
      </c>
    </row>
    <row r="56" spans="1:4" x14ac:dyDescent="0.25">
      <c r="A56">
        <v>2080</v>
      </c>
      <c r="B56">
        <v>0</v>
      </c>
      <c r="C56">
        <v>0</v>
      </c>
      <c r="D56">
        <v>0</v>
      </c>
    </row>
    <row r="57" spans="1:4" x14ac:dyDescent="0.25">
      <c r="A57">
        <v>2081</v>
      </c>
      <c r="B57">
        <v>0</v>
      </c>
      <c r="C57">
        <v>0</v>
      </c>
      <c r="D57">
        <v>0</v>
      </c>
    </row>
    <row r="58" spans="1:4" x14ac:dyDescent="0.25">
      <c r="A58">
        <v>2082</v>
      </c>
      <c r="B58">
        <v>0</v>
      </c>
      <c r="C58">
        <v>0</v>
      </c>
      <c r="D58">
        <v>0</v>
      </c>
    </row>
    <row r="59" spans="1:4" x14ac:dyDescent="0.25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>
      <selection activeCell="F13" sqref="F13"/>
    </sheetView>
  </sheetViews>
  <sheetFormatPr defaultRowHeight="15" x14ac:dyDescent="0.25"/>
  <cols>
    <col min="1" max="1" width="9.7109375" bestFit="1" customWidth="1"/>
    <col min="2" max="2" width="14.5703125" bestFit="1" customWidth="1"/>
    <col min="3" max="3" width="14.85546875" bestFit="1" customWidth="1"/>
    <col min="4" max="4" width="14.42578125" bestFit="1" customWidth="1"/>
    <col min="11" max="11" width="40.5703125" customWidth="1"/>
    <col min="12" max="12" width="54.7109375" customWidth="1"/>
    <col min="13" max="13" width="41.42578125" customWidth="1"/>
    <col min="14" max="14" width="21.5703125" customWidth="1"/>
    <col min="15" max="15" width="21.85546875" customWidth="1"/>
  </cols>
  <sheetData>
    <row r="1" spans="1:4" x14ac:dyDescent="0.25">
      <c r="A1" s="4" t="s">
        <v>3</v>
      </c>
      <c r="B1" s="4" t="s">
        <v>25</v>
      </c>
      <c r="C1" s="4" t="s">
        <v>59</v>
      </c>
      <c r="D1" s="4" t="s">
        <v>60</v>
      </c>
    </row>
    <row r="2" spans="1:4" x14ac:dyDescent="0.25">
      <c r="A2">
        <v>2026</v>
      </c>
      <c r="B2">
        <v>3000</v>
      </c>
      <c r="C2">
        <v>6000</v>
      </c>
      <c r="D2">
        <v>4500</v>
      </c>
    </row>
    <row r="3" spans="1:4" x14ac:dyDescent="0.25">
      <c r="A3">
        <v>2027</v>
      </c>
      <c r="B3">
        <v>3060</v>
      </c>
      <c r="C3">
        <v>6120</v>
      </c>
      <c r="D3">
        <v>4590</v>
      </c>
    </row>
    <row r="4" spans="1:4" x14ac:dyDescent="0.25">
      <c r="A4">
        <v>2028</v>
      </c>
      <c r="B4">
        <v>3121.2000000000003</v>
      </c>
      <c r="C4">
        <v>6242.4000000000005</v>
      </c>
      <c r="D4">
        <v>4681.8</v>
      </c>
    </row>
    <row r="5" spans="1:4" x14ac:dyDescent="0.25">
      <c r="A5">
        <v>2029</v>
      </c>
      <c r="B5">
        <v>3183.6240000000003</v>
      </c>
      <c r="C5">
        <v>6367.2480000000005</v>
      </c>
      <c r="D5">
        <v>4775.4360000000006</v>
      </c>
    </row>
    <row r="6" spans="1:4" x14ac:dyDescent="0.25">
      <c r="A6">
        <v>2030</v>
      </c>
      <c r="B6">
        <v>3247.29648</v>
      </c>
      <c r="C6">
        <v>6494.5929599999999</v>
      </c>
      <c r="D6">
        <v>4870.9447199999995</v>
      </c>
    </row>
    <row r="7" spans="1:4" x14ac:dyDescent="0.25">
      <c r="A7">
        <v>2031</v>
      </c>
      <c r="B7">
        <v>3312.2424096</v>
      </c>
      <c r="C7">
        <v>6624.4848191999999</v>
      </c>
      <c r="D7">
        <v>4968.3636144000002</v>
      </c>
    </row>
    <row r="8" spans="1:4" x14ac:dyDescent="0.25">
      <c r="A8">
        <v>2032</v>
      </c>
      <c r="B8">
        <v>3378.4872577920005</v>
      </c>
      <c r="C8">
        <v>6756.974515584001</v>
      </c>
      <c r="D8">
        <v>5067.7308866880012</v>
      </c>
    </row>
    <row r="9" spans="1:4" x14ac:dyDescent="0.25">
      <c r="A9">
        <v>2033</v>
      </c>
      <c r="B9">
        <v>3446.0570029478404</v>
      </c>
      <c r="C9">
        <v>6892.1140058956807</v>
      </c>
      <c r="D9">
        <v>5169.0855044217606</v>
      </c>
    </row>
    <row r="10" spans="1:4" x14ac:dyDescent="0.25">
      <c r="A10">
        <v>2034</v>
      </c>
      <c r="B10">
        <v>3514.9781430067969</v>
      </c>
      <c r="C10">
        <v>7029.9562860135939</v>
      </c>
      <c r="D10">
        <v>5272.4672145101958</v>
      </c>
    </row>
    <row r="11" spans="1:4" x14ac:dyDescent="0.25">
      <c r="A11">
        <v>2035</v>
      </c>
      <c r="B11">
        <v>3585.2777058669335</v>
      </c>
      <c r="C11">
        <v>7170.555411733867</v>
      </c>
      <c r="D11">
        <v>5377.9165588003998</v>
      </c>
    </row>
    <row r="12" spans="1:4" x14ac:dyDescent="0.25">
      <c r="A12">
        <v>2036</v>
      </c>
      <c r="B12">
        <v>3656.9832599842721</v>
      </c>
      <c r="C12">
        <v>7313.9665199685442</v>
      </c>
      <c r="D12">
        <v>5485.4748899764081</v>
      </c>
    </row>
    <row r="13" spans="1:4" x14ac:dyDescent="0.25">
      <c r="A13">
        <v>2037</v>
      </c>
      <c r="B13">
        <v>3730.1229251839572</v>
      </c>
      <c r="C13">
        <v>7460.2458503679145</v>
      </c>
      <c r="D13">
        <v>5595.1843877759356</v>
      </c>
    </row>
    <row r="14" spans="1:4" x14ac:dyDescent="0.25">
      <c r="A14">
        <v>2038</v>
      </c>
      <c r="B14">
        <v>3804.7253836876362</v>
      </c>
      <c r="C14">
        <v>7609.4507673752723</v>
      </c>
      <c r="D14">
        <v>5707.0880755314538</v>
      </c>
    </row>
    <row r="15" spans="1:4" x14ac:dyDescent="0.25">
      <c r="A15">
        <v>2039</v>
      </c>
      <c r="B15">
        <v>3880.8198913613896</v>
      </c>
      <c r="C15">
        <v>7761.6397827227793</v>
      </c>
      <c r="D15">
        <v>5821.2298370420849</v>
      </c>
    </row>
    <row r="16" spans="1:4" x14ac:dyDescent="0.25">
      <c r="A16">
        <v>2040</v>
      </c>
      <c r="B16">
        <v>3958.4362891886167</v>
      </c>
      <c r="C16">
        <v>7916.8725783772334</v>
      </c>
      <c r="D16">
        <v>5937.6544337829255</v>
      </c>
    </row>
    <row r="17" spans="1:4" x14ac:dyDescent="0.25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>
      <selection activeCell="E7" sqref="E7"/>
    </sheetView>
  </sheetViews>
  <sheetFormatPr defaultColWidth="9.140625" defaultRowHeight="15.75" x14ac:dyDescent="0.25"/>
  <cols>
    <col min="1" max="1" width="9" style="50"/>
    <col min="2" max="2" width="22.42578125" style="28" customWidth="1"/>
    <col min="3" max="16384" width="9.140625" style="1"/>
  </cols>
  <sheetData>
    <row r="1" spans="1:5" x14ac:dyDescent="0.25">
      <c r="A1" s="50" t="s">
        <v>2</v>
      </c>
      <c r="B1" s="28" t="s">
        <v>7</v>
      </c>
      <c r="C1" s="41" t="s">
        <v>152</v>
      </c>
    </row>
    <row r="2" spans="1:5" x14ac:dyDescent="0.25">
      <c r="A2" s="50">
        <v>2026</v>
      </c>
      <c r="B2" s="41" t="s">
        <v>190</v>
      </c>
      <c r="C2" s="41">
        <f>CustomDiscountCurve[[#This Row],[Discount Rate (Nominal)]]/100</f>
        <v>2.0729999999999998E-2</v>
      </c>
      <c r="D2" s="41"/>
      <c r="E2" s="41"/>
    </row>
    <row r="3" spans="1:5" x14ac:dyDescent="0.25">
      <c r="A3" s="50">
        <v>2027</v>
      </c>
      <c r="B3" s="41" t="s">
        <v>191</v>
      </c>
      <c r="C3" s="41">
        <f>CustomDiscountCurve[[#This Row],[Discount Rate (Nominal)]]/100</f>
        <v>2.036E-2</v>
      </c>
      <c r="D3" s="41"/>
    </row>
    <row r="4" spans="1:5" x14ac:dyDescent="0.25">
      <c r="A4" s="50">
        <v>2028</v>
      </c>
      <c r="B4" s="41" t="s">
        <v>192</v>
      </c>
      <c r="C4" s="41">
        <f>CustomDiscountCurve[[#This Row],[Discount Rate (Nominal)]]/100</f>
        <v>2.0209999999999999E-2</v>
      </c>
      <c r="D4" s="41"/>
    </row>
    <row r="5" spans="1:5" x14ac:dyDescent="0.25">
      <c r="A5" s="50">
        <v>2029</v>
      </c>
      <c r="B5" s="41" t="s">
        <v>192</v>
      </c>
      <c r="C5" s="41">
        <f>CustomDiscountCurve[[#This Row],[Discount Rate (Nominal)]]/100</f>
        <v>2.0209999999999999E-2</v>
      </c>
      <c r="D5" s="41"/>
    </row>
    <row r="6" spans="1:5" x14ac:dyDescent="0.25">
      <c r="A6" s="50">
        <v>2030</v>
      </c>
      <c r="B6" s="41" t="s">
        <v>193</v>
      </c>
      <c r="C6" s="41">
        <f>CustomDiscountCurve[[#This Row],[Discount Rate (Nominal)]]/100</f>
        <v>2.129E-2</v>
      </c>
      <c r="D6" s="41"/>
    </row>
    <row r="7" spans="1:5" x14ac:dyDescent="0.25">
      <c r="A7" s="50">
        <v>2031</v>
      </c>
      <c r="B7" s="41" t="s">
        <v>194</v>
      </c>
      <c r="C7" s="41">
        <f>CustomDiscountCurve[[#This Row],[Discount Rate (Nominal)]]/100</f>
        <v>2.2789999999999998E-2</v>
      </c>
      <c r="D7" s="41"/>
    </row>
    <row r="8" spans="1:5" x14ac:dyDescent="0.25">
      <c r="A8" s="50">
        <v>2032</v>
      </c>
      <c r="B8" s="41" t="s">
        <v>195</v>
      </c>
      <c r="C8" s="41">
        <f>CustomDiscountCurve[[#This Row],[Discount Rate (Nominal)]]/100</f>
        <v>2.4160000000000001E-2</v>
      </c>
      <c r="D8" s="41"/>
    </row>
    <row r="9" spans="1:5" x14ac:dyDescent="0.25">
      <c r="A9" s="50">
        <v>2033</v>
      </c>
      <c r="B9" s="41" t="s">
        <v>196</v>
      </c>
      <c r="C9" s="41">
        <f>CustomDiscountCurve[[#This Row],[Discount Rate (Nominal)]]/100</f>
        <v>2.5399999999999999E-2</v>
      </c>
      <c r="D9" s="41"/>
    </row>
    <row r="10" spans="1:5" x14ac:dyDescent="0.25">
      <c r="A10" s="50">
        <v>2034</v>
      </c>
      <c r="B10" s="41" t="s">
        <v>197</v>
      </c>
      <c r="C10" s="41">
        <f>CustomDiscountCurve[[#This Row],[Discount Rate (Nominal)]]/100</f>
        <v>2.6849999999999999E-2</v>
      </c>
      <c r="D10" s="41"/>
    </row>
    <row r="11" spans="1:5" x14ac:dyDescent="0.25">
      <c r="A11" s="50">
        <v>2035</v>
      </c>
      <c r="B11" s="41" t="s">
        <v>198</v>
      </c>
      <c r="C11" s="41">
        <f>CustomDiscountCurve[[#This Row],[Discount Rate (Nominal)]]/100</f>
        <v>2.8490000000000001E-2</v>
      </c>
      <c r="D11" s="41"/>
    </row>
    <row r="12" spans="1:5" x14ac:dyDescent="0.25">
      <c r="A12" s="50">
        <v>2036</v>
      </c>
      <c r="B12" s="41" t="s">
        <v>199</v>
      </c>
      <c r="C12" s="41">
        <f>CustomDiscountCurve[[#This Row],[Discount Rate (Nominal)]]/100</f>
        <v>2.9919999999999999E-2</v>
      </c>
      <c r="D12" s="41"/>
    </row>
    <row r="13" spans="1:5" x14ac:dyDescent="0.25">
      <c r="A13" s="50">
        <v>2037</v>
      </c>
      <c r="B13" s="41" t="s">
        <v>200</v>
      </c>
      <c r="C13" s="41">
        <f>CustomDiscountCurve[[#This Row],[Discount Rate (Nominal)]]/100</f>
        <v>3.1400000000000004E-2</v>
      </c>
      <c r="D13" s="41"/>
    </row>
    <row r="14" spans="1:5" x14ac:dyDescent="0.25">
      <c r="A14" s="50">
        <v>2038</v>
      </c>
      <c r="B14" s="41" t="s">
        <v>201</v>
      </c>
      <c r="C14" s="41">
        <f>CustomDiscountCurve[[#This Row],[Discount Rate (Nominal)]]/100</f>
        <v>3.2669999999999998E-2</v>
      </c>
      <c r="D14" s="41"/>
    </row>
    <row r="15" spans="1:5" x14ac:dyDescent="0.25">
      <c r="A15" s="50">
        <v>2039</v>
      </c>
      <c r="B15" s="41" t="s">
        <v>202</v>
      </c>
      <c r="C15" s="41">
        <f>CustomDiscountCurve[[#This Row],[Discount Rate (Nominal)]]/100</f>
        <v>3.3910000000000003E-2</v>
      </c>
      <c r="D15" s="41"/>
    </row>
    <row r="16" spans="1:5" x14ac:dyDescent="0.25">
      <c r="A16" s="50">
        <v>2040</v>
      </c>
      <c r="B16" s="41" t="s">
        <v>214</v>
      </c>
      <c r="C16" s="41">
        <f>CustomDiscountCurve[[#This Row],[Discount Rate (Nominal)]]/100</f>
        <v>3.4929999999999996E-2</v>
      </c>
      <c r="D16" s="41"/>
    </row>
    <row r="17" spans="1:4" x14ac:dyDescent="0.25">
      <c r="A17" s="50">
        <v>2041</v>
      </c>
      <c r="B17" s="41" t="s">
        <v>203</v>
      </c>
      <c r="C17" s="41">
        <f>CustomDiscountCurve[[#This Row],[Discount Rate (Nominal)]]/100</f>
        <v>3.585E-2</v>
      </c>
      <c r="D17" s="41"/>
    </row>
    <row r="18" spans="1:4" x14ac:dyDescent="0.25">
      <c r="A18" s="50">
        <v>2042</v>
      </c>
      <c r="B18" s="41" t="s">
        <v>204</v>
      </c>
      <c r="C18" s="41">
        <f>CustomDiscountCurve[[#This Row],[Discount Rate (Nominal)]]/100</f>
        <v>3.712E-2</v>
      </c>
      <c r="D18" s="41"/>
    </row>
    <row r="19" spans="1:4" x14ac:dyDescent="0.25">
      <c r="A19" s="50">
        <v>2043</v>
      </c>
      <c r="B19" s="41" t="s">
        <v>215</v>
      </c>
      <c r="C19" s="41">
        <f>CustomDiscountCurve[[#This Row],[Discount Rate (Nominal)]]/100</f>
        <v>3.7839999999999999E-2</v>
      </c>
      <c r="D19" s="41"/>
    </row>
    <row r="20" spans="1:4" x14ac:dyDescent="0.25">
      <c r="A20" s="50">
        <v>2044</v>
      </c>
      <c r="B20" s="41" t="s">
        <v>205</v>
      </c>
      <c r="C20" s="41">
        <f>CustomDiscountCurve[[#This Row],[Discount Rate (Nominal)]]/100</f>
        <v>3.8550000000000001E-2</v>
      </c>
      <c r="D20" s="41"/>
    </row>
    <row r="21" spans="1:4" x14ac:dyDescent="0.25">
      <c r="A21" s="50">
        <v>2045</v>
      </c>
      <c r="B21" s="41" t="s">
        <v>206</v>
      </c>
      <c r="C21" s="41">
        <f>CustomDiscountCurve[[#This Row],[Discount Rate (Nominal)]]/100</f>
        <v>3.9289999999999999E-2</v>
      </c>
      <c r="D21" s="41"/>
    </row>
    <row r="22" spans="1:4" x14ac:dyDescent="0.25">
      <c r="A22" s="50">
        <v>2046</v>
      </c>
      <c r="B22" s="41" t="s">
        <v>207</v>
      </c>
      <c r="C22" s="41">
        <f>CustomDiscountCurve[[#This Row],[Discount Rate (Nominal)]]/100</f>
        <v>3.9919999999999997E-2</v>
      </c>
    </row>
    <row r="23" spans="1:4" x14ac:dyDescent="0.25">
      <c r="A23" s="50">
        <v>2047</v>
      </c>
      <c r="B23" s="41" t="s">
        <v>208</v>
      </c>
      <c r="C23" s="41">
        <f>CustomDiscountCurve[[#This Row],[Discount Rate (Nominal)]]/100</f>
        <v>4.0419999999999998E-2</v>
      </c>
    </row>
    <row r="24" spans="1:4" x14ac:dyDescent="0.25">
      <c r="A24" s="50">
        <v>2048</v>
      </c>
      <c r="B24" s="41" t="s">
        <v>216</v>
      </c>
      <c r="C24" s="41">
        <f>CustomDiscountCurve[[#This Row],[Discount Rate (Nominal)]]/100</f>
        <v>4.0849999999999997E-2</v>
      </c>
    </row>
    <row r="25" spans="1:4" x14ac:dyDescent="0.25">
      <c r="A25" s="50">
        <v>2049</v>
      </c>
      <c r="B25" s="41" t="s">
        <v>209</v>
      </c>
      <c r="C25" s="41">
        <f>CustomDiscountCurve[[#This Row],[Discount Rate (Nominal)]]/100</f>
        <v>4.1319999999999996E-2</v>
      </c>
    </row>
    <row r="26" spans="1:4" x14ac:dyDescent="0.25">
      <c r="A26" s="50">
        <v>2050</v>
      </c>
      <c r="B26" s="41" t="s">
        <v>210</v>
      </c>
      <c r="C26" s="41">
        <f>CustomDiscountCurve[[#This Row],[Discount Rate (Nominal)]]/100</f>
        <v>4.1329999999999999E-2</v>
      </c>
    </row>
    <row r="27" spans="1:4" x14ac:dyDescent="0.25">
      <c r="A27" s="50">
        <v>2051</v>
      </c>
      <c r="B27" s="41" t="s">
        <v>217</v>
      </c>
      <c r="C27" s="41">
        <f>CustomDiscountCurve[[#This Row],[Discount Rate (Nominal)]]/100</f>
        <v>4.1459999999999997E-2</v>
      </c>
    </row>
    <row r="28" spans="1:4" x14ac:dyDescent="0.25">
      <c r="A28" s="50">
        <v>2052</v>
      </c>
      <c r="B28" s="41" t="s">
        <v>211</v>
      </c>
      <c r="C28" s="41">
        <f>CustomDiscountCurve[[#This Row],[Discount Rate (Nominal)]]/100</f>
        <v>4.1540000000000001E-2</v>
      </c>
    </row>
    <row r="29" spans="1:4" x14ac:dyDescent="0.25">
      <c r="A29" s="50">
        <v>2053</v>
      </c>
      <c r="B29" s="41" t="s">
        <v>212</v>
      </c>
      <c r="C29" s="41">
        <f>CustomDiscountCurve[[#This Row],[Discount Rate (Nominal)]]/100</f>
        <v>4.1730000000000003E-2</v>
      </c>
    </row>
    <row r="30" spans="1:4" x14ac:dyDescent="0.25">
      <c r="A30" s="50">
        <v>2054</v>
      </c>
      <c r="B30" s="41" t="s">
        <v>218</v>
      </c>
      <c r="C30" s="41">
        <f>CustomDiscountCurve[[#This Row],[Discount Rate (Nominal)]]/100</f>
        <v>4.1799999999999997E-2</v>
      </c>
    </row>
    <row r="31" spans="1:4" x14ac:dyDescent="0.25">
      <c r="A31" s="50">
        <v>2055</v>
      </c>
      <c r="B31" s="41" t="s">
        <v>213</v>
      </c>
      <c r="C31" s="41">
        <f>CustomDiscountCurve[[#This Row],[Discount Rate (Nominal)]]/100</f>
        <v>4.2079999999999999E-2</v>
      </c>
    </row>
    <row r="32" spans="1:4" x14ac:dyDescent="0.25">
      <c r="A32" s="50">
        <v>2056</v>
      </c>
      <c r="B32" s="28">
        <v>4.7</v>
      </c>
      <c r="C32" s="41">
        <f>CustomDiscountCurve[[#This Row],[Discount Rate (Nominal)]]/100</f>
        <v>4.7E-2</v>
      </c>
    </row>
    <row r="33" spans="1:3" x14ac:dyDescent="0.25">
      <c r="A33" s="50">
        <v>2057</v>
      </c>
      <c r="B33" s="28">
        <v>4.7</v>
      </c>
      <c r="C33" s="41">
        <f>CustomDiscountCurve[[#This Row],[Discount Rate (Nominal)]]/100</f>
        <v>4.7E-2</v>
      </c>
    </row>
    <row r="34" spans="1:3" x14ac:dyDescent="0.25">
      <c r="A34" s="50">
        <v>2058</v>
      </c>
      <c r="B34" s="28">
        <v>4.7</v>
      </c>
      <c r="C34" s="41">
        <f>CustomDiscountCurve[[#This Row],[Discount Rate (Nominal)]]/100</f>
        <v>4.7E-2</v>
      </c>
    </row>
    <row r="35" spans="1:3" x14ac:dyDescent="0.25">
      <c r="A35" s="50">
        <v>2059</v>
      </c>
      <c r="B35" s="28">
        <v>4.7</v>
      </c>
      <c r="C35" s="41">
        <f>CustomDiscountCurve[[#This Row],[Discount Rate (Nominal)]]/100</f>
        <v>4.7E-2</v>
      </c>
    </row>
    <row r="36" spans="1:3" x14ac:dyDescent="0.25">
      <c r="A36" s="50">
        <v>2060</v>
      </c>
      <c r="B36" s="28">
        <v>4.7</v>
      </c>
      <c r="C36" s="41">
        <f>CustomDiscountCurve[[#This Row],[Discount Rate (Nominal)]]/100</f>
        <v>4.7E-2</v>
      </c>
    </row>
    <row r="37" spans="1:3" x14ac:dyDescent="0.25">
      <c r="A37" s="50">
        <v>2061</v>
      </c>
      <c r="B37" s="28">
        <v>4.7</v>
      </c>
      <c r="C37" s="41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/>
  <dimension ref="A1:L6"/>
  <sheetViews>
    <sheetView showGridLines="0" tabSelected="1" topLeftCell="D1" workbookViewId="0">
      <selection activeCell="I3" sqref="I3"/>
    </sheetView>
  </sheetViews>
  <sheetFormatPr defaultColWidth="9.140625" defaultRowHeight="15.75" x14ac:dyDescent="0.25"/>
  <cols>
    <col min="1" max="1" width="10.140625" style="1" hidden="1" customWidth="1"/>
    <col min="2" max="2" width="8.7109375" style="1" hidden="1" customWidth="1"/>
    <col min="3" max="3" width="12.42578125" style="1" hidden="1" customWidth="1"/>
    <col min="4" max="4" width="18.140625" style="1" bestFit="1" customWidth="1"/>
    <col min="5" max="5" width="10.7109375" style="1" bestFit="1" customWidth="1"/>
    <col min="6" max="6" width="13.7109375" style="1" bestFit="1" customWidth="1"/>
    <col min="7" max="7" width="10.85546875" style="1" bestFit="1" customWidth="1"/>
    <col min="8" max="8" width="9.140625" style="1"/>
    <col min="9" max="9" width="46.42578125" style="1" customWidth="1"/>
    <col min="10" max="12" width="13.7109375" style="1" customWidth="1"/>
    <col min="13" max="16384" width="9.140625" style="1"/>
  </cols>
  <sheetData>
    <row r="1" spans="1:12" x14ac:dyDescent="0.25">
      <c r="A1" s="1" t="s">
        <v>153</v>
      </c>
      <c r="B1" s="1" t="s">
        <v>183</v>
      </c>
      <c r="C1" s="1" t="s">
        <v>184</v>
      </c>
      <c r="D1" s="40" t="s">
        <v>163</v>
      </c>
      <c r="E1" s="40" t="s">
        <v>164</v>
      </c>
      <c r="F1" s="40" t="s">
        <v>165</v>
      </c>
      <c r="G1" s="40" t="s">
        <v>166</v>
      </c>
      <c r="J1" s="19"/>
      <c r="K1" s="19"/>
      <c r="L1" s="19"/>
    </row>
    <row r="2" spans="1:12" x14ac:dyDescent="0.25">
      <c r="A2" s="1" t="s">
        <v>302</v>
      </c>
      <c r="B2" s="1">
        <v>1</v>
      </c>
      <c r="C2" s="1">
        <v>0</v>
      </c>
      <c r="D2" s="22"/>
      <c r="E2" s="22"/>
      <c r="F2" s="22"/>
      <c r="G2" s="22"/>
    </row>
    <row r="3" spans="1:12" x14ac:dyDescent="0.25">
      <c r="A3" s="1" t="s">
        <v>303</v>
      </c>
      <c r="B3" s="1">
        <v>1</v>
      </c>
      <c r="C3" s="1">
        <v>1</v>
      </c>
      <c r="D3" s="22" t="s">
        <v>264</v>
      </c>
      <c r="E3" s="22">
        <v>17293.417000000001</v>
      </c>
      <c r="F3" s="22">
        <v>25940.1253</v>
      </c>
      <c r="G3" s="22">
        <v>34586.833700000003</v>
      </c>
    </row>
    <row r="4" spans="1:12" x14ac:dyDescent="0.25">
      <c r="A4" s="1" t="s">
        <v>303</v>
      </c>
      <c r="B4" s="1">
        <v>1</v>
      </c>
      <c r="C4" s="1">
        <v>1</v>
      </c>
      <c r="D4" s="22" t="s">
        <v>265</v>
      </c>
      <c r="E4" s="22">
        <v>17293.417000000001</v>
      </c>
      <c r="F4" s="22">
        <v>25940.1253</v>
      </c>
      <c r="G4" s="22">
        <v>34586.833700000003</v>
      </c>
    </row>
    <row r="5" spans="1:12" x14ac:dyDescent="0.25">
      <c r="A5" s="1" t="s">
        <v>303</v>
      </c>
      <c r="B5" s="1">
        <v>1</v>
      </c>
      <c r="C5" s="1">
        <v>1</v>
      </c>
      <c r="D5" s="22" t="s">
        <v>266</v>
      </c>
      <c r="E5" s="22">
        <v>17293.417000000001</v>
      </c>
      <c r="F5" s="22">
        <v>25940.1253</v>
      </c>
      <c r="G5" s="22">
        <v>34586.833700000003</v>
      </c>
    </row>
    <row r="6" spans="1:12" x14ac:dyDescent="0.25">
      <c r="A6" s="1" t="s">
        <v>20</v>
      </c>
      <c r="C6" s="1">
        <v>2</v>
      </c>
      <c r="D6" s="22" t="s">
        <v>167</v>
      </c>
      <c r="E6" s="22">
        <v>51880.25</v>
      </c>
      <c r="F6" s="22">
        <v>77820.38</v>
      </c>
      <c r="G6" s="22">
        <v>103760.5</v>
      </c>
    </row>
  </sheetData>
  <conditionalFormatting sqref="A2:G2 A6:G114">
    <cfRule type="expression" dxfId="9" priority="1">
      <formula>OR($C2=0, $A2="Header")</formula>
    </cfRule>
  </conditionalFormatting>
  <conditionalFormatting sqref="A2:G6">
    <cfRule type="expression" dxfId="8" priority="2">
      <formula>$A2=Header</formula>
    </cfRule>
  </conditionalFormatting>
  <conditionalFormatting sqref="H2:XFD32">
    <cfRule type="expression" dxfId="7" priority="18">
      <formula>#REF!=Header</formula>
    </cfRule>
  </conditionalFormatting>
  <conditionalFormatting sqref="H33:XFD33">
    <cfRule type="expression" dxfId="6" priority="17">
      <formula>$A6=Header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zoomScale="103" zoomScaleNormal="103" workbookViewId="0">
      <selection activeCell="C10" sqref="C10"/>
    </sheetView>
  </sheetViews>
  <sheetFormatPr defaultColWidth="9" defaultRowHeight="15.75" x14ac:dyDescent="0.25"/>
  <cols>
    <col min="1" max="1" width="10.7109375" style="1" bestFit="1" customWidth="1"/>
    <col min="2" max="2" width="9.28515625" style="1" bestFit="1" customWidth="1"/>
    <col min="3" max="3" width="13.28515625" style="28" bestFit="1" customWidth="1"/>
    <col min="4" max="4" width="19.85546875" style="1" bestFit="1" customWidth="1"/>
    <col min="5" max="5" width="11" style="1" bestFit="1" customWidth="1"/>
    <col min="6" max="6" width="13.7109375" style="1" bestFit="1" customWidth="1"/>
    <col min="7" max="7" width="11.28515625" style="1" bestFit="1" customWidth="1"/>
    <col min="8" max="8" width="10.42578125" style="1" bestFit="1" customWidth="1"/>
    <col min="9" max="9" width="41.140625" style="1" customWidth="1"/>
    <col min="10" max="12" width="18.140625" style="1" customWidth="1"/>
    <col min="13" max="13" width="25.5703125" style="1" bestFit="1" customWidth="1"/>
    <col min="14" max="14" width="26.140625" style="1" bestFit="1" customWidth="1"/>
    <col min="15" max="15" width="17.140625" style="1" bestFit="1" customWidth="1"/>
    <col min="16" max="16" width="23.7109375" style="1" bestFit="1" customWidth="1"/>
    <col min="17" max="17" width="24" style="1" customWidth="1"/>
    <col min="18" max="18" width="10.140625" style="1" bestFit="1" customWidth="1"/>
    <col min="19" max="19" width="19.28515625" style="1" bestFit="1" customWidth="1"/>
    <col min="20" max="20" width="13" style="1" customWidth="1"/>
    <col min="21" max="21" width="19.7109375" style="1" bestFit="1" customWidth="1"/>
    <col min="22" max="22" width="11.85546875" style="1" bestFit="1" customWidth="1"/>
    <col min="23" max="23" width="18.85546875" style="1" bestFit="1" customWidth="1"/>
    <col min="24" max="16384" width="9" style="1"/>
  </cols>
  <sheetData>
    <row r="1" spans="1:12" x14ac:dyDescent="0.25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 x14ac:dyDescent="0.25">
      <c r="A2" s="26" t="s">
        <v>302</v>
      </c>
      <c r="B2" s="25">
        <v>1</v>
      </c>
      <c r="C2" s="27">
        <v>0</v>
      </c>
      <c r="D2" s="1" t="s">
        <v>304</v>
      </c>
      <c r="E2" s="22"/>
      <c r="F2" s="22"/>
      <c r="G2" s="22"/>
      <c r="J2" s="32"/>
      <c r="K2" s="32"/>
      <c r="L2" s="23"/>
    </row>
    <row r="3" spans="1:12" x14ac:dyDescent="0.25">
      <c r="A3" s="26" t="s">
        <v>303</v>
      </c>
      <c r="B3" s="25">
        <v>1</v>
      </c>
      <c r="C3" s="27">
        <v>1</v>
      </c>
      <c r="D3" s="1" t="s">
        <v>264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 x14ac:dyDescent="0.25">
      <c r="A4" s="26" t="s">
        <v>303</v>
      </c>
      <c r="B4" s="25">
        <v>1</v>
      </c>
      <c r="C4" s="27">
        <v>1</v>
      </c>
      <c r="D4" s="1" t="s">
        <v>265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 x14ac:dyDescent="0.25">
      <c r="A5" s="26" t="s">
        <v>303</v>
      </c>
      <c r="B5" s="25">
        <v>1</v>
      </c>
      <c r="C5" s="27">
        <v>1</v>
      </c>
      <c r="D5" s="1" t="s">
        <v>266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 x14ac:dyDescent="0.25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 x14ac:dyDescent="0.25">
      <c r="J7" s="32"/>
      <c r="K7" s="32"/>
      <c r="L7" s="23"/>
    </row>
    <row r="8" spans="1:12" x14ac:dyDescent="0.25">
      <c r="E8" s="22"/>
      <c r="F8" s="22"/>
      <c r="G8" s="22"/>
      <c r="J8" s="32"/>
      <c r="K8" s="32"/>
      <c r="L8" s="23"/>
    </row>
    <row r="9" spans="1:12" x14ac:dyDescent="0.25">
      <c r="E9" s="22"/>
      <c r="F9" s="22"/>
      <c r="G9" s="22"/>
      <c r="J9" s="32"/>
      <c r="K9" s="32"/>
      <c r="L9" s="23"/>
    </row>
    <row r="10" spans="1:12" x14ac:dyDescent="0.25">
      <c r="E10" s="22"/>
      <c r="F10" s="22"/>
      <c r="G10" s="22"/>
      <c r="J10" s="32"/>
      <c r="K10" s="32"/>
      <c r="L10" s="23"/>
    </row>
    <row r="11" spans="1:12" x14ac:dyDescent="0.25">
      <c r="E11" s="22"/>
      <c r="F11" s="22"/>
      <c r="G11" s="22"/>
      <c r="J11" s="32"/>
      <c r="K11" s="32"/>
      <c r="L11" s="23"/>
    </row>
    <row r="12" spans="1:12" x14ac:dyDescent="0.25">
      <c r="E12" s="22"/>
      <c r="F12" s="22"/>
      <c r="G12" s="22"/>
      <c r="J12" s="32"/>
      <c r="K12" s="32"/>
      <c r="L12" s="23"/>
    </row>
    <row r="13" spans="1:12" x14ac:dyDescent="0.25">
      <c r="E13" s="22"/>
      <c r="F13" s="22"/>
      <c r="G13" s="22"/>
      <c r="J13" s="32"/>
      <c r="K13" s="32"/>
      <c r="L13" s="23"/>
    </row>
    <row r="14" spans="1:12" x14ac:dyDescent="0.25">
      <c r="E14" s="22"/>
      <c r="F14" s="22"/>
      <c r="G14" s="22"/>
      <c r="J14" s="32"/>
      <c r="K14" s="32"/>
      <c r="L14" s="23"/>
    </row>
    <row r="15" spans="1:12" x14ac:dyDescent="0.25">
      <c r="E15" s="22"/>
      <c r="F15" s="22"/>
      <c r="G15" s="22"/>
      <c r="J15" s="32"/>
      <c r="K15" s="32"/>
      <c r="L15" s="23"/>
    </row>
    <row r="16" spans="1:12" x14ac:dyDescent="0.25">
      <c r="E16" s="22"/>
      <c r="F16" s="22"/>
      <c r="G16" s="22"/>
      <c r="J16" s="32"/>
      <c r="K16" s="32"/>
      <c r="L16" s="23"/>
    </row>
    <row r="17" spans="5:20" x14ac:dyDescent="0.25">
      <c r="E17" s="22"/>
      <c r="F17" s="22"/>
      <c r="G17" s="22"/>
      <c r="J17" s="32"/>
      <c r="K17" s="32"/>
      <c r="L17" s="23"/>
    </row>
    <row r="18" spans="5:20" x14ac:dyDescent="0.25">
      <c r="E18" s="22"/>
      <c r="F18" s="22"/>
      <c r="G18" s="22"/>
      <c r="J18" s="32"/>
      <c r="K18" s="32"/>
      <c r="L18" s="23"/>
    </row>
    <row r="19" spans="5:20" x14ac:dyDescent="0.25">
      <c r="E19" s="22"/>
      <c r="F19" s="22"/>
      <c r="G19" s="22"/>
      <c r="I19" s="29"/>
      <c r="J19" s="24"/>
      <c r="K19" s="24"/>
      <c r="L19" s="24"/>
    </row>
    <row r="20" spans="5:20" x14ac:dyDescent="0.25">
      <c r="E20" s="22"/>
      <c r="F20" s="22"/>
      <c r="G20" s="22"/>
    </row>
    <row r="21" spans="5:20" x14ac:dyDescent="0.25">
      <c r="E21" s="22"/>
      <c r="F21" s="22"/>
      <c r="G21" s="22"/>
    </row>
    <row r="22" spans="5:20" x14ac:dyDescent="0.25">
      <c r="E22" s="22"/>
      <c r="F22" s="22"/>
      <c r="G22" s="22"/>
    </row>
    <row r="23" spans="5:20" x14ac:dyDescent="0.25">
      <c r="E23" s="22"/>
      <c r="F23" s="22"/>
      <c r="G23" s="22"/>
    </row>
    <row r="24" spans="5:20" x14ac:dyDescent="0.25">
      <c r="E24" s="22"/>
      <c r="F24" s="22"/>
      <c r="G24" s="22"/>
      <c r="J24" s="19"/>
      <c r="K24" s="19"/>
      <c r="L24" s="19"/>
      <c r="M24" s="19"/>
    </row>
    <row r="25" spans="5:20" x14ac:dyDescent="0.25">
      <c r="E25" s="22"/>
      <c r="F25" s="22"/>
      <c r="G25" s="22"/>
      <c r="J25" s="20"/>
      <c r="K25" s="18"/>
      <c r="L25" s="18"/>
      <c r="M25" s="18"/>
    </row>
    <row r="26" spans="5:20" x14ac:dyDescent="0.25">
      <c r="E26" s="22"/>
      <c r="F26" s="22"/>
      <c r="G26" s="22"/>
      <c r="J26" s="20"/>
      <c r="K26" s="18"/>
      <c r="L26" s="18"/>
      <c r="M26" s="18"/>
    </row>
    <row r="27" spans="5:20" x14ac:dyDescent="0.25">
      <c r="E27" s="22"/>
      <c r="F27" s="22"/>
      <c r="G27" s="22"/>
      <c r="J27" s="20"/>
      <c r="K27" s="18"/>
      <c r="L27" s="18"/>
      <c r="M27" s="18"/>
    </row>
    <row r="28" spans="5:20" x14ac:dyDescent="0.25">
      <c r="E28" s="22"/>
      <c r="F28" s="22"/>
      <c r="G28" s="22"/>
      <c r="J28" s="20"/>
      <c r="K28" s="18"/>
      <c r="L28" s="18"/>
      <c r="M28" s="18"/>
    </row>
    <row r="29" spans="5:20" x14ac:dyDescent="0.25">
      <c r="E29" s="22"/>
      <c r="F29" s="22"/>
      <c r="G29" s="22"/>
      <c r="P29" s="20"/>
      <c r="Q29" s="18"/>
      <c r="R29" s="18"/>
      <c r="S29" s="18"/>
    </row>
    <row r="30" spans="5:20" x14ac:dyDescent="0.25">
      <c r="E30" s="22"/>
      <c r="F30" s="22"/>
      <c r="G30" s="22"/>
      <c r="P30" s="20"/>
      <c r="Q30" s="18"/>
      <c r="R30" s="18"/>
      <c r="S30" s="18"/>
    </row>
    <row r="31" spans="5:20" x14ac:dyDescent="0.25">
      <c r="E31" s="22"/>
      <c r="F31" s="22"/>
      <c r="G31" s="22"/>
      <c r="Q31" s="20"/>
      <c r="R31" s="18"/>
      <c r="S31" s="18"/>
      <c r="T31" s="18"/>
    </row>
    <row r="32" spans="5:20" x14ac:dyDescent="0.25">
      <c r="E32" s="22"/>
      <c r="F32" s="22"/>
      <c r="G32" s="22"/>
      <c r="Q32" s="20"/>
      <c r="R32" s="18"/>
      <c r="S32" s="18"/>
      <c r="T32" s="18"/>
    </row>
    <row r="33" spans="5:20" x14ac:dyDescent="0.25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 x14ac:dyDescent="0.25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 x14ac:dyDescent="0.25">
      <c r="E35" s="22"/>
      <c r="F35" s="22"/>
      <c r="G35" s="22"/>
      <c r="J35" s="21"/>
      <c r="K35" s="21"/>
      <c r="L35" s="21"/>
      <c r="M35" s="21"/>
      <c r="N35" s="21"/>
    </row>
    <row r="36" spans="5:20" x14ac:dyDescent="0.25">
      <c r="E36" s="22"/>
      <c r="F36" s="22"/>
      <c r="G36" s="22"/>
      <c r="J36" s="21"/>
      <c r="K36" s="21"/>
      <c r="L36" s="21"/>
      <c r="M36" s="21"/>
      <c r="N36" s="21"/>
    </row>
    <row r="37" spans="5:20" x14ac:dyDescent="0.25">
      <c r="E37" s="22"/>
      <c r="F37" s="22"/>
      <c r="G37" s="22"/>
      <c r="J37" s="21"/>
      <c r="K37" s="21"/>
      <c r="L37" s="21"/>
      <c r="M37" s="21"/>
      <c r="N37" s="21"/>
    </row>
    <row r="38" spans="5:20" x14ac:dyDescent="0.25">
      <c r="E38" s="22"/>
      <c r="F38" s="22"/>
      <c r="G38" s="22"/>
      <c r="J38" s="21"/>
      <c r="K38" s="21"/>
      <c r="L38" s="21"/>
      <c r="M38" s="21"/>
      <c r="N38" s="21"/>
    </row>
    <row r="39" spans="5:20" x14ac:dyDescent="0.25">
      <c r="E39" s="22"/>
      <c r="F39" s="22"/>
      <c r="G39" s="22"/>
      <c r="J39" s="21"/>
      <c r="K39" s="21"/>
      <c r="L39" s="21"/>
      <c r="M39" s="21"/>
      <c r="N39" s="21"/>
    </row>
    <row r="40" spans="5:20" x14ac:dyDescent="0.25">
      <c r="E40" s="22"/>
      <c r="F40" s="22"/>
      <c r="G40" s="22"/>
      <c r="J40" s="21"/>
      <c r="K40" s="21"/>
      <c r="L40" s="21"/>
      <c r="M40" s="21"/>
      <c r="N40" s="21"/>
    </row>
    <row r="41" spans="5:20" x14ac:dyDescent="0.25">
      <c r="E41" s="22"/>
      <c r="F41" s="22"/>
      <c r="G41" s="22"/>
      <c r="J41" s="21"/>
      <c r="K41" s="21"/>
      <c r="L41" s="21"/>
      <c r="M41" s="21"/>
      <c r="N41" s="21"/>
    </row>
    <row r="42" spans="5:20" x14ac:dyDescent="0.25">
      <c r="E42" s="22"/>
      <c r="F42" s="22"/>
      <c r="G42" s="22"/>
      <c r="J42" s="21"/>
      <c r="K42" s="21"/>
      <c r="L42" s="21"/>
      <c r="M42" s="21"/>
      <c r="N42" s="21"/>
    </row>
    <row r="43" spans="5:20" x14ac:dyDescent="0.25">
      <c r="E43" s="22"/>
      <c r="F43" s="22"/>
      <c r="G43" s="22"/>
      <c r="J43" s="21"/>
      <c r="K43" s="21"/>
      <c r="L43" s="21"/>
      <c r="M43" s="21"/>
      <c r="N43" s="21"/>
    </row>
    <row r="44" spans="5:20" x14ac:dyDescent="0.25">
      <c r="E44" s="22"/>
      <c r="F44" s="22"/>
      <c r="G44" s="22"/>
      <c r="J44" s="21"/>
      <c r="K44" s="21"/>
      <c r="L44" s="21"/>
      <c r="M44" s="21"/>
      <c r="N44" s="21"/>
    </row>
    <row r="45" spans="5:20" x14ac:dyDescent="0.25">
      <c r="E45" s="22"/>
      <c r="F45" s="22"/>
      <c r="G45" s="22"/>
      <c r="J45" s="21"/>
      <c r="K45" s="21"/>
      <c r="L45" s="21"/>
      <c r="M45" s="21"/>
      <c r="N45" s="21"/>
    </row>
    <row r="46" spans="5:20" x14ac:dyDescent="0.25">
      <c r="E46" s="22"/>
      <c r="F46" s="22"/>
      <c r="G46" s="22"/>
      <c r="J46" s="21"/>
      <c r="K46" s="21"/>
      <c r="L46" s="21"/>
      <c r="M46" s="21"/>
      <c r="N46" s="21"/>
    </row>
    <row r="47" spans="5:20" x14ac:dyDescent="0.25">
      <c r="E47" s="22"/>
      <c r="F47" s="22"/>
      <c r="G47" s="22"/>
    </row>
    <row r="48" spans="5:20" x14ac:dyDescent="0.25">
      <c r="E48" s="22"/>
      <c r="F48" s="22"/>
      <c r="G48" s="22"/>
    </row>
    <row r="49" spans="5:7" x14ac:dyDescent="0.25">
      <c r="E49" s="22"/>
      <c r="F49" s="22"/>
      <c r="G49" s="22"/>
    </row>
    <row r="50" spans="5:7" x14ac:dyDescent="0.25">
      <c r="E50" s="22"/>
      <c r="F50" s="22"/>
      <c r="G50" s="22"/>
    </row>
    <row r="51" spans="5:7" x14ac:dyDescent="0.25">
      <c r="E51" s="22"/>
      <c r="F51" s="22"/>
      <c r="G51" s="22"/>
    </row>
    <row r="52" spans="5:7" x14ac:dyDescent="0.25">
      <c r="E52" s="22"/>
      <c r="F52" s="22"/>
      <c r="G52" s="22"/>
    </row>
    <row r="53" spans="5:7" x14ac:dyDescent="0.25">
      <c r="E53" s="22"/>
      <c r="F53" s="22"/>
      <c r="G53" s="22"/>
    </row>
    <row r="54" spans="5:7" x14ac:dyDescent="0.25">
      <c r="E54" s="22"/>
      <c r="F54" s="22"/>
      <c r="G54" s="22"/>
    </row>
    <row r="55" spans="5:7" x14ac:dyDescent="0.25">
      <c r="E55" s="22"/>
      <c r="F55" s="22"/>
      <c r="G55" s="22"/>
    </row>
    <row r="56" spans="5:7" x14ac:dyDescent="0.25">
      <c r="E56" s="22"/>
      <c r="F56" s="22"/>
      <c r="G56" s="22"/>
    </row>
    <row r="57" spans="5:7" x14ac:dyDescent="0.25">
      <c r="E57" s="22"/>
      <c r="F57" s="22"/>
      <c r="G57" s="22"/>
    </row>
    <row r="58" spans="5:7" x14ac:dyDescent="0.25">
      <c r="E58" s="22"/>
      <c r="F58" s="22"/>
      <c r="G58" s="22"/>
    </row>
    <row r="59" spans="5:7" x14ac:dyDescent="0.25">
      <c r="E59" s="22"/>
      <c r="F59" s="22"/>
      <c r="G59" s="22"/>
    </row>
    <row r="60" spans="5:7" x14ac:dyDescent="0.25">
      <c r="E60" s="22"/>
      <c r="F60" s="22"/>
      <c r="G60" s="22"/>
    </row>
    <row r="61" spans="5:7" x14ac:dyDescent="0.25">
      <c r="E61" s="22"/>
      <c r="F61" s="22"/>
      <c r="G61" s="22"/>
    </row>
    <row r="62" spans="5:7" x14ac:dyDescent="0.25">
      <c r="E62" s="22"/>
      <c r="F62" s="22"/>
      <c r="G62" s="22"/>
    </row>
    <row r="63" spans="5:7" x14ac:dyDescent="0.25">
      <c r="E63" s="22"/>
      <c r="F63" s="22"/>
      <c r="G63" s="22"/>
    </row>
    <row r="64" spans="5:7" x14ac:dyDescent="0.25">
      <c r="E64" s="22"/>
      <c r="F64" s="22"/>
      <c r="G64" s="22"/>
    </row>
    <row r="65" spans="5:7" x14ac:dyDescent="0.25">
      <c r="E65" s="22"/>
      <c r="F65" s="22"/>
      <c r="G65" s="22"/>
    </row>
    <row r="66" spans="5:7" x14ac:dyDescent="0.25">
      <c r="E66" s="22"/>
      <c r="F66" s="22"/>
      <c r="G66" s="22"/>
    </row>
    <row r="67" spans="5:7" x14ac:dyDescent="0.25">
      <c r="E67" s="22"/>
      <c r="F67" s="22"/>
      <c r="G67" s="22"/>
    </row>
    <row r="68" spans="5:7" x14ac:dyDescent="0.25">
      <c r="E68" s="22"/>
      <c r="F68" s="22"/>
      <c r="G68" s="22"/>
    </row>
    <row r="69" spans="5:7" x14ac:dyDescent="0.25">
      <c r="E69" s="22"/>
      <c r="F69" s="22"/>
      <c r="G69" s="22"/>
    </row>
    <row r="70" spans="5:7" x14ac:dyDescent="0.25">
      <c r="E70" s="22"/>
      <c r="F70" s="22"/>
      <c r="G70" s="22"/>
    </row>
    <row r="71" spans="5:7" x14ac:dyDescent="0.25">
      <c r="E71" s="22"/>
      <c r="F71" s="22"/>
      <c r="G71" s="22"/>
    </row>
    <row r="72" spans="5:7" x14ac:dyDescent="0.25">
      <c r="E72" s="22"/>
      <c r="F72" s="22"/>
      <c r="G72" s="22"/>
    </row>
    <row r="73" spans="5:7" x14ac:dyDescent="0.25">
      <c r="E73" s="22"/>
      <c r="F73" s="22"/>
      <c r="G73" s="22"/>
    </row>
    <row r="74" spans="5:7" x14ac:dyDescent="0.25">
      <c r="E74" s="22"/>
      <c r="F74" s="22"/>
      <c r="G74" s="22"/>
    </row>
    <row r="75" spans="5:7" x14ac:dyDescent="0.25">
      <c r="E75" s="22"/>
      <c r="F75" s="22"/>
      <c r="G75" s="22"/>
    </row>
    <row r="76" spans="5:7" x14ac:dyDescent="0.25">
      <c r="E76" s="22"/>
      <c r="F76" s="22"/>
      <c r="G76" s="22"/>
    </row>
    <row r="77" spans="5:7" x14ac:dyDescent="0.25">
      <c r="E77" s="22"/>
      <c r="F77" s="22"/>
      <c r="G77" s="22"/>
    </row>
    <row r="78" spans="5:7" x14ac:dyDescent="0.25">
      <c r="E78" s="22"/>
      <c r="F78" s="22"/>
      <c r="G78" s="22"/>
    </row>
    <row r="79" spans="5:7" x14ac:dyDescent="0.25">
      <c r="E79" s="22"/>
      <c r="F79" s="22"/>
      <c r="G79" s="22"/>
    </row>
    <row r="80" spans="5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  <c r="F88" s="22"/>
      <c r="G88" s="22"/>
    </row>
    <row r="89" spans="5:7" x14ac:dyDescent="0.25">
      <c r="E89" s="22"/>
      <c r="F89" s="22"/>
      <c r="G89" s="22"/>
    </row>
    <row r="90" spans="5:7" x14ac:dyDescent="0.25">
      <c r="E90" s="22"/>
      <c r="F90" s="22"/>
      <c r="G90" s="22"/>
    </row>
    <row r="91" spans="5:7" x14ac:dyDescent="0.25">
      <c r="E91" s="22"/>
      <c r="F91" s="22"/>
      <c r="G91" s="22"/>
    </row>
    <row r="92" spans="5:7" x14ac:dyDescent="0.25">
      <c r="E92" s="22"/>
      <c r="F92" s="22"/>
      <c r="G92" s="22"/>
    </row>
    <row r="93" spans="5:7" x14ac:dyDescent="0.25">
      <c r="E93" s="22"/>
      <c r="F93" s="22"/>
      <c r="G93" s="22"/>
    </row>
    <row r="94" spans="5:7" x14ac:dyDescent="0.25">
      <c r="E94" s="22"/>
      <c r="F94" s="22"/>
      <c r="G94" s="22"/>
    </row>
    <row r="95" spans="5:7" x14ac:dyDescent="0.25">
      <c r="E95" s="22"/>
      <c r="F95" s="22"/>
      <c r="G95" s="22"/>
    </row>
    <row r="96" spans="5:7" x14ac:dyDescent="0.25">
      <c r="E96" s="22"/>
      <c r="F96" s="22"/>
      <c r="G96" s="22"/>
    </row>
    <row r="97" spans="5:7" x14ac:dyDescent="0.25">
      <c r="E97" s="22"/>
      <c r="F97" s="22"/>
      <c r="G97" s="22"/>
    </row>
    <row r="98" spans="5:7" x14ac:dyDescent="0.25">
      <c r="E98" s="22"/>
      <c r="F98" s="22"/>
      <c r="G98" s="22"/>
    </row>
    <row r="99" spans="5:7" x14ac:dyDescent="0.25">
      <c r="E99" s="22"/>
      <c r="F99" s="22"/>
      <c r="G99" s="22"/>
    </row>
    <row r="100" spans="5:7" x14ac:dyDescent="0.25">
      <c r="E100" s="22"/>
      <c r="F100" s="22"/>
      <c r="G100" s="22"/>
    </row>
    <row r="101" spans="5:7" x14ac:dyDescent="0.25">
      <c r="E101" s="22"/>
      <c r="F101" s="22"/>
      <c r="G101" s="22"/>
    </row>
    <row r="102" spans="5:7" x14ac:dyDescent="0.25">
      <c r="E102" s="22"/>
      <c r="F102" s="22"/>
      <c r="G102" s="22"/>
    </row>
    <row r="103" spans="5:7" x14ac:dyDescent="0.25">
      <c r="E103" s="22"/>
      <c r="F103" s="22"/>
      <c r="G103" s="22"/>
    </row>
    <row r="104" spans="5:7" x14ac:dyDescent="0.25">
      <c r="E104" s="22"/>
      <c r="F104" s="22"/>
      <c r="G104" s="22"/>
    </row>
    <row r="105" spans="5:7" x14ac:dyDescent="0.25">
      <c r="E105" s="22"/>
      <c r="F105" s="22"/>
      <c r="G105" s="22"/>
    </row>
    <row r="106" spans="5:7" x14ac:dyDescent="0.25">
      <c r="E106" s="22"/>
      <c r="F106" s="22"/>
      <c r="G106" s="22"/>
    </row>
    <row r="107" spans="5:7" x14ac:dyDescent="0.25">
      <c r="E107" s="22"/>
      <c r="F107" s="22"/>
      <c r="G107" s="22"/>
    </row>
    <row r="108" spans="5:7" x14ac:dyDescent="0.25">
      <c r="E108" s="22"/>
      <c r="F108" s="22"/>
      <c r="G108" s="22"/>
    </row>
    <row r="109" spans="5:7" x14ac:dyDescent="0.25">
      <c r="E109" s="22"/>
      <c r="F109" s="22"/>
      <c r="G109" s="22"/>
    </row>
    <row r="110" spans="5:7" x14ac:dyDescent="0.25">
      <c r="E110" s="22"/>
      <c r="F110" s="22"/>
      <c r="G110" s="22"/>
    </row>
    <row r="111" spans="5:7" x14ac:dyDescent="0.25">
      <c r="E111" s="22"/>
      <c r="F111" s="22"/>
      <c r="G111" s="22"/>
    </row>
    <row r="112" spans="5:7" x14ac:dyDescent="0.25">
      <c r="E112" s="22"/>
      <c r="F112" s="22"/>
      <c r="G112" s="22"/>
    </row>
    <row r="113" spans="5:7" x14ac:dyDescent="0.25">
      <c r="E113" s="22"/>
      <c r="F113" s="22"/>
      <c r="G113" s="22"/>
    </row>
    <row r="114" spans="5:7" x14ac:dyDescent="0.25">
      <c r="E114" s="22"/>
      <c r="F114" s="22"/>
      <c r="G114" s="22"/>
    </row>
    <row r="115" spans="5:7" x14ac:dyDescent="0.25">
      <c r="E115" s="22"/>
      <c r="F115" s="22"/>
      <c r="G115" s="22"/>
    </row>
    <row r="116" spans="5:7" x14ac:dyDescent="0.25">
      <c r="E116" s="22"/>
      <c r="F116" s="22"/>
      <c r="G116" s="22"/>
    </row>
    <row r="117" spans="5:7" x14ac:dyDescent="0.25">
      <c r="E117" s="22"/>
      <c r="F117" s="22"/>
      <c r="G117" s="22"/>
    </row>
    <row r="118" spans="5:7" x14ac:dyDescent="0.25">
      <c r="E118" s="22"/>
      <c r="F118" s="22"/>
      <c r="G118" s="22"/>
    </row>
    <row r="119" spans="5:7" x14ac:dyDescent="0.25">
      <c r="E119" s="22"/>
      <c r="F119" s="22"/>
      <c r="G119" s="22"/>
    </row>
    <row r="120" spans="5:7" x14ac:dyDescent="0.25">
      <c r="E120" s="22"/>
      <c r="F120" s="22"/>
      <c r="G120" s="22"/>
    </row>
    <row r="121" spans="5:7" x14ac:dyDescent="0.25">
      <c r="E121" s="22"/>
      <c r="F121" s="22"/>
      <c r="G121" s="22"/>
    </row>
    <row r="122" spans="5:7" x14ac:dyDescent="0.25">
      <c r="E122" s="22"/>
      <c r="F122" s="22"/>
      <c r="G122" s="22"/>
    </row>
    <row r="123" spans="5:7" x14ac:dyDescent="0.25">
      <c r="E123" s="22"/>
      <c r="F123" s="22"/>
      <c r="G123" s="22"/>
    </row>
    <row r="124" spans="5:7" x14ac:dyDescent="0.25">
      <c r="E124" s="22"/>
      <c r="F124" s="22"/>
      <c r="G124" s="22"/>
    </row>
    <row r="125" spans="5:7" x14ac:dyDescent="0.25">
      <c r="E125" s="22"/>
      <c r="F125" s="22"/>
      <c r="G125" s="22"/>
    </row>
    <row r="126" spans="5:7" x14ac:dyDescent="0.25">
      <c r="E126" s="22"/>
      <c r="F126" s="22"/>
      <c r="G126" s="22"/>
    </row>
    <row r="127" spans="5:7" x14ac:dyDescent="0.25">
      <c r="E127" s="22"/>
      <c r="F127" s="22"/>
      <c r="G127" s="22"/>
    </row>
    <row r="128" spans="5:7" x14ac:dyDescent="0.25">
      <c r="E128" s="22"/>
      <c r="F128" s="22"/>
      <c r="G128" s="22"/>
    </row>
    <row r="129" spans="5:7" x14ac:dyDescent="0.25">
      <c r="E129" s="22"/>
      <c r="F129" s="22"/>
      <c r="G129" s="22"/>
    </row>
    <row r="130" spans="5:7" x14ac:dyDescent="0.25">
      <c r="E130" s="22"/>
      <c r="F130" s="22"/>
      <c r="G130" s="22"/>
    </row>
    <row r="131" spans="5:7" x14ac:dyDescent="0.25">
      <c r="E131" s="22"/>
      <c r="F131" s="22"/>
      <c r="G131" s="22"/>
    </row>
    <row r="132" spans="5:7" x14ac:dyDescent="0.25">
      <c r="E132" s="22"/>
      <c r="F132" s="22"/>
      <c r="G132" s="22"/>
    </row>
    <row r="133" spans="5:7" x14ac:dyDescent="0.25">
      <c r="E133" s="22"/>
      <c r="F133" s="22"/>
      <c r="G133" s="22"/>
    </row>
    <row r="134" spans="5:7" x14ac:dyDescent="0.25">
      <c r="E134" s="22"/>
      <c r="F134" s="22"/>
      <c r="G134" s="22"/>
    </row>
    <row r="135" spans="5:7" x14ac:dyDescent="0.25">
      <c r="E135" s="22"/>
      <c r="F135" s="22"/>
      <c r="G135" s="22"/>
    </row>
    <row r="136" spans="5:7" x14ac:dyDescent="0.25">
      <c r="E136" s="22"/>
      <c r="F136" s="22"/>
      <c r="G136" s="22"/>
    </row>
    <row r="137" spans="5:7" x14ac:dyDescent="0.25">
      <c r="E137" s="22"/>
      <c r="F137" s="22"/>
      <c r="G137" s="22"/>
    </row>
    <row r="138" spans="5:7" x14ac:dyDescent="0.25">
      <c r="E138" s="22"/>
      <c r="F138" s="22"/>
      <c r="G138" s="22"/>
    </row>
    <row r="139" spans="5:7" x14ac:dyDescent="0.25">
      <c r="E139" s="22"/>
      <c r="F139" s="22"/>
      <c r="G139" s="22"/>
    </row>
    <row r="140" spans="5:7" x14ac:dyDescent="0.25">
      <c r="E140" s="22"/>
      <c r="F140" s="22"/>
      <c r="G140" s="22"/>
    </row>
    <row r="141" spans="5:7" x14ac:dyDescent="0.25">
      <c r="E141" s="22"/>
      <c r="F141" s="22"/>
      <c r="G141" s="22"/>
    </row>
    <row r="142" spans="5:7" x14ac:dyDescent="0.25">
      <c r="E142" s="22"/>
      <c r="F142" s="22"/>
      <c r="G142" s="22"/>
    </row>
    <row r="143" spans="5:7" x14ac:dyDescent="0.25">
      <c r="E143" s="22"/>
      <c r="F143" s="22"/>
      <c r="G143" s="22"/>
    </row>
    <row r="144" spans="5:7" x14ac:dyDescent="0.25">
      <c r="E144" s="22"/>
      <c r="F144" s="22"/>
      <c r="G144" s="22"/>
    </row>
    <row r="145" spans="5:7" x14ac:dyDescent="0.25">
      <c r="E145" s="22"/>
      <c r="F145" s="22"/>
      <c r="G145" s="22"/>
    </row>
    <row r="146" spans="5:7" x14ac:dyDescent="0.25">
      <c r="E146" s="22"/>
      <c r="F146" s="22"/>
      <c r="G146" s="22"/>
    </row>
    <row r="147" spans="5:7" x14ac:dyDescent="0.25">
      <c r="E147" s="22"/>
      <c r="F147" s="22"/>
      <c r="G147" s="22"/>
    </row>
    <row r="148" spans="5:7" x14ac:dyDescent="0.25">
      <c r="E148" s="22"/>
      <c r="F148" s="22"/>
      <c r="G148" s="22"/>
    </row>
    <row r="149" spans="5:7" x14ac:dyDescent="0.25">
      <c r="E149" s="22"/>
      <c r="F149" s="22"/>
      <c r="G149" s="22"/>
    </row>
    <row r="150" spans="5:7" x14ac:dyDescent="0.25">
      <c r="E150" s="22"/>
      <c r="F150" s="22"/>
      <c r="G150" s="22"/>
    </row>
    <row r="151" spans="5:7" x14ac:dyDescent="0.25">
      <c r="E151" s="22"/>
      <c r="F151" s="22"/>
      <c r="G151" s="22"/>
    </row>
    <row r="152" spans="5:7" x14ac:dyDescent="0.25">
      <c r="E152" s="22"/>
      <c r="F152" s="22"/>
      <c r="G152" s="22"/>
    </row>
    <row r="153" spans="5:7" x14ac:dyDescent="0.25">
      <c r="E153" s="22"/>
      <c r="F153" s="22"/>
      <c r="G153" s="22"/>
    </row>
    <row r="154" spans="5:7" x14ac:dyDescent="0.25">
      <c r="E154" s="22"/>
      <c r="F154" s="22"/>
      <c r="G154" s="22"/>
    </row>
    <row r="155" spans="5:7" x14ac:dyDescent="0.25">
      <c r="E155" s="22"/>
      <c r="F155" s="22"/>
      <c r="G155" s="22"/>
    </row>
    <row r="156" spans="5:7" x14ac:dyDescent="0.25">
      <c r="E156" s="22"/>
      <c r="F156" s="22"/>
      <c r="G156" s="22"/>
    </row>
    <row r="157" spans="5:7" x14ac:dyDescent="0.25">
      <c r="E157" s="22"/>
      <c r="F157" s="22"/>
      <c r="G157" s="22"/>
    </row>
    <row r="158" spans="5:7" x14ac:dyDescent="0.25">
      <c r="E158" s="22"/>
      <c r="F158" s="22"/>
      <c r="G158" s="22"/>
    </row>
    <row r="159" spans="5:7" x14ac:dyDescent="0.25">
      <c r="E159" s="22"/>
      <c r="F159" s="22"/>
      <c r="G159" s="22"/>
    </row>
    <row r="160" spans="5:7" x14ac:dyDescent="0.25">
      <c r="E160" s="22"/>
      <c r="F160" s="22"/>
      <c r="G160" s="22"/>
    </row>
    <row r="161" spans="5:7" x14ac:dyDescent="0.25">
      <c r="E161" s="22"/>
      <c r="F161" s="22"/>
      <c r="G161" s="22"/>
    </row>
    <row r="162" spans="5:7" x14ac:dyDescent="0.25">
      <c r="E162" s="22"/>
      <c r="F162" s="22"/>
      <c r="G162" s="22"/>
    </row>
    <row r="163" spans="5:7" x14ac:dyDescent="0.25">
      <c r="E163" s="22"/>
      <c r="F163" s="22"/>
      <c r="G163" s="22"/>
    </row>
    <row r="164" spans="5:7" x14ac:dyDescent="0.25">
      <c r="E164" s="22"/>
      <c r="F164" s="22"/>
      <c r="G164" s="22"/>
    </row>
    <row r="165" spans="5:7" x14ac:dyDescent="0.25">
      <c r="E165" s="22"/>
      <c r="F165" s="22"/>
      <c r="G165" s="22"/>
    </row>
    <row r="166" spans="5:7" x14ac:dyDescent="0.25">
      <c r="E166" s="22"/>
      <c r="F166" s="22"/>
      <c r="G166" s="22"/>
    </row>
    <row r="167" spans="5:7" x14ac:dyDescent="0.25">
      <c r="E167" s="22"/>
      <c r="F167" s="22"/>
      <c r="G167" s="22"/>
    </row>
    <row r="168" spans="5:7" x14ac:dyDescent="0.25">
      <c r="E168" s="22"/>
      <c r="F168" s="22"/>
      <c r="G168" s="22"/>
    </row>
    <row r="169" spans="5:7" x14ac:dyDescent="0.25">
      <c r="E169" s="22"/>
      <c r="F169" s="22"/>
      <c r="G169" s="22"/>
    </row>
    <row r="170" spans="5:7" x14ac:dyDescent="0.25">
      <c r="E170" s="22"/>
      <c r="F170" s="22"/>
      <c r="G170" s="22"/>
    </row>
    <row r="171" spans="5:7" x14ac:dyDescent="0.25">
      <c r="E171" s="22"/>
      <c r="F171" s="22"/>
      <c r="G171" s="22"/>
    </row>
    <row r="172" spans="5:7" x14ac:dyDescent="0.25">
      <c r="E172" s="22"/>
      <c r="F172" s="22"/>
      <c r="G172" s="22"/>
    </row>
    <row r="173" spans="5:7" x14ac:dyDescent="0.25">
      <c r="E173" s="22"/>
      <c r="F173" s="22"/>
      <c r="G173" s="22"/>
    </row>
    <row r="174" spans="5:7" x14ac:dyDescent="0.25">
      <c r="E174" s="22"/>
      <c r="F174" s="22"/>
      <c r="G174" s="22"/>
    </row>
    <row r="175" spans="5:7" x14ac:dyDescent="0.25">
      <c r="E175" s="22"/>
      <c r="F175" s="22"/>
      <c r="G175" s="22"/>
    </row>
    <row r="176" spans="5:7" x14ac:dyDescent="0.25">
      <c r="E176" s="22"/>
      <c r="F176" s="22"/>
      <c r="G176" s="22"/>
    </row>
    <row r="177" spans="5:7" x14ac:dyDescent="0.25">
      <c r="E177" s="22"/>
      <c r="F177" s="22"/>
      <c r="G177" s="22"/>
    </row>
    <row r="178" spans="5:7" x14ac:dyDescent="0.25">
      <c r="E178" s="22"/>
      <c r="F178" s="22"/>
      <c r="G178" s="22"/>
    </row>
    <row r="179" spans="5:7" x14ac:dyDescent="0.25">
      <c r="E179" s="22"/>
      <c r="F179" s="22"/>
      <c r="G179" s="22"/>
    </row>
    <row r="180" spans="5:7" x14ac:dyDescent="0.25">
      <c r="E180" s="22"/>
      <c r="F180" s="22"/>
      <c r="G180" s="22"/>
    </row>
    <row r="181" spans="5:7" x14ac:dyDescent="0.25">
      <c r="E181" s="22"/>
      <c r="F181" s="22"/>
      <c r="G181" s="22"/>
    </row>
    <row r="182" spans="5:7" x14ac:dyDescent="0.25">
      <c r="E182" s="22"/>
      <c r="F182" s="22"/>
      <c r="G182" s="22"/>
    </row>
    <row r="183" spans="5:7" x14ac:dyDescent="0.25">
      <c r="E183" s="22"/>
      <c r="F183" s="22"/>
      <c r="G183" s="22"/>
    </row>
    <row r="184" spans="5:7" x14ac:dyDescent="0.25">
      <c r="E184" s="22"/>
      <c r="F184" s="22"/>
      <c r="G184" s="22"/>
    </row>
    <row r="185" spans="5:7" x14ac:dyDescent="0.25">
      <c r="E185" s="22"/>
      <c r="F185" s="22"/>
      <c r="G185" s="22"/>
    </row>
    <row r="186" spans="5:7" x14ac:dyDescent="0.25">
      <c r="E186" s="22"/>
      <c r="F186" s="22"/>
      <c r="G186" s="22"/>
    </row>
    <row r="187" spans="5:7" x14ac:dyDescent="0.25">
      <c r="E187" s="22"/>
      <c r="F187" s="22"/>
      <c r="G187" s="22"/>
    </row>
    <row r="188" spans="5:7" x14ac:dyDescent="0.25">
      <c r="E188" s="22"/>
      <c r="F188" s="22"/>
      <c r="G188" s="22"/>
    </row>
    <row r="189" spans="5:7" x14ac:dyDescent="0.25">
      <c r="E189" s="22"/>
      <c r="F189" s="22"/>
      <c r="G189" s="22"/>
    </row>
    <row r="190" spans="5:7" x14ac:dyDescent="0.25">
      <c r="E190" s="22"/>
      <c r="F190" s="22"/>
      <c r="G190" s="22"/>
    </row>
    <row r="191" spans="5:7" x14ac:dyDescent="0.25">
      <c r="E191" s="22"/>
      <c r="F191" s="22"/>
      <c r="G191" s="22"/>
    </row>
    <row r="192" spans="5:7" x14ac:dyDescent="0.25">
      <c r="E192" s="22"/>
      <c r="F192" s="22"/>
      <c r="G192" s="22"/>
    </row>
    <row r="193" spans="5:7" x14ac:dyDescent="0.25">
      <c r="E193" s="22"/>
      <c r="F193" s="22"/>
      <c r="G193" s="22"/>
    </row>
    <row r="194" spans="5:7" x14ac:dyDescent="0.25">
      <c r="E194" s="22"/>
      <c r="F194" s="22"/>
      <c r="G194" s="22"/>
    </row>
    <row r="195" spans="5:7" x14ac:dyDescent="0.25">
      <c r="E195" s="22"/>
      <c r="F195" s="22"/>
      <c r="G195" s="22"/>
    </row>
    <row r="196" spans="5:7" x14ac:dyDescent="0.25">
      <c r="E196" s="22"/>
      <c r="F196" s="22"/>
      <c r="G196" s="22"/>
    </row>
    <row r="197" spans="5:7" x14ac:dyDescent="0.25">
      <c r="E197" s="22"/>
      <c r="F197" s="22"/>
      <c r="G197" s="22"/>
    </row>
    <row r="198" spans="5:7" x14ac:dyDescent="0.25">
      <c r="E198" s="22"/>
      <c r="F198" s="22"/>
      <c r="G198" s="22"/>
    </row>
    <row r="199" spans="5:7" x14ac:dyDescent="0.25">
      <c r="E199" s="22"/>
      <c r="F199" s="22"/>
      <c r="G199" s="22"/>
    </row>
    <row r="200" spans="5:7" x14ac:dyDescent="0.25">
      <c r="E200" s="22"/>
      <c r="F200" s="22"/>
      <c r="G200" s="22"/>
    </row>
    <row r="201" spans="5:7" x14ac:dyDescent="0.25">
      <c r="E201" s="22"/>
      <c r="F201" s="22"/>
      <c r="G201" s="22"/>
    </row>
    <row r="202" spans="5:7" x14ac:dyDescent="0.25">
      <c r="E202" s="22"/>
      <c r="F202" s="22"/>
      <c r="G202" s="22"/>
    </row>
    <row r="203" spans="5:7" x14ac:dyDescent="0.25">
      <c r="E203" s="22"/>
      <c r="F203" s="22"/>
      <c r="G203" s="22"/>
    </row>
    <row r="204" spans="5:7" x14ac:dyDescent="0.25">
      <c r="E204" s="22"/>
      <c r="F204" s="22"/>
      <c r="G204" s="22"/>
    </row>
    <row r="205" spans="5:7" x14ac:dyDescent="0.25">
      <c r="E205" s="22"/>
      <c r="F205" s="22"/>
      <c r="G205" s="22"/>
    </row>
    <row r="206" spans="5:7" x14ac:dyDescent="0.25">
      <c r="E206" s="22"/>
      <c r="F206" s="22"/>
      <c r="G206" s="22"/>
    </row>
    <row r="207" spans="5:7" x14ac:dyDescent="0.25">
      <c r="E207" s="22"/>
      <c r="F207" s="22"/>
      <c r="G207" s="22"/>
    </row>
    <row r="208" spans="5:7" x14ac:dyDescent="0.25">
      <c r="E208" s="22"/>
      <c r="F208" s="22"/>
      <c r="G208" s="22"/>
    </row>
    <row r="209" spans="5:7" x14ac:dyDescent="0.25">
      <c r="E209" s="22"/>
      <c r="F209" s="22"/>
      <c r="G209" s="22"/>
    </row>
    <row r="210" spans="5:7" x14ac:dyDescent="0.25">
      <c r="E210" s="22"/>
      <c r="F210" s="22"/>
      <c r="G210" s="22"/>
    </row>
    <row r="211" spans="5:7" x14ac:dyDescent="0.25">
      <c r="E211" s="22"/>
      <c r="F211" s="22"/>
      <c r="G211" s="22"/>
    </row>
    <row r="212" spans="5:7" x14ac:dyDescent="0.25">
      <c r="E212" s="22"/>
      <c r="F212" s="22"/>
      <c r="G212" s="22"/>
    </row>
    <row r="213" spans="5:7" x14ac:dyDescent="0.25">
      <c r="E213" s="22"/>
      <c r="F213" s="22"/>
      <c r="G213" s="22"/>
    </row>
    <row r="214" spans="5:7" x14ac:dyDescent="0.25">
      <c r="E214" s="22"/>
      <c r="F214" s="22"/>
      <c r="G214" s="22"/>
    </row>
    <row r="215" spans="5:7" x14ac:dyDescent="0.25">
      <c r="E215" s="22"/>
      <c r="F215" s="22"/>
      <c r="G215" s="22"/>
    </row>
    <row r="216" spans="5:7" x14ac:dyDescent="0.25">
      <c r="E216" s="22"/>
      <c r="F216" s="22"/>
      <c r="G216" s="22"/>
    </row>
    <row r="217" spans="5:7" x14ac:dyDescent="0.25">
      <c r="E217" s="22"/>
      <c r="F217" s="22"/>
      <c r="G217" s="22"/>
    </row>
    <row r="218" spans="5:7" x14ac:dyDescent="0.25">
      <c r="E218" s="22"/>
      <c r="F218" s="22"/>
      <c r="G218" s="22"/>
    </row>
    <row r="219" spans="5:7" x14ac:dyDescent="0.25">
      <c r="E219" s="22"/>
      <c r="F219" s="22"/>
      <c r="G219" s="22"/>
    </row>
    <row r="220" spans="5:7" x14ac:dyDescent="0.25">
      <c r="E220" s="22"/>
      <c r="F220" s="22"/>
      <c r="G220" s="22"/>
    </row>
    <row r="221" spans="5:7" x14ac:dyDescent="0.25">
      <c r="E221" s="22"/>
      <c r="F221" s="22"/>
      <c r="G221" s="22"/>
    </row>
    <row r="222" spans="5:7" x14ac:dyDescent="0.25">
      <c r="E222" s="22"/>
      <c r="F222" s="22"/>
      <c r="G222" s="22"/>
    </row>
    <row r="223" spans="5:7" x14ac:dyDescent="0.25">
      <c r="E223" s="22"/>
      <c r="F223" s="22"/>
      <c r="G223" s="22"/>
    </row>
    <row r="224" spans="5:7" x14ac:dyDescent="0.25">
      <c r="E224" s="22"/>
      <c r="F224" s="22"/>
      <c r="G224" s="22"/>
    </row>
    <row r="225" spans="5:7" x14ac:dyDescent="0.25">
      <c r="E225" s="22"/>
      <c r="F225" s="22"/>
      <c r="G225" s="22"/>
    </row>
    <row r="226" spans="5:7" x14ac:dyDescent="0.25">
      <c r="E226" s="22"/>
      <c r="F226" s="22"/>
      <c r="G226" s="22"/>
    </row>
    <row r="227" spans="5:7" x14ac:dyDescent="0.25">
      <c r="E227" s="22"/>
      <c r="F227" s="22"/>
      <c r="G227" s="22"/>
    </row>
    <row r="228" spans="5:7" x14ac:dyDescent="0.25">
      <c r="E228" s="22"/>
      <c r="F228" s="22"/>
      <c r="G228" s="22"/>
    </row>
    <row r="229" spans="5:7" x14ac:dyDescent="0.25">
      <c r="E229" s="22"/>
      <c r="F229" s="22"/>
      <c r="G229" s="22"/>
    </row>
    <row r="230" spans="5:7" x14ac:dyDescent="0.25">
      <c r="E230" s="22"/>
      <c r="F230" s="22"/>
      <c r="G230" s="22"/>
    </row>
    <row r="231" spans="5:7" x14ac:dyDescent="0.25">
      <c r="E231" s="22"/>
      <c r="F231" s="22"/>
      <c r="G231" s="22"/>
    </row>
    <row r="232" spans="5:7" x14ac:dyDescent="0.25">
      <c r="E232" s="22"/>
      <c r="F232" s="22"/>
      <c r="G232" s="22"/>
    </row>
    <row r="233" spans="5:7" x14ac:dyDescent="0.25">
      <c r="E233" s="22"/>
      <c r="F233" s="22"/>
      <c r="G233" s="22"/>
    </row>
    <row r="234" spans="5:7" x14ac:dyDescent="0.25">
      <c r="E234" s="22"/>
      <c r="F234" s="22"/>
      <c r="G234" s="22"/>
    </row>
    <row r="235" spans="5:7" x14ac:dyDescent="0.25">
      <c r="E235" s="22"/>
      <c r="F235" s="22"/>
      <c r="G235" s="22"/>
    </row>
    <row r="236" spans="5:7" x14ac:dyDescent="0.25">
      <c r="E236" s="22"/>
      <c r="F236" s="22"/>
      <c r="G236" s="22"/>
    </row>
    <row r="237" spans="5:7" x14ac:dyDescent="0.25">
      <c r="E237" s="22"/>
      <c r="F237" s="22"/>
      <c r="G237" s="22"/>
    </row>
    <row r="238" spans="5:7" x14ac:dyDescent="0.25">
      <c r="E238" s="22"/>
      <c r="F238" s="22"/>
      <c r="G238" s="22"/>
    </row>
    <row r="239" spans="5:7" x14ac:dyDescent="0.25">
      <c r="E239" s="22"/>
      <c r="F239" s="22"/>
      <c r="G239" s="22"/>
    </row>
    <row r="240" spans="5:7" x14ac:dyDescent="0.25">
      <c r="E240" s="22"/>
      <c r="F240" s="22"/>
      <c r="G240" s="22"/>
    </row>
    <row r="241" spans="5:7" x14ac:dyDescent="0.25">
      <c r="E241" s="22"/>
      <c r="F241" s="22"/>
      <c r="G241" s="22"/>
    </row>
    <row r="242" spans="5:7" x14ac:dyDescent="0.25">
      <c r="E242" s="22"/>
      <c r="F242" s="22"/>
      <c r="G242" s="22"/>
    </row>
    <row r="243" spans="5:7" x14ac:dyDescent="0.25">
      <c r="E243" s="22"/>
      <c r="F243" s="22"/>
      <c r="G243" s="22"/>
    </row>
    <row r="244" spans="5:7" x14ac:dyDescent="0.25">
      <c r="E244" s="22"/>
      <c r="F244" s="22"/>
      <c r="G244" s="22"/>
    </row>
    <row r="245" spans="5:7" x14ac:dyDescent="0.25">
      <c r="E245" s="22"/>
      <c r="F245" s="22"/>
      <c r="G245" s="22"/>
    </row>
    <row r="246" spans="5:7" x14ac:dyDescent="0.25">
      <c r="E246" s="22"/>
      <c r="F246" s="22"/>
      <c r="G246" s="22"/>
    </row>
    <row r="247" spans="5:7" x14ac:dyDescent="0.25">
      <c r="E247" s="22"/>
      <c r="F247" s="22"/>
      <c r="G247" s="22"/>
    </row>
    <row r="248" spans="5:7" x14ac:dyDescent="0.25">
      <c r="E248" s="22"/>
      <c r="F248" s="22"/>
      <c r="G248" s="22"/>
    </row>
    <row r="249" spans="5:7" x14ac:dyDescent="0.25">
      <c r="E249" s="22"/>
      <c r="F249" s="22"/>
      <c r="G249" s="22"/>
    </row>
    <row r="250" spans="5:7" x14ac:dyDescent="0.25">
      <c r="E250" s="22"/>
      <c r="F250" s="22"/>
      <c r="G250" s="22"/>
    </row>
    <row r="251" spans="5:7" x14ac:dyDescent="0.25">
      <c r="E251" s="22"/>
      <c r="F251" s="22"/>
      <c r="G251" s="22"/>
    </row>
    <row r="252" spans="5:7" x14ac:dyDescent="0.25">
      <c r="E252" s="22"/>
      <c r="F252" s="22"/>
      <c r="G252" s="22"/>
    </row>
    <row r="253" spans="5:7" x14ac:dyDescent="0.25">
      <c r="E253" s="22"/>
      <c r="F253" s="22"/>
      <c r="G253" s="22"/>
    </row>
    <row r="254" spans="5:7" x14ac:dyDescent="0.25">
      <c r="E254" s="22"/>
      <c r="F254" s="22"/>
      <c r="G254" s="22"/>
    </row>
    <row r="255" spans="5:7" x14ac:dyDescent="0.25">
      <c r="E255" s="22"/>
      <c r="F255" s="22"/>
      <c r="G255" s="22"/>
    </row>
    <row r="256" spans="5:7" x14ac:dyDescent="0.25">
      <c r="E256" s="22"/>
      <c r="F256" s="22"/>
      <c r="G256" s="22"/>
    </row>
    <row r="257" spans="5:7" x14ac:dyDescent="0.25">
      <c r="E257" s="22"/>
      <c r="F257" s="22"/>
      <c r="G257" s="22"/>
    </row>
    <row r="258" spans="5:7" x14ac:dyDescent="0.25">
      <c r="E258" s="22"/>
      <c r="F258" s="22"/>
      <c r="G258" s="22"/>
    </row>
    <row r="259" spans="5:7" x14ac:dyDescent="0.25">
      <c r="E259" s="22"/>
      <c r="F259" s="22"/>
      <c r="G259" s="22"/>
    </row>
    <row r="260" spans="5:7" x14ac:dyDescent="0.25">
      <c r="E260" s="22"/>
      <c r="F260" s="22"/>
      <c r="G260" s="22"/>
    </row>
    <row r="261" spans="5:7" x14ac:dyDescent="0.25">
      <c r="E261" s="22"/>
      <c r="F261" s="22"/>
      <c r="G261" s="22"/>
    </row>
    <row r="262" spans="5:7" x14ac:dyDescent="0.25">
      <c r="E262" s="22"/>
      <c r="F262" s="22"/>
      <c r="G262" s="22"/>
    </row>
    <row r="263" spans="5:7" x14ac:dyDescent="0.25">
      <c r="E263" s="22"/>
      <c r="F263" s="22"/>
      <c r="G263" s="22"/>
    </row>
    <row r="264" spans="5:7" x14ac:dyDescent="0.25">
      <c r="E264" s="22"/>
      <c r="F264" s="22"/>
      <c r="G264" s="22"/>
    </row>
    <row r="265" spans="5:7" x14ac:dyDescent="0.25">
      <c r="E265" s="22"/>
      <c r="F265" s="22"/>
      <c r="G265" s="22"/>
    </row>
    <row r="266" spans="5:7" x14ac:dyDescent="0.25">
      <c r="E266" s="22"/>
      <c r="F266" s="22"/>
      <c r="G266" s="22"/>
    </row>
    <row r="267" spans="5:7" x14ac:dyDescent="0.25">
      <c r="E267" s="22"/>
      <c r="F267" s="22"/>
      <c r="G267" s="22"/>
    </row>
    <row r="268" spans="5:7" x14ac:dyDescent="0.25">
      <c r="E268" s="22"/>
      <c r="F268" s="22"/>
      <c r="G268" s="22"/>
    </row>
    <row r="269" spans="5:7" x14ac:dyDescent="0.25">
      <c r="E269" s="22"/>
      <c r="F269" s="22"/>
      <c r="G269" s="22"/>
    </row>
    <row r="270" spans="5:7" x14ac:dyDescent="0.25">
      <c r="E270" s="22"/>
      <c r="F270" s="22"/>
      <c r="G270" s="22"/>
    </row>
    <row r="271" spans="5:7" x14ac:dyDescent="0.25">
      <c r="E271" s="22"/>
      <c r="F271" s="22"/>
      <c r="G271" s="22"/>
    </row>
    <row r="272" spans="5:7" x14ac:dyDescent="0.25">
      <c r="E272" s="22"/>
      <c r="F272" s="22"/>
      <c r="G272" s="22"/>
    </row>
    <row r="273" spans="5:7" x14ac:dyDescent="0.25">
      <c r="E273" s="22"/>
      <c r="F273" s="22"/>
      <c r="G273" s="22"/>
    </row>
    <row r="274" spans="5:7" x14ac:dyDescent="0.25">
      <c r="E274" s="22"/>
      <c r="F274" s="22"/>
      <c r="G274" s="22"/>
    </row>
    <row r="275" spans="5:7" x14ac:dyDescent="0.25">
      <c r="E275" s="22"/>
      <c r="F275" s="22"/>
      <c r="G275" s="22"/>
    </row>
    <row r="276" spans="5:7" x14ac:dyDescent="0.25">
      <c r="E276" s="22"/>
      <c r="F276" s="22"/>
      <c r="G276" s="22"/>
    </row>
    <row r="277" spans="5:7" x14ac:dyDescent="0.25">
      <c r="E277" s="22"/>
      <c r="F277" s="22"/>
      <c r="G277" s="22"/>
    </row>
    <row r="278" spans="5:7" x14ac:dyDescent="0.25">
      <c r="E278" s="22"/>
      <c r="F278" s="22"/>
      <c r="G278" s="22"/>
    </row>
    <row r="279" spans="5:7" x14ac:dyDescent="0.25">
      <c r="E279" s="22"/>
      <c r="F279" s="22"/>
      <c r="G279" s="22"/>
    </row>
    <row r="280" spans="5:7" x14ac:dyDescent="0.25">
      <c r="E280" s="22"/>
      <c r="F280" s="22"/>
      <c r="G280" s="22"/>
    </row>
    <row r="281" spans="5:7" x14ac:dyDescent="0.25">
      <c r="E281" s="22"/>
      <c r="F281" s="22"/>
      <c r="G281" s="22"/>
    </row>
    <row r="282" spans="5:7" x14ac:dyDescent="0.25">
      <c r="E282" s="22"/>
      <c r="F282" s="22"/>
      <c r="G282" s="22"/>
    </row>
    <row r="283" spans="5:7" x14ac:dyDescent="0.25">
      <c r="E283" s="22"/>
      <c r="F283" s="22"/>
      <c r="G283" s="22"/>
    </row>
    <row r="284" spans="5:7" x14ac:dyDescent="0.25">
      <c r="E284" s="22"/>
      <c r="F284" s="22"/>
      <c r="G284" s="22"/>
    </row>
    <row r="285" spans="5:7" x14ac:dyDescent="0.25">
      <c r="E285" s="22"/>
      <c r="F285" s="22"/>
      <c r="G285" s="22"/>
    </row>
    <row r="286" spans="5:7" x14ac:dyDescent="0.25">
      <c r="E286" s="22"/>
      <c r="F286" s="22"/>
      <c r="G286" s="22"/>
    </row>
    <row r="287" spans="5:7" x14ac:dyDescent="0.25">
      <c r="E287" s="22"/>
      <c r="F287" s="22"/>
      <c r="G287" s="22"/>
    </row>
    <row r="288" spans="5:7" x14ac:dyDescent="0.25">
      <c r="E288" s="22"/>
      <c r="F288" s="22"/>
      <c r="G288" s="22"/>
    </row>
    <row r="289" spans="5:7" x14ac:dyDescent="0.25">
      <c r="E289" s="22"/>
      <c r="F289" s="22"/>
      <c r="G289" s="22"/>
    </row>
    <row r="290" spans="5:7" x14ac:dyDescent="0.25">
      <c r="E290" s="22"/>
      <c r="F290" s="22"/>
      <c r="G290" s="22"/>
    </row>
    <row r="291" spans="5:7" x14ac:dyDescent="0.25">
      <c r="E291" s="22"/>
      <c r="F291" s="22"/>
      <c r="G291" s="22"/>
    </row>
    <row r="292" spans="5:7" x14ac:dyDescent="0.25">
      <c r="E292" s="22"/>
      <c r="F292" s="22"/>
      <c r="G292" s="22"/>
    </row>
    <row r="293" spans="5:7" x14ac:dyDescent="0.25">
      <c r="E293" s="22"/>
      <c r="F293" s="22"/>
      <c r="G293" s="22"/>
    </row>
    <row r="294" spans="5:7" x14ac:dyDescent="0.25">
      <c r="E294" s="22"/>
      <c r="F294" s="22"/>
      <c r="G294" s="22"/>
    </row>
    <row r="295" spans="5:7" x14ac:dyDescent="0.25">
      <c r="E295" s="22"/>
      <c r="F295" s="22"/>
      <c r="G295" s="22"/>
    </row>
    <row r="296" spans="5:7" x14ac:dyDescent="0.25">
      <c r="E296" s="22"/>
      <c r="F296" s="22"/>
      <c r="G296" s="22"/>
    </row>
    <row r="297" spans="5:7" x14ac:dyDescent="0.25">
      <c r="E297" s="22"/>
      <c r="F297" s="22"/>
      <c r="G297" s="22"/>
    </row>
    <row r="298" spans="5:7" x14ac:dyDescent="0.25">
      <c r="E298" s="22"/>
      <c r="F298" s="22"/>
      <c r="G298" s="22"/>
    </row>
    <row r="299" spans="5:7" x14ac:dyDescent="0.25">
      <c r="E299" s="22"/>
      <c r="F299" s="22"/>
      <c r="G299" s="22"/>
    </row>
    <row r="300" spans="5:7" x14ac:dyDescent="0.25">
      <c r="E300" s="22"/>
      <c r="F300" s="22"/>
      <c r="G300" s="22"/>
    </row>
    <row r="301" spans="5:7" x14ac:dyDescent="0.25">
      <c r="E301" s="22"/>
      <c r="F301" s="22"/>
      <c r="G301" s="22"/>
    </row>
    <row r="302" spans="5:7" x14ac:dyDescent="0.25">
      <c r="E302" s="22"/>
      <c r="F302" s="22"/>
      <c r="G302" s="22"/>
    </row>
    <row r="303" spans="5:7" x14ac:dyDescent="0.25">
      <c r="E303" s="22"/>
      <c r="F303" s="22"/>
      <c r="G303" s="22"/>
    </row>
    <row r="304" spans="5:7" x14ac:dyDescent="0.25">
      <c r="E304" s="22"/>
      <c r="F304" s="22"/>
      <c r="G304" s="22"/>
    </row>
    <row r="305" spans="5:7" x14ac:dyDescent="0.25">
      <c r="E305" s="22"/>
      <c r="F305" s="22"/>
      <c r="G305" s="22"/>
    </row>
    <row r="306" spans="5:7" x14ac:dyDescent="0.25">
      <c r="E306" s="22"/>
      <c r="F306" s="22"/>
      <c r="G306" s="22"/>
    </row>
    <row r="307" spans="5:7" x14ac:dyDescent="0.25">
      <c r="E307" s="22"/>
      <c r="F307" s="22"/>
      <c r="G307" s="22"/>
    </row>
    <row r="308" spans="5:7" x14ac:dyDescent="0.25">
      <c r="E308" s="22"/>
      <c r="F308" s="22"/>
      <c r="G308" s="22"/>
    </row>
    <row r="309" spans="5:7" x14ac:dyDescent="0.25">
      <c r="E309" s="22"/>
      <c r="F309" s="22"/>
      <c r="G309" s="22"/>
    </row>
    <row r="310" spans="5:7" x14ac:dyDescent="0.25">
      <c r="E310" s="22"/>
      <c r="F310" s="22"/>
      <c r="G310" s="22"/>
    </row>
    <row r="311" spans="5:7" x14ac:dyDescent="0.25">
      <c r="E311" s="22"/>
      <c r="F311" s="22"/>
      <c r="G311" s="22"/>
    </row>
    <row r="312" spans="5:7" x14ac:dyDescent="0.25">
      <c r="E312" s="22"/>
      <c r="F312" s="22"/>
      <c r="G312" s="22"/>
    </row>
    <row r="313" spans="5:7" x14ac:dyDescent="0.25">
      <c r="E313" s="22"/>
      <c r="F313" s="22"/>
      <c r="G313" s="22"/>
    </row>
    <row r="314" spans="5:7" x14ac:dyDescent="0.25">
      <c r="E314" s="22"/>
      <c r="F314" s="22"/>
      <c r="G314" s="22"/>
    </row>
    <row r="315" spans="5:7" x14ac:dyDescent="0.25">
      <c r="E315" s="22"/>
      <c r="F315" s="22"/>
      <c r="G315" s="22"/>
    </row>
    <row r="316" spans="5:7" x14ac:dyDescent="0.25">
      <c r="E316" s="22"/>
      <c r="F316" s="22"/>
      <c r="G316" s="22"/>
    </row>
    <row r="317" spans="5:7" x14ac:dyDescent="0.25">
      <c r="E317" s="22"/>
      <c r="F317" s="22"/>
      <c r="G317" s="22"/>
    </row>
    <row r="318" spans="5:7" x14ac:dyDescent="0.25">
      <c r="E318" s="22"/>
      <c r="F318" s="22"/>
      <c r="G318" s="22"/>
    </row>
    <row r="319" spans="5:7" x14ac:dyDescent="0.25">
      <c r="E319" s="22"/>
      <c r="F319" s="22"/>
      <c r="G319" s="22"/>
    </row>
    <row r="320" spans="5:7" x14ac:dyDescent="0.25">
      <c r="E320" s="22"/>
      <c r="F320" s="22"/>
      <c r="G320" s="22"/>
    </row>
    <row r="321" spans="5:7" x14ac:dyDescent="0.25">
      <c r="E321" s="22"/>
      <c r="F321" s="22"/>
      <c r="G321" s="22"/>
    </row>
    <row r="322" spans="5:7" x14ac:dyDescent="0.25">
      <c r="E322" s="22"/>
      <c r="F322" s="22"/>
      <c r="G322" s="22"/>
    </row>
    <row r="323" spans="5:7" x14ac:dyDescent="0.25">
      <c r="E323" s="22"/>
      <c r="F323" s="22"/>
      <c r="G323" s="22"/>
    </row>
    <row r="324" spans="5:7" x14ac:dyDescent="0.25">
      <c r="E324" s="22"/>
      <c r="F324" s="22"/>
      <c r="G324" s="22"/>
    </row>
    <row r="325" spans="5:7" x14ac:dyDescent="0.25">
      <c r="E325" s="22"/>
      <c r="F325" s="22"/>
      <c r="G325" s="22"/>
    </row>
    <row r="326" spans="5:7" x14ac:dyDescent="0.25">
      <c r="E326" s="22"/>
      <c r="F326" s="22"/>
      <c r="G326" s="22"/>
    </row>
    <row r="327" spans="5:7" x14ac:dyDescent="0.25">
      <c r="E327" s="22"/>
      <c r="F327" s="22"/>
      <c r="G327" s="22"/>
    </row>
    <row r="328" spans="5:7" x14ac:dyDescent="0.25">
      <c r="E328" s="22"/>
      <c r="F328" s="22"/>
      <c r="G328" s="22"/>
    </row>
    <row r="329" spans="5:7" x14ac:dyDescent="0.25">
      <c r="E329" s="22"/>
      <c r="F329" s="22"/>
      <c r="G329" s="22"/>
    </row>
    <row r="330" spans="5:7" x14ac:dyDescent="0.25">
      <c r="E330" s="22"/>
      <c r="F330" s="22"/>
      <c r="G330" s="22"/>
    </row>
    <row r="331" spans="5:7" x14ac:dyDescent="0.25">
      <c r="E331" s="22"/>
      <c r="F331" s="22"/>
      <c r="G331" s="22"/>
    </row>
    <row r="332" spans="5:7" x14ac:dyDescent="0.25">
      <c r="E332" s="22"/>
      <c r="F332" s="22"/>
      <c r="G332" s="22"/>
    </row>
    <row r="333" spans="5:7" x14ac:dyDescent="0.25">
      <c r="E333" s="22"/>
      <c r="F333" s="22"/>
      <c r="G333" s="22"/>
    </row>
    <row r="334" spans="5:7" x14ac:dyDescent="0.25">
      <c r="E334" s="22"/>
      <c r="F334" s="22"/>
      <c r="G334" s="22"/>
    </row>
    <row r="335" spans="5:7" x14ac:dyDescent="0.25">
      <c r="E335" s="22"/>
      <c r="F335" s="22"/>
      <c r="G335" s="22"/>
    </row>
    <row r="336" spans="5:7" x14ac:dyDescent="0.25">
      <c r="E336" s="22"/>
      <c r="F336" s="22"/>
      <c r="G336" s="22"/>
    </row>
    <row r="337" spans="5:7" x14ac:dyDescent="0.25">
      <c r="E337" s="22"/>
      <c r="F337" s="22"/>
      <c r="G337" s="22"/>
    </row>
    <row r="338" spans="5:7" x14ac:dyDescent="0.25">
      <c r="E338" s="22"/>
      <c r="F338" s="22"/>
      <c r="G338" s="22"/>
    </row>
    <row r="339" spans="5:7" x14ac:dyDescent="0.25">
      <c r="E339" s="22"/>
      <c r="F339" s="22"/>
      <c r="G339" s="22"/>
    </row>
    <row r="340" spans="5:7" x14ac:dyDescent="0.25">
      <c r="E340" s="22"/>
      <c r="F340" s="22"/>
      <c r="G340" s="22"/>
    </row>
    <row r="341" spans="5:7" x14ac:dyDescent="0.25">
      <c r="E341" s="22"/>
      <c r="F341" s="22"/>
      <c r="G341" s="22"/>
    </row>
    <row r="342" spans="5:7" x14ac:dyDescent="0.25">
      <c r="E342" s="22"/>
      <c r="F342" s="22"/>
      <c r="G342" s="22"/>
    </row>
    <row r="343" spans="5:7" x14ac:dyDescent="0.25">
      <c r="E343" s="22"/>
      <c r="F343" s="22"/>
      <c r="G343" s="22"/>
    </row>
    <row r="344" spans="5:7" x14ac:dyDescent="0.25">
      <c r="E344" s="22"/>
      <c r="F344" s="22"/>
      <c r="G344" s="22"/>
    </row>
    <row r="345" spans="5:7" x14ac:dyDescent="0.25">
      <c r="E345" s="22"/>
      <c r="F345" s="22"/>
      <c r="G345" s="22"/>
    </row>
    <row r="346" spans="5:7" x14ac:dyDescent="0.25">
      <c r="E346" s="22"/>
      <c r="F346" s="22"/>
      <c r="G346" s="22"/>
    </row>
    <row r="347" spans="5:7" x14ac:dyDescent="0.25">
      <c r="E347" s="22"/>
      <c r="F347" s="22"/>
      <c r="G347" s="22"/>
    </row>
    <row r="348" spans="5:7" x14ac:dyDescent="0.25">
      <c r="E348" s="22"/>
      <c r="F348" s="22"/>
      <c r="G348" s="22"/>
    </row>
    <row r="349" spans="5:7" x14ac:dyDescent="0.25">
      <c r="E349" s="22"/>
      <c r="F349" s="22"/>
      <c r="G349" s="22"/>
    </row>
    <row r="350" spans="5:7" x14ac:dyDescent="0.25">
      <c r="E350" s="22"/>
      <c r="F350" s="22"/>
      <c r="G350" s="22"/>
    </row>
    <row r="351" spans="5:7" x14ac:dyDescent="0.25">
      <c r="E351" s="22"/>
      <c r="F351" s="22"/>
      <c r="G351" s="22"/>
    </row>
    <row r="352" spans="5:7" x14ac:dyDescent="0.25">
      <c r="E352" s="22"/>
      <c r="F352" s="22"/>
      <c r="G352" s="22"/>
    </row>
    <row r="353" spans="5:7" x14ac:dyDescent="0.25">
      <c r="E353" s="22"/>
      <c r="F353" s="22"/>
      <c r="G353" s="22"/>
    </row>
    <row r="354" spans="5:7" x14ac:dyDescent="0.25">
      <c r="E354" s="22"/>
      <c r="F354" s="22"/>
      <c r="G354" s="22"/>
    </row>
    <row r="355" spans="5:7" x14ac:dyDescent="0.25">
      <c r="E355" s="22"/>
      <c r="F355" s="22"/>
      <c r="G355" s="22"/>
    </row>
    <row r="356" spans="5:7" x14ac:dyDescent="0.25">
      <c r="E356" s="22"/>
      <c r="F356" s="22"/>
      <c r="G356" s="22"/>
    </row>
    <row r="357" spans="5:7" x14ac:dyDescent="0.25">
      <c r="E357" s="22"/>
      <c r="F357" s="22"/>
      <c r="G357" s="22"/>
    </row>
    <row r="358" spans="5:7" x14ac:dyDescent="0.25">
      <c r="E358" s="22"/>
      <c r="F358" s="22"/>
      <c r="G358" s="22"/>
    </row>
    <row r="359" spans="5:7" x14ac:dyDescent="0.25">
      <c r="E359" s="22"/>
      <c r="F359" s="22"/>
      <c r="G359" s="22"/>
    </row>
    <row r="360" spans="5:7" x14ac:dyDescent="0.25">
      <c r="E360" s="22"/>
      <c r="F360" s="22"/>
      <c r="G360" s="22"/>
    </row>
    <row r="361" spans="5:7" x14ac:dyDescent="0.25">
      <c r="E361" s="22"/>
      <c r="F361" s="22"/>
      <c r="G361" s="22"/>
    </row>
    <row r="362" spans="5:7" x14ac:dyDescent="0.25">
      <c r="E362" s="22"/>
      <c r="F362" s="22"/>
      <c r="G362" s="22"/>
    </row>
    <row r="363" spans="5:7" x14ac:dyDescent="0.25">
      <c r="E363" s="22"/>
      <c r="F363" s="22"/>
      <c r="G363" s="22"/>
    </row>
    <row r="364" spans="5:7" x14ac:dyDescent="0.25">
      <c r="E364" s="22"/>
      <c r="F364" s="22"/>
      <c r="G364" s="22"/>
    </row>
    <row r="365" spans="5:7" x14ac:dyDescent="0.25">
      <c r="E365" s="22"/>
      <c r="F365" s="22"/>
      <c r="G365" s="22"/>
    </row>
    <row r="366" spans="5:7" x14ac:dyDescent="0.25">
      <c r="E366" s="22"/>
      <c r="F366" s="22"/>
      <c r="G366" s="22"/>
    </row>
    <row r="367" spans="5:7" x14ac:dyDescent="0.25">
      <c r="E367" s="22"/>
      <c r="F367" s="22"/>
      <c r="G367" s="22"/>
    </row>
    <row r="368" spans="5:7" x14ac:dyDescent="0.25">
      <c r="E368" s="22"/>
      <c r="F368" s="22"/>
      <c r="G368" s="22"/>
    </row>
    <row r="369" spans="5:7" x14ac:dyDescent="0.25">
      <c r="E369" s="22"/>
      <c r="F369" s="22"/>
      <c r="G369" s="22"/>
    </row>
    <row r="370" spans="5:7" x14ac:dyDescent="0.25">
      <c r="E370" s="22"/>
      <c r="F370" s="22"/>
      <c r="G370" s="22"/>
    </row>
    <row r="371" spans="5:7" x14ac:dyDescent="0.25">
      <c r="E371" s="22"/>
      <c r="F371" s="22"/>
      <c r="G371" s="22"/>
    </row>
    <row r="372" spans="5:7" x14ac:dyDescent="0.25">
      <c r="E372" s="22"/>
      <c r="F372" s="22"/>
      <c r="G372" s="22"/>
    </row>
    <row r="373" spans="5:7" x14ac:dyDescent="0.25">
      <c r="E373" s="22"/>
      <c r="F373" s="22"/>
      <c r="G373" s="22"/>
    </row>
    <row r="374" spans="5:7" x14ac:dyDescent="0.25">
      <c r="E374" s="22"/>
      <c r="F374" s="22"/>
      <c r="G374" s="22"/>
    </row>
    <row r="375" spans="5:7" x14ac:dyDescent="0.25">
      <c r="E375" s="22"/>
      <c r="F375" s="22"/>
      <c r="G375" s="22"/>
    </row>
    <row r="376" spans="5:7" x14ac:dyDescent="0.25">
      <c r="E376" s="22"/>
      <c r="F376" s="22"/>
      <c r="G376" s="22"/>
    </row>
    <row r="377" spans="5:7" x14ac:dyDescent="0.25">
      <c r="E377" s="22"/>
      <c r="F377" s="22"/>
      <c r="G377" s="22"/>
    </row>
    <row r="378" spans="5:7" x14ac:dyDescent="0.25">
      <c r="E378" s="22"/>
      <c r="F378" s="22"/>
      <c r="G378" s="22"/>
    </row>
    <row r="379" spans="5:7" x14ac:dyDescent="0.25">
      <c r="E379" s="22"/>
      <c r="F379" s="22"/>
      <c r="G379" s="22"/>
    </row>
    <row r="380" spans="5:7" x14ac:dyDescent="0.25">
      <c r="E380" s="22"/>
      <c r="F380" s="22"/>
      <c r="G380" s="22"/>
    </row>
    <row r="381" spans="5:7" x14ac:dyDescent="0.25">
      <c r="E381" s="22"/>
      <c r="F381" s="22"/>
      <c r="G381" s="22"/>
    </row>
    <row r="382" spans="5:7" x14ac:dyDescent="0.25">
      <c r="E382" s="22"/>
      <c r="F382" s="22"/>
      <c r="G382" s="22"/>
    </row>
    <row r="383" spans="5:7" x14ac:dyDescent="0.25">
      <c r="E383" s="22"/>
      <c r="F383" s="22"/>
      <c r="G383" s="22"/>
    </row>
    <row r="384" spans="5:7" x14ac:dyDescent="0.25">
      <c r="E384" s="22"/>
      <c r="F384" s="22"/>
      <c r="G384" s="22"/>
    </row>
    <row r="385" spans="5:7" x14ac:dyDescent="0.25">
      <c r="E385" s="22"/>
      <c r="F385" s="22"/>
      <c r="G385" s="22"/>
    </row>
    <row r="386" spans="5:7" x14ac:dyDescent="0.25">
      <c r="E386" s="22"/>
      <c r="F386" s="22"/>
      <c r="G386" s="22"/>
    </row>
    <row r="387" spans="5:7" x14ac:dyDescent="0.25">
      <c r="E387" s="22"/>
      <c r="F387" s="22"/>
      <c r="G387" s="22"/>
    </row>
    <row r="388" spans="5:7" x14ac:dyDescent="0.25">
      <c r="E388" s="22"/>
      <c r="F388" s="22"/>
      <c r="G388" s="22"/>
    </row>
    <row r="389" spans="5:7" x14ac:dyDescent="0.25">
      <c r="E389" s="22"/>
      <c r="F389" s="22"/>
      <c r="G389" s="22"/>
    </row>
    <row r="390" spans="5:7" x14ac:dyDescent="0.25">
      <c r="E390" s="22"/>
      <c r="F390" s="22"/>
      <c r="G390" s="22"/>
    </row>
    <row r="391" spans="5:7" x14ac:dyDescent="0.25">
      <c r="E391" s="22"/>
      <c r="F391" s="22"/>
      <c r="G391" s="22"/>
    </row>
    <row r="392" spans="5:7" x14ac:dyDescent="0.25">
      <c r="E392" s="22"/>
      <c r="F392" s="22"/>
      <c r="G392" s="22"/>
    </row>
    <row r="393" spans="5:7" x14ac:dyDescent="0.25">
      <c r="E393" s="22"/>
      <c r="F393" s="22"/>
      <c r="G393" s="22"/>
    </row>
    <row r="394" spans="5:7" x14ac:dyDescent="0.25">
      <c r="E394" s="22"/>
      <c r="F394" s="22"/>
      <c r="G394" s="22"/>
    </row>
    <row r="395" spans="5:7" x14ac:dyDescent="0.25">
      <c r="E395" s="22"/>
      <c r="F395" s="22"/>
      <c r="G395" s="22"/>
    </row>
    <row r="396" spans="5:7" x14ac:dyDescent="0.25">
      <c r="E396" s="22"/>
      <c r="F396" s="22"/>
      <c r="G396" s="22"/>
    </row>
    <row r="397" spans="5:7" x14ac:dyDescent="0.25">
      <c r="E397" s="22"/>
      <c r="F397" s="22"/>
      <c r="G397" s="22"/>
    </row>
    <row r="398" spans="5:7" x14ac:dyDescent="0.25">
      <c r="E398" s="22"/>
      <c r="F398" s="22"/>
      <c r="G398" s="22"/>
    </row>
    <row r="399" spans="5:7" x14ac:dyDescent="0.25">
      <c r="E399" s="22"/>
      <c r="F399" s="22"/>
      <c r="G399" s="22"/>
    </row>
    <row r="400" spans="5:7" x14ac:dyDescent="0.25">
      <c r="E400" s="22"/>
      <c r="F400" s="22"/>
      <c r="G400" s="22"/>
    </row>
    <row r="401" spans="5:7" x14ac:dyDescent="0.25">
      <c r="E401" s="22"/>
      <c r="F401" s="22"/>
      <c r="G401" s="22"/>
    </row>
    <row r="402" spans="5:7" x14ac:dyDescent="0.25">
      <c r="E402" s="22"/>
      <c r="F402" s="22"/>
      <c r="G402" s="22"/>
    </row>
    <row r="403" spans="5:7" x14ac:dyDescent="0.25">
      <c r="E403" s="22"/>
      <c r="F403" s="22"/>
      <c r="G403" s="22"/>
    </row>
    <row r="404" spans="5:7" x14ac:dyDescent="0.25">
      <c r="E404" s="22"/>
      <c r="F404" s="22"/>
      <c r="G404" s="22"/>
    </row>
    <row r="405" spans="5:7" x14ac:dyDescent="0.25">
      <c r="E405" s="22"/>
      <c r="F405" s="22"/>
      <c r="G405" s="22"/>
    </row>
    <row r="406" spans="5:7" x14ac:dyDescent="0.25">
      <c r="E406" s="22"/>
      <c r="F406" s="22"/>
      <c r="G406" s="22"/>
    </row>
    <row r="407" spans="5:7" x14ac:dyDescent="0.25">
      <c r="E407" s="22"/>
      <c r="F407" s="22"/>
      <c r="G407" s="22"/>
    </row>
  </sheetData>
  <phoneticPr fontId="2" type="noConversion"/>
  <conditionalFormatting sqref="I1:L1 B1:G6 E8:G25 D8:D26">
    <cfRule type="expression" dxfId="5" priority="5">
      <formula>$C1=2</formula>
    </cfRule>
    <cfRule type="expression" dxfId="4" priority="6">
      <formula>$C1=1</formula>
    </cfRule>
  </conditionalFormatting>
  <conditionalFormatting sqref="I2:L18">
    <cfRule type="expression" dxfId="3" priority="11">
      <formula>#REF!=2</formula>
    </cfRule>
    <cfRule type="expression" dxfId="2" priority="12">
      <formula>#REF!=1</formula>
    </cfRule>
  </conditionalFormatting>
  <conditionalFormatting sqref="I19:L19">
    <cfRule type="expression" dxfId="1" priority="9">
      <formula>$C6=2</formula>
    </cfRule>
    <cfRule type="expression" dxfId="0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>
      <selection activeCell="AB2" sqref="AB2"/>
    </sheetView>
  </sheetViews>
  <sheetFormatPr defaultRowHeight="15" x14ac:dyDescent="0.25"/>
  <cols>
    <col min="1" max="1" width="10.28515625" bestFit="1" customWidth="1"/>
    <col min="2" max="2" width="16.28515625" bestFit="1" customWidth="1"/>
    <col min="3" max="3" width="13.85546875" bestFit="1" customWidth="1"/>
    <col min="4" max="4" width="17.7109375" bestFit="1" customWidth="1"/>
    <col min="5" max="5" width="16.28515625" bestFit="1" customWidth="1"/>
    <col min="6" max="6" width="13.85546875" bestFit="1" customWidth="1"/>
    <col min="7" max="7" width="17.7109375" bestFit="1" customWidth="1"/>
    <col min="8" max="8" width="16.7109375" bestFit="1" customWidth="1"/>
    <col min="9" max="9" width="14.28515625" bestFit="1" customWidth="1"/>
    <col min="10" max="10" width="18.140625" bestFit="1" customWidth="1"/>
    <col min="11" max="11" width="11.140625" bestFit="1" customWidth="1"/>
    <col min="12" max="12" width="11" bestFit="1" customWidth="1"/>
    <col min="13" max="13" width="16.42578125" bestFit="1" customWidth="1"/>
    <col min="14" max="14" width="10.140625" bestFit="1" customWidth="1"/>
    <col min="15" max="15" width="31.7109375" bestFit="1" customWidth="1"/>
    <col min="16" max="16" width="26.28515625" bestFit="1" customWidth="1"/>
    <col min="17" max="17" width="58.28515625" bestFit="1" customWidth="1"/>
    <col min="18" max="18" width="32.28515625" bestFit="1" customWidth="1"/>
    <col min="19" max="19" width="62.5703125" bestFit="1" customWidth="1"/>
    <col min="20" max="20" width="53.5703125" bestFit="1" customWidth="1"/>
    <col min="21" max="21" width="57.5703125" bestFit="1" customWidth="1"/>
    <col min="22" max="22" width="54.85546875" bestFit="1" customWidth="1"/>
    <col min="23" max="24" width="62.5703125" bestFit="1" customWidth="1"/>
    <col min="25" max="25" width="40.7109375" bestFit="1" customWidth="1"/>
    <col min="26" max="26" width="51.7109375" bestFit="1" customWidth="1"/>
    <col min="27" max="27" width="44.7109375" bestFit="1" customWidth="1"/>
    <col min="28" max="28" width="28.42578125" bestFit="1" customWidth="1"/>
    <col min="29" max="29" width="40.42578125" bestFit="1" customWidth="1"/>
    <col min="30" max="30" width="23.5703125" bestFit="1" customWidth="1"/>
    <col min="31" max="31" width="32" bestFit="1" customWidth="1"/>
    <col min="32" max="32" width="24" bestFit="1" customWidth="1"/>
    <col min="33" max="33" width="22.28515625" bestFit="1" customWidth="1"/>
    <col min="34" max="34" width="28.140625" bestFit="1" customWidth="1"/>
    <col min="35" max="35" width="37.28515625" bestFit="1" customWidth="1"/>
    <col min="36" max="36" width="40.140625" bestFit="1" customWidth="1"/>
    <col min="37" max="37" width="24.85546875" bestFit="1" customWidth="1"/>
    <col min="38" max="38" width="32.5703125" bestFit="1" customWidth="1"/>
    <col min="39" max="39" width="52.7109375" bestFit="1" customWidth="1"/>
    <col min="40" max="40" width="16.5703125" bestFit="1" customWidth="1"/>
    <col min="41" max="41" width="23.5703125" bestFit="1" customWidth="1"/>
    <col min="42" max="42" width="26.7109375" bestFit="1" customWidth="1"/>
    <col min="43" max="43" width="31.7109375" bestFit="1" customWidth="1"/>
    <col min="44" max="44" width="35.28515625" bestFit="1" customWidth="1"/>
    <col min="45" max="45" width="32.7109375" bestFit="1" customWidth="1"/>
    <col min="46" max="46" width="26.7109375" bestFit="1" customWidth="1"/>
    <col min="47" max="47" width="27.140625" bestFit="1" customWidth="1"/>
    <col min="48" max="48" width="23.7109375" bestFit="1" customWidth="1"/>
    <col min="49" max="49" width="45.42578125" bestFit="1" customWidth="1"/>
    <col min="50" max="50" width="41" bestFit="1" customWidth="1"/>
    <col min="51" max="51" width="28.140625" bestFit="1" customWidth="1"/>
    <col min="52" max="52" width="35.7109375" bestFit="1" customWidth="1"/>
    <col min="53" max="53" width="18.140625" bestFit="1" customWidth="1"/>
    <col min="54" max="54" width="18.42578125" bestFit="1" customWidth="1"/>
    <col min="55" max="55" width="15" bestFit="1" customWidth="1"/>
    <col min="56" max="56" width="27.42578125" bestFit="1" customWidth="1"/>
    <col min="57" max="57" width="16.5703125" bestFit="1" customWidth="1"/>
    <col min="58" max="58" width="30.5703125" bestFit="1" customWidth="1"/>
    <col min="59" max="59" width="26.28515625" bestFit="1" customWidth="1"/>
    <col min="60" max="60" width="23.5703125" bestFit="1" customWidth="1"/>
    <col min="61" max="61" width="23.140625" bestFit="1" customWidth="1"/>
    <col min="62" max="65" width="30.5703125" bestFit="1" customWidth="1"/>
    <col min="66" max="66" width="21" bestFit="1" customWidth="1"/>
    <col min="67" max="67" width="62.5703125" bestFit="1" customWidth="1"/>
    <col min="68" max="68" width="16.7109375" bestFit="1" customWidth="1"/>
    <col min="69" max="69" width="54.5703125" bestFit="1" customWidth="1"/>
    <col min="70" max="70" width="27.42578125" bestFit="1" customWidth="1"/>
    <col min="71" max="71" width="20.42578125" bestFit="1" customWidth="1"/>
    <col min="72" max="72" width="22.42578125" bestFit="1" customWidth="1"/>
    <col min="73" max="73" width="31.7109375" bestFit="1" customWidth="1"/>
    <col min="74" max="74" width="26.28515625" bestFit="1" customWidth="1"/>
    <col min="75" max="75" width="58.28515625" bestFit="1" customWidth="1"/>
    <col min="76" max="76" width="32.28515625" bestFit="1" customWidth="1"/>
    <col min="77" max="77" width="62.5703125" bestFit="1" customWidth="1"/>
    <col min="78" max="78" width="53.5703125" bestFit="1" customWidth="1"/>
    <col min="79" max="79" width="57.5703125" bestFit="1" customWidth="1"/>
    <col min="80" max="80" width="54.85546875" bestFit="1" customWidth="1"/>
    <col min="81" max="82" width="62.5703125" bestFit="1" customWidth="1"/>
    <col min="83" max="83" width="40.7109375" bestFit="1" customWidth="1"/>
    <col min="84" max="84" width="51.7109375" bestFit="1" customWidth="1"/>
    <col min="85" max="85" width="44.7109375" bestFit="1" customWidth="1"/>
    <col min="86" max="86" width="28.42578125" bestFit="1" customWidth="1"/>
    <col min="87" max="87" width="40.42578125" bestFit="1" customWidth="1"/>
    <col min="88" max="88" width="23.5703125" bestFit="1" customWidth="1"/>
    <col min="89" max="89" width="32" bestFit="1" customWidth="1"/>
    <col min="90" max="90" width="24" bestFit="1" customWidth="1"/>
    <col min="91" max="91" width="22.28515625" bestFit="1" customWidth="1"/>
    <col min="92" max="92" width="28.140625" bestFit="1" customWidth="1"/>
    <col min="93" max="93" width="37.28515625" bestFit="1" customWidth="1"/>
    <col min="94" max="94" width="40.140625" bestFit="1" customWidth="1"/>
    <col min="95" max="95" width="24.85546875" bestFit="1" customWidth="1"/>
    <col min="96" max="96" width="32.5703125" bestFit="1" customWidth="1"/>
    <col min="97" max="97" width="52.7109375" bestFit="1" customWidth="1"/>
    <col min="98" max="98" width="16.5703125" bestFit="1" customWidth="1"/>
    <col min="99" max="99" width="23.5703125" bestFit="1" customWidth="1"/>
    <col min="100" max="100" width="26.7109375" bestFit="1" customWidth="1"/>
    <col min="101" max="101" width="31.7109375" bestFit="1" customWidth="1"/>
    <col min="102" max="102" width="35.28515625" bestFit="1" customWidth="1"/>
    <col min="103" max="103" width="32.7109375" bestFit="1" customWidth="1"/>
    <col min="104" max="104" width="26.7109375" bestFit="1" customWidth="1"/>
    <col min="105" max="105" width="27.140625" bestFit="1" customWidth="1"/>
    <col min="106" max="106" width="23.7109375" bestFit="1" customWidth="1"/>
    <col min="107" max="107" width="45.42578125" bestFit="1" customWidth="1"/>
    <col min="108" max="108" width="41" bestFit="1" customWidth="1"/>
    <col min="109" max="109" width="28.140625" bestFit="1" customWidth="1"/>
    <col min="110" max="110" width="35.7109375" bestFit="1" customWidth="1"/>
    <col min="111" max="111" width="18.140625" bestFit="1" customWidth="1"/>
    <col min="112" max="112" width="18.42578125" bestFit="1" customWidth="1"/>
    <col min="113" max="113" width="15" bestFit="1" customWidth="1"/>
    <col min="114" max="114" width="27.42578125" bestFit="1" customWidth="1"/>
    <col min="115" max="115" width="16.5703125" bestFit="1" customWidth="1"/>
    <col min="116" max="116" width="30.5703125" bestFit="1" customWidth="1"/>
    <col min="117" max="117" width="26.28515625" bestFit="1" customWidth="1"/>
    <col min="118" max="118" width="23.5703125" bestFit="1" customWidth="1"/>
    <col min="119" max="119" width="23.140625" bestFit="1" customWidth="1"/>
    <col min="120" max="123" width="30.5703125" bestFit="1" customWidth="1"/>
    <col min="124" max="124" width="21" bestFit="1" customWidth="1"/>
    <col min="125" max="125" width="62.5703125" bestFit="1" customWidth="1"/>
    <col min="126" max="126" width="16.7109375" bestFit="1" customWidth="1"/>
    <col min="127" max="127" width="55" bestFit="1" customWidth="1"/>
    <col min="128" max="128" width="27.85546875" bestFit="1" customWidth="1"/>
    <col min="129" max="129" width="20.85546875" bestFit="1" customWidth="1"/>
    <col min="130" max="130" width="22.85546875" bestFit="1" customWidth="1"/>
    <col min="131" max="131" width="32.140625" bestFit="1" customWidth="1"/>
    <col min="132" max="132" width="26.7109375" bestFit="1" customWidth="1"/>
    <col min="133" max="133" width="58.7109375" bestFit="1" customWidth="1"/>
    <col min="134" max="134" width="32.7109375" bestFit="1" customWidth="1"/>
    <col min="135" max="135" width="62.5703125" bestFit="1" customWidth="1"/>
    <col min="136" max="136" width="54" bestFit="1" customWidth="1"/>
    <col min="137" max="137" width="58" bestFit="1" customWidth="1"/>
    <col min="138" max="138" width="55.140625" bestFit="1" customWidth="1"/>
    <col min="139" max="140" width="62.5703125" bestFit="1" customWidth="1"/>
    <col min="141" max="141" width="41" bestFit="1" customWidth="1"/>
    <col min="142" max="142" width="52.140625" bestFit="1" customWidth="1"/>
    <col min="143" max="143" width="45" bestFit="1" customWidth="1"/>
    <col min="144" max="144" width="28.85546875" bestFit="1" customWidth="1"/>
    <col min="145" max="145" width="40.85546875" bestFit="1" customWidth="1"/>
    <col min="146" max="146" width="24" bestFit="1" customWidth="1"/>
    <col min="147" max="147" width="32.42578125" bestFit="1" customWidth="1"/>
    <col min="148" max="148" width="24.42578125" bestFit="1" customWidth="1"/>
    <col min="149" max="149" width="22.7109375" bestFit="1" customWidth="1"/>
    <col min="150" max="150" width="28.5703125" bestFit="1" customWidth="1"/>
    <col min="151" max="151" width="37.85546875" bestFit="1" customWidth="1"/>
    <col min="152" max="152" width="40.5703125" bestFit="1" customWidth="1"/>
    <col min="153" max="153" width="25.140625" bestFit="1" customWidth="1"/>
    <col min="154" max="154" width="33" bestFit="1" customWidth="1"/>
    <col min="155" max="155" width="53.1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40625" bestFit="1" customWidth="1"/>
    <col min="160" max="160" width="35.7109375" bestFit="1" customWidth="1"/>
    <col min="161" max="161" width="33" bestFit="1" customWidth="1"/>
    <col min="162" max="162" width="27" bestFit="1" customWidth="1"/>
    <col min="163" max="163" width="27.5703125" bestFit="1" customWidth="1"/>
    <col min="164" max="164" width="24.140625" bestFit="1" customWidth="1"/>
    <col min="165" max="165" width="45.85546875" bestFit="1" customWidth="1"/>
    <col min="166" max="166" width="41.28515625" bestFit="1" customWidth="1"/>
    <col min="167" max="167" width="28.5703125" bestFit="1" customWidth="1"/>
    <col min="168" max="168" width="36.140625" bestFit="1" customWidth="1"/>
    <col min="169" max="169" width="18.7109375" bestFit="1" customWidth="1"/>
    <col min="170" max="170" width="18.85546875" bestFit="1" customWidth="1"/>
    <col min="171" max="171" width="15.28515625" bestFit="1" customWidth="1"/>
    <col min="172" max="172" width="27.85546875" bestFit="1" customWidth="1"/>
    <col min="173" max="173" width="17" bestFit="1" customWidth="1"/>
    <col min="174" max="174" width="31" bestFit="1" customWidth="1"/>
    <col min="175" max="175" width="26.7109375" bestFit="1" customWidth="1"/>
    <col min="176" max="176" width="24" bestFit="1" customWidth="1"/>
    <col min="177" max="177" width="23.5703125" bestFit="1" customWidth="1"/>
    <col min="178" max="181" width="31" bestFit="1" customWidth="1"/>
    <col min="182" max="182" width="21.42578125" bestFit="1" customWidth="1"/>
    <col min="183" max="183" width="62.5703125" bestFit="1" customWidth="1"/>
    <col min="184" max="184" width="17" bestFit="1" customWidth="1"/>
    <col min="185" max="185" width="10.85546875" bestFit="1" customWidth="1"/>
    <col min="186" max="190" width="11.5703125" bestFit="1" customWidth="1"/>
    <col min="191" max="208" width="12.5703125" bestFit="1" customWidth="1"/>
    <col min="209" max="209" width="17.7109375" bestFit="1" customWidth="1"/>
    <col min="210" max="218" width="11.5703125" bestFit="1" customWidth="1"/>
    <col min="219" max="236" width="12.5703125" bestFit="1" customWidth="1"/>
    <col min="237" max="237" width="17.7109375" bestFit="1" customWidth="1"/>
    <col min="238" max="246" width="12" bestFit="1" customWidth="1"/>
    <col min="247" max="264" width="13" bestFit="1" customWidth="1"/>
    <col min="265" max="265" width="18.140625" bestFit="1" customWidth="1"/>
    <col min="266" max="266" width="11.140625" bestFit="1" customWidth="1"/>
    <col min="267" max="267" width="32" bestFit="1" customWidth="1"/>
    <col min="268" max="268" width="26.7109375" bestFit="1" customWidth="1"/>
    <col min="269" max="269" width="21.140625" bestFit="1" customWidth="1"/>
    <col min="270" max="270" width="32.5703125" bestFit="1" customWidth="1"/>
    <col min="271" max="271" width="33.140625" bestFit="1" customWidth="1"/>
    <col min="272" max="272" width="33.42578125" bestFit="1" customWidth="1"/>
    <col min="273" max="273" width="24.28515625" bestFit="1" customWidth="1"/>
    <col min="274" max="274" width="33.5703125" bestFit="1" customWidth="1"/>
    <col min="275" max="275" width="32" bestFit="1" customWidth="1"/>
    <col min="276" max="276" width="11.5703125" bestFit="1" customWidth="1"/>
    <col min="277" max="277" width="11" bestFit="1" customWidth="1"/>
    <col min="278" max="278" width="13.5703125" bestFit="1" customWidth="1"/>
    <col min="279" max="279" width="15.85546875" bestFit="1" customWidth="1"/>
    <col min="280" max="280" width="36.7109375" bestFit="1" customWidth="1"/>
    <col min="281" max="281" width="29.5703125" bestFit="1" customWidth="1"/>
    <col min="282" max="282" width="33.42578125" bestFit="1" customWidth="1"/>
    <col min="283" max="283" width="24.28515625" bestFit="1" customWidth="1"/>
    <col min="284" max="284" width="26.7109375" bestFit="1" customWidth="1"/>
    <col min="285" max="285" width="19.28515625" bestFit="1" customWidth="1"/>
    <col min="286" max="286" width="24.42578125" bestFit="1" customWidth="1"/>
    <col min="287" max="287" width="16" bestFit="1" customWidth="1"/>
    <col min="288" max="288" width="33" bestFit="1" customWidth="1"/>
    <col min="289" max="289" width="23.140625" bestFit="1" customWidth="1"/>
    <col min="290" max="290" width="16.140625" bestFit="1" customWidth="1"/>
    <col min="291" max="291" width="36.5703125" bestFit="1" customWidth="1"/>
    <col min="292" max="292" width="29.42578125" bestFit="1" customWidth="1"/>
    <col min="293" max="293" width="24.140625" bestFit="1" customWidth="1"/>
    <col min="294" max="294" width="33.42578125" bestFit="1" customWidth="1"/>
    <col min="295" max="295" width="32" bestFit="1" customWidth="1"/>
    <col min="296" max="296" width="26.5703125" bestFit="1" customWidth="1"/>
    <col min="297" max="297" width="21" bestFit="1" customWidth="1"/>
    <col min="298" max="298" width="32.42578125" bestFit="1" customWidth="1"/>
    <col min="299" max="299" width="33" bestFit="1" customWidth="1"/>
    <col min="300" max="300" width="33.28515625" bestFit="1" customWidth="1"/>
    <col min="301" max="301" width="24.140625" bestFit="1" customWidth="1"/>
    <col min="302" max="302" width="33.42578125" bestFit="1" customWidth="1"/>
    <col min="303" max="303" width="32" bestFit="1" customWidth="1"/>
    <col min="304" max="304" width="11.42578125" bestFit="1" customWidth="1"/>
    <col min="305" max="305" width="10.85546875" bestFit="1" customWidth="1"/>
    <col min="306" max="306" width="13.42578125" bestFit="1" customWidth="1"/>
    <col min="307" max="307" width="15.7109375" bestFit="1" customWidth="1"/>
    <col min="308" max="308" width="36.5703125" bestFit="1" customWidth="1"/>
    <col min="309" max="309" width="29.42578125" bestFit="1" customWidth="1"/>
    <col min="310" max="310" width="33.28515625" bestFit="1" customWidth="1"/>
    <col min="311" max="311" width="24.140625" bestFit="1" customWidth="1"/>
    <col min="312" max="312" width="26.5703125" bestFit="1" customWidth="1"/>
    <col min="313" max="313" width="19.140625" bestFit="1" customWidth="1"/>
    <col min="314" max="314" width="24.28515625" bestFit="1" customWidth="1"/>
    <col min="315" max="315" width="15.85546875" bestFit="1" customWidth="1"/>
    <col min="316" max="316" width="32.8554687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7109375" bestFit="1" customWidth="1"/>
    <col min="322" max="322" width="33.85546875" bestFit="1" customWidth="1"/>
    <col min="323" max="323" width="32.42578125" bestFit="1" customWidth="1"/>
    <col min="324" max="324" width="27" bestFit="1" customWidth="1"/>
    <col min="325" max="325" width="21.5703125" bestFit="1" customWidth="1"/>
    <col min="326" max="326" width="32.85546875" bestFit="1" customWidth="1"/>
    <col min="327" max="327" width="33.5703125" bestFit="1" customWidth="1"/>
    <col min="328" max="328" width="33.85546875" bestFit="1" customWidth="1"/>
    <col min="329" max="329" width="24.7109375" bestFit="1" customWidth="1"/>
    <col min="330" max="330" width="33.85546875" bestFit="1" customWidth="1"/>
    <col min="331" max="331" width="32.42578125" bestFit="1" customWidth="1"/>
    <col min="332" max="332" width="12" bestFit="1" customWidth="1"/>
    <col min="333" max="333" width="11.28515625" bestFit="1" customWidth="1"/>
    <col min="334" max="334" width="13.85546875" bestFit="1" customWidth="1"/>
    <col min="335" max="335" width="16.140625" bestFit="1" customWidth="1"/>
    <col min="336" max="336" width="37" bestFit="1" customWidth="1"/>
    <col min="337" max="337" width="30" bestFit="1" customWidth="1"/>
    <col min="338" max="338" width="33.85546875" bestFit="1" customWidth="1"/>
    <col min="339" max="339" width="24.7109375" bestFit="1" customWidth="1"/>
    <col min="340" max="340" width="27" bestFit="1" customWidth="1"/>
    <col min="341" max="341" width="19.7109375" bestFit="1" customWidth="1"/>
    <col min="342" max="342" width="24.7109375" bestFit="1" customWidth="1"/>
    <col min="343" max="343" width="16.28515625" bestFit="1" customWidth="1"/>
    <col min="344" max="344" width="33.28515625" bestFit="1" customWidth="1"/>
    <col min="345" max="345" width="23.5703125" bestFit="1" customWidth="1"/>
    <col min="346" max="346" width="16.42578125" customWidth="1"/>
    <col min="347" max="347" width="10.7109375" bestFit="1" customWidth="1"/>
    <col min="348" max="348" width="23.5703125" bestFit="1" customWidth="1"/>
    <col min="349" max="349" width="16.42578125" customWidth="1"/>
    <col min="350" max="350" width="10.7109375" bestFit="1" customWidth="1"/>
    <col min="351" max="351" width="34.85546875" bestFit="1" customWidth="1"/>
    <col min="352" max="352" width="29.7109375" bestFit="1" customWidth="1"/>
    <col min="353" max="353" width="42.7109375" bestFit="1" customWidth="1"/>
    <col min="354" max="354" width="42.85546875" bestFit="1" customWidth="1"/>
    <col min="355" max="355" width="32.140625" bestFit="1" customWidth="1"/>
    <col min="356" max="356" width="32.28515625" bestFit="1" customWidth="1"/>
    <col min="357" max="358" width="40" bestFit="1" customWidth="1"/>
    <col min="359" max="359" width="16.5703125" bestFit="1" customWidth="1"/>
    <col min="360" max="360" width="25.28515625" bestFit="1" customWidth="1"/>
    <col min="361" max="361" width="19.42578125" bestFit="1" customWidth="1"/>
    <col min="362" max="362" width="21.28515625" bestFit="1" customWidth="1"/>
    <col min="363" max="364" width="34.85546875" bestFit="1" customWidth="1"/>
    <col min="365" max="365" width="29.7109375" bestFit="1" customWidth="1"/>
    <col min="366" max="366" width="42.7109375" bestFit="1" customWidth="1"/>
    <col min="367" max="367" width="42.85546875" bestFit="1" customWidth="1"/>
    <col min="368" max="368" width="32.140625" bestFit="1" customWidth="1"/>
    <col min="369" max="369" width="32.28515625" bestFit="1" customWidth="1"/>
    <col min="370" max="371" width="40" bestFit="1" customWidth="1"/>
    <col min="372" max="372" width="16.5703125" bestFit="1" customWidth="1"/>
    <col min="373" max="373" width="25.7109375" bestFit="1" customWidth="1"/>
    <col min="374" max="374" width="19.85546875" bestFit="1" customWidth="1"/>
    <col min="375" max="375" width="21.7109375" bestFit="1" customWidth="1"/>
    <col min="376" max="377" width="35.28515625" bestFit="1" customWidth="1"/>
    <col min="378" max="378" width="30.140625" bestFit="1" customWidth="1"/>
    <col min="379" max="379" width="43.140625" bestFit="1" customWidth="1"/>
    <col min="380" max="380" width="43.28515625" bestFit="1" customWidth="1"/>
    <col min="381" max="381" width="32.5703125" bestFit="1" customWidth="1"/>
    <col min="382" max="382" width="32.7109375" bestFit="1" customWidth="1"/>
    <col min="383" max="384" width="40.42578125" bestFit="1" customWidth="1"/>
    <col min="385" max="385" width="17" bestFit="1" customWidth="1"/>
    <col min="386" max="386" width="11.7109375" bestFit="1" customWidth="1"/>
    <col min="387" max="387" width="32.42578125" bestFit="1" customWidth="1"/>
    <col min="388" max="388" width="43.28515625" bestFit="1" customWidth="1"/>
    <col min="389" max="389" width="32.5703125" bestFit="1" customWidth="1"/>
    <col min="390" max="390" width="43.140625" bestFit="1" customWidth="1"/>
    <col min="391" max="391" width="32.7109375" bestFit="1" customWidth="1"/>
    <col min="392" max="392" width="22.5703125" bestFit="1" customWidth="1"/>
    <col min="393" max="393" width="24.42578125" bestFit="1" customWidth="1"/>
    <col min="394" max="394" width="35.28515625" bestFit="1" customWidth="1"/>
    <col min="395" max="395" width="24.42578125" bestFit="1" customWidth="1"/>
    <col min="396" max="396" width="35.28515625" bestFit="1" customWidth="1"/>
    <col min="397" max="397" width="17" bestFit="1" customWidth="1"/>
    <col min="398" max="398" width="11.7109375" bestFit="1" customWidth="1"/>
    <col min="399" max="399" width="43.28515625" bestFit="1" customWidth="1"/>
    <col min="400" max="400" width="19.85546875" bestFit="1" customWidth="1"/>
    <col min="401" max="401" width="17" bestFit="1" customWidth="1"/>
    <col min="402" max="402" width="11.7109375" bestFit="1" customWidth="1"/>
    <col min="403" max="403" width="42.85546875" bestFit="1" customWidth="1"/>
    <col min="404" max="404" width="40.85546875" bestFit="1" customWidth="1"/>
    <col min="405" max="406" width="29.28515625" bestFit="1" customWidth="1"/>
    <col min="407" max="407" width="37.28515625" bestFit="1" customWidth="1"/>
    <col min="408" max="408" width="33.42578125" bestFit="1" customWidth="1"/>
    <col min="409" max="409" width="16.5703125" bestFit="1" customWidth="1"/>
    <col min="410" max="410" width="25.7109375" bestFit="1" customWidth="1"/>
    <col min="411" max="411" width="19.85546875" bestFit="1" customWidth="1"/>
    <col min="412" max="412" width="21.7109375" bestFit="1" customWidth="1"/>
    <col min="413" max="414" width="35.28515625" bestFit="1" customWidth="1"/>
    <col min="415" max="415" width="30.140625" bestFit="1" customWidth="1"/>
    <col min="416" max="416" width="43.28515625" bestFit="1" customWidth="1"/>
    <col min="417" max="417" width="41.28515625" bestFit="1" customWidth="1"/>
    <col min="418" max="419" width="29.7109375" bestFit="1" customWidth="1"/>
    <col min="420" max="420" width="37.85546875" bestFit="1" customWidth="1"/>
    <col min="421" max="421" width="34" bestFit="1" customWidth="1"/>
    <col min="422" max="422" width="17" bestFit="1" customWidth="1"/>
    <col min="423" max="423" width="11.7109375" bestFit="1" customWidth="1"/>
    <col min="424" max="424" width="34" bestFit="1" customWidth="1"/>
    <col min="425" max="425" width="17" bestFit="1" customWidth="1"/>
    <col min="426" max="426" width="11.7109375" bestFit="1" customWidth="1"/>
    <col min="427" max="427" width="19.85546875" bestFit="1" customWidth="1"/>
    <col min="428" max="428" width="21.7109375" bestFit="1" customWidth="1"/>
    <col min="429" max="430" width="35.28515625" bestFit="1" customWidth="1"/>
    <col min="431" max="431" width="30.140625" bestFit="1" customWidth="1"/>
    <col min="432" max="432" width="37.42578125" bestFit="1" customWidth="1"/>
    <col min="433" max="433" width="41.28515625" bestFit="1" customWidth="1"/>
    <col min="434" max="434" width="32.7109375" bestFit="1" customWidth="1"/>
    <col min="435" max="436" width="36.5703125" bestFit="1" customWidth="1"/>
    <col min="437" max="437" width="17" bestFit="1" customWidth="1"/>
    <col min="438" max="438" width="11.7109375" bestFit="1" customWidth="1"/>
    <col min="439" max="443" width="48.42578125" bestFit="1" customWidth="1"/>
    <col min="444" max="444" width="16.7109375" bestFit="1" customWidth="1"/>
    <col min="445" max="453" width="48.42578125" bestFit="1" customWidth="1"/>
    <col min="454" max="454" width="16.7109375" bestFit="1" customWidth="1"/>
    <col min="455" max="463" width="48.42578125" bestFit="1" customWidth="1"/>
    <col min="464" max="464" width="17" bestFit="1" customWidth="1"/>
    <col min="465" max="465" width="11.85546875" bestFit="1" customWidth="1"/>
    <col min="466" max="466" width="22" bestFit="1" customWidth="1"/>
    <col min="467" max="467" width="21.7109375" bestFit="1" customWidth="1"/>
    <col min="468" max="468" width="36.85546875" bestFit="1" customWidth="1"/>
    <col min="469" max="469" width="37.28515625" bestFit="1" customWidth="1"/>
    <col min="470" max="470" width="22.28515625" bestFit="1" customWidth="1"/>
    <col min="471" max="471" width="16" bestFit="1" customWidth="1"/>
    <col min="472" max="472" width="23.28515625" bestFit="1" customWidth="1"/>
    <col min="473" max="473" width="16.5703125" bestFit="1" customWidth="1"/>
    <col min="474" max="474" width="31.7109375" bestFit="1" customWidth="1"/>
    <col min="475" max="476" width="32" bestFit="1" customWidth="1"/>
    <col min="477" max="477" width="31.5703125" bestFit="1" customWidth="1"/>
    <col min="478" max="478" width="22" bestFit="1" customWidth="1"/>
    <col min="479" max="479" width="21.7109375" bestFit="1" customWidth="1"/>
    <col min="480" max="480" width="36.85546875" bestFit="1" customWidth="1"/>
    <col min="481" max="481" width="37.28515625" bestFit="1" customWidth="1"/>
    <col min="482" max="482" width="22.28515625" bestFit="1" customWidth="1"/>
    <col min="483" max="483" width="16" bestFit="1" customWidth="1"/>
    <col min="484" max="484" width="23.28515625" bestFit="1" customWidth="1"/>
    <col min="485" max="485" width="16.5703125" bestFit="1" customWidth="1"/>
    <col min="486" max="486" width="32" bestFit="1" customWidth="1"/>
    <col min="487" max="487" width="32.42578125" bestFit="1" customWidth="1"/>
    <col min="488" max="488" width="32.28515625" bestFit="1" customWidth="1"/>
    <col min="489" max="489" width="32" bestFit="1" customWidth="1"/>
    <col min="490" max="490" width="22.42578125" bestFit="1" customWidth="1"/>
    <col min="491" max="491" width="22.140625" bestFit="1" customWidth="1"/>
    <col min="492" max="492" width="37.28515625" bestFit="1" customWidth="1"/>
    <col min="493" max="493" width="37.85546875" bestFit="1" customWidth="1"/>
    <col min="494" max="494" width="22.7109375" bestFit="1" customWidth="1"/>
    <col min="495" max="495" width="16.42578125" bestFit="1" customWidth="1"/>
    <col min="496" max="496" width="23.7109375" bestFit="1" customWidth="1"/>
    <col min="497" max="497" width="17" bestFit="1" customWidth="1"/>
    <col min="498" max="498" width="11.7109375" bestFit="1" customWidth="1"/>
    <col min="499" max="499" width="41.7109375" bestFit="1" customWidth="1"/>
    <col min="500" max="501" width="14.28515625" bestFit="1" customWidth="1"/>
    <col min="502" max="503" width="13.7109375" bestFit="1" customWidth="1"/>
    <col min="504" max="505" width="13.85546875" bestFit="1" customWidth="1"/>
    <col min="506" max="507" width="16.28515625" bestFit="1" customWidth="1"/>
    <col min="508" max="509" width="18.5703125" bestFit="1" customWidth="1"/>
    <col min="510" max="511" width="20" bestFit="1" customWidth="1"/>
    <col min="512" max="513" width="22.42578125" bestFit="1" customWidth="1"/>
    <col min="514" max="515" width="33.42578125" bestFit="1" customWidth="1"/>
    <col min="516" max="519" width="24.28515625" bestFit="1" customWidth="1"/>
    <col min="520" max="521" width="31.140625" bestFit="1" customWidth="1"/>
    <col min="522" max="522" width="19" bestFit="1" customWidth="1"/>
    <col min="523" max="523" width="17.42578125" bestFit="1" customWidth="1"/>
    <col min="524" max="525" width="18.7109375" bestFit="1" customWidth="1"/>
    <col min="526" max="527" width="16.42578125" bestFit="1" customWidth="1"/>
    <col min="528" max="528" width="29.5703125" bestFit="1" customWidth="1"/>
    <col min="529" max="529" width="26" bestFit="1" customWidth="1"/>
    <col min="530" max="530" width="22" bestFit="1" customWidth="1"/>
    <col min="531" max="531" width="20.5703125" bestFit="1" customWidth="1"/>
    <col min="532" max="532" width="33" bestFit="1" customWidth="1"/>
    <col min="533" max="533" width="33.42578125" bestFit="1" customWidth="1"/>
    <col min="534" max="534" width="16.140625" bestFit="1" customWidth="1"/>
    <col min="535" max="535" width="39.7109375" bestFit="1" customWidth="1"/>
    <col min="536" max="536" width="22.7109375" bestFit="1" customWidth="1"/>
    <col min="537" max="537" width="24" bestFit="1" customWidth="1"/>
    <col min="538" max="538" width="23.140625" bestFit="1" customWidth="1"/>
    <col min="539" max="539" width="41.5703125" bestFit="1" customWidth="1"/>
    <col min="540" max="541" width="14.140625" bestFit="1" customWidth="1"/>
    <col min="542" max="543" width="13.5703125" bestFit="1" customWidth="1"/>
    <col min="544" max="545" width="13.7109375" bestFit="1" customWidth="1"/>
    <col min="546" max="547" width="16.140625" bestFit="1" customWidth="1"/>
    <col min="548" max="549" width="18.42578125" bestFit="1" customWidth="1"/>
    <col min="550" max="551" width="19.85546875" bestFit="1" customWidth="1"/>
    <col min="552" max="553" width="22.28515625" bestFit="1" customWidth="1"/>
    <col min="554" max="555" width="33.28515625" bestFit="1" customWidth="1"/>
    <col min="556" max="559" width="24.140625" bestFit="1" customWidth="1"/>
    <col min="560" max="561" width="31" bestFit="1" customWidth="1"/>
    <col min="562" max="562" width="18.85546875" bestFit="1" customWidth="1"/>
    <col min="563" max="563" width="17.28515625" bestFit="1" customWidth="1"/>
    <col min="564" max="565" width="18.5703125" bestFit="1" customWidth="1"/>
    <col min="566" max="567" width="16.28515625" bestFit="1" customWidth="1"/>
    <col min="568" max="568" width="29.42578125" bestFit="1" customWidth="1"/>
    <col min="569" max="569" width="26" bestFit="1" customWidth="1"/>
    <col min="570" max="570" width="22" bestFit="1" customWidth="1"/>
    <col min="571" max="571" width="20.42578125" bestFit="1" customWidth="1"/>
    <col min="572" max="572" width="32.85546875" bestFit="1" customWidth="1"/>
    <col min="573" max="573" width="33.28515625" bestFit="1" customWidth="1"/>
    <col min="574" max="574" width="16" bestFit="1" customWidth="1"/>
    <col min="575" max="575" width="40.140625" bestFit="1" customWidth="1"/>
    <col min="576" max="576" width="23.28515625" bestFit="1" customWidth="1"/>
    <col min="577" max="577" width="24.42578125" bestFit="1" customWidth="1"/>
    <col min="578" max="578" width="23.7109375" bestFit="1" customWidth="1"/>
    <col min="579" max="579" width="42" bestFit="1" customWidth="1"/>
    <col min="580" max="581" width="14.5703125" bestFit="1" customWidth="1"/>
    <col min="582" max="583" width="14" bestFit="1" customWidth="1"/>
    <col min="584" max="585" width="14.140625" bestFit="1" customWidth="1"/>
    <col min="586" max="587" width="16.5703125" bestFit="1" customWidth="1"/>
    <col min="588" max="589" width="18.85546875" bestFit="1" customWidth="1"/>
    <col min="590" max="591" width="20.28515625" bestFit="1" customWidth="1"/>
    <col min="592" max="593" width="22.85546875" bestFit="1" customWidth="1"/>
    <col min="594" max="595" width="33.85546875" bestFit="1" customWidth="1"/>
    <col min="596" max="599" width="24.7109375" bestFit="1" customWidth="1"/>
    <col min="600" max="601" width="31.5703125" bestFit="1" customWidth="1"/>
    <col min="602" max="602" width="19.42578125" bestFit="1" customWidth="1"/>
    <col min="603" max="603" width="17.85546875" bestFit="1" customWidth="1"/>
    <col min="604" max="605" width="19" bestFit="1" customWidth="1"/>
    <col min="606" max="607" width="16.7109375" bestFit="1" customWidth="1"/>
    <col min="608" max="608" width="30" bestFit="1" customWidth="1"/>
    <col min="609" max="609" width="26.42578125" bestFit="1" customWidth="1"/>
    <col min="610" max="610" width="22.42578125" bestFit="1" customWidth="1"/>
    <col min="611" max="611" width="20.85546875" bestFit="1" customWidth="1"/>
    <col min="612" max="612" width="33.28515625" bestFit="1" customWidth="1"/>
    <col min="613" max="613" width="33.7109375" bestFit="1" customWidth="1"/>
    <col min="614" max="614" width="16.42578125" bestFit="1" customWidth="1"/>
    <col min="615" max="615" width="11.7109375" bestFit="1" customWidth="1"/>
    <col min="616" max="616" width="32.28515625" bestFit="1" customWidth="1"/>
    <col min="617" max="617" width="28.5703125" bestFit="1" customWidth="1"/>
    <col min="618" max="618" width="41.28515625" bestFit="1" customWidth="1"/>
    <col min="619" max="619" width="32" bestFit="1" customWidth="1"/>
    <col min="620" max="620" width="30.85546875" bestFit="1" customWidth="1"/>
    <col min="621" max="621" width="38.5703125" bestFit="1" customWidth="1"/>
    <col min="622" max="622" width="45.42578125" bestFit="1" customWidth="1"/>
    <col min="623" max="623" width="43.85546875" bestFit="1" customWidth="1"/>
    <col min="624" max="624" width="46" bestFit="1" customWidth="1"/>
    <col min="625" max="625" width="55" bestFit="1" customWidth="1"/>
    <col min="626" max="626" width="28.42578125" bestFit="1" customWidth="1"/>
    <col min="627" max="627" width="27.42578125" bestFit="1" customWidth="1"/>
    <col min="628" max="628" width="32.42578125" bestFit="1" customWidth="1"/>
    <col min="629" max="629" width="28.5703125" bestFit="1" customWidth="1"/>
    <col min="630" max="630" width="37.42578125" bestFit="1" customWidth="1"/>
    <col min="631" max="631" width="31.28515625" bestFit="1" customWidth="1"/>
    <col min="632" max="632" width="45" bestFit="1" customWidth="1"/>
    <col min="633" max="633" width="25.42578125" bestFit="1" customWidth="1"/>
    <col min="634" max="634" width="40.85546875" bestFit="1" customWidth="1"/>
    <col min="635" max="635" width="33.42578125" bestFit="1" customWidth="1"/>
    <col min="636" max="636" width="38.28515625" bestFit="1" customWidth="1"/>
    <col min="637" max="637" width="16" bestFit="1" customWidth="1"/>
    <col min="638" max="638" width="21.85546875" bestFit="1" customWidth="1"/>
    <col min="639" max="639" width="21.140625" bestFit="1" customWidth="1"/>
    <col min="640" max="640" width="26.5703125" bestFit="1" customWidth="1"/>
    <col min="641" max="641" width="34.5703125" bestFit="1" customWidth="1"/>
    <col min="642" max="642" width="15.85546875" bestFit="1" customWidth="1"/>
    <col min="643" max="643" width="32.28515625" bestFit="1" customWidth="1"/>
    <col min="644" max="644" width="22.7109375" bestFit="1" customWidth="1"/>
    <col min="645" max="645" width="30.28515625" bestFit="1" customWidth="1"/>
    <col min="646" max="646" width="38.28515625" bestFit="1" customWidth="1"/>
    <col min="647" max="647" width="19.7109375" bestFit="1" customWidth="1"/>
    <col min="648" max="648" width="17.7109375" bestFit="1" customWidth="1"/>
    <col min="649" max="649" width="14.42578125" bestFit="1" customWidth="1"/>
    <col min="650" max="650" width="16" bestFit="1" customWidth="1"/>
    <col min="651" max="651" width="23.42578125" bestFit="1" customWidth="1"/>
    <col min="652" max="652" width="39.140625" bestFit="1" customWidth="1"/>
    <col min="653" max="653" width="51.28515625" bestFit="1" customWidth="1"/>
    <col min="654" max="654" width="23.5703125" bestFit="1" customWidth="1"/>
    <col min="655" max="655" width="27.42578125" bestFit="1" customWidth="1"/>
    <col min="656" max="656" width="21.5703125" bestFit="1" customWidth="1"/>
    <col min="657" max="657" width="19.7109375" bestFit="1" customWidth="1"/>
    <col min="658" max="658" width="46.5703125" bestFit="1" customWidth="1"/>
    <col min="659" max="659" width="44.7109375" bestFit="1" customWidth="1"/>
    <col min="660" max="660" width="19.7109375" bestFit="1" customWidth="1"/>
    <col min="661" max="661" width="16.140625" bestFit="1" customWidth="1"/>
    <col min="662" max="662" width="22.28515625" bestFit="1" customWidth="1"/>
    <col min="663" max="663" width="22.140625" bestFit="1" customWidth="1"/>
    <col min="664" max="664" width="31.28515625" bestFit="1" customWidth="1"/>
    <col min="665" max="665" width="16.140625" bestFit="1" customWidth="1"/>
    <col min="666" max="666" width="32.140625" bestFit="1" customWidth="1"/>
    <col min="667" max="667" width="28.42578125" bestFit="1" customWidth="1"/>
    <col min="668" max="668" width="41.140625" bestFit="1" customWidth="1"/>
    <col min="669" max="669" width="31.85546875" bestFit="1" customWidth="1"/>
    <col min="670" max="670" width="30.7109375" bestFit="1" customWidth="1"/>
    <col min="671" max="671" width="38.42578125" bestFit="1" customWidth="1"/>
    <col min="672" max="672" width="45.28515625" bestFit="1" customWidth="1"/>
    <col min="673" max="673" width="43.7109375" bestFit="1" customWidth="1"/>
    <col min="674" max="674" width="46" bestFit="1" customWidth="1"/>
    <col min="675" max="675" width="54.85546875" bestFit="1" customWidth="1"/>
    <col min="676" max="676" width="28.28515625" bestFit="1" customWidth="1"/>
    <col min="677" max="677" width="27.28515625" bestFit="1" customWidth="1"/>
    <col min="678" max="678" width="32.28515625" bestFit="1" customWidth="1"/>
    <col min="679" max="679" width="28.42578125" bestFit="1" customWidth="1"/>
    <col min="680" max="680" width="37.28515625" bestFit="1" customWidth="1"/>
    <col min="681" max="681" width="31" bestFit="1" customWidth="1"/>
    <col min="682" max="682" width="44.85546875" bestFit="1" customWidth="1"/>
    <col min="683" max="683" width="25.28515625" bestFit="1" customWidth="1"/>
    <col min="684" max="684" width="40.7109375" bestFit="1" customWidth="1"/>
    <col min="685" max="685" width="33.28515625" bestFit="1" customWidth="1"/>
    <col min="686" max="686" width="38.140625" bestFit="1" customWidth="1"/>
    <col min="687" max="687" width="16" bestFit="1" customWidth="1"/>
    <col min="688" max="688" width="21.7109375" bestFit="1" customWidth="1"/>
    <col min="689" max="689" width="21" bestFit="1" customWidth="1"/>
    <col min="690" max="690" width="26.42578125" bestFit="1" customWidth="1"/>
    <col min="691" max="691" width="34.42578125" bestFit="1" customWidth="1"/>
    <col min="692" max="692" width="15.7109375" bestFit="1" customWidth="1"/>
    <col min="693" max="693" width="32.140625" bestFit="1" customWidth="1"/>
    <col min="694" max="694" width="22.5703125" bestFit="1" customWidth="1"/>
    <col min="695" max="695" width="30.140625" bestFit="1" customWidth="1"/>
    <col min="696" max="696" width="38.140625" bestFit="1" customWidth="1"/>
    <col min="697" max="697" width="19.5703125" bestFit="1" customWidth="1"/>
    <col min="698" max="698" width="17.5703125" bestFit="1" customWidth="1"/>
    <col min="699" max="699" width="14.28515625" bestFit="1" customWidth="1"/>
    <col min="700" max="700" width="15.85546875" bestFit="1" customWidth="1"/>
    <col min="701" max="701" width="23.28515625" bestFit="1" customWidth="1"/>
    <col min="702" max="702" width="39" bestFit="1" customWidth="1"/>
    <col min="703" max="703" width="51.140625" bestFit="1" customWidth="1"/>
    <col min="704" max="704" width="23.42578125" bestFit="1" customWidth="1"/>
    <col min="705" max="705" width="27.28515625" bestFit="1" customWidth="1"/>
    <col min="706" max="706" width="21.42578125" bestFit="1" customWidth="1"/>
    <col min="707" max="707" width="19.5703125" bestFit="1" customWidth="1"/>
    <col min="708" max="708" width="46.42578125" bestFit="1" customWidth="1"/>
    <col min="709" max="709" width="44.5703125" bestFit="1" customWidth="1"/>
    <col min="710" max="710" width="19.5703125" bestFit="1" customWidth="1"/>
    <col min="711" max="711" width="16" bestFit="1" customWidth="1"/>
    <col min="712" max="712" width="22.85546875" bestFit="1" customWidth="1"/>
    <col min="713" max="713" width="22.5703125" bestFit="1" customWidth="1"/>
    <col min="714" max="714" width="31.85546875" bestFit="1" customWidth="1"/>
    <col min="715" max="715" width="16.5703125" bestFit="1" customWidth="1"/>
    <col min="716" max="716" width="32.7109375" bestFit="1" customWidth="1"/>
    <col min="717" max="717" width="29" bestFit="1" customWidth="1"/>
    <col min="718" max="718" width="41.5703125" bestFit="1" customWidth="1"/>
    <col min="719" max="719" width="32.28515625" bestFit="1" customWidth="1"/>
    <col min="720" max="720" width="31.28515625" bestFit="1" customWidth="1"/>
    <col min="721" max="721" width="39" bestFit="1" customWidth="1"/>
    <col min="722" max="722" width="45.85546875" bestFit="1" customWidth="1"/>
    <col min="723" max="723" width="44.140625" bestFit="1" customWidth="1"/>
    <col min="724" max="724" width="46.42578125" bestFit="1" customWidth="1"/>
    <col min="725" max="725" width="55.28515625" bestFit="1" customWidth="1"/>
    <col min="726" max="726" width="28.85546875" bestFit="1" customWidth="1"/>
    <col min="727" max="727" width="27.85546875" bestFit="1" customWidth="1"/>
    <col min="728" max="728" width="32.85546875" bestFit="1" customWidth="1"/>
    <col min="729" max="729" width="28.85546875" bestFit="1" customWidth="1"/>
    <col min="730" max="730" width="37.7109375" bestFit="1" customWidth="1"/>
    <col min="731" max="731" width="31.5703125" bestFit="1" customWidth="1"/>
    <col min="732" max="732" width="45.28515625" bestFit="1" customWidth="1"/>
    <col min="733" max="733" width="25.85546875" bestFit="1" customWidth="1"/>
    <col min="734" max="734" width="41.140625" bestFit="1" customWidth="1"/>
    <col min="735" max="735" width="33.7109375" bestFit="1" customWidth="1"/>
    <col min="736" max="736" width="38.7109375" bestFit="1" customWidth="1"/>
    <col min="737" max="737" width="16.42578125" bestFit="1" customWidth="1"/>
    <col min="738" max="738" width="22.140625" bestFit="1" customWidth="1"/>
    <col min="739" max="739" width="21.42578125" bestFit="1" customWidth="1"/>
    <col min="740" max="740" width="26.85546875" bestFit="1" customWidth="1"/>
    <col min="741" max="741" width="34.85546875" bestFit="1" customWidth="1"/>
    <col min="742" max="742" width="16.140625" bestFit="1" customWidth="1"/>
    <col min="743" max="743" width="32.7109375" bestFit="1" customWidth="1"/>
    <col min="744" max="744" width="23" bestFit="1" customWidth="1"/>
    <col min="745" max="745" width="30.7109375" bestFit="1" customWidth="1"/>
    <col min="746" max="746" width="38.5703125" bestFit="1" customWidth="1"/>
    <col min="747" max="747" width="20" bestFit="1" customWidth="1"/>
    <col min="748" max="748" width="18" bestFit="1" customWidth="1"/>
    <col min="749" max="749" width="14.7109375" bestFit="1" customWidth="1"/>
    <col min="750" max="750" width="16.28515625" bestFit="1" customWidth="1"/>
    <col min="751" max="751" width="23.85546875" bestFit="1" customWidth="1"/>
    <col min="752" max="752" width="39.5703125" bestFit="1" customWidth="1"/>
    <col min="753" max="753" width="51.7109375" bestFit="1" customWidth="1"/>
    <col min="754" max="754" width="24" bestFit="1" customWidth="1"/>
    <col min="755" max="755" width="27.710937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42578125" bestFit="1" customWidth="1"/>
    <col min="762" max="762" width="11.7109375" bestFit="1" customWidth="1"/>
    <col min="763" max="763" width="14.28515625" bestFit="1" customWidth="1"/>
    <col min="764" max="766" width="65.85546875" bestFit="1" customWidth="1"/>
    <col min="767" max="767" width="28" bestFit="1" customWidth="1"/>
    <col min="768" max="768" width="43.42578125" bestFit="1" customWidth="1"/>
    <col min="769" max="769" width="41.28515625" bestFit="1" customWidth="1"/>
    <col min="770" max="770" width="27.85546875" bestFit="1" customWidth="1"/>
    <col min="771" max="771" width="41.28515625" bestFit="1" customWidth="1"/>
    <col min="772" max="772" width="39" bestFit="1" customWidth="1"/>
    <col min="773" max="773" width="42.7109375" bestFit="1" customWidth="1"/>
    <col min="774" max="774" width="26.28515625" bestFit="1" customWidth="1"/>
    <col min="775" max="775" width="26" bestFit="1" customWidth="1"/>
    <col min="776" max="776" width="29.7109375" bestFit="1" customWidth="1"/>
    <col min="777" max="777" width="26.85546875" bestFit="1" customWidth="1"/>
    <col min="778" max="778" width="16.140625" bestFit="1" customWidth="1"/>
    <col min="779" max="779" width="12" bestFit="1" customWidth="1"/>
    <col min="780" max="780" width="11.85546875" bestFit="1" customWidth="1"/>
    <col min="781" max="781" width="11.42578125" bestFit="1" customWidth="1"/>
    <col min="782" max="782" width="13.28515625" bestFit="1" customWidth="1"/>
    <col min="783" max="783" width="14.140625" bestFit="1" customWidth="1"/>
    <col min="784" max="786" width="65.85546875" bestFit="1" customWidth="1"/>
    <col min="787" max="787" width="27.85546875" bestFit="1" customWidth="1"/>
    <col min="788" max="788" width="43.28515625" bestFit="1" customWidth="1"/>
    <col min="789" max="789" width="41.140625" bestFit="1" customWidth="1"/>
    <col min="790" max="790" width="27.7109375" bestFit="1" customWidth="1"/>
    <col min="791" max="791" width="41.140625" bestFit="1" customWidth="1"/>
    <col min="792" max="792" width="38.85546875" bestFit="1" customWidth="1"/>
    <col min="793" max="793" width="42.5703125" bestFit="1" customWidth="1"/>
    <col min="794" max="794" width="26.140625" bestFit="1" customWidth="1"/>
    <col min="795" max="795" width="26" bestFit="1" customWidth="1"/>
    <col min="796" max="796" width="29.5703125" bestFit="1" customWidth="1"/>
    <col min="797" max="797" width="26.7109375" bestFit="1" customWidth="1"/>
    <col min="798" max="798" width="16" bestFit="1" customWidth="1"/>
    <col min="799" max="799" width="12.42578125" bestFit="1" customWidth="1"/>
    <col min="800" max="800" width="12.28515625" bestFit="1" customWidth="1"/>
    <col min="801" max="801" width="11.85546875" bestFit="1" customWidth="1"/>
    <col min="802" max="802" width="13.85546875" bestFit="1" customWidth="1"/>
    <col min="803" max="803" width="14.7109375" bestFit="1" customWidth="1"/>
    <col min="804" max="806" width="65.85546875" bestFit="1" customWidth="1"/>
    <col min="807" max="807" width="28.28515625" bestFit="1" customWidth="1"/>
    <col min="808" max="808" width="43.85546875" bestFit="1" customWidth="1"/>
    <col min="809" max="809" width="41.7109375" bestFit="1" customWidth="1"/>
    <col min="810" max="810" width="28.140625" bestFit="1" customWidth="1"/>
    <col min="811" max="811" width="41.5703125" bestFit="1" customWidth="1"/>
    <col min="812" max="812" width="39.28515625" bestFit="1" customWidth="1"/>
    <col min="813" max="813" width="43" bestFit="1" customWidth="1"/>
    <col min="814" max="814" width="26.5703125" bestFit="1" customWidth="1"/>
    <col min="815" max="815" width="26.42578125" bestFit="1" customWidth="1"/>
    <col min="816" max="816" width="30" bestFit="1" customWidth="1"/>
    <col min="817" max="817" width="27.28515625" bestFit="1" customWidth="1"/>
    <col min="818" max="818" width="16.5703125" bestFit="1" customWidth="1"/>
    <col min="819" max="819" width="11.85546875" bestFit="1" customWidth="1"/>
    <col min="820" max="820" width="27.28515625" bestFit="1" customWidth="1"/>
    <col min="821" max="821" width="16.5703125" bestFit="1" customWidth="1"/>
    <col min="822" max="822" width="11.85546875" bestFit="1" customWidth="1"/>
    <col min="823" max="823" width="43.85546875" bestFit="1" customWidth="1"/>
    <col min="824" max="824" width="43.140625" bestFit="1" customWidth="1"/>
    <col min="825" max="825" width="28.85546875" bestFit="1" customWidth="1"/>
    <col min="826" max="826" width="43" bestFit="1" customWidth="1"/>
    <col min="827" max="827" width="40.5703125" bestFit="1" customWidth="1"/>
    <col min="828" max="828" width="43.85546875" bestFit="1" customWidth="1"/>
    <col min="829" max="829" width="27.85546875" bestFit="1" customWidth="1"/>
    <col min="830" max="830" width="27.42578125" bestFit="1" customWidth="1"/>
    <col min="831" max="831" width="31.140625" bestFit="1" customWidth="1"/>
    <col min="832" max="832" width="28.42578125" bestFit="1" customWidth="1"/>
    <col min="833" max="833" width="17" bestFit="1" customWidth="1"/>
    <col min="834" max="834" width="11.85546875" bestFit="1" customWidth="1"/>
    <col min="835" max="835" width="27.85546875" bestFit="1" customWidth="1"/>
    <col min="836" max="836" width="27.42578125" bestFit="1" customWidth="1"/>
    <col min="837" max="837" width="31.140625" bestFit="1" customWidth="1"/>
    <col min="838" max="838" width="28.42578125" bestFit="1" customWidth="1"/>
    <col min="839" max="839" width="33" bestFit="1" customWidth="1"/>
    <col min="840" max="840" width="43.85546875" bestFit="1" customWidth="1"/>
    <col min="841" max="842" width="17" bestFit="1" customWidth="1"/>
    <col min="843" max="843" width="11.85546875" bestFit="1" customWidth="1"/>
    <col min="844" max="845" width="17" bestFit="1" customWidth="1"/>
    <col min="846" max="846" width="11.85546875" bestFit="1" customWidth="1"/>
    <col min="847" max="847" width="27.42578125" bestFit="1" customWidth="1"/>
    <col min="848" max="848" width="31.140625" bestFit="1" customWidth="1"/>
    <col min="849" max="849" width="28.42578125" bestFit="1" customWidth="1"/>
    <col min="850" max="850" width="33" bestFit="1" customWidth="1"/>
    <col min="851" max="851" width="43.85546875" bestFit="1" customWidth="1"/>
    <col min="852" max="852" width="17" bestFit="1" customWidth="1"/>
    <col min="853" max="854" width="38.5703125" bestFit="1" customWidth="1"/>
    <col min="855" max="855" width="41.28515625" bestFit="1" customWidth="1"/>
    <col min="856" max="856" width="33" bestFit="1" customWidth="1"/>
    <col min="857" max="857" width="17" bestFit="1" customWidth="1"/>
    <col min="858" max="858" width="11.85546875" bestFit="1" customWidth="1"/>
    <col min="859" max="859" width="43" bestFit="1" customWidth="1"/>
    <col min="860" max="860" width="40.5703125" bestFit="1" customWidth="1"/>
    <col min="861" max="861" width="44.5703125" bestFit="1" customWidth="1"/>
    <col min="862" max="862" width="27.85546875" bestFit="1" customWidth="1"/>
    <col min="863" max="863" width="27.42578125" bestFit="1" customWidth="1"/>
    <col min="864" max="864" width="31.140625" bestFit="1" customWidth="1"/>
    <col min="865" max="865" width="28.42578125" bestFit="1" customWidth="1"/>
    <col min="866" max="866" width="33" bestFit="1" customWidth="1"/>
    <col min="867" max="867" width="53.140625" bestFit="1" customWidth="1"/>
    <col min="868" max="868" width="17" bestFit="1" customWidth="1"/>
    <col min="869" max="870" width="38.5703125" bestFit="1" customWidth="1"/>
    <col min="871" max="871" width="41.285156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5546875" bestFit="1" customWidth="1"/>
    <col min="876" max="876" width="15.28515625" bestFit="1" customWidth="1"/>
    <col min="877" max="877" width="21" bestFit="1" customWidth="1"/>
    <col min="878" max="878" width="27.140625" bestFit="1" customWidth="1"/>
    <col min="879" max="879" width="19.85546875" bestFit="1" customWidth="1"/>
    <col min="880" max="880" width="58" bestFit="1" customWidth="1"/>
    <col min="881" max="881" width="17" bestFit="1" customWidth="1"/>
    <col min="882" max="882" width="11.8554687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7109375" bestFit="1" customWidth="1"/>
    <col min="887" max="887" width="36.5703125" bestFit="1" customWidth="1"/>
    <col min="888" max="888" width="28.42578125" bestFit="1" customWidth="1"/>
    <col min="889" max="889" width="24" bestFit="1" customWidth="1"/>
    <col min="890" max="890" width="37.85546875" bestFit="1" customWidth="1"/>
    <col min="891" max="891" width="35.42578125" bestFit="1" customWidth="1"/>
    <col min="892" max="892" width="29" bestFit="1" customWidth="1"/>
    <col min="893" max="893" width="26" bestFit="1" customWidth="1"/>
    <col min="894" max="894" width="16.140625" bestFit="1" customWidth="1"/>
    <col min="895" max="895" width="31" bestFit="1" customWidth="1"/>
    <col min="896" max="896" width="10.85546875" bestFit="1" customWidth="1"/>
    <col min="897" max="897" width="11.42578125" bestFit="1" customWidth="1"/>
    <col min="898" max="898" width="11" bestFit="1" customWidth="1"/>
    <col min="899" max="899" width="17" bestFit="1" customWidth="1"/>
    <col min="900" max="900" width="15.7109375" bestFit="1" customWidth="1"/>
    <col min="901" max="901" width="13" bestFit="1" customWidth="1"/>
    <col min="902" max="902" width="25.85546875" bestFit="1" customWidth="1"/>
    <col min="903" max="903" width="29" bestFit="1" customWidth="1"/>
    <col min="904" max="904" width="27.85546875" bestFit="1" customWidth="1"/>
    <col min="905" max="905" width="31.5703125" bestFit="1" customWidth="1"/>
    <col min="906" max="906" width="36.42578125" bestFit="1" customWidth="1"/>
    <col min="907" max="907" width="28.28515625" bestFit="1" customWidth="1"/>
    <col min="908" max="908" width="23.85546875" bestFit="1" customWidth="1"/>
    <col min="909" max="909" width="37.7109375" bestFit="1" customWidth="1"/>
    <col min="910" max="910" width="35.28515625" bestFit="1" customWidth="1"/>
    <col min="911" max="911" width="29" bestFit="1" customWidth="1"/>
    <col min="912" max="912" width="25.85546875" bestFit="1" customWidth="1"/>
    <col min="913" max="913" width="16" bestFit="1" customWidth="1"/>
    <col min="914" max="914" width="31.42578125" bestFit="1" customWidth="1"/>
    <col min="915" max="915" width="11.28515625" bestFit="1" customWidth="1"/>
    <col min="916" max="916" width="12" bestFit="1" customWidth="1"/>
    <col min="917" max="917" width="11.42578125" bestFit="1" customWidth="1"/>
    <col min="918" max="918" width="17.5703125" bestFit="1" customWidth="1"/>
    <col min="919" max="919" width="16.140625" bestFit="1" customWidth="1"/>
    <col min="920" max="920" width="13.5703125" bestFit="1" customWidth="1"/>
    <col min="921" max="921" width="26.28515625" bestFit="1" customWidth="1"/>
    <col min="922" max="922" width="29.42578125" bestFit="1" customWidth="1"/>
    <col min="923" max="923" width="28.28515625" bestFit="1" customWidth="1"/>
    <col min="924" max="924" width="32" bestFit="1" customWidth="1"/>
    <col min="925" max="925" width="37" bestFit="1" customWidth="1"/>
    <col min="926" max="926" width="28.7109375" bestFit="1" customWidth="1"/>
    <col min="927" max="927" width="24.28515625" bestFit="1" customWidth="1"/>
    <col min="928" max="928" width="38.140625" bestFit="1" customWidth="1"/>
    <col min="929" max="929" width="35.85546875" bestFit="1" customWidth="1"/>
    <col min="930" max="930" width="29.42578125" bestFit="1" customWidth="1"/>
    <col min="931" max="931" width="26.28515625" bestFit="1" customWidth="1"/>
    <col min="932" max="932" width="16.42578125" bestFit="1" customWidth="1"/>
    <col min="933" max="933" width="11.7109375" bestFit="1" customWidth="1"/>
    <col min="934" max="934" width="30.5703125" bestFit="1" customWidth="1"/>
    <col min="935" max="935" width="21.28515625" bestFit="1" customWidth="1"/>
    <col min="936" max="936" width="32.28515625" bestFit="1" customWidth="1"/>
    <col min="937" max="937" width="32.140625" bestFit="1" customWidth="1"/>
    <col min="938" max="938" width="13.7109375" bestFit="1" customWidth="1"/>
    <col min="939" max="939" width="16.85546875" bestFit="1" customWidth="1"/>
    <col min="940" max="940" width="34.28515625" bestFit="1" customWidth="1"/>
    <col min="941" max="941" width="16.140625" bestFit="1" customWidth="1"/>
    <col min="942" max="942" width="33.28515625" bestFit="1" customWidth="1"/>
    <col min="943" max="943" width="25.7109375" bestFit="1" customWidth="1"/>
    <col min="944" max="944" width="23.7109375" bestFit="1" customWidth="1"/>
    <col min="945" max="945" width="30.85546875" bestFit="1" customWidth="1"/>
    <col min="946" max="946" width="30.42578125" bestFit="1" customWidth="1"/>
    <col min="947" max="947" width="21.140625" bestFit="1" customWidth="1"/>
    <col min="948" max="948" width="32.140625" bestFit="1" customWidth="1"/>
    <col min="949" max="949" width="32" bestFit="1" customWidth="1"/>
    <col min="950" max="950" width="13.5703125" bestFit="1" customWidth="1"/>
    <col min="951" max="951" width="16.7109375" bestFit="1" customWidth="1"/>
    <col min="952" max="952" width="34.140625" bestFit="1" customWidth="1"/>
    <col min="953" max="953" width="16" bestFit="1" customWidth="1"/>
    <col min="954" max="954" width="33.85546875" bestFit="1" customWidth="1"/>
    <col min="955" max="955" width="26.140625" bestFit="1" customWidth="1"/>
    <col min="956" max="956" width="24.140625" bestFit="1" customWidth="1"/>
    <col min="957" max="957" width="31.42578125" bestFit="1" customWidth="1"/>
    <col min="958" max="958" width="30.85546875" bestFit="1" customWidth="1"/>
    <col min="959" max="959" width="21.7109375" bestFit="1" customWidth="1"/>
    <col min="960" max="960" width="32.7109375" bestFit="1" customWidth="1"/>
    <col min="961" max="961" width="32.5703125" bestFit="1" customWidth="1"/>
    <col min="962" max="962" width="14" bestFit="1" customWidth="1"/>
    <col min="963" max="963" width="17.140625" bestFit="1" customWidth="1"/>
    <col min="964" max="964" width="34.5703125" bestFit="1" customWidth="1"/>
    <col min="965" max="965" width="16.42578125" bestFit="1" customWidth="1"/>
    <col min="966" max="966" width="11.7109375" bestFit="1" customWidth="1"/>
    <col min="967" max="967" width="22.85546875" bestFit="1" customWidth="1"/>
    <col min="968" max="968" width="16.140625" bestFit="1" customWidth="1"/>
    <col min="969" max="970" width="19.85546875" bestFit="1" customWidth="1"/>
    <col min="971" max="972" width="20" bestFit="1" customWidth="1"/>
    <col min="973" max="973" width="22.7109375" bestFit="1" customWidth="1"/>
    <col min="974" max="974" width="16" bestFit="1" customWidth="1"/>
    <col min="975" max="976" width="20.28515625" bestFit="1" customWidth="1"/>
    <col min="977" max="978" width="20.5703125" bestFit="1" customWidth="1"/>
    <col min="979" max="979" width="23.28515625" bestFit="1" customWidth="1"/>
    <col min="980" max="980" width="16.42578125" bestFit="1" customWidth="1"/>
    <col min="981" max="981" width="11.7109375" bestFit="1" customWidth="1"/>
    <col min="982" max="982" width="30.7109375" bestFit="1" customWidth="1"/>
    <col min="983" max="983" width="28.28515625" bestFit="1" customWidth="1"/>
    <col min="984" max="984" width="22.85546875" bestFit="1" customWidth="1"/>
    <col min="985" max="985" width="27" bestFit="1" customWidth="1"/>
    <col min="986" max="986" width="26.5703125" bestFit="1" customWidth="1"/>
    <col min="987" max="987" width="16.140625" bestFit="1" customWidth="1"/>
    <col min="988" max="988" width="36.42578125" bestFit="1" customWidth="1"/>
    <col min="989" max="989" width="30" bestFit="1" customWidth="1"/>
    <col min="990" max="990" width="31.7109375" bestFit="1" customWidth="1"/>
    <col min="991" max="991" width="28.28515625" bestFit="1" customWidth="1"/>
    <col min="992" max="992" width="30.5703125" bestFit="1" customWidth="1"/>
    <col min="993" max="993" width="28.140625" bestFit="1" customWidth="1"/>
    <col min="994" max="994" width="22.7109375" bestFit="1" customWidth="1"/>
    <col min="995" max="995" width="26.85546875" bestFit="1" customWidth="1"/>
    <col min="996" max="996" width="26.42578125" bestFit="1" customWidth="1"/>
    <col min="997" max="997" width="16" bestFit="1" customWidth="1"/>
    <col min="998" max="998" width="36.85546875" bestFit="1" customWidth="1"/>
    <col min="999" max="999" width="30.5703125" bestFit="1" customWidth="1"/>
    <col min="1000" max="1000" width="32.140625" bestFit="1" customWidth="1"/>
    <col min="1001" max="1001" width="28.7109375" bestFit="1" customWidth="1"/>
    <col min="1002" max="1002" width="31" bestFit="1" customWidth="1"/>
    <col min="1003" max="1003" width="28.7109375" bestFit="1" customWidth="1"/>
    <col min="1004" max="1004" width="23.140625" bestFit="1" customWidth="1"/>
    <col min="1005" max="1005" width="27.28515625" bestFit="1" customWidth="1"/>
    <col min="1006" max="1006" width="26.85546875" bestFit="1" customWidth="1"/>
    <col min="1007" max="1007" width="16.42578125" bestFit="1" customWidth="1"/>
    <col min="1008" max="1008" width="11.7109375" bestFit="1" customWidth="1"/>
    <col min="1009" max="1010" width="28" bestFit="1" customWidth="1"/>
    <col min="1011" max="1012" width="23.140625" bestFit="1" customWidth="1"/>
    <col min="1013" max="1013" width="31.7109375" bestFit="1" customWidth="1"/>
    <col min="1014" max="1014" width="22.28515625" bestFit="1" customWidth="1"/>
    <col min="1015" max="1015" width="19" bestFit="1" customWidth="1"/>
    <col min="1016" max="1016" width="28.5703125" bestFit="1" customWidth="1"/>
    <col min="1017" max="1017" width="22.7109375" bestFit="1" customWidth="1"/>
    <col min="1018" max="1018" width="28.140625" bestFit="1" customWidth="1"/>
    <col min="1019" max="1019" width="28.42578125" bestFit="1" customWidth="1"/>
    <col min="1020" max="1020" width="16" bestFit="1" customWidth="1"/>
    <col min="1021" max="1021" width="12.28515625" bestFit="1" customWidth="1"/>
    <col min="1022" max="1022" width="16.5703125" bestFit="1" customWidth="1"/>
    <col min="1023" max="1023" width="31.140625" bestFit="1" customWidth="1"/>
    <col min="1024" max="1024" width="11.42578125" bestFit="1" customWidth="1"/>
    <col min="1025" max="1025" width="12" bestFit="1" customWidth="1"/>
    <col min="1026" max="1026" width="17.7109375" bestFit="1" customWidth="1"/>
    <col min="1027" max="1027" width="11.5703125" bestFit="1" customWidth="1"/>
    <col min="1028" max="1028" width="14" bestFit="1" customWidth="1"/>
    <col min="1029" max="1029" width="16.42578125" bestFit="1" customWidth="1"/>
    <col min="1030" max="1031" width="28" bestFit="1" customWidth="1"/>
    <col min="1032" max="1033" width="23.140625" bestFit="1" customWidth="1"/>
    <col min="1034" max="1034" width="31.7109375" bestFit="1" customWidth="1"/>
    <col min="1035" max="1035" width="22.28515625" bestFit="1" customWidth="1"/>
    <col min="1036" max="1036" width="19" bestFit="1" customWidth="1"/>
    <col min="1037" max="1037" width="28.5703125" bestFit="1" customWidth="1"/>
    <col min="1038" max="1038" width="22.7109375" bestFit="1" customWidth="1"/>
    <col min="1039" max="1039" width="28.140625" bestFit="1" customWidth="1"/>
    <col min="1040" max="1040" width="28.42578125" bestFit="1" customWidth="1"/>
    <col min="1041" max="1041" width="16" bestFit="1" customWidth="1"/>
    <col min="1042" max="1042" width="12.28515625" bestFit="1" customWidth="1"/>
    <col min="1043" max="1043" width="16.5703125" bestFit="1" customWidth="1"/>
    <col min="1044" max="1044" width="31.5703125" bestFit="1" customWidth="1"/>
    <col min="1045" max="1045" width="11.85546875" bestFit="1" customWidth="1"/>
    <col min="1046" max="1046" width="12.42578125" bestFit="1" customWidth="1"/>
    <col min="1047" max="1047" width="18" bestFit="1" customWidth="1"/>
    <col min="1048" max="1048" width="12" bestFit="1" customWidth="1"/>
    <col min="1049" max="1049" width="14.42578125" bestFit="1" customWidth="1"/>
    <col min="1050" max="1050" width="16.85546875" bestFit="1" customWidth="1"/>
    <col min="1051" max="1052" width="28.28515625" bestFit="1" customWidth="1"/>
    <col min="1053" max="1054" width="23.5703125" bestFit="1" customWidth="1"/>
    <col min="1055" max="1055" width="32" bestFit="1" customWidth="1"/>
    <col min="1056" max="1056" width="22.7109375" bestFit="1" customWidth="1"/>
    <col min="1057" max="1057" width="19.42578125" bestFit="1" customWidth="1"/>
    <col min="1058" max="1058" width="29" bestFit="1" customWidth="1"/>
    <col min="1059" max="1059" width="23.140625" bestFit="1" customWidth="1"/>
    <col min="1060" max="1060" width="28.5703125" bestFit="1" customWidth="1"/>
    <col min="1061" max="1061" width="28.85546875" bestFit="1" customWidth="1"/>
    <col min="1062" max="1062" width="16.42578125" bestFit="1" customWidth="1"/>
    <col min="1063" max="1063" width="12.7109375" bestFit="1" customWidth="1"/>
    <col min="1064" max="1064" width="17" bestFit="1" customWidth="1"/>
    <col min="1065" max="1065" width="11.7109375" bestFit="1" customWidth="1"/>
    <col min="1066" max="1066" width="14.28515625" bestFit="1" customWidth="1"/>
    <col min="1067" max="1068" width="16.28515625" bestFit="1" customWidth="1"/>
    <col min="1069" max="1070" width="13.85546875" bestFit="1" customWidth="1"/>
    <col min="1071" max="1072" width="19.7109375" bestFit="1" customWidth="1"/>
    <col min="1073" max="1074" width="18.5703125" bestFit="1" customWidth="1"/>
    <col min="1075" max="1076" width="22.28515625" bestFit="1" customWidth="1"/>
    <col min="1077" max="1077" width="24.140625" bestFit="1" customWidth="1"/>
    <col min="1078" max="1079" width="33.28515625" bestFit="1" customWidth="1"/>
    <col min="1080" max="1083" width="24" bestFit="1" customWidth="1"/>
    <col min="1084" max="1085" width="40.85546875" bestFit="1" customWidth="1"/>
    <col min="1086" max="1087" width="22" bestFit="1" customWidth="1"/>
    <col min="1088" max="1088" width="32.7109375" bestFit="1" customWidth="1"/>
    <col min="1089" max="1089" width="23.85546875" bestFit="1" customWidth="1"/>
    <col min="1090" max="1090" width="22.140625" bestFit="1" customWidth="1"/>
    <col min="1091" max="1091" width="27.5703125" bestFit="1" customWidth="1"/>
    <col min="1092" max="1092" width="29" bestFit="1" customWidth="1"/>
    <col min="1093" max="1093" width="16.140625" bestFit="1" customWidth="1"/>
    <col min="1094" max="1094" width="25.42578125" bestFit="1" customWidth="1"/>
    <col min="1095" max="1096" width="13.5703125" bestFit="1" customWidth="1"/>
    <col min="1097" max="1098" width="14.140625" bestFit="1" customWidth="1"/>
    <col min="1099" max="1100" width="16.140625" bestFit="1" customWidth="1"/>
    <col min="1101" max="1102" width="13.7109375" bestFit="1" customWidth="1"/>
    <col min="1103" max="1104" width="19.5703125" bestFit="1" customWidth="1"/>
    <col min="1105" max="1106" width="18.42578125" bestFit="1" customWidth="1"/>
    <col min="1107" max="1108" width="22.140625" bestFit="1" customWidth="1"/>
    <col min="1109" max="1109" width="24" bestFit="1" customWidth="1"/>
    <col min="1110" max="1111" width="33.140625" bestFit="1" customWidth="1"/>
    <col min="1112" max="1115" width="24" bestFit="1" customWidth="1"/>
    <col min="1116" max="1117" width="40.7109375" bestFit="1" customWidth="1"/>
    <col min="1118" max="1119" width="21.85546875" bestFit="1" customWidth="1"/>
    <col min="1120" max="1120" width="32.5703125" bestFit="1" customWidth="1"/>
    <col min="1121" max="1121" width="23.7109375" bestFit="1" customWidth="1"/>
    <col min="1122" max="1122" width="22" bestFit="1" customWidth="1"/>
    <col min="1123" max="1123" width="27.42578125" bestFit="1" customWidth="1"/>
    <col min="1124" max="1124" width="28.85546875" bestFit="1" customWidth="1"/>
    <col min="1125" max="1125" width="16" bestFit="1" customWidth="1"/>
    <col min="1126" max="1126" width="25.85546875" bestFit="1" customWidth="1"/>
    <col min="1127" max="1128" width="14" bestFit="1" customWidth="1"/>
    <col min="1129" max="1130" width="14.5703125" bestFit="1" customWidth="1"/>
    <col min="1131" max="1132" width="16.5703125" bestFit="1" customWidth="1"/>
    <col min="1133" max="1134" width="14.140625" bestFit="1" customWidth="1"/>
    <col min="1135" max="1136" width="20" bestFit="1" customWidth="1"/>
    <col min="1137" max="1138" width="18.85546875" bestFit="1" customWidth="1"/>
    <col min="1139" max="1140" width="22.7109375" bestFit="1" customWidth="1"/>
    <col min="1141" max="1141" width="24.42578125" bestFit="1" customWidth="1"/>
    <col min="1142" max="1143" width="33.5703125" bestFit="1" customWidth="1"/>
    <col min="1144" max="1147" width="24.42578125" bestFit="1" customWidth="1"/>
    <col min="1148" max="1149" width="41.140625" bestFit="1" customWidth="1"/>
    <col min="1150" max="1151" width="22.28515625" bestFit="1" customWidth="1"/>
    <col min="1152" max="1152" width="33" bestFit="1" customWidth="1"/>
    <col min="1153" max="1153" width="24.140625" bestFit="1" customWidth="1"/>
    <col min="1154" max="1154" width="22.5703125" bestFit="1" customWidth="1"/>
    <col min="1155" max="1155" width="27.85546875" bestFit="1" customWidth="1"/>
    <col min="1156" max="1156" width="29.28515625" bestFit="1" customWidth="1"/>
    <col min="1157" max="1157" width="16.42578125" bestFit="1" customWidth="1"/>
    <col min="1158" max="1158" width="11.7109375" bestFit="1" customWidth="1"/>
    <col min="1159" max="1159" width="16.140625" bestFit="1" customWidth="1"/>
    <col min="1160" max="1160" width="33.5703125" bestFit="1" customWidth="1"/>
    <col min="1161" max="1161" width="36.42578125" bestFit="1" customWidth="1"/>
    <col min="1162" max="1162" width="15.7109375" bestFit="1" customWidth="1"/>
    <col min="1163" max="1163" width="11.85546875" bestFit="1" customWidth="1"/>
    <col min="1164" max="1164" width="16" bestFit="1" customWidth="1"/>
    <col min="1165" max="1165" width="34" bestFit="1" customWidth="1"/>
    <col min="1166" max="1166" width="36.85546875" bestFit="1" customWidth="1"/>
    <col min="1167" max="1167" width="16.140625" bestFit="1" customWidth="1"/>
    <col min="1168" max="1168" width="12.28515625" bestFit="1" customWidth="1"/>
    <col min="1169" max="1169" width="16.42578125" bestFit="1" customWidth="1"/>
    <col min="1170" max="1170" width="11.7109375" bestFit="1" customWidth="1"/>
    <col min="1171" max="1171" width="11.140625" bestFit="1" customWidth="1"/>
    <col min="1172" max="1172" width="13.5703125" bestFit="1" customWidth="1"/>
    <col min="1173" max="1173" width="17.140625" bestFit="1" customWidth="1"/>
    <col min="1174" max="1174" width="15.85546875" bestFit="1" customWidth="1"/>
    <col min="1175" max="1175" width="28.42578125" bestFit="1" customWidth="1"/>
    <col min="1176" max="1176" width="21" bestFit="1" customWidth="1"/>
    <col min="1177" max="1177" width="22.42578125" bestFit="1" customWidth="1"/>
    <col min="1178" max="1178" width="30.7109375" bestFit="1" customWidth="1"/>
    <col min="1179" max="1179" width="21.5703125" bestFit="1" customWidth="1"/>
    <col min="1180" max="1180" width="29.42578125" bestFit="1" customWidth="1"/>
    <col min="1181" max="1181" width="25.28515625" bestFit="1" customWidth="1"/>
    <col min="1182" max="1182" width="16.140625" customWidth="1"/>
    <col min="1183" max="1183" width="29" bestFit="1" customWidth="1"/>
    <col min="1184" max="1184" width="30.42578125" bestFit="1" customWidth="1"/>
    <col min="1185" max="1185" width="10.85546875" bestFit="1" customWidth="1"/>
    <col min="1186" max="1186" width="11.42578125" bestFit="1" customWidth="1"/>
    <col min="1187" max="1187" width="11" bestFit="1" customWidth="1"/>
    <col min="1188" max="1188" width="13.42578125" bestFit="1" customWidth="1"/>
    <col min="1189" max="1189" width="17" bestFit="1" customWidth="1"/>
    <col min="1190" max="1190" width="15.7109375" bestFit="1" customWidth="1"/>
    <col min="1191" max="1191" width="28.28515625" bestFit="1" customWidth="1"/>
    <col min="1192" max="1192" width="21" bestFit="1" customWidth="1"/>
    <col min="1193" max="1193" width="22.28515625" bestFit="1" customWidth="1"/>
    <col min="1194" max="1194" width="30.5703125" bestFit="1" customWidth="1"/>
    <col min="1195" max="1195" width="21.42578125" bestFit="1" customWidth="1"/>
    <col min="1196" max="1196" width="29.28515625" bestFit="1" customWidth="1"/>
    <col min="1197" max="1197" width="25.140625" bestFit="1" customWidth="1"/>
    <col min="1198" max="1198" width="16" bestFit="1" customWidth="1"/>
    <col min="1199" max="1199" width="29.42578125" bestFit="1" customWidth="1"/>
    <col min="1200" max="1200" width="30.85546875" bestFit="1" customWidth="1"/>
    <col min="1201" max="1201" width="11.28515625" bestFit="1" customWidth="1"/>
    <col min="1202" max="1202" width="12" bestFit="1" customWidth="1"/>
    <col min="1203" max="1203" width="11.42578125" bestFit="1" customWidth="1"/>
    <col min="1204" max="1204" width="13.85546875" bestFit="1" customWidth="1"/>
    <col min="1205" max="1205" width="17.5703125" bestFit="1" customWidth="1"/>
    <col min="1206" max="1206" width="16.140625" bestFit="1" customWidth="1"/>
    <col min="1207" max="1207" width="28.85546875" bestFit="1" customWidth="1"/>
    <col min="1208" max="1208" width="21.42578125" bestFit="1" customWidth="1"/>
    <col min="1209" max="1209" width="22.7109375" bestFit="1" customWidth="1"/>
    <col min="1210" max="1210" width="31" bestFit="1" customWidth="1"/>
    <col min="1211" max="1211" width="22" bestFit="1" customWidth="1"/>
    <col min="1212" max="1212" width="29.7109375" bestFit="1" customWidth="1"/>
    <col min="1213" max="1213" width="25.7109375" bestFit="1" customWidth="1"/>
    <col min="1214" max="1214" width="16.42578125" bestFit="1" customWidth="1"/>
    <col min="1215" max="1215" width="10.7109375" bestFit="1" customWidth="1"/>
    <col min="1216" max="1216" width="31.42578125" bestFit="1" customWidth="1"/>
    <col min="1217" max="1217" width="37.85546875" bestFit="1" customWidth="1"/>
    <col min="1218" max="1218" width="37.7109375" bestFit="1" customWidth="1"/>
    <col min="1219" max="1219" width="20" bestFit="1" customWidth="1"/>
    <col min="1220" max="1220" width="30.5703125" bestFit="1" customWidth="1"/>
    <col min="1221" max="1221" width="21.42578125" bestFit="1" customWidth="1"/>
    <col min="1222" max="1222" width="33.42578125" bestFit="1" customWidth="1"/>
    <col min="1223" max="1223" width="33.28515625" bestFit="1" customWidth="1"/>
    <col min="1224" max="1224" width="11.7109375" bestFit="1" customWidth="1"/>
    <col min="1225" max="1225" width="17.28515625" bestFit="1" customWidth="1"/>
    <col min="1226" max="1226" width="16" bestFit="1" customWidth="1"/>
    <col min="1227" max="1227" width="23.85546875" bestFit="1" customWidth="1"/>
    <col min="1228" max="1228" width="31.85546875" bestFit="1" customWidth="1"/>
    <col min="1229" max="1229" width="38.28515625" bestFit="1" customWidth="1"/>
    <col min="1230" max="1230" width="38.140625" bestFit="1" customWidth="1"/>
    <col min="1231" max="1231" width="20.5703125" bestFit="1" customWidth="1"/>
    <col min="1232" max="1232" width="31" bestFit="1" customWidth="1"/>
    <col min="1233" max="1233" width="22" bestFit="1" customWidth="1"/>
    <col min="1234" max="1234" width="33.85546875" bestFit="1" customWidth="1"/>
    <col min="1235" max="1235" width="33.7109375" bestFit="1" customWidth="1"/>
    <col min="1236" max="1236" width="12" bestFit="1" customWidth="1"/>
    <col min="1237" max="1237" width="17.85546875" bestFit="1" customWidth="1"/>
    <col min="1238" max="1238" width="16.42578125" bestFit="1" customWidth="1"/>
    <col min="1239" max="1239" width="11.7109375" bestFit="1" customWidth="1"/>
    <col min="1240" max="1240" width="15" bestFit="1" customWidth="1"/>
    <col min="1241" max="1242" width="16.85546875" bestFit="1" customWidth="1"/>
    <col min="1243" max="1244" width="19.28515625" bestFit="1" customWidth="1"/>
    <col min="1245" max="1246" width="31" bestFit="1" customWidth="1"/>
    <col min="1247" max="1248" width="16.28515625" bestFit="1" customWidth="1"/>
    <col min="1249" max="1250" width="14.28515625" bestFit="1" customWidth="1"/>
    <col min="1251" max="1253" width="28" bestFit="1" customWidth="1"/>
    <col min="1254" max="1254" width="30.5703125" bestFit="1" customWidth="1"/>
    <col min="1255" max="1256" width="34.7109375" bestFit="1" customWidth="1"/>
    <col min="1257" max="1258" width="25" bestFit="1" customWidth="1"/>
    <col min="1259" max="1260" width="31" bestFit="1" customWidth="1"/>
    <col min="1261" max="1262" width="23.85546875" bestFit="1" customWidth="1"/>
    <col min="1263" max="1264" width="25.28515625" bestFit="1" customWidth="1"/>
    <col min="1265" max="1266" width="32.42578125" bestFit="1" customWidth="1"/>
    <col min="1267" max="1267" width="41.42578125" bestFit="1" customWidth="1"/>
    <col min="1268" max="1268" width="25.85546875" bestFit="1" customWidth="1"/>
    <col min="1269" max="1269" width="31" bestFit="1" customWidth="1"/>
    <col min="1270" max="1270" width="25.7109375" bestFit="1" customWidth="1"/>
    <col min="1271" max="1271" width="23.7109375" bestFit="1" customWidth="1"/>
    <col min="1272" max="1272" width="21.28515625" bestFit="1" customWidth="1"/>
    <col min="1273" max="1273" width="16.7109375" bestFit="1" customWidth="1"/>
    <col min="1274" max="1274" width="29" bestFit="1" customWidth="1"/>
    <col min="1275" max="1276" width="14.140625" bestFit="1" customWidth="1"/>
    <col min="1277" max="1278" width="15" bestFit="1" customWidth="1"/>
    <col min="1279" max="1280" width="16.85546875" bestFit="1" customWidth="1"/>
    <col min="1281" max="1282" width="19.28515625" bestFit="1" customWidth="1"/>
    <col min="1283" max="1284" width="31" bestFit="1" customWidth="1"/>
    <col min="1285" max="1286" width="16.28515625" bestFit="1" customWidth="1"/>
    <col min="1287" max="1288" width="14.28515625" bestFit="1" customWidth="1"/>
    <col min="1289" max="1291" width="28" bestFit="1" customWidth="1"/>
    <col min="1292" max="1292" width="30.5703125" bestFit="1" customWidth="1"/>
    <col min="1293" max="1294" width="34.7109375" bestFit="1" customWidth="1"/>
    <col min="1295" max="1296" width="25" bestFit="1" customWidth="1"/>
    <col min="1297" max="1298" width="31" bestFit="1" customWidth="1"/>
    <col min="1299" max="1300" width="23.85546875" bestFit="1" customWidth="1"/>
    <col min="1301" max="1302" width="25.28515625" bestFit="1" customWidth="1"/>
    <col min="1303" max="1304" width="32.42578125" bestFit="1" customWidth="1"/>
    <col min="1305" max="1305" width="41.42578125" bestFit="1" customWidth="1"/>
    <col min="1306" max="1306" width="25.85546875" bestFit="1" customWidth="1"/>
    <col min="1307" max="1307" width="31" bestFit="1" customWidth="1"/>
    <col min="1308" max="1308" width="25.7109375" bestFit="1" customWidth="1"/>
    <col min="1309" max="1309" width="23.7109375" bestFit="1" customWidth="1"/>
    <col min="1310" max="1310" width="21.28515625" bestFit="1" customWidth="1"/>
    <col min="1311" max="1311" width="16.7109375" bestFit="1" customWidth="1"/>
    <col min="1312" max="1312" width="29.28515625" bestFit="1" customWidth="1"/>
    <col min="1313" max="1314" width="14.7109375" bestFit="1" customWidth="1"/>
    <col min="1315" max="1316" width="15.28515625" bestFit="1" customWidth="1"/>
    <col min="1317" max="1318" width="17.140625" bestFit="1" customWidth="1"/>
    <col min="1319" max="1320" width="19.7109375" bestFit="1" customWidth="1"/>
    <col min="1321" max="1322" width="31.28515625" bestFit="1" customWidth="1"/>
    <col min="1323" max="1324" width="16.7109375" bestFit="1" customWidth="1"/>
    <col min="1325" max="1326" width="14.85546875" bestFit="1" customWidth="1"/>
    <col min="1327" max="1329" width="28.42578125" bestFit="1" customWidth="1"/>
    <col min="1330" max="1330" width="31" bestFit="1" customWidth="1"/>
    <col min="1331" max="1332" width="35" bestFit="1" customWidth="1"/>
    <col min="1333" max="1334" width="25.42578125" bestFit="1" customWidth="1"/>
    <col min="1335" max="1336" width="31.42578125" bestFit="1" customWidth="1"/>
    <col min="1337" max="1338" width="24.28515625" bestFit="1" customWidth="1"/>
    <col min="1339" max="1340" width="25.7109375" bestFit="1" customWidth="1"/>
    <col min="1341" max="1342" width="32.85546875" bestFit="1" customWidth="1"/>
    <col min="1343" max="1343" width="41.42578125" bestFit="1" customWidth="1"/>
    <col min="1344" max="1344" width="26.42578125" bestFit="1" customWidth="1"/>
    <col min="1345" max="1345" width="31.28515625" bestFit="1" customWidth="1"/>
    <col min="1346" max="1346" width="26.28515625" bestFit="1" customWidth="1"/>
    <col min="1347" max="1347" width="24.140625" bestFit="1" customWidth="1"/>
    <col min="1348" max="1348" width="21.7109375" bestFit="1" customWidth="1"/>
    <col min="1349" max="1349" width="17" bestFit="1" customWidth="1"/>
    <col min="1350" max="1350" width="11.85546875" bestFit="1" customWidth="1"/>
    <col min="1351" max="1351" width="22.28515625" bestFit="1" customWidth="1"/>
    <col min="1352" max="1352" width="16.5703125" bestFit="1" customWidth="1"/>
    <col min="1353" max="1353" width="30.42578125" bestFit="1" customWidth="1"/>
    <col min="1354" max="1354" width="32.140625" bestFit="1" customWidth="1"/>
    <col min="1355" max="1355" width="27.42578125" bestFit="1" customWidth="1"/>
    <col min="1356" max="1356" width="31.7109375" bestFit="1" customWidth="1"/>
    <col min="1357" max="1357" width="22.28515625" bestFit="1" customWidth="1"/>
    <col min="1358" max="1358" width="16.5703125" bestFit="1" customWidth="1"/>
    <col min="1359" max="1359" width="30.85546875" bestFit="1" customWidth="1"/>
    <col min="1360" max="1360" width="32.5703125" bestFit="1" customWidth="1"/>
    <col min="1361" max="1361" width="27.85546875" bestFit="1" customWidth="1"/>
    <col min="1362" max="1362" width="32" bestFit="1" customWidth="1"/>
    <col min="1363" max="1363" width="22.7109375" bestFit="1" customWidth="1"/>
    <col min="1364" max="1364" width="17" bestFit="1" customWidth="1"/>
    <col min="1365" max="1365" width="10.42578125" bestFit="1" customWidth="1"/>
    <col min="1366" max="1366" width="59.42578125" bestFit="1" customWidth="1"/>
    <col min="1367" max="1367" width="47.85546875" bestFit="1" customWidth="1"/>
    <col min="1368" max="1368" width="70" bestFit="1" customWidth="1"/>
    <col min="1369" max="1369" width="70.7109375" bestFit="1" customWidth="1"/>
    <col min="1370" max="1370" width="27.28515625" bestFit="1" customWidth="1"/>
    <col min="1371" max="1371" width="17.7109375" bestFit="1" customWidth="1"/>
    <col min="1372" max="1372" width="25.85546875" bestFit="1" customWidth="1"/>
    <col min="1373" max="1373" width="16.140625" bestFit="1" customWidth="1"/>
    <col min="1374" max="1374" width="17.85546875" bestFit="1" customWidth="1"/>
    <col min="1375" max="1375" width="25" bestFit="1" customWidth="1"/>
    <col min="1376" max="1376" width="31.5703125" bestFit="1" customWidth="1"/>
    <col min="1377" max="1377" width="80.5703125" bestFit="1" customWidth="1"/>
    <col min="1378" max="1378" width="59.28515625" bestFit="1" customWidth="1"/>
    <col min="1379" max="1379" width="47.7109375" bestFit="1" customWidth="1"/>
    <col min="1380" max="1380" width="69.85546875" bestFit="1" customWidth="1"/>
    <col min="1381" max="1381" width="70.5703125" bestFit="1" customWidth="1"/>
    <col min="1382" max="1382" width="27.140625" bestFit="1" customWidth="1"/>
    <col min="1383" max="1383" width="17.5703125" bestFit="1" customWidth="1"/>
    <col min="1384" max="1384" width="25.7109375" bestFit="1" customWidth="1"/>
    <col min="1385" max="1385" width="16" bestFit="1" customWidth="1"/>
    <col min="1386" max="1386" width="18.28515625" bestFit="1" customWidth="1"/>
    <col min="1387" max="1387" width="25.5703125" bestFit="1" customWidth="1"/>
    <col min="1388" max="1388" width="32" bestFit="1" customWidth="1"/>
    <col min="1389" max="1389" width="80.5703125" bestFit="1" customWidth="1"/>
    <col min="1390" max="1390" width="59.85546875" bestFit="1" customWidth="1"/>
    <col min="1391" max="1391" width="48.140625" bestFit="1" customWidth="1"/>
    <col min="1392" max="1392" width="70.28515625" bestFit="1" customWidth="1"/>
    <col min="1393" max="1393" width="71" bestFit="1" customWidth="1"/>
    <col min="1394" max="1394" width="27.7109375" bestFit="1" customWidth="1"/>
    <col min="1395" max="1395" width="18" bestFit="1" customWidth="1"/>
    <col min="1396" max="1396" width="26.140625" bestFit="1" customWidth="1"/>
    <col min="1397" max="1397" width="16.5703125" bestFit="1" customWidth="1"/>
    <col min="1398" max="1398" width="11.85546875" bestFit="1" customWidth="1"/>
    <col min="1399" max="1401" width="14.28515625" bestFit="1" customWidth="1"/>
    <col min="1402" max="1404" width="13.85546875" bestFit="1" customWidth="1"/>
    <col min="1405" max="1407" width="16.28515625" bestFit="1" customWidth="1"/>
    <col min="1408" max="1410" width="20" bestFit="1" customWidth="1"/>
    <col min="1411" max="1413" width="18.5703125" bestFit="1" customWidth="1"/>
    <col min="1414" max="1416" width="28.85546875" bestFit="1" customWidth="1"/>
    <col min="1417" max="1420" width="33.42578125" bestFit="1" customWidth="1"/>
    <col min="1421" max="1423" width="31" bestFit="1" customWidth="1"/>
    <col min="1424" max="1424" width="39.7109375" bestFit="1" customWidth="1"/>
    <col min="1425" max="1425" width="31" bestFit="1" customWidth="1"/>
    <col min="1426" max="1426" width="24.42578125" bestFit="1" customWidth="1"/>
    <col min="1427" max="1427" width="32.42578125" bestFit="1" customWidth="1"/>
    <col min="1428" max="1428" width="32.85546875" bestFit="1" customWidth="1"/>
    <col min="1429" max="1429" width="32" bestFit="1" customWidth="1"/>
    <col min="1430" max="1430" width="38.7109375" bestFit="1" customWidth="1"/>
    <col min="1431" max="1431" width="20.42578125" bestFit="1" customWidth="1"/>
    <col min="1432" max="1432" width="21.5703125" bestFit="1" customWidth="1"/>
    <col min="1433" max="1433" width="18.85546875" bestFit="1" customWidth="1"/>
    <col min="1434" max="1434" width="20.5703125" bestFit="1" customWidth="1"/>
    <col min="1435" max="1435" width="19.42578125" bestFit="1" customWidth="1"/>
    <col min="1436" max="1436" width="17.85546875" bestFit="1" customWidth="1"/>
    <col min="1437" max="1437" width="24.5703125" bestFit="1" customWidth="1"/>
    <col min="1438" max="1438" width="21.5703125" bestFit="1" customWidth="1"/>
    <col min="1439" max="1439" width="18.5703125" bestFit="1" customWidth="1"/>
    <col min="1440" max="1440" width="38.140625" bestFit="1" customWidth="1"/>
    <col min="1441" max="1441" width="36.5703125" bestFit="1" customWidth="1"/>
    <col min="1442" max="1442" width="35.5703125" bestFit="1" customWidth="1"/>
    <col min="1443" max="1443" width="27" bestFit="1" customWidth="1"/>
    <col min="1444" max="1444" width="42.42578125" bestFit="1" customWidth="1"/>
    <col min="1445" max="1445" width="16.140625" bestFit="1" customWidth="1"/>
    <col min="1446" max="1446" width="32.140625" bestFit="1" customWidth="1"/>
    <col min="1447" max="1449" width="13.5703125" bestFit="1" customWidth="1"/>
    <col min="1450" max="1452" width="14.140625" bestFit="1" customWidth="1"/>
    <col min="1453" max="1455" width="13.7109375" bestFit="1" customWidth="1"/>
    <col min="1456" max="1458" width="16.140625" bestFit="1" customWidth="1"/>
    <col min="1459" max="1461" width="19.85546875" bestFit="1" customWidth="1"/>
    <col min="1462" max="1464" width="18.42578125" bestFit="1" customWidth="1"/>
    <col min="1465" max="1467" width="28.7109375" bestFit="1" customWidth="1"/>
    <col min="1468" max="1471" width="33.28515625" bestFit="1" customWidth="1"/>
    <col min="1472" max="1474" width="30.85546875" bestFit="1" customWidth="1"/>
    <col min="1475" max="1475" width="39.5703125" bestFit="1" customWidth="1"/>
    <col min="1476" max="1476" width="31" bestFit="1" customWidth="1"/>
    <col min="1477" max="1477" width="24.28515625" bestFit="1" customWidth="1"/>
    <col min="1478" max="1478" width="32.28515625" bestFit="1" customWidth="1"/>
    <col min="1479" max="1479" width="32.7109375" bestFit="1" customWidth="1"/>
    <col min="1480" max="1480" width="32" bestFit="1" customWidth="1"/>
    <col min="1481" max="1481" width="38.5703125" bestFit="1" customWidth="1"/>
    <col min="1482" max="1482" width="20.28515625" bestFit="1" customWidth="1"/>
    <col min="1483" max="1483" width="21.42578125" bestFit="1" customWidth="1"/>
    <col min="1484" max="1484" width="18.7109375" bestFit="1" customWidth="1"/>
    <col min="1485" max="1485" width="20.42578125" bestFit="1" customWidth="1"/>
    <col min="1486" max="1486" width="19.28515625" bestFit="1" customWidth="1"/>
    <col min="1487" max="1487" width="17.7109375" bestFit="1" customWidth="1"/>
    <col min="1488" max="1488" width="24.42578125" bestFit="1" customWidth="1"/>
    <col min="1489" max="1489" width="21.42578125" bestFit="1" customWidth="1"/>
    <col min="1490" max="1490" width="18.42578125" bestFit="1" customWidth="1"/>
    <col min="1491" max="1491" width="38" bestFit="1" customWidth="1"/>
    <col min="1492" max="1492" width="36.42578125" bestFit="1" customWidth="1"/>
    <col min="1493" max="1493" width="35.42578125" bestFit="1" customWidth="1"/>
    <col min="1494" max="1494" width="26.85546875" bestFit="1" customWidth="1"/>
    <col min="1495" max="1495" width="42.28515625" bestFit="1" customWidth="1"/>
    <col min="1496" max="1496" width="16" bestFit="1" customWidth="1"/>
    <col min="1497" max="1497" width="32.5703125" bestFit="1" customWidth="1"/>
    <col min="1498" max="1500" width="14" bestFit="1" customWidth="1"/>
    <col min="1501" max="1503" width="14.5703125" bestFit="1" customWidth="1"/>
    <col min="1504" max="1506" width="14.140625" bestFit="1" customWidth="1"/>
    <col min="1507" max="1509" width="16.5703125" bestFit="1" customWidth="1"/>
    <col min="1510" max="1512" width="20.28515625" bestFit="1" customWidth="1"/>
    <col min="1513" max="1515" width="18.85546875" bestFit="1" customWidth="1"/>
    <col min="1516" max="1518" width="29.140625" bestFit="1" customWidth="1"/>
    <col min="1519" max="1522" width="33.85546875" bestFit="1" customWidth="1"/>
    <col min="1523" max="1525" width="31.42578125" bestFit="1" customWidth="1"/>
    <col min="1526" max="1526" width="40" bestFit="1" customWidth="1"/>
    <col min="1527" max="1527" width="31.42578125" bestFit="1" customWidth="1"/>
    <col min="1528" max="1528" width="24.7109375" bestFit="1" customWidth="1"/>
    <col min="1529" max="1529" width="32.85546875" bestFit="1" customWidth="1"/>
    <col min="1530" max="1530" width="33.140625" bestFit="1" customWidth="1"/>
    <col min="1531" max="1531" width="32.42578125" bestFit="1" customWidth="1"/>
    <col min="1532" max="1532" width="39" bestFit="1" customWidth="1"/>
    <col min="1533" max="1533" width="20.7109375" bestFit="1" customWidth="1"/>
    <col min="1534" max="1534" width="21.85546875" bestFit="1" customWidth="1"/>
    <col min="1535" max="1535" width="19.140625" bestFit="1" customWidth="1"/>
    <col min="1536" max="1536" width="21" bestFit="1" customWidth="1"/>
    <col min="1537" max="1537" width="19.85546875" bestFit="1" customWidth="1"/>
    <col min="1538" max="1538" width="18.140625" bestFit="1" customWidth="1"/>
    <col min="1539" max="1539" width="24.85546875" bestFit="1" customWidth="1"/>
    <col min="1540" max="1540" width="22" bestFit="1" customWidth="1"/>
    <col min="1541" max="1541" width="18.85546875" bestFit="1" customWidth="1"/>
    <col min="1542" max="1542" width="38.42578125" bestFit="1" customWidth="1"/>
    <col min="1543" max="1543" width="36.85546875" bestFit="1" customWidth="1"/>
    <col min="1544" max="1544" width="35.85546875" bestFit="1" customWidth="1"/>
    <col min="1545" max="1545" width="27.28515625" bestFit="1" customWidth="1"/>
    <col min="1546" max="1546" width="42.7109375" bestFit="1" customWidth="1"/>
    <col min="1547" max="1547" width="16.42578125" bestFit="1" customWidth="1"/>
    <col min="1548" max="1548" width="11.7109375" bestFit="1" customWidth="1"/>
    <col min="1549" max="1549" width="25.28515625" bestFit="1" customWidth="1"/>
    <col min="1550" max="1550" width="22.85546875" bestFit="1" customWidth="1"/>
    <col min="1551" max="1551" width="28.42578125" bestFit="1" customWidth="1"/>
    <col min="1552" max="1552" width="23" bestFit="1" customWidth="1"/>
    <col min="1553" max="1553" width="25.5703125" bestFit="1" customWidth="1"/>
    <col min="1554" max="1554" width="29" bestFit="1" customWidth="1"/>
    <col min="1555" max="1555" width="21.5703125" bestFit="1" customWidth="1"/>
    <col min="1556" max="1556" width="20.42578125" bestFit="1" customWidth="1"/>
    <col min="1557" max="1557" width="35.42578125" bestFit="1" customWidth="1"/>
    <col min="1558" max="1558" width="31.5703125" bestFit="1" customWidth="1"/>
    <col min="1559" max="1559" width="31" bestFit="1" customWidth="1"/>
    <col min="1560" max="1560" width="26.7109375" bestFit="1" customWidth="1"/>
    <col min="1561" max="1561" width="34.7109375" bestFit="1" customWidth="1"/>
    <col min="1562" max="1562" width="36.42578125" bestFit="1" customWidth="1"/>
    <col min="1563" max="1563" width="36.85546875" bestFit="1" customWidth="1"/>
    <col min="1564" max="1564" width="34.5703125" bestFit="1" customWidth="1"/>
    <col min="1565" max="1565" width="36.42578125" bestFit="1" customWidth="1"/>
    <col min="1566" max="1566" width="36.85546875" bestFit="1" customWidth="1"/>
    <col min="1567" max="1567" width="35" bestFit="1" customWidth="1"/>
    <col min="1568" max="1568" width="33.42578125" bestFit="1" customWidth="1"/>
    <col min="1569" max="1569" width="36.85546875" bestFit="1" customWidth="1"/>
    <col min="1570" max="1570" width="37" bestFit="1" customWidth="1"/>
    <col min="1571" max="1571" width="58.42578125" bestFit="1" customWidth="1"/>
    <col min="1572" max="1572" width="28.7109375" bestFit="1" customWidth="1"/>
    <col min="1573" max="1573" width="16.140625" bestFit="1" customWidth="1"/>
    <col min="1574" max="1574" width="28.7109375" bestFit="1" customWidth="1"/>
    <col min="1575" max="1575" width="35.140625" bestFit="1" customWidth="1"/>
    <col min="1576" max="1576" width="36.28515625" bestFit="1" customWidth="1"/>
    <col min="1577" max="1577" width="23.28515625" bestFit="1" customWidth="1"/>
    <col min="1578" max="1578" width="25.140625" bestFit="1" customWidth="1"/>
    <col min="1579" max="1579" width="22.7109375" bestFit="1" customWidth="1"/>
    <col min="1580" max="1580" width="28.28515625" bestFit="1" customWidth="1"/>
    <col min="1581" max="1581" width="22.85546875" bestFit="1" customWidth="1"/>
    <col min="1582" max="1582" width="25.42578125" bestFit="1" customWidth="1"/>
    <col min="1583" max="1583" width="28.85546875" bestFit="1" customWidth="1"/>
    <col min="1584" max="1584" width="21.42578125" bestFit="1" customWidth="1"/>
    <col min="1585" max="1585" width="20.28515625" bestFit="1" customWidth="1"/>
    <col min="1586" max="1586" width="35.140625" bestFit="1" customWidth="1"/>
    <col min="1587" max="1587" width="31.42578125" bestFit="1" customWidth="1"/>
    <col min="1588" max="1588" width="30.85546875" bestFit="1" customWidth="1"/>
    <col min="1589" max="1589" width="26.5703125" bestFit="1" customWidth="1"/>
    <col min="1590" max="1590" width="34.5703125" bestFit="1" customWidth="1"/>
    <col min="1591" max="1591" width="36.28515625" bestFit="1" customWidth="1"/>
    <col min="1592" max="1592" width="36.7109375" bestFit="1" customWidth="1"/>
    <col min="1593" max="1593" width="34.42578125" bestFit="1" customWidth="1"/>
    <col min="1594" max="1594" width="36.28515625" bestFit="1" customWidth="1"/>
    <col min="1595" max="1595" width="36.7109375" bestFit="1" customWidth="1"/>
    <col min="1596" max="1596" width="35" bestFit="1" customWidth="1"/>
    <col min="1597" max="1597" width="33.28515625" bestFit="1" customWidth="1"/>
    <col min="1598" max="1598" width="36.7109375" bestFit="1" customWidth="1"/>
    <col min="1599" max="1599" width="36.85546875" bestFit="1" customWidth="1"/>
    <col min="1600" max="1600" width="58.28515625" bestFit="1" customWidth="1"/>
    <col min="1601" max="1601" width="28.5703125" bestFit="1" customWidth="1"/>
    <col min="1602" max="1602" width="16" bestFit="1" customWidth="1"/>
    <col min="1603" max="1603" width="29.140625" bestFit="1" customWidth="1"/>
    <col min="1604" max="1604" width="35.7109375" bestFit="1" customWidth="1"/>
    <col min="1605" max="1605" width="36.85546875" bestFit="1" customWidth="1"/>
    <col min="1606" max="1606" width="23.85546875" bestFit="1" customWidth="1"/>
    <col min="1607" max="1607" width="25.7109375" bestFit="1" customWidth="1"/>
    <col min="1608" max="1608" width="23.140625" bestFit="1" customWidth="1"/>
    <col min="1609" max="1609" width="28.85546875" bestFit="1" customWidth="1"/>
    <col min="1610" max="1610" width="23.42578125" bestFit="1" customWidth="1"/>
    <col min="1611" max="1611" width="26" bestFit="1" customWidth="1"/>
    <col min="1612" max="1612" width="29.28515625" bestFit="1" customWidth="1"/>
    <col min="1613" max="1613" width="22" bestFit="1" customWidth="1"/>
    <col min="1614" max="1614" width="20.85546875" bestFit="1" customWidth="1"/>
    <col min="1615" max="1615" width="35.7109375" bestFit="1" customWidth="1"/>
    <col min="1616" max="1616" width="31.85546875" bestFit="1" customWidth="1"/>
    <col min="1617" max="1617" width="31.28515625" bestFit="1" customWidth="1"/>
    <col min="1618" max="1618" width="27" bestFit="1" customWidth="1"/>
    <col min="1619" max="1619" width="35" bestFit="1" customWidth="1"/>
    <col min="1620" max="1620" width="36.85546875" bestFit="1" customWidth="1"/>
    <col min="1621" max="1621" width="37.140625" bestFit="1" customWidth="1"/>
    <col min="1622" max="1622" width="34.85546875" bestFit="1" customWidth="1"/>
    <col min="1623" max="1623" width="36.7109375" bestFit="1" customWidth="1"/>
    <col min="1624" max="1624" width="37.140625" bestFit="1" customWidth="1"/>
    <col min="1625" max="1625" width="35.42578125" bestFit="1" customWidth="1"/>
    <col min="1626" max="1626" width="33.85546875" bestFit="1" customWidth="1"/>
    <col min="1627" max="1627" width="37.140625" bestFit="1" customWidth="1"/>
    <col min="1628" max="1628" width="37.28515625" bestFit="1" customWidth="1"/>
    <col min="1629" max="1629" width="58.85546875" bestFit="1" customWidth="1"/>
    <col min="1630" max="1630" width="29" bestFit="1" customWidth="1"/>
    <col min="1631" max="1631" width="16.42578125" bestFit="1" customWidth="1"/>
    <col min="1632" max="1632" width="11.7109375" bestFit="1" customWidth="1"/>
    <col min="1633" max="1633" width="26.42578125" bestFit="1" customWidth="1"/>
    <col min="1634" max="1634" width="31.7109375" bestFit="1" customWidth="1"/>
    <col min="1635" max="1635" width="22.7109375" bestFit="1" customWidth="1"/>
    <col min="1636" max="1636" width="18.7109375" bestFit="1" customWidth="1"/>
    <col min="1637" max="1637" width="18.28515625" bestFit="1" customWidth="1"/>
    <col min="1638" max="1638" width="16.5703125" bestFit="1" customWidth="1"/>
    <col min="1639" max="1639" width="33.42578125" bestFit="1" customWidth="1"/>
    <col min="1640" max="1640" width="23.140625" bestFit="1" customWidth="1"/>
    <col min="1641" max="1641" width="22.85546875" bestFit="1" customWidth="1"/>
    <col min="1642" max="1643" width="26.42578125" bestFit="1" customWidth="1"/>
    <col min="1644" max="1644" width="31.7109375" bestFit="1" customWidth="1"/>
    <col min="1645" max="1645" width="22.7109375" bestFit="1" customWidth="1"/>
    <col min="1646" max="1646" width="18.7109375" bestFit="1" customWidth="1"/>
    <col min="1647" max="1647" width="18.28515625" bestFit="1" customWidth="1"/>
    <col min="1648" max="1648" width="16.5703125" bestFit="1" customWidth="1"/>
    <col min="1649" max="1649" width="34" bestFit="1" customWidth="1"/>
    <col min="1650" max="1650" width="23.5703125" bestFit="1" customWidth="1"/>
    <col min="1651" max="1651" width="23.28515625" bestFit="1" customWidth="1"/>
    <col min="1652" max="1653" width="26.85546875" bestFit="1" customWidth="1"/>
    <col min="1654" max="1654" width="32" bestFit="1" customWidth="1"/>
    <col min="1655" max="1655" width="23.140625" bestFit="1" customWidth="1"/>
    <col min="1656" max="1656" width="19.140625" bestFit="1" customWidth="1"/>
    <col min="1657" max="1657" width="18.7109375" bestFit="1" customWidth="1"/>
    <col min="1658" max="1658" width="17" bestFit="1" customWidth="1"/>
    <col min="1659" max="1659" width="11.7109375" bestFit="1" customWidth="1"/>
    <col min="1660" max="1660" width="30.85546875" bestFit="1" customWidth="1"/>
    <col min="1661" max="1661" width="29.5703125" bestFit="1" customWidth="1"/>
    <col min="1662" max="1662" width="33.570312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7109375" bestFit="1" customWidth="1"/>
    <col min="1667" max="1667" width="30.5703125" bestFit="1" customWidth="1"/>
    <col min="1668" max="1668" width="28.28515625" bestFit="1" customWidth="1"/>
    <col min="1669" max="1669" width="21.42578125" bestFit="1" customWidth="1"/>
    <col min="1670" max="1670" width="26.85546875" bestFit="1" customWidth="1"/>
    <col min="1671" max="1671" width="23.85546875" bestFit="1" customWidth="1"/>
    <col min="1672" max="1672" width="30.85546875" bestFit="1" customWidth="1"/>
    <col min="1673" max="1673" width="36.85546875" bestFit="1" customWidth="1"/>
    <col min="1674" max="1674" width="28.28515625" bestFit="1" customWidth="1"/>
    <col min="1675" max="1675" width="25.28515625" bestFit="1" customWidth="1"/>
    <col min="1676" max="1676" width="24.42578125" bestFit="1" customWidth="1"/>
    <col min="1677" max="1677" width="34.42578125" bestFit="1" customWidth="1"/>
    <col min="1678" max="1678" width="26.42578125" bestFit="1" customWidth="1"/>
    <col min="1679" max="1679" width="26.7109375" bestFit="1" customWidth="1"/>
    <col min="1680" max="1680" width="23.42578125" bestFit="1" customWidth="1"/>
    <col min="1681" max="1681" width="26.85546875" bestFit="1" customWidth="1"/>
    <col min="1682" max="1683" width="30" bestFit="1" customWidth="1"/>
    <col min="1684" max="1685" width="24.28515625" bestFit="1" customWidth="1"/>
    <col min="1686" max="1686" width="32.85546875" bestFit="1" customWidth="1"/>
    <col min="1687" max="1687" width="26.5703125" bestFit="1" customWidth="1"/>
    <col min="1688" max="1692" width="28.140625" bestFit="1" customWidth="1"/>
    <col min="1693" max="1695" width="24.28515625" bestFit="1" customWidth="1"/>
    <col min="1696" max="1696" width="28.7109375" bestFit="1" customWidth="1"/>
    <col min="1697" max="1697" width="30.42578125" bestFit="1" customWidth="1"/>
    <col min="1698" max="1698" width="26.7109375" bestFit="1" customWidth="1"/>
    <col min="1699" max="1699" width="36.28515625" bestFit="1" customWidth="1"/>
    <col min="1700" max="1700" width="24.28515625" bestFit="1" customWidth="1"/>
    <col min="1701" max="1701" width="30" bestFit="1" customWidth="1"/>
    <col min="1702" max="1702" width="56" bestFit="1" customWidth="1"/>
    <col min="1703" max="1703" width="30.85546875" bestFit="1" customWidth="1"/>
    <col min="1704" max="1704" width="18.85546875" bestFit="1" customWidth="1"/>
    <col min="1705" max="1705" width="22.5703125" bestFit="1" customWidth="1"/>
    <col min="1706" max="1706" width="24.7109375" bestFit="1" customWidth="1"/>
    <col min="1707" max="1707" width="33" bestFit="1" customWidth="1"/>
    <col min="1708" max="1708" width="37" bestFit="1" customWidth="1"/>
    <col min="1709" max="1709" width="19.42578125" bestFit="1" customWidth="1"/>
    <col min="1710" max="1710" width="22.7109375" bestFit="1" customWidth="1"/>
    <col min="1711" max="1711" width="29.140625" bestFit="1" customWidth="1"/>
    <col min="1712" max="1712" width="28" bestFit="1" customWidth="1"/>
    <col min="1713" max="1713" width="38.7109375" bestFit="1" customWidth="1"/>
    <col min="1714" max="1714" width="24" bestFit="1" customWidth="1"/>
    <col min="1715" max="1715" width="23" bestFit="1" customWidth="1"/>
    <col min="1716" max="1716" width="25.28515625" bestFit="1" customWidth="1"/>
    <col min="1717" max="1717" width="28.85546875" bestFit="1" customWidth="1"/>
    <col min="1718" max="1718" width="26.85546875" bestFit="1" customWidth="1"/>
    <col min="1719" max="1719" width="30.42578125" bestFit="1" customWidth="1"/>
    <col min="1720" max="1720" width="34.42578125" bestFit="1" customWidth="1"/>
    <col min="1721" max="1721" width="21" bestFit="1" customWidth="1"/>
    <col min="1722" max="1722" width="24.7109375" bestFit="1" customWidth="1"/>
    <col min="1723" max="1723" width="32.28515625" bestFit="1" customWidth="1"/>
    <col min="1724" max="1724" width="37.85546875" bestFit="1" customWidth="1"/>
    <col min="1725" max="1725" width="25.42578125" bestFit="1" customWidth="1"/>
    <col min="1726" max="1726" width="22.42578125" bestFit="1" customWidth="1"/>
    <col min="1727" max="1727" width="28.5703125" bestFit="1" customWidth="1"/>
    <col min="1728" max="1728" width="16.5703125" bestFit="1" customWidth="1"/>
    <col min="1729" max="1729" width="13.5703125" bestFit="1" customWidth="1"/>
    <col min="1730" max="1730" width="27.5703125" bestFit="1" customWidth="1"/>
    <col min="1731" max="1731" width="28" bestFit="1" customWidth="1"/>
    <col min="1732" max="1732" width="40.5703125" bestFit="1" customWidth="1"/>
    <col min="1733" max="1733" width="30.85546875" bestFit="1" customWidth="1"/>
    <col min="1734" max="1734" width="29.5703125" bestFit="1" customWidth="1"/>
    <col min="1735" max="1735" width="33.570312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7109375" bestFit="1" customWidth="1"/>
    <col min="1740" max="1740" width="30.5703125" bestFit="1" customWidth="1"/>
    <col min="1741" max="1741" width="28.28515625" bestFit="1" customWidth="1"/>
    <col min="1742" max="1742" width="21.42578125" bestFit="1" customWidth="1"/>
    <col min="1743" max="1743" width="26.85546875" bestFit="1" customWidth="1"/>
    <col min="1744" max="1744" width="23.85546875" bestFit="1" customWidth="1"/>
    <col min="1745" max="1745" width="30.85546875" bestFit="1" customWidth="1"/>
    <col min="1746" max="1746" width="36.85546875" bestFit="1" customWidth="1"/>
    <col min="1747" max="1747" width="28.28515625" bestFit="1" customWidth="1"/>
    <col min="1748" max="1748" width="25.28515625" bestFit="1" customWidth="1"/>
    <col min="1749" max="1749" width="24.42578125" bestFit="1" customWidth="1"/>
    <col min="1750" max="1750" width="34.42578125" bestFit="1" customWidth="1"/>
    <col min="1751" max="1751" width="26.42578125" bestFit="1" customWidth="1"/>
    <col min="1752" max="1752" width="26.7109375" bestFit="1" customWidth="1"/>
    <col min="1753" max="1753" width="23.42578125" bestFit="1" customWidth="1"/>
    <col min="1754" max="1754" width="26.85546875" bestFit="1" customWidth="1"/>
    <col min="1755" max="1756" width="30" bestFit="1" customWidth="1"/>
    <col min="1757" max="1758" width="24.28515625" bestFit="1" customWidth="1"/>
    <col min="1759" max="1759" width="32.85546875" bestFit="1" customWidth="1"/>
    <col min="1760" max="1760" width="26.5703125" bestFit="1" customWidth="1"/>
    <col min="1761" max="1765" width="28.140625" bestFit="1" customWidth="1"/>
    <col min="1766" max="1768" width="24.28515625" bestFit="1" customWidth="1"/>
    <col min="1769" max="1769" width="28.7109375" bestFit="1" customWidth="1"/>
    <col min="1770" max="1770" width="30.42578125" bestFit="1" customWidth="1"/>
    <col min="1771" max="1771" width="26.7109375" bestFit="1" customWidth="1"/>
    <col min="1772" max="1772" width="36.28515625" bestFit="1" customWidth="1"/>
    <col min="1773" max="1773" width="24.28515625" bestFit="1" customWidth="1"/>
    <col min="1774" max="1774" width="30" bestFit="1" customWidth="1"/>
    <col min="1775" max="1775" width="56" bestFit="1" customWidth="1"/>
    <col min="1776" max="1776" width="30.85546875" bestFit="1" customWidth="1"/>
    <col min="1777" max="1777" width="18.85546875" bestFit="1" customWidth="1"/>
    <col min="1778" max="1778" width="22.5703125" bestFit="1" customWidth="1"/>
    <col min="1779" max="1779" width="24.7109375" bestFit="1" customWidth="1"/>
    <col min="1780" max="1780" width="33" bestFit="1" customWidth="1"/>
    <col min="1781" max="1781" width="37" bestFit="1" customWidth="1"/>
    <col min="1782" max="1782" width="19.42578125" bestFit="1" customWidth="1"/>
    <col min="1783" max="1783" width="22.7109375" bestFit="1" customWidth="1"/>
    <col min="1784" max="1784" width="29.140625" bestFit="1" customWidth="1"/>
    <col min="1785" max="1785" width="28" bestFit="1" customWidth="1"/>
    <col min="1786" max="1786" width="38.7109375" bestFit="1" customWidth="1"/>
    <col min="1787" max="1787" width="24" bestFit="1" customWidth="1"/>
    <col min="1788" max="1788" width="23" bestFit="1" customWidth="1"/>
    <col min="1789" max="1789" width="25.28515625" bestFit="1" customWidth="1"/>
    <col min="1790" max="1790" width="28.85546875" bestFit="1" customWidth="1"/>
    <col min="1791" max="1791" width="26.85546875" bestFit="1" customWidth="1"/>
    <col min="1792" max="1792" width="30.42578125" bestFit="1" customWidth="1"/>
    <col min="1793" max="1793" width="34.42578125" bestFit="1" customWidth="1"/>
    <col min="1794" max="1794" width="21" bestFit="1" customWidth="1"/>
    <col min="1795" max="1795" width="24.7109375" bestFit="1" customWidth="1"/>
    <col min="1796" max="1796" width="32.28515625" bestFit="1" customWidth="1"/>
    <col min="1797" max="1797" width="37.85546875" bestFit="1" customWidth="1"/>
    <col min="1798" max="1798" width="25.42578125" bestFit="1" customWidth="1"/>
    <col min="1799" max="1799" width="22.42578125" bestFit="1" customWidth="1"/>
    <col min="1800" max="1800" width="28.5703125" bestFit="1" customWidth="1"/>
    <col min="1801" max="1801" width="16.5703125" bestFit="1" customWidth="1"/>
    <col min="1802" max="1802" width="14" bestFit="1" customWidth="1"/>
    <col min="1803" max="1803" width="28" bestFit="1" customWidth="1"/>
    <col min="1804" max="1804" width="28.28515625" bestFit="1" customWidth="1"/>
    <col min="1805" max="1805" width="41" bestFit="1" customWidth="1"/>
    <col min="1806" max="1806" width="31.28515625" bestFit="1" customWidth="1"/>
    <col min="1807" max="1807" width="30" bestFit="1" customWidth="1"/>
    <col min="1808" max="1808" width="34" bestFit="1" customWidth="1"/>
    <col min="1809" max="1809" width="31.42578125" bestFit="1" customWidth="1"/>
    <col min="1810" max="1810" width="33.42578125" bestFit="1" customWidth="1"/>
    <col min="1811" max="1811" width="32.28515625" bestFit="1" customWidth="1"/>
    <col min="1812" max="1812" width="26.140625" bestFit="1" customWidth="1"/>
    <col min="1813" max="1813" width="31" bestFit="1" customWidth="1"/>
    <col min="1814" max="1814" width="28.7109375" bestFit="1" customWidth="1"/>
    <col min="1815" max="1815" width="21.85546875" bestFit="1" customWidth="1"/>
    <col min="1816" max="1816" width="27.28515625" bestFit="1" customWidth="1"/>
    <col min="1817" max="1817" width="24.140625" bestFit="1" customWidth="1"/>
    <col min="1818" max="1818" width="31.28515625" bestFit="1" customWidth="1"/>
    <col min="1819" max="1819" width="37.28515625" bestFit="1" customWidth="1"/>
    <col min="1820" max="1820" width="28.7109375" bestFit="1" customWidth="1"/>
    <col min="1821" max="1821" width="25.7109375" bestFit="1" customWidth="1"/>
    <col min="1822" max="1822" width="24.85546875" bestFit="1" customWidth="1"/>
    <col min="1823" max="1823" width="34.85546875" bestFit="1" customWidth="1"/>
    <col min="1824" max="1824" width="26.85546875" bestFit="1" customWidth="1"/>
    <col min="1825" max="1825" width="27.140625" bestFit="1" customWidth="1"/>
    <col min="1826" max="1826" width="23.85546875" bestFit="1" customWidth="1"/>
    <col min="1827" max="1827" width="27.28515625" bestFit="1" customWidth="1"/>
    <col min="1828" max="1829" width="30.28515625" bestFit="1" customWidth="1"/>
    <col min="1830" max="1831" width="24.7109375" bestFit="1" customWidth="1"/>
    <col min="1832" max="1832" width="33.28515625" bestFit="1" customWidth="1"/>
    <col min="1833" max="1833" width="27" bestFit="1" customWidth="1"/>
    <col min="1834" max="1838" width="28.5703125" bestFit="1" customWidth="1"/>
    <col min="1839" max="1841" width="24.7109375" bestFit="1" customWidth="1"/>
    <col min="1842" max="1842" width="29.140625" bestFit="1" customWidth="1"/>
    <col min="1843" max="1843" width="30.85546875" bestFit="1" customWidth="1"/>
    <col min="1844" max="1844" width="27.140625" bestFit="1" customWidth="1"/>
    <col min="1845" max="1845" width="36.7109375" bestFit="1" customWidth="1"/>
    <col min="1846" max="1846" width="24.7109375" bestFit="1" customWidth="1"/>
    <col min="1847" max="1847" width="30.28515625" bestFit="1" customWidth="1"/>
    <col min="1848" max="1848" width="56.28515625" bestFit="1" customWidth="1"/>
    <col min="1849" max="1849" width="31.28515625" bestFit="1" customWidth="1"/>
    <col min="1850" max="1850" width="19.28515625" bestFit="1" customWidth="1"/>
    <col min="1851" max="1851" width="23" bestFit="1" customWidth="1"/>
    <col min="1852" max="1852" width="25.140625" bestFit="1" customWidth="1"/>
    <col min="1853" max="1853" width="33.42578125" bestFit="1" customWidth="1"/>
    <col min="1854" max="1854" width="37.42578125" bestFit="1" customWidth="1"/>
    <col min="1855" max="1855" width="19.85546875" bestFit="1" customWidth="1"/>
    <col min="1856" max="1856" width="23.140625" bestFit="1" customWidth="1"/>
    <col min="1857" max="1857" width="29.5703125" bestFit="1" customWidth="1"/>
    <col min="1858" max="1858" width="28.28515625" bestFit="1" customWidth="1"/>
    <col min="1859" max="1859" width="39.140625" bestFit="1" customWidth="1"/>
    <col min="1860" max="1860" width="24.28515625" bestFit="1" customWidth="1"/>
    <col min="1861" max="1861" width="23.42578125" bestFit="1" customWidth="1"/>
    <col min="1862" max="1862" width="25.7109375" bestFit="1" customWidth="1"/>
    <col min="1863" max="1863" width="29.28515625" bestFit="1" customWidth="1"/>
    <col min="1864" max="1864" width="27.28515625" bestFit="1" customWidth="1"/>
    <col min="1865" max="1865" width="30.85546875" bestFit="1" customWidth="1"/>
    <col min="1866" max="1866" width="34.85546875" bestFit="1" customWidth="1"/>
    <col min="1867" max="1867" width="21.42578125" bestFit="1" customWidth="1"/>
    <col min="1868" max="1868" width="25.140625" bestFit="1" customWidth="1"/>
    <col min="1869" max="1869" width="32.7109375" bestFit="1" customWidth="1"/>
    <col min="1870" max="1870" width="38.140625" bestFit="1" customWidth="1"/>
    <col min="1871" max="1871" width="25.85546875" bestFit="1" customWidth="1"/>
    <col min="1872" max="1872" width="22.85546875" bestFit="1" customWidth="1"/>
    <col min="1873" max="1873" width="29" bestFit="1" customWidth="1"/>
    <col min="1874" max="1874" width="17" bestFit="1" customWidth="1"/>
    <col min="1875" max="1875" width="10.7109375" bestFit="1" customWidth="1"/>
    <col min="1876" max="1878" width="14.28515625" bestFit="1" customWidth="1"/>
    <col min="1879" max="1881" width="13.85546875" bestFit="1" customWidth="1"/>
    <col min="1882" max="1884" width="16.28515625" bestFit="1" customWidth="1"/>
    <col min="1885" max="1887" width="20" bestFit="1" customWidth="1"/>
    <col min="1888" max="1890" width="18.5703125" bestFit="1" customWidth="1"/>
    <col min="1891" max="1893" width="28.85546875" bestFit="1" customWidth="1"/>
    <col min="1894" max="1897" width="33.42578125" customWidth="1"/>
    <col min="1898" max="1900" width="31" bestFit="1" customWidth="1"/>
    <col min="1901" max="1901" width="39.7109375" bestFit="1" customWidth="1"/>
    <col min="1902" max="1902" width="31" bestFit="1" customWidth="1"/>
    <col min="1903" max="1903" width="24.42578125" bestFit="1" customWidth="1"/>
    <col min="1904" max="1904" width="32.42578125" bestFit="1" customWidth="1"/>
    <col min="1905" max="1905" width="32.85546875" bestFit="1" customWidth="1"/>
    <col min="1906" max="1906" width="32" bestFit="1" customWidth="1"/>
    <col min="1907" max="1907" width="38.7109375" bestFit="1" customWidth="1"/>
    <col min="1908" max="1908" width="20.42578125" bestFit="1" customWidth="1"/>
    <col min="1909" max="1909" width="21.5703125" bestFit="1" customWidth="1"/>
    <col min="1910" max="1910" width="18.85546875" bestFit="1" customWidth="1"/>
    <col min="1911" max="1911" width="20.5703125" bestFit="1" customWidth="1"/>
    <col min="1912" max="1912" width="19.42578125" bestFit="1" customWidth="1"/>
    <col min="1913" max="1913" width="17.85546875" bestFit="1" customWidth="1"/>
    <col min="1914" max="1914" width="24.5703125" bestFit="1" customWidth="1"/>
    <col min="1915" max="1915" width="21.5703125" bestFit="1" customWidth="1"/>
    <col min="1916" max="1916" width="18.5703125" bestFit="1" customWidth="1"/>
    <col min="1917" max="1917" width="38.140625" bestFit="1" customWidth="1"/>
    <col min="1918" max="1918" width="36.5703125" bestFit="1" customWidth="1"/>
    <col min="1919" max="1919" width="35.5703125" bestFit="1" customWidth="1"/>
    <col min="1920" max="1920" width="27" bestFit="1" customWidth="1"/>
    <col min="1921" max="1921" width="42.42578125" bestFit="1" customWidth="1"/>
    <col min="1922" max="1922" width="16.140625" bestFit="1" customWidth="1"/>
    <col min="1923" max="1923" width="32.140625" bestFit="1" customWidth="1"/>
    <col min="1924" max="1926" width="13.5703125" bestFit="1" customWidth="1"/>
    <col min="1927" max="1929" width="14.140625" bestFit="1" customWidth="1"/>
    <col min="1930" max="1932" width="13.7109375" bestFit="1" customWidth="1"/>
    <col min="1933" max="1935" width="16.140625" bestFit="1" customWidth="1"/>
    <col min="1936" max="1938" width="19.85546875" bestFit="1" customWidth="1"/>
    <col min="1939" max="1941" width="18.42578125" bestFit="1" customWidth="1"/>
    <col min="1942" max="1944" width="28.7109375" bestFit="1" customWidth="1"/>
    <col min="1945" max="1948" width="33.28515625" bestFit="1" customWidth="1"/>
    <col min="1949" max="1951" width="30.85546875" bestFit="1" customWidth="1"/>
    <col min="1952" max="1952" width="39.5703125" bestFit="1" customWidth="1"/>
    <col min="1953" max="1953" width="31" bestFit="1" customWidth="1"/>
    <col min="1954" max="1954" width="24.28515625" bestFit="1" customWidth="1"/>
    <col min="1955" max="1955" width="32.28515625" bestFit="1" customWidth="1"/>
    <col min="1956" max="1956" width="32.7109375" bestFit="1" customWidth="1"/>
    <col min="1957" max="1957" width="32" bestFit="1" customWidth="1"/>
    <col min="1958" max="1958" width="38.5703125" bestFit="1" customWidth="1"/>
    <col min="1959" max="1959" width="20.28515625" bestFit="1" customWidth="1"/>
    <col min="1960" max="1960" width="21.42578125" bestFit="1" customWidth="1"/>
    <col min="1961" max="1961" width="18.7109375" bestFit="1" customWidth="1"/>
    <col min="1962" max="1962" width="20.42578125" bestFit="1" customWidth="1"/>
    <col min="1963" max="1963" width="19.28515625" bestFit="1" customWidth="1"/>
    <col min="1964" max="1964" width="17.7109375" bestFit="1" customWidth="1"/>
    <col min="1965" max="1965" width="24.42578125" bestFit="1" customWidth="1"/>
    <col min="1966" max="1966" width="21.42578125" bestFit="1" customWidth="1"/>
    <col min="1967" max="1967" width="18.42578125" bestFit="1" customWidth="1"/>
    <col min="1968" max="1968" width="38" bestFit="1" customWidth="1"/>
    <col min="1969" max="1969" width="36.42578125" bestFit="1" customWidth="1"/>
    <col min="1970" max="1970" width="35.42578125" bestFit="1" customWidth="1"/>
    <col min="1971" max="1971" width="26.85546875" bestFit="1" customWidth="1"/>
    <col min="1972" max="1972" width="42.28515625" bestFit="1" customWidth="1"/>
    <col min="1973" max="1973" width="16" bestFit="1" customWidth="1"/>
    <col min="1974" max="1974" width="32.5703125" bestFit="1" customWidth="1"/>
    <col min="1975" max="1977" width="14" bestFit="1" customWidth="1"/>
    <col min="1978" max="1980" width="14.5703125" bestFit="1" customWidth="1"/>
    <col min="1981" max="1983" width="14.140625" bestFit="1" customWidth="1"/>
    <col min="1984" max="1986" width="16.5703125" bestFit="1" customWidth="1"/>
    <col min="1987" max="1989" width="20.28515625" bestFit="1" customWidth="1"/>
    <col min="1990" max="1992" width="18.85546875" bestFit="1" customWidth="1"/>
    <col min="1993" max="1995" width="29.140625" bestFit="1" customWidth="1"/>
    <col min="1996" max="1999" width="33.85546875" bestFit="1" customWidth="1"/>
    <col min="2000" max="2002" width="31.42578125" bestFit="1" customWidth="1"/>
    <col min="2003" max="2003" width="40" bestFit="1" customWidth="1"/>
    <col min="2004" max="2004" width="31.42578125" bestFit="1" customWidth="1"/>
    <col min="2005" max="2005" width="24.7109375" bestFit="1" customWidth="1"/>
    <col min="2006" max="2006" width="32.85546875" bestFit="1" customWidth="1"/>
    <col min="2007" max="2007" width="33.140625" bestFit="1" customWidth="1"/>
    <col min="2008" max="2008" width="32.42578125" bestFit="1" customWidth="1"/>
    <col min="2009" max="2009" width="39" bestFit="1" customWidth="1"/>
    <col min="2010" max="2010" width="20.7109375" bestFit="1" customWidth="1"/>
    <col min="2011" max="2011" width="21.85546875" bestFit="1" customWidth="1"/>
    <col min="2012" max="2012" width="19.140625" bestFit="1" customWidth="1"/>
    <col min="2013" max="2013" width="21" bestFit="1" customWidth="1"/>
    <col min="2014" max="2014" width="19.85546875" bestFit="1" customWidth="1"/>
    <col min="2015" max="2015" width="18.140625" bestFit="1" customWidth="1"/>
    <col min="2016" max="2016" width="24.85546875" bestFit="1" customWidth="1"/>
    <col min="2017" max="2017" width="22" bestFit="1" customWidth="1"/>
    <col min="2018" max="2018" width="18.85546875" bestFit="1" customWidth="1"/>
    <col min="2019" max="2019" width="38.42578125" bestFit="1" customWidth="1"/>
    <col min="2020" max="2020" width="36.85546875" bestFit="1" customWidth="1"/>
    <col min="2021" max="2021" width="35.85546875" bestFit="1" customWidth="1"/>
    <col min="2022" max="2022" width="27.28515625" bestFit="1" customWidth="1"/>
    <col min="2023" max="2023" width="42.7109375" bestFit="1" customWidth="1"/>
    <col min="2024" max="2024" width="16.42578125" bestFit="1" customWidth="1"/>
    <col min="2025" max="2025" width="10.7109375" bestFit="1" customWidth="1"/>
    <col min="2026" max="2026" width="43.42578125" bestFit="1" customWidth="1"/>
    <col min="2027" max="2027" width="14.7109375" bestFit="1" customWidth="1"/>
    <col min="2028" max="2028" width="15.28515625" bestFit="1" customWidth="1"/>
    <col min="2029" max="2029" width="14.85546875" bestFit="1" customWidth="1"/>
    <col min="2030" max="2030" width="17.28515625" bestFit="1" customWidth="1"/>
    <col min="2031" max="2031" width="21" bestFit="1" customWidth="1"/>
    <col min="2032" max="2032" width="19.5703125" bestFit="1" customWidth="1"/>
    <col min="2033" max="2033" width="29.85546875" bestFit="1" customWidth="1"/>
    <col min="2034" max="2034" width="34.42578125" bestFit="1" customWidth="1"/>
    <col min="2035" max="2035" width="32" bestFit="1" customWidth="1"/>
    <col min="2036" max="2036" width="34.85546875" bestFit="1" customWidth="1"/>
    <col min="2037" max="2037" width="14.7109375" bestFit="1" customWidth="1"/>
    <col min="2038" max="2038" width="15.28515625" bestFit="1" customWidth="1"/>
    <col min="2039" max="2039" width="14.85546875" bestFit="1" customWidth="1"/>
    <col min="2040" max="2040" width="17.28515625" bestFit="1" customWidth="1"/>
    <col min="2041" max="2041" width="21" bestFit="1" customWidth="1"/>
    <col min="2042" max="2042" width="19.5703125" bestFit="1" customWidth="1"/>
    <col min="2043" max="2043" width="29.85546875" bestFit="1" customWidth="1"/>
    <col min="2044" max="2044" width="34.42578125" bestFit="1" customWidth="1"/>
    <col min="2045" max="2045" width="32" bestFit="1" customWidth="1"/>
    <col min="2046" max="2046" width="28.140625" bestFit="1" customWidth="1"/>
    <col min="2047" max="2047" width="36.140625" bestFit="1" customWidth="1"/>
    <col min="2048" max="2048" width="36.5703125" bestFit="1" customWidth="1"/>
    <col min="2049" max="2049" width="34.42578125" bestFit="1" customWidth="1"/>
    <col min="2050" max="2050" width="35.85546875" bestFit="1" customWidth="1"/>
    <col min="2051" max="2051" width="42.42578125" bestFit="1" customWidth="1"/>
    <col min="2052" max="2052" width="24.140625" bestFit="1" customWidth="1"/>
    <col min="2053" max="2053" width="25.28515625" bestFit="1" customWidth="1"/>
    <col min="2054" max="2054" width="22.5703125" bestFit="1" customWidth="1"/>
    <col min="2055" max="2055" width="24.28515625" bestFit="1" customWidth="1"/>
    <col min="2056" max="2056" width="23.140625" bestFit="1" customWidth="1"/>
    <col min="2057" max="2057" width="21.5703125" bestFit="1" customWidth="1"/>
    <col min="2058" max="2058" width="28.28515625" bestFit="1" customWidth="1"/>
    <col min="2059" max="2059" width="25.28515625" bestFit="1" customWidth="1"/>
    <col min="2060" max="2060" width="22.28515625" bestFit="1" customWidth="1"/>
    <col min="2061" max="2061" width="41.85546875" bestFit="1" customWidth="1"/>
    <col min="2062" max="2062" width="40.28515625" bestFit="1" customWidth="1"/>
    <col min="2063" max="2063" width="39.140625" bestFit="1" customWidth="1"/>
    <col min="2064" max="2064" width="30.7109375" bestFit="1" customWidth="1"/>
    <col min="2065" max="2065" width="46.140625" bestFit="1" customWidth="1"/>
    <col min="2066" max="2066" width="16.140625" customWidth="1"/>
    <col min="2067" max="2067" width="34.85546875" bestFit="1" customWidth="1"/>
    <col min="2068" max="2068" width="13.5703125" bestFit="1" customWidth="1"/>
    <col min="2069" max="2069" width="14.140625" bestFit="1" customWidth="1"/>
    <col min="2070" max="2070" width="13.7109375" bestFit="1" customWidth="1"/>
    <col min="2071" max="2071" width="16.140625" customWidth="1"/>
    <col min="2072" max="2072" width="19.85546875" bestFit="1" customWidth="1"/>
    <col min="2073" max="2073" width="18.42578125" bestFit="1" customWidth="1"/>
    <col min="2074" max="2074" width="28.7109375" bestFit="1" customWidth="1"/>
    <col min="2075" max="2075" width="33.28515625" bestFit="1" customWidth="1"/>
    <col min="2076" max="2076" width="32" bestFit="1" customWidth="1"/>
    <col min="2077" max="2077" width="43.28515625" bestFit="1" customWidth="1"/>
    <col min="2078" max="2078" width="14.5703125" bestFit="1" customWidth="1"/>
    <col min="2079" max="2079" width="15.140625" bestFit="1" customWidth="1"/>
    <col min="2080" max="2080" width="14.7109375" bestFit="1" customWidth="1"/>
    <col min="2081" max="2081" width="17.140625" bestFit="1" customWidth="1"/>
    <col min="2082" max="2082" width="20.85546875" bestFit="1" customWidth="1"/>
    <col min="2083" max="2083" width="19.42578125" bestFit="1" customWidth="1"/>
    <col min="2084" max="2084" width="29.7109375" bestFit="1" customWidth="1"/>
    <col min="2085" max="2085" width="34.28515625" bestFit="1" customWidth="1"/>
    <col min="2086" max="2086" width="32" bestFit="1" customWidth="1"/>
    <col min="2087" max="2087" width="34.7109375" bestFit="1" customWidth="1"/>
    <col min="2088" max="2088" width="14.5703125" bestFit="1" customWidth="1"/>
    <col min="2089" max="2089" width="15.140625" bestFit="1" customWidth="1"/>
    <col min="2090" max="2090" width="14.7109375" bestFit="1" customWidth="1"/>
    <col min="2091" max="2091" width="17.140625" bestFit="1" customWidth="1"/>
    <col min="2092" max="2092" width="20.85546875" bestFit="1" customWidth="1"/>
    <col min="2093" max="2093" width="19.42578125" bestFit="1" customWidth="1"/>
    <col min="2094" max="2094" width="29.7109375" bestFit="1" customWidth="1"/>
    <col min="2095" max="2095" width="34.285156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42578125" bestFit="1" customWidth="1"/>
    <col min="2100" max="2100" width="34.28515625" bestFit="1" customWidth="1"/>
    <col min="2101" max="2101" width="35.7109375" bestFit="1" customWidth="1"/>
    <col min="2102" max="2102" width="42.28515625" bestFit="1" customWidth="1"/>
    <col min="2103" max="2103" width="24" bestFit="1" customWidth="1"/>
    <col min="2104" max="2104" width="25.140625" bestFit="1" customWidth="1"/>
    <col min="2105" max="2105" width="22.42578125" bestFit="1" customWidth="1"/>
    <col min="2106" max="2106" width="24.140625" bestFit="1" customWidth="1"/>
    <col min="2107" max="2107" width="23" bestFit="1" customWidth="1"/>
    <col min="2108" max="2108" width="21.42578125" bestFit="1" customWidth="1"/>
    <col min="2109" max="2109" width="28.140625" bestFit="1" customWidth="1"/>
    <col min="2110" max="2110" width="25.140625" bestFit="1" customWidth="1"/>
    <col min="2111" max="2111" width="22.140625" bestFit="1" customWidth="1"/>
    <col min="2112" max="2112" width="41.7109375" bestFit="1" customWidth="1"/>
    <col min="2113" max="2113" width="40.140625" bestFit="1" customWidth="1"/>
    <col min="2114" max="2114" width="39" bestFit="1" customWidth="1"/>
    <col min="2115" max="2115" width="30.5703125" bestFit="1" customWidth="1"/>
    <col min="2116" max="2116" width="46" bestFit="1" customWidth="1"/>
    <col min="2117" max="2117" width="16" bestFit="1" customWidth="1"/>
    <col min="2118" max="2118" width="35.28515625" bestFit="1" customWidth="1"/>
    <col min="2119" max="2119" width="14" bestFit="1" customWidth="1"/>
    <col min="2120" max="2120" width="14.5703125" bestFit="1" customWidth="1"/>
    <col min="2121" max="2121" width="14.140625" bestFit="1" customWidth="1"/>
    <col min="2122" max="2122" width="16.5703125" bestFit="1" customWidth="1"/>
    <col min="2123" max="2123" width="20.28515625" bestFit="1" customWidth="1"/>
    <col min="2124" max="2124" width="18.85546875" bestFit="1" customWidth="1"/>
    <col min="2125" max="2125" width="29.140625" bestFit="1" customWidth="1"/>
    <col min="2126" max="2126" width="33.85546875" bestFit="1" customWidth="1"/>
    <col min="2127" max="2127" width="32.42578125" bestFit="1" customWidth="1"/>
    <col min="2128" max="2128" width="43.85546875" bestFit="1" customWidth="1"/>
    <col min="2129" max="2129" width="15" bestFit="1" customWidth="1"/>
    <col min="2130" max="2130" width="15.7109375" bestFit="1" customWidth="1"/>
    <col min="2131" max="2131" width="15.140625" bestFit="1" customWidth="1"/>
    <col min="2132" max="2132" width="17.5703125" bestFit="1" customWidth="1"/>
    <col min="2133" max="2133" width="21.28515625" bestFit="1" customWidth="1"/>
    <col min="2134" max="2134" width="20" bestFit="1" customWidth="1"/>
    <col min="2135" max="2135" width="30.140625" bestFit="1" customWidth="1"/>
    <col min="2136" max="2136" width="34.85546875" bestFit="1" customWidth="1"/>
    <col min="2137" max="2137" width="32.42578125" bestFit="1" customWidth="1"/>
    <col min="2138" max="2138" width="35.140625" bestFit="1" customWidth="1"/>
    <col min="2139" max="2139" width="15" bestFit="1" customWidth="1"/>
    <col min="2140" max="2140" width="15.7109375" bestFit="1" customWidth="1"/>
    <col min="2141" max="2141" width="15.140625" bestFit="1" customWidth="1"/>
    <col min="2142" max="2142" width="17.5703125" bestFit="1" customWidth="1"/>
    <col min="2143" max="2143" width="21.28515625" bestFit="1" customWidth="1"/>
    <col min="2144" max="2144" width="20" bestFit="1" customWidth="1"/>
    <col min="2145" max="2145" width="30.140625" bestFit="1" customWidth="1"/>
    <col min="2146" max="2146" width="34.85546875" bestFit="1" customWidth="1"/>
    <col min="2147" max="2147" width="32.42578125" bestFit="1" customWidth="1"/>
    <col min="2148" max="2148" width="28.42578125" bestFit="1" customWidth="1"/>
    <col min="2149" max="2149" width="36.5703125" bestFit="1" customWidth="1"/>
    <col min="2150" max="2150" width="37" bestFit="1" customWidth="1"/>
    <col min="2151" max="2151" width="34.85546875" bestFit="1" customWidth="1"/>
    <col min="2152" max="2152" width="36.140625" bestFit="1" customWidth="1"/>
    <col min="2153" max="2153" width="42.7109375" bestFit="1" customWidth="1"/>
    <col min="2154" max="2154" width="24.42578125" bestFit="1" customWidth="1"/>
    <col min="2155" max="2155" width="25.5703125" bestFit="1" customWidth="1"/>
    <col min="2156" max="2156" width="22.85546875" bestFit="1" customWidth="1"/>
    <col min="2157" max="2157" width="24.7109375" bestFit="1" customWidth="1"/>
    <col min="2158" max="2158" width="23.5703125" bestFit="1" customWidth="1"/>
    <col min="2159" max="2159" width="22" bestFit="1" customWidth="1"/>
    <col min="2160" max="2160" width="28.5703125" bestFit="1" customWidth="1"/>
    <col min="2161" max="2161" width="25.7109375" bestFit="1" customWidth="1"/>
    <col min="2162" max="2162" width="22.5703125" bestFit="1" customWidth="1"/>
    <col min="2163" max="2163" width="42.140625" bestFit="1" customWidth="1"/>
    <col min="2164" max="2164" width="40.5703125" bestFit="1" customWidth="1"/>
    <col min="2165" max="2165" width="39.5703125" bestFit="1" customWidth="1"/>
    <col min="2166" max="2166" width="31" bestFit="1" customWidth="1"/>
    <col min="2167" max="2167" width="46.42578125" bestFit="1" customWidth="1"/>
    <col min="2168" max="2168" width="16.42578125" bestFit="1" customWidth="1"/>
    <col min="2169" max="2169" width="10.140625" bestFit="1" customWidth="1"/>
    <col min="2170" max="2170" width="27.7109375" bestFit="1" customWidth="1"/>
    <col min="2171" max="2171" width="16" bestFit="1" customWidth="1"/>
    <col min="2172" max="2172" width="43.140625" bestFit="1" customWidth="1"/>
    <col min="2173" max="2173" width="28.140625" bestFit="1" customWidth="1"/>
    <col min="2174" max="2174" width="16.42578125" bestFit="1" customWidth="1"/>
    <col min="2175" max="2175" width="11.7109375" bestFit="1" customWidth="1"/>
    <col min="2176" max="2176" width="38.42578125" bestFit="1" customWidth="1"/>
    <col min="2177" max="2177" width="16" bestFit="1" customWidth="1"/>
    <col min="2178" max="2178" width="39.5703125" bestFit="1" customWidth="1"/>
    <col min="2179" max="2179" width="39" bestFit="1" customWidth="1"/>
    <col min="2180" max="2180" width="16.42578125" bestFit="1" customWidth="1"/>
    <col min="2181" max="2181" width="11.7109375" bestFit="1" customWidth="1"/>
    <col min="2182" max="2182" width="33.7109375" bestFit="1" customWidth="1"/>
    <col min="2183" max="2183" width="16.140625" bestFit="1" customWidth="1"/>
    <col min="2184" max="2184" width="39" bestFit="1" customWidth="1"/>
    <col min="2185" max="2185" width="38.42578125" bestFit="1" customWidth="1"/>
    <col min="2186" max="2186" width="23.28515625" bestFit="1" customWidth="1"/>
    <col min="2187" max="2187" width="22.7109375" bestFit="1" customWidth="1"/>
    <col min="2188" max="2188" width="29" bestFit="1" customWidth="1"/>
    <col min="2189" max="2189" width="35.85546875" bestFit="1" customWidth="1"/>
    <col min="2190" max="2190" width="25.5703125" bestFit="1" customWidth="1"/>
    <col min="2191" max="2191" width="32.140625" bestFit="1" customWidth="1"/>
    <col min="2192" max="2192" width="32" bestFit="1" customWidth="1"/>
    <col min="2193" max="2193" width="20.28515625" bestFit="1" customWidth="1"/>
    <col min="2194" max="2194" width="33.5703125" bestFit="1" customWidth="1"/>
    <col min="2195" max="2195" width="16" bestFit="1" customWidth="1"/>
    <col min="2196" max="2196" width="39.5703125" bestFit="1" customWidth="1"/>
    <col min="2197" max="2197" width="39" bestFit="1" customWidth="1"/>
    <col min="2198" max="2198" width="23.7109375" bestFit="1" customWidth="1"/>
    <col min="2199" max="2199" width="23.28515625" bestFit="1" customWidth="1"/>
    <col min="2200" max="2200" width="29.5703125" bestFit="1" customWidth="1"/>
    <col min="2201" max="2201" width="36.28515625" bestFit="1" customWidth="1"/>
    <col min="2202" max="2202" width="26" bestFit="1" customWidth="1"/>
    <col min="2203" max="2203" width="32.7109375" bestFit="1" customWidth="1"/>
    <col min="2204" max="2204" width="32.5703125" bestFit="1" customWidth="1"/>
    <col min="2205" max="2205" width="20.7109375" bestFit="1" customWidth="1"/>
    <col min="2206" max="2206" width="34" bestFit="1" customWidth="1"/>
    <col min="2207" max="2207" width="16.42578125" bestFit="1" customWidth="1"/>
    <col min="2208" max="2209" width="11.7109375" bestFit="1" customWidth="1"/>
    <col min="2210" max="2210" width="16.42578125" customWidth="1"/>
    <col min="2211" max="2211" width="11.7109375" bestFit="1" customWidth="1"/>
    <col min="2212" max="2212" width="19.5703125" bestFit="1" customWidth="1"/>
    <col min="2213" max="2213" width="21.140625" bestFit="1" customWidth="1"/>
    <col min="2214" max="2214" width="17.7109375" bestFit="1" customWidth="1"/>
    <col min="2215" max="2215" width="12.7109375" bestFit="1" customWidth="1"/>
    <col min="2216" max="2216" width="18.42578125" bestFit="1" customWidth="1"/>
    <col min="2217" max="2217" width="23.28515625" bestFit="1" customWidth="1"/>
    <col min="2218" max="2218" width="24.5703125" bestFit="1" customWidth="1"/>
    <col min="2219" max="2219" width="25.28515625" bestFit="1" customWidth="1"/>
    <col min="2220" max="2220" width="28" bestFit="1" customWidth="1"/>
    <col min="2221" max="2221" width="23.85546875" bestFit="1" customWidth="1"/>
    <col min="2222" max="2222" width="19.5703125" bestFit="1" customWidth="1"/>
    <col min="2223" max="2223" width="21.140625" bestFit="1" customWidth="1"/>
    <col min="2224" max="2224" width="17.7109375" bestFit="1" customWidth="1"/>
    <col min="2225" max="2225" width="13.140625" bestFit="1" customWidth="1"/>
    <col min="2226" max="2226" width="18.85546875" bestFit="1" customWidth="1"/>
    <col min="2227" max="2227" width="23.85546875" bestFit="1" customWidth="1"/>
    <col min="2228" max="2228" width="25" bestFit="1" customWidth="1"/>
    <col min="2229" max="2229" width="25.7109375" bestFit="1" customWidth="1"/>
    <col min="2230" max="2230" width="28.42578125" bestFit="1" customWidth="1"/>
    <col min="2231" max="2231" width="24.28515625" bestFit="1" customWidth="1"/>
    <col min="2232" max="2232" width="20" bestFit="1" customWidth="1"/>
    <col min="2233" max="2233" width="21.5703125" bestFit="1" customWidth="1"/>
    <col min="2234" max="2234" width="18.140625" customWidth="1"/>
    <col min="2235" max="2235" width="12" bestFit="1" customWidth="1"/>
    <col min="2236" max="2236" width="21.5703125" bestFit="1" customWidth="1"/>
    <col min="2237" max="2237" width="18.140625" bestFit="1" customWidth="1"/>
    <col min="2238" max="2238" width="18.7109375" bestFit="1" customWidth="1"/>
    <col min="2239" max="2239" width="20.140625" bestFit="1" customWidth="1"/>
    <col min="2240" max="2240" width="17" bestFit="1" customWidth="1"/>
    <col min="2241" max="2241" width="18.7109375" bestFit="1" customWidth="1"/>
    <col min="2242" max="2242" width="20.140625" bestFit="1" customWidth="1"/>
    <col min="2243" max="2243" width="17" bestFit="1" customWidth="1"/>
    <col min="2244" max="2244" width="18.7109375" bestFit="1" customWidth="1"/>
    <col min="2245" max="2245" width="20.140625" bestFit="1" customWidth="1"/>
    <col min="2246" max="2246" width="17" customWidth="1"/>
    <col min="2247" max="2247" width="19.28515625" bestFit="1" customWidth="1"/>
    <col min="2248" max="2248" width="21.85546875" bestFit="1" customWidth="1"/>
    <col min="2249" max="2249" width="23" bestFit="1" customWidth="1"/>
    <col min="2250" max="2250" width="12" bestFit="1" customWidth="1"/>
    <col min="2251" max="2251" width="20.28515625" bestFit="1" customWidth="1"/>
    <col min="2252" max="2252" width="16.5703125" customWidth="1"/>
    <col min="2253" max="2253" width="19.7109375" bestFit="1" customWidth="1"/>
    <col min="2254" max="2254" width="22.28515625" bestFit="1" customWidth="1"/>
    <col min="2255" max="2255" width="23.42578125" bestFit="1" customWidth="1"/>
    <col min="2256" max="2256" width="12.42578125" bestFit="1" customWidth="1"/>
    <col min="2257" max="2257" width="20.7109375" bestFit="1" customWidth="1"/>
    <col min="2258" max="2258" width="17" bestFit="1" customWidth="1"/>
    <col min="2259" max="2259" width="13.42578125" bestFit="1" customWidth="1"/>
    <col min="2260" max="2260" width="18.28515625" bestFit="1" customWidth="1"/>
    <col min="2261" max="2261" width="15.85546875" bestFit="1" customWidth="1"/>
    <col min="2262" max="2262" width="21.140625" bestFit="1" customWidth="1"/>
    <col min="2263" max="2263" width="20.28515625" bestFit="1" customWidth="1"/>
    <col min="2264" max="2264" width="16.5703125" bestFit="1" customWidth="1"/>
    <col min="2265" max="2265" width="13.85546875" bestFit="1" customWidth="1"/>
    <col min="2266" max="2266" width="18.7109375" bestFit="1" customWidth="1"/>
    <col min="2267" max="2267" width="16.140625" bestFit="1" customWidth="1"/>
    <col min="2268" max="2268" width="21.5703125" bestFit="1" customWidth="1"/>
    <col min="2269" max="2269" width="20.7109375" bestFit="1" customWidth="1"/>
    <col min="2270" max="2270" width="17" bestFit="1" customWidth="1"/>
    <col min="2271" max="2271" width="20.7109375" bestFit="1" customWidth="1"/>
    <col min="2272" max="2272" width="20" bestFit="1" customWidth="1"/>
    <col min="2273" max="2273" width="16.42578125" customWidth="1"/>
    <col min="2274" max="2274" width="6.42578125" bestFit="1" customWidth="1"/>
    <col min="2275" max="2275" width="10.42578125" bestFit="1" customWidth="1"/>
    <col min="2276" max="2276" width="11" bestFit="1" customWidth="1"/>
    <col min="2277" max="2278" width="11.7109375" customWidth="1"/>
    <col min="2279" max="2279" width="11.7109375" bestFit="1" customWidth="1"/>
    <col min="2280" max="2280" width="22.42578125" bestFit="1" customWidth="1"/>
    <col min="2281" max="2282" width="11.7109375" bestFit="1" customWidth="1"/>
    <col min="2283" max="2283" width="12.5703125" bestFit="1" customWidth="1"/>
    <col min="2284" max="2286" width="11.7109375" bestFit="1" customWidth="1"/>
    <col min="2287" max="2287" width="19.42578125" bestFit="1" customWidth="1"/>
    <col min="2288" max="2288" width="12.140625" bestFit="1" customWidth="1"/>
    <col min="2289" max="2289" width="11.7109375" bestFit="1" customWidth="1"/>
    <col min="2290" max="2290" width="25.7109375" bestFit="1" customWidth="1"/>
    <col min="2291" max="2292" width="11.7109375" bestFit="1" customWidth="1"/>
    <col min="2293" max="2293" width="25.7109375" customWidth="1"/>
    <col min="2294" max="2294" width="19.5703125" bestFit="1" customWidth="1"/>
    <col min="2295" max="2295" width="22.7109375" bestFit="1" customWidth="1"/>
    <col min="2296" max="2296" width="18.85546875" bestFit="1" customWidth="1"/>
    <col min="2297" max="2297" width="11.7109375" bestFit="1" customWidth="1"/>
    <col min="2298" max="2298" width="25.7109375" customWidth="1"/>
    <col min="2299" max="2299" width="18.85546875" bestFit="1" customWidth="1"/>
    <col min="2300" max="2300" width="11.7109375" bestFit="1" customWidth="1"/>
    <col min="2301" max="2301" width="25.7109375" bestFit="1" customWidth="1"/>
  </cols>
  <sheetData>
    <row r="1" spans="1:11" x14ac:dyDescent="0.25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 x14ac:dyDescent="0.25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>
      <selection activeCell="G15" sqref="G15"/>
    </sheetView>
  </sheetViews>
  <sheetFormatPr defaultRowHeight="15" x14ac:dyDescent="0.25"/>
  <cols>
    <col min="1" max="1" width="17.85546875" bestFit="1" customWidth="1"/>
    <col min="2" max="2" width="11" bestFit="1" customWidth="1"/>
  </cols>
  <sheetData>
    <row r="1" spans="1:2" x14ac:dyDescent="0.25">
      <c r="A1" t="s">
        <v>61</v>
      </c>
      <c r="B1" t="s">
        <v>10</v>
      </c>
    </row>
    <row r="2" spans="1:2" x14ac:dyDescent="0.25">
      <c r="A2" t="s">
        <v>15</v>
      </c>
      <c r="B2" t="s">
        <v>247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 t="b">
        <v>1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154</v>
      </c>
      <c r="B6">
        <v>2026</v>
      </c>
    </row>
    <row r="7" spans="1:2" x14ac:dyDescent="0.25">
      <c r="A7" t="s">
        <v>22</v>
      </c>
      <c r="B7">
        <v>33.746748802190282</v>
      </c>
    </row>
    <row r="8" spans="1:2" x14ac:dyDescent="0.25">
      <c r="A8" t="s">
        <v>168</v>
      </c>
      <c r="B8">
        <v>46037</v>
      </c>
    </row>
    <row r="9" spans="1:2" x14ac:dyDescent="0.25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topLeftCell="H1" workbookViewId="0">
      <selection activeCell="J26" sqref="J26"/>
    </sheetView>
  </sheetViews>
  <sheetFormatPr defaultRowHeight="15" x14ac:dyDescent="0.25"/>
  <cols>
    <col min="1" max="1" width="20.140625" customWidth="1"/>
  </cols>
  <sheetData>
    <row r="14" spans="15:15" x14ac:dyDescent="0.25">
      <c r="O14">
        <f>200*2080</f>
        <v>416000</v>
      </c>
    </row>
    <row r="15" spans="15:15" x14ac:dyDescent="0.25">
      <c r="O15">
        <f>2080*50</f>
        <v>104000</v>
      </c>
    </row>
    <row r="16" spans="15:15" x14ac:dyDescent="0.25">
      <c r="O16">
        <f>O14-O15</f>
        <v>312000</v>
      </c>
    </row>
    <row r="17" spans="15:15" x14ac:dyDescent="0.2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/>
  <dimension ref="A1:G32"/>
  <sheetViews>
    <sheetView workbookViewId="0">
      <selection sqref="A1:C31"/>
    </sheetView>
  </sheetViews>
  <sheetFormatPr defaultColWidth="9.140625" defaultRowHeight="15.75" x14ac:dyDescent="0.25"/>
  <cols>
    <col min="1" max="1" width="7.7109375" style="1" bestFit="1" customWidth="1"/>
    <col min="2" max="2" width="18.28515625" style="1" bestFit="1" customWidth="1"/>
    <col min="3" max="3" width="26.5703125" style="1" bestFit="1" customWidth="1"/>
    <col min="4" max="4" width="7.42578125" style="1" bestFit="1" customWidth="1"/>
    <col min="5" max="16384" width="9.140625" style="1"/>
  </cols>
  <sheetData>
    <row r="1" spans="1:7" x14ac:dyDescent="0.25">
      <c r="A1" s="1" t="s">
        <v>2</v>
      </c>
      <c r="B1" s="1" t="s">
        <v>62</v>
      </c>
      <c r="C1" s="1" t="s">
        <v>7</v>
      </c>
    </row>
    <row r="2" spans="1:7" x14ac:dyDescent="0.25">
      <c r="A2" s="1" t="s">
        <v>64</v>
      </c>
      <c r="B2" s="1" t="s">
        <v>63</v>
      </c>
      <c r="C2" s="41" t="s">
        <v>267</v>
      </c>
      <c r="F2" s="20">
        <v>2027</v>
      </c>
      <c r="G2" s="42"/>
    </row>
    <row r="3" spans="1:7" x14ac:dyDescent="0.25">
      <c r="A3" s="1" t="s">
        <v>66</v>
      </c>
      <c r="B3" s="1" t="s">
        <v>65</v>
      </c>
      <c r="C3" s="41" t="s">
        <v>268</v>
      </c>
      <c r="F3" s="1" t="str">
        <f>GetBloombergDailyYieldCurve_cur_1[[#This Row],[Year]]</f>
        <v>2028</v>
      </c>
      <c r="G3" s="42"/>
    </row>
    <row r="4" spans="1:7" x14ac:dyDescent="0.25">
      <c r="A4" s="1" t="s">
        <v>68</v>
      </c>
      <c r="B4" s="1" t="s">
        <v>67</v>
      </c>
      <c r="C4" s="41" t="s">
        <v>269</v>
      </c>
      <c r="F4" s="1" t="str">
        <f>GetBloombergDailyYieldCurve_cur_1[[#This Row],[Year]]</f>
        <v>2029</v>
      </c>
      <c r="G4" s="42"/>
    </row>
    <row r="5" spans="1:7" x14ac:dyDescent="0.25">
      <c r="A5" s="1" t="s">
        <v>70</v>
      </c>
      <c r="B5" s="1" t="s">
        <v>69</v>
      </c>
      <c r="C5" s="41" t="s">
        <v>270</v>
      </c>
      <c r="F5" s="1" t="str">
        <f>GetBloombergDailyYieldCurve_cur_1[[#This Row],[Year]]</f>
        <v>2030</v>
      </c>
      <c r="G5" s="42"/>
    </row>
    <row r="6" spans="1:7" x14ac:dyDescent="0.25">
      <c r="A6" s="1" t="s">
        <v>72</v>
      </c>
      <c r="B6" s="1" t="s">
        <v>71</v>
      </c>
      <c r="C6" s="41" t="s">
        <v>271</v>
      </c>
      <c r="F6" s="1" t="str">
        <f>GetBloombergDailyYieldCurve_cur_1[[#This Row],[Year]]</f>
        <v>2031</v>
      </c>
      <c r="G6" s="42"/>
    </row>
    <row r="7" spans="1:7" x14ac:dyDescent="0.25">
      <c r="A7" s="1" t="s">
        <v>74</v>
      </c>
      <c r="B7" s="1" t="s">
        <v>73</v>
      </c>
      <c r="C7" s="41" t="s">
        <v>272</v>
      </c>
      <c r="F7" s="1" t="str">
        <f>GetBloombergDailyYieldCurve_cur_1[[#This Row],[Year]]</f>
        <v>2032</v>
      </c>
      <c r="G7" s="42"/>
    </row>
    <row r="8" spans="1:7" x14ac:dyDescent="0.25">
      <c r="A8" s="1" t="s">
        <v>76</v>
      </c>
      <c r="B8" s="1" t="s">
        <v>75</v>
      </c>
      <c r="C8" s="41" t="s">
        <v>273</v>
      </c>
      <c r="F8" s="1" t="str">
        <f>GetBloombergDailyYieldCurve_cur_1[[#This Row],[Year]]</f>
        <v>2033</v>
      </c>
      <c r="G8" s="42"/>
    </row>
    <row r="9" spans="1:7" x14ac:dyDescent="0.25">
      <c r="A9" s="1" t="s">
        <v>78</v>
      </c>
      <c r="B9" s="1" t="s">
        <v>77</v>
      </c>
      <c r="C9" s="41" t="s">
        <v>274</v>
      </c>
      <c r="F9" s="1" t="str">
        <f>GetBloombergDailyYieldCurve_cur_1[[#This Row],[Year]]</f>
        <v>2034</v>
      </c>
      <c r="G9" s="42"/>
    </row>
    <row r="10" spans="1:7" x14ac:dyDescent="0.25">
      <c r="A10" s="1" t="s">
        <v>80</v>
      </c>
      <c r="B10" s="1" t="s">
        <v>79</v>
      </c>
      <c r="C10" s="41" t="s">
        <v>275</v>
      </c>
      <c r="F10" s="1" t="str">
        <f>GetBloombergDailyYieldCurve_cur_1[[#This Row],[Year]]</f>
        <v>2035</v>
      </c>
      <c r="G10" s="42"/>
    </row>
    <row r="11" spans="1:7" x14ac:dyDescent="0.25">
      <c r="A11" s="1" t="s">
        <v>82</v>
      </c>
      <c r="B11" s="1" t="s">
        <v>81</v>
      </c>
      <c r="C11" s="41" t="s">
        <v>276</v>
      </c>
      <c r="F11" s="1" t="str">
        <f>GetBloombergDailyYieldCurve_cur_1[[#This Row],[Year]]</f>
        <v>2036</v>
      </c>
      <c r="G11" s="42"/>
    </row>
    <row r="12" spans="1:7" x14ac:dyDescent="0.25">
      <c r="A12" s="1" t="s">
        <v>84</v>
      </c>
      <c r="B12" s="1" t="s">
        <v>83</v>
      </c>
      <c r="C12" s="41" t="s">
        <v>277</v>
      </c>
      <c r="F12" s="1" t="str">
        <f>GetBloombergDailyYieldCurve_cur_1[[#This Row],[Year]]</f>
        <v>2037</v>
      </c>
      <c r="G12" s="42"/>
    </row>
    <row r="13" spans="1:7" x14ac:dyDescent="0.25">
      <c r="A13" s="1" t="s">
        <v>86</v>
      </c>
      <c r="B13" s="1" t="s">
        <v>85</v>
      </c>
      <c r="C13" s="41" t="s">
        <v>278</v>
      </c>
      <c r="F13" s="1" t="str">
        <f>GetBloombergDailyYieldCurve_cur_1[[#This Row],[Year]]</f>
        <v>2038</v>
      </c>
      <c r="G13" s="42"/>
    </row>
    <row r="14" spans="1:7" x14ac:dyDescent="0.25">
      <c r="A14" s="1" t="s">
        <v>88</v>
      </c>
      <c r="B14" s="1" t="s">
        <v>87</v>
      </c>
      <c r="C14" s="41" t="s">
        <v>279</v>
      </c>
      <c r="F14" s="1" t="str">
        <f>GetBloombergDailyYieldCurve_cur_1[[#This Row],[Year]]</f>
        <v>2039</v>
      </c>
      <c r="G14" s="42"/>
    </row>
    <row r="15" spans="1:7" x14ac:dyDescent="0.25">
      <c r="A15" s="1" t="s">
        <v>90</v>
      </c>
      <c r="B15" s="1" t="s">
        <v>89</v>
      </c>
      <c r="C15" s="41" t="s">
        <v>280</v>
      </c>
      <c r="F15" s="1" t="str">
        <f>GetBloombergDailyYieldCurve_cur_1[[#This Row],[Year]]</f>
        <v>2040</v>
      </c>
      <c r="G15" s="42"/>
    </row>
    <row r="16" spans="1:7" x14ac:dyDescent="0.25">
      <c r="A16" s="1" t="s">
        <v>92</v>
      </c>
      <c r="B16" s="1" t="s">
        <v>91</v>
      </c>
      <c r="C16" s="41" t="s">
        <v>281</v>
      </c>
      <c r="F16" s="1" t="str">
        <f>GetBloombergDailyYieldCurve_cur_1[[#This Row],[Year]]</f>
        <v>2041</v>
      </c>
      <c r="G16" s="42"/>
    </row>
    <row r="17" spans="1:7" x14ac:dyDescent="0.25">
      <c r="A17" s="1" t="s">
        <v>94</v>
      </c>
      <c r="B17" s="1" t="s">
        <v>93</v>
      </c>
      <c r="C17" s="41" t="s">
        <v>282</v>
      </c>
      <c r="F17" s="1" t="str">
        <f>GetBloombergDailyYieldCurve_cur_1[[#This Row],[Year]]</f>
        <v>2042</v>
      </c>
      <c r="G17" s="42"/>
    </row>
    <row r="18" spans="1:7" x14ac:dyDescent="0.25">
      <c r="A18" s="1" t="s">
        <v>96</v>
      </c>
      <c r="B18" s="1" t="s">
        <v>95</v>
      </c>
      <c r="C18" s="41" t="s">
        <v>283</v>
      </c>
      <c r="F18" s="1" t="str">
        <f>GetBloombergDailyYieldCurve_cur_1[[#This Row],[Year]]</f>
        <v>2043</v>
      </c>
      <c r="G18" s="42"/>
    </row>
    <row r="19" spans="1:7" x14ac:dyDescent="0.25">
      <c r="A19" s="1" t="s">
        <v>98</v>
      </c>
      <c r="B19" s="1" t="s">
        <v>97</v>
      </c>
      <c r="C19" s="41" t="s">
        <v>284</v>
      </c>
      <c r="F19" s="1" t="str">
        <f>GetBloombergDailyYieldCurve_cur_1[[#This Row],[Year]]</f>
        <v>2044</v>
      </c>
      <c r="G19" s="42"/>
    </row>
    <row r="20" spans="1:7" x14ac:dyDescent="0.25">
      <c r="A20" s="1" t="s">
        <v>100</v>
      </c>
      <c r="B20" s="1" t="s">
        <v>99</v>
      </c>
      <c r="C20" s="41" t="s">
        <v>285</v>
      </c>
      <c r="F20" s="1" t="str">
        <f>GetBloombergDailyYieldCurve_cur_1[[#This Row],[Year]]</f>
        <v>2045</v>
      </c>
      <c r="G20" s="42"/>
    </row>
    <row r="21" spans="1:7" x14ac:dyDescent="0.25">
      <c r="A21" s="1" t="s">
        <v>102</v>
      </c>
      <c r="B21" s="1" t="s">
        <v>101</v>
      </c>
      <c r="C21" s="41" t="s">
        <v>286</v>
      </c>
      <c r="F21" s="1" t="str">
        <f>GetBloombergDailyYieldCurve_cur_1[[#This Row],[Year]]</f>
        <v>2046</v>
      </c>
      <c r="G21" s="42"/>
    </row>
    <row r="22" spans="1:7" x14ac:dyDescent="0.25">
      <c r="A22" s="1" t="s">
        <v>104</v>
      </c>
      <c r="B22" s="1" t="s">
        <v>103</v>
      </c>
      <c r="C22" s="41" t="s">
        <v>287</v>
      </c>
      <c r="F22" s="1" t="str">
        <f>GetBloombergDailyYieldCurve_cur_1[[#This Row],[Year]]</f>
        <v>2047</v>
      </c>
      <c r="G22" s="42"/>
    </row>
    <row r="23" spans="1:7" x14ac:dyDescent="0.25">
      <c r="A23" s="1" t="s">
        <v>106</v>
      </c>
      <c r="B23" s="1" t="s">
        <v>105</v>
      </c>
      <c r="C23" s="41" t="s">
        <v>288</v>
      </c>
      <c r="F23" s="1" t="str">
        <f>GetBloombergDailyYieldCurve_cur_1[[#This Row],[Year]]</f>
        <v>2048</v>
      </c>
      <c r="G23" s="42"/>
    </row>
    <row r="24" spans="1:7" x14ac:dyDescent="0.25">
      <c r="A24" s="1" t="s">
        <v>108</v>
      </c>
      <c r="B24" s="1" t="s">
        <v>107</v>
      </c>
      <c r="C24" s="41" t="s">
        <v>289</v>
      </c>
      <c r="F24" s="1" t="str">
        <f>GetBloombergDailyYieldCurve_cur_1[[#This Row],[Year]]</f>
        <v>2049</v>
      </c>
      <c r="G24" s="42"/>
    </row>
    <row r="25" spans="1:7" x14ac:dyDescent="0.25">
      <c r="A25" s="1" t="s">
        <v>110</v>
      </c>
      <c r="B25" s="1" t="s">
        <v>109</v>
      </c>
      <c r="C25" s="41" t="s">
        <v>290</v>
      </c>
      <c r="F25" s="1" t="str">
        <f>GetBloombergDailyYieldCurve_cur_1[[#This Row],[Year]]</f>
        <v>2050</v>
      </c>
      <c r="G25" s="42"/>
    </row>
    <row r="26" spans="1:7" x14ac:dyDescent="0.25">
      <c r="A26" s="1" t="s">
        <v>112</v>
      </c>
      <c r="B26" s="1" t="s">
        <v>111</v>
      </c>
      <c r="C26" s="41" t="s">
        <v>291</v>
      </c>
      <c r="F26" s="1" t="str">
        <f>GetBloombergDailyYieldCurve_cur_1[[#This Row],[Year]]</f>
        <v>2051</v>
      </c>
      <c r="G26" s="42"/>
    </row>
    <row r="27" spans="1:7" x14ac:dyDescent="0.25">
      <c r="A27" s="1" t="s">
        <v>114</v>
      </c>
      <c r="B27" s="1" t="s">
        <v>113</v>
      </c>
      <c r="C27" s="41" t="s">
        <v>292</v>
      </c>
      <c r="F27" s="1" t="str">
        <f>GetBloombergDailyYieldCurve_cur_1[[#This Row],[Year]]</f>
        <v>2052</v>
      </c>
      <c r="G27" s="42"/>
    </row>
    <row r="28" spans="1:7" x14ac:dyDescent="0.25">
      <c r="A28" s="1" t="s">
        <v>116</v>
      </c>
      <c r="B28" s="1" t="s">
        <v>115</v>
      </c>
      <c r="C28" s="41" t="s">
        <v>293</v>
      </c>
      <c r="F28" s="1" t="str">
        <f>GetBloombergDailyYieldCurve_cur_1[[#This Row],[Year]]</f>
        <v>2053</v>
      </c>
      <c r="G28" s="42"/>
    </row>
    <row r="29" spans="1:7" x14ac:dyDescent="0.25">
      <c r="A29" s="1" t="s">
        <v>118</v>
      </c>
      <c r="B29" s="1" t="s">
        <v>117</v>
      </c>
      <c r="C29" s="41" t="s">
        <v>294</v>
      </c>
      <c r="F29" s="1" t="str">
        <f>GetBloombergDailyYieldCurve_cur_1[[#This Row],[Year]]</f>
        <v>2054</v>
      </c>
      <c r="G29" s="42"/>
    </row>
    <row r="30" spans="1:7" x14ac:dyDescent="0.25">
      <c r="A30" s="1" t="s">
        <v>120</v>
      </c>
      <c r="B30" s="1" t="s">
        <v>119</v>
      </c>
      <c r="C30" s="41" t="s">
        <v>295</v>
      </c>
      <c r="F30" s="1" t="str">
        <f>GetBloombergDailyYieldCurve_cur_1[[#This Row],[Year]]</f>
        <v>2055</v>
      </c>
      <c r="G30" s="42"/>
    </row>
    <row r="31" spans="1:7" x14ac:dyDescent="0.25">
      <c r="A31" s="1" t="s">
        <v>250</v>
      </c>
      <c r="B31" s="1" t="s">
        <v>121</v>
      </c>
      <c r="C31" s="41" t="s">
        <v>296</v>
      </c>
      <c r="F31" s="1" t="str">
        <f>GetBloombergDailyYieldCurve_cur_1[[#This Row],[Year]]</f>
        <v>2056</v>
      </c>
      <c r="G31" s="42"/>
    </row>
    <row r="32" spans="1:7" x14ac:dyDescent="0.25">
      <c r="F32" s="1" t="s">
        <v>257</v>
      </c>
      <c r="G32" s="42">
        <v>4.7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Christopher Johnson</cp:lastModifiedBy>
  <cp:lastPrinted>2025-09-10T19:07:04Z</cp:lastPrinted>
  <dcterms:created xsi:type="dcterms:W3CDTF">2025-06-06T14:14:52Z</dcterms:created>
  <dcterms:modified xsi:type="dcterms:W3CDTF">2026-04-01T14:12:13Z</dcterms:modified>
</cp:coreProperties>
</file>