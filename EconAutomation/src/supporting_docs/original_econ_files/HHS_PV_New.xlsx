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queryTables/queryTable8.xml" ContentType="application/vnd.openxmlformats-officedocument.spreadsheetml.queryTable+xml"/>
  <Override PartName="/xl/tables/table19.xml" ContentType="application/vnd.openxmlformats-officedocument.spreadsheetml.table+xml"/>
  <Override PartName="/xl/queryTables/queryTable9.xml" ContentType="application/vnd.openxmlformats-officedocument.spreadsheetml.queryTable+xml"/>
  <Override PartName="/xl/tables/table20.xml" ContentType="application/vnd.openxmlformats-officedocument.spreadsheetml.table+xml"/>
  <Override PartName="/xl/queryTables/queryTable10.xml" ContentType="application/vnd.openxmlformats-officedocument.spreadsheetml.queryTable+xml"/>
  <Override PartName="/xl/tables/table21.xml" ContentType="application/vnd.openxmlformats-officedocument.spreadsheetml.table+xml"/>
  <Override PartName="/xl/tables/table2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https://stokes5009-my.sharepoint.com/personal/ldeogracias_stokes-associates_com/Documents/Documents/Econ/0 Data/Household Services/"/>
    </mc:Choice>
  </mc:AlternateContent>
  <xr:revisionPtr revIDLastSave="701" documentId="14_{8E93D8D3-758F-470B-B5D4-33AFFC51999C}" xr6:coauthVersionLast="47" xr6:coauthVersionMax="47" xr10:uidLastSave="{C2D2C87E-6052-4395-AD2A-18F6E8B4C597}"/>
  <bookViews>
    <workbookView xWindow="2360" yWindow="1140" windowWidth="27020" windowHeight="15020" tabRatio="1000" firstSheet="8" activeTab="5" xr2:uid="{00000000-000D-0000-FFFF-FFFF00000000}"/>
  </bookViews>
  <sheets>
    <sheet name="AuditDetail" sheetId="23" r:id="rId1"/>
    <sheet name="HouseholdServices_PV" sheetId="26" r:id="rId2"/>
    <sheet name="LifecycleBuilder" sheetId="21" r:id="rId3"/>
    <sheet name="Helpers" sheetId="20" r:id="rId4"/>
    <sheet name="GeoData" sheetId="22" r:id="rId5"/>
    <sheet name="PV_ByYear" sheetId="29" r:id="rId6"/>
    <sheet name="TechnicalSummary" sheetId="24" r:id="rId7"/>
    <sheet name="Sheet1" sheetId="31" r:id="rId8"/>
    <sheet name="Case Info" sheetId="1" r:id="rId9"/>
    <sheet name="GetBloombergDailyYieldCurve (2)" sheetId="25" r:id="rId10"/>
    <sheet name="DROPS" sheetId="3" r:id="rId11"/>
    <sheet name="DVD_Data" sheetId="4" r:id="rId12"/>
    <sheet name="DVD_TableIndex" sheetId="5" r:id="rId13"/>
    <sheet name="OwnRent_Adj" sheetId="6" r:id="rId14"/>
    <sheet name="GeoAdj" sheetId="7" r:id="rId15"/>
    <sheet name="WLE_Data" sheetId="8" state="hidden" r:id="rId16"/>
    <sheet name="CustomDiscountCurve" sheetId="9" r:id="rId17"/>
    <sheet name="Growth Rates" sheetId="10" r:id="rId18"/>
    <sheet name="_Helpers" sheetId="17" state="hidden" r:id="rId19"/>
    <sheet name="LifeExp_Data" sheetId="18" state="hidden" r:id="rId20"/>
    <sheet name="PV_ByAge" sheetId="30" r:id="rId21"/>
    <sheet name="PVSummary" sheetId="28" r:id="rId22"/>
    <sheet name="DVDSummary" sheetId="27" r:id="rId23"/>
    <sheet name="CategorySelection" sheetId="19" r:id="rId24"/>
    <sheet name="Validation" sheetId="34" r:id="rId25"/>
    <sheet name="CaseInfo_Formula" sheetId="35" r:id="rId26"/>
    <sheet name="PV Methodology" sheetId="38" r:id="rId27"/>
  </sheets>
  <definedNames>
    <definedName name="AreaList">GeoData!$D$2:INDEX(GeoData!$D:$D, COUNTA(GeoData!$D:$D))</definedName>
    <definedName name="ExternalData_1" localSheetId="22" hidden="1">DVDSummary!$A$1:$G$5</definedName>
    <definedName name="ExternalData_1" localSheetId="4" hidden="1">GeoData!$A$1:$C$645</definedName>
    <definedName name="ExternalData_1" localSheetId="9" hidden="1">'GetBloombergDailyYieldCurve (2)'!$A$1:$C$31</definedName>
    <definedName name="ExternalData_1" localSheetId="2" hidden="1">LifecycleBuilder!$A$1:$P$5</definedName>
    <definedName name="ExternalData_1" localSheetId="6" hidden="1">TechnicalSummary!$A$1:$C$44</definedName>
    <definedName name="ExternalData_2" localSheetId="0" hidden="1">AuditDetail!$A$1:$S$5</definedName>
    <definedName name="ExternalData_2" localSheetId="1" hidden="1">HouseholdServices_PV!$A$1:$Y$27</definedName>
    <definedName name="ExternalData_2" localSheetId="5" hidden="1">PV_ByYear!$A$1:$B$20</definedName>
    <definedName name="ExternalData_2" localSheetId="21" hidden="1">PVSummary!$A$1:$G$5</definedName>
    <definedName name="ExternalData_3" localSheetId="20" hidden="1">PV_ByAge!$A$1:$C$19</definedName>
    <definedName name="PV_ByAge_Dynamic">PV_ByAge[#All]</definedName>
    <definedName name="StateList">" =SORT(UNIQUE(GeoAdjustments[State]))"</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 i="30" l="1"/>
  <c r="D8" i="27" l="1"/>
  <c r="I1887" i="4"/>
  <c r="B2" i="35" l="1"/>
  <c r="B3" i="35"/>
  <c r="B4" i="35"/>
  <c r="B5" i="35"/>
  <c r="B28" i="35" s="1"/>
  <c r="B6" i="35"/>
  <c r="B7" i="35"/>
  <c r="B48" i="35" s="1"/>
  <c r="B8" i="35"/>
  <c r="B49" i="35" s="1"/>
  <c r="B9" i="35"/>
  <c r="B10" i="35"/>
  <c r="B11" i="35"/>
  <c r="B12" i="35"/>
  <c r="B13" i="35"/>
  <c r="B14" i="35"/>
  <c r="B15" i="35"/>
  <c r="B16" i="35"/>
  <c r="B17" i="35"/>
  <c r="B18" i="35"/>
  <c r="B19" i="35"/>
  <c r="B20" i="35"/>
  <c r="B21" i="35"/>
  <c r="B22" i="35"/>
  <c r="B23" i="35"/>
  <c r="B24" i="35"/>
  <c r="B25" i="35"/>
  <c r="B45" i="35" l="1"/>
  <c r="B47" i="35"/>
  <c r="B38" i="35"/>
  <c r="B36" i="35"/>
  <c r="B31" i="35"/>
  <c r="B30" i="35"/>
  <c r="B34" i="35" s="1"/>
  <c r="B29" i="35"/>
  <c r="B35" i="35" s="1"/>
  <c r="B43" i="35"/>
  <c r="B37" i="35"/>
  <c r="B46" i="35"/>
  <c r="B41" i="35"/>
  <c r="B39" i="35"/>
  <c r="B33" i="35"/>
  <c r="B42" i="35"/>
  <c r="B44" i="35"/>
  <c r="B40" i="35"/>
  <c r="B32" i="35"/>
  <c r="C26" i="34"/>
  <c r="D23" i="34"/>
  <c r="E23" i="34" s="1"/>
  <c r="C23" i="34"/>
  <c r="D22" i="34"/>
  <c r="E22" i="34" s="1"/>
  <c r="C22" i="34"/>
  <c r="D21" i="34"/>
  <c r="E21" i="34" s="1"/>
  <c r="C21" i="34"/>
  <c r="B21" i="34"/>
  <c r="D13" i="34"/>
  <c r="E13" i="34" s="1"/>
  <c r="D19" i="34"/>
  <c r="E19" i="34" s="1"/>
  <c r="D14" i="34"/>
  <c r="E14" i="34" s="1"/>
  <c r="D12" i="34"/>
  <c r="E12" i="34" s="1"/>
  <c r="D11" i="34"/>
  <c r="E11" i="34" s="1"/>
  <c r="D10" i="34"/>
  <c r="E10" i="34" s="1"/>
  <c r="D9" i="34" a="1"/>
  <c r="D9" i="34" s="1"/>
  <c r="E9" i="34" s="1"/>
  <c r="D8" i="34" a="1"/>
  <c r="D8" i="34" s="1"/>
  <c r="E8" i="34" s="1"/>
  <c r="D7" i="34"/>
  <c r="E7" i="34" s="1"/>
  <c r="D6" i="34"/>
  <c r="E6" i="34" s="1"/>
  <c r="D5" i="34"/>
  <c r="E5" i="34" s="1"/>
  <c r="D4" i="34"/>
  <c r="E4" i="34" s="1"/>
  <c r="G13" i="1"/>
  <c r="D2" i="22" a="1"/>
  <c r="D2" i="22" s="1"/>
  <c r="Z1" i="1" a="1"/>
  <c r="Z1" i="1" s="1"/>
  <c r="B16" i="3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2A0EEB-CDEB-4D4F-988E-366866843455}" keepAlive="1" name="Query - AuditDetail" description="Connection to the 'AuditDetail' query in the workbook." type="5" refreshedVersion="8" background="1" saveData="1">
    <dbPr connection="Provider=Microsoft.Mashup.OleDb.1;Data Source=$Workbook$;Location=AuditDetail;Extended Properties=&quot;&quot;" command="SELECT * FROM [AuditDetail]"/>
  </connection>
  <connection id="2" xr16:uid="{3CA992EA-D2A7-458F-BE0B-819CE5BCE3A6}" keepAlive="1" name="Query - CaseInfo" description="Connection to the 'CaseInfo' query in the workbook." type="5" refreshedVersion="0" background="1" saveData="1">
    <dbPr connection="Provider=Microsoft.Mashup.OleDb.1;Data Source=$Workbook$;Location=CaseInfo;Extended Properties=&quot;&quot;" command="SELECT * FROM [CaseInfo]"/>
  </connection>
  <connection id="3" xr16:uid="{1B1995A0-AA32-48F0-B612-6D405DABE971}" keepAlive="1" name="Query - CategorySelector" description="Connection to the 'CategorySelector' query in the workbook." type="5" refreshedVersion="0" background="1">
    <dbPr connection="Provider=Microsoft.Mashup.OleDb.1;Data Source=$Workbook$;Location=CategorySelector;Extended Properties=&quot;&quot;" command="SELECT * FROM [CategorySelector]"/>
  </connection>
  <connection id="4" xr16:uid="{6DB54C19-D61F-49F0-90C2-86C44706F4A2}" keepAlive="1" name="Query - DVD_TableMatch" description="Connection to the 'DVD_TableMatch' query in the workbook." type="5" refreshedVersion="0" background="1">
    <dbPr connection="Provider=Microsoft.Mashup.OleDb.1;Data Source=$Workbook$;Location=DVD_TableMatch;Extended Properties=&quot;&quot;" command="SELECT * FROM [DVD_TableMatch]"/>
  </connection>
  <connection id="5" xr16:uid="{24119F77-00DD-4EF2-9B4A-CAD80A1E63B4}" keepAlive="1" name="Query - DVD_ValueLookup" description="Connection to the 'DVD_ValueLookup' query in the workbook." type="5" refreshedVersion="0" background="1">
    <dbPr connection="Provider=Microsoft.Mashup.OleDb.1;Data Source=$Workbook$;Location=DVD_ValueLookup;Extended Properties=&quot;&quot;" command="SELECT * FROM [DVD_ValueLookup]"/>
  </connection>
  <connection id="6" xr16:uid="{FDE13EBE-48B5-482F-8E9E-70C58022F5CE}" keepAlive="1" name="Query - DVDSummary" description="Connection to the 'DVDSummary' query in the workbook." type="5" refreshedVersion="8" background="1" saveData="1">
    <dbPr connection="Provider=Microsoft.Mashup.OleDb.1;Data Source=$Workbook$;Location=DVDSummary;Extended Properties=&quot;&quot;" command="SELECT * FROM [DVDSummary]"/>
  </connection>
  <connection id="7" xr16:uid="{F075B967-A3B0-46A4-A0D0-F5EBF0DCEB59}" keepAlive="1" name="Query - GeoAdjustments" description="Connection to the 'GeoAdjustments' query in the workbook." type="5" refreshedVersion="8" background="1" saveData="1">
    <dbPr connection="Provider=Microsoft.Mashup.OleDb.1;Data Source=$Workbook$;Location=GeoAdjustments;Extended Properties=&quot;&quot;" command="SELECT * FROM [GeoAdjustments]"/>
  </connection>
  <connection id="8" xr16:uid="{FE4D1FF8-2C3A-4F4D-8A63-094980CB1FAB}" keepAlive="1" name="Query - GetBloombergDailyYieldCurve_cur" description="Connection to the 'GetBloombergDailyYieldCurve_cur' query in the workbook." type="5" refreshedVersion="8" background="1" saveData="1">
    <dbPr connection="Provider=Microsoft.Mashup.OleDb.1;Data Source=$Workbook$;Location=GetBloombergDailyYieldCurve_cur;Extended Properties=&quot;&quot;" command="SELECT * FROM [GetBloombergDailyYieldCurve_cur]"/>
  </connection>
  <connection id="9" xr16:uid="{6B9A1EF8-0B4E-4C00-9E24-FB7F85E9D402}" keepAlive="1" name="Query - HouseholdServices_PV" description="Connection to the 'HouseholdServices_PV' query in the workbook." type="5" refreshedVersion="8" background="1" saveData="1">
    <dbPr connection="Provider=Microsoft.Mashup.OleDb.1;Data Source=$Workbook$;Location=HouseholdServices_PV;Extended Properties=&quot;&quot;" command="SELECT * FROM [HouseholdServices_PV]"/>
  </connection>
  <connection id="10" xr16:uid="{9B9C4456-CC03-47B4-BAAC-7D74D4AFCD4F}" keepAlive="1" name="Query - Invoked Function" description="Connection to the 'Invoked Function' query in the workbook." type="5" refreshedVersion="0" background="1">
    <dbPr connection="Provider=Microsoft.Mashup.OleDb.1;Data Source=$Workbook$;Location=&quot;Invoked Function&quot;;Extended Properties=&quot;&quot;" command="SELECT * FROM [Invoked Function]"/>
  </connection>
  <connection id="11" xr16:uid="{628ECD1A-94C3-463B-A2D8-3EDA8D02423E}" keepAlive="1" name="Query - Invoked Function (2)" description="Connection to the 'Invoked Function (2)' query in the workbook." type="5" refreshedVersion="0" background="1">
    <dbPr connection="Provider=Microsoft.Mashup.OleDb.1;Data Source=$Workbook$;Location=&quot;Invoked Function (2)&quot;;Extended Properties=&quot;&quot;" command="SELECT * FROM [Invoked Function (2)]"/>
  </connection>
  <connection id="12" xr16:uid="{0D780C54-713D-42B8-B24B-C70F93F98902}" keepAlive="1" name="Query - Invoked Function (3)" description="Connection to the 'Invoked Function (3)' query in the workbook." type="5" refreshedVersion="0" background="1">
    <dbPr connection="Provider=Microsoft.Mashup.OleDb.1;Data Source=$Workbook$;Location=&quot;Invoked Function (3)&quot;;Extended Properties=&quot;&quot;" command="SELECT * FROM [Invoked Function (3)]"/>
  </connection>
  <connection id="13" xr16:uid="{7E293BAA-1F36-465A-B2E2-6CA980B4CC59}" keepAlive="1" name="Query - LifecycleBuilder" description="Connection to the 'LifecycleBuilder' query in the workbook." type="5" refreshedVersion="8" background="1" saveData="1">
    <dbPr connection="Provider=Microsoft.Mashup.OleDb.1;Data Source=$Workbook$;Location=LifecycleBuilder;Extended Properties=&quot;&quot;" command="SELECT * FROM [LifecycleBuilder]"/>
  </connection>
  <connection id="14" xr16:uid="{2484E21E-B7D0-4032-B5DC-81E9DC4D8F74}" keepAlive="1" name="Query - LifeExp_Lookup" description="Connection to the 'LifeExp_Lookup' query in the workbook." type="5" refreshedVersion="0" background="1">
    <dbPr connection="Provider=Microsoft.Mashup.OleDb.1;Data Source=$Workbook$;Location=LifeExp_Lookup;Extended Properties=&quot;&quot;" command="SELECT * FROM [LifeExp_Lookup]"/>
  </connection>
  <connection id="15" xr16:uid="{AB8871B6-95E5-4306-9415-6E456AA6F634}" keepAlive="1" name="Query - P_DataSourcePath" description="Connection to the 'P_DataSourcePath' query in the workbook." type="5" refreshedVersion="0" background="1">
    <dbPr connection="Provider=Microsoft.Mashup.OleDb.1;Data Source=$Workbook$;Location=P_DataSourcePath;Extended Properties=&quot;&quot;" command="SELECT * FROM [P_DataSourcePath]"/>
  </connection>
  <connection id="16" xr16:uid="{1EF17B5F-8D32-4E07-90C5-8A69D4ECAC80}" keepAlive="1" name="Query - PV_ByAge" description="Connection to the 'PV_ByAge' query in the workbook." type="5" refreshedVersion="8" background="1" saveData="1">
    <dbPr connection="Provider=Microsoft.Mashup.OleDb.1;Data Source=$Workbook$;Location=PV_ByAge;Extended Properties=&quot;&quot;" command="SELECT * FROM [PV_ByAge]"/>
  </connection>
  <connection id="17" xr16:uid="{1A64DB8A-ADB9-4712-B22F-4DFD519ACCC2}" keepAlive="1" name="Query - PV_ByYear" description="Connection to the 'PV_ByYear' query in the workbook." type="5" refreshedVersion="8" background="1" saveData="1">
    <dbPr connection="Provider=Microsoft.Mashup.OleDb.1;Data Source=$Workbook$;Location=PV_ByYear;Extended Properties=&quot;&quot;" command="SELECT * FROM [PV_ByYear]"/>
  </connection>
  <connection id="18" xr16:uid="{69BD0634-99A1-476C-BA94-F92ADEF644AA}" keepAlive="1" name="Query - PVSummary" description="Connection to the 'PVSummary' query in the workbook." type="5" refreshedVersion="8" background="1" saveData="1">
    <dbPr connection="Provider=Microsoft.Mashup.OleDb.1;Data Source=$Workbook$;Location=PVSummary;Extended Properties=&quot;&quot;" command="SELECT * FROM [PVSummary]"/>
  </connection>
  <connection id="19" xr16:uid="{642EA20A-1851-4E51-9D67-6DB571618E6E}" keepAlive="1" name="Query - TechnicalSummary" description="Connection to the 'TechnicalSummary' query in the workbook." type="5" refreshedVersion="8" background="1" saveData="1">
    <dbPr connection="Provider=Microsoft.Mashup.OleDb.1;Data Source=$Workbook$;Location=TechnicalSummary;Extended Properties=&quot;&quot;" command="SELECT * FROM [TechnicalSummary]"/>
  </connection>
  <connection id="20" xr16:uid="{3E913540-60F8-4CE4-8C2F-409EC733AD15}" keepAlive="1" name="Query - WLE_Lookup" description="Connection to the 'WLE_Lookup' query in the workbook." type="5" refreshedVersion="0" background="1">
    <dbPr connection="Provider=Microsoft.Mashup.OleDb.1;Data Source=$Workbook$;Location=WLE_Lookup;Extended Properties=&quot;&quot;" command="SELECT * FROM [WLE_Lookup]"/>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<sst xmlns="http://schemas.openxmlformats.org/spreadsheetml/2006/main" count="22551" uniqueCount="2193">
  <si>
    <t>PhaseIndex</t>
  </si>
  <si>
    <t>StartAge</t>
  </si>
  <si>
    <t>EndAge</t>
  </si>
  <si>
    <t>PhaseDuration</t>
  </si>
  <si>
    <t>Employment</t>
  </si>
  <si>
    <t>AgeRange</t>
  </si>
  <si>
    <t>ChildrenStatus</t>
  </si>
  <si>
    <t>SpouseEmp</t>
  </si>
  <si>
    <t>Table_Number</t>
  </si>
  <si>
    <t>Table_Title</t>
  </si>
  <si>
    <t>Category</t>
  </si>
  <si>
    <t>Raw_DVD</t>
  </si>
  <si>
    <t>OwnRent_Factor</t>
  </si>
  <si>
    <t>Geo_Factor</t>
  </si>
  <si>
    <t>CPI_Factor</t>
  </si>
  <si>
    <t>Adjusted_DVD</t>
  </si>
  <si>
    <t>Annual_Base</t>
  </si>
  <si>
    <t>Pct_Reduction</t>
  </si>
  <si>
    <t>Low Cost per Use</t>
  </si>
  <si>
    <t>Employed full-time</t>
  </si>
  <si>
    <t>Ages 55 &amp; over</t>
  </si>
  <si>
    <t>No minor children in home</t>
  </si>
  <si>
    <t>Spouse not employed</t>
  </si>
  <si>
    <t>Married women, Employed full-time, Spouse not employed, Ages 55 &amp; over, No minor children in home</t>
  </si>
  <si>
    <t>Household Production</t>
  </si>
  <si>
    <t>Retired</t>
  </si>
  <si>
    <t>Ages 62 through 74</t>
  </si>
  <si>
    <t>Married women, Retired, Spouse not employed, Ages 62 through 74, No minor children in home</t>
  </si>
  <si>
    <t>Ages 75 &amp; over</t>
  </si>
  <si>
    <t>Married women, Retired, Spouse not employed, Ages 75 &amp; over, No minor children in home</t>
  </si>
  <si>
    <t>Item Name</t>
  </si>
  <si>
    <t>ItemKey</t>
  </si>
  <si>
    <t>Sort Order</t>
  </si>
  <si>
    <t>Start Offset (Years)</t>
  </si>
  <si>
    <t>StartAdj</t>
  </si>
  <si>
    <t>EndT_Base</t>
  </si>
  <si>
    <t>YearList</t>
  </si>
  <si>
    <t>CashYear</t>
  </si>
  <si>
    <t>AllocYear</t>
  </si>
  <si>
    <t>IsPast</t>
  </si>
  <si>
    <t>OverlapLen</t>
  </si>
  <si>
    <t>Prorate</t>
  </si>
  <si>
    <t>GrowthFactor</t>
  </si>
  <si>
    <t>AnnualCostLow</t>
  </si>
  <si>
    <t>AnnualCostHigh</t>
  </si>
  <si>
    <t>ProratedCostLow</t>
  </si>
  <si>
    <t>ProratedCostHigh</t>
  </si>
  <si>
    <t>Adjusted Rate</t>
  </si>
  <si>
    <t>EOY_Exponent</t>
  </si>
  <si>
    <t>DiscountFactor</t>
  </si>
  <si>
    <t>PresentValueLow</t>
  </si>
  <si>
    <t>PresentValueMid</t>
  </si>
  <si>
    <t>PresentValueHigh</t>
  </si>
  <si>
    <t>Notes</t>
  </si>
  <si>
    <t>Married women, Employed full-time, Spouse not employed, Ages 55 &amp; over, No minor children in home | Household Production</t>
  </si>
  <si>
    <t>P1_146_Househol</t>
  </si>
  <si>
    <t>Table 146</t>
  </si>
  <si>
    <t>Ages 66-70 | Employed full-time | No minor children in home</t>
  </si>
  <si>
    <t>Married women, Retired, Spouse not employed, Ages 62 through 74, No minor children in home | Household Production</t>
  </si>
  <si>
    <t>P2_252_Househol</t>
  </si>
  <si>
    <t>Table 252</t>
  </si>
  <si>
    <t>Ages 70-71 | Retired | No minor children in home</t>
  </si>
  <si>
    <t>P3_252_Househol</t>
  </si>
  <si>
    <t>Ages 71-75 | Retired | No minor children in home</t>
  </si>
  <si>
    <t>Married women, Retired, Spouse not employed, Ages 75 &amp; over, No minor children in home | Household Production</t>
  </si>
  <si>
    <t>P4_253_Househol</t>
  </si>
  <si>
    <t>Table 253</t>
  </si>
  <si>
    <t>Ages 75-83 | Retired | No minor children in home</t>
  </si>
  <si>
    <t>Start Year</t>
  </si>
  <si>
    <t>Duration</t>
  </si>
  <si>
    <t>High Cost per Use</t>
  </si>
  <si>
    <t>InitialCostLow</t>
  </si>
  <si>
    <t>InitialCostHigh</t>
  </si>
  <si>
    <t>Frequency</t>
  </si>
  <si>
    <t>Interval (Years)</t>
  </si>
  <si>
    <t>Growth</t>
  </si>
  <si>
    <t>CostType</t>
  </si>
  <si>
    <t>Continuous</t>
  </si>
  <si>
    <t xml:space="preserve">Claimant </t>
  </si>
  <si>
    <t>State</t>
  </si>
  <si>
    <t>Area</t>
  </si>
  <si>
    <t>Adjustment_Pct</t>
  </si>
  <si>
    <t>FilteredAreas</t>
  </si>
  <si>
    <t>Alabama</t>
  </si>
  <si>
    <t>Alabama (State Average)</t>
  </si>
  <si>
    <t>Anniston-Oxford-Jacksonville, AL</t>
  </si>
  <si>
    <t>Auburn-Opelika, AL</t>
  </si>
  <si>
    <t>Birmingham-Hoover, AL</t>
  </si>
  <si>
    <t>Columbus, GA-AL</t>
  </si>
  <si>
    <t>Daphne-Fairhope-Foley, AL</t>
  </si>
  <si>
    <t>Decatur, AL</t>
  </si>
  <si>
    <t>Dothan, AL</t>
  </si>
  <si>
    <t>Florence-Muscle Shoals, AL</t>
  </si>
  <si>
    <t>Gadsden, AL</t>
  </si>
  <si>
    <t>Huntsville, AL</t>
  </si>
  <si>
    <t>Mobile, AL</t>
  </si>
  <si>
    <t>Montgomery, AL</t>
  </si>
  <si>
    <t>Northeast Alabama nonmetropolitan area</t>
  </si>
  <si>
    <t>Northwest Alabama nonmetropolitan area</t>
  </si>
  <si>
    <t>Southeast Alabama nonmetropolitan area</t>
  </si>
  <si>
    <t>Southwest Alabama nonmetropolitan area</t>
  </si>
  <si>
    <t>Tuscaloosa, AL</t>
  </si>
  <si>
    <t>Alaska</t>
  </si>
  <si>
    <t>Alaska (State Average)</t>
  </si>
  <si>
    <t>Alaska nonmetropolitan area</t>
  </si>
  <si>
    <t>Anchorage, AK</t>
  </si>
  <si>
    <t>Fairbanks, AK</t>
  </si>
  <si>
    <t>Arizona</t>
  </si>
  <si>
    <t>Arizona (State Average)</t>
  </si>
  <si>
    <t>Arizona nonmetropolitan area</t>
  </si>
  <si>
    <t>Flagstaff, AZ</t>
  </si>
  <si>
    <t>Lake Havasu City-Kingman, AZ</t>
  </si>
  <si>
    <t>Phoenix-Mesa-Scottsdale, AZ</t>
  </si>
  <si>
    <t>Prescott, AZ</t>
  </si>
  <si>
    <t>Sierra Vista-Douglas, AZ</t>
  </si>
  <si>
    <t>Tucson, AZ</t>
  </si>
  <si>
    <t>Yuma, AZ</t>
  </si>
  <si>
    <t>Arkansas</t>
  </si>
  <si>
    <t>Arkansas (State Average)</t>
  </si>
  <si>
    <t>East Arkansas nonmetropolitan area</t>
  </si>
  <si>
    <t>Fayetteville-Springdale-Rogers, AR-MO</t>
  </si>
  <si>
    <t>Fort Smith, AR-OK</t>
  </si>
  <si>
    <t>Hot Springs, AR</t>
  </si>
  <si>
    <t>Jonesboro, AR</t>
  </si>
  <si>
    <t>Little Rock-North Little Rock-Conway, AR</t>
  </si>
  <si>
    <t>Memphis, TN-MS-AR</t>
  </si>
  <si>
    <t>North Arkansas nonmetropolitan area</t>
  </si>
  <si>
    <t>Pine Bluff, AR</t>
  </si>
  <si>
    <t>South Arkansas nonmetropolitan area</t>
  </si>
  <si>
    <t>Texarkana, TX-AR</t>
  </si>
  <si>
    <t>West Arkansas nonmetropolitan area</t>
  </si>
  <si>
    <t>California</t>
  </si>
  <si>
    <t>California (State Average)</t>
  </si>
  <si>
    <t>Bakersfield, CA</t>
  </si>
  <si>
    <t>Chico, CA</t>
  </si>
  <si>
    <t>Eastern Sierra-Mother Lode Region of California nonmetropolitan area</t>
  </si>
  <si>
    <t>El Centro, CA</t>
  </si>
  <si>
    <t>Fresno, CA</t>
  </si>
  <si>
    <t>Hanford-Corcoran, CA</t>
  </si>
  <si>
    <t>Los Angeles-Long Beach-Anaheim, CA</t>
  </si>
  <si>
    <t>Madera, CA</t>
  </si>
  <si>
    <t>Merced, CA</t>
  </si>
  <si>
    <t>Modesto, CA</t>
  </si>
  <si>
    <t>Napa, CA</t>
  </si>
  <si>
    <t>North Coast Region of California nonmetropolitan area</t>
  </si>
  <si>
    <t>North Valley-Northern Mountains Region of California nonmetropolitan area</t>
  </si>
  <si>
    <t>Oxnard-Thousand Oaks-Ventura, CA</t>
  </si>
  <si>
    <t>Redding, CA</t>
  </si>
  <si>
    <t>Riverside-San Bernardino-Ontario, CA</t>
  </si>
  <si>
    <t>Sacramento--Roseville--Arden-Arcade, CA</t>
  </si>
  <si>
    <t>Salinas, CA</t>
  </si>
  <si>
    <t>San Diego-Carlsbad, CA</t>
  </si>
  <si>
    <t>San Francisco-Oakland-Hayward, CA</t>
  </si>
  <si>
    <t>San Jose-Sunnyvale-Santa Clara, CA</t>
  </si>
  <si>
    <t>San Luis Obispo-Paso Robles-Arroyo Grande, CA</t>
  </si>
  <si>
    <t>Santa Cruz-Watsonville, CA</t>
  </si>
  <si>
    <t>Santa Maria-Santa Barbara, CA</t>
  </si>
  <si>
    <t>Santa Rosa, CA</t>
  </si>
  <si>
    <t>Stockton-Lodi, CA</t>
  </si>
  <si>
    <t>Vallejo-Fairfield, CA</t>
  </si>
  <si>
    <t>Visalia-Porterville, CA</t>
  </si>
  <si>
    <t>Yuba City, CA</t>
  </si>
  <si>
    <t>Colorado</t>
  </si>
  <si>
    <t>Colorado (State Average)</t>
  </si>
  <si>
    <t>Boulder, CO</t>
  </si>
  <si>
    <t>Colorado Springs, CO</t>
  </si>
  <si>
    <t>Denver-Aurora-Lakewood, CO</t>
  </si>
  <si>
    <t>Eastern and Southern Colorado nonmetropolitan area</t>
  </si>
  <si>
    <t>Fort Collins, CO</t>
  </si>
  <si>
    <t>Grand Junction, CO</t>
  </si>
  <si>
    <t>Greeley, CO</t>
  </si>
  <si>
    <t>Northwest Colorado nonmetropolitan area</t>
  </si>
  <si>
    <t>Pueblo, CO</t>
  </si>
  <si>
    <t>Southwest Colorado nonmetropolitan area</t>
  </si>
  <si>
    <t>Connecticut</t>
  </si>
  <si>
    <t>Connecticut (State Average)</t>
  </si>
  <si>
    <t>Bridgeport-Stamford-Norwalk, CT</t>
  </si>
  <si>
    <t>Connecticut nonmetropolitan area</t>
  </si>
  <si>
    <t>Danbury, CT</t>
  </si>
  <si>
    <t>Hartford-West Hartford-East Hartford, CT</t>
  </si>
  <si>
    <t>New Haven, CT</t>
  </si>
  <si>
    <t>Norwich-New London-Westerly, CT-RI</t>
  </si>
  <si>
    <t>Springfield, MA-CT</t>
  </si>
  <si>
    <t>Waterbury, CT</t>
  </si>
  <si>
    <t>Worcester, MA-CT</t>
  </si>
  <si>
    <t>Delaware</t>
  </si>
  <si>
    <t>Delaware (State Average)</t>
  </si>
  <si>
    <t>Dover, DE</t>
  </si>
  <si>
    <t>Philadelphia-Camden-Wilmington, PA-NJ-DE- MD</t>
  </si>
  <si>
    <t>Salisbury, MD-DE</t>
  </si>
  <si>
    <t>District of Columbia</t>
  </si>
  <si>
    <t>District of Columbia (State Average)</t>
  </si>
  <si>
    <t>Washington-Arlington-Alexandria, DC-VA-MD-WV</t>
  </si>
  <si>
    <t>Florida</t>
  </si>
  <si>
    <t>Florida (State Average)</t>
  </si>
  <si>
    <t>Cape Coral-Fort Myers, FL</t>
  </si>
  <si>
    <t>Crestview-Fort Walton Beach-Destin, FL</t>
  </si>
  <si>
    <t>Deltona-Daytona Beach-Ormond Beach, FL</t>
  </si>
  <si>
    <t>Gainesville, FL</t>
  </si>
  <si>
    <t>Homosassa Springs, FL</t>
  </si>
  <si>
    <t>Jacksonville, FL</t>
  </si>
  <si>
    <t>Lakeland-Winter Haven, FL</t>
  </si>
  <si>
    <t>Miami-Fort Lauderdale-West Palm Beach, FL</t>
  </si>
  <si>
    <t>Naples-Immokalee-Marco Island, FL</t>
  </si>
  <si>
    <t>North Florida nonmetropolitan area</t>
  </si>
  <si>
    <t>North Port-Sarasota-Bradenton, FL</t>
  </si>
  <si>
    <t>Ocala, FL</t>
  </si>
  <si>
    <t>Orlando-Kissimmee-Sanford, FL</t>
  </si>
  <si>
    <t>Palm Bay-Melbourne-Titusville, FL</t>
  </si>
  <si>
    <t>Panama City, FL</t>
  </si>
  <si>
    <t>Pensacola-Ferry Pass-Brent, FL</t>
  </si>
  <si>
    <t>Port St. Lucie, FL</t>
  </si>
  <si>
    <t>Punta Gorda, FL</t>
  </si>
  <si>
    <t>Sebastian-Vero Beach, FL</t>
  </si>
  <si>
    <t>Sebring, FL</t>
  </si>
  <si>
    <t>South Florida nonmetropolitan area</t>
  </si>
  <si>
    <t>Tallahassee, FL</t>
  </si>
  <si>
    <t>Tampa-St. Petersburg-Clearwater, FL</t>
  </si>
  <si>
    <t>The Villages, FL</t>
  </si>
  <si>
    <t>Georgia</t>
  </si>
  <si>
    <t>Georgia (State Average)</t>
  </si>
  <si>
    <t>Albany, GA</t>
  </si>
  <si>
    <t>Athens-Clarke County, GA</t>
  </si>
  <si>
    <t>Atlanta-Sandy Springs-Roswell, GA</t>
  </si>
  <si>
    <t>Augusta-Richmond County, GA-SC</t>
  </si>
  <si>
    <t>Brunswick, GA</t>
  </si>
  <si>
    <t>Chattanooga, TN-GA</t>
  </si>
  <si>
    <t>Dalton, GA</t>
  </si>
  <si>
    <t>East Georgia nonmetropolitan area</t>
  </si>
  <si>
    <t>Gainesville, GA</t>
  </si>
  <si>
    <t>Hinesville, GA</t>
  </si>
  <si>
    <t>Macon, GA</t>
  </si>
  <si>
    <t>Middle Georgia nonmetropolitan area</t>
  </si>
  <si>
    <t>North Georgia nonmetropolitan area</t>
  </si>
  <si>
    <t>Rome, GA</t>
  </si>
  <si>
    <t>Savannah, GA</t>
  </si>
  <si>
    <t>South Georgia nonmetropolitan area</t>
  </si>
  <si>
    <t>Valdosta, GA</t>
  </si>
  <si>
    <t>Warner Robins, GA</t>
  </si>
  <si>
    <t>Guam</t>
  </si>
  <si>
    <t>Guam (State Average)</t>
  </si>
  <si>
    <t>Hawaii</t>
  </si>
  <si>
    <t>Hawaii (State Average)</t>
  </si>
  <si>
    <t>Hawaii / Kauai nonmetropolitan area</t>
  </si>
  <si>
    <t>Kahului-Wailuku-Lahaina, HI</t>
  </si>
  <si>
    <t>Urban Honolulu, HI</t>
  </si>
  <si>
    <t>Idaho</t>
  </si>
  <si>
    <t>Idaho (State Average)</t>
  </si>
  <si>
    <t>Boise City,  ID</t>
  </si>
  <si>
    <t>Coeur d'Alene, ID</t>
  </si>
  <si>
    <t>Idaho Falls, ID</t>
  </si>
  <si>
    <t>Lewiston, ID-WA</t>
  </si>
  <si>
    <t>Logan, UT-ID</t>
  </si>
  <si>
    <t>Northwestern Idaho nonmetropolitan area</t>
  </si>
  <si>
    <t>Pocatello, ID</t>
  </si>
  <si>
    <t>Southeast-Central Idaho nonmetropolitan area</t>
  </si>
  <si>
    <t>Twin Falls, ID</t>
  </si>
  <si>
    <t>Illinois</t>
  </si>
  <si>
    <t>Illinois (State Average)</t>
  </si>
  <si>
    <t>Bloomington, IL</t>
  </si>
  <si>
    <t>Cape Girardeau, MO-IL</t>
  </si>
  <si>
    <t>Carbondale-Marion, IL</t>
  </si>
  <si>
    <t>Champaign-Urbana, IL</t>
  </si>
  <si>
    <t>Chicago-Naperville-Elgin, IL-IN-WI</t>
  </si>
  <si>
    <t>Danville, IL</t>
  </si>
  <si>
    <t>Davenport-Moline-Rock Island, IA-IL</t>
  </si>
  <si>
    <t>Decatur, IL</t>
  </si>
  <si>
    <t>East Central Illinois nonmetropolitan area</t>
  </si>
  <si>
    <t>Kankakee, IL</t>
  </si>
  <si>
    <t>Northwest Illinois nonmetropolitan area</t>
  </si>
  <si>
    <t>Peoria, IL</t>
  </si>
  <si>
    <t>Rockford, IL</t>
  </si>
  <si>
    <t>South Illinois nonmetropolitan area</t>
  </si>
  <si>
    <t>Springfield, IL</t>
  </si>
  <si>
    <t>St. Louis, MO-IL</t>
  </si>
  <si>
    <t>West Central Illinois nonmetropolitan area</t>
  </si>
  <si>
    <t>Indiana</t>
  </si>
  <si>
    <t>Indiana (State Average)</t>
  </si>
  <si>
    <t>Bloomington, IN</t>
  </si>
  <si>
    <t>Central Indiana nonmetropolitan area</t>
  </si>
  <si>
    <t>Cincinnati, OH-KY-IN</t>
  </si>
  <si>
    <t>Columbus, IN</t>
  </si>
  <si>
    <t>Elkhart-Goshen, IN</t>
  </si>
  <si>
    <t>Evansville, IN-KY</t>
  </si>
  <si>
    <t>Fort Wayne, IN</t>
  </si>
  <si>
    <t>Indianapolis-Carmel-Anderson, IN</t>
  </si>
  <si>
    <t>Kokomo, IN</t>
  </si>
  <si>
    <t>Lafayette-West Lafayette, IN</t>
  </si>
  <si>
    <t>Louisville/Jefferson County, KY-IN</t>
  </si>
  <si>
    <t>Michigan City-La Porte, IN</t>
  </si>
  <si>
    <t>Muncie, IN</t>
  </si>
  <si>
    <t>Northern Indiana nonmetropolitan area</t>
  </si>
  <si>
    <t>South Bend-Mishawaka, IN-MI</t>
  </si>
  <si>
    <t>Southern Indiana nonmetropolitan area</t>
  </si>
  <si>
    <t>Terre Haute, IN</t>
  </si>
  <si>
    <t>Iowa</t>
  </si>
  <si>
    <t>Iowa (State Average)</t>
  </si>
  <si>
    <t>Ames, IA</t>
  </si>
  <si>
    <t>Cedar Rapids, IA</t>
  </si>
  <si>
    <t>Des Moines-West Des Moines, IA</t>
  </si>
  <si>
    <t>Dubuque, IA</t>
  </si>
  <si>
    <t>Iowa City, IA</t>
  </si>
  <si>
    <t>Northeast Iowa nonmetropolitan area</t>
  </si>
  <si>
    <t>Northwest Iowa nonmetropolitan area</t>
  </si>
  <si>
    <t>Omaha-Council Bluffs, NE-IA</t>
  </si>
  <si>
    <t>Sioux City, IA-NE-SD</t>
  </si>
  <si>
    <t>Southeast Iowa nonmetropolitan area</t>
  </si>
  <si>
    <t>Southwest Iowa nonmetropolitan area</t>
  </si>
  <si>
    <t>Waterloo-Cedar Falls, IA</t>
  </si>
  <si>
    <t>Kansas</t>
  </si>
  <si>
    <t>Kansas (State Average)</t>
  </si>
  <si>
    <t>Kansas City, MO-KS</t>
  </si>
  <si>
    <t>Kansas nonmetropolitan area</t>
  </si>
  <si>
    <t>Lawrence, KS</t>
  </si>
  <si>
    <t>Manhattan, KS</t>
  </si>
  <si>
    <t>St. Joseph, MO-KS</t>
  </si>
  <si>
    <t>Topeka, KS</t>
  </si>
  <si>
    <t>Wichita, KS</t>
  </si>
  <si>
    <t>Kentucky</t>
  </si>
  <si>
    <t>Kentucky (State Average)</t>
  </si>
  <si>
    <t>Bowling Green, KY</t>
  </si>
  <si>
    <t>Central Kentucky nonmetropolitan area</t>
  </si>
  <si>
    <t>Clarksville, TN-KY</t>
  </si>
  <si>
    <t>East Kentucky nonmetropolitan area</t>
  </si>
  <si>
    <t>Elizabethtown-Fort Knox, KY</t>
  </si>
  <si>
    <t>Huntington-Ashland, WV-KY-OH</t>
  </si>
  <si>
    <t>Lexington-Fayette, KY</t>
  </si>
  <si>
    <t>Owensboro, KY</t>
  </si>
  <si>
    <t>South Central Kentucky nonmetropolitan area</t>
  </si>
  <si>
    <t>West Kentucky nonmetropolitan area</t>
  </si>
  <si>
    <t>Louisiana</t>
  </si>
  <si>
    <t>Louisiana (State Average)</t>
  </si>
  <si>
    <t>Alexandria, LA</t>
  </si>
  <si>
    <t>Baton Rouge, LA</t>
  </si>
  <si>
    <t>Central Louisiana nonmetropolitan area</t>
  </si>
  <si>
    <t>Hammond, LA</t>
  </si>
  <si>
    <t>Houma-Thibodaux, LA</t>
  </si>
  <si>
    <t>Lafayette, LA</t>
  </si>
  <si>
    <t>Lake Charles, LA</t>
  </si>
  <si>
    <t>Monroe, LA</t>
  </si>
  <si>
    <t>New Orleans-Metairie, LA</t>
  </si>
  <si>
    <t>Northeast Louisiana nonmetropolitan area</t>
  </si>
  <si>
    <t>Shreveport-Bossier City, LA</t>
  </si>
  <si>
    <t>Southwest Louisiana nonmetropolitan area</t>
  </si>
  <si>
    <t>Maine</t>
  </si>
  <si>
    <t>Maine (State Average)</t>
  </si>
  <si>
    <t>Bangor, ME</t>
  </si>
  <si>
    <t>Dover-Durham, NH-ME</t>
  </si>
  <si>
    <t>Lewiston-Auburn, ME</t>
  </si>
  <si>
    <t>Northeast Maine nonmetropolitan area</t>
  </si>
  <si>
    <t>Portland-South Portland, ME</t>
  </si>
  <si>
    <t>Portsmouth, NH-ME</t>
  </si>
  <si>
    <t>Southwest Maine nonmetropolitan area</t>
  </si>
  <si>
    <t>Maryland</t>
  </si>
  <si>
    <t>Maryland (State Average)</t>
  </si>
  <si>
    <t>Baltimore-Columbia-Towson, MD</t>
  </si>
  <si>
    <t>California-Lexington Park, MD</t>
  </si>
  <si>
    <t>Cumberland, MD-WV</t>
  </si>
  <si>
    <t>Hagerstown-Martinsburg, MD-WV</t>
  </si>
  <si>
    <t>MD Salisbury, MD-DE</t>
  </si>
  <si>
    <t>Philadelphia-Camden-Wilmington, PA-NJ-DE-MD</t>
  </si>
  <si>
    <t>WV Maryland nonmetropolitan area</t>
  </si>
  <si>
    <t>Massachusetts</t>
  </si>
  <si>
    <t>Massachusetts (State Average)</t>
  </si>
  <si>
    <t>Barnstable Town, MA</t>
  </si>
  <si>
    <t>Boston-Cambridge-Nashua, MA-NH</t>
  </si>
  <si>
    <t>Leominster-Gardner, MA</t>
  </si>
  <si>
    <t>Massachusetts nonmetropolitan area</t>
  </si>
  <si>
    <t>New Bedford, MA</t>
  </si>
  <si>
    <t>Pittsfield, MA</t>
  </si>
  <si>
    <t>Providence-Warwick, RI-MA</t>
  </si>
  <si>
    <t>Michigan</t>
  </si>
  <si>
    <t>Michigan (State Average)</t>
  </si>
  <si>
    <t>Ann Arbor, MI</t>
  </si>
  <si>
    <t>Battle Creek, MI</t>
  </si>
  <si>
    <t>Bay City, MI</t>
  </si>
  <si>
    <t>Detroit-Warren-Dearborn, MI</t>
  </si>
  <si>
    <t>Flint, MI</t>
  </si>
  <si>
    <t>Grand Rapids-Wyoming, MI</t>
  </si>
  <si>
    <t>Jackson, MI</t>
  </si>
  <si>
    <t>Kalamazoo-Portage, MI</t>
  </si>
  <si>
    <t>Lansing-East Lansing, MI</t>
  </si>
  <si>
    <t>Midland, MI</t>
  </si>
  <si>
    <t>Monroe, MI</t>
  </si>
  <si>
    <t>Muskegon, MI</t>
  </si>
  <si>
    <t>Niles-Benton Harbor, MI</t>
  </si>
  <si>
    <t>Saginaw, MI</t>
  </si>
  <si>
    <t>Upper Peninsula of Michigan nonmetropolitan</t>
  </si>
  <si>
    <t>area Northeast Lower Peninsula of Michigan</t>
  </si>
  <si>
    <t>nonmetropolitan area Balance of Lower Peninsula of Michigan</t>
  </si>
  <si>
    <t>nonmetropolitan area Northwest Lower Peninsula of Michigan</t>
  </si>
  <si>
    <t>Minnesota</t>
  </si>
  <si>
    <t>Minnesota (State Average)</t>
  </si>
  <si>
    <t>Duluth, MN-WI</t>
  </si>
  <si>
    <t>Fargo, ND-MN</t>
  </si>
  <si>
    <t>Grand Forks, ND-MN</t>
  </si>
  <si>
    <t>La Crosse-Onalaska, WI-MN</t>
  </si>
  <si>
    <t>Mankato-North Mankato, MN</t>
  </si>
  <si>
    <t>Minneapolis-St. Paul-Bloomington, MN-WI</t>
  </si>
  <si>
    <t>Northeast Minnesota nonmetropolitan area</t>
  </si>
  <si>
    <t>Northwest Minnesota nonmetropolitan area</t>
  </si>
  <si>
    <t>Rochester, MN</t>
  </si>
  <si>
    <t>Southeast Minnesota nonmetropolitan area</t>
  </si>
  <si>
    <t>Southwest Minnesota nonmetropolitan area</t>
  </si>
  <si>
    <t>St. Cloud, MN</t>
  </si>
  <si>
    <t>Mississippi</t>
  </si>
  <si>
    <t>Mississippi (State Average)</t>
  </si>
  <si>
    <t>Gulfport-Biloxi-Pascagoula, MS</t>
  </si>
  <si>
    <t>Hattiesburg, MS</t>
  </si>
  <si>
    <t>Jackson, MS</t>
  </si>
  <si>
    <t>Northeast Mississippi nonmetropolitan area</t>
  </si>
  <si>
    <t>Northwest Mississippi nonmetropolitan area</t>
  </si>
  <si>
    <t>Southeast Mississippi nonmetropolitan area</t>
  </si>
  <si>
    <t>Southwest Mississippi nonmetropolitan area</t>
  </si>
  <si>
    <t>Missouri</t>
  </si>
  <si>
    <t>Missouri (State Average)</t>
  </si>
  <si>
    <t>Central Missouri nonmetropolitan area</t>
  </si>
  <si>
    <t>Columbia, MO</t>
  </si>
  <si>
    <t>Jefferson City, MO</t>
  </si>
  <si>
    <t>Joplin, MO</t>
  </si>
  <si>
    <t>North Missouri nonmetropolitan area</t>
  </si>
  <si>
    <t>Southeast Missouri nonmetropolitan area</t>
  </si>
  <si>
    <t>Southwest Missouri nonmetropolitan area</t>
  </si>
  <si>
    <t>Springfield, MO</t>
  </si>
  <si>
    <t>Montana</t>
  </si>
  <si>
    <t>Montana (State Average)</t>
  </si>
  <si>
    <t>Billings, MT</t>
  </si>
  <si>
    <t>East-Central Montana nonmetropolitan area</t>
  </si>
  <si>
    <t>Great Falls, MT</t>
  </si>
  <si>
    <t>Missoula, MT</t>
  </si>
  <si>
    <t>Southwest Montana nonmetropolitan area</t>
  </si>
  <si>
    <t>West Montana nonmetropolitan area</t>
  </si>
  <si>
    <t>Nebraska</t>
  </si>
  <si>
    <t>Nebraska (State Average)</t>
  </si>
  <si>
    <t>Grand   Island, NE</t>
  </si>
  <si>
    <t>Lincoln, NE</t>
  </si>
  <si>
    <t>Northeast Nebraska nonmetropolitan area</t>
  </si>
  <si>
    <t>Northwest Nebraska nonmetropolitan area</t>
  </si>
  <si>
    <t>South Nebraska nonmetropolitan area</t>
  </si>
  <si>
    <t>Nevada</t>
  </si>
  <si>
    <t>Nevada (State Average)</t>
  </si>
  <si>
    <t>Carson City, NV</t>
  </si>
  <si>
    <t>Las Vegas-Henderson-Paradise, NV</t>
  </si>
  <si>
    <t>Nevada nonmetropolitan area</t>
  </si>
  <si>
    <t>Reno, NV</t>
  </si>
  <si>
    <t>New Hampshire</t>
  </si>
  <si>
    <t>New Hampshire (State Average)</t>
  </si>
  <si>
    <t>Manchester, NH</t>
  </si>
  <si>
    <t>Northern New Hampshire nonmetropolitan</t>
  </si>
  <si>
    <t>West Central-Southwest New Hampshire</t>
  </si>
  <si>
    <t>area Central New Hampshire nonmetropolitan area</t>
  </si>
  <si>
    <t>New Jersey</t>
  </si>
  <si>
    <t>New Jersey (State Average)</t>
  </si>
  <si>
    <t>Allentown-Bethlehem-Easton, PA-NJ</t>
  </si>
  <si>
    <t>Atlantic City-Hammonton, NJ</t>
  </si>
  <si>
    <t>MD Trenton, NJ</t>
  </si>
  <si>
    <t>New York-Newark-Jersey City, NY-NJ-PA</t>
  </si>
  <si>
    <t>Ocean City, NJ</t>
  </si>
  <si>
    <t>Vineland-Bridgeton, NJ</t>
  </si>
  <si>
    <t>New Mexico</t>
  </si>
  <si>
    <t>New Mexico (State Average)</t>
  </si>
  <si>
    <t>Albuquerque, NM</t>
  </si>
  <si>
    <t>Eastern New Mexico nonmetropolitan area</t>
  </si>
  <si>
    <t>Farmington, NM</t>
  </si>
  <si>
    <t>Las Cruces, NM</t>
  </si>
  <si>
    <t>Northern New Mexico nonmetropolitan area</t>
  </si>
  <si>
    <t>Santa Fe, NM</t>
  </si>
  <si>
    <t>New York</t>
  </si>
  <si>
    <t>New York (State Average)</t>
  </si>
  <si>
    <t>Albany-Schenectady-Troy, NY</t>
  </si>
  <si>
    <t>Binghamton, NY</t>
  </si>
  <si>
    <t>Buffalo-Cheektowaga-Niagara Falls, NY</t>
  </si>
  <si>
    <t>Capital/Northern New York nonmetropolitan</t>
  </si>
  <si>
    <t>Elmira, NY</t>
  </si>
  <si>
    <t>Glens Falls, NY</t>
  </si>
  <si>
    <t>Ithaca, NY</t>
  </si>
  <si>
    <t>Kingston, NY</t>
  </si>
  <si>
    <t>Rochester, NY</t>
  </si>
  <si>
    <t>Syracuse, NY</t>
  </si>
  <si>
    <t>Utica-Rome, NY</t>
  </si>
  <si>
    <t>Watertown-Fort Drum, NY</t>
  </si>
  <si>
    <t>area Southwest New York nonmetropolitan area</t>
  </si>
  <si>
    <t>North Carolina</t>
  </si>
  <si>
    <t>North Carolina (State Average)</t>
  </si>
  <si>
    <t>Asheville, NC</t>
  </si>
  <si>
    <t>Burlington, NC</t>
  </si>
  <si>
    <t>Charlotte-Concord-Gastonia, NC-SC</t>
  </si>
  <si>
    <t>Durham-Chapel Hill, NC</t>
  </si>
  <si>
    <t>Fayetteville, NC</t>
  </si>
  <si>
    <t>Goldsboro, NC</t>
  </si>
  <si>
    <t>Greensboro-High Point, NC</t>
  </si>
  <si>
    <t>Greenville, NC</t>
  </si>
  <si>
    <t>Hickory-Lenoir-Morganton, NC</t>
  </si>
  <si>
    <t>Jacksonville, NC</t>
  </si>
  <si>
    <t>Myrtle Beach-Conway-North Myrtle Beach, SC-NC</t>
  </si>
  <si>
    <t>New Bern, NC</t>
  </si>
  <si>
    <t>Raleigh, NC</t>
  </si>
  <si>
    <t>Rocky Mount, NC</t>
  </si>
  <si>
    <t>Southeast Coastal North Carolina</t>
  </si>
  <si>
    <t>Virginia Beach-Norfolk-Newport News, VA-NC</t>
  </si>
  <si>
    <t>Wilmington, NC</t>
  </si>
  <si>
    <t>Winston-Salem, NC</t>
  </si>
  <si>
    <t>Mountain North Carolina nonmetropolitan area</t>
  </si>
  <si>
    <t>Northeast Coastal North Carolina nonmetropolitan area</t>
  </si>
  <si>
    <t>Piedmont North Carolina nonmetropolitan area</t>
  </si>
  <si>
    <t>North Dakota</t>
  </si>
  <si>
    <t>North Dakota (State Average)</t>
  </si>
  <si>
    <t>Bismarck, ND</t>
  </si>
  <si>
    <t>East North Dakota nonmetropolitan area</t>
  </si>
  <si>
    <t>West North Dakota nonmetropolitan area</t>
  </si>
  <si>
    <t>Ohio</t>
  </si>
  <si>
    <t>Ohio (State Average)</t>
  </si>
  <si>
    <t>Akron, OH</t>
  </si>
  <si>
    <t>Canton-Massillon, OH</t>
  </si>
  <si>
    <t>Cleveland-Elyria, OH</t>
  </si>
  <si>
    <t>Columbus, OH</t>
  </si>
  <si>
    <t>Dayton, OH</t>
  </si>
  <si>
    <t>Eastern Ohio nonmetropolitan area</t>
  </si>
  <si>
    <t>Lima, OH</t>
  </si>
  <si>
    <t>Mansfield, OH</t>
  </si>
  <si>
    <t>North Northeastern Ohio nonmetropolitan</t>
  </si>
  <si>
    <t>Southern Ohio nonmetropolitan area</t>
  </si>
  <si>
    <t>Springfield, OH</t>
  </si>
  <si>
    <t>Toledo, OH</t>
  </si>
  <si>
    <t>Weirton-Steubenville, WV-OH</t>
  </si>
  <si>
    <t>West Northwestern Ohio nonmetropolitan</t>
  </si>
  <si>
    <t>Wheeling, WV-OH</t>
  </si>
  <si>
    <t>Youngstown-Warren-Boardman, OH-PA</t>
  </si>
  <si>
    <t>Oklahoma</t>
  </si>
  <si>
    <t>Oklahoma (State Average)</t>
  </si>
  <si>
    <t>Enid, OK</t>
  </si>
  <si>
    <t>Lawton, OK</t>
  </si>
  <si>
    <t>Northeast Oklahoma nonmetropolitan area</t>
  </si>
  <si>
    <t>Northwest Oklahoma nonmetropolitan area</t>
  </si>
  <si>
    <t>Oklahoma City, OK</t>
  </si>
  <si>
    <t>Southeast Oklahoma nonmetropolitan area</t>
  </si>
  <si>
    <t>Southwest Oklahoma nonmetropolitan area</t>
  </si>
  <si>
    <t>Tulsa, OK</t>
  </si>
  <si>
    <t>Oregon</t>
  </si>
  <si>
    <t>Oregon (State Average)</t>
  </si>
  <si>
    <t>Albany, OR</t>
  </si>
  <si>
    <t>Bend-Redmond, OR</t>
  </si>
  <si>
    <t>Central Oregon nonmetropolitan area</t>
  </si>
  <si>
    <t>Coast Oregon nonmetropolitan area</t>
  </si>
  <si>
    <t>Corvallis, OR</t>
  </si>
  <si>
    <t>Eastern Oregon nonmetropolitan area</t>
  </si>
  <si>
    <t>Eugene, OR</t>
  </si>
  <si>
    <t>Grants Pass, OR</t>
  </si>
  <si>
    <t>Medford, OR</t>
  </si>
  <si>
    <t>Portland-Vancouver-Hillsboro, OR-WA</t>
  </si>
  <si>
    <t>Salem, OR</t>
  </si>
  <si>
    <t>Pennsylvania</t>
  </si>
  <si>
    <t>Pennsylvania (State Average)</t>
  </si>
  <si>
    <t>Altoona, PA</t>
  </si>
  <si>
    <t>Bloomsburg-Berwick, PA</t>
  </si>
  <si>
    <t>Chambersburg-Waynesboro, PA</t>
  </si>
  <si>
    <t>East Stroudsburg, PA</t>
  </si>
  <si>
    <t>Erie, PA</t>
  </si>
  <si>
    <t>Gettysburg, PA</t>
  </si>
  <si>
    <t>Harrisburg-Carlisle, PA</t>
  </si>
  <si>
    <t>Johnstown, PA</t>
  </si>
  <si>
    <t>Lancaster, PA</t>
  </si>
  <si>
    <t>Lebanon, PA</t>
  </si>
  <si>
    <t>Northern Pennsylvania nonmetropolitan area</t>
  </si>
  <si>
    <t>Pittsburgh, PA</t>
  </si>
  <si>
    <t>Reading, PA</t>
  </si>
  <si>
    <t>Scranton--Wilkes-Barre--Hazleton, PA</t>
  </si>
  <si>
    <t>Southern Pennsylvania nonmetropolitan area</t>
  </si>
  <si>
    <t>State College, PA</t>
  </si>
  <si>
    <t>Western Pennsylvania nonmetropolitan area</t>
  </si>
  <si>
    <t>Williamsport, PA</t>
  </si>
  <si>
    <t>York-Hanover, PA</t>
  </si>
  <si>
    <t>Puerto Rico</t>
  </si>
  <si>
    <t>Puerto Rico (State Average)</t>
  </si>
  <si>
    <t>Aguadilla-Isabela, PR</t>
  </si>
  <si>
    <t>Arecibo, PR</t>
  </si>
  <si>
    <t>Guayama, PR</t>
  </si>
  <si>
    <t>Mayaguez, PR</t>
  </si>
  <si>
    <t>Ponce, PR</t>
  </si>
  <si>
    <t>Puerto Rico nonmetropolitan area</t>
  </si>
  <si>
    <t>San German, PR</t>
  </si>
  <si>
    <t>San Juan-Carolina-Caguas, PR</t>
  </si>
  <si>
    <t>Rhode Island</t>
  </si>
  <si>
    <t>Rhode Island (State Average)</t>
  </si>
  <si>
    <t>South Carolina</t>
  </si>
  <si>
    <t>South Carolina (State Average)</t>
  </si>
  <si>
    <t>Charleston-North Charleston, SC</t>
  </si>
  <si>
    <t>Columbia, SC</t>
  </si>
  <si>
    <t>Florence, SC</t>
  </si>
  <si>
    <t>Greenville-Anderson-Mauldin, SC</t>
  </si>
  <si>
    <t>Hilton Head Island-Bluffton-Beaufort, SC</t>
  </si>
  <si>
    <t>NC Spartanburg, SC</t>
  </si>
  <si>
    <t>Sumter, SC</t>
  </si>
  <si>
    <t>Upper Savannah South Carolina</t>
  </si>
  <si>
    <t>nonmetropolitan area Lower Savannah South Carolina</t>
  </si>
  <si>
    <t>nonmetropolitan area Northeast South Carolina nonmetropolitan</t>
  </si>
  <si>
    <t>South Dakota</t>
  </si>
  <si>
    <t>South Dakota (State Average)</t>
  </si>
  <si>
    <t>East South Dakota nonmetropolitan area</t>
  </si>
  <si>
    <t>Rapid City, SD</t>
  </si>
  <si>
    <t>Sioux Falls, SD</t>
  </si>
  <si>
    <t>West South Dakota nonmetropolitan area</t>
  </si>
  <si>
    <t>Tennessee</t>
  </si>
  <si>
    <t>Tennessee (State Average)</t>
  </si>
  <si>
    <t>Cleveland, TN</t>
  </si>
  <si>
    <t>Jackson, TN</t>
  </si>
  <si>
    <t>Johnson City, TN</t>
  </si>
  <si>
    <t>Kingsport-Bristol-Bristol, TN-VA</t>
  </si>
  <si>
    <t>Knoxville, TN</t>
  </si>
  <si>
    <t>Morristown, TN</t>
  </si>
  <si>
    <t>Nashville-Davidson--Murfreesboro--Franklin,</t>
  </si>
  <si>
    <t>South Central Tennessee nonmetropolitan</t>
  </si>
  <si>
    <t>TN West Tennessee nonmetropolitan area</t>
  </si>
  <si>
    <t>area East Tennessee nonmetropolitan area</t>
  </si>
  <si>
    <t>area North Central Tennessee nonmetropolitan</t>
  </si>
  <si>
    <t>Texas</t>
  </si>
  <si>
    <t>Texas (State Average)</t>
  </si>
  <si>
    <t>Abilene, TX</t>
  </si>
  <si>
    <t>Amarillo, TX</t>
  </si>
  <si>
    <t>Austin-Round Rock, TX</t>
  </si>
  <si>
    <t>Beaumont-Port Arthur, TX</t>
  </si>
  <si>
    <t>Big Thicket Region of Texas nonmetropolitan area</t>
  </si>
  <si>
    <t>Border Region of Texas nonmetropolitan area</t>
  </si>
  <si>
    <t>Brownsville-Harlingen, TX</t>
  </si>
  <si>
    <t>Coastal Plains Region of Texas nonmetropolitan area</t>
  </si>
  <si>
    <t>College Station-Bryan, TX</t>
  </si>
  <si>
    <t>Corpus Christi, TX</t>
  </si>
  <si>
    <t>Dallas-Fort Worth-Arlington, TX</t>
  </si>
  <si>
    <t>El Paso, TX</t>
  </si>
  <si>
    <t>Hill Country Region of Texas nonmetropolitan area</t>
  </si>
  <si>
    <t>Houston-The Woodlands-Sugar Land, TX</t>
  </si>
  <si>
    <t>Killeen-Temple, TX</t>
  </si>
  <si>
    <t>Laredo, TX</t>
  </si>
  <si>
    <t>Longview, TX</t>
  </si>
  <si>
    <t>Lubbock, TX</t>
  </si>
  <si>
    <t>McAllen-Edinburg-Mission, TX</t>
  </si>
  <si>
    <t>Midland, TX</t>
  </si>
  <si>
    <t>North Texas Region of Texas nonmetropolitan area</t>
  </si>
  <si>
    <t>Odessa, TX</t>
  </si>
  <si>
    <t>San Angelo, TX</t>
  </si>
  <si>
    <t>San Antonio-New Braunfels, TX</t>
  </si>
  <si>
    <t>Sherman-Denison, TX</t>
  </si>
  <si>
    <t>Tyler, TX</t>
  </si>
  <si>
    <t>Victoria, TX</t>
  </si>
  <si>
    <t>Waco, TX</t>
  </si>
  <si>
    <t>West Texas Region of Texas nonmetropolitan area</t>
  </si>
  <si>
    <t>Wichita Falls, TX</t>
  </si>
  <si>
    <t>Utah</t>
  </si>
  <si>
    <t>Utah (State Average)</t>
  </si>
  <si>
    <t>Central Utah nonmetropolitan area</t>
  </si>
  <si>
    <t>Eastern Utah nonmetropolitan area</t>
  </si>
  <si>
    <t>Ogden-Clearfield, UT</t>
  </si>
  <si>
    <t>Provo-Orem, UT</t>
  </si>
  <si>
    <t>Salt Lake City, UT</t>
  </si>
  <si>
    <t>St. George, UT</t>
  </si>
  <si>
    <t>Vermont</t>
  </si>
  <si>
    <t>Vermont (State Average)</t>
  </si>
  <si>
    <t>Burlington-South Burlington, VT</t>
  </si>
  <si>
    <t>Northern Vermont nonmetropolitan area</t>
  </si>
  <si>
    <t>Southern Vermont nonmetropolitan area</t>
  </si>
  <si>
    <t>Virgin Islands</t>
  </si>
  <si>
    <t>Virgin Islands (State Average)</t>
  </si>
  <si>
    <t>Virginia</t>
  </si>
  <si>
    <t>Virginia (State Average)</t>
  </si>
  <si>
    <t>Blacksburg-Christiansburg-Radford, VA</t>
  </si>
  <si>
    <t>Charlottesville, VA</t>
  </si>
  <si>
    <t>Harrisonburg, VA</t>
  </si>
  <si>
    <t>Lynchburg, VA</t>
  </si>
  <si>
    <t>Northeast Virginia nonmetropolitan area</t>
  </si>
  <si>
    <t>Northwest Virginia nonmetropolitan area</t>
  </si>
  <si>
    <t>Richmond, VA</t>
  </si>
  <si>
    <t>Roanoke, VA</t>
  </si>
  <si>
    <t>Southside Virginia nonmetropolitan area</t>
  </si>
  <si>
    <t>Southwest Virginia nonmetropolitan area</t>
  </si>
  <si>
    <t>Staunton-Waynesboro, VA</t>
  </si>
  <si>
    <t>WV Winchester, VA-WV</t>
  </si>
  <si>
    <t>Washington</t>
  </si>
  <si>
    <t>Washington (State Average)</t>
  </si>
  <si>
    <t>Bellingham, WA</t>
  </si>
  <si>
    <t>Bremerton-Silverdale, WA</t>
  </si>
  <si>
    <t>Eastern Washington nonmetropolitan area</t>
  </si>
  <si>
    <t>Kennewick-Richland, WA</t>
  </si>
  <si>
    <t>Longview, WA</t>
  </si>
  <si>
    <t>Mount Vernon-Anacortes, WA</t>
  </si>
  <si>
    <t>Olympia-Tumwater, WA</t>
  </si>
  <si>
    <t>Seattle-Tacoma-Bellevue, WA</t>
  </si>
  <si>
    <t>Spokane-Spokane Valley, WA</t>
  </si>
  <si>
    <t>Walla Walla, WA</t>
  </si>
  <si>
    <t>Wenatchee, WA</t>
  </si>
  <si>
    <t>Western Washington nonmetropolitan area</t>
  </si>
  <si>
    <t>Yakima, WA</t>
  </si>
  <si>
    <t>West Virginia</t>
  </si>
  <si>
    <t>West Virginia (State Average)</t>
  </si>
  <si>
    <t>Beckley, WV</t>
  </si>
  <si>
    <t>Charleston, WV</t>
  </si>
  <si>
    <t>Morgantown, WV</t>
  </si>
  <si>
    <t>Northern West Virginia nonmetropolitan area</t>
  </si>
  <si>
    <t>Parkersburg-Vienna, WV</t>
  </si>
  <si>
    <t>Southern West Virginia nonmetropolitan area</t>
  </si>
  <si>
    <t>WV Weirton-Steubenville, WV-OH</t>
  </si>
  <si>
    <t>Winchester, VA-WV</t>
  </si>
  <si>
    <t>Wisconsin</t>
  </si>
  <si>
    <t>Wisconsin (State Average)</t>
  </si>
  <si>
    <t>Appleton, WI</t>
  </si>
  <si>
    <t>Eau Claire, WI</t>
  </si>
  <si>
    <t>Fond du Lac, WI</t>
  </si>
  <si>
    <t>Green Bay, WI</t>
  </si>
  <si>
    <t>Janesville-Beloit, WI</t>
  </si>
  <si>
    <t>Madison, WI</t>
  </si>
  <si>
    <t>Milwaukee-Waukesha-West Allis, WI</t>
  </si>
  <si>
    <t>Northwestern Wisconsin nonmetropolitan</t>
  </si>
  <si>
    <t>Oshkosh-Neenah, WI</t>
  </si>
  <si>
    <t>Racine, WI</t>
  </si>
  <si>
    <t>Sheboygan, WI</t>
  </si>
  <si>
    <t>South Central Wisconsin nonmetropolitan area</t>
  </si>
  <si>
    <t>Wausau, WI</t>
  </si>
  <si>
    <t>Western Wisconsin nonmetropolitan area</t>
  </si>
  <si>
    <t>area Northeastern Wisconsin nonmetropolitan area</t>
  </si>
  <si>
    <t>Wyoming</t>
  </si>
  <si>
    <t>Wyoming (State Average)</t>
  </si>
  <si>
    <t>Casper, WY</t>
  </si>
  <si>
    <t>Cheyenne, WY</t>
  </si>
  <si>
    <t>Eastern Wyoming nonmetropolitan area</t>
  </si>
  <si>
    <t>Western Wyoming nonmetropolitan area</t>
  </si>
  <si>
    <t>Year</t>
  </si>
  <si>
    <t>Present Value</t>
  </si>
  <si>
    <t>Section</t>
  </si>
  <si>
    <t>Parameter</t>
  </si>
  <si>
    <t>Value</t>
  </si>
  <si>
    <t>Case Dates</t>
  </si>
  <si>
    <t>Evaluation Date</t>
  </si>
  <si>
    <t>05/27/2025</t>
  </si>
  <si>
    <t>Trial Date</t>
  </si>
  <si>
    <t>10/01/2026</t>
  </si>
  <si>
    <t>Evaluation Year (fractional)</t>
  </si>
  <si>
    <t>2025.4000</t>
  </si>
  <si>
    <t>Trial Year (fractional)</t>
  </si>
  <si>
    <t>2026.7479</t>
  </si>
  <si>
    <t>Claimant Demographics</t>
  </si>
  <si>
    <t>Claimant</t>
  </si>
  <si>
    <t>Female</t>
  </si>
  <si>
    <t>Claimant Date of Birth</t>
  </si>
  <si>
    <t>12/28/1958</t>
  </si>
  <si>
    <t>Claimant Age at Evaluation</t>
  </si>
  <si>
    <t>66.41</t>
  </si>
  <si>
    <t>Claimant Gender</t>
  </si>
  <si>
    <t>F</t>
  </si>
  <si>
    <t>Claimant Education</t>
  </si>
  <si>
    <t>All-Education</t>
  </si>
  <si>
    <t>Claimant Race</t>
  </si>
  <si>
    <t>All</t>
  </si>
  <si>
    <t>Claimant Employment Status</t>
  </si>
  <si>
    <t>Claimant DVD Prefix</t>
  </si>
  <si>
    <t>Married women</t>
  </si>
  <si>
    <t>Married</t>
  </si>
  <si>
    <t>Yes</t>
  </si>
  <si>
    <t>Spouse Demographics</t>
  </si>
  <si>
    <t>Spouse Date of Birth</t>
  </si>
  <si>
    <t>12/16/1957</t>
  </si>
  <si>
    <t>Spouse Age at Evaluation</t>
  </si>
  <si>
    <t>67.44</t>
  </si>
  <si>
    <t>Spouse Gender</t>
  </si>
  <si>
    <t>M</t>
  </si>
  <si>
    <t>Spouse Education</t>
  </si>
  <si>
    <t>Spouse Race</t>
  </si>
  <si>
    <t>Spouse Employment Status</t>
  </si>
  <si>
    <t>Spouse DVD Prefix</t>
  </si>
  <si>
    <t>Married men</t>
  </si>
  <si>
    <t>Child</t>
  </si>
  <si>
    <t>Youngest Child Date of Birth</t>
  </si>
  <si>
    <t>(not provided)</t>
  </si>
  <si>
    <t>Youngest Child Age at Evaluation</t>
  </si>
  <si>
    <t>Work-Life Expectancy</t>
  </si>
  <si>
    <t>Claimant WLE (years)</t>
  </si>
  <si>
    <t>4.37</t>
  </si>
  <si>
    <t>Claimant Retirement Age</t>
  </si>
  <si>
    <t>70.78</t>
  </si>
  <si>
    <t>Spouse WLE (years)</t>
  </si>
  <si>
    <t>4.65</t>
  </si>
  <si>
    <t>Spouse Retirement Age</t>
  </si>
  <si>
    <t>72.09</t>
  </si>
  <si>
    <t>Life Expectancy</t>
  </si>
  <si>
    <t>Claimant Remaining LE (years)</t>
  </si>
  <si>
    <t>17.45</t>
  </si>
  <si>
    <t>Claimant LE Age</t>
  </si>
  <si>
    <t>83.86</t>
  </si>
  <si>
    <t>Spouse Remaining LE (years)</t>
  </si>
  <si>
    <t>16.79</t>
  </si>
  <si>
    <t>Spouse LE Age</t>
  </si>
  <si>
    <t>84.23</t>
  </si>
  <si>
    <t>End Point Method</t>
  </si>
  <si>
    <t>Custom Age</t>
  </si>
  <si>
    <t>Custom End Age</t>
  </si>
  <si>
    <t>Calculation End Age</t>
  </si>
  <si>
    <t>Claimant LE Override</t>
  </si>
  <si>
    <t>Spouse LE Override</t>
  </si>
  <si>
    <t>Adjustments</t>
  </si>
  <si>
    <t>Own / Rent</t>
  </si>
  <si>
    <t>N/A</t>
  </si>
  <si>
    <t>Geographic Area</t>
  </si>
  <si>
    <t>Adjust to Trial Year Dollars</t>
  </si>
  <si>
    <t>No</t>
  </si>
  <si>
    <t>2023 Base CPI (CPI-U)</t>
  </si>
  <si>
    <t>304.702</t>
  </si>
  <si>
    <t>Trial Year CPI</t>
  </si>
  <si>
    <t>0.000</t>
  </si>
  <si>
    <t>CPI Factor (derived)</t>
  </si>
  <si>
    <t>1.000000</t>
  </si>
  <si>
    <t>OASDI Growth Rate (%)</t>
  </si>
  <si>
    <t>3.56</t>
  </si>
  <si>
    <t>HOUSEHOLD SERVICES LIFECYCLE INPUT FORM</t>
  </si>
  <si>
    <t>REPORT CONTENT INPUT</t>
  </si>
  <si>
    <t>Letter Header &amp; Salutation</t>
  </si>
  <si>
    <t>Field</t>
  </si>
  <si>
    <t>Bookmark</t>
  </si>
  <si>
    <t>Husband Date of Birth</t>
  </si>
  <si>
    <t>bk_LetterDate</t>
  </si>
  <si>
    <t>ReportDate</t>
  </si>
  <si>
    <t>Wife Date of Birth</t>
  </si>
  <si>
    <t>bk_AttyName</t>
  </si>
  <si>
    <t>AttorneyName</t>
  </si>
  <si>
    <t>Leave Blank if No Child Otherwise Defaults to Child Age Table or No Minor in Home</t>
  </si>
  <si>
    <t>bk_AttyFirm</t>
  </si>
  <si>
    <t>AttorneyFirm</t>
  </si>
  <si>
    <t>bk_AttyAddress</t>
  </si>
  <si>
    <t>AttorneyAddress</t>
  </si>
  <si>
    <t>bk_AttyCityState</t>
  </si>
  <si>
    <t>AttorneyCSZ</t>
  </si>
  <si>
    <t>This is the Date Losses Begin (for past losses date of accident or date of diagnosis)</t>
  </si>
  <si>
    <t>bk_AttyEmail</t>
  </si>
  <si>
    <t>AttorneyEmail</t>
  </si>
  <si>
    <t>bk_ClaimantName</t>
  </si>
  <si>
    <t>ClaimantName</t>
  </si>
  <si>
    <t>Husband Education</t>
  </si>
  <si>
    <t>bk_AttyGreeting</t>
  </si>
  <si>
    <t>AttorneyGreeting</t>
  </si>
  <si>
    <t>Wife Education</t>
  </si>
  <si>
    <t>Running Header (every page)</t>
  </si>
  <si>
    <t>Husband Race</t>
  </si>
  <si>
    <t>Wife Race</t>
  </si>
  <si>
    <t>bk_HdrAttyName</t>
  </si>
  <si>
    <t>bk_HdrClaimant</t>
  </si>
  <si>
    <t>Page 1: Summary Bullets</t>
  </si>
  <si>
    <t>Own/Rent</t>
  </si>
  <si>
    <t>End Point</t>
  </si>
  <si>
    <t>Husband Life Expectancy Override</t>
  </si>
  <si>
    <t>Wife Life Expectancy Override</t>
  </si>
  <si>
    <t>Husband Retirement Age Override</t>
  </si>
  <si>
    <t>Wife Retirement Age Override</t>
  </si>
  <si>
    <t>NOTES:</t>
  </si>
  <si>
    <t>• Date fields: MM/DD/YYYY format</t>
  </si>
  <si>
    <t>• Life Expectancy Override: leave blank to auto-lookup from CDC NVSR 74-06 (2023) tables</t>
  </si>
  <si>
    <t>• CPI Adjustment: inflates DVD 2023 base values to trial year dollars using CPI ratio</t>
  </si>
  <si>
    <t>• Geographic Adjustment: applied as a percentage of the national average</t>
  </si>
  <si>
    <t>Time To Marity</t>
  </si>
  <si>
    <t>Discount Rate (Nominal)</t>
  </si>
  <si>
    <t>2027</t>
  </si>
  <si>
    <t>1</t>
  </si>
  <si>
    <t>2.359</t>
  </si>
  <si>
    <t>2028</t>
  </si>
  <si>
    <t>2</t>
  </si>
  <si>
    <t>2.372</t>
  </si>
  <si>
    <t>2029</t>
  </si>
  <si>
    <t>3</t>
  </si>
  <si>
    <t>2.393</t>
  </si>
  <si>
    <t>2030</t>
  </si>
  <si>
    <t>4</t>
  </si>
  <si>
    <t>2.470</t>
  </si>
  <si>
    <t>2031</t>
  </si>
  <si>
    <t>5</t>
  </si>
  <si>
    <t>2.543</t>
  </si>
  <si>
    <t>2032</t>
  </si>
  <si>
    <t>6</t>
  </si>
  <si>
    <t>2.640</t>
  </si>
  <si>
    <t>2033</t>
  </si>
  <si>
    <t>7</t>
  </si>
  <si>
    <t>2.754</t>
  </si>
  <si>
    <t>2034</t>
  </si>
  <si>
    <t>8</t>
  </si>
  <si>
    <t>2.824</t>
  </si>
  <si>
    <t>2035</t>
  </si>
  <si>
    <t>9</t>
  </si>
  <si>
    <t>2.919</t>
  </si>
  <si>
    <t>2036</t>
  </si>
  <si>
    <t>10</t>
  </si>
  <si>
    <t>3.029</t>
  </si>
  <si>
    <t>2037</t>
  </si>
  <si>
    <t>11</t>
  </si>
  <si>
    <t>3.141</t>
  </si>
  <si>
    <t>2038</t>
  </si>
  <si>
    <t>12</t>
  </si>
  <si>
    <t>3.249</t>
  </si>
  <si>
    <t>2039</t>
  </si>
  <si>
    <t>13</t>
  </si>
  <si>
    <t>3.323</t>
  </si>
  <si>
    <t>2040</t>
  </si>
  <si>
    <t>14</t>
  </si>
  <si>
    <t>3.428</t>
  </si>
  <si>
    <t>2041</t>
  </si>
  <si>
    <t>15</t>
  </si>
  <si>
    <t>3.483</t>
  </si>
  <si>
    <t>2042</t>
  </si>
  <si>
    <t>16</t>
  </si>
  <si>
    <t>3.588</t>
  </si>
  <si>
    <t>2043</t>
  </si>
  <si>
    <t>17</t>
  </si>
  <si>
    <t>3.718</t>
  </si>
  <si>
    <t>2044</t>
  </si>
  <si>
    <t>18</t>
  </si>
  <si>
    <t>3.849</t>
  </si>
  <si>
    <t>2045</t>
  </si>
  <si>
    <t>19</t>
  </si>
  <si>
    <t>3.983</t>
  </si>
  <si>
    <t>2046</t>
  </si>
  <si>
    <t>20</t>
  </si>
  <si>
    <t>4.104</t>
  </si>
  <si>
    <t>2047</t>
  </si>
  <si>
    <t>21</t>
  </si>
  <si>
    <t>4.178</t>
  </si>
  <si>
    <t>2048</t>
  </si>
  <si>
    <t>22</t>
  </si>
  <si>
    <t>4.237</t>
  </si>
  <si>
    <t>2049</t>
  </si>
  <si>
    <t>23</t>
  </si>
  <si>
    <t>4.277</t>
  </si>
  <si>
    <t>2050</t>
  </si>
  <si>
    <t>24</t>
  </si>
  <si>
    <t>4.321</t>
  </si>
  <si>
    <t>2051</t>
  </si>
  <si>
    <t>25</t>
  </si>
  <si>
    <t>4.338</t>
  </si>
  <si>
    <t>2052</t>
  </si>
  <si>
    <t>26</t>
  </si>
  <si>
    <t>4.356</t>
  </si>
  <si>
    <t>2053</t>
  </si>
  <si>
    <t>27</t>
  </si>
  <si>
    <t>4.369</t>
  </si>
  <si>
    <t>2054</t>
  </si>
  <si>
    <t>28</t>
  </si>
  <si>
    <t>4.391</t>
  </si>
  <si>
    <t>2055</t>
  </si>
  <si>
    <t>29</t>
  </si>
  <si>
    <t>4.393</t>
  </si>
  <si>
    <t>2056</t>
  </si>
  <si>
    <t>30</t>
  </si>
  <si>
    <t>4.411</t>
  </si>
  <si>
    <t>Setting</t>
  </si>
  <si>
    <t>DiscountSource</t>
  </si>
  <si>
    <t>Laddered</t>
  </si>
  <si>
    <t>StaticRate</t>
  </si>
  <si>
    <t>Max Yield Years</t>
  </si>
  <si>
    <t>Fallback Rate (%)</t>
  </si>
  <si>
    <t>Table Title</t>
  </si>
  <si>
    <t>Time Use Category</t>
  </si>
  <si>
    <t>Weekly Hours</t>
  </si>
  <si>
    <t>Hourly Value</t>
  </si>
  <si>
    <t>Dollar Value of a Day</t>
  </si>
  <si>
    <t>Secondary Child Care</t>
  </si>
  <si>
    <t>Married men, Employed full-time, Regardless of spousal employment, All ages, Youngest child ages 0 or 1</t>
  </si>
  <si>
    <t>Inside Housework</t>
  </si>
  <si>
    <t>Food Cooking &amp; Clean-up</t>
  </si>
  <si>
    <t>Pets, Home &amp; Vehicles</t>
  </si>
  <si>
    <t>Household Management</t>
  </si>
  <si>
    <t>Shopping</t>
  </si>
  <si>
    <t>Obtaining Services</t>
  </si>
  <si>
    <t>Travel for Household Activity</t>
  </si>
  <si>
    <t>Household Children</t>
  </si>
  <si>
    <t>Household Adults</t>
  </si>
  <si>
    <t>Non-Household Members</t>
  </si>
  <si>
    <t>Travel for Household Members</t>
  </si>
  <si>
    <t>Travel for Non-Household Members</t>
  </si>
  <si>
    <t>Married men, Employed full-time, Regardless of spousal employment, All ages, Youngest child ages 2 through 5</t>
  </si>
  <si>
    <t>Married men, Employed full-time, Regardless of spousal employment, All ages, Youngest child ages 6 through 12</t>
  </si>
  <si>
    <t>Married men, Employed full-time, Regardless of spousal employment, All ages, Youngest child ages 13 through 17</t>
  </si>
  <si>
    <t>Married men, Employed full-time, Regardless of spousal employment, All ages, No minor children in home</t>
  </si>
  <si>
    <t>Married men, Employed full-time, Regardless of spousal employment, Less than 45 years old, No minor children in home</t>
  </si>
  <si>
    <t>Married men, Employed full-time, Regardless of spousal employment, Ages 45 through 54, No minor children in home</t>
  </si>
  <si>
    <t>Married men, Employed full-time, Regardless of spousal employment, Ages 55 &amp; over, No minor children in home</t>
  </si>
  <si>
    <t>Married men, Employed full-time, Regardless of spousal employment, All ages, Living with spouse only</t>
  </si>
  <si>
    <t>Married men, Employed full-time, Regardless of spousal employment, Less than 45 years old, Living with spouse only</t>
  </si>
  <si>
    <t>Married men, Employed full-time, Regardless of spousal employment, Ages 45 through 54, Living with spouse only</t>
  </si>
  <si>
    <t>Married men, Employed full-time, Regardless of spousal employment, Ages 55 &amp; over, Living with spouse only</t>
  </si>
  <si>
    <t>Married men, Employed full-time, Spouse employed, All ages, Youngest child ages 0 or 1</t>
  </si>
  <si>
    <t>Married men, Employed full-time, Spouse employed, All ages, Youngest child ages 2 through 5</t>
  </si>
  <si>
    <t>Married men, Employed full-time, Spouse employed, All ages, Youngest child ages 6 through 12</t>
  </si>
  <si>
    <t>Married men, Employed full-time, Spouse employed, All ages, Youngest child ages 13 through 17</t>
  </si>
  <si>
    <t>Married men, Employed full-time, Spouse employed, All ages, No minor children in home</t>
  </si>
  <si>
    <t>Married men, Employed full-time, Spouse employed, Less than 45 years old, No minor children in home</t>
  </si>
  <si>
    <t>Married men, Employed full-time, Spouse employed, Ages 45 through 54, No minor children in home</t>
  </si>
  <si>
    <t>Married men, Employed full-time, Spouse employed, Ages 55 &amp; over, No minor children in home</t>
  </si>
  <si>
    <t>Married men, Employed full-time, Spouse employed, All ages, Living with spouse only</t>
  </si>
  <si>
    <t>Married men, Employed full-time, Spouse employed, Less than 45 years old, Living with spouse only</t>
  </si>
  <si>
    <t>Married men, Employed full-time, Spouse employed, Ages 45 through 54, Living with spouse only</t>
  </si>
  <si>
    <t>Married men, Employed full-time, Spouse employed, Ages 55 &amp; over, Living with spouse only</t>
  </si>
  <si>
    <t>Married men, Employed full-time, Spouse not employed, All ages, Youngest child ages 0 or 1</t>
  </si>
  <si>
    <t>Married men, Employed full-time, Spouse not employed, All ages, Youngest child ages 2 through 5</t>
  </si>
  <si>
    <t>Married men, Employed full-time, Spouse not employed, All ages, Youngest child ages 6 through 12</t>
  </si>
  <si>
    <t>Married men, Employed full-time, Spouse not employed, All ages, Youngest child ages 13 through 17</t>
  </si>
  <si>
    <t>Married men, Employed full-time, Spouse not employed, All ages, No minor children in home</t>
  </si>
  <si>
    <t>Married men, Employed full-time, Spouse not employed, Less than 45 years old, No minor children in home</t>
  </si>
  <si>
    <t>Married men, Employed full-time, Spouse not employed, Ages 45 through 54, No minor children in home</t>
  </si>
  <si>
    <t>Married men, Employed full-time, Spouse not employed, Ages 55 &amp; over, No minor children in home</t>
  </si>
  <si>
    <t>Married men, Employed full-time, Spouse not employed, All ages, Living with spouse only</t>
  </si>
  <si>
    <t>Married men, Employed full-time, Spouse not employed, Less than 45 years old, Living with spouse only</t>
  </si>
  <si>
    <t>Married men, Employed full-time, Spouse not employed, Ages 45 through 54, Living with spouse only</t>
  </si>
  <si>
    <t>Married men, Employed full-time, Spouse not employed, Ages 55 &amp; over, Living with spouse only</t>
  </si>
  <si>
    <t>Married men, Employed part-time, Regardless of spousal employment, All ages, Youngest child ages 0 or 1</t>
  </si>
  <si>
    <t>Married men, Employed part-time, Regardless of spousal employment, All ages, Youngest child ages 2 through 5</t>
  </si>
  <si>
    <t>Married men, Employed part-time, Regardless of spousal employment, All ages, Youngest child ages 6 through 12</t>
  </si>
  <si>
    <t>Married men, Employed part-time, Regardless of spousal employment, All ages, Minor children in home</t>
  </si>
  <si>
    <t>Married men, Employed part-time, Regardless of spousal employment, All ages, No minor children in home</t>
  </si>
  <si>
    <t>Married men, Employed part-time, Regardless of spousal employment, Less than 45 years old, No minor children in home</t>
  </si>
  <si>
    <t>Married men, Employed part-time, Regardless of spousal employment, Ages 55 &amp; over, No minor children in home</t>
  </si>
  <si>
    <t>Married men, Employed part-time, Regardless of spousal employment, All ages, Living with spouse only</t>
  </si>
  <si>
    <t>Married men, Employed part-time, Regardless of spousal employment, Less than 45 years old, Living with spouse only</t>
  </si>
  <si>
    <t>Married men, Employed part-time, Regardless of spousal employment, Ages 55 &amp; over, Living with spouse only</t>
  </si>
  <si>
    <t>Married men, Employed part-time, Spouse employed, All ages, Minor children in home</t>
  </si>
  <si>
    <t>Married men, Employed part-time, Spouse employed, All ages, No minor children in home</t>
  </si>
  <si>
    <t>Married men, Employed part-time, Spouse employed, Less than 45 years old, No minor children in home</t>
  </si>
  <si>
    <t>Married men, Employed part-time, Spouse employed, Ages 55 &amp; over, No minor children in home</t>
  </si>
  <si>
    <t>Married men, Employed part-time, Spouse employed, All ages, Living with spouse only</t>
  </si>
  <si>
    <t>Married men, Employed part-time, Spouse employed, Less than 45 years old, Living with spouse only</t>
  </si>
  <si>
    <t>Married men, Employed part-time, Spouse employed, Ages 55 &amp; over, Living with spouse only</t>
  </si>
  <si>
    <t>Married men, Employed part-time, Spouse not employed, All ages, Minor children in home</t>
  </si>
  <si>
    <t>Married men, Employed part-time, Spouse not employed, All ages, No minor children in home</t>
  </si>
  <si>
    <t>Married men, Employed part-time, Spouse not employed, Ages 55 &amp; over, No minor children in home</t>
  </si>
  <si>
    <t>Married men, Employed part-time, Spouse not employed, All ages, Living with spouse only</t>
  </si>
  <si>
    <t>Married men, Employed part-time, Spouse not employed, Ages 55 &amp; over, Living with spouse only</t>
  </si>
  <si>
    <t>Married men, Unemployed, Regardless of spousal employment, All ages, Youngest child ages 2 through 5</t>
  </si>
  <si>
    <t>Married men, Unemployed, Regardless of spousal employment, All ages, Youngest child ages 6 through 12</t>
  </si>
  <si>
    <t>Married men, Unemployed, Regardless of spousal employment, All ages, Minor children in home</t>
  </si>
  <si>
    <t>Married men, Unemployed, Regardless of spousal employment, All ages, No minor children in home</t>
  </si>
  <si>
    <t>Married men, Unemployed, Regardless of spousal employment, Ages 55 &amp; over, No minor children in home</t>
  </si>
  <si>
    <t>Married men, Unemployed, Regardless of spousal employment, All ages, Living with spouse only</t>
  </si>
  <si>
    <t>Married men, Unemployed, Regardless of spousal employment, Ages 55 &amp; over, Living with spouse only</t>
  </si>
  <si>
    <t>Married men, Unemployed, Spouse employed, All ages, Minor children in home</t>
  </si>
  <si>
    <t>Married men, Unemployed, Spouse employed, All ages, No minor children in home</t>
  </si>
  <si>
    <t>Married men, Unemployed, Spouse employed, All ages, Living with spouse only</t>
  </si>
  <si>
    <t>Married men, Unemployed, Spouse not employed, All ages, Minor children in home</t>
  </si>
  <si>
    <t>Married men, Unemployed, Spouse not employed, All ages, No minor children in home</t>
  </si>
  <si>
    <t>Married men, Disabled and unable to work, Regardless of spousal employment, All ages, Minor children in home</t>
  </si>
  <si>
    <t>Married men, Disabled and unable to work, Regardless of spousal employment, Less than 45 years old, Minor children in home</t>
  </si>
  <si>
    <t>Married men, Disabled and unable to work, Regardless of spousal employment, Ages 45 through 54, Minor children in home</t>
  </si>
  <si>
    <t>Married men, Disabled and unable to work, Regardless of spousal employment, All ages, No minor children in home</t>
  </si>
  <si>
    <t>Married men, Disabled and unable to work, Regardless of spousal employment, Ages 45 through 54, No minor children in home</t>
  </si>
  <si>
    <t>Married men, Disabled and unable to work, Regardless of spousal employment, Ages 55 &amp; over, No minor children in home</t>
  </si>
  <si>
    <t>Married men, Disabled and unable to work, Regardless of spousal employment, All ages, Living with spouse only</t>
  </si>
  <si>
    <t>Married men, Disabled and unable to work, Regardless of spousal employment, Ages 55 &amp; over, Living with spouse only</t>
  </si>
  <si>
    <t>Married men, Disabled and unable to work, Spouse employed, All ages, Minor children in home</t>
  </si>
  <si>
    <t>Married men, Disabled and unable to work, Spouse employed, All ages, No minor children in home</t>
  </si>
  <si>
    <t>Married men, Disabled and unable to work, Spouse employed, Ages 55 &amp; over, No minor children in home</t>
  </si>
  <si>
    <t>Married men, Disabled and unable to work, Spouse employed, All ages, Living with spouse only</t>
  </si>
  <si>
    <t>Married men, Disabled and unable to work, Spouse employed, Ages 55 &amp; over, Living with spouse only</t>
  </si>
  <si>
    <t>Married men, Disabled and unable to work, Spouse not employed, All ages, Minor children in home</t>
  </si>
  <si>
    <t>Married men, Disabled and unable to work, Spouse not employed, All ages, No minor children in home</t>
  </si>
  <si>
    <t>Married men, Disabled and unable to work, Spouse not employed, Ages 55 &amp; over, No minor children in home</t>
  </si>
  <si>
    <t>Married men, Disabled and unable to work, Spouse not employed, All ages, Living with spouse only</t>
  </si>
  <si>
    <t>Married men, Disabled and unable to work, Spouse not employed, Ages 55 &amp; over, Living with spouse only</t>
  </si>
  <si>
    <t>Married men, Homemaker not in labor force, Regardless of spousal employment, All ages, Minor children in home</t>
  </si>
  <si>
    <t>Married men, Homemaker not in labor force, Spouse employed, All ages, Minor children in home</t>
  </si>
  <si>
    <t>Married men, Retired, Regardless of spousal employment, All ages, Minor children in home</t>
  </si>
  <si>
    <t>Married men, Retired, Regardless of spousal employment, All ages, No minor children in home</t>
  </si>
  <si>
    <t>Married men, Retired, Regardless of spousal employment, Under age 62, No minor children in home</t>
  </si>
  <si>
    <t>Married men, Retired, Regardless of spousal employment, Ages 62 through 74, No minor children in home</t>
  </si>
  <si>
    <t>Married men, Retired, Regardless of spousal employment, Ages 75 &amp; over, No minor children in home</t>
  </si>
  <si>
    <t>Married men, Retired, Regardless of spousal employment, All ages, Living with spouse only</t>
  </si>
  <si>
    <t>Married men, Retired, Regardless of spousal employment, Under age 62, Living with spouse only</t>
  </si>
  <si>
    <t>Married men, Retired, Regardless of spousal employment, Ages 62 through 74, Living with spouse only</t>
  </si>
  <si>
    <t>Married men, Retired, Regardless of spousal employment, Ages 75 &amp; over, Living with spouse only</t>
  </si>
  <si>
    <t>Married men, Retired, Spouse employed, All ages, No minor children in home</t>
  </si>
  <si>
    <t>Married men, Retired, Spouse employed, Under age 62, No minor children in home</t>
  </si>
  <si>
    <t>Married men, Retired, Spouse employed, Ages 62 through 74, No minor children in home</t>
  </si>
  <si>
    <t>Married men, Retired, Spouse employed, Ages 75 &amp; over, No minor children in home</t>
  </si>
  <si>
    <t>Married men, Retired, Spouse employed, All ages, Living with spouse only</t>
  </si>
  <si>
    <t>Married men, Retired, Spouse employed, Under age 62, Living with spouse only</t>
  </si>
  <si>
    <t>Married men, Retired, Spouse employed, Ages 62 through 74, Living with spouse only</t>
  </si>
  <si>
    <t>Married men, Retired, Spouse not employed, All ages, Minor children in home</t>
  </si>
  <si>
    <t>Married men, Retired, Spouse not employed, All ages, No minor children in home</t>
  </si>
  <si>
    <t>Married men, Retired, Spouse not employed, Under age 62, No minor children in home</t>
  </si>
  <si>
    <t>Married men, Retired, Spouse not employed, Ages 62 through 74, No minor children in home</t>
  </si>
  <si>
    <t>Married men, Retired, Spouse not employed, Ages 75 &amp; over, No minor children in home</t>
  </si>
  <si>
    <t>Married men, Retired, Spouse not employed, All ages, Living with spouse only</t>
  </si>
  <si>
    <t>Married men, Retired, Spouse not employed, Under age 62, Living with spouse only</t>
  </si>
  <si>
    <t>Married men, Retired, Spouse not employed, Ages 62 through 74, Living with spouse only</t>
  </si>
  <si>
    <t>Married men, Retired, Spouse not employed, Ages 75 &amp; over, Living with spouse only</t>
  </si>
  <si>
    <t>Married women, Employed full-time, Regardless of spousal employment, All ages, Youngest child ages 0 or 1</t>
  </si>
  <si>
    <t>Married women, Employed full-time, Regardless of spousal employment, All ages, Youngest child ages 2 through 5</t>
  </si>
  <si>
    <t>Married women, Employed full-time, Regardless of spousal employment, All ages, Youngest child ages 6 through 12</t>
  </si>
  <si>
    <t>Married women, Employed full-time, Regardless of spousal employment, All ages, Youngest child ages 13 through 17</t>
  </si>
  <si>
    <t>Married women, Employed full-time, Regardless of spousal employment, All ages, No minor children in home</t>
  </si>
  <si>
    <t>Married women, Employed full-time, Regardless of spousal employment, Less than 45 years old, No minor children in home</t>
  </si>
  <si>
    <t>Married women, Employed full-time, Regardless of spousal employment, Ages 45 through 54, No minor children in home</t>
  </si>
  <si>
    <t>Married women, Employed full-time, Regardless of spousal employment, Ages 55 &amp; over, No minor children in home</t>
  </si>
  <si>
    <t>Married women, Employed full-time, Regardless of spousal employment, All ages, Living with spouse only</t>
  </si>
  <si>
    <t>Married women, Employed full-time, Regardless of spousal employment, Less than 45 years old, Living with spouse only</t>
  </si>
  <si>
    <t>Married women, Employed full-time, Regardless of spousal employment, Ages 45 through 54, Living with spouse only</t>
  </si>
  <si>
    <t>Married women, Employed full-time, Regardless of spousal employment, Ages 55 &amp; over, Living with spouse only</t>
  </si>
  <si>
    <t>Married women, Employed full-time, Spouse employed, All ages, Youngest child ages 0 or 1</t>
  </si>
  <si>
    <t>Married women, Employed full-time, Spouse employed, All ages, Youngest child ages 2 through 5</t>
  </si>
  <si>
    <t>Married women, Employed full-time, Spouse employed, All ages, Youngest child ages 6 through 12</t>
  </si>
  <si>
    <t>Married women, Employed full-time, Spouse employed, All ages, Youngest child ages 13 through 17</t>
  </si>
  <si>
    <t>Married women, Employed full-time, Spouse employed, All ages, No minor children in home</t>
  </si>
  <si>
    <t>Married women, Employed full-time, Spouse employed, Less than 45 years old, No minor children in home</t>
  </si>
  <si>
    <t>Married women, Employed full-time, Spouse employed, Ages 45 through 54, No minor children in home</t>
  </si>
  <si>
    <t>Married women, Employed full-time, Spouse employed, Ages 55 &amp; over, No minor children in home</t>
  </si>
  <si>
    <t>Married women, Employed full-time, Spouse employed, All ages, Living with spouse only</t>
  </si>
  <si>
    <t>Married women, Employed full-time, Spouse employed, Less than 45 years old, Living with spouse only</t>
  </si>
  <si>
    <t>Married women, Employed full-time, Spouse employed, Ages 45 through 54, Living with spouse only</t>
  </si>
  <si>
    <t>Married women, Employed full-time, Spouse employed, Ages 55 &amp; over, Living with spouse only</t>
  </si>
  <si>
    <t>Married women, Employed full-time, Spouse not employed, All ages, Youngest child ages 2 through 5</t>
  </si>
  <si>
    <t>Married women, Employed full-time, Spouse not employed, All ages, Youngest child ages 6 through 12</t>
  </si>
  <si>
    <t>Married women, Employed full-time, Spouse not employed, All ages, Youngest child ages 13 through 17</t>
  </si>
  <si>
    <t>Married women, Employed full-time, Spouse not employed, All ages, No minor children in home</t>
  </si>
  <si>
    <t>Married women, Employed full-time, Spouse not employed, Less than 45 years old, No minor children in home</t>
  </si>
  <si>
    <t>Married women, Employed full-time, Spouse not employed, Ages 45 through 54, No minor children in home</t>
  </si>
  <si>
    <t>Married women, Employed full-time, Spouse not employed, All ages, Living with spouse only</t>
  </si>
  <si>
    <t>Married women, Employed full-time, Spouse not employed, Less than 45 years old, Living with spouse only</t>
  </si>
  <si>
    <t>Married women, Employed full-time, Spouse not employed, Ages 45 through 54, Living with spouse only</t>
  </si>
  <si>
    <t>Married women, Employed full-time, Spouse not employed, Ages 55 &amp; over, Living with spouse only</t>
  </si>
  <si>
    <t>Married women, Employed part-time, Regardless of spousal employment, All ages, Youngest child ages 0 or 1</t>
  </si>
  <si>
    <t>Married women, Employed part-time, Regardless of spousal employment, All ages, Youngest child ages 2 through 5</t>
  </si>
  <si>
    <t>Married women, Employed part-time, Regardless of spousal employment, All ages, Youngest child ages 6 through 12</t>
  </si>
  <si>
    <t>Married women, Employed part-time, Regardless of spousal employment, All ages, Youngest child ages 13 through 17</t>
  </si>
  <si>
    <t>Married women, Employed part-time, Regardless of spousal employment, All ages, No minor children in home</t>
  </si>
  <si>
    <t>Married women, Employed part-time, Regardless of spousal employment, Less than 45 years old, No minor children in home</t>
  </si>
  <si>
    <t>Married women, Employed part-time, Regardless of spousal employment, Ages 45 through 54, No minor children in home</t>
  </si>
  <si>
    <t>Married women, Employed part-time, Regardless of spousal employment, Ages 55 &amp; over, No minor children in home</t>
  </si>
  <si>
    <t>Married women, Employed part-time, Regardless of spousal employment, All ages, Living with spouse only</t>
  </si>
  <si>
    <t>Married women, Employed part-time, Regardless of spousal employment, Less than 45 years old, Living with spouse only</t>
  </si>
  <si>
    <t>Married women, Employed part-time, Regardless of spousal employment, Ages 45 through 54, Living with spouse only</t>
  </si>
  <si>
    <t>Married women, Employed part-time, Regardless of spousal employment, Ages 55 &amp; over, Living with spouse only</t>
  </si>
  <si>
    <t>Married women, Employed part-time, Spouse employed, All ages, Youngest child ages 0 or 1</t>
  </si>
  <si>
    <t>Married women, Employed part-time, Spouse employed, All ages, Youngest child ages 2 through 5</t>
  </si>
  <si>
    <t>Married women, Employed part-time, Spouse employed, All ages, Youngest child ages 6 through 12</t>
  </si>
  <si>
    <t>Married women, Employed part-time, Spouse employed, All ages, Youngest child ages 13 through 17</t>
  </si>
  <si>
    <t>Married women, Employed part-time, Spouse employed, All ages, No minor children in home</t>
  </si>
  <si>
    <t>Married women, Employed part-time, Spouse employed, Less than 45 years old, No minor children in home</t>
  </si>
  <si>
    <t>Married women, Employed part-time, Spouse employed, Ages 45 through 54, No minor children in home</t>
  </si>
  <si>
    <t>Married women, Employed part-time, Spouse employed, Ages 55 &amp; over, No minor children in home</t>
  </si>
  <si>
    <t>Married women, Employed part-time, Spouse employed, All ages, Living with spouse only</t>
  </si>
  <si>
    <t>Married women, Employed part-time, Spouse employed, Less than 45 years old, Living with spouse only</t>
  </si>
  <si>
    <t>Married women, Employed part-time, Spouse employed, Ages 45 through 54, Living with spouse only</t>
  </si>
  <si>
    <t>Married women, Employed part-time, Spouse employed, Ages 55 &amp; over, Living with spouse only</t>
  </si>
  <si>
    <t>Married women, Employed part-time, Spouse not employed, All ages, No minor children in home</t>
  </si>
  <si>
    <t>Married women, Employed part-time, Spouse not employed, Ages 55 &amp; over, No minor children in home</t>
  </si>
  <si>
    <t>Married women, Employed part-time, Spouse not employed, All ages, Living with spouse only</t>
  </si>
  <si>
    <t>Married women, Employed part-time, Spouse not employed, Ages 55 &amp; over, Living with spouse only</t>
  </si>
  <si>
    <t>Married women, Unemployed, Regardless of spousal employment, All ages, Minor children in home</t>
  </si>
  <si>
    <t>Married women, Unemployed, Regardless of spousal employment, All ages, No minor children in home</t>
  </si>
  <si>
    <t>Married women, Unemployed, Regardless of spousal employment, All ages, Living with spouse only</t>
  </si>
  <si>
    <t>Married women, Unemployed, Spouse employed, All ages, Minor children in home</t>
  </si>
  <si>
    <t>Married women, Unemployed, Spouse employed, All ages, No minor children in home</t>
  </si>
  <si>
    <t>Married women, Unemployed, Spouse employed, All ages, Living with spouse only</t>
  </si>
  <si>
    <t>Married women, Disabled and unable to work, Regardless of spousal employment, All ages, Minor children in home</t>
  </si>
  <si>
    <t>Married women, Disabled and unable to work, Regardless of spousal employment, Less than 45 years old, Minor children in home</t>
  </si>
  <si>
    <t>Married women, Disabled and unable to work, Regardless of spousal employment, All ages, No minor children in home</t>
  </si>
  <si>
    <t>Married women, Disabled and unable to work, Regardless of spousal employment, Ages 45 through 54, No minor children in home</t>
  </si>
  <si>
    <t>Married women, Disabled and unable to work, Regardless of spousal employment, Ages 55 &amp; over, No minor children in home</t>
  </si>
  <si>
    <t>Married women, Disabled and unable to work, Regardless of spousal employment, All ages, Living with spouse only</t>
  </si>
  <si>
    <t>Married women, Disabled and unable to work, Regardless of spousal employment, Ages 45 through 54, Living with spouse only</t>
  </si>
  <si>
    <t>Married women, Disabled and unable to work, Regardless of spousal employment, Ages 55 &amp; over, Living with spouse only</t>
  </si>
  <si>
    <t>Married women, Disabled and unable to work, Spouse employed, All ages, Minor children in home</t>
  </si>
  <si>
    <t>Married women, Disabled and unable to work, Spouse employed, All ages, No minor children in home</t>
  </si>
  <si>
    <t>Married women, Disabled and unable to work, Spouse employed, Ages 45 through 54, No minor children in home</t>
  </si>
  <si>
    <t>Married women, Disabled and unable to work, Spouse employed, Ages 55 &amp; over, No minor children in home</t>
  </si>
  <si>
    <t>Married women, Disabled and unable to work, Spouse employed, All ages, Living with spouse only</t>
  </si>
  <si>
    <t>Married women, Disabled and unable to work, Spouse employed, Ages 45 through 54, Living with spouse only</t>
  </si>
  <si>
    <t>Married women, Disabled and unable to work, Spouse employed, Ages 55 &amp; over, Living with spouse only</t>
  </si>
  <si>
    <t>Married women, Disabled and unable to work, Spouse not employed, All ages, No minor children in home</t>
  </si>
  <si>
    <t>Married women, Disabled and unable to work, Spouse not employed, Ages 55 &amp; over, No minor children in home</t>
  </si>
  <si>
    <t>Married women, Disabled and unable to work, Spouse not employed, All ages, Living with spouse only</t>
  </si>
  <si>
    <t>Married women, Disabled and unable to work, Spouse not employed, Ages 55 &amp; over, Living with spouse only</t>
  </si>
  <si>
    <t>Married women, In school full-time, Regardless of spousal employment, All ages, Minor children in home</t>
  </si>
  <si>
    <t>Married women, In school full-time, Regardless of spousal employment, Less than 45 years old, Minor children in home</t>
  </si>
  <si>
    <t>Married women, In school full-time, Regardless of spousal employment, All ages, No minor children in home</t>
  </si>
  <si>
    <t>Married women, In school full-time, Spouse employed, All ages, Minor children in home</t>
  </si>
  <si>
    <t>Married women, In school full-time, Spouse employed, Less than 45 years old, Minor children in home</t>
  </si>
  <si>
    <t>Married women, Homemaker not in labor force, Regardless of spousal employment, All ages, Youngest child ages 0 or 1</t>
  </si>
  <si>
    <t>Married women, Homemaker not in labor force, Regardless of spousal employment, All ages, Youngest child ages 2 through 5</t>
  </si>
  <si>
    <t>Married women, Homemaker not in labor force, Regardless of spousal employment, All ages, Youngest child ages 6 through 12</t>
  </si>
  <si>
    <t>Married women, Homemaker not in labor force, Regardless of spousal employment, All ages, Youngest child ages 13 through 17</t>
  </si>
  <si>
    <t>Married women, Homemaker not in labor force, Regardless of spousal employment, All ages, No minor children in home</t>
  </si>
  <si>
    <t>Married women, Homemaker not in labor force, Regardless of spousal employment, Less than 45 years old, No minor children in home</t>
  </si>
  <si>
    <t>Married women, Homemaker not in labor force, Regardless of spousal employment, Ages 45 through 54, No minor children in home</t>
  </si>
  <si>
    <t>Married women, Homemaker not in labor force, Regardless of spousal employment, Ages 55 &amp; over, No minor children in home</t>
  </si>
  <si>
    <t>Married women, Homemaker not in labor force, Regardless of spousal employment, All ages, Living with spouse only</t>
  </si>
  <si>
    <t>Married women, Homemaker not in labor force, Regardless of spousal employment, Less than 45 years old, Living with spouse only</t>
  </si>
  <si>
    <t>Married women, Homemaker not in labor force, Regardless of spousal employment, Ages 45 through 54, Living with spouse only</t>
  </si>
  <si>
    <t>Married women, Homemaker not in labor force, Regardless of spousal employment, Ages 55 &amp; over, Living with spouse only</t>
  </si>
  <si>
    <t>Married women, Homemaker not in labor force, Spouse employed, All ages, Youngest child ages 0 or 1</t>
  </si>
  <si>
    <t>Married women, Homemaker not in labor force, Spouse employed, All ages, Youngest child ages 2 through 5</t>
  </si>
  <si>
    <t>Married women, Homemaker not in labor force, Spouse employed, All ages, Youngest child ages 6 through 12</t>
  </si>
  <si>
    <t>Married women, Homemaker not in labor force, Spouse employed, All ages, Youngest child ages 13 through 17</t>
  </si>
  <si>
    <t>Married women, Homemaker not in labor force, Spouse employed, All ages, No minor children in home</t>
  </si>
  <si>
    <t>Married women, Homemaker not in labor force, Spouse employed, Less than 45 years old, No minor children in home</t>
  </si>
  <si>
    <t>Married women, Homemaker not in labor force, Spouse employed, Ages 45 through 54, No minor children in home</t>
  </si>
  <si>
    <t>Married women, Homemaker not in labor force, Spouse employed, Ages 55 &amp; over, No minor children in home</t>
  </si>
  <si>
    <t>Married women, Homemaker not in labor force, Spouse employed, All ages, Living with spouse only</t>
  </si>
  <si>
    <t>Married women, Homemaker not in labor force, Spouse employed, Less than 45 years old, Living with spouse only</t>
  </si>
  <si>
    <t>Married women, Homemaker not in labor force, Spouse employed, Ages 45 through 54, Living with spouse only</t>
  </si>
  <si>
    <t>Married women, Homemaker not in labor force, Spouse employed, Ages 55 &amp; over, Living with spouse only</t>
  </si>
  <si>
    <t>Married women, Homemaker not in labor force, Spouse not employed, All ages, No minor children in home</t>
  </si>
  <si>
    <t>Married women, Retired, Regardless of spousal employment, All ages, Minor children in home</t>
  </si>
  <si>
    <t>Married women, Retired, Regardless of spousal employment, All ages, No minor children in home</t>
  </si>
  <si>
    <t>Married women, Retired, Regardless of spousal employment, Under age 62, No minor children in home</t>
  </si>
  <si>
    <t>Married women, Retired, Regardless of spousal employment, Ages 62 through 74, No minor children in home</t>
  </si>
  <si>
    <t>Married women, Retired, Regardless of spousal employment, Ages 75 &amp; over, No minor children in home</t>
  </si>
  <si>
    <t>Married women, Retired, Regardless of spousal employment, All ages, Living with spouse only</t>
  </si>
  <si>
    <t>Married women, Retired, Regardless of spousal employment, Under age 62, Living with spouse only</t>
  </si>
  <si>
    <t>Married women, Retired, Regardless of spousal employment, Ages 62 through 74, Living with spouse only</t>
  </si>
  <si>
    <t>Married women, Retired, Regardless of spousal employment, Ages 75 &amp; over, Living with spouse only</t>
  </si>
  <si>
    <t>Married women, Retired, Spouse employed, All ages, No minor children in home</t>
  </si>
  <si>
    <t>Married women, Retired, Spouse employed, Under age 62, No minor children in home</t>
  </si>
  <si>
    <t>Married women, Retired, Spouse employed, Ages 62 through 74, No minor children in home</t>
  </si>
  <si>
    <t>Married women, Retired, Spouse employed, All ages, Living with spouse only</t>
  </si>
  <si>
    <t>Married women, Retired, Spouse employed, Under age 62, Living with spouse only</t>
  </si>
  <si>
    <t>Married women, Retired, Spouse employed, Ages 62 through 74, Living with spouse only</t>
  </si>
  <si>
    <t>Married women, Retired, Spouse not employed, All ages, Minor children in home</t>
  </si>
  <si>
    <t>Married women, Retired, Spouse not employed, All ages, No minor children in home</t>
  </si>
  <si>
    <t>Married women, Retired, Spouse not employed, Under age 62, No minor children in home</t>
  </si>
  <si>
    <t>Married women, Retired, Spouse not employed, All ages, Living with spouse only</t>
  </si>
  <si>
    <t>Married women, Retired, Spouse not employed, Under age 62, Living with spouse only</t>
  </si>
  <si>
    <t>Married women, Retired, Spouse not employed, Ages 62 through 74, Living with spouse only</t>
  </si>
  <si>
    <t>Married women, Retired, Spouse not employed, Ages 75 &amp; over, Living with spouse only</t>
  </si>
  <si>
    <t>Single men, Employed full-time, All ages, Youngest child ages 2 through 5</t>
  </si>
  <si>
    <t>Single men, Employed full-time, All ages, Youngest child ages 6 through 12</t>
  </si>
  <si>
    <t>Single men, Employed full-time, All ages, Youngest child ages 13 through 17</t>
  </si>
  <si>
    <t>Single men, Employed full-time, All ages, Minor children in home</t>
  </si>
  <si>
    <t>Single men, Employed full-time, All ages, No minor children in home</t>
  </si>
  <si>
    <t>Single men, Employed full-time, Less than 45 years old, No minor children in home</t>
  </si>
  <si>
    <t>Single men, Employed full-time, Ages 45 through 54, No minor children in home</t>
  </si>
  <si>
    <t>Single men, Employed full-time, Ages 55 &amp; over, No minor children in home</t>
  </si>
  <si>
    <t>Single men, Employed full-time, All ages, Living alone</t>
  </si>
  <si>
    <t>Single men, Employed full-time, Less than 45 years old, Living alone</t>
  </si>
  <si>
    <t>Single men, Employed full-time, Ages 45 through 54, Living alone</t>
  </si>
  <si>
    <t>Single men, Employed full-time, Ages 55 &amp; over, Living alone</t>
  </si>
  <si>
    <t>Single men, Employed part-time, All ages, Youngest child ages 6 through 12</t>
  </si>
  <si>
    <t>Single men, Employed part-time, All ages, Youngest child ages 13 through 17</t>
  </si>
  <si>
    <t>Single men, Employed part-time, All ages, Minor children in home</t>
  </si>
  <si>
    <t>Single men, Employed part-time, All ages, No minor children in home</t>
  </si>
  <si>
    <t>Single men, Employed part-time, Less than 45 years old, No minor children in home</t>
  </si>
  <si>
    <t>Single men, Employed part-time, Ages 45 through 54, No minor children in home</t>
  </si>
  <si>
    <t>Single men, Employed part-time, Ages 55 &amp; over, No minor children in home</t>
  </si>
  <si>
    <t>Single men, Employed part-time, All ages, Living alone</t>
  </si>
  <si>
    <t>Single men, Employed part-time, Less than 45 years old, Living alone</t>
  </si>
  <si>
    <t>Single men, Employed part-time, Ages 55 &amp; over, Living alone</t>
  </si>
  <si>
    <t>Single men, Unemployed, All ages, Youngest child ages 13 through 17</t>
  </si>
  <si>
    <t>Single men, Unemployed, All ages, Minor children in home</t>
  </si>
  <si>
    <t>Single men, Unemployed, All ages, No minor children in home</t>
  </si>
  <si>
    <t>Single men, Unemployed, Less than 45 years old, No minor children in home</t>
  </si>
  <si>
    <t>Single men, Unemployed, Ages 45 through 54, No minor children in home</t>
  </si>
  <si>
    <t>Single men, Unemployed, All ages, Living alone</t>
  </si>
  <si>
    <t>Single men, Disabled and unable to work, All ages, Minor children in home</t>
  </si>
  <si>
    <t>Single men, Disabled and unable to work, All ages, No minor children in home</t>
  </si>
  <si>
    <t>Single men, Disabled and unable to work, Less than 45 years old, No minor children in home</t>
  </si>
  <si>
    <t>Single men, Disabled and unable to work, Ages 45 through 54, No minor children in home</t>
  </si>
  <si>
    <t>Single men, Disabled and unable to work, Ages 55 &amp; over, No minor children in home</t>
  </si>
  <si>
    <t>Single men, Disabled and unable to work, All ages, Living alone</t>
  </si>
  <si>
    <t>Single men, Disabled and unable to work, Less than 45 years old, Living alone</t>
  </si>
  <si>
    <t>Single men, Disabled and unable to work, Ages 45 through 54, Living alone</t>
  </si>
  <si>
    <t>Single men, Disabled and unable to work, Ages 55 &amp; over, Living alone</t>
  </si>
  <si>
    <t>Single men, In school full-time, All ages, Minor children in home</t>
  </si>
  <si>
    <t>Single men, In school full-time, Less than 45 years old, Minor children in home</t>
  </si>
  <si>
    <t>Single men, In school full-time, All ages, No minor children in home</t>
  </si>
  <si>
    <t>Single men, In school full-time, Less than 45 years old, No minor children in home</t>
  </si>
  <si>
    <t>Single men, Homemaker not in labor force, All ages, No minor children in home</t>
  </si>
  <si>
    <t>Single men, Retired, All ages, No minor children in home</t>
  </si>
  <si>
    <t>Single men, Retired, Under age 62, No minor children in home</t>
  </si>
  <si>
    <t>Single men, Retired, Ages 62 through 74, No minor children in home</t>
  </si>
  <si>
    <t>Single men, Retired, Ages 75 &amp; over, No minor children in home</t>
  </si>
  <si>
    <t>Single men, Retired, All ages, Living alone</t>
  </si>
  <si>
    <t>Single men, Retired, Under age 62, Living alone</t>
  </si>
  <si>
    <t>Single men, Retired, Ages 62 through 74, Living alone</t>
  </si>
  <si>
    <t>Single men, Retired, Ages 75 &amp; over, Living alone</t>
  </si>
  <si>
    <t>Single women, Employed full-time, All ages, Youngest child ages 0 or 1</t>
  </si>
  <si>
    <t>Single women, Employed full-time, All ages, Youngest child ages 2 through 5</t>
  </si>
  <si>
    <t>Single women, Employed full-time, All ages, Youngest child ages 6 through 12</t>
  </si>
  <si>
    <t>Single women, Employed full-time, All ages, Youngest child ages 13 through 17</t>
  </si>
  <si>
    <t>Single women, Employed full-time, All ages, No minor children in home</t>
  </si>
  <si>
    <t>Single women, Employed full-time, Less than 45 years old, No minor children in home</t>
  </si>
  <si>
    <t>Single women, Employed full-time, Ages 45 through 54, No minor children in home</t>
  </si>
  <si>
    <t>Single women, Employed full-time, Ages 55 &amp; over, No minor children in home</t>
  </si>
  <si>
    <t>Single women, Employed full-time, All ages, Living alone</t>
  </si>
  <si>
    <t>Single women, Employed full-time, Less than 45 years old, Living alone</t>
  </si>
  <si>
    <t>Single women, Employed full-time, Ages 45 through 54, Living alone</t>
  </si>
  <si>
    <t>Single women, Employed full-time, Ages 55 &amp; over, Living alone</t>
  </si>
  <si>
    <t>Single women, Employed part-time, All ages, Youngest child ages 0 or 1</t>
  </si>
  <si>
    <t>Single women, Employed part-time, All ages, Youngest child ages 2 through 5</t>
  </si>
  <si>
    <t>Single women, Employed part-time, All ages, Youngest child ages 6 through 12</t>
  </si>
  <si>
    <t>Single women, Employed part-time, All ages, Youngest child ages 13 through 17</t>
  </si>
  <si>
    <t>Single women, Employed part-time, All ages, No minor children in home</t>
  </si>
  <si>
    <t>Single women, Employed part-time, Less than 45 years old, No minor children in home</t>
  </si>
  <si>
    <t>Single women, Employed part-time, Ages 45 through 54, No minor children in home</t>
  </si>
  <si>
    <t>Single women, Employed part-time, Ages 55 &amp; over, No minor children in home</t>
  </si>
  <si>
    <t>Single women, Employed part-time, All ages, Living alone</t>
  </si>
  <si>
    <t>Single women, Employed part-time, Less than 45 years old, Living alone</t>
  </si>
  <si>
    <t>Single women, Employed part-time, Ages 55 &amp; over, Living alone</t>
  </si>
  <si>
    <t>Single women, Unemployed, All ages, Youngest child ages 2 through 5</t>
  </si>
  <si>
    <t>Single women, Unemployed, All ages, Youngest child ages 6 through 12</t>
  </si>
  <si>
    <t>Single women, Unemployed, All ages, Youngest child ages 13 through 17</t>
  </si>
  <si>
    <t>Single women, Unemployed, All ages, Minor children in home</t>
  </si>
  <si>
    <t>Single women, Unemployed, All ages, No minor children in home</t>
  </si>
  <si>
    <t>Single women, Unemployed, Less than 45 years old, No minor children in home</t>
  </si>
  <si>
    <t>Single women, Unemployed, All ages, Living alone</t>
  </si>
  <si>
    <t>Single women, Disabled and unable to work, All ages, Minor children in home</t>
  </si>
  <si>
    <t>Single women, Disabled and unable to work, Less than 45 years old, Minor children in home</t>
  </si>
  <si>
    <t>Single women, Disabled and unable to work, All ages, No minor children in home</t>
  </si>
  <si>
    <t>Single women, Disabled and unable to work, Less than 45 years old, No minor children in home</t>
  </si>
  <si>
    <t>Single women, Disabled and unable to work, Ages 45 through 54, No minor children in home</t>
  </si>
  <si>
    <t>Single women, Disabled and unable to work, Ages 55 &amp; over, No minor children in home</t>
  </si>
  <si>
    <t>Single women, Disabled and unable to work, All ages, Living alone</t>
  </si>
  <si>
    <t>Single women, Disabled and unable to work, Ages 45 through 54, Living alone</t>
  </si>
  <si>
    <t>Single women, Disabled and unable to work, Ages 55 &amp; over, Living alone</t>
  </si>
  <si>
    <t>Single women, In school full-time, All ages, Minor children in home</t>
  </si>
  <si>
    <t>Single women, In school full-time, Less than 45 years old, Minor children in home</t>
  </si>
  <si>
    <t>Single women, In school full-time, All ages, No minor children in home</t>
  </si>
  <si>
    <t>Single women, In school full-time, Less than 45 years old, No minor children in home</t>
  </si>
  <si>
    <t>Single women, Homemaker not in labor force, All ages, Youngest child ages 0 or 1</t>
  </si>
  <si>
    <t>Single women, Homemaker not in labor force, All ages, Youngest child ages 2 through 5</t>
  </si>
  <si>
    <t>Single women, Homemaker not in labor force, All ages, Youngest child ages 6 through 12</t>
  </si>
  <si>
    <t>Single women, Homemaker not in labor force, All ages, Minor children in home</t>
  </si>
  <si>
    <t>Single women, Homemaker not in labor force, Less than 45 years old, Minor children in home</t>
  </si>
  <si>
    <t>Single women, Homemaker not in labor force, All ages, No minor children in home</t>
  </si>
  <si>
    <t>Single women, Retired, All ages, Minor children in home</t>
  </si>
  <si>
    <t>Single women, Retired, All ages, No minor children in home</t>
  </si>
  <si>
    <t>Single women, Retired, Under age 62, No minor children in home</t>
  </si>
  <si>
    <t>Single women, Retired, Ages 62 through 74, No minor children in home</t>
  </si>
  <si>
    <t>Single women, Retired, Ages 75 &amp; over, No minor children in home</t>
  </si>
  <si>
    <t>Single women, Retired, All ages, Living alone</t>
  </si>
  <si>
    <t>Single women, Retired, Under age 62, Living alone</t>
  </si>
  <si>
    <t>Single women, Retired, Ages 62 through 74, Living alone</t>
  </si>
  <si>
    <t>Single women, Retired, Ages 75 &amp; over, Living alone</t>
  </si>
  <si>
    <t>Men, ages 15 &amp; over</t>
  </si>
  <si>
    <t>Men, ages 15 to 17</t>
  </si>
  <si>
    <t>Men, ages 18 &amp; over</t>
  </si>
  <si>
    <t>Men, ages 18 to 24</t>
  </si>
  <si>
    <t>Men, ages 25 to 34</t>
  </si>
  <si>
    <t>Men, ages 35 to 44</t>
  </si>
  <si>
    <t>Men, ages 45 to 54</t>
  </si>
  <si>
    <t>Men, ages 55 to 64</t>
  </si>
  <si>
    <t>Men, ages 65 to 74</t>
  </si>
  <si>
    <t>Men, ages 75 &amp; over</t>
  </si>
  <si>
    <t>Women, ages 15 &amp; over</t>
  </si>
  <si>
    <t>Women, ages 15 to 17</t>
  </si>
  <si>
    <t>Women, ages 18 &amp; over</t>
  </si>
  <si>
    <t>Women, ages 18 to 24</t>
  </si>
  <si>
    <t>Women, ages 25 to 34</t>
  </si>
  <si>
    <t>Women, ages 35 to 44</t>
  </si>
  <si>
    <t>Women, ages 45 to 54</t>
  </si>
  <si>
    <t>Women, ages 55 to 64</t>
  </si>
  <si>
    <t>Women, ages 65 to 74</t>
  </si>
  <si>
    <t>Women, ages 75 &amp; over</t>
  </si>
  <si>
    <t>Gender_Marital</t>
  </si>
  <si>
    <t>Spousal_Employment</t>
  </si>
  <si>
    <t>Age_Range</t>
  </si>
  <si>
    <t>Children</t>
  </si>
  <si>
    <t>Regardless of spousal employment</t>
  </si>
  <si>
    <t>All ages</t>
  </si>
  <si>
    <t>Youngest child ages 0 or 1</t>
  </si>
  <si>
    <t>Youngest child ages 2 through 5</t>
  </si>
  <si>
    <t>Youngest child ages 6 through 12</t>
  </si>
  <si>
    <t>Youngest child ages 13 through 17</t>
  </si>
  <si>
    <t>Less than 45 years old</t>
  </si>
  <si>
    <t>Ages 45 through 54</t>
  </si>
  <si>
    <t>Living with spouse only</t>
  </si>
  <si>
    <t>Spouse employed</t>
  </si>
  <si>
    <t>Employed part-time</t>
  </si>
  <si>
    <t>Minor children in home</t>
  </si>
  <si>
    <t>Unemployed</t>
  </si>
  <si>
    <t>Disabled and unable to work</t>
  </si>
  <si>
    <t>Homemaker not in labor force</t>
  </si>
  <si>
    <t>Under age 62</t>
  </si>
  <si>
    <t>In school full-time</t>
  </si>
  <si>
    <t>Single men</t>
  </si>
  <si>
    <t>Living alone</t>
  </si>
  <si>
    <t>Single women</t>
  </si>
  <si>
    <t>Men</t>
  </si>
  <si>
    <t>ages 15 &amp; over</t>
  </si>
  <si>
    <t>ages 15 to 17</t>
  </si>
  <si>
    <t>ages 18 &amp; over</t>
  </si>
  <si>
    <t>ages 18 to 24</t>
  </si>
  <si>
    <t>ages 25 to 34</t>
  </si>
  <si>
    <t>ages 35 to 44</t>
  </si>
  <si>
    <t>ages 45 to 54</t>
  </si>
  <si>
    <t>ages 55 to 64</t>
  </si>
  <si>
    <t>ages 65 to 74</t>
  </si>
  <si>
    <t>ages 75 &amp; over</t>
  </si>
  <si>
    <t>Women</t>
  </si>
  <si>
    <t>HP_Owners</t>
  </si>
  <si>
    <t>HP_Renters</t>
  </si>
  <si>
    <t>CH_Owners</t>
  </si>
  <si>
    <t>CH_Renters</t>
  </si>
  <si>
    <t>PT_Owners</t>
  </si>
  <si>
    <t>PT_Renters</t>
  </si>
  <si>
    <t>LE_Owners</t>
  </si>
  <si>
    <t>LE_Renters</t>
  </si>
  <si>
    <t>WE_Owners</t>
  </si>
  <si>
    <t>WE_Renters</t>
  </si>
  <si>
    <t>Pop_Owners_1000s</t>
  </si>
  <si>
    <t>Pop_Renters_1000s</t>
  </si>
  <si>
    <t>Valid_Owners</t>
  </si>
  <si>
    <t>Valid_Renters</t>
  </si>
  <si>
    <t>3,867</t>
  </si>
  <si>
    <t>1,568</t>
  </si>
  <si>
    <t>5,478</t>
  </si>
  <si>
    <t>1,779</t>
  </si>
  <si>
    <t>7,113</t>
  </si>
  <si>
    <t>1,587</t>
  </si>
  <si>
    <t>4,289</t>
  </si>
  <si>
    <t>651</t>
  </si>
  <si>
    <t>18,021</t>
  </si>
  <si>
    <t>4,115</t>
  </si>
  <si>
    <t>4,261</t>
  </si>
  <si>
    <t>2,828</t>
  </si>
  <si>
    <t>5,322</t>
  </si>
  <si>
    <t>676</t>
  </si>
  <si>
    <t>8,438</t>
  </si>
  <si>
    <t>610</t>
  </si>
  <si>
    <t>13,248</t>
  </si>
  <si>
    <t>3,421</t>
  </si>
  <si>
    <t>3,877</t>
  </si>
  <si>
    <t>2,578</t>
  </si>
  <si>
    <t>3,192</t>
  </si>
  <si>
    <t>416</t>
  </si>
  <si>
    <t>6,180</t>
  </si>
  <si>
    <t>426</t>
  </si>
  <si>
    <t>2,452</t>
  </si>
  <si>
    <t>670</t>
  </si>
  <si>
    <t>3,566</t>
  </si>
  <si>
    <t>838</t>
  </si>
  <si>
    <t>5,160</t>
  </si>
  <si>
    <t>913</t>
  </si>
  <si>
    <t>3,248</t>
  </si>
  <si>
    <t>398</t>
  </si>
  <si>
    <t>13,111</t>
  </si>
  <si>
    <t>2,954</t>
  </si>
  <si>
    <t>3,703</t>
  </si>
  <si>
    <t>2,221</t>
  </si>
  <si>
    <t>4,147</t>
  </si>
  <si>
    <t>421</t>
  </si>
  <si>
    <t>5,261</t>
  </si>
  <si>
    <t>312</t>
  </si>
  <si>
    <t>9,651</t>
  </si>
  <si>
    <t>2,472</t>
  </si>
  <si>
    <t>3,372</t>
  </si>
  <si>
    <t>2,021</t>
  </si>
  <si>
    <t>2,509</t>
  </si>
  <si>
    <t>253</t>
  </si>
  <si>
    <t>3,770</t>
  </si>
  <si>
    <t>198</t>
  </si>
  <si>
    <t>1,415</t>
  </si>
  <si>
    <t>899</t>
  </si>
  <si>
    <t>1,912</t>
  </si>
  <si>
    <t>941</t>
  </si>
  <si>
    <t>1,953</t>
  </si>
  <si>
    <t>674</t>
  </si>
  <si>
    <t>1,041</t>
  </si>
  <si>
    <t>4,909</t>
  </si>
  <si>
    <t>1,161</t>
  </si>
  <si>
    <t>558</t>
  </si>
  <si>
    <t>607</t>
  </si>
  <si>
    <t>1,175</t>
  </si>
  <si>
    <t>255</t>
  </si>
  <si>
    <t>3,177</t>
  </si>
  <si>
    <t>298</t>
  </si>
  <si>
    <t>3,598</t>
  </si>
  <si>
    <t>948</t>
  </si>
  <si>
    <t>505</t>
  </si>
  <si>
    <t>557</t>
  </si>
  <si>
    <t>683</t>
  </si>
  <si>
    <t>163</t>
  </si>
  <si>
    <t>2,410</t>
  </si>
  <si>
    <t>228</t>
  </si>
  <si>
    <t>129</t>
  </si>
  <si>
    <t>166</t>
  </si>
  <si>
    <t>156</t>
  </si>
  <si>
    <t>286</t>
  </si>
  <si>
    <t>108</t>
  </si>
  <si>
    <t>722</t>
  </si>
  <si>
    <t>488</t>
  </si>
  <si>
    <t>2,183</t>
  </si>
  <si>
    <t>537</t>
  </si>
  <si>
    <t>153</t>
  </si>
  <si>
    <t>342</t>
  </si>
  <si>
    <t>1,837</t>
  </si>
  <si>
    <t>149</t>
  </si>
  <si>
    <t>1,852</t>
  </si>
  <si>
    <t>444</t>
  </si>
  <si>
    <t>121</t>
  </si>
  <si>
    <t>314</t>
  </si>
  <si>
    <t>1,603</t>
  </si>
  <si>
    <t>114</t>
  </si>
  <si>
    <t>544</t>
  </si>
  <si>
    <t>264</t>
  </si>
  <si>
    <t>1,081</t>
  </si>
  <si>
    <t>381</t>
  </si>
  <si>
    <t>124</t>
  </si>
  <si>
    <t>277</t>
  </si>
  <si>
    <t>827</t>
  </si>
  <si>
    <t>72</t>
  </si>
  <si>
    <t>878</t>
  </si>
  <si>
    <t>328</t>
  </si>
  <si>
    <t>94</t>
  </si>
  <si>
    <t>260</t>
  </si>
  <si>
    <t>693</t>
  </si>
  <si>
    <t>56</t>
  </si>
  <si>
    <t>178</t>
  </si>
  <si>
    <t>224</t>
  </si>
  <si>
    <t>1,102</t>
  </si>
  <si>
    <t>157</t>
  </si>
  <si>
    <t>1,010</t>
  </si>
  <si>
    <t>77</t>
  </si>
  <si>
    <t>974</t>
  </si>
  <si>
    <t>116</t>
  </si>
  <si>
    <t>910</t>
  </si>
  <si>
    <t>58</t>
  </si>
  <si>
    <t>150</t>
  </si>
  <si>
    <t>133</t>
  </si>
  <si>
    <t>205</t>
  </si>
  <si>
    <t>100</t>
  </si>
  <si>
    <t>578</t>
  </si>
  <si>
    <t>629</t>
  </si>
  <si>
    <t>355</t>
  </si>
  <si>
    <t>45</t>
  </si>
  <si>
    <t>459</t>
  </si>
  <si>
    <t>191</t>
  </si>
  <si>
    <t>37</t>
  </si>
  <si>
    <t>396</t>
  </si>
  <si>
    <t>219</t>
  </si>
  <si>
    <t>429</t>
  </si>
  <si>
    <t>151</t>
  </si>
  <si>
    <t>319</t>
  </si>
  <si>
    <t>135</t>
  </si>
  <si>
    <t>182</t>
  </si>
  <si>
    <t>162</t>
  </si>
  <si>
    <t>201</t>
  </si>
  <si>
    <t>532</t>
  </si>
  <si>
    <t>308</t>
  </si>
  <si>
    <t>154</t>
  </si>
  <si>
    <t>204</t>
  </si>
  <si>
    <t>91</t>
  </si>
  <si>
    <t>1,182</t>
  </si>
  <si>
    <t>383</t>
  </si>
  <si>
    <t>288</t>
  </si>
  <si>
    <t>105</t>
  </si>
  <si>
    <t>798</t>
  </si>
  <si>
    <t>210</t>
  </si>
  <si>
    <t>828</t>
  </si>
  <si>
    <t>266</t>
  </si>
  <si>
    <t>595</t>
  </si>
  <si>
    <t>144</t>
  </si>
  <si>
    <t>335</t>
  </si>
  <si>
    <t>613</t>
  </si>
  <si>
    <t>364</t>
  </si>
  <si>
    <t>63</t>
  </si>
  <si>
    <t>90</t>
  </si>
  <si>
    <t>274</t>
  </si>
  <si>
    <t>39</t>
  </si>
  <si>
    <t>197</t>
  </si>
  <si>
    <t>570</t>
  </si>
  <si>
    <t>248</t>
  </si>
  <si>
    <t>434</t>
  </si>
  <si>
    <t>147</t>
  </si>
  <si>
    <t>412</t>
  </si>
  <si>
    <t>176</t>
  </si>
  <si>
    <t>321</t>
  </si>
  <si>
    <t>256</t>
  </si>
  <si>
    <t>155</t>
  </si>
  <si>
    <t>206</t>
  </si>
  <si>
    <t>99</t>
  </si>
  <si>
    <t>563</t>
  </si>
  <si>
    <t>76</t>
  </si>
  <si>
    <t>11,386</t>
  </si>
  <si>
    <t>624</t>
  </si>
  <si>
    <t>1,091</t>
  </si>
  <si>
    <t>53</t>
  </si>
  <si>
    <t>6,109</t>
  </si>
  <si>
    <t>282</t>
  </si>
  <si>
    <t>4,186</t>
  </si>
  <si>
    <t>289</t>
  </si>
  <si>
    <t>9,949</t>
  </si>
  <si>
    <t>561</t>
  </si>
  <si>
    <t>844</t>
  </si>
  <si>
    <t>49</t>
  </si>
  <si>
    <t>5,356</t>
  </si>
  <si>
    <t>244</t>
  </si>
  <si>
    <t>3,749</t>
  </si>
  <si>
    <t>268</t>
  </si>
  <si>
    <t>2,286</t>
  </si>
  <si>
    <t>500</t>
  </si>
  <si>
    <t>1,465</t>
  </si>
  <si>
    <t>55</t>
  </si>
  <si>
    <t>320</t>
  </si>
  <si>
    <t>1,858</t>
  </si>
  <si>
    <t>88</t>
  </si>
  <si>
    <t>371</t>
  </si>
  <si>
    <t>1,219</t>
  </si>
  <si>
    <t>47</t>
  </si>
  <si>
    <t>344</t>
  </si>
  <si>
    <t>9,100</t>
  </si>
  <si>
    <t>516</t>
  </si>
  <si>
    <t>590</t>
  </si>
  <si>
    <t>4,644</t>
  </si>
  <si>
    <t>227</t>
  </si>
  <si>
    <t>3,866</t>
  </si>
  <si>
    <t>8,091</t>
  </si>
  <si>
    <t>472</t>
  </si>
  <si>
    <t>473</t>
  </si>
  <si>
    <t>4,137</t>
  </si>
  <si>
    <t>3,482</t>
  </si>
  <si>
    <t>1,971</t>
  </si>
  <si>
    <t>565</t>
  </si>
  <si>
    <t>2,905</t>
  </si>
  <si>
    <t>841</t>
  </si>
  <si>
    <t>4,380</t>
  </si>
  <si>
    <t>840</t>
  </si>
  <si>
    <t>2,902</t>
  </si>
  <si>
    <t>365</t>
  </si>
  <si>
    <t>13,988</t>
  </si>
  <si>
    <t>3,076</t>
  </si>
  <si>
    <t>3,741</t>
  </si>
  <si>
    <t>2,212</t>
  </si>
  <si>
    <t>4,839</t>
  </si>
  <si>
    <t>506</t>
  </si>
  <si>
    <t>5,409</t>
  </si>
  <si>
    <t>358</t>
  </si>
  <si>
    <t>10,377</t>
  </si>
  <si>
    <t>2,662</t>
  </si>
  <si>
    <t>3,395</t>
  </si>
  <si>
    <t>2,066</t>
  </si>
  <si>
    <t>332</t>
  </si>
  <si>
    <t>4,027</t>
  </si>
  <si>
    <t>263</t>
  </si>
  <si>
    <t>1,801</t>
  </si>
  <si>
    <t>2,630</t>
  </si>
  <si>
    <t>652</t>
  </si>
  <si>
    <t>3,986</t>
  </si>
  <si>
    <t>702</t>
  </si>
  <si>
    <t>2,576</t>
  </si>
  <si>
    <t>287</t>
  </si>
  <si>
    <t>11,219</t>
  </si>
  <si>
    <t>2,587</t>
  </si>
  <si>
    <t>3,459</t>
  </si>
  <si>
    <t>1,981</t>
  </si>
  <si>
    <t>4,101</t>
  </si>
  <si>
    <t>402</t>
  </si>
  <si>
    <t>3,659</t>
  </si>
  <si>
    <t>8,306</t>
  </si>
  <si>
    <t>2,252</t>
  </si>
  <si>
    <t>3,168</t>
  </si>
  <si>
    <t>1,850</t>
  </si>
  <si>
    <t>2,685</t>
  </si>
  <si>
    <t>142</t>
  </si>
  <si>
    <t>276</t>
  </si>
  <si>
    <t>189</t>
  </si>
  <si>
    <t>394</t>
  </si>
  <si>
    <t>138</t>
  </si>
  <si>
    <t>326</t>
  </si>
  <si>
    <t>79</t>
  </si>
  <si>
    <t>2,770</t>
  </si>
  <si>
    <t>489</t>
  </si>
  <si>
    <t>231</t>
  </si>
  <si>
    <t>738</t>
  </si>
  <si>
    <t>104</t>
  </si>
  <si>
    <t>1,750</t>
  </si>
  <si>
    <t>2,071</t>
  </si>
  <si>
    <t>410</t>
  </si>
  <si>
    <t>226</t>
  </si>
  <si>
    <t>216</t>
  </si>
  <si>
    <t>502</t>
  </si>
  <si>
    <t>73</t>
  </si>
  <si>
    <t>1,342</t>
  </si>
  <si>
    <t>708</t>
  </si>
  <si>
    <t>290</t>
  </si>
  <si>
    <t>1,019</t>
  </si>
  <si>
    <t>306</t>
  </si>
  <si>
    <t>1,544</t>
  </si>
  <si>
    <t>861</t>
  </si>
  <si>
    <t>803</t>
  </si>
  <si>
    <t>530</t>
  </si>
  <si>
    <t>1,087</t>
  </si>
  <si>
    <t>2,453</t>
  </si>
  <si>
    <t>139</t>
  </si>
  <si>
    <t>3,004</t>
  </si>
  <si>
    <t>661</t>
  </si>
  <si>
    <t>453</t>
  </si>
  <si>
    <t>475</t>
  </si>
  <si>
    <t>598</t>
  </si>
  <si>
    <t>1,952</t>
  </si>
  <si>
    <t>662</t>
  </si>
  <si>
    <t>249</t>
  </si>
  <si>
    <t>958</t>
  </si>
  <si>
    <t>1,444</t>
  </si>
  <si>
    <t>225</t>
  </si>
  <si>
    <t>779</t>
  </si>
  <si>
    <t>2,922</t>
  </si>
  <si>
    <t>515</t>
  </si>
  <si>
    <t>954</t>
  </si>
  <si>
    <t>109</t>
  </si>
  <si>
    <t>1,453</t>
  </si>
  <si>
    <t>81</t>
  </si>
  <si>
    <t>2,050</t>
  </si>
  <si>
    <t>411</t>
  </si>
  <si>
    <t>431</t>
  </si>
  <si>
    <t>517</t>
  </si>
  <si>
    <t>60</t>
  </si>
  <si>
    <t>1,123</t>
  </si>
  <si>
    <t>67</t>
  </si>
  <si>
    <t>1,179</t>
  </si>
  <si>
    <t>141</t>
  </si>
  <si>
    <t>1,000</t>
  </si>
  <si>
    <t>103</t>
  </si>
  <si>
    <t>829</t>
  </si>
  <si>
    <t>42</t>
  </si>
  <si>
    <t>556</t>
  </si>
  <si>
    <t>552</t>
  </si>
  <si>
    <t>414</t>
  </si>
  <si>
    <t>230</t>
  </si>
  <si>
    <t>463</t>
  </si>
  <si>
    <t>395</t>
  </si>
  <si>
    <t>208</t>
  </si>
  <si>
    <t>309</t>
  </si>
  <si>
    <t>192</t>
  </si>
  <si>
    <t>492</t>
  </si>
  <si>
    <t>262</t>
  </si>
  <si>
    <t>1,409</t>
  </si>
  <si>
    <t>486</t>
  </si>
  <si>
    <t>164</t>
  </si>
  <si>
    <t>823</t>
  </si>
  <si>
    <t>1,067</t>
  </si>
  <si>
    <t>378</t>
  </si>
  <si>
    <t>340</t>
  </si>
  <si>
    <t>637</t>
  </si>
  <si>
    <t>334</t>
  </si>
  <si>
    <t>146</t>
  </si>
  <si>
    <t>814</t>
  </si>
  <si>
    <t>214</t>
  </si>
  <si>
    <t>322</t>
  </si>
  <si>
    <t>89</t>
  </si>
  <si>
    <t>64</t>
  </si>
  <si>
    <t>168</t>
  </si>
  <si>
    <t>218</t>
  </si>
  <si>
    <t>65</t>
  </si>
  <si>
    <t>325</t>
  </si>
  <si>
    <t>48</t>
  </si>
  <si>
    <t>273</t>
  </si>
  <si>
    <t>407</t>
  </si>
  <si>
    <t>137</t>
  </si>
  <si>
    <t>470</t>
  </si>
  <si>
    <t>313</t>
  </si>
  <si>
    <t>136</t>
  </si>
  <si>
    <t>175</t>
  </si>
  <si>
    <t>200</t>
  </si>
  <si>
    <t>113</t>
  </si>
  <si>
    <t>1,340</t>
  </si>
  <si>
    <t>1,065</t>
  </si>
  <si>
    <t>1,680</t>
  </si>
  <si>
    <t>971</t>
  </si>
  <si>
    <t>1,593</t>
  </si>
  <si>
    <t>551</t>
  </si>
  <si>
    <t>688</t>
  </si>
  <si>
    <t>1,682</t>
  </si>
  <si>
    <t>529</t>
  </si>
  <si>
    <t>675</t>
  </si>
  <si>
    <t>131</t>
  </si>
  <si>
    <t>701</t>
  </si>
  <si>
    <t>84</t>
  </si>
  <si>
    <t>446</t>
  </si>
  <si>
    <t>254</t>
  </si>
  <si>
    <t>316</t>
  </si>
  <si>
    <t>1,266</t>
  </si>
  <si>
    <t>943</t>
  </si>
  <si>
    <t>1,594</t>
  </si>
  <si>
    <t>853</t>
  </si>
  <si>
    <t>1,496</t>
  </si>
  <si>
    <t>628</t>
  </si>
  <si>
    <t>123</t>
  </si>
  <si>
    <t>1,367</t>
  </si>
  <si>
    <t>450</t>
  </si>
  <si>
    <t>283</t>
  </si>
  <si>
    <t>576</t>
  </si>
  <si>
    <t>110</t>
  </si>
  <si>
    <t>514</t>
  </si>
  <si>
    <t>57</t>
  </si>
  <si>
    <t>886</t>
  </si>
  <si>
    <t>389</t>
  </si>
  <si>
    <t>234</t>
  </si>
  <si>
    <t>291</t>
  </si>
  <si>
    <t>361</t>
  </si>
  <si>
    <t>33</t>
  </si>
  <si>
    <t>315</t>
  </si>
  <si>
    <t>78</t>
  </si>
  <si>
    <t>494</t>
  </si>
  <si>
    <t>11,470</t>
  </si>
  <si>
    <t>690</t>
  </si>
  <si>
    <t>1,678</t>
  </si>
  <si>
    <t>6,574</t>
  </si>
  <si>
    <t>362</t>
  </si>
  <si>
    <t>3,218</t>
  </si>
  <si>
    <t>229</t>
  </si>
  <si>
    <t>10,101</t>
  </si>
  <si>
    <t>591</t>
  </si>
  <si>
    <t>5,841</t>
  </si>
  <si>
    <t>2,919</t>
  </si>
  <si>
    <t>188</t>
  </si>
  <si>
    <t>2,396</t>
  </si>
  <si>
    <t>764</t>
  </si>
  <si>
    <t>52</t>
  </si>
  <si>
    <t>1,392</t>
  </si>
  <si>
    <t>74</t>
  </si>
  <si>
    <t>2,029</t>
  </si>
  <si>
    <t>582</t>
  </si>
  <si>
    <t>50</t>
  </si>
  <si>
    <t>1,229</t>
  </si>
  <si>
    <t>323</t>
  </si>
  <si>
    <t>36</t>
  </si>
  <si>
    <t>9,074</t>
  </si>
  <si>
    <t>548</t>
  </si>
  <si>
    <t>914</t>
  </si>
  <si>
    <t>5,183</t>
  </si>
  <si>
    <t>2,977</t>
  </si>
  <si>
    <t>8,072</t>
  </si>
  <si>
    <t>468</t>
  </si>
  <si>
    <t>757</t>
  </si>
  <si>
    <t>41</t>
  </si>
  <si>
    <t>4,613</t>
  </si>
  <si>
    <t>252</t>
  </si>
  <si>
    <t>2,701</t>
  </si>
  <si>
    <t>284</t>
  </si>
  <si>
    <t>806</t>
  </si>
  <si>
    <t>427</t>
  </si>
  <si>
    <t>907</t>
  </si>
  <si>
    <t>2,266</t>
  </si>
  <si>
    <t>1,163</t>
  </si>
  <si>
    <t>10,333</t>
  </si>
  <si>
    <t>7,696</t>
  </si>
  <si>
    <t>6,368</t>
  </si>
  <si>
    <t>5,746</t>
  </si>
  <si>
    <t>2,102</t>
  </si>
  <si>
    <t>1,190</t>
  </si>
  <si>
    <t>1,862</t>
  </si>
  <si>
    <t>759</t>
  </si>
  <si>
    <t>4,541</t>
  </si>
  <si>
    <t>4,608</t>
  </si>
  <si>
    <t>3,122</t>
  </si>
  <si>
    <t>1,326</t>
  </si>
  <si>
    <t>879</t>
  </si>
  <si>
    <t>1,303</t>
  </si>
  <si>
    <t>480</t>
  </si>
  <si>
    <t>1,033</t>
  </si>
  <si>
    <t>1,665</t>
  </si>
  <si>
    <t>424</t>
  </si>
  <si>
    <t>2,448</t>
  </si>
  <si>
    <t>1,406</t>
  </si>
  <si>
    <t>1,830</t>
  </si>
  <si>
    <t>1,054</t>
  </si>
  <si>
    <t>170</t>
  </si>
  <si>
    <t>447</t>
  </si>
  <si>
    <t>223</t>
  </si>
  <si>
    <t>522</t>
  </si>
  <si>
    <t>617</t>
  </si>
  <si>
    <t>360</t>
  </si>
  <si>
    <t>346</t>
  </si>
  <si>
    <t>278</t>
  </si>
  <si>
    <t>95</t>
  </si>
  <si>
    <t>1,108</t>
  </si>
  <si>
    <t>698</t>
  </si>
  <si>
    <t>796</t>
  </si>
  <si>
    <t>158</t>
  </si>
  <si>
    <t>265</t>
  </si>
  <si>
    <t>1,487</t>
  </si>
  <si>
    <t>1,514</t>
  </si>
  <si>
    <t>518</t>
  </si>
  <si>
    <t>363</t>
  </si>
  <si>
    <t>400</t>
  </si>
  <si>
    <t>606</t>
  </si>
  <si>
    <t>641</t>
  </si>
  <si>
    <t>524</t>
  </si>
  <si>
    <t>1,032</t>
  </si>
  <si>
    <t>239</t>
  </si>
  <si>
    <t>143</t>
  </si>
  <si>
    <t>294</t>
  </si>
  <si>
    <t>499</t>
  </si>
  <si>
    <t>5,215</t>
  </si>
  <si>
    <t>1,773</t>
  </si>
  <si>
    <t>5,208</t>
  </si>
  <si>
    <t>1,765</t>
  </si>
  <si>
    <t>1,419</t>
  </si>
  <si>
    <t>754</t>
  </si>
  <si>
    <t>748</t>
  </si>
  <si>
    <t>241</t>
  </si>
  <si>
    <t>3,657</t>
  </si>
  <si>
    <t>1,125</t>
  </si>
  <si>
    <t>387</t>
  </si>
  <si>
    <t>1,589</t>
  </si>
  <si>
    <t>572</t>
  </si>
  <si>
    <t>1,681</t>
  </si>
  <si>
    <t>422</t>
  </si>
  <si>
    <t>2,694</t>
  </si>
  <si>
    <t>984</t>
  </si>
  <si>
    <t>96</t>
  </si>
  <si>
    <t>1,212</t>
  </si>
  <si>
    <t>1,274</t>
  </si>
  <si>
    <t>388</t>
  </si>
  <si>
    <t>330</t>
  </si>
  <si>
    <t>788</t>
  </si>
  <si>
    <t>750</t>
  </si>
  <si>
    <t>1,204</t>
  </si>
  <si>
    <t>1,084</t>
  </si>
  <si>
    <t>1,080</t>
  </si>
  <si>
    <t>615</t>
  </si>
  <si>
    <t>8,523</t>
  </si>
  <si>
    <t>5,415</t>
  </si>
  <si>
    <t>3,643</t>
  </si>
  <si>
    <t>3,519</t>
  </si>
  <si>
    <t>2,061</t>
  </si>
  <si>
    <t>1,012</t>
  </si>
  <si>
    <t>2,819</t>
  </si>
  <si>
    <t>883</t>
  </si>
  <si>
    <t>3,955</t>
  </si>
  <si>
    <t>3,307</t>
  </si>
  <si>
    <t>1,122</t>
  </si>
  <si>
    <t>2,070</t>
  </si>
  <si>
    <t>1,076</t>
  </si>
  <si>
    <t>614</t>
  </si>
  <si>
    <t>1,757</t>
  </si>
  <si>
    <t>623</t>
  </si>
  <si>
    <t>194</t>
  </si>
  <si>
    <t>171</t>
  </si>
  <si>
    <t>351</t>
  </si>
  <si>
    <t>1,373</t>
  </si>
  <si>
    <t>2,969</t>
  </si>
  <si>
    <t>1,644</t>
  </si>
  <si>
    <t>1,009</t>
  </si>
  <si>
    <t>180</t>
  </si>
  <si>
    <t>1,106</t>
  </si>
  <si>
    <t>973</t>
  </si>
  <si>
    <t>696</t>
  </si>
  <si>
    <t>333</t>
  </si>
  <si>
    <t>793</t>
  </si>
  <si>
    <t>111</t>
  </si>
  <si>
    <t>217</t>
  </si>
  <si>
    <t>181</t>
  </si>
  <si>
    <t>132</t>
  </si>
  <si>
    <t>554</t>
  </si>
  <si>
    <t>671</t>
  </si>
  <si>
    <t>257</t>
  </si>
  <si>
    <t>202</t>
  </si>
  <si>
    <t>397</t>
  </si>
  <si>
    <t>592</t>
  </si>
  <si>
    <t>327</t>
  </si>
  <si>
    <t>1,386</t>
  </si>
  <si>
    <t>1,595</t>
  </si>
  <si>
    <t>267</t>
  </si>
  <si>
    <t>295</t>
  </si>
  <si>
    <t>456</t>
  </si>
  <si>
    <t>824</t>
  </si>
  <si>
    <t>866</t>
  </si>
  <si>
    <t>1,085</t>
  </si>
  <si>
    <t>302</t>
  </si>
  <si>
    <t>466</t>
  </si>
  <si>
    <t>4,868</t>
  </si>
  <si>
    <t>1,737</t>
  </si>
  <si>
    <t>4,861</t>
  </si>
  <si>
    <t>1,726</t>
  </si>
  <si>
    <t>1,410</t>
  </si>
  <si>
    <t>663</t>
  </si>
  <si>
    <t>270</t>
  </si>
  <si>
    <t>118</t>
  </si>
  <si>
    <t>526</t>
  </si>
  <si>
    <t>741</t>
  </si>
  <si>
    <t>648</t>
  </si>
  <si>
    <t>509</t>
  </si>
  <si>
    <t>8,411</t>
  </si>
  <si>
    <t>2,436</t>
  </si>
  <si>
    <t>403</t>
  </si>
  <si>
    <t>130</t>
  </si>
  <si>
    <t>3,154</t>
  </si>
  <si>
    <t>949</t>
  </si>
  <si>
    <t>4,854</t>
  </si>
  <si>
    <t>1,357</t>
  </si>
  <si>
    <t>6,176</t>
  </si>
  <si>
    <t>2,079</t>
  </si>
  <si>
    <t>92</t>
  </si>
  <si>
    <t>2,323</t>
  </si>
  <si>
    <t>800</t>
  </si>
  <si>
    <t>3,605</t>
  </si>
  <si>
    <t>1,186</t>
  </si>
  <si>
    <t>88,745</t>
  </si>
  <si>
    <t>30,903</t>
  </si>
  <si>
    <t>5,620</t>
  </si>
  <si>
    <t>1,743</t>
  </si>
  <si>
    <t>83,124</t>
  </si>
  <si>
    <t>29,160</t>
  </si>
  <si>
    <t>8,679</t>
  </si>
  <si>
    <t>5,331</t>
  </si>
  <si>
    <t>11,525</t>
  </si>
  <si>
    <t>9,098</t>
  </si>
  <si>
    <t>14,563</t>
  </si>
  <si>
    <t>5,684</t>
  </si>
  <si>
    <t>16,275</t>
  </si>
  <si>
    <t>4,070</t>
  </si>
  <si>
    <t>15,010</t>
  </si>
  <si>
    <t>2,805</t>
  </si>
  <si>
    <t>10,236</t>
  </si>
  <si>
    <t>1,331</t>
  </si>
  <si>
    <t>6,837</t>
  </si>
  <si>
    <t>93,890</t>
  </si>
  <si>
    <t>33,554</t>
  </si>
  <si>
    <t>5,463</t>
  </si>
  <si>
    <t>1,622</t>
  </si>
  <si>
    <t>88,427</t>
  </si>
  <si>
    <t>31,932</t>
  </si>
  <si>
    <t>7,993</t>
  </si>
  <si>
    <t>5,951</t>
  </si>
  <si>
    <t>11,675</t>
  </si>
  <si>
    <t>9,169</t>
  </si>
  <si>
    <t>15,124</t>
  </si>
  <si>
    <t>5,679</t>
  </si>
  <si>
    <t>16,911</t>
  </si>
  <si>
    <t>4,407</t>
  </si>
  <si>
    <t>16,138</t>
  </si>
  <si>
    <t>3,045</t>
  </si>
  <si>
    <t>11,475</t>
  </si>
  <si>
    <t>1,884</t>
  </si>
  <si>
    <t>9,112</t>
  </si>
  <si>
    <t>1,798</t>
  </si>
  <si>
    <t>Table</t>
  </si>
  <si>
    <t>Gender</t>
  </si>
  <si>
    <t>Age</t>
  </si>
  <si>
    <t>WLE_Mean</t>
  </si>
  <si>
    <t>No Education to 9th</t>
  </si>
  <si>
    <t>10th to 12th Grade</t>
  </si>
  <si>
    <t>GED</t>
  </si>
  <si>
    <t>HSD</t>
  </si>
  <si>
    <t>Some College</t>
  </si>
  <si>
    <t>Associates Degree</t>
  </si>
  <si>
    <t>Bachelor's Degree</t>
  </si>
  <si>
    <t>Master's Degree</t>
  </si>
  <si>
    <t>Professional or Doctoral</t>
  </si>
  <si>
    <t>Rate</t>
  </si>
  <si>
    <t>OASDI Rate (%)</t>
  </si>
  <si>
    <t>States</t>
  </si>
  <si>
    <t>Areas</t>
  </si>
  <si>
    <t>Race</t>
  </si>
  <si>
    <t>Life_Expectancy</t>
  </si>
  <si>
    <t>Hispanic</t>
  </si>
  <si>
    <t>Black</t>
  </si>
  <si>
    <t>White</t>
  </si>
  <si>
    <t>Calendar Year</t>
  </si>
  <si>
    <t>TABLE NAME</t>
  </si>
  <si>
    <t>Dallas-Fort Worth-Arlington, TX, Texas AVG</t>
  </si>
  <si>
    <t>PV @ 100%</t>
  </si>
  <si>
    <t>CUMULATIVE</t>
  </si>
  <si>
    <t>Table Number</t>
  </si>
  <si>
    <t>DVD</t>
  </si>
  <si>
    <t>TIME-USE CATEGORY SELECTION</t>
  </si>
  <si>
    <t>Select which categories to include. If Household Production (aggregate) is selected, individual subcategories are excluded.</t>
  </si>
  <si>
    <t>Include</t>
  </si>
  <si>
    <t>Type</t>
  </si>
  <si>
    <t>% Reduction</t>
  </si>
  <si>
    <t>Do not enter as decimal or percent</t>
  </si>
  <si>
    <t>Subcategory</t>
  </si>
  <si>
    <t>Part of Household Production</t>
  </si>
  <si>
    <t>Aggregate</t>
  </si>
  <si>
    <t>Sum of 7 subcategories above — select EITHER this OR individual</t>
  </si>
  <si>
    <t>Separate</t>
  </si>
  <si>
    <t>Caring for household children</t>
  </si>
  <si>
    <t>Caring for household adults</t>
  </si>
  <si>
    <t>Travel for caring for household members</t>
  </si>
  <si>
    <t>VALIDATION TESTS</t>
  </si>
  <si>
    <t>Test</t>
  </si>
  <si>
    <t>Description</t>
  </si>
  <si>
    <t>Expected</t>
  </si>
  <si>
    <t>Actual</t>
  </si>
  <si>
    <t>Result</t>
  </si>
  <si>
    <t>Age at Evaluation</t>
  </si>
  <si>
    <t>DOB to Eval Date</t>
  </si>
  <si>
    <t>Life Expectancy Age</t>
  </si>
  <si>
    <t>Female All Age 46</t>
  </si>
  <si>
    <t>All-Educ Female Age 46</t>
  </si>
  <si>
    <t>Houston Geo Factor</t>
  </si>
  <si>
    <t>GeoAdj lookup %</t>
  </si>
  <si>
    <t>DVD Table 311</t>
  </si>
  <si>
    <t>DVD Table 360</t>
  </si>
  <si>
    <t>Retired 62-74</t>
  </si>
  <si>
    <t>Phase 1 Adj DVD</t>
  </si>
  <si>
    <t>51.25 × 87.01%</t>
  </si>
  <si>
    <t>Phase 1 Annual Base</t>
  </si>
  <si>
    <t>Adj DVD × 365.25</t>
  </si>
  <si>
    <t>Phase 1 w/67% Reduction</t>
  </si>
  <si>
    <t>Annual × 67%</t>
  </si>
  <si>
    <t>2027 Discount Rate</t>
  </si>
  <si>
    <t>Treasury yield</t>
  </si>
  <si>
    <t>Total PV (all years)</t>
  </si>
  <si>
    <t>Sum PV_ByYear</t>
  </si>
  <si>
    <t>Tests Passed:</t>
  </si>
  <si>
    <t>ADDITIONAL VALIDATION METHODS</t>
  </si>
  <si>
    <t>Manual Adj DVD Check</t>
  </si>
  <si>
    <t>Raw DVD × Geo%</t>
  </si>
  <si>
    <t>MANUAL SPOT CHECKS</t>
  </si>
  <si>
    <t>Adj DVD = Raw × Geo%</t>
  </si>
  <si>
    <t>Annual = Adj DVD × 365.25</t>
  </si>
  <si>
    <t>After 67% = Annual × 0.67</t>
  </si>
  <si>
    <t>CROSS-REFERENCE CHECKS</t>
  </si>
  <si>
    <t>PV_ByYear = PVSummary</t>
  </si>
  <si>
    <t>HusbandDOB</t>
  </si>
  <si>
    <t>From CaseInputs</t>
  </si>
  <si>
    <t>WifeDOB</t>
  </si>
  <si>
    <t>ChildDOB</t>
  </si>
  <si>
    <t>Yes/No</t>
  </si>
  <si>
    <t>Male or Female</t>
  </si>
  <si>
    <t>EvalDate</t>
  </si>
  <si>
    <t>TrialDate</t>
  </si>
  <si>
    <t>HusbandEdu</t>
  </si>
  <si>
    <t>WifeEdu</t>
  </si>
  <si>
    <t>HusbandRace</t>
  </si>
  <si>
    <t>WifeRace</t>
  </si>
  <si>
    <t>ClaimantEmp</t>
  </si>
  <si>
    <t>SpouseEmpRaw</t>
  </si>
  <si>
    <t>OwnRent</t>
  </si>
  <si>
    <t>GeoArea</t>
  </si>
  <si>
    <t>AdjustCPI</t>
  </si>
  <si>
    <t>BaseCPI</t>
  </si>
  <si>
    <t>TrialCPI</t>
  </si>
  <si>
    <t>GrowthRate</t>
  </si>
  <si>
    <t>EndPoint</t>
  </si>
  <si>
    <t>CustomEndAge</t>
  </si>
  <si>
    <t>HusbandLE_Override</t>
  </si>
  <si>
    <t>WifeLE_Override</t>
  </si>
  <si>
    <t>--- CALCULATED FIELDS ---</t>
  </si>
  <si>
    <t>MarriedBool</t>
  </si>
  <si>
    <t>Logical from Married</t>
  </si>
  <si>
    <t>HusbandAgeAtEval</t>
  </si>
  <si>
    <t>Age at evaluation</t>
  </si>
  <si>
    <t>WifeAgeAtEval</t>
  </si>
  <si>
    <t>ChildAgeAtEval</t>
  </si>
  <si>
    <t>ClaimantDOB</t>
  </si>
  <si>
    <t>Based on Claimant field</t>
  </si>
  <si>
    <t>SpouseDOB</t>
  </si>
  <si>
    <t>If married</t>
  </si>
  <si>
    <t>ClaimantAgeAtEval</t>
  </si>
  <si>
    <t>Claimant age</t>
  </si>
  <si>
    <t>SpouseAgeAtEval</t>
  </si>
  <si>
    <t>Spouse age</t>
  </si>
  <si>
    <t>ClaimantGender</t>
  </si>
  <si>
    <t>M or F</t>
  </si>
  <si>
    <t>SpouseGender</t>
  </si>
  <si>
    <t>ClaimantEdu</t>
  </si>
  <si>
    <t>Education level</t>
  </si>
  <si>
    <t>SpouseEdu</t>
  </si>
  <si>
    <t>ClaimantRace</t>
  </si>
  <si>
    <t>SpouseRace</t>
  </si>
  <si>
    <t>ClaimantPrefix</t>
  </si>
  <si>
    <t>DVD table prefix</t>
  </si>
  <si>
    <t>SpousePrefix</t>
  </si>
  <si>
    <t>Spouse employment if married</t>
  </si>
  <si>
    <t>ClaimantLE_Override</t>
  </si>
  <si>
    <t>LE Override</t>
  </si>
  <si>
    <t>SpouseLE_Override</t>
  </si>
  <si>
    <t>CPIFactor</t>
  </si>
  <si>
    <t>CPI adjustment</t>
  </si>
  <si>
    <t>EvalYear</t>
  </si>
  <si>
    <t>Fractional year</t>
  </si>
  <si>
    <t>TrialYear</t>
  </si>
  <si>
    <t xml:space="preserve">  PRESENT VALUE CALCULATION METHODOLOGY — HOUSEHOLD SERVICES</t>
  </si>
  <si>
    <t xml:space="preserve">  HouseholdServices_PV Query (v7) — End-of-Year Ordinary Annuity Discounting with Laddered Treasury Rates</t>
  </si>
  <si>
    <t>1.  OVERVIEW</t>
  </si>
  <si>
    <t>This workbook computes the present value of lost household services using the Dollar Value of a Day (DVD) replacement cost method. The claimant's lifecycle is divided into phases based on age, employment status, marital status, and presence of minor children. Each phase is matched to the appropriate DVD table, and costs are grown forward at the OASDI intermediate cost assumption rate, then discounted back to the trial date using U.S. Treasury yields.</t>
  </si>
  <si>
    <t>2.  DATA SOURCES</t>
  </si>
  <si>
    <t>•  DVD Tables: Dollar Value of a Day (2024 edition) — time-use survey data providing replacement cost per day by demographic profile.</t>
  </si>
  <si>
    <t>•  Geographic Adjustment: Bureau of Economic Analysis Regional Price Parities (RPP), applied as a percentage multiplier to the national DVD.</t>
  </si>
  <si>
    <t>•  Growth Rate: Social Security OASDI Trustees Report intermediate cost assumption (currently 3.56% per annum).</t>
  </si>
  <si>
    <t>•  Discount Rates: Bloomberg U.S. Treasury yield curve (daily pull), mapped by time-to-maturity. Configurable: Laddered (default), Static, or Custom.</t>
  </si>
  <si>
    <t>•  Life &amp; Work-Life Expectancy: Skoog-Ciecka (2022) tables by gender, education, and race.</t>
  </si>
  <si>
    <t>3.  LIFECYCLE PHASES</t>
  </si>
  <si>
    <t>The LifecycleBuilder query constructs sequential, non-overlapping phases from the evaluation date to the claimant's life expectancy. Phase boundaries are triggered by: (a) retirement (work-life expectancy endpoint), (b) DVD table age-range transitions (e.g., "Ages 62–74" to "Ages 75 &amp; over"), and (c) changes in children status. Each phase carries its own DVD table number, base annual cost, and demographic descriptors.</t>
  </si>
  <si>
    <t>4.  ANNUAL COST WITH GROWTH</t>
  </si>
  <si>
    <t>For each time slice, the base annual cost is grown from the trial date to the slice's start using a precise fractional exponent:</t>
  </si>
  <si>
    <t xml:space="preserve">          Grown Annual Cost  =  Base Annual Cost  ×  (1 + g)^(YearList − TrialYear)</t>
  </si>
  <si>
    <t>where g = OASDI growth rate (3.56%) and YearList is the exact fractional start of the slice. The grown cost is then prorated by OverlapLen (fraction of the calendar year this slice covers). Past losses receive no growth — they are valued at face.</t>
  </si>
  <si>
    <t>5.  CALENDAR-YEAR BOUNDARY SLICING</t>
  </si>
  <si>
    <t>Because the trial date falls mid-year (October 1 = fractional year 2026.748), each annual period is split at January 1 boundaries. This ensures: (a) each calendar year receives only its proportional share of the loss, (b) the correct laddered discount rate is applied to each segment, and (c) downstream reports (PV by Year, PV by Age) reflect accurate per-calendar-year totals. Example: the first period (Oct 2026 → Oct 2027) splits into 0.252 years in 2026 and 0.748 years in 2027.</t>
  </si>
  <si>
    <t>6.  PRESENT VALUE — END-OF-YEAR DISCOUNTING</t>
  </si>
  <si>
    <t>Each slice's prorated cost is discounted back to the trial date using standard end-of-year (ordinary annuity) convention:</t>
  </si>
  <si>
    <t xml:space="preserve">          PV  =  Prorated Cost  ÷  (1 + r) ^ [(YearList − TrialYear) + 1]</t>
  </si>
  <si>
    <t>The +1 in the exponent reflects the assumption that the cash flow is received at the END of each period. The rate r is the U.S. Treasury nominal yield matched to MaturityYear = CashYear + 1, consistent with end-of-year receipt. Past losses are not discounted (discount factor = 1).</t>
  </si>
  <si>
    <t>7.  DISCOUNT RATE SELECTION &amp; FALLBACK</t>
  </si>
  <si>
    <t>The rate lookup key is MaturityYear = FLOOR(YearList) + 1, aligning the yield curve's time-to-maturity with the cash flow's receipt date. Three source options are configurable via the DROPS sheet: (1) Laddered — Bloomberg daily Treasury curve (default), (2) Static — a single user-specified rate, or (3) Custom — a user-supplied year-by-year curve. If the maturity year exceeds the maximum tenor (30 years) or no rate is found, a configurable fallback rate applies (currently 4.0%).</t>
  </si>
  <si>
    <t>8.  COMPLETE FORMULA</t>
  </si>
  <si>
    <t xml:space="preserve">          PV  =  Base Cost  ×  (1 + g)^t  ×  OverlapLen  ÷  (1 + r)^(t + 1)</t>
  </si>
  <si>
    <t>where t = YearList − TrialYear (precise fractional years from trial), g = growth rate, r = Treasury yield for maturity year, and OverlapLen = fraction of calendar year. Summing all slices across all lifecycle phases yields the total present value of lost household services.</t>
  </si>
  <si>
    <t xml:space="preserve">  Generated from HouseholdServices_PV (v7)  |  Discount Source: Laddered (Bloomberg Treasury)  |  Growth: 3.56% (OASDI)  |  Trial Date: October 1,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</si>
</sst>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mm/dd/yyyy"/>
    <numFmt numFmtId="165" formatCode="_(&quot;$&quot;* #,##0_);_(&quot;$&quot;* \(#,##0\);_(&quot;$&quot;* &quot;-&quot;??_);_(@_)"/>
    <numFmt numFmtId="166" formatCode="&quot;$&quot;#,##0.00"/>
  </numFmts>
  <fonts count="22">
    <font>
      <sz val="11"/>
      <color theme="1"/>
      <name val="Calibri"/>
      <family val="2"/>
      <scheme val="minor"/>
    </font>
    <font>
      <b/>
      <sz val="14"/>
      <name val="Calibri"/>
      <family val="2"/>
    </font>
    <font>
      <b/>
      <sz val="11"/>
      <name val="Calibri"/>
      <family val="2"/>
    </font>
    <font>
      <i/>
      <sz val="9"/>
      <name val="Calibri"/>
      <family val="2"/>
    </font>
    <font>
      <b/>
      <i/>
      <sz val="11"/>
      <name val="Calibri"/>
      <family val="2"/>
    </font>
    <font>
      <i/>
      <sz val="9"/>
      <color rgb="FF666666"/>
      <name val="Calibri"/>
      <family val="2"/>
    </font>
    <font>
      <sz val="11"/>
      <color theme="1"/>
      <name val="Calibri"/>
      <family val="2"/>
      <scheme val="minor"/>
    </font>
    <font>
      <sz val="11"/>
      <color theme="1"/>
      <name val="Times New Roman"/>
      <family val="1"/>
    </font>
    <font>
      <sz val="12"/>
      <color theme="1"/>
      <name val="Times New Roman"/>
      <family val="1"/>
    </font>
    <font>
      <b/>
      <sz val="11"/>
      <color theme="1"/>
      <name val="Calibri"/>
      <family val="2"/>
      <scheme val="minor"/>
    </font>
    <font>
      <b/>
      <sz val="14"/>
      <color theme="1"/>
      <name val="Calibri"/>
      <family val="2"/>
      <scheme val="minor"/>
    </font>
    <font>
      <b/>
      <sz val="11"/>
      <color rgb="FFFFFFFF"/>
      <name val="Calibri"/>
      <family val="2"/>
      <scheme val="minor"/>
    </font>
    <font>
      <b/>
      <sz val="12"/>
      <color theme="1"/>
      <name val="Calibri"/>
      <family val="2"/>
      <scheme val="minor"/>
    </font>
    <font>
      <sz val="12"/>
      <color theme="1"/>
      <name val="Calibri"/>
      <family val="2"/>
      <scheme val="minor"/>
    </font>
    <font>
      <sz val="12"/>
      <name val="Times New Roman"/>
      <family val="1"/>
    </font>
    <font>
      <sz val="12"/>
      <name val="Calibri"/>
      <family val="2"/>
      <scheme val="minor"/>
    </font>
    <font>
      <b/>
      <sz val="13"/>
      <color rgb="FFFFFFFF"/>
      <name val="Calibri"/>
      <family val="2"/>
      <scheme val="minor"/>
    </font>
    <font>
      <i/>
      <sz val="9.5"/>
      <color rgb="FF1F3864"/>
      <name val="Calibri"/>
      <family val="2"/>
      <scheme val="minor"/>
    </font>
    <font>
      <b/>
      <sz val="11"/>
      <color rgb="FF1F3864"/>
      <name val="Calibri"/>
      <family val="2"/>
      <scheme val="minor"/>
    </font>
    <font>
      <sz val="10"/>
      <color rgb="FF333333"/>
      <name val="Calibri"/>
      <family val="2"/>
      <scheme val="minor"/>
    </font>
    <font>
      <b/>
      <sz val="10.5"/>
      <color rgb="FF1F3864"/>
      <name val="Consolas"/>
      <family val="2"/>
    </font>
    <font>
      <i/>
      <sz val="8"/>
      <color rgb="FFFFFFFF"/>
      <name val="Calibri"/>
      <family val="2"/>
      <scheme val="minor"/>
    </font>
  </fonts>
  <fills count="10">
    <fill>
      <patternFill patternType="none"/>
    </fill>
    <fill>
      <patternFill patternType="gray125"/>
    </fill>
    <fill>
      <patternFill patternType="solid">
        <fgColor rgb="FFFFF2CC"/>
        <bgColor rgb="FFFFF2CC"/>
      </patternFill>
    </fill>
    <fill>
      <patternFill patternType="solid">
        <fgColor rgb="FFD6E4F0"/>
        <bgColor rgb="FFD6E4F0"/>
      </patternFill>
    </fill>
    <fill>
      <patternFill patternType="solid">
        <fgColor rgb="FF4472C4"/>
        <bgColor indexed="64"/>
      </patternFill>
    </fill>
    <fill>
      <patternFill patternType="solid">
        <fgColor rgb="FFD9E2F3"/>
        <bgColor indexed="64"/>
      </patternFill>
    </fill>
    <fill>
      <patternFill patternType="solid">
        <fgColor theme="0"/>
        <bgColor indexed="64"/>
      </patternFill>
    </fill>
    <fill>
      <patternFill patternType="solid">
        <fgColor rgb="FF1F3864"/>
        <bgColor indexed="64"/>
      </patternFill>
    </fill>
    <fill>
      <patternFill patternType="solid">
        <fgColor rgb="FFD6E4F0"/>
        <bgColor indexed="64"/>
      </patternFill>
    </fill>
    <fill>
      <patternFill patternType="solid">
        <fgColor rgb="FFF2F2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44" fontId="6" fillId="0" borderId="0" applyFont="0" applyFill="0" applyBorder="0" applyAlignment="0" applyProtection="0"/>
    <xf numFmtId="9" fontId="6" fillId="0" borderId="0" applyFont="0" applyFill="0" applyBorder="0" applyAlignment="0" applyProtection="0"/>
  </cellStyleXfs>
  <cellXfs count="43">
    <xf numFmtId="0" fontId="0" fillId="0" borderId="0" xfId="0"/>
    <xf numFmtId="0" fontId="1" fillId="0" borderId="0" xfId="0" applyFont="1"/>
    <xf numFmtId="0" fontId="2" fillId="0" borderId="0" xfId="0" applyFont="1"/>
    <xf numFmtId="164" fontId="0" fillId="2" borderId="1" xfId="0" applyNumberFormat="1" applyFill="1" applyBorder="1"/>
    <xf numFmtId="0" fontId="0" fillId="2" borderId="1" xfId="0" applyFill="1" applyBorder="1"/>
    <xf numFmtId="0" fontId="0" fillId="0" borderId="1" xfId="0" applyBorder="1"/>
    <xf numFmtId="0" fontId="2" fillId="3" borderId="0" xfId="0" applyFont="1" applyFill="1"/>
    <xf numFmtId="0" fontId="3" fillId="0" borderId="0" xfId="0" applyFont="1"/>
    <xf numFmtId="0" fontId="4" fillId="0" borderId="0" xfId="0" applyFont="1"/>
    <xf numFmtId="0" fontId="0" fillId="2" borderId="0" xfId="0" applyFill="1"/>
    <xf numFmtId="0" fontId="5" fillId="0" borderId="0" xfId="0" applyFont="1"/>
    <xf numFmtId="10" fontId="0" fillId="2" borderId="1" xfId="0" applyNumberFormat="1" applyFill="1" applyBorder="1"/>
    <xf numFmtId="0" fontId="7" fillId="0" borderId="0" xfId="0" applyFont="1"/>
    <xf numFmtId="0" fontId="8" fillId="0" borderId="0" xfId="0" applyFont="1"/>
    <xf numFmtId="165" fontId="8" fillId="0" borderId="0" xfId="1" applyNumberFormat="1" applyFont="1"/>
    <xf numFmtId="0" fontId="8" fillId="0" borderId="0" xfId="0" applyFont="1" applyAlignment="1">
      <alignment horizontal="center" vertical="top" wrapText="1"/>
    </xf>
    <xf numFmtId="0" fontId="8" fillId="0" borderId="0" xfId="0" applyFont="1" applyAlignment="1">
      <alignment horizontal="center"/>
    </xf>
    <xf numFmtId="165" fontId="8" fillId="0" borderId="0" xfId="1" applyNumberFormat="1" applyFont="1" applyAlignment="1">
      <alignment horizontal="center"/>
    </xf>
    <xf numFmtId="165" fontId="8" fillId="0" borderId="0" xfId="0" applyNumberFormat="1" applyFont="1" applyAlignment="1">
      <alignment horizontal="center"/>
    </xf>
    <xf numFmtId="166" fontId="8" fillId="0" borderId="0" xfId="0" applyNumberFormat="1" applyFont="1"/>
    <xf numFmtId="9" fontId="7" fillId="0" borderId="0" xfId="2" applyFont="1"/>
    <xf numFmtId="0" fontId="8" fillId="0" borderId="0" xfId="1" applyNumberFormat="1" applyFont="1" applyAlignment="1">
      <alignment horizontal="center"/>
    </xf>
    <xf numFmtId="0" fontId="0" fillId="0" borderId="0" xfId="0" applyAlignment="1">
      <alignment wrapText="1"/>
    </xf>
    <xf numFmtId="0" fontId="9" fillId="0" borderId="0" xfId="0" applyFont="1"/>
    <xf numFmtId="15" fontId="0" fillId="0" borderId="0" xfId="0" applyNumberFormat="1"/>
    <xf numFmtId="0" fontId="10" fillId="0" borderId="0" xfId="0" applyFont="1"/>
    <xf numFmtId="0" fontId="11" fillId="4" borderId="0" xfId="0" applyFont="1" applyFill="1"/>
    <xf numFmtId="0" fontId="12" fillId="0" borderId="0" xfId="0" applyFont="1"/>
    <xf numFmtId="0" fontId="9" fillId="5" borderId="0" xfId="0" applyFont="1" applyFill="1"/>
    <xf numFmtId="0" fontId="13" fillId="0" borderId="0" xfId="0" applyFont="1"/>
    <xf numFmtId="44" fontId="13" fillId="0" borderId="0" xfId="1" applyFont="1"/>
    <xf numFmtId="0" fontId="14" fillId="6" borderId="0" xfId="0" applyFont="1" applyFill="1"/>
    <xf numFmtId="0" fontId="15" fillId="6" borderId="0" xfId="0" applyFont="1" applyFill="1"/>
    <xf numFmtId="165" fontId="14" fillId="6" borderId="0" xfId="1" applyNumberFormat="1" applyFont="1" applyFill="1"/>
    <xf numFmtId="0" fontId="0" fillId="7" borderId="0" xfId="0" applyFill="1"/>
    <xf numFmtId="0" fontId="16" fillId="7" borderId="0" xfId="0" applyFont="1" applyFill="1" applyAlignment="1">
      <alignment vertical="center" wrapText="1"/>
    </xf>
    <xf numFmtId="0" fontId="0" fillId="8" borderId="0" xfId="0" applyFill="1"/>
    <xf numFmtId="0" fontId="17" fillId="8" borderId="0" xfId="0" applyFont="1" applyFill="1" applyAlignment="1">
      <alignment vertical="center" wrapText="1"/>
    </xf>
    <xf numFmtId="0" fontId="0" fillId="9" borderId="0" xfId="0" applyFill="1"/>
    <xf numFmtId="0" fontId="18" fillId="9" borderId="0" xfId="0" applyFont="1" applyFill="1" applyAlignment="1">
      <alignment vertical="center" wrapText="1"/>
    </xf>
    <xf numFmtId="0" fontId="19" fillId="0" borderId="0" xfId="0" applyFont="1" applyAlignment="1">
      <alignment vertical="center" wrapText="1"/>
    </xf>
    <xf numFmtId="0" fontId="20" fillId="0" borderId="0" xfId="0" applyFont="1" applyAlignment="1">
      <alignment vertical="center" wrapText="1"/>
    </xf>
    <xf numFmtId="0" fontId="21" fillId="7" borderId="0" xfId="0" applyFont="1" applyFill="1" applyAlignment="1">
      <alignment vertical="center" wrapText="1"/>
    </xf>
  </cellXfs>
  <cellStyles count="3">
    <cellStyle name="Currency" xfId="1" builtinId="4"/>
    <cellStyle name="Normal" xfId="0" builtinId="0"/>
    <cellStyle name="Percent" xfId="2" builtinId="5"/>
  </cellStyles>
  <dxfs count="51">
    <dxf>
      <font>
        <b/>
        <i val="0"/>
        <strike val="0"/>
        <condense val="0"/>
        <extend val="0"/>
        <outline val="0"/>
        <shadow val="0"/>
        <u val="none"/>
        <vertAlign val="baseline"/>
        <sz val="11"/>
        <color rgb="FFFFFFFF"/>
        <name val="Calibri"/>
        <family val="2"/>
        <scheme val="minor"/>
      </font>
      <fill>
        <patternFill patternType="solid">
          <fgColor indexed="64"/>
          <bgColor rgb="FF4472C4"/>
        </patternFill>
      </fill>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numFmt numFmtId="166" formatCode="&quot;$&quot;#,##0.00"/>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numFmt numFmtId="165" formatCode="_(&quot;$&quot;* #,##0_);_(&quot;$&quot;* \(#,##0\);_(&quot;$&quot;* &quot;-&quot;??_);_(@_)"/>
    </dxf>
    <dxf>
      <font>
        <strike val="0"/>
        <outline val="0"/>
        <shadow val="0"/>
        <u val="none"/>
        <vertAlign val="baseline"/>
        <sz val="12"/>
        <color theme="1"/>
      </font>
    </dxf>
    <dxf>
      <font>
        <strike val="0"/>
        <outline val="0"/>
        <shadow val="0"/>
        <u val="none"/>
        <vertAlign val="baseline"/>
        <sz val="12"/>
        <color theme="1"/>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numFmt numFmtId="165" formatCode="_(&quot;$&quot;* #,##0_);_(&quot;$&quot;* \(#,##0\);_(&quot;$&quot;* &quot;-&quot;??_);_(@_)"/>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65" formatCode="_(&quot;$&quot;* #,##0_);_(&quot;$&quot;* \(#,##0\);_(&quot;$&quot;* &quot;-&quot;??_);_(@_)"/>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strike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strike val="0"/>
        <outline val="0"/>
        <shadow val="0"/>
        <u val="none"/>
        <vertAlign val="baseline"/>
        <sz val="12"/>
        <color theme="1"/>
        <name val="Times New Roman"/>
        <family val="1"/>
        <scheme val="none"/>
      </font>
      <alignment horizontal="center" textRotation="0" indent="0" justifyLastLine="0" shrinkToFit="0" readingOrder="0"/>
    </dxf>
    <dxf>
      <font>
        <strike val="0"/>
        <outline val="0"/>
        <shadow val="0"/>
        <u val="none"/>
        <vertAlign val="baseline"/>
        <sz val="12"/>
        <color theme="1"/>
        <name val="Times New Roman"/>
        <family val="1"/>
        <scheme val="none"/>
      </font>
      <alignment horizontal="center" textRotation="0" indent="0" justifyLastLine="0" shrinkToFit="0" readingOrder="0"/>
    </dxf>
    <dxf>
      <font>
        <strike val="0"/>
        <outline val="0"/>
        <shadow val="0"/>
        <u val="none"/>
        <vertAlign val="baseline"/>
        <sz val="12"/>
        <color theme="1"/>
        <name val="Times New Roman"/>
        <family val="1"/>
        <scheme val="none"/>
      </font>
      <alignment horizontal="center" textRotation="0" indent="0" justifyLastLine="0" shrinkToFit="0" readingOrder="0"/>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7CB05114-8769-468E-A169-9B45348913C6}" autoFormatId="16" applyNumberFormats="0" applyBorderFormats="0" applyFontFormats="0" applyPatternFormats="0" applyAlignmentFormats="0" applyWidthHeightFormats="0">
  <queryTableRefresh nextId="20">
    <queryTableFields count="19">
      <queryTableField id="1" name="PhaseIndex" tableColumnId="1"/>
      <queryTableField id="2" name="StartAge" tableColumnId="2"/>
      <queryTableField id="3" name="EndAge" tableColumnId="3"/>
      <queryTableField id="4" name="PhaseDuration" tableColumnId="4"/>
      <queryTableField id="5" name="Employment" tableColumnId="5"/>
      <queryTableField id="6" name="AgeRange" tableColumnId="6"/>
      <queryTableField id="7" name="ChildrenStatus" tableColumnId="7"/>
      <queryTableField id="8" name="SpouseEmp" tableColumnId="8"/>
      <queryTableField id="9" name="Table_Number" tableColumnId="9"/>
      <queryTableField id="10" name="Table_Title" tableColumnId="10"/>
      <queryTableField id="11" name="Category" tableColumnId="11"/>
      <queryTableField id="12" name="Raw_DVD" tableColumnId="12"/>
      <queryTableField id="13" name="OwnRent_Factor" tableColumnId="13"/>
      <queryTableField id="14" name="Geo_Factor" tableColumnId="14"/>
      <queryTableField id="15" name="CPI_Factor" tableColumnId="15"/>
      <queryTableField id="16" name="Adjusted_DVD" tableColumnId="16"/>
      <queryTableField id="17" name="Annual_Base" tableColumnId="17"/>
      <queryTableField id="18" name="Pct_Reduction" tableColumnId="18"/>
      <queryTableField id="19" name="Low Cost per Use" tableColumnId="1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9" xr16:uid="{75A9FA88-D617-4A86-9498-F83A9EC54519}" autoFormatId="16" applyNumberFormats="0" applyBorderFormats="0" applyFontFormats="0" applyPatternFormats="0" applyAlignmentFormats="0" applyWidthHeightFormats="0">
  <queryTableRefresh nextId="26">
    <queryTableFields count="25">
      <queryTableField id="1" name="Item Name" tableColumnId="1"/>
      <queryTableField id="2" name="ItemKey" tableColumnId="2"/>
      <queryTableField id="3" name="Category" tableColumnId="3"/>
      <queryTableField id="4" name="Sort Order" tableColumnId="4"/>
      <queryTableField id="5" name="Start Offset (Years)" tableColumnId="5"/>
      <queryTableField id="6" name="StartAdj" tableColumnId="6"/>
      <queryTableField id="7" name="EndT_Base" tableColumnId="7"/>
      <queryTableField id="8" name="YearList" tableColumnId="8"/>
      <queryTableField id="9" name="CashYear" tableColumnId="9"/>
      <queryTableField id="10" name="AllocYear" tableColumnId="10"/>
      <queryTableField id="11" name="IsPast" tableColumnId="11"/>
      <queryTableField id="12" name="OverlapLen" tableColumnId="12"/>
      <queryTableField id="13" name="Prorate" tableColumnId="13"/>
      <queryTableField id="14" name="GrowthFactor" tableColumnId="14"/>
      <queryTableField id="15" name="AnnualCostLow" tableColumnId="15"/>
      <queryTableField id="16" name="AnnualCostHigh" tableColumnId="16"/>
      <queryTableField id="17" name="ProratedCostLow" tableColumnId="17"/>
      <queryTableField id="18" name="ProratedCostHigh" tableColumnId="18"/>
      <queryTableField id="19" name="Adjusted Rate" tableColumnId="19"/>
      <queryTableField id="20" name="EOY_Exponent" tableColumnId="20"/>
      <queryTableField id="21" name="DiscountFactor" tableColumnId="21"/>
      <queryTableField id="22" name="PresentValueLow" tableColumnId="22"/>
      <queryTableField id="23" name="PresentValueMid" tableColumnId="23"/>
      <queryTableField id="24" name="PresentValueHigh" tableColumnId="24"/>
      <queryTableField id="25" name="Notes" tableColumnId="2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3" xr16:uid="{1E889BDC-7AA2-4772-92B9-5B2E7F6E1EB3}" autoFormatId="16" applyNumberFormats="0" applyBorderFormats="0" applyFontFormats="0" applyPatternFormats="0" applyAlignmentFormats="0" applyWidthHeightFormats="0">
  <queryTableRefresh nextId="17">
    <queryTableFields count="16">
      <queryTableField id="1" name="Item Name" tableColumnId="1"/>
      <queryTableField id="2" name="ItemKey" tableColumnId="2"/>
      <queryTableField id="3" name="Category" tableColumnId="3"/>
      <queryTableField id="4" name="Start Year" tableColumnId="4"/>
      <queryTableField id="5" name="Start Offset (Years)" tableColumnId="5"/>
      <queryTableField id="6" name="Duration" tableColumnId="6"/>
      <queryTableField id="7" name="Low Cost per Use" tableColumnId="7"/>
      <queryTableField id="8" name="High Cost per Use" tableColumnId="8"/>
      <queryTableField id="9" name="InitialCostLow" tableColumnId="9"/>
      <queryTableField id="10" name="InitialCostHigh" tableColumnId="10"/>
      <queryTableField id="11" name="Frequency" tableColumnId="11"/>
      <queryTableField id="12" name="Interval (Years)" tableColumnId="12"/>
      <queryTableField id="13" name="Sort Order" tableColumnId="13"/>
      <queryTableField id="14" name="Growth" tableColumnId="14"/>
      <queryTableField id="15" name="CostType" tableColumnId="15"/>
      <queryTableField id="16" name="Notes"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7" xr16:uid="{13BC1331-2A29-4E9D-B897-7B141F9505FB}" autoFormatId="16" applyNumberFormats="0" applyBorderFormats="0" applyFontFormats="0" applyPatternFormats="0" applyAlignmentFormats="0" applyWidthHeightFormats="0">
  <queryTableRefresh nextId="4">
    <queryTableFields count="3">
      <queryTableField id="1" name="State" tableColumnId="1"/>
      <queryTableField id="2" name="Area" tableColumnId="2"/>
      <queryTableField id="3" name="Adjustment_Pct"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17" xr16:uid="{398AC90A-117C-4B27-B8AD-1D254CD8EAEB}" autoFormatId="16" applyNumberFormats="0" applyBorderFormats="0" applyFontFormats="0" applyPatternFormats="0" applyAlignmentFormats="0" applyWidthHeightFormats="0">
  <queryTableRefresh nextId="3">
    <queryTableFields count="2">
      <queryTableField id="1" name="Year" tableColumnId="1"/>
      <queryTableField id="2" name="Present Value"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9" xr16:uid="{9ADD59DC-1C51-4AFB-8DAB-1C2332EAD193}" autoFormatId="16" applyNumberFormats="0" applyBorderFormats="0" applyFontFormats="0" applyPatternFormats="0" applyAlignmentFormats="0" applyWidthHeightFormats="0">
  <queryTableRefresh nextId="4">
    <queryTableFields count="3">
      <queryTableField id="1" name="Section" tableColumnId="1"/>
      <queryTableField id="2" name="Parameter" tableColumnId="2"/>
      <queryTableField id="3" name="Value"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8" xr16:uid="{A9152828-0FC1-4AE2-AD8E-33BD9CCBE35F}" autoFormatId="16" applyNumberFormats="0" applyBorderFormats="0" applyFontFormats="0" applyPatternFormats="0" applyAlignmentFormats="0" applyWidthHeightFormats="0">
  <queryTableRefresh nextId="5">
    <queryTableFields count="3">
      <queryTableField id="2" name="Year" tableColumnId="2"/>
      <queryTableField id="3" name="Time To Marity" tableColumnId="3"/>
      <queryTableField id="4" name="Discount Rate (Nominal)" tableColumnId="4"/>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3" connectionId="16" xr16:uid="{9D6A9B46-B796-4565-9A33-0257C1D12F14}" autoFormatId="16" applyNumberFormats="0" applyBorderFormats="0" applyFontFormats="0" applyPatternFormats="0" applyAlignmentFormats="0" applyWidthHeightFormats="0">
  <queryTableRefresh nextId="6">
    <queryTableFields count="3">
      <queryTableField id="1" name="Calendar Year" tableColumnId="1"/>
      <queryTableField id="4" name="Age" tableColumnId="4"/>
      <queryTableField id="3" name="Present Value" tableColumnId="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2" connectionId="18" xr16:uid="{1D42DC1B-65F0-4145-BDD0-E02D0F9CCBCA}" autoFormatId="16" applyNumberFormats="0" applyBorderFormats="0" applyFontFormats="0" applyPatternFormats="0" applyAlignmentFormats="0" applyWidthHeightFormats="0">
  <queryTableRefresh nextId="24">
    <queryTableFields count="7">
      <queryTableField id="1" name="TABLE NAME" tableColumnId="1"/>
      <queryTableField id="2" name="Category" tableColumnId="2"/>
      <queryTableField id="20" name="Dallas-Fort Worth-Arlington, TX, Texas AVG" tableColumnId="3"/>
      <queryTableField id="22" name="PV @ 100%" tableColumnId="4"/>
      <queryTableField id="5" name="CUMULATIVE" tableColumnId="5"/>
      <queryTableField id="6" name="Sort Order" tableColumnId="6"/>
      <queryTableField id="7" name="Notes" tableColumnId="7"/>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6" xr16:uid="{8757E03F-0BBA-4826-AB04-F93F13291C66}" autoFormatId="16" applyNumberFormats="0" applyBorderFormats="0" applyFontFormats="0" applyPatternFormats="0" applyAlignmentFormats="0" applyWidthHeightFormats="0">
  <queryTableRefresh nextId="8">
    <queryTableFields count="7">
      <queryTableField id="1" name="TABLE NAME" tableColumnId="1"/>
      <queryTableField id="2" name="Table Number" tableColumnId="2"/>
      <queryTableField id="3" name="Category" tableColumnId="3"/>
      <queryTableField id="4" name="DVD" tableColumnId="4"/>
      <queryTableField id="5" name="Weekly Hours" tableColumnId="5"/>
      <queryTableField id="6" name="Sort Order" tableColumnId="6"/>
      <queryTableField id="7" name="Notes"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AE1230B-A964-4CC3-955F-249492791A7C}" name="AuditDetail" displayName="AuditDetail" ref="A1:S5" tableType="queryTable" totalsRowShown="0">
  <autoFilter ref="A1:S5" xr:uid="{6AE1230B-A964-4CC3-955F-249492791A7C}"/>
  <tableColumns count="19">
    <tableColumn id="1" xr3:uid="{2E98CBB2-63D9-4AFC-AB72-BA7D61B4E86B}" uniqueName="1" name="PhaseIndex" queryTableFieldId="1"/>
    <tableColumn id="2" xr3:uid="{1DD139F4-57DF-48E4-8073-C7B497E0C3B8}" uniqueName="2" name="StartAge" queryTableFieldId="2"/>
    <tableColumn id="3" xr3:uid="{0090C9D8-9092-45A3-9B41-CF612253399D}" uniqueName="3" name="EndAge" queryTableFieldId="3"/>
    <tableColumn id="4" xr3:uid="{E9818776-26E9-4680-AC58-AF124A312F27}" uniqueName="4" name="PhaseDuration" queryTableFieldId="4"/>
    <tableColumn id="5" xr3:uid="{A9720342-94CD-4D8B-8BFC-8490ED280F26}" uniqueName="5" name="Employment" queryTableFieldId="5" dataDxfId="50"/>
    <tableColumn id="6" xr3:uid="{3A4E62B1-82F1-4A28-B8EF-FD23A5A7A69E}" uniqueName="6" name="AgeRange" queryTableFieldId="6" dataDxfId="49"/>
    <tableColumn id="7" xr3:uid="{C44E63A9-CAC5-4F71-A5D9-177DFA3D9129}" uniqueName="7" name="ChildrenStatus" queryTableFieldId="7" dataDxfId="48"/>
    <tableColumn id="8" xr3:uid="{BEFCBF18-D1DD-4B71-95C2-02E4E3E2A6D3}" uniqueName="8" name="SpouseEmp" queryTableFieldId="8" dataDxfId="47"/>
    <tableColumn id="9" xr3:uid="{1E42F9A5-D802-4D38-9D52-9BDC7ADC4041}" uniqueName="9" name="Table_Number" queryTableFieldId="9"/>
    <tableColumn id="10" xr3:uid="{6A8FA50A-7B57-44EF-A3B1-0537528FF3EB}" uniqueName="10" name="Table_Title" queryTableFieldId="10" dataDxfId="46"/>
    <tableColumn id="11" xr3:uid="{1E3B0C46-CF14-4CA8-8281-D9144A36391A}" uniqueName="11" name="Category" queryTableFieldId="11" dataDxfId="45"/>
    <tableColumn id="12" xr3:uid="{627D60FB-1548-48FF-B0D9-29CA170245E4}" uniqueName="12" name="Raw_DVD" queryTableFieldId="12"/>
    <tableColumn id="13" xr3:uid="{256BE475-E82C-4427-9D9C-5064169C43FE}" uniqueName="13" name="OwnRent_Factor" queryTableFieldId="13"/>
    <tableColumn id="14" xr3:uid="{6C52C289-9B0F-471E-A1CE-41628BAEBE3E}" uniqueName="14" name="Geo_Factor" queryTableFieldId="14"/>
    <tableColumn id="15" xr3:uid="{9BD54504-0E44-4E82-9D0B-CAD516330B31}" uniqueName="15" name="CPI_Factor" queryTableFieldId="15"/>
    <tableColumn id="16" xr3:uid="{5BFCA2FD-FA9B-4A96-A1FB-563C5A6613AD}" uniqueName="16" name="Adjusted_DVD" queryTableFieldId="16"/>
    <tableColumn id="17" xr3:uid="{00B084F4-651F-4CF2-BA26-6B3ACE21870B}" uniqueName="17" name="Annual_Base" queryTableFieldId="17"/>
    <tableColumn id="18" xr3:uid="{07FA8BA7-661C-4B11-8043-DAD36F490FF6}" uniqueName="18" name="Pct_Reduction" queryTableFieldId="18"/>
    <tableColumn id="19" xr3:uid="{507CBDA0-0506-4AC3-BA97-0927949BA198}" uniqueName="19" name="Low Cost per Use" queryTableFieldId="19"/>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125B197-A5FD-406F-AB9F-1295CF3DF757}" name="HouseholdServices_PV" displayName="HouseholdServices_PV" ref="A1:Y27" tableType="queryTable" totalsRowShown="0">
  <autoFilter ref="A1:Y27" xr:uid="{1125B197-A5FD-406F-AB9F-1295CF3DF757}"/>
  <sortState xmlns:xlrd2="http://schemas.microsoft.com/office/spreadsheetml/2017/richdata2" ref="A2:Y27">
    <sortCondition ref="I2:I27"/>
  </sortState>
  <tableColumns count="25">
    <tableColumn id="1" xr3:uid="{74863C6E-D344-47F6-A0A3-F6196086F8D4}" uniqueName="1" name="Item Name" queryTableFieldId="1"/>
    <tableColumn id="2" xr3:uid="{5DCA78A6-2E60-4C3B-B484-7B18CB69D9FC}" uniqueName="2" name="ItemKey" queryTableFieldId="2"/>
    <tableColumn id="3" xr3:uid="{2AC708ED-7A37-439F-A388-DDB4B8B9D11C}" uniqueName="3" name="Category" queryTableFieldId="3"/>
    <tableColumn id="4" xr3:uid="{5E3B0009-8F6C-409B-B3D1-121391AC343E}" uniqueName="4" name="Sort Order" queryTableFieldId="4"/>
    <tableColumn id="5" xr3:uid="{9E64D1E6-34C9-4CF3-A289-D22E00A4C262}" uniqueName="5" name="Start Offset (Years)" queryTableFieldId="5"/>
    <tableColumn id="6" xr3:uid="{E981E246-298C-4303-AC5E-C2CF4B2D103A}" uniqueName="6" name="StartAdj" queryTableFieldId="6"/>
    <tableColumn id="7" xr3:uid="{24D941C5-9E52-4A3D-9285-0FC2F51FBB2B}" uniqueName="7" name="EndT_Base" queryTableFieldId="7"/>
    <tableColumn id="8" xr3:uid="{54AC735E-3565-4BA6-8D8E-C99A4C47EA69}" uniqueName="8" name="YearList" queryTableFieldId="8"/>
    <tableColumn id="9" xr3:uid="{19FBAF0B-7DEA-4406-888B-4A8895CD6459}" uniqueName="9" name="CashYear" queryTableFieldId="9"/>
    <tableColumn id="10" xr3:uid="{95E8BDD9-D822-40CE-885B-DCC17440369F}" uniqueName="10" name="AllocYear" queryTableFieldId="10"/>
    <tableColumn id="11" xr3:uid="{CFC4C6B7-7E35-4D48-817C-053B2D7FA484}" uniqueName="11" name="IsPast" queryTableFieldId="11"/>
    <tableColumn id="12" xr3:uid="{CFA023EB-CB61-4C3A-BFDD-BF561B2998E8}" uniqueName="12" name="OverlapLen" queryTableFieldId="12"/>
    <tableColumn id="13" xr3:uid="{4C00DC68-D4E0-46E4-8025-945025E616CA}" uniqueName="13" name="Prorate" queryTableFieldId="13"/>
    <tableColumn id="14" xr3:uid="{C5AB3966-12F1-4F12-824D-07286F75F317}" uniqueName="14" name="GrowthFactor" queryTableFieldId="14"/>
    <tableColumn id="15" xr3:uid="{BA250478-7C41-49C7-A436-B7886ABC38F6}" uniqueName="15" name="AnnualCostLow" queryTableFieldId="15"/>
    <tableColumn id="16" xr3:uid="{4994BD26-03FD-43A3-8E66-38E664CBAAA4}" uniqueName="16" name="AnnualCostHigh" queryTableFieldId="16"/>
    <tableColumn id="17" xr3:uid="{13CCC4F3-2743-4547-98A1-65E6376FEF4D}" uniqueName="17" name="ProratedCostLow" queryTableFieldId="17"/>
    <tableColumn id="18" xr3:uid="{C723321E-FFF4-4AFC-9EF5-E347994731F0}" uniqueName="18" name="ProratedCostHigh" queryTableFieldId="18"/>
    <tableColumn id="19" xr3:uid="{05A79C41-6709-475D-8045-BB7A9C374F4B}" uniqueName="19" name="Adjusted Rate" queryTableFieldId="19"/>
    <tableColumn id="20" xr3:uid="{43AA2E81-A9E4-4354-9248-2712ED461112}" uniqueName="20" name="EOY_Exponent" queryTableFieldId="20"/>
    <tableColumn id="21" xr3:uid="{036E3F68-CFC5-4C69-984F-81383D427264}" uniqueName="21" name="DiscountFactor" queryTableFieldId="21"/>
    <tableColumn id="22" xr3:uid="{5720A648-2C42-45BE-925F-0B0438080C42}" uniqueName="22" name="PresentValueLow" queryTableFieldId="22"/>
    <tableColumn id="23" xr3:uid="{B346D431-5D26-456F-8126-7AD960F868E0}" uniqueName="23" name="PresentValueMid" queryTableFieldId="23"/>
    <tableColumn id="24" xr3:uid="{E144302A-A261-4AA4-B127-93C4D48784D9}" uniqueName="24" name="PresentValueHigh" queryTableFieldId="24"/>
    <tableColumn id="25" xr3:uid="{F4EF0343-5076-4C87-A8DF-05FC8085BA11}" uniqueName="25" name="Notes" queryTableFieldId="2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A557B6B-9632-4B9D-B1C2-688F69FF0E31}" name="LifecycleBuilder" displayName="LifecycleBuilder" ref="A1:P5" tableType="queryTable" totalsRowShown="0">
  <autoFilter ref="A1:P5" xr:uid="{AA557B6B-9632-4B9D-B1C2-688F69FF0E31}"/>
  <tableColumns count="16">
    <tableColumn id="1" xr3:uid="{A72C9C25-ED77-404F-83EE-7BCA4AEE245F}" uniqueName="1" name="Item Name" queryTableFieldId="1" dataDxfId="44"/>
    <tableColumn id="2" xr3:uid="{60462545-CAFD-40A7-BD20-4F0102C5DB87}" uniqueName="2" name="ItemKey" queryTableFieldId="2" dataDxfId="43"/>
    <tableColumn id="3" xr3:uid="{3B446121-0ADF-48CA-BE4A-6BAC0A2A5CE4}" uniqueName="3" name="Category" queryTableFieldId="3" dataDxfId="42"/>
    <tableColumn id="4" xr3:uid="{7EC8AF1D-42A6-4ED6-9834-CA23BAAC7475}" uniqueName="4" name="Start Year" queryTableFieldId="4"/>
    <tableColumn id="5" xr3:uid="{3BA2B945-E8B2-4137-A80F-ECDED330F4C1}" uniqueName="5" name="Start Offset (Years)" queryTableFieldId="5"/>
    <tableColumn id="6" xr3:uid="{604A54A0-28E9-46C1-8951-309A6C67893B}" uniqueName="6" name="Duration" queryTableFieldId="6"/>
    <tableColumn id="7" xr3:uid="{D8CF186A-0D77-4ACF-AD8E-E94119710479}" uniqueName="7" name="Low Cost per Use" queryTableFieldId="7"/>
    <tableColumn id="8" xr3:uid="{BD154CC5-DE1D-4A56-B6A9-9D0EA2FCB43D}" uniqueName="8" name="High Cost per Use" queryTableFieldId="8"/>
    <tableColumn id="9" xr3:uid="{ABA80315-6726-4EF0-B24B-DD3F84B679F8}" uniqueName="9" name="InitialCostLow" queryTableFieldId="9"/>
    <tableColumn id="10" xr3:uid="{94281101-E722-4425-923D-F3CD0781B6BF}" uniqueName="10" name="InitialCostHigh" queryTableFieldId="10"/>
    <tableColumn id="11" xr3:uid="{25181774-69A5-49C1-9BEC-46621DF03858}" uniqueName="11" name="Frequency" queryTableFieldId="11"/>
    <tableColumn id="12" xr3:uid="{C74DE1EC-95C6-4F77-9E6C-C3D2C6D6B272}" uniqueName="12" name="Interval (Years)" queryTableFieldId="12"/>
    <tableColumn id="13" xr3:uid="{AEDADEFC-6303-4E3B-81EE-843A3C0E4EE5}" uniqueName="13" name="Sort Order" queryTableFieldId="13"/>
    <tableColumn id="14" xr3:uid="{4AE3F34D-6706-496E-9FB6-D69E5DD2553E}" uniqueName="14" name="Growth" queryTableFieldId="14"/>
    <tableColumn id="15" xr3:uid="{F8F26233-6C01-48F2-A272-DCD19D027302}" uniqueName="15" name="CostType" queryTableFieldId="15" dataDxfId="41"/>
    <tableColumn id="16" xr3:uid="{9AEE388A-A3D3-45CD-8725-657DE8A0A86D}" uniqueName="16" name="Notes" queryTableFieldId="16" dataDxfId="4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91DCC33-ADFC-4CA5-802E-FBA2D8E98D94}" name="GeoAdjustments" displayName="GeoAdjustments" ref="A1:C645" tableType="queryTable" totalsRowShown="0">
  <autoFilter ref="A1:C645" xr:uid="{291DCC33-ADFC-4CA5-802E-FBA2D8E98D94}"/>
  <tableColumns count="3">
    <tableColumn id="1" xr3:uid="{FEE6B88F-7B58-4FBF-AF7B-270B318D422B}" uniqueName="1" name="State" queryTableFieldId="1" dataDxfId="39"/>
    <tableColumn id="2" xr3:uid="{F308E68A-BB72-4B87-8017-20DDC490B2FA}" uniqueName="2" name="Area" queryTableFieldId="2" dataDxfId="38"/>
    <tableColumn id="3" xr3:uid="{FA215011-CB5B-4932-82AE-4411851DC5AB}" uniqueName="3" name="Adjustment_Pct" queryTableFieldId="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D41D94-DCB4-4396-8655-F4918FBAE1F7}" name="PV_ByYear" displayName="PV_ByYear" ref="A1:B20" tableType="queryTable" totalsRowShown="0">
  <autoFilter ref="A1:B20" xr:uid="{FBD41D94-DCB4-4396-8655-F4918FBAE1F7}"/>
  <tableColumns count="2">
    <tableColumn id="1" xr3:uid="{9086233B-FB05-4855-A010-0194E82DDA2B}" uniqueName="1" name="Year" queryTableFieldId="1"/>
    <tableColumn id="2" xr3:uid="{A12FACD8-EAE0-4F58-991F-C5A428B59327}" uniqueName="2" name="Present Value" queryTableFieldId="2"/>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8FEAF72-E039-4C4E-B425-BADF4907F746}" name="TechnicalSummary" displayName="TechnicalSummary" ref="A1:C44" tableType="queryTable" totalsRowShown="0" headerRowDxfId="37" dataDxfId="36">
  <autoFilter ref="A1:C44" xr:uid="{48FEAF72-E039-4C4E-B425-BADF4907F746}">
    <filterColumn colId="0" hiddenButton="1"/>
    <filterColumn colId="1" hiddenButton="1"/>
    <filterColumn colId="2" hiddenButton="1"/>
  </autoFilter>
  <tableColumns count="3">
    <tableColumn id="1" xr3:uid="{3ED1B38E-B921-4DDC-BEB6-3844DC1D2D44}" uniqueName="1" name="Section" queryTableFieldId="1" dataDxfId="35"/>
    <tableColumn id="2" xr3:uid="{278C8766-ADD5-4A55-BF97-A82CD86C3EA4}" uniqueName="2" name="Parameter" queryTableFieldId="2" dataDxfId="34"/>
    <tableColumn id="3" xr3:uid="{47E27032-1279-4265-8374-78DDFA78D1CF}" uniqueName="3" name="Value" queryTableFieldId="3" dataDxfId="33"/>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seInputs" displayName="CaseInputs" ref="A3:B29">
  <autoFilter ref="A3:B29" xr:uid="{00000000-0009-0000-0100-000001000000}"/>
  <tableColumns count="2">
    <tableColumn id="1" xr3:uid="{00000000-0010-0000-0000-000001000000}" name="Field"/>
    <tableColumn id="2" xr3:uid="{00000000-0010-0000-0000-000002000000}" name="Valu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27275A1-F077-44E9-8E90-59D4BEEA83C6}" name="GetBloombergDailyYieldCurve_cur" displayName="GetBloombergDailyYieldCurve_cur" ref="A1:C31" tableType="queryTable" totalsRowShown="0" headerRowDxfId="32" dataDxfId="31">
  <autoFilter ref="A1:C31" xr:uid="{127275A1-F077-44E9-8E90-59D4BEEA83C6}">
    <filterColumn colId="0" hiddenButton="1"/>
    <filterColumn colId="1" hiddenButton="1"/>
    <filterColumn colId="2" hiddenButton="1"/>
  </autoFilter>
  <tableColumns count="3">
    <tableColumn id="2" xr3:uid="{078748BE-3DCD-46F6-ACE8-2E599E2B27F1}" uniqueName="2" name="Year" queryTableFieldId="2" dataDxfId="30"/>
    <tableColumn id="3" xr3:uid="{A5342A35-5A52-420F-8C67-E0AEC030A285}" uniqueName="3" name="Time To Marity" queryTableFieldId="3" dataDxfId="29"/>
    <tableColumn id="4" xr3:uid="{C042994F-CF7C-42A2-A2C9-4E96182A51B2}" uniqueName="4" name="Discount Rate (Nominal)" queryTableFieldId="4" dataDxfId="28" dataCellStyle="Percent"/>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iscountOptions" displayName="DiscountOptions" ref="A1:B5">
  <autoFilter ref="A1:B5" xr:uid="{00000000-0009-0000-0100-000003000000}"/>
  <tableColumns count="2">
    <tableColumn id="1" xr3:uid="{00000000-0010-0000-0200-000001000000}" name="Setting"/>
    <tableColumn id="2" xr3:uid="{00000000-0010-0000-0200-000002000000}" name="Valu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DVD_Data" displayName="DVD_Data" ref="A1:G5006">
  <autoFilter ref="A1:G5006" xr:uid="{00000000-0009-0000-0100-000004000000}">
    <filterColumn colId="2">
      <filters>
        <filter val="Household Production"/>
      </filters>
    </filterColumn>
  </autoFilter>
  <tableColumns count="7">
    <tableColumn id="1" xr3:uid="{00000000-0010-0000-0300-000001000000}" name="Table_Number"/>
    <tableColumn id="2" xr3:uid="{00000000-0010-0000-0300-000002000000}" name="Table Title"/>
    <tableColumn id="3" xr3:uid="{00000000-0010-0000-0300-000003000000}" name="Time Use Category"/>
    <tableColumn id="4" xr3:uid="{00000000-0010-0000-0300-000004000000}" name="Weekly Hours"/>
    <tableColumn id="5" xr3:uid="{00000000-0010-0000-0300-000005000000}" name="Hourly Value"/>
    <tableColumn id="6" xr3:uid="{00000000-0010-0000-0300-000006000000}" name="Dollar Value of a Day"/>
    <tableColumn id="7" xr3:uid="{00000000-0010-0000-0300-000007000000}" name="Secondary Child Car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VD_TableIndex" displayName="DVD_TableIndex" ref="A1:G386">
  <autoFilter ref="A1:G386" xr:uid="{00000000-0009-0000-0100-000005000000}"/>
  <tableColumns count="7">
    <tableColumn id="1" xr3:uid="{00000000-0010-0000-0400-000001000000}" name="Table_Number"/>
    <tableColumn id="2" xr3:uid="{00000000-0010-0000-0400-000002000000}" name="Gender_Marital"/>
    <tableColumn id="3" xr3:uid="{00000000-0010-0000-0400-000003000000}" name="Employment"/>
    <tableColumn id="4" xr3:uid="{00000000-0010-0000-0400-000004000000}" name="Spousal_Employment"/>
    <tableColumn id="5" xr3:uid="{00000000-0010-0000-0400-000005000000}" name="Age_Range"/>
    <tableColumn id="6" xr3:uid="{00000000-0010-0000-0400-000006000000}" name="Children"/>
    <tableColumn id="7" xr3:uid="{00000000-0010-0000-0400-000007000000}" name="Table_Titl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OwnRent_Adj" displayName="OwnRent_Adj" ref="A1:P386">
  <autoFilter ref="A1:P386" xr:uid="{00000000-0009-0000-0100-000006000000}"/>
  <tableColumns count="16">
    <tableColumn id="1" xr3:uid="{00000000-0010-0000-0500-000001000000}" name="Table_Number"/>
    <tableColumn id="2" xr3:uid="{00000000-0010-0000-0500-000002000000}" name="Table_Title"/>
    <tableColumn id="3" xr3:uid="{00000000-0010-0000-0500-000003000000}" name="HP_Owners"/>
    <tableColumn id="4" xr3:uid="{00000000-0010-0000-0500-000004000000}" name="HP_Renters"/>
    <tableColumn id="5" xr3:uid="{00000000-0010-0000-0500-000005000000}" name="CH_Owners"/>
    <tableColumn id="6" xr3:uid="{00000000-0010-0000-0500-000006000000}" name="CH_Renters"/>
    <tableColumn id="7" xr3:uid="{00000000-0010-0000-0500-000007000000}" name="PT_Owners"/>
    <tableColumn id="8" xr3:uid="{00000000-0010-0000-0500-000008000000}" name="PT_Renters"/>
    <tableColumn id="9" xr3:uid="{00000000-0010-0000-0500-000009000000}" name="LE_Owners"/>
    <tableColumn id="10" xr3:uid="{00000000-0010-0000-0500-00000A000000}" name="LE_Renters"/>
    <tableColumn id="11" xr3:uid="{00000000-0010-0000-0500-00000B000000}" name="WE_Owners"/>
    <tableColumn id="12" xr3:uid="{00000000-0010-0000-0500-00000C000000}" name="WE_Renters"/>
    <tableColumn id="13" xr3:uid="{00000000-0010-0000-0500-00000D000000}" name="Pop_Owners_1000s"/>
    <tableColumn id="14" xr3:uid="{00000000-0010-0000-0500-00000E000000}" name="Pop_Renters_1000s"/>
    <tableColumn id="15" xr3:uid="{00000000-0010-0000-0500-00000F000000}" name="Valid_Owners"/>
    <tableColumn id="16" xr3:uid="{00000000-0010-0000-0500-000010000000}" name="Valid_Renters"/>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GeoAdj" displayName="GeoAdj" ref="A1:C645">
  <autoFilter ref="A1:C645" xr:uid="{00000000-0009-0000-0100-000007000000}"/>
  <tableColumns count="3">
    <tableColumn id="1" xr3:uid="{00000000-0010-0000-0600-000001000000}" name="State"/>
    <tableColumn id="2" xr3:uid="{00000000-0010-0000-0600-000002000000}" name="Area"/>
    <tableColumn id="3" xr3:uid="{00000000-0010-0000-0600-000003000000}" name="Adjustment_Pct"/>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WLE_Data" displayName="WLE_Data" ref="A1:D1413">
  <autoFilter ref="A1:D1413" xr:uid="{00000000-0009-0000-0100-000008000000}"/>
  <tableColumns count="4">
    <tableColumn id="1" xr3:uid="{00000000-0010-0000-0700-000001000000}" name="Table"/>
    <tableColumn id="2" xr3:uid="{00000000-0010-0000-0700-000002000000}" name="Gender"/>
    <tableColumn id="3" xr3:uid="{00000000-0010-0000-0700-000003000000}" name="Age"/>
    <tableColumn id="4" xr3:uid="{00000000-0010-0000-0700-000004000000}" name="WLE_Mea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CustomDiscountCurve" displayName="CustomDiscountCurve" ref="A1:B61">
  <autoFilter ref="A1:B61" xr:uid="{00000000-0009-0000-0100-000009000000}"/>
  <tableColumns count="2">
    <tableColumn id="1" xr3:uid="{00000000-0010-0000-0800-000001000000}" name="Year"/>
    <tableColumn id="2" xr3:uid="{00000000-0010-0000-0800-000002000000}" name="Rat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GrowthRates" displayName="GrowthRates" ref="A1:C61">
  <autoFilter ref="A1:C61" xr:uid="{00000000-0009-0000-0100-00000A000000}"/>
  <tableColumns count="3">
    <tableColumn id="1" xr3:uid="{00000000-0010-0000-0900-000001000000}" name="Year"/>
    <tableColumn id="2" xr3:uid="{00000000-0010-0000-0900-000002000000}" name="OASDI Rate (%)"/>
    <tableColumn id="3" xr3:uid="{00000000-0010-0000-0900-000003000000}" name="Notes"/>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LifeExp_Data" displayName="LifeExp_Data" ref="A1:D801">
  <autoFilter ref="A1:D801" xr:uid="{00000000-0009-0000-0100-00000B000000}"/>
  <tableColumns count="4">
    <tableColumn id="1" xr3:uid="{00000000-0010-0000-0A00-000001000000}" name="Gender"/>
    <tableColumn id="2" xr3:uid="{00000000-0010-0000-0A00-000002000000}" name="Race"/>
    <tableColumn id="3" xr3:uid="{00000000-0010-0000-0A00-000003000000}" name="Age"/>
    <tableColumn id="4" xr3:uid="{00000000-0010-0000-0A00-000004000000}" name="Life_Expectancy"/>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F16DB91-BA5A-47FF-B415-905EE3B11EC7}" name="PV_ByAge" displayName="PV_ByAge" ref="A1:C20" tableType="queryTable" totalsRowCount="1" headerRowDxfId="27" dataDxfId="26" totalsRowDxfId="25">
  <autoFilter ref="A1:C19" xr:uid="{3F16DB91-BA5A-47FF-B415-905EE3B11EC7}">
    <filterColumn colId="0" hiddenButton="1"/>
    <filterColumn colId="1" hiddenButton="1"/>
    <filterColumn colId="2" hiddenButton="1"/>
  </autoFilter>
  <tableColumns count="3">
    <tableColumn id="1" xr3:uid="{D81DBD0D-6FFC-4CE6-BF4C-1D8FA69748A1}" uniqueName="1" name="Calendar Year" queryTableFieldId="1" dataDxfId="23" totalsRowDxfId="24"/>
    <tableColumn id="4" xr3:uid="{B3F6A727-AE58-4853-BF00-C6C1F9E1A48B}" uniqueName="4" name="Age" queryTableFieldId="4" dataDxfId="21" totalsRowDxfId="22" dataCellStyle="Currency"/>
    <tableColumn id="3" xr3:uid="{BE3EE653-E964-4E7E-939B-C6DDDD05748B}" uniqueName="3" name="Present Value" totalsRowFunction="custom" queryTableFieldId="3" dataDxfId="19" totalsRowDxfId="20" dataCellStyle="Currency">
      <totalsRowFormula>SUM(C2:C19)</totalsRowFormula>
    </tableColumn>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18D7535-FEF0-4050-A87B-055433C787CC}" name="PVSummary" displayName="PVSummary" ref="A1:G5" tableType="queryTable" totalsRowShown="0" headerRowDxfId="18" dataDxfId="17">
  <autoFilter ref="A1:G5" xr:uid="{418D7535-FEF0-4050-A87B-055433C787CC}">
    <filterColumn colId="0" hiddenButton="1"/>
    <filterColumn colId="1" hiddenButton="1"/>
    <filterColumn colId="3" hiddenButton="1"/>
    <filterColumn colId="4" hiddenButton="1"/>
    <filterColumn colId="5" hiddenButton="1"/>
    <filterColumn colId="6" hiddenButton="1"/>
  </autoFilter>
  <tableColumns count="7">
    <tableColumn id="1" xr3:uid="{E30A21F4-2C85-4E9B-A320-8B397159C364}" uniqueName="1" name="TABLE NAME" queryTableFieldId="1" dataDxfId="16"/>
    <tableColumn id="2" xr3:uid="{6954C1F1-96EA-4F8A-820F-CEBBCF44A39A}" uniqueName="2" name="Category" queryTableFieldId="2" dataDxfId="15"/>
    <tableColumn id="3" xr3:uid="{37858CEA-C7EE-4A1B-8CA7-155A418066D8}" uniqueName="3" name="Dallas-Fort Worth-Arlington, TX, Texas AVG" queryTableFieldId="20" dataDxfId="14" dataCellStyle="Currency"/>
    <tableColumn id="4" xr3:uid="{BCF41614-41D7-4C26-97F5-45D32DB616B1}" uniqueName="4" name="PV @ 100%" queryTableFieldId="22" dataDxfId="13"/>
    <tableColumn id="5" xr3:uid="{4BC54D4F-B2DE-4FFE-9949-7B7D85EBD888}" uniqueName="5" name="CUMULATIVE" queryTableFieldId="5" dataDxfId="12" dataCellStyle="Currency"/>
    <tableColumn id="6" xr3:uid="{124D067B-98E9-43A5-A71D-B5BB5B5BD256}" uniqueName="6" name="Sort Order" queryTableFieldId="6" dataDxfId="11"/>
    <tableColumn id="7" xr3:uid="{67C1E6E5-0FFA-4794-93F0-293896BD4F00}" uniqueName="7" name="Notes" queryTableFieldId="7" dataDxfId="10"/>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C5A6617-CA9A-4CA8-84AA-3D078BC16BB0}" name="DVDSummary" displayName="DVDSummary" ref="A1:G5" tableType="queryTable" totalsRowShown="0" headerRowDxfId="9" dataDxfId="8">
  <autoFilter ref="A1:G5" xr:uid="{4C5A6617-CA9A-4CA8-84AA-3D078BC16BB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8F6B075-7846-493B-A78A-9C19DD299036}" uniqueName="1" name="TABLE NAME" queryTableFieldId="1" dataDxfId="7"/>
    <tableColumn id="2" xr3:uid="{3DF7517F-4DA9-4BE1-B3AF-1BEC5CFBE9D3}" uniqueName="2" name="Table Number" queryTableFieldId="2" dataDxfId="6"/>
    <tableColumn id="3" xr3:uid="{C1F16006-E684-4B03-A6D0-C24C47827164}" uniqueName="3" name="Category" queryTableFieldId="3" dataDxfId="5"/>
    <tableColumn id="4" xr3:uid="{4C820F0F-9404-4738-83CC-230CA3D48BA1}" uniqueName="4" name="DVD" queryTableFieldId="4" dataDxfId="4"/>
    <tableColumn id="5" xr3:uid="{CD4114D7-8225-4263-BE41-C0E40FC438B8}" uniqueName="5" name="Weekly Hours" queryTableFieldId="5" dataDxfId="3"/>
    <tableColumn id="6" xr3:uid="{05B42453-3675-444F-A664-1094EB83F132}" uniqueName="6" name="Sort Order" queryTableFieldId="6" dataDxfId="2"/>
    <tableColumn id="7" xr3:uid="{1F77C4AC-BEC3-46AC-BBCE-8CB39CCDA3A1}" uniqueName="7" name="Notes" queryTableFieldId="7" dataDxfId="1"/>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CategorySelection" displayName="CategorySelection" ref="A4:E15">
  <autoFilter ref="A4:E15" xr:uid="{00000000-0009-0000-0100-00000C000000}"/>
  <tableColumns count="5">
    <tableColumn id="1" xr3:uid="{00000000-0010-0000-0B00-000001000000}" name="Category"/>
    <tableColumn id="2" xr3:uid="{00000000-0010-0000-0B00-000002000000}" name="Include"/>
    <tableColumn id="3" xr3:uid="{00000000-0010-0000-0B00-000003000000}" name="Type"/>
    <tableColumn id="4" xr3:uid="{00000000-0010-0000-0B00-000004000000}" name="Notes"/>
    <tableColumn id="5" xr3:uid="{AC339F01-5CB6-488A-8FF5-198E686D0C1E}" name="% Reduction"/>
  </tableColumns>
  <tableStyleInfo name="TableStyleMedium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2DB2538-5FE0-FD49-9EB2-2E159BD2A679}" name="CaseInfoLookup" displayName="CaseInfoLookup" ref="A1:C49" totalsRowShown="0" headerRowDxfId="0">
  <autoFilter ref="A1:C49" xr:uid="{A2DB2538-5FE0-FD49-9EB2-2E159BD2A679}"/>
  <tableColumns count="3">
    <tableColumn id="1" xr3:uid="{C564D65D-8EAF-1740-930B-AF0B1E3D4265}" name="Parameter"/>
    <tableColumn id="2" xr3:uid="{4B488693-FB9F-D74B-B9E8-2DFCE75FD6AE}" name="Value"/>
    <tableColumn id="3" xr3:uid="{AE4078E3-A026-F644-A446-9C65035617E9}"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78CE0A0-7DA8-43A9-B511-645BACE0B9F7}">
  <we:reference id="WA104380955" version="4.1.2.1" store="Omex" storeType="OMEX"/>
  <we:alternateReferences>
    <we:reference id="WA104380955" version="4.1.2.1" store="WA104380955"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3.bin"/></Relationships>
</file>

<file path=xl/worksheets/_rels/sheet26.xml.rels><?xml version="1.0" encoding="UTF-8" standalone="yes"?>
<Relationships xmlns="http://schemas.openxmlformats.org/package/2006/relationships"><Relationship Id="rId1"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9472B-B757-4BEC-8B01-B169BDD61BA2}">
  <dimension ref="A1:S5"/>
  <sheetViews>
    <sheetView workbookViewId="0">
      <selection activeCell="P2" sqref="P2"/>
    </sheetView>
  </sheetViews>
  <sheetFormatPr defaultColWidth="8.7109375" defaultRowHeight="15"/>
  <cols>
    <col min="1" max="1" width="13.7109375" bestFit="1" customWidth="1"/>
    <col min="2" max="2" width="11.140625" bestFit="1" customWidth="1"/>
    <col min="3" max="3" width="10.140625" bestFit="1" customWidth="1"/>
    <col min="4" max="4" width="16.7109375" bestFit="1" customWidth="1"/>
    <col min="5" max="5" width="18.28515625" hidden="1" customWidth="1"/>
    <col min="6" max="6" width="17.7109375" hidden="1" customWidth="1"/>
    <col min="7" max="7" width="31.28515625" hidden="1" customWidth="1"/>
    <col min="8" max="8" width="13.7109375" hidden="1" customWidth="1"/>
    <col min="9" max="9" width="16.85546875" bestFit="1" customWidth="1"/>
    <col min="10" max="10" width="94.140625" bestFit="1" customWidth="1"/>
    <col min="11" max="11" width="20.85546875" bestFit="1" customWidth="1"/>
    <col min="12" max="12" width="12.28515625" bestFit="1" customWidth="1"/>
    <col min="13" max="13" width="18.5703125" bestFit="1" customWidth="1"/>
    <col min="14" max="14" width="13.7109375" bestFit="1" customWidth="1"/>
    <col min="15" max="15" width="13" bestFit="1" customWidth="1"/>
    <col min="16" max="16" width="16.5703125" bestFit="1" customWidth="1"/>
    <col min="17" max="17" width="15" bestFit="1" customWidth="1"/>
    <col min="18" max="18" width="16.42578125" bestFit="1" customWidth="1"/>
    <col min="19" max="19" width="18.85546875" bestFit="1" customWidth="1"/>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v>1</v>
      </c>
      <c r="B2">
        <v>66.41</v>
      </c>
      <c r="C2">
        <v>70.78</v>
      </c>
      <c r="D2">
        <v>4.37</v>
      </c>
      <c r="E2" t="s">
        <v>19</v>
      </c>
      <c r="F2" t="s">
        <v>20</v>
      </c>
      <c r="G2" t="s">
        <v>21</v>
      </c>
      <c r="H2" t="s">
        <v>22</v>
      </c>
      <c r="I2">
        <v>146</v>
      </c>
      <c r="J2" t="s">
        <v>23</v>
      </c>
      <c r="K2" t="s">
        <v>24</v>
      </c>
      <c r="L2">
        <v>56.76</v>
      </c>
      <c r="M2">
        <v>1</v>
      </c>
      <c r="N2">
        <v>0.92180000000000006</v>
      </c>
      <c r="O2">
        <v>1</v>
      </c>
      <c r="P2">
        <v>52.321368</v>
      </c>
      <c r="Q2">
        <v>19110.379661999999</v>
      </c>
      <c r="R2">
        <v>100</v>
      </c>
      <c r="S2">
        <v>19110.379661999999</v>
      </c>
    </row>
    <row r="3" spans="1:19">
      <c r="A3">
        <v>2</v>
      </c>
      <c r="B3">
        <v>70.78</v>
      </c>
      <c r="C3">
        <v>71.06</v>
      </c>
      <c r="D3">
        <v>0.28000000000000003</v>
      </c>
      <c r="E3" t="s">
        <v>25</v>
      </c>
      <c r="F3" t="s">
        <v>26</v>
      </c>
      <c r="G3" t="s">
        <v>21</v>
      </c>
      <c r="H3" t="s">
        <v>22</v>
      </c>
      <c r="I3">
        <v>252</v>
      </c>
      <c r="J3" t="s">
        <v>27</v>
      </c>
      <c r="K3" t="s">
        <v>24</v>
      </c>
      <c r="L3">
        <v>80.959999999999994</v>
      </c>
      <c r="M3">
        <v>1</v>
      </c>
      <c r="N3">
        <v>0.92180000000000006</v>
      </c>
      <c r="O3">
        <v>1</v>
      </c>
      <c r="P3">
        <v>74.628928000000002</v>
      </c>
      <c r="Q3">
        <v>27258.215952000002</v>
      </c>
      <c r="R3">
        <v>100</v>
      </c>
      <c r="S3">
        <v>27258.215952000002</v>
      </c>
    </row>
    <row r="4" spans="1:19">
      <c r="A4">
        <v>3</v>
      </c>
      <c r="B4">
        <v>71.06</v>
      </c>
      <c r="C4">
        <v>75</v>
      </c>
      <c r="D4">
        <v>3.94</v>
      </c>
      <c r="E4" t="s">
        <v>25</v>
      </c>
      <c r="F4" t="s">
        <v>26</v>
      </c>
      <c r="G4" t="s">
        <v>21</v>
      </c>
      <c r="H4" t="s">
        <v>22</v>
      </c>
      <c r="I4">
        <v>252</v>
      </c>
      <c r="J4" t="s">
        <v>27</v>
      </c>
      <c r="K4" t="s">
        <v>24</v>
      </c>
      <c r="L4">
        <v>80.959999999999994</v>
      </c>
      <c r="M4">
        <v>1</v>
      </c>
      <c r="N4">
        <v>0.92180000000000006</v>
      </c>
      <c r="O4">
        <v>1</v>
      </c>
      <c r="P4">
        <v>74.628928000000002</v>
      </c>
      <c r="Q4">
        <v>27258.215952000002</v>
      </c>
      <c r="R4">
        <v>100</v>
      </c>
      <c r="S4">
        <v>27258.215952000002</v>
      </c>
    </row>
    <row r="5" spans="1:19">
      <c r="A5">
        <v>4</v>
      </c>
      <c r="B5">
        <v>75</v>
      </c>
      <c r="C5">
        <v>83.86</v>
      </c>
      <c r="D5">
        <v>8.86</v>
      </c>
      <c r="E5" t="s">
        <v>25</v>
      </c>
      <c r="F5" t="s">
        <v>28</v>
      </c>
      <c r="G5" t="s">
        <v>21</v>
      </c>
      <c r="H5" t="s">
        <v>22</v>
      </c>
      <c r="I5">
        <v>253</v>
      </c>
      <c r="J5" t="s">
        <v>29</v>
      </c>
      <c r="K5" t="s">
        <v>24</v>
      </c>
      <c r="L5">
        <v>75.8</v>
      </c>
      <c r="M5">
        <v>1</v>
      </c>
      <c r="N5">
        <v>0.92180000000000006</v>
      </c>
      <c r="O5">
        <v>1</v>
      </c>
      <c r="P5">
        <v>69.872439999999997</v>
      </c>
      <c r="Q5">
        <v>25520.90871</v>
      </c>
      <c r="R5">
        <v>100</v>
      </c>
      <c r="S5">
        <v>25520.90871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9CD8F-6C9F-4900-A6D4-72CB7FD5B886}">
  <dimension ref="A1:AA32"/>
  <sheetViews>
    <sheetView topLeftCell="H1" workbookViewId="0">
      <selection activeCell="P24" sqref="P24"/>
    </sheetView>
  </sheetViews>
  <sheetFormatPr defaultColWidth="8.7109375" defaultRowHeight="15"/>
  <cols>
    <col min="1" max="1" width="116.28515625" bestFit="1" customWidth="1"/>
    <col min="2" max="2" width="17.140625" bestFit="1" customWidth="1"/>
    <col min="3" max="3" width="11.42578125" bestFit="1" customWidth="1"/>
    <col min="4" max="4" width="12.7109375" bestFit="1" customWidth="1"/>
    <col min="5" max="5" width="20.7109375" bestFit="1" customWidth="1"/>
    <col min="6" max="6" width="12.5703125" bestFit="1" customWidth="1"/>
    <col min="7" max="7" width="13.140625" bestFit="1" customWidth="1"/>
    <col min="8" max="8" width="12.5703125" bestFit="1" customWidth="1"/>
    <col min="9" max="9" width="11.5703125" bestFit="1" customWidth="1"/>
    <col min="10" max="10" width="12.5703125" bestFit="1" customWidth="1"/>
    <col min="11" max="11" width="8.7109375" bestFit="1" customWidth="1"/>
    <col min="12" max="12" width="13.5703125" bestFit="1" customWidth="1"/>
    <col min="13" max="13" width="10.140625" bestFit="1" customWidth="1"/>
    <col min="14" max="14" width="16" bestFit="1" customWidth="1"/>
    <col min="15" max="15" width="17.42578125" bestFit="1" customWidth="1"/>
    <col min="16" max="16" width="17.85546875" bestFit="1" customWidth="1"/>
    <col min="17" max="17" width="19" bestFit="1" customWidth="1"/>
    <col min="18" max="18" width="19.28515625" bestFit="1" customWidth="1"/>
    <col min="19" max="19" width="16.140625" bestFit="1" customWidth="1"/>
    <col min="20" max="20" width="16.7109375" bestFit="1" customWidth="1"/>
    <col min="21" max="21" width="17" bestFit="1" customWidth="1"/>
    <col min="22" max="22" width="19.140625" bestFit="1" customWidth="1"/>
    <col min="23" max="23" width="19" bestFit="1" customWidth="1"/>
    <col min="24" max="24" width="19.7109375" bestFit="1" customWidth="1"/>
    <col min="25" max="25" width="56.140625" bestFit="1" customWidth="1"/>
  </cols>
  <sheetData>
    <row r="1" spans="1:25">
      <c r="A1" t="s">
        <v>30</v>
      </c>
      <c r="B1" t="s">
        <v>31</v>
      </c>
      <c r="C1" t="s">
        <v>10</v>
      </c>
      <c r="D1" t="s">
        <v>32</v>
      </c>
      <c r="E1" t="s">
        <v>33</v>
      </c>
      <c r="F1" t="s">
        <v>34</v>
      </c>
      <c r="G1" t="s">
        <v>35</v>
      </c>
      <c r="H1" t="s">
        <v>36</v>
      </c>
      <c r="I1" t="s">
        <v>37</v>
      </c>
      <c r="J1" t="s">
        <v>38</v>
      </c>
      <c r="K1" t="s">
        <v>39</v>
      </c>
      <c r="L1" t="s">
        <v>40</v>
      </c>
      <c r="M1" t="s">
        <v>41</v>
      </c>
      <c r="N1" t="s">
        <v>42</v>
      </c>
      <c r="O1" t="s">
        <v>43</v>
      </c>
      <c r="P1" t="s">
        <v>44</v>
      </c>
      <c r="Q1" t="s">
        <v>45</v>
      </c>
      <c r="R1" t="s">
        <v>46</v>
      </c>
      <c r="S1" t="s">
        <v>47</v>
      </c>
      <c r="T1" t="s">
        <v>48</v>
      </c>
      <c r="U1" t="s">
        <v>49</v>
      </c>
      <c r="V1" t="s">
        <v>50</v>
      </c>
      <c r="W1" t="s">
        <v>51</v>
      </c>
      <c r="X1" t="s">
        <v>52</v>
      </c>
      <c r="Y1" t="s">
        <v>53</v>
      </c>
    </row>
    <row r="2" spans="1:25">
      <c r="A2" t="s">
        <v>54</v>
      </c>
      <c r="B2" t="s">
        <v>55</v>
      </c>
      <c r="C2" t="s">
        <v>56</v>
      </c>
      <c r="D2">
        <v>108</v>
      </c>
      <c r="E2">
        <v>-1.3479000000000001</v>
      </c>
      <c r="F2">
        <v>2025.4000452054795</v>
      </c>
      <c r="G2">
        <v>2029.7700452054794</v>
      </c>
      <c r="H2">
        <v>2025.7479452054795</v>
      </c>
      <c r="I2">
        <v>2025</v>
      </c>
      <c r="J2">
        <v>2025</v>
      </c>
      <c r="K2" t="b">
        <v>1</v>
      </c>
      <c r="L2">
        <v>0.34789999999998145</v>
      </c>
      <c r="M2">
        <v>0.34789999999998145</v>
      </c>
      <c r="N2">
        <v>1</v>
      </c>
      <c r="O2">
        <v>19110.379661999999</v>
      </c>
      <c r="P2">
        <v>19110.379661999999</v>
      </c>
      <c r="Q2">
        <v>6648.501084409445</v>
      </c>
      <c r="R2">
        <v>6648.501084409445</v>
      </c>
      <c r="T2">
        <v>0</v>
      </c>
      <c r="U2">
        <v>1</v>
      </c>
      <c r="V2">
        <v>6648.501084409445</v>
      </c>
      <c r="W2">
        <v>6648.501084409445</v>
      </c>
      <c r="X2">
        <v>6648.501084409445</v>
      </c>
      <c r="Y2" t="s">
        <v>57</v>
      </c>
    </row>
    <row r="3" spans="1:25">
      <c r="A3" t="s">
        <v>54</v>
      </c>
      <c r="B3" t="s">
        <v>55</v>
      </c>
      <c r="C3" t="s">
        <v>56</v>
      </c>
      <c r="D3">
        <v>108</v>
      </c>
      <c r="E3">
        <v>-1.3479000000000001</v>
      </c>
      <c r="F3">
        <v>2025.4000452054795</v>
      </c>
      <c r="G3">
        <v>2029.7700452054794</v>
      </c>
      <c r="H3">
        <v>2026.7479452054795</v>
      </c>
      <c r="I3">
        <v>2026</v>
      </c>
      <c r="J3">
        <v>2026</v>
      </c>
      <c r="K3" t="b">
        <v>0</v>
      </c>
      <c r="L3">
        <v>1</v>
      </c>
      <c r="M3">
        <v>1</v>
      </c>
      <c r="N3">
        <v>1</v>
      </c>
      <c r="O3">
        <v>19110.379661999999</v>
      </c>
      <c r="P3">
        <v>19110.379661999999</v>
      </c>
      <c r="Q3">
        <v>19110.379661999999</v>
      </c>
      <c r="R3">
        <v>19110.379661999999</v>
      </c>
      <c r="S3">
        <v>2.355</v>
      </c>
      <c r="T3">
        <v>0</v>
      </c>
      <c r="U3">
        <v>1</v>
      </c>
      <c r="V3">
        <v>19110.379661999999</v>
      </c>
      <c r="W3">
        <v>19110.379661999999</v>
      </c>
      <c r="X3">
        <v>19110.379661999999</v>
      </c>
      <c r="Y3" t="s">
        <v>57</v>
      </c>
    </row>
    <row r="4" spans="1:25">
      <c r="A4" t="s">
        <v>54</v>
      </c>
      <c r="B4" t="s">
        <v>55</v>
      </c>
      <c r="C4" t="s">
        <v>56</v>
      </c>
      <c r="D4">
        <v>108</v>
      </c>
      <c r="E4">
        <v>-1.3479000000000001</v>
      </c>
      <c r="F4">
        <v>2025.4000452054795</v>
      </c>
      <c r="G4">
        <v>2029.7700452054794</v>
      </c>
      <c r="H4">
        <v>2027.7479452054795</v>
      </c>
      <c r="I4">
        <v>2027</v>
      </c>
      <c r="J4">
        <v>2027</v>
      </c>
      <c r="K4" t="b">
        <v>0</v>
      </c>
      <c r="L4">
        <v>1</v>
      </c>
      <c r="M4">
        <v>1</v>
      </c>
      <c r="N4">
        <v>1</v>
      </c>
      <c r="O4">
        <v>19110.379661999999</v>
      </c>
      <c r="P4">
        <v>19110.379661999999</v>
      </c>
      <c r="Q4">
        <v>19110.379661999999</v>
      </c>
      <c r="R4">
        <v>19110.379661999999</v>
      </c>
      <c r="S4">
        <v>2.3660000000000001</v>
      </c>
      <c r="T4">
        <v>1</v>
      </c>
      <c r="U4">
        <v>1.02366</v>
      </c>
      <c r="V4">
        <v>18668.678723404253</v>
      </c>
      <c r="W4">
        <v>18668.678723404253</v>
      </c>
      <c r="X4">
        <v>18668.678723404253</v>
      </c>
      <c r="Y4" t="s">
        <v>57</v>
      </c>
    </row>
    <row r="5" spans="1:25">
      <c r="A5" t="s">
        <v>54</v>
      </c>
      <c r="B5" t="s">
        <v>55</v>
      </c>
      <c r="C5" t="s">
        <v>56</v>
      </c>
      <c r="D5">
        <v>108</v>
      </c>
      <c r="E5">
        <v>-1.3479000000000001</v>
      </c>
      <c r="F5">
        <v>2025.4000452054795</v>
      </c>
      <c r="G5">
        <v>2029.7700452054794</v>
      </c>
      <c r="H5">
        <v>2028.7479452054795</v>
      </c>
      <c r="I5">
        <v>2028</v>
      </c>
      <c r="J5">
        <v>2028</v>
      </c>
      <c r="K5" t="b">
        <v>0</v>
      </c>
      <c r="L5">
        <v>1</v>
      </c>
      <c r="M5">
        <v>1</v>
      </c>
      <c r="N5">
        <v>1.0356000000000001</v>
      </c>
      <c r="O5">
        <v>19790.709177967201</v>
      </c>
      <c r="P5">
        <v>19790.709177967201</v>
      </c>
      <c r="Q5">
        <v>19790.709177967201</v>
      </c>
      <c r="R5">
        <v>19790.709177967201</v>
      </c>
      <c r="S5">
        <v>2.3860000000000001</v>
      </c>
      <c r="T5">
        <v>2</v>
      </c>
      <c r="U5">
        <v>1.0482892995999999</v>
      </c>
      <c r="V5">
        <v>18879.052934642015</v>
      </c>
      <c r="W5">
        <v>18879.052934642015</v>
      </c>
      <c r="X5">
        <v>18879.052934642015</v>
      </c>
      <c r="Y5" t="s">
        <v>57</v>
      </c>
    </row>
    <row r="6" spans="1:25">
      <c r="A6" t="s">
        <v>54</v>
      </c>
      <c r="B6" t="s">
        <v>55</v>
      </c>
      <c r="C6" t="s">
        <v>56</v>
      </c>
      <c r="D6">
        <v>108</v>
      </c>
      <c r="E6">
        <v>-1.3479000000000001</v>
      </c>
      <c r="F6">
        <v>2025.4000452054795</v>
      </c>
      <c r="G6">
        <v>2029.7700452054794</v>
      </c>
      <c r="H6">
        <v>2029.7700452054794</v>
      </c>
      <c r="I6">
        <v>2029</v>
      </c>
      <c r="J6">
        <v>2029.7700452054794</v>
      </c>
      <c r="K6" t="b">
        <v>0</v>
      </c>
      <c r="L6">
        <v>2.2099999999909414E-2</v>
      </c>
      <c r="M6">
        <v>2.2099999999909414E-2</v>
      </c>
      <c r="N6">
        <v>1.1106471980160002</v>
      </c>
      <c r="O6">
        <v>21224.889624622258</v>
      </c>
      <c r="P6">
        <v>21224.889624622258</v>
      </c>
      <c r="Q6">
        <v>469.07006070222923</v>
      </c>
      <c r="R6">
        <v>469.07006070222923</v>
      </c>
      <c r="S6">
        <v>2.4630000000000001</v>
      </c>
      <c r="T6">
        <v>4</v>
      </c>
      <c r="U6">
        <v>1.1022199552757161</v>
      </c>
      <c r="V6">
        <v>425.56847066418163</v>
      </c>
      <c r="W6">
        <v>425.56847066418163</v>
      </c>
      <c r="X6">
        <v>425.56847066418163</v>
      </c>
      <c r="Y6" t="s">
        <v>57</v>
      </c>
    </row>
    <row r="7" spans="1:25">
      <c r="A7" t="s">
        <v>54</v>
      </c>
      <c r="B7" t="s">
        <v>55</v>
      </c>
      <c r="C7" t="s">
        <v>56</v>
      </c>
      <c r="D7">
        <v>108</v>
      </c>
      <c r="E7">
        <v>-1.3479000000000001</v>
      </c>
      <c r="F7">
        <v>2025.4000452054795</v>
      </c>
      <c r="G7">
        <v>2029.7700452054794</v>
      </c>
      <c r="H7">
        <v>2029.7479452054795</v>
      </c>
      <c r="I7">
        <v>2029</v>
      </c>
      <c r="J7">
        <v>2029</v>
      </c>
      <c r="K7" t="b">
        <v>0</v>
      </c>
      <c r="L7">
        <v>1</v>
      </c>
      <c r="M7">
        <v>1</v>
      </c>
      <c r="N7">
        <v>1.0724673600000001</v>
      </c>
      <c r="O7">
        <v>20495.258424702832</v>
      </c>
      <c r="P7">
        <v>20495.258424702832</v>
      </c>
      <c r="Q7">
        <v>20495.258424702832</v>
      </c>
      <c r="R7">
        <v>20495.258424702832</v>
      </c>
      <c r="S7">
        <v>2.4630000000000001</v>
      </c>
      <c r="T7">
        <v>3</v>
      </c>
      <c r="U7">
        <v>1.0757248521668468</v>
      </c>
      <c r="V7">
        <v>19052.509927068211</v>
      </c>
      <c r="W7">
        <v>19052.509927068211</v>
      </c>
      <c r="X7">
        <v>19052.509927068211</v>
      </c>
      <c r="Y7" t="s">
        <v>57</v>
      </c>
    </row>
    <row r="8" spans="1:25">
      <c r="A8" t="s">
        <v>54</v>
      </c>
      <c r="B8" t="s">
        <v>55</v>
      </c>
      <c r="C8" t="s">
        <v>56</v>
      </c>
      <c r="D8">
        <v>108</v>
      </c>
      <c r="E8">
        <v>-1.3479000000000001</v>
      </c>
      <c r="F8">
        <v>2025.4000452054795</v>
      </c>
      <c r="G8">
        <v>2029.7700452054794</v>
      </c>
      <c r="H8">
        <v>2029.7700452054794</v>
      </c>
      <c r="I8">
        <v>2029</v>
      </c>
      <c r="J8">
        <v>2029</v>
      </c>
      <c r="O8">
        <v>0</v>
      </c>
      <c r="P8">
        <v>0</v>
      </c>
      <c r="Q8">
        <v>0</v>
      </c>
      <c r="R8">
        <v>0</v>
      </c>
      <c r="V8">
        <v>0</v>
      </c>
      <c r="W8">
        <v>0</v>
      </c>
      <c r="X8">
        <v>0</v>
      </c>
    </row>
    <row r="9" spans="1:25">
      <c r="A9" t="s">
        <v>58</v>
      </c>
      <c r="B9" t="s">
        <v>59</v>
      </c>
      <c r="C9" t="s">
        <v>60</v>
      </c>
      <c r="D9">
        <v>208</v>
      </c>
      <c r="E9">
        <v>3.0221</v>
      </c>
      <c r="F9">
        <v>2029.7700452054794</v>
      </c>
      <c r="G9">
        <v>2030.0500452054796</v>
      </c>
      <c r="H9">
        <v>2030.0500452054796</v>
      </c>
      <c r="I9">
        <v>2030</v>
      </c>
      <c r="J9">
        <v>2030.0500452054796</v>
      </c>
      <c r="K9" t="b">
        <v>0</v>
      </c>
      <c r="L9">
        <v>0.28000000000020009</v>
      </c>
      <c r="M9">
        <v>0.28000000000020009</v>
      </c>
      <c r="N9">
        <v>1.1106471980160002</v>
      </c>
      <c r="O9">
        <v>30274.261170003843</v>
      </c>
      <c r="P9">
        <v>30274.261170003843</v>
      </c>
      <c r="Q9">
        <v>8476.793127607134</v>
      </c>
      <c r="R9">
        <v>8476.793127607134</v>
      </c>
      <c r="S9">
        <v>2.5350000000000001</v>
      </c>
      <c r="T9">
        <v>4</v>
      </c>
      <c r="U9">
        <v>1.1053213098851775</v>
      </c>
      <c r="V9">
        <v>7669.0759978993947</v>
      </c>
      <c r="W9">
        <v>7669.0759978993947</v>
      </c>
      <c r="X9">
        <v>7669.0759978993947</v>
      </c>
      <c r="Y9" t="s">
        <v>61</v>
      </c>
    </row>
    <row r="10" spans="1:25">
      <c r="A10" t="s">
        <v>58</v>
      </c>
      <c r="B10" t="s">
        <v>62</v>
      </c>
      <c r="C10" t="s">
        <v>60</v>
      </c>
      <c r="D10">
        <v>308</v>
      </c>
      <c r="E10">
        <v>3.3020999999999998</v>
      </c>
      <c r="F10">
        <v>2030.0500452054796</v>
      </c>
      <c r="G10">
        <v>2033.9879452054795</v>
      </c>
      <c r="H10">
        <v>2030.7479452054795</v>
      </c>
      <c r="I10">
        <v>2030</v>
      </c>
      <c r="J10">
        <v>2030</v>
      </c>
      <c r="K10" t="b">
        <v>0</v>
      </c>
      <c r="L10">
        <v>0.6978999999998905</v>
      </c>
      <c r="M10">
        <v>0.6978999999998905</v>
      </c>
      <c r="N10">
        <v>1.1106471980160002</v>
      </c>
      <c r="O10">
        <v>30274.261170003843</v>
      </c>
      <c r="P10">
        <v>30274.261170003843</v>
      </c>
      <c r="Q10">
        <v>21128.406870542367</v>
      </c>
      <c r="R10">
        <v>21128.406870542367</v>
      </c>
      <c r="S10">
        <v>2.5350000000000001</v>
      </c>
      <c r="T10">
        <v>4</v>
      </c>
      <c r="U10">
        <v>1.1053213098851775</v>
      </c>
      <c r="V10">
        <v>19115.171924747581</v>
      </c>
      <c r="W10">
        <v>19115.171924747581</v>
      </c>
      <c r="X10">
        <v>19115.171924747581</v>
      </c>
      <c r="Y10" t="s">
        <v>63</v>
      </c>
    </row>
    <row r="11" spans="1:25">
      <c r="A11" t="s">
        <v>58</v>
      </c>
      <c r="B11" t="s">
        <v>59</v>
      </c>
      <c r="C11" t="s">
        <v>60</v>
      </c>
      <c r="D11">
        <v>208</v>
      </c>
      <c r="E11">
        <v>3.0221</v>
      </c>
      <c r="F11">
        <v>2029.7700452054794</v>
      </c>
      <c r="G11">
        <v>2030.0500452054796</v>
      </c>
      <c r="H11">
        <v>2030.0500452054796</v>
      </c>
      <c r="I11">
        <v>2030</v>
      </c>
      <c r="J11">
        <v>2030</v>
      </c>
      <c r="O11">
        <v>0</v>
      </c>
      <c r="P11">
        <v>0</v>
      </c>
      <c r="Q11">
        <v>0</v>
      </c>
      <c r="R11">
        <v>0</v>
      </c>
      <c r="V11">
        <v>0</v>
      </c>
      <c r="W11">
        <v>0</v>
      </c>
      <c r="X11">
        <v>0</v>
      </c>
    </row>
    <row r="12" spans="1:25">
      <c r="A12" t="s">
        <v>58</v>
      </c>
      <c r="B12" t="s">
        <v>62</v>
      </c>
      <c r="C12" t="s">
        <v>60</v>
      </c>
      <c r="D12">
        <v>308</v>
      </c>
      <c r="E12">
        <v>3.3020999999999998</v>
      </c>
      <c r="F12">
        <v>2030.0500452054796</v>
      </c>
      <c r="G12">
        <v>2033.9879452054795</v>
      </c>
      <c r="H12">
        <v>2031.7479452054795</v>
      </c>
      <c r="I12">
        <v>2031</v>
      </c>
      <c r="J12">
        <v>2031</v>
      </c>
      <c r="K12" t="b">
        <v>0</v>
      </c>
      <c r="L12">
        <v>1</v>
      </c>
      <c r="M12">
        <v>1</v>
      </c>
      <c r="N12">
        <v>1.15018623826537</v>
      </c>
      <c r="O12">
        <v>31352.024867655986</v>
      </c>
      <c r="P12">
        <v>31352.024867655986</v>
      </c>
      <c r="Q12">
        <v>31352.024867655986</v>
      </c>
      <c r="R12">
        <v>31352.024867655986</v>
      </c>
      <c r="S12">
        <v>2.6320000000000001</v>
      </c>
      <c r="T12">
        <v>5</v>
      </c>
      <c r="U12">
        <v>1.1387121658906014</v>
      </c>
      <c r="V12">
        <v>27532.879516690828</v>
      </c>
      <c r="W12">
        <v>27532.879516690828</v>
      </c>
      <c r="X12">
        <v>27532.879516690828</v>
      </c>
      <c r="Y12" t="s">
        <v>63</v>
      </c>
    </row>
    <row r="13" spans="1:25">
      <c r="A13" t="s">
        <v>58</v>
      </c>
      <c r="B13" t="s">
        <v>62</v>
      </c>
      <c r="C13" t="s">
        <v>60</v>
      </c>
      <c r="D13">
        <v>308</v>
      </c>
      <c r="E13">
        <v>3.3020999999999998</v>
      </c>
      <c r="F13">
        <v>2030.0500452054796</v>
      </c>
      <c r="G13">
        <v>2033.9879452054795</v>
      </c>
      <c r="H13">
        <v>2032.7479452054795</v>
      </c>
      <c r="I13">
        <v>2032</v>
      </c>
      <c r="J13">
        <v>2032</v>
      </c>
      <c r="K13" t="b">
        <v>0</v>
      </c>
      <c r="L13">
        <v>1</v>
      </c>
      <c r="M13">
        <v>1</v>
      </c>
      <c r="N13">
        <v>1.1911328683476172</v>
      </c>
      <c r="O13">
        <v>32468.156952944537</v>
      </c>
      <c r="P13">
        <v>32468.156952944537</v>
      </c>
      <c r="Q13">
        <v>32468.156952944537</v>
      </c>
      <c r="R13">
        <v>32468.156952944537</v>
      </c>
      <c r="S13">
        <v>2.7450000000000001</v>
      </c>
      <c r="T13">
        <v>6</v>
      </c>
      <c r="U13">
        <v>1.1764248208016386</v>
      </c>
      <c r="V13">
        <v>27599.007075369344</v>
      </c>
      <c r="W13">
        <v>27599.007075369344</v>
      </c>
      <c r="X13">
        <v>27599.007075369344</v>
      </c>
      <c r="Y13" t="s">
        <v>63</v>
      </c>
    </row>
    <row r="14" spans="1:25">
      <c r="A14" t="s">
        <v>58</v>
      </c>
      <c r="B14" t="s">
        <v>62</v>
      </c>
      <c r="C14" t="s">
        <v>60</v>
      </c>
      <c r="D14">
        <v>308</v>
      </c>
      <c r="E14">
        <v>3.3020999999999998</v>
      </c>
      <c r="F14">
        <v>2030.0500452054796</v>
      </c>
      <c r="G14">
        <v>2033.9879452054795</v>
      </c>
      <c r="H14">
        <v>2033.7479452054795</v>
      </c>
      <c r="I14">
        <v>2033</v>
      </c>
      <c r="J14">
        <v>2033</v>
      </c>
      <c r="K14" t="b">
        <v>0</v>
      </c>
      <c r="L14">
        <v>1</v>
      </c>
      <c r="M14">
        <v>1</v>
      </c>
      <c r="N14">
        <v>1.2335371984607924</v>
      </c>
      <c r="O14">
        <v>33624.023340469364</v>
      </c>
      <c r="P14">
        <v>33624.023340469364</v>
      </c>
      <c r="Q14">
        <v>33624.023340469364</v>
      </c>
      <c r="R14">
        <v>33624.023340469364</v>
      </c>
      <c r="S14">
        <v>2.8140000000000001</v>
      </c>
      <c r="T14">
        <v>7</v>
      </c>
      <c r="U14">
        <v>1.2144112746106077</v>
      </c>
      <c r="V14">
        <v>27687.509201732886</v>
      </c>
      <c r="W14">
        <v>27687.509201732886</v>
      </c>
      <c r="X14">
        <v>27687.509201732886</v>
      </c>
      <c r="Y14" t="s">
        <v>63</v>
      </c>
    </row>
    <row r="15" spans="1:25">
      <c r="A15" t="s">
        <v>58</v>
      </c>
      <c r="B15" t="s">
        <v>62</v>
      </c>
      <c r="C15" t="s">
        <v>60</v>
      </c>
      <c r="D15">
        <v>308</v>
      </c>
      <c r="E15">
        <v>3.3020999999999998</v>
      </c>
      <c r="F15">
        <v>2030.0500452054796</v>
      </c>
      <c r="G15">
        <v>2033.9879452054795</v>
      </c>
      <c r="H15">
        <v>2033.9879452054795</v>
      </c>
      <c r="I15">
        <v>2033</v>
      </c>
      <c r="J15">
        <v>2033.9879452054795</v>
      </c>
      <c r="K15" t="b">
        <v>0</v>
      </c>
      <c r="L15">
        <v>0.24000000000000909</v>
      </c>
      <c r="M15">
        <v>0.24000000000000909</v>
      </c>
      <c r="N15">
        <v>1.2774511227259968</v>
      </c>
      <c r="O15">
        <v>34821.038571390076</v>
      </c>
      <c r="P15">
        <v>34821.038571390076</v>
      </c>
      <c r="Q15">
        <v>8357.0492571339346</v>
      </c>
      <c r="R15">
        <v>8357.0492571339346</v>
      </c>
      <c r="S15">
        <v>2.8140000000000001</v>
      </c>
      <c r="T15">
        <v>8</v>
      </c>
      <c r="U15">
        <v>1.2485848078781503</v>
      </c>
      <c r="V15">
        <v>6693.2171562586409</v>
      </c>
      <c r="W15">
        <v>6693.2171562586409</v>
      </c>
      <c r="X15">
        <v>6693.2171562586409</v>
      </c>
      <c r="Y15" t="s">
        <v>63</v>
      </c>
    </row>
    <row r="16" spans="1:25">
      <c r="A16" t="s">
        <v>58</v>
      </c>
      <c r="B16" t="s">
        <v>62</v>
      </c>
      <c r="C16" t="s">
        <v>60</v>
      </c>
      <c r="D16">
        <v>308</v>
      </c>
      <c r="E16">
        <v>3.3020999999999998</v>
      </c>
      <c r="F16">
        <v>2030.0500452054796</v>
      </c>
      <c r="G16">
        <v>2033.9879452054795</v>
      </c>
      <c r="H16">
        <v>2033.9879452054795</v>
      </c>
      <c r="I16">
        <v>2033</v>
      </c>
      <c r="J16">
        <v>2033</v>
      </c>
      <c r="O16">
        <v>0</v>
      </c>
      <c r="P16">
        <v>0</v>
      </c>
      <c r="Q16">
        <v>0</v>
      </c>
      <c r="R16">
        <v>0</v>
      </c>
      <c r="V16">
        <v>0</v>
      </c>
      <c r="W16">
        <v>0</v>
      </c>
      <c r="X16">
        <v>0</v>
      </c>
    </row>
    <row r="17" spans="1:27">
      <c r="A17" t="s">
        <v>64</v>
      </c>
      <c r="B17" t="s">
        <v>65</v>
      </c>
      <c r="C17" t="s">
        <v>66</v>
      </c>
      <c r="D17">
        <v>408</v>
      </c>
      <c r="E17">
        <v>7.24</v>
      </c>
      <c r="F17">
        <v>2033.9879452054795</v>
      </c>
      <c r="G17">
        <v>2042.8479452054794</v>
      </c>
      <c r="H17">
        <v>2034.7479452054795</v>
      </c>
      <c r="I17">
        <v>2034</v>
      </c>
      <c r="J17">
        <v>2034</v>
      </c>
      <c r="K17" t="b">
        <v>0</v>
      </c>
      <c r="L17">
        <v>0.75999999999999091</v>
      </c>
      <c r="M17">
        <v>0.75999999999999091</v>
      </c>
      <c r="N17">
        <v>1.2774511227259968</v>
      </c>
      <c r="O17">
        <v>32601.713484577169</v>
      </c>
      <c r="P17">
        <v>32601.713484577169</v>
      </c>
      <c r="Q17">
        <v>24777.302248278353</v>
      </c>
      <c r="R17">
        <v>24777.302248278353</v>
      </c>
      <c r="S17">
        <v>2.91</v>
      </c>
      <c r="T17">
        <v>8</v>
      </c>
      <c r="U17">
        <v>1.2579420233880916</v>
      </c>
      <c r="V17">
        <v>19696.696499210782</v>
      </c>
      <c r="W17">
        <v>19696.696499210782</v>
      </c>
      <c r="X17">
        <v>19696.696499210782</v>
      </c>
      <c r="Y17" t="s">
        <v>67</v>
      </c>
    </row>
    <row r="18" spans="1:27">
      <c r="A18" t="s">
        <v>64</v>
      </c>
      <c r="B18" t="s">
        <v>65</v>
      </c>
      <c r="C18" t="s">
        <v>66</v>
      </c>
      <c r="D18">
        <v>408</v>
      </c>
      <c r="E18">
        <v>7.24</v>
      </c>
      <c r="F18">
        <v>2033.9879452054795</v>
      </c>
      <c r="G18">
        <v>2042.8479452054794</v>
      </c>
      <c r="H18">
        <v>2035.7479452054795</v>
      </c>
      <c r="I18">
        <v>2035</v>
      </c>
      <c r="J18">
        <v>2035</v>
      </c>
      <c r="K18" t="b">
        <v>0</v>
      </c>
      <c r="L18">
        <v>1</v>
      </c>
      <c r="M18">
        <v>1</v>
      </c>
      <c r="N18">
        <v>1.3229283826950424</v>
      </c>
      <c r="O18">
        <v>33762.334484628118</v>
      </c>
      <c r="P18">
        <v>33762.334484628118</v>
      </c>
      <c r="Q18">
        <v>33762.334484628118</v>
      </c>
      <c r="R18">
        <v>33762.334484628118</v>
      </c>
      <c r="S18">
        <v>3.0190000000000001</v>
      </c>
      <c r="T18">
        <v>9</v>
      </c>
      <c r="U18">
        <v>1.3069409597006429</v>
      </c>
      <c r="V18">
        <v>25833.098453323735</v>
      </c>
      <c r="W18">
        <v>25833.098453323735</v>
      </c>
      <c r="X18">
        <v>25833.098453323735</v>
      </c>
      <c r="Y18" t="s">
        <v>67</v>
      </c>
    </row>
    <row r="19" spans="1:27">
      <c r="A19" t="s">
        <v>64</v>
      </c>
      <c r="B19" t="s">
        <v>65</v>
      </c>
      <c r="C19" t="s">
        <v>66</v>
      </c>
      <c r="D19">
        <v>408</v>
      </c>
      <c r="E19">
        <v>7.24</v>
      </c>
      <c r="F19">
        <v>2033.9879452054795</v>
      </c>
      <c r="G19">
        <v>2042.8479452054794</v>
      </c>
      <c r="H19">
        <v>2036.7479452054795</v>
      </c>
      <c r="I19">
        <v>2036</v>
      </c>
      <c r="J19">
        <v>2036</v>
      </c>
      <c r="K19" t="b">
        <v>0</v>
      </c>
      <c r="L19">
        <v>1</v>
      </c>
      <c r="M19">
        <v>1</v>
      </c>
      <c r="N19">
        <v>1.370024633118986</v>
      </c>
      <c r="O19">
        <v>34964.273592280886</v>
      </c>
      <c r="P19">
        <v>34964.273592280886</v>
      </c>
      <c r="Q19">
        <v>34964.273592280886</v>
      </c>
      <c r="R19">
        <v>34964.273592280886</v>
      </c>
      <c r="S19">
        <v>3.13</v>
      </c>
      <c r="T19">
        <v>10</v>
      </c>
      <c r="U19">
        <v>1.3609750935597946</v>
      </c>
      <c r="V19">
        <v>25690.605035855293</v>
      </c>
      <c r="W19">
        <v>25690.605035855293</v>
      </c>
      <c r="X19">
        <v>25690.605035855293</v>
      </c>
      <c r="Y19" t="s">
        <v>67</v>
      </c>
    </row>
    <row r="20" spans="1:27">
      <c r="A20" t="s">
        <v>64</v>
      </c>
      <c r="B20" t="s">
        <v>65</v>
      </c>
      <c r="C20" t="s">
        <v>66</v>
      </c>
      <c r="D20">
        <v>408</v>
      </c>
      <c r="E20">
        <v>7.24</v>
      </c>
      <c r="F20">
        <v>2033.9879452054795</v>
      </c>
      <c r="G20">
        <v>2042.8479452054794</v>
      </c>
      <c r="H20">
        <v>2037.7479452054795</v>
      </c>
      <c r="I20">
        <v>2037</v>
      </c>
      <c r="J20">
        <v>2037</v>
      </c>
      <c r="K20" t="b">
        <v>0</v>
      </c>
      <c r="L20">
        <v>1</v>
      </c>
      <c r="M20">
        <v>1</v>
      </c>
      <c r="N20">
        <v>1.4187975100580219</v>
      </c>
      <c r="O20">
        <v>36209.001732166085</v>
      </c>
      <c r="P20">
        <v>36209.001732166085</v>
      </c>
      <c r="Q20">
        <v>36209.001732166085</v>
      </c>
      <c r="R20">
        <v>36209.001732166085</v>
      </c>
      <c r="S20">
        <v>3.2370000000000001</v>
      </c>
      <c r="T20">
        <v>11</v>
      </c>
      <c r="U20">
        <v>1.4196756489534659</v>
      </c>
      <c r="V20">
        <v>25505.12277847272</v>
      </c>
      <c r="W20">
        <v>25505.12277847272</v>
      </c>
      <c r="X20">
        <v>25505.12277847272</v>
      </c>
      <c r="Y20" t="s">
        <v>67</v>
      </c>
    </row>
    <row r="21" spans="1:27">
      <c r="A21" t="s">
        <v>64</v>
      </c>
      <c r="B21" t="s">
        <v>65</v>
      </c>
      <c r="C21" t="s">
        <v>66</v>
      </c>
      <c r="D21">
        <v>408</v>
      </c>
      <c r="E21">
        <v>7.24</v>
      </c>
      <c r="F21">
        <v>2033.9879452054795</v>
      </c>
      <c r="G21">
        <v>2042.8479452054794</v>
      </c>
      <c r="H21">
        <v>2038.7479452054795</v>
      </c>
      <c r="I21">
        <v>2038</v>
      </c>
      <c r="J21">
        <v>2038</v>
      </c>
      <c r="K21" t="b">
        <v>0</v>
      </c>
      <c r="L21">
        <v>1</v>
      </c>
      <c r="M21">
        <v>1</v>
      </c>
      <c r="N21">
        <v>1.4693067014160877</v>
      </c>
      <c r="O21">
        <v>37498.042193831199</v>
      </c>
      <c r="P21">
        <v>37498.042193831199</v>
      </c>
      <c r="Q21">
        <v>37498.042193831199</v>
      </c>
      <c r="R21">
        <v>37498.042193831199</v>
      </c>
      <c r="S21">
        <v>3.31</v>
      </c>
      <c r="T21">
        <v>12</v>
      </c>
      <c r="U21">
        <v>1.4781153889387728</v>
      </c>
      <c r="V21">
        <v>25368.819291404088</v>
      </c>
      <c r="W21">
        <v>25368.819291404088</v>
      </c>
      <c r="X21">
        <v>25368.819291404088</v>
      </c>
      <c r="Y21" t="s">
        <v>67</v>
      </c>
    </row>
    <row r="22" spans="1:27">
      <c r="A22" t="s">
        <v>64</v>
      </c>
      <c r="B22" t="s">
        <v>65</v>
      </c>
      <c r="C22" t="s">
        <v>66</v>
      </c>
      <c r="D22">
        <v>408</v>
      </c>
      <c r="E22">
        <v>7.24</v>
      </c>
      <c r="F22">
        <v>2033.9879452054795</v>
      </c>
      <c r="G22">
        <v>2042.8479452054794</v>
      </c>
      <c r="H22">
        <v>2039.7479452054795</v>
      </c>
      <c r="I22">
        <v>2039</v>
      </c>
      <c r="J22">
        <v>2039</v>
      </c>
      <c r="K22" t="b">
        <v>0</v>
      </c>
      <c r="L22">
        <v>1</v>
      </c>
      <c r="M22">
        <v>1</v>
      </c>
      <c r="N22">
        <v>1.5216140199865005</v>
      </c>
      <c r="O22">
        <v>38832.972495931594</v>
      </c>
      <c r="P22">
        <v>38832.972495931594</v>
      </c>
      <c r="Q22">
        <v>38832.972495931594</v>
      </c>
      <c r="R22">
        <v>38832.972495931594</v>
      </c>
      <c r="S22">
        <v>3.415</v>
      </c>
      <c r="T22">
        <v>13</v>
      </c>
      <c r="U22">
        <v>1.5473407810339357</v>
      </c>
      <c r="V22">
        <v>25096.586978069136</v>
      </c>
      <c r="W22">
        <v>25096.586978069136</v>
      </c>
      <c r="X22">
        <v>25096.586978069136</v>
      </c>
      <c r="Y22" t="s">
        <v>67</v>
      </c>
    </row>
    <row r="23" spans="1:27">
      <c r="A23" t="s">
        <v>64</v>
      </c>
      <c r="B23" t="s">
        <v>65</v>
      </c>
      <c r="C23" t="s">
        <v>66</v>
      </c>
      <c r="D23">
        <v>408</v>
      </c>
      <c r="E23">
        <v>7.24</v>
      </c>
      <c r="F23">
        <v>2033.9879452054795</v>
      </c>
      <c r="G23">
        <v>2042.8479452054794</v>
      </c>
      <c r="H23">
        <v>2040.7479452054795</v>
      </c>
      <c r="I23">
        <v>2040</v>
      </c>
      <c r="J23">
        <v>2040</v>
      </c>
      <c r="K23" t="b">
        <v>0</v>
      </c>
      <c r="L23">
        <v>1</v>
      </c>
      <c r="M23">
        <v>1</v>
      </c>
      <c r="N23">
        <v>1.5757834790980201</v>
      </c>
      <c r="O23">
        <v>40215.426316786761</v>
      </c>
      <c r="P23">
        <v>40215.426316786761</v>
      </c>
      <c r="Q23">
        <v>40215.426316786761</v>
      </c>
      <c r="R23">
        <v>40215.426316786761</v>
      </c>
      <c r="S23">
        <v>3.4689999999999999</v>
      </c>
      <c r="T23">
        <v>14</v>
      </c>
      <c r="U23">
        <v>1.6119201517916668</v>
      </c>
      <c r="V23">
        <v>24948.770739100739</v>
      </c>
      <c r="W23">
        <v>24948.770739100739</v>
      </c>
      <c r="X23">
        <v>24948.770739100739</v>
      </c>
      <c r="Y23" t="s">
        <v>67</v>
      </c>
    </row>
    <row r="24" spans="1:27">
      <c r="A24" t="s">
        <v>64</v>
      </c>
      <c r="B24" t="s">
        <v>65</v>
      </c>
      <c r="C24" t="s">
        <v>66</v>
      </c>
      <c r="D24">
        <v>408</v>
      </c>
      <c r="E24">
        <v>7.24</v>
      </c>
      <c r="F24">
        <v>2033.9879452054795</v>
      </c>
      <c r="G24">
        <v>2042.8479452054794</v>
      </c>
      <c r="H24">
        <v>2041.7479452054795</v>
      </c>
      <c r="I24">
        <v>2041</v>
      </c>
      <c r="J24">
        <v>2041</v>
      </c>
      <c r="K24" t="b">
        <v>0</v>
      </c>
      <c r="L24">
        <v>1</v>
      </c>
      <c r="M24">
        <v>1</v>
      </c>
      <c r="N24">
        <v>1.6318813709539097</v>
      </c>
      <c r="O24">
        <v>41647.095493664376</v>
      </c>
      <c r="P24">
        <v>41647.095493664376</v>
      </c>
      <c r="Q24">
        <v>41647.095493664376</v>
      </c>
      <c r="R24">
        <v>41647.095493664376</v>
      </c>
      <c r="S24">
        <v>3.5750000000000002</v>
      </c>
      <c r="T24">
        <v>15</v>
      </c>
      <c r="U24">
        <v>1.6936518059706256</v>
      </c>
      <c r="V24">
        <v>24590.116662023443</v>
      </c>
      <c r="W24">
        <v>24590.116662023443</v>
      </c>
      <c r="X24">
        <v>24590.116662023443</v>
      </c>
      <c r="Y24" t="s">
        <v>67</v>
      </c>
    </row>
    <row r="25" spans="1:27">
      <c r="A25" t="s">
        <v>64</v>
      </c>
      <c r="B25" t="s">
        <v>65</v>
      </c>
      <c r="C25" t="s">
        <v>66</v>
      </c>
      <c r="D25">
        <v>408</v>
      </c>
      <c r="E25">
        <v>7.24</v>
      </c>
      <c r="F25">
        <v>2033.9879452054795</v>
      </c>
      <c r="G25">
        <v>2042.8479452054794</v>
      </c>
      <c r="H25">
        <v>2042.8479452054794</v>
      </c>
      <c r="I25">
        <v>2042</v>
      </c>
      <c r="J25">
        <v>2042.8479452054794</v>
      </c>
      <c r="K25" t="b">
        <v>0</v>
      </c>
      <c r="L25">
        <v>9.9999999999909051E-2</v>
      </c>
      <c r="M25">
        <v>9.9999999999909051E-2</v>
      </c>
      <c r="N25">
        <v>1.7501395057401203</v>
      </c>
      <c r="O25">
        <v>44665.150555758133</v>
      </c>
      <c r="P25">
        <v>44665.150555758133</v>
      </c>
      <c r="Q25">
        <v>4466.515055571751</v>
      </c>
      <c r="R25">
        <v>4466.515055571751</v>
      </c>
      <c r="S25">
        <v>3.706</v>
      </c>
      <c r="T25">
        <v>17</v>
      </c>
      <c r="U25">
        <v>1.8563763253404504</v>
      </c>
      <c r="V25">
        <v>2406.0396561848061</v>
      </c>
      <c r="W25">
        <v>2406.0396561848061</v>
      </c>
      <c r="X25">
        <v>2406.0396561848061</v>
      </c>
      <c r="Y25" t="s">
        <v>67</v>
      </c>
    </row>
    <row r="26" spans="1:27">
      <c r="A26" t="s">
        <v>64</v>
      </c>
      <c r="B26" t="s">
        <v>65</v>
      </c>
      <c r="C26" t="s">
        <v>66</v>
      </c>
      <c r="D26">
        <v>408</v>
      </c>
      <c r="E26">
        <v>7.24</v>
      </c>
      <c r="F26">
        <v>2033.9879452054795</v>
      </c>
      <c r="G26">
        <v>2042.8479452054794</v>
      </c>
      <c r="H26">
        <v>2042.7479452054795</v>
      </c>
      <c r="I26">
        <v>2042</v>
      </c>
      <c r="J26">
        <v>2042</v>
      </c>
      <c r="K26" t="b">
        <v>0</v>
      </c>
      <c r="L26">
        <v>1</v>
      </c>
      <c r="M26">
        <v>1</v>
      </c>
      <c r="N26">
        <v>1.689976347759869</v>
      </c>
      <c r="O26">
        <v>43129.732093238832</v>
      </c>
      <c r="P26">
        <v>43129.732093238832</v>
      </c>
      <c r="Q26">
        <v>43129.732093238832</v>
      </c>
      <c r="R26">
        <v>43129.732093238832</v>
      </c>
      <c r="S26">
        <v>3.706</v>
      </c>
      <c r="T26">
        <v>16</v>
      </c>
      <c r="U26">
        <v>1.7900375343186028</v>
      </c>
      <c r="V26">
        <v>24094.317167297071</v>
      </c>
      <c r="W26">
        <v>24094.317167297071</v>
      </c>
      <c r="X26">
        <v>24094.317167297071</v>
      </c>
      <c r="Y26" t="s">
        <v>67</v>
      </c>
    </row>
    <row r="27" spans="1:27">
      <c r="A27" t="s">
        <v>64</v>
      </c>
      <c r="B27" t="s">
        <v>65</v>
      </c>
      <c r="C27" t="s">
        <v>66</v>
      </c>
      <c r="D27">
        <v>408</v>
      </c>
      <c r="E27">
        <v>7.24</v>
      </c>
      <c r="F27">
        <v>2033.9879452054795</v>
      </c>
      <c r="G27">
        <v>2042.8479452054794</v>
      </c>
      <c r="H27">
        <v>2042.8479452054794</v>
      </c>
      <c r="I27">
        <v>2042</v>
      </c>
      <c r="J27">
        <v>2042</v>
      </c>
      <c r="O27">
        <v>0</v>
      </c>
      <c r="P27">
        <v>0</v>
      </c>
      <c r="Q27">
        <v>0</v>
      </c>
      <c r="R27">
        <v>0</v>
      </c>
      <c r="V27">
        <v>0</v>
      </c>
      <c r="W27">
        <v>0</v>
      </c>
      <c r="X27">
        <v>0</v>
      </c>
    </row>
    <row r="31" spans="1:27">
      <c r="AA31">
        <v>72444</v>
      </c>
    </row>
    <row r="32" spans="1:27">
      <c r="AA32">
        <v>30576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DD510-315C-4930-8693-4DC218C7F984}">
  <dimension ref="A1:P5"/>
  <sheetViews>
    <sheetView workbookViewId="0">
      <selection activeCell="F32" sqref="F32"/>
    </sheetView>
  </sheetViews>
  <sheetFormatPr defaultColWidth="8.7109375" defaultRowHeight="15"/>
  <cols>
    <col min="1" max="1" width="116.28515625" bestFit="1" customWidth="1"/>
    <col min="2" max="2" width="17.140625" bestFit="1" customWidth="1"/>
    <col min="3" max="3" width="11.42578125" bestFit="1" customWidth="1"/>
    <col min="4" max="4" width="12.28515625" bestFit="1" customWidth="1"/>
    <col min="5" max="5" width="20.7109375" bestFit="1" customWidth="1"/>
    <col min="6" max="6" width="11.28515625" bestFit="1" customWidth="1"/>
    <col min="7" max="7" width="18.85546875" bestFit="1" customWidth="1"/>
    <col min="8" max="8" width="19.28515625" bestFit="1" customWidth="1"/>
    <col min="9" max="9" width="16.140625" bestFit="1" customWidth="1"/>
    <col min="10" max="10" width="16.5703125" bestFit="1" customWidth="1"/>
    <col min="11" max="11" width="12.7109375" bestFit="1" customWidth="1"/>
    <col min="12" max="12" width="17.140625" bestFit="1" customWidth="1"/>
    <col min="13" max="13" width="12.7109375" bestFit="1" customWidth="1"/>
    <col min="14" max="14" width="10.140625" bestFit="1" customWidth="1"/>
    <col min="15" max="15" width="11.5703125" bestFit="1" customWidth="1"/>
    <col min="16" max="16" width="56.140625" bestFit="1" customWidth="1"/>
  </cols>
  <sheetData>
    <row r="1" spans="1:16">
      <c r="A1" t="s">
        <v>30</v>
      </c>
      <c r="B1" t="s">
        <v>31</v>
      </c>
      <c r="C1" t="s">
        <v>10</v>
      </c>
      <c r="D1" t="s">
        <v>68</v>
      </c>
      <c r="E1" t="s">
        <v>33</v>
      </c>
      <c r="F1" t="s">
        <v>69</v>
      </c>
      <c r="G1" t="s">
        <v>18</v>
      </c>
      <c r="H1" t="s">
        <v>70</v>
      </c>
      <c r="I1" t="s">
        <v>71</v>
      </c>
      <c r="J1" t="s">
        <v>72</v>
      </c>
      <c r="K1" t="s">
        <v>73</v>
      </c>
      <c r="L1" t="s">
        <v>74</v>
      </c>
      <c r="M1" t="s">
        <v>32</v>
      </c>
      <c r="N1" t="s">
        <v>75</v>
      </c>
      <c r="O1" t="s">
        <v>76</v>
      </c>
      <c r="P1" t="s">
        <v>53</v>
      </c>
    </row>
    <row r="2" spans="1:16">
      <c r="A2" t="s">
        <v>54</v>
      </c>
      <c r="B2" t="s">
        <v>55</v>
      </c>
      <c r="C2" t="s">
        <v>56</v>
      </c>
      <c r="D2">
        <v>2026</v>
      </c>
      <c r="E2">
        <v>-1.3479000000000001</v>
      </c>
      <c r="F2">
        <v>3.0221</v>
      </c>
      <c r="G2">
        <v>19110.379661999999</v>
      </c>
      <c r="H2">
        <v>19110.379661999999</v>
      </c>
      <c r="I2">
        <v>0</v>
      </c>
      <c r="J2">
        <v>0</v>
      </c>
      <c r="K2">
        <v>1</v>
      </c>
      <c r="L2">
        <v>1</v>
      </c>
      <c r="M2">
        <v>108</v>
      </c>
      <c r="N2">
        <v>3.56</v>
      </c>
      <c r="O2" t="s">
        <v>77</v>
      </c>
      <c r="P2" t="s">
        <v>57</v>
      </c>
    </row>
    <row r="3" spans="1:16">
      <c r="A3" t="s">
        <v>58</v>
      </c>
      <c r="B3" t="s">
        <v>59</v>
      </c>
      <c r="C3" t="s">
        <v>60</v>
      </c>
      <c r="D3">
        <v>2026</v>
      </c>
      <c r="E3">
        <v>3.0221</v>
      </c>
      <c r="F3">
        <v>3.3020999999999998</v>
      </c>
      <c r="G3">
        <v>27258.215952000002</v>
      </c>
      <c r="H3">
        <v>27258.215952000002</v>
      </c>
      <c r="I3">
        <v>0</v>
      </c>
      <c r="J3">
        <v>0</v>
      </c>
      <c r="K3">
        <v>1</v>
      </c>
      <c r="L3">
        <v>1</v>
      </c>
      <c r="M3">
        <v>208</v>
      </c>
      <c r="N3">
        <v>3.56</v>
      </c>
      <c r="O3" t="s">
        <v>77</v>
      </c>
      <c r="P3" t="s">
        <v>61</v>
      </c>
    </row>
    <row r="4" spans="1:16">
      <c r="A4" t="s">
        <v>58</v>
      </c>
      <c r="B4" t="s">
        <v>62</v>
      </c>
      <c r="C4" t="s">
        <v>60</v>
      </c>
      <c r="D4">
        <v>2026</v>
      </c>
      <c r="E4">
        <v>3.3020999999999998</v>
      </c>
      <c r="F4">
        <v>7.24</v>
      </c>
      <c r="G4">
        <v>27258.215952000002</v>
      </c>
      <c r="H4">
        <v>27258.215952000002</v>
      </c>
      <c r="I4">
        <v>0</v>
      </c>
      <c r="J4">
        <v>0</v>
      </c>
      <c r="K4">
        <v>1</v>
      </c>
      <c r="L4">
        <v>1</v>
      </c>
      <c r="M4">
        <v>308</v>
      </c>
      <c r="N4">
        <v>3.56</v>
      </c>
      <c r="O4" t="s">
        <v>77</v>
      </c>
      <c r="P4" t="s">
        <v>63</v>
      </c>
    </row>
    <row r="5" spans="1:16">
      <c r="A5" t="s">
        <v>64</v>
      </c>
      <c r="B5" t="s">
        <v>65</v>
      </c>
      <c r="C5" t="s">
        <v>66</v>
      </c>
      <c r="D5">
        <v>2026</v>
      </c>
      <c r="E5">
        <v>7.24</v>
      </c>
      <c r="F5">
        <v>16.100000000000001</v>
      </c>
      <c r="G5">
        <v>25520.90871</v>
      </c>
      <c r="H5">
        <v>25520.90871</v>
      </c>
      <c r="I5">
        <v>0</v>
      </c>
      <c r="J5">
        <v>0</v>
      </c>
      <c r="K5">
        <v>1</v>
      </c>
      <c r="L5">
        <v>1</v>
      </c>
      <c r="M5">
        <v>408</v>
      </c>
      <c r="N5">
        <v>3.56</v>
      </c>
      <c r="O5" t="s">
        <v>77</v>
      </c>
      <c r="P5" t="s">
        <v>67</v>
      </c>
    </row>
  </sheetData>
  <pageMargins left="0.7" right="0.7" top="0.75" bottom="0.75" header="0.3" footer="0.3"/>
  <pageSetup paperSize="9"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4F944-9FAD-4F52-A8D1-35E05BEA8A8A}">
  <dimension ref="A1"/>
  <sheetViews>
    <sheetView workbookViewId="0"/>
  </sheetViews>
  <sheetFormatPr defaultColWidth="8.7109375" defaultRowHeight="15"/>
  <cols>
    <col min="1" max="1" width="17.28515625" bestFit="1" customWidth="1"/>
    <col min="2" max="2" width="20.28515625" bestFit="1" customWidth="1"/>
  </cols>
  <sheetData>
    <row r="1" spans="1:1">
      <c r="A1" t="s">
        <v>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21437-C273-43FC-B827-199CA220B66F}">
  <dimension ref="A1:D645"/>
  <sheetViews>
    <sheetView topLeftCell="A117" workbookViewId="0">
      <selection activeCell="F22" sqref="F22"/>
    </sheetView>
  </sheetViews>
  <sheetFormatPr defaultColWidth="8.7109375" defaultRowHeight="15"/>
  <cols>
    <col min="1" max="1" width="18.7109375" bestFit="1" customWidth="1"/>
    <col min="2" max="2" width="69.85546875" bestFit="1" customWidth="1"/>
    <col min="3" max="3" width="17.85546875" bestFit="1" customWidth="1"/>
  </cols>
  <sheetData>
    <row r="1" spans="1:4">
      <c r="A1" t="s">
        <v>79</v>
      </c>
      <c r="B1" t="s">
        <v>80</v>
      </c>
      <c r="C1" t="s">
        <v>81</v>
      </c>
      <c r="D1" t="s">
        <v>82</v>
      </c>
    </row>
    <row r="2" spans="1:4">
      <c r="A2" t="s">
        <v>83</v>
      </c>
      <c r="B2" t="s">
        <v>84</v>
      </c>
      <c r="C2">
        <v>80.08</v>
      </c>
      <c r="D2" t="str" cm="1">
        <f t="array" ref="D2:D33">_xlfn._xlws.SORT(_xlfn._xlws.FILTER(GeoAdjustments[Area], GeoAdjustments[State]='Case Info'!$B$18))</f>
        <v>Abilene, TX</v>
      </c>
    </row>
    <row r="3" spans="1:4">
      <c r="A3" t="s">
        <v>83</v>
      </c>
      <c r="B3" t="s">
        <v>85</v>
      </c>
      <c r="C3">
        <v>76.91</v>
      </c>
      <c r="D3" t="str">
        <v>Amarillo, TX</v>
      </c>
    </row>
    <row r="4" spans="1:4">
      <c r="A4" t="s">
        <v>83</v>
      </c>
      <c r="B4" t="s">
        <v>86</v>
      </c>
      <c r="C4">
        <v>79.17</v>
      </c>
      <c r="D4" t="str">
        <v>Austin-Round Rock, TX</v>
      </c>
    </row>
    <row r="5" spans="1:4">
      <c r="A5" t="s">
        <v>83</v>
      </c>
      <c r="B5" t="s">
        <v>87</v>
      </c>
      <c r="C5">
        <v>83.09</v>
      </c>
      <c r="D5" t="str">
        <v>Beaumont-Port Arthur, TX</v>
      </c>
    </row>
    <row r="6" spans="1:4">
      <c r="A6" t="s">
        <v>83</v>
      </c>
      <c r="B6" t="s">
        <v>88</v>
      </c>
      <c r="C6">
        <v>78.91</v>
      </c>
      <c r="D6" t="str">
        <v>Big Thicket Region of Texas nonmetropolitan area</v>
      </c>
    </row>
    <row r="7" spans="1:4">
      <c r="A7" t="s">
        <v>83</v>
      </c>
      <c r="B7" t="s">
        <v>89</v>
      </c>
      <c r="C7">
        <v>80.47</v>
      </c>
      <c r="D7" t="str">
        <v>Border Region of Texas nonmetropolitan area</v>
      </c>
    </row>
    <row r="8" spans="1:4">
      <c r="A8" t="s">
        <v>83</v>
      </c>
      <c r="B8" t="s">
        <v>90</v>
      </c>
      <c r="C8">
        <v>82.37</v>
      </c>
      <c r="D8" t="str">
        <v>Brownsville-Harlingen, TX</v>
      </c>
    </row>
    <row r="9" spans="1:4">
      <c r="A9" t="s">
        <v>83</v>
      </c>
      <c r="B9" t="s">
        <v>91</v>
      </c>
      <c r="C9">
        <v>75.08</v>
      </c>
      <c r="D9" t="str">
        <v>Coastal Plains Region of Texas nonmetropolitan area</v>
      </c>
    </row>
    <row r="10" spans="1:4">
      <c r="A10" t="s">
        <v>83</v>
      </c>
      <c r="B10" t="s">
        <v>92</v>
      </c>
      <c r="C10">
        <v>76.38</v>
      </c>
      <c r="D10" t="str">
        <v>College Station-Bryan, TX</v>
      </c>
    </row>
    <row r="11" spans="1:4">
      <c r="A11" t="s">
        <v>83</v>
      </c>
      <c r="B11" t="s">
        <v>93</v>
      </c>
      <c r="C11">
        <v>73.8</v>
      </c>
      <c r="D11" t="str">
        <v>Corpus Christi, TX</v>
      </c>
    </row>
    <row r="12" spans="1:4">
      <c r="A12" t="s">
        <v>83</v>
      </c>
      <c r="B12" t="s">
        <v>94</v>
      </c>
      <c r="C12">
        <v>84.33</v>
      </c>
      <c r="D12" t="str">
        <v>Dallas-Fort Worth-Arlington, TX</v>
      </c>
    </row>
    <row r="13" spans="1:4">
      <c r="A13" t="s">
        <v>83</v>
      </c>
      <c r="B13" t="s">
        <v>95</v>
      </c>
      <c r="C13">
        <v>78.790000000000006</v>
      </c>
      <c r="D13" t="str">
        <v>El Paso, TX</v>
      </c>
    </row>
    <row r="14" spans="1:4">
      <c r="A14" t="s">
        <v>83</v>
      </c>
      <c r="B14" t="s">
        <v>96</v>
      </c>
      <c r="C14">
        <v>79.59</v>
      </c>
      <c r="D14" t="str">
        <v>Hill Country Region of Texas nonmetropolitan area</v>
      </c>
    </row>
    <row r="15" spans="1:4">
      <c r="A15" t="s">
        <v>83</v>
      </c>
      <c r="B15" t="s">
        <v>97</v>
      </c>
      <c r="C15">
        <v>76.64</v>
      </c>
      <c r="D15" t="str">
        <v>Houston-The Woodlands-Sugar Land, TX</v>
      </c>
    </row>
    <row r="16" spans="1:4">
      <c r="A16" t="s">
        <v>83</v>
      </c>
      <c r="B16" t="s">
        <v>98</v>
      </c>
      <c r="C16">
        <v>76.53</v>
      </c>
      <c r="D16" t="str">
        <v>Killeen-Temple, TX</v>
      </c>
    </row>
    <row r="17" spans="1:4">
      <c r="A17" t="s">
        <v>83</v>
      </c>
      <c r="B17" t="s">
        <v>99</v>
      </c>
      <c r="C17">
        <v>75.33</v>
      </c>
      <c r="D17" t="str">
        <v>Laredo, TX</v>
      </c>
    </row>
    <row r="18" spans="1:4">
      <c r="A18" t="s">
        <v>83</v>
      </c>
      <c r="B18" t="s">
        <v>100</v>
      </c>
      <c r="C18">
        <v>75.59</v>
      </c>
      <c r="D18" t="str">
        <v>Longview, TX</v>
      </c>
    </row>
    <row r="19" spans="1:4">
      <c r="A19" t="s">
        <v>83</v>
      </c>
      <c r="B19" t="s">
        <v>101</v>
      </c>
      <c r="C19">
        <v>81.650000000000006</v>
      </c>
      <c r="D19" t="str">
        <v>Lubbock, TX</v>
      </c>
    </row>
    <row r="20" spans="1:4">
      <c r="A20" t="s">
        <v>102</v>
      </c>
      <c r="B20" t="s">
        <v>103</v>
      </c>
      <c r="C20">
        <v>109.98</v>
      </c>
      <c r="D20" t="str">
        <v>McAllen-Edinburg-Mission, TX</v>
      </c>
    </row>
    <row r="21" spans="1:4">
      <c r="A21" t="s">
        <v>102</v>
      </c>
      <c r="B21" t="s">
        <v>104</v>
      </c>
      <c r="C21">
        <v>112.15</v>
      </c>
      <c r="D21" t="str">
        <v>Midland, TX</v>
      </c>
    </row>
    <row r="22" spans="1:4">
      <c r="A22" t="s">
        <v>102</v>
      </c>
      <c r="B22" t="s">
        <v>105</v>
      </c>
      <c r="C22">
        <v>108.76</v>
      </c>
      <c r="D22" t="str">
        <v>North Texas Region of Texas nonmetropolitan area</v>
      </c>
    </row>
    <row r="23" spans="1:4">
      <c r="A23" t="s">
        <v>102</v>
      </c>
      <c r="B23" t="s">
        <v>106</v>
      </c>
      <c r="C23">
        <v>109.58</v>
      </c>
      <c r="D23" t="str">
        <v>Odessa, TX</v>
      </c>
    </row>
    <row r="24" spans="1:4">
      <c r="A24" t="s">
        <v>107</v>
      </c>
      <c r="B24" t="s">
        <v>108</v>
      </c>
      <c r="C24">
        <v>105.73</v>
      </c>
      <c r="D24" t="str">
        <v>San Angelo, TX</v>
      </c>
    </row>
    <row r="25" spans="1:4">
      <c r="A25" t="s">
        <v>107</v>
      </c>
      <c r="B25" t="s">
        <v>109</v>
      </c>
      <c r="C25">
        <v>99.34</v>
      </c>
      <c r="D25" t="str">
        <v>San Antonio-New Braunfels, TX</v>
      </c>
    </row>
    <row r="26" spans="1:4">
      <c r="A26" t="s">
        <v>107</v>
      </c>
      <c r="B26" t="s">
        <v>110</v>
      </c>
      <c r="C26">
        <v>106.42</v>
      </c>
      <c r="D26" t="str">
        <v>Sherman-Denison, TX</v>
      </c>
    </row>
    <row r="27" spans="1:4">
      <c r="A27" t="s">
        <v>107</v>
      </c>
      <c r="B27" t="s">
        <v>111</v>
      </c>
      <c r="C27">
        <v>100.04</v>
      </c>
      <c r="D27" t="str">
        <v>Texarkana, TX-AR</v>
      </c>
    </row>
    <row r="28" spans="1:4">
      <c r="A28" t="s">
        <v>107</v>
      </c>
      <c r="B28" t="s">
        <v>112</v>
      </c>
      <c r="C28">
        <v>107.52</v>
      </c>
      <c r="D28" t="str">
        <v>Texas (State Average)</v>
      </c>
    </row>
    <row r="29" spans="1:4">
      <c r="A29" t="s">
        <v>107</v>
      </c>
      <c r="B29" t="s">
        <v>113</v>
      </c>
      <c r="C29">
        <v>106.29</v>
      </c>
      <c r="D29" t="str">
        <v>Tyler, TX</v>
      </c>
    </row>
    <row r="30" spans="1:4">
      <c r="A30" t="s">
        <v>107</v>
      </c>
      <c r="B30" t="s">
        <v>114</v>
      </c>
      <c r="C30">
        <v>98.27</v>
      </c>
      <c r="D30" t="str">
        <v>Victoria, TX</v>
      </c>
    </row>
    <row r="31" spans="1:4">
      <c r="A31" t="s">
        <v>107</v>
      </c>
      <c r="B31" t="s">
        <v>115</v>
      </c>
      <c r="C31">
        <v>101.53</v>
      </c>
      <c r="D31" t="str">
        <v>Waco, TX</v>
      </c>
    </row>
    <row r="32" spans="1:4">
      <c r="A32" t="s">
        <v>107</v>
      </c>
      <c r="B32" t="s">
        <v>116</v>
      </c>
      <c r="C32">
        <v>95.63</v>
      </c>
      <c r="D32" t="str">
        <v>West Texas Region of Texas nonmetropolitan area</v>
      </c>
    </row>
    <row r="33" spans="1:4">
      <c r="A33" t="s">
        <v>117</v>
      </c>
      <c r="B33" t="s">
        <v>118</v>
      </c>
      <c r="C33">
        <v>85.64</v>
      </c>
      <c r="D33" t="str">
        <v>Wichita Falls, TX</v>
      </c>
    </row>
    <row r="34" spans="1:4">
      <c r="A34" t="s">
        <v>117</v>
      </c>
      <c r="B34" t="s">
        <v>119</v>
      </c>
      <c r="C34">
        <v>82.72</v>
      </c>
    </row>
    <row r="35" spans="1:4">
      <c r="A35" t="s">
        <v>117</v>
      </c>
      <c r="B35" t="s">
        <v>120</v>
      </c>
      <c r="C35">
        <v>89.5</v>
      </c>
    </row>
    <row r="36" spans="1:4">
      <c r="A36" t="s">
        <v>117</v>
      </c>
      <c r="B36" t="s">
        <v>121</v>
      </c>
      <c r="C36">
        <v>82.26</v>
      </c>
    </row>
    <row r="37" spans="1:4">
      <c r="A37" t="s">
        <v>117</v>
      </c>
      <c r="B37" t="s">
        <v>122</v>
      </c>
      <c r="C37">
        <v>83.55</v>
      </c>
    </row>
    <row r="38" spans="1:4">
      <c r="A38" t="s">
        <v>117</v>
      </c>
      <c r="B38" t="s">
        <v>123</v>
      </c>
      <c r="C38">
        <v>85.14</v>
      </c>
    </row>
    <row r="39" spans="1:4">
      <c r="A39" t="s">
        <v>117</v>
      </c>
      <c r="B39" t="s">
        <v>124</v>
      </c>
      <c r="C39">
        <v>86.84</v>
      </c>
    </row>
    <row r="40" spans="1:4">
      <c r="A40" t="s">
        <v>117</v>
      </c>
      <c r="B40" t="s">
        <v>125</v>
      </c>
      <c r="C40">
        <v>87.89</v>
      </c>
    </row>
    <row r="41" spans="1:4">
      <c r="A41" t="s">
        <v>117</v>
      </c>
      <c r="B41" t="s">
        <v>126</v>
      </c>
      <c r="C41">
        <v>82.51</v>
      </c>
    </row>
    <row r="42" spans="1:4">
      <c r="A42" t="s">
        <v>117</v>
      </c>
      <c r="B42" t="s">
        <v>127</v>
      </c>
      <c r="C42">
        <v>84.67</v>
      </c>
    </row>
    <row r="43" spans="1:4">
      <c r="A43" t="s">
        <v>117</v>
      </c>
      <c r="B43" t="s">
        <v>128</v>
      </c>
      <c r="C43">
        <v>82.21</v>
      </c>
    </row>
    <row r="44" spans="1:4">
      <c r="A44" t="s">
        <v>117</v>
      </c>
      <c r="B44" t="s">
        <v>129</v>
      </c>
      <c r="C44">
        <v>79.569999999999993</v>
      </c>
    </row>
    <row r="45" spans="1:4">
      <c r="A45" t="s">
        <v>117</v>
      </c>
      <c r="B45" t="s">
        <v>130</v>
      </c>
      <c r="C45">
        <v>82.85</v>
      </c>
    </row>
    <row r="46" spans="1:4">
      <c r="A46" t="s">
        <v>131</v>
      </c>
      <c r="B46" t="s">
        <v>132</v>
      </c>
      <c r="C46">
        <v>114.06</v>
      </c>
    </row>
    <row r="47" spans="1:4">
      <c r="A47" t="s">
        <v>131</v>
      </c>
      <c r="B47" t="s">
        <v>133</v>
      </c>
      <c r="C47">
        <v>102.89</v>
      </c>
    </row>
    <row r="48" spans="1:4">
      <c r="A48" t="s">
        <v>131</v>
      </c>
      <c r="B48" t="s">
        <v>134</v>
      </c>
      <c r="C48">
        <v>106.78</v>
      </c>
    </row>
    <row r="49" spans="1:3">
      <c r="A49" t="s">
        <v>131</v>
      </c>
      <c r="B49" t="s">
        <v>135</v>
      </c>
      <c r="C49">
        <v>111.89</v>
      </c>
    </row>
    <row r="50" spans="1:3">
      <c r="A50" t="s">
        <v>131</v>
      </c>
      <c r="B50" t="s">
        <v>136</v>
      </c>
      <c r="C50">
        <v>105.59</v>
      </c>
    </row>
    <row r="51" spans="1:3">
      <c r="A51" t="s">
        <v>131</v>
      </c>
      <c r="B51" t="s">
        <v>137</v>
      </c>
      <c r="C51">
        <v>105.2</v>
      </c>
    </row>
    <row r="52" spans="1:3">
      <c r="A52" t="s">
        <v>131</v>
      </c>
      <c r="B52" t="s">
        <v>138</v>
      </c>
      <c r="C52">
        <v>106.3</v>
      </c>
    </row>
    <row r="53" spans="1:3">
      <c r="A53" t="s">
        <v>131</v>
      </c>
      <c r="B53" t="s">
        <v>139</v>
      </c>
      <c r="C53">
        <v>112.62</v>
      </c>
    </row>
    <row r="54" spans="1:3">
      <c r="A54" t="s">
        <v>131</v>
      </c>
      <c r="B54" t="s">
        <v>140</v>
      </c>
      <c r="C54">
        <v>103.31</v>
      </c>
    </row>
    <row r="55" spans="1:3">
      <c r="A55" t="s">
        <v>131</v>
      </c>
      <c r="B55" t="s">
        <v>141</v>
      </c>
      <c r="C55">
        <v>105.53</v>
      </c>
    </row>
    <row r="56" spans="1:3">
      <c r="A56" t="s">
        <v>131</v>
      </c>
      <c r="B56" t="s">
        <v>142</v>
      </c>
      <c r="C56">
        <v>110.81</v>
      </c>
    </row>
    <row r="57" spans="1:3">
      <c r="A57" t="s">
        <v>131</v>
      </c>
      <c r="B57" t="s">
        <v>143</v>
      </c>
      <c r="C57">
        <v>123.54</v>
      </c>
    </row>
    <row r="58" spans="1:3">
      <c r="A58" t="s">
        <v>131</v>
      </c>
      <c r="B58" t="s">
        <v>144</v>
      </c>
      <c r="C58">
        <v>110.24</v>
      </c>
    </row>
    <row r="59" spans="1:3">
      <c r="A59" t="s">
        <v>131</v>
      </c>
      <c r="B59" t="s">
        <v>145</v>
      </c>
      <c r="C59">
        <v>111.47</v>
      </c>
    </row>
    <row r="60" spans="1:3">
      <c r="A60" t="s">
        <v>131</v>
      </c>
      <c r="B60" t="s">
        <v>146</v>
      </c>
      <c r="C60">
        <v>111.31</v>
      </c>
    </row>
    <row r="61" spans="1:3">
      <c r="A61" t="s">
        <v>131</v>
      </c>
      <c r="B61" t="s">
        <v>147</v>
      </c>
      <c r="C61">
        <v>105.64</v>
      </c>
    </row>
    <row r="62" spans="1:3">
      <c r="A62" t="s">
        <v>131</v>
      </c>
      <c r="B62" t="s">
        <v>148</v>
      </c>
      <c r="C62">
        <v>109.17</v>
      </c>
    </row>
    <row r="63" spans="1:3">
      <c r="A63" t="s">
        <v>131</v>
      </c>
      <c r="B63" t="s">
        <v>149</v>
      </c>
      <c r="C63">
        <v>112.72</v>
      </c>
    </row>
    <row r="64" spans="1:3">
      <c r="A64" t="s">
        <v>131</v>
      </c>
      <c r="B64" t="s">
        <v>150</v>
      </c>
      <c r="C64">
        <v>112.79</v>
      </c>
    </row>
    <row r="65" spans="1:3">
      <c r="A65" t="s">
        <v>131</v>
      </c>
      <c r="B65" t="s">
        <v>151</v>
      </c>
      <c r="C65">
        <v>113.48</v>
      </c>
    </row>
    <row r="66" spans="1:3">
      <c r="A66" t="s">
        <v>131</v>
      </c>
      <c r="B66" t="s">
        <v>152</v>
      </c>
      <c r="C66">
        <v>126.21</v>
      </c>
    </row>
    <row r="67" spans="1:3">
      <c r="A67" t="s">
        <v>131</v>
      </c>
      <c r="B67" t="s">
        <v>153</v>
      </c>
      <c r="C67">
        <v>128.38999999999999</v>
      </c>
    </row>
    <row r="68" spans="1:3">
      <c r="A68" t="s">
        <v>131</v>
      </c>
      <c r="B68" t="s">
        <v>154</v>
      </c>
      <c r="C68">
        <v>112.91</v>
      </c>
    </row>
    <row r="69" spans="1:3">
      <c r="A69" t="s">
        <v>131</v>
      </c>
      <c r="B69" t="s">
        <v>155</v>
      </c>
      <c r="C69">
        <v>114.53</v>
      </c>
    </row>
    <row r="70" spans="1:3">
      <c r="A70" t="s">
        <v>131</v>
      </c>
      <c r="B70" t="s">
        <v>156</v>
      </c>
      <c r="C70">
        <v>112.36</v>
      </c>
    </row>
    <row r="71" spans="1:3">
      <c r="A71" t="s">
        <v>131</v>
      </c>
      <c r="B71" t="s">
        <v>157</v>
      </c>
      <c r="C71">
        <v>120.38</v>
      </c>
    </row>
    <row r="72" spans="1:3">
      <c r="A72" t="s">
        <v>131</v>
      </c>
      <c r="B72" t="s">
        <v>158</v>
      </c>
      <c r="C72">
        <v>109.72</v>
      </c>
    </row>
    <row r="73" spans="1:3">
      <c r="A73" t="s">
        <v>131</v>
      </c>
      <c r="B73" t="s">
        <v>159</v>
      </c>
      <c r="C73">
        <v>114.93</v>
      </c>
    </row>
    <row r="74" spans="1:3">
      <c r="A74" t="s">
        <v>131</v>
      </c>
      <c r="B74" t="s">
        <v>160</v>
      </c>
      <c r="C74">
        <v>104.02</v>
      </c>
    </row>
    <row r="75" spans="1:3">
      <c r="A75" t="s">
        <v>131</v>
      </c>
      <c r="B75" t="s">
        <v>161</v>
      </c>
      <c r="C75">
        <v>106.33</v>
      </c>
    </row>
    <row r="76" spans="1:3">
      <c r="A76" t="s">
        <v>162</v>
      </c>
      <c r="B76" t="s">
        <v>163</v>
      </c>
      <c r="C76">
        <v>112.87</v>
      </c>
    </row>
    <row r="77" spans="1:3">
      <c r="A77" t="s">
        <v>162</v>
      </c>
      <c r="B77" t="s">
        <v>164</v>
      </c>
      <c r="C77">
        <v>120</v>
      </c>
    </row>
    <row r="78" spans="1:3">
      <c r="A78" t="s">
        <v>162</v>
      </c>
      <c r="B78" t="s">
        <v>165</v>
      </c>
      <c r="C78">
        <v>107.9</v>
      </c>
    </row>
    <row r="79" spans="1:3">
      <c r="A79" t="s">
        <v>162</v>
      </c>
      <c r="B79" t="s">
        <v>166</v>
      </c>
      <c r="C79">
        <v>114.71</v>
      </c>
    </row>
    <row r="80" spans="1:3">
      <c r="A80" t="s">
        <v>162</v>
      </c>
      <c r="B80" t="s">
        <v>167</v>
      </c>
      <c r="C80">
        <v>105.4</v>
      </c>
    </row>
    <row r="81" spans="1:3">
      <c r="A81" t="s">
        <v>162</v>
      </c>
      <c r="B81" t="s">
        <v>168</v>
      </c>
      <c r="C81">
        <v>110.47</v>
      </c>
    </row>
    <row r="82" spans="1:3">
      <c r="A82" t="s">
        <v>162</v>
      </c>
      <c r="B82" t="s">
        <v>169</v>
      </c>
      <c r="C82">
        <v>103.23</v>
      </c>
    </row>
    <row r="83" spans="1:3">
      <c r="A83" t="s">
        <v>162</v>
      </c>
      <c r="B83" t="s">
        <v>170</v>
      </c>
      <c r="C83">
        <v>107.54</v>
      </c>
    </row>
    <row r="84" spans="1:3">
      <c r="A84" t="s">
        <v>162</v>
      </c>
      <c r="B84" t="s">
        <v>171</v>
      </c>
      <c r="C84">
        <v>117.66</v>
      </c>
    </row>
    <row r="85" spans="1:3">
      <c r="A85" t="s">
        <v>162</v>
      </c>
      <c r="B85" t="s">
        <v>172</v>
      </c>
      <c r="C85">
        <v>102.56</v>
      </c>
    </row>
    <row r="86" spans="1:3">
      <c r="A86" t="s">
        <v>162</v>
      </c>
      <c r="B86" t="s">
        <v>173</v>
      </c>
      <c r="C86">
        <v>110.99</v>
      </c>
    </row>
    <row r="87" spans="1:3">
      <c r="A87" t="s">
        <v>174</v>
      </c>
      <c r="B87" t="s">
        <v>175</v>
      </c>
      <c r="C87">
        <v>109.99</v>
      </c>
    </row>
    <row r="88" spans="1:3">
      <c r="A88" t="s">
        <v>174</v>
      </c>
      <c r="B88" t="s">
        <v>176</v>
      </c>
      <c r="C88">
        <v>113.66</v>
      </c>
    </row>
    <row r="89" spans="1:3">
      <c r="A89" t="s">
        <v>174</v>
      </c>
      <c r="B89" t="s">
        <v>177</v>
      </c>
      <c r="C89">
        <v>109.07</v>
      </c>
    </row>
    <row r="90" spans="1:3">
      <c r="A90" t="s">
        <v>174</v>
      </c>
      <c r="B90" t="s">
        <v>178</v>
      </c>
      <c r="C90">
        <v>107.73</v>
      </c>
    </row>
    <row r="91" spans="1:3">
      <c r="A91" t="s">
        <v>174</v>
      </c>
      <c r="B91" t="s">
        <v>179</v>
      </c>
      <c r="C91">
        <v>108.53</v>
      </c>
    </row>
    <row r="92" spans="1:3">
      <c r="A92" t="s">
        <v>174</v>
      </c>
      <c r="B92" t="s">
        <v>180</v>
      </c>
      <c r="C92">
        <v>109.94</v>
      </c>
    </row>
    <row r="93" spans="1:3">
      <c r="A93" t="s">
        <v>174</v>
      </c>
      <c r="B93" t="s">
        <v>181</v>
      </c>
      <c r="C93">
        <v>109.27</v>
      </c>
    </row>
    <row r="94" spans="1:3">
      <c r="A94" t="s">
        <v>174</v>
      </c>
      <c r="B94" t="s">
        <v>182</v>
      </c>
      <c r="C94">
        <v>110.09</v>
      </c>
    </row>
    <row r="95" spans="1:3">
      <c r="A95" t="s">
        <v>174</v>
      </c>
      <c r="B95" t="s">
        <v>183</v>
      </c>
      <c r="C95">
        <v>106.93</v>
      </c>
    </row>
    <row r="96" spans="1:3">
      <c r="A96" t="s">
        <v>174</v>
      </c>
      <c r="B96" t="s">
        <v>184</v>
      </c>
      <c r="C96">
        <v>109.87</v>
      </c>
    </row>
    <row r="97" spans="1:3">
      <c r="A97" t="s">
        <v>185</v>
      </c>
      <c r="B97" t="s">
        <v>186</v>
      </c>
      <c r="C97">
        <v>96.98</v>
      </c>
    </row>
    <row r="98" spans="1:3">
      <c r="A98" t="s">
        <v>185</v>
      </c>
      <c r="B98" t="s">
        <v>187</v>
      </c>
      <c r="C98">
        <v>93.5</v>
      </c>
    </row>
    <row r="99" spans="1:3">
      <c r="A99" t="s">
        <v>185</v>
      </c>
      <c r="B99" t="s">
        <v>188</v>
      </c>
      <c r="C99">
        <v>98.7</v>
      </c>
    </row>
    <row r="100" spans="1:3">
      <c r="A100" t="s">
        <v>185</v>
      </c>
      <c r="B100" t="s">
        <v>189</v>
      </c>
      <c r="C100">
        <v>95.52</v>
      </c>
    </row>
    <row r="101" spans="1:3">
      <c r="A101" t="s">
        <v>190</v>
      </c>
      <c r="B101" t="s">
        <v>191</v>
      </c>
      <c r="C101">
        <v>126.67</v>
      </c>
    </row>
    <row r="102" spans="1:3">
      <c r="A102" t="s">
        <v>190</v>
      </c>
      <c r="B102" t="s">
        <v>192</v>
      </c>
      <c r="C102">
        <v>112.35</v>
      </c>
    </row>
    <row r="103" spans="1:3">
      <c r="A103" t="s">
        <v>193</v>
      </c>
      <c r="B103" t="s">
        <v>194</v>
      </c>
      <c r="C103">
        <v>95.63</v>
      </c>
    </row>
    <row r="104" spans="1:3">
      <c r="A104" t="s">
        <v>193</v>
      </c>
      <c r="B104" t="s">
        <v>195</v>
      </c>
      <c r="C104">
        <v>95.31</v>
      </c>
    </row>
    <row r="105" spans="1:3">
      <c r="A105" t="s">
        <v>193</v>
      </c>
      <c r="B105" t="s">
        <v>196</v>
      </c>
      <c r="C105">
        <v>95.72</v>
      </c>
    </row>
    <row r="106" spans="1:3">
      <c r="A106" t="s">
        <v>193</v>
      </c>
      <c r="B106" t="s">
        <v>197</v>
      </c>
      <c r="C106">
        <v>91.7</v>
      </c>
    </row>
    <row r="107" spans="1:3">
      <c r="A107" t="s">
        <v>193</v>
      </c>
      <c r="B107" t="s">
        <v>198</v>
      </c>
      <c r="C107">
        <v>92.15</v>
      </c>
    </row>
    <row r="108" spans="1:3">
      <c r="A108" t="s">
        <v>193</v>
      </c>
      <c r="B108" t="s">
        <v>199</v>
      </c>
      <c r="C108">
        <v>88.14</v>
      </c>
    </row>
    <row r="109" spans="1:3">
      <c r="A109" t="s">
        <v>193</v>
      </c>
      <c r="B109" t="s">
        <v>200</v>
      </c>
      <c r="C109">
        <v>93.56</v>
      </c>
    </row>
    <row r="110" spans="1:3">
      <c r="A110" t="s">
        <v>193</v>
      </c>
      <c r="B110" t="s">
        <v>201</v>
      </c>
      <c r="C110">
        <v>90.97</v>
      </c>
    </row>
    <row r="111" spans="1:3">
      <c r="A111" t="s">
        <v>193</v>
      </c>
      <c r="B111" t="s">
        <v>202</v>
      </c>
      <c r="C111">
        <v>98.11</v>
      </c>
    </row>
    <row r="112" spans="1:3">
      <c r="A112" t="s">
        <v>193</v>
      </c>
      <c r="B112" t="s">
        <v>203</v>
      </c>
      <c r="C112">
        <v>102.9</v>
      </c>
    </row>
    <row r="113" spans="1:3">
      <c r="A113" t="s">
        <v>193</v>
      </c>
      <c r="B113" t="s">
        <v>204</v>
      </c>
      <c r="C113">
        <v>92.48</v>
      </c>
    </row>
    <row r="114" spans="1:3">
      <c r="A114" t="s">
        <v>193</v>
      </c>
      <c r="B114" t="s">
        <v>205</v>
      </c>
      <c r="C114">
        <v>98.53</v>
      </c>
    </row>
    <row r="115" spans="1:3">
      <c r="A115" t="s">
        <v>193</v>
      </c>
      <c r="B115" t="s">
        <v>206</v>
      </c>
      <c r="C115">
        <v>91.59</v>
      </c>
    </row>
    <row r="116" spans="1:3">
      <c r="A116" t="s">
        <v>193</v>
      </c>
      <c r="B116" t="s">
        <v>207</v>
      </c>
      <c r="C116">
        <v>95.16</v>
      </c>
    </row>
    <row r="117" spans="1:3">
      <c r="A117" t="s">
        <v>193</v>
      </c>
      <c r="B117" t="s">
        <v>208</v>
      </c>
      <c r="C117">
        <v>92.94</v>
      </c>
    </row>
    <row r="118" spans="1:3">
      <c r="A118" t="s">
        <v>193</v>
      </c>
      <c r="B118" t="s">
        <v>209</v>
      </c>
      <c r="C118">
        <v>91.23</v>
      </c>
    </row>
    <row r="119" spans="1:3">
      <c r="A119" t="s">
        <v>193</v>
      </c>
      <c r="B119" t="s">
        <v>210</v>
      </c>
      <c r="C119">
        <v>89.7</v>
      </c>
    </row>
    <row r="120" spans="1:3">
      <c r="A120" t="s">
        <v>193</v>
      </c>
      <c r="B120" t="s">
        <v>211</v>
      </c>
      <c r="C120">
        <v>93.15</v>
      </c>
    </row>
    <row r="121" spans="1:3">
      <c r="A121" t="s">
        <v>193</v>
      </c>
      <c r="B121" t="s">
        <v>212</v>
      </c>
      <c r="C121">
        <v>93.98</v>
      </c>
    </row>
    <row r="122" spans="1:3">
      <c r="A122" t="s">
        <v>193</v>
      </c>
      <c r="B122" t="s">
        <v>213</v>
      </c>
      <c r="C122">
        <v>94.35</v>
      </c>
    </row>
    <row r="123" spans="1:3">
      <c r="A123" t="s">
        <v>193</v>
      </c>
      <c r="B123" t="s">
        <v>214</v>
      </c>
      <c r="C123">
        <v>86.17</v>
      </c>
    </row>
    <row r="124" spans="1:3">
      <c r="A124" t="s">
        <v>193</v>
      </c>
      <c r="B124" t="s">
        <v>215</v>
      </c>
      <c r="C124">
        <v>97.13</v>
      </c>
    </row>
    <row r="125" spans="1:3">
      <c r="A125" t="s">
        <v>193</v>
      </c>
      <c r="B125" t="s">
        <v>216</v>
      </c>
      <c r="C125">
        <v>85.97</v>
      </c>
    </row>
    <row r="126" spans="1:3">
      <c r="A126" t="s">
        <v>193</v>
      </c>
      <c r="B126" t="s">
        <v>217</v>
      </c>
      <c r="C126">
        <v>96.39</v>
      </c>
    </row>
    <row r="127" spans="1:3">
      <c r="A127" t="s">
        <v>193</v>
      </c>
      <c r="B127" t="s">
        <v>218</v>
      </c>
      <c r="C127">
        <v>92.6</v>
      </c>
    </row>
    <row r="128" spans="1:3">
      <c r="A128" t="s">
        <v>219</v>
      </c>
      <c r="B128" t="s">
        <v>220</v>
      </c>
      <c r="C128">
        <v>87.73</v>
      </c>
    </row>
    <row r="129" spans="1:3">
      <c r="A129" t="s">
        <v>219</v>
      </c>
      <c r="B129" t="s">
        <v>221</v>
      </c>
      <c r="C129">
        <v>78.540000000000006</v>
      </c>
    </row>
    <row r="130" spans="1:3">
      <c r="A130" t="s">
        <v>219</v>
      </c>
      <c r="B130" t="s">
        <v>222</v>
      </c>
      <c r="C130">
        <v>84.82</v>
      </c>
    </row>
    <row r="131" spans="1:3">
      <c r="A131" t="s">
        <v>219</v>
      </c>
      <c r="B131" t="s">
        <v>223</v>
      </c>
      <c r="C131">
        <v>91.5</v>
      </c>
    </row>
    <row r="132" spans="1:3">
      <c r="A132" t="s">
        <v>219</v>
      </c>
      <c r="B132" t="s">
        <v>224</v>
      </c>
      <c r="C132">
        <v>82.78</v>
      </c>
    </row>
    <row r="133" spans="1:3">
      <c r="A133" t="s">
        <v>219</v>
      </c>
      <c r="B133" t="s">
        <v>225</v>
      </c>
      <c r="C133">
        <v>83.7</v>
      </c>
    </row>
    <row r="134" spans="1:3">
      <c r="A134" t="s">
        <v>219</v>
      </c>
      <c r="B134" t="s">
        <v>226</v>
      </c>
      <c r="C134">
        <v>86.06</v>
      </c>
    </row>
    <row r="135" spans="1:3">
      <c r="A135" t="s">
        <v>219</v>
      </c>
      <c r="B135" t="s">
        <v>88</v>
      </c>
      <c r="C135">
        <v>78.91</v>
      </c>
    </row>
    <row r="136" spans="1:3">
      <c r="A136" t="s">
        <v>219</v>
      </c>
      <c r="B136" t="s">
        <v>227</v>
      </c>
      <c r="C136">
        <v>81.08</v>
      </c>
    </row>
    <row r="137" spans="1:3">
      <c r="A137" t="s">
        <v>219</v>
      </c>
      <c r="B137" t="s">
        <v>228</v>
      </c>
      <c r="C137">
        <v>79.27</v>
      </c>
    </row>
    <row r="138" spans="1:3">
      <c r="A138" t="s">
        <v>219</v>
      </c>
      <c r="B138" t="s">
        <v>229</v>
      </c>
      <c r="C138">
        <v>88.47</v>
      </c>
    </row>
    <row r="139" spans="1:3">
      <c r="A139" t="s">
        <v>219</v>
      </c>
      <c r="B139" t="s">
        <v>230</v>
      </c>
      <c r="C139">
        <v>81.900000000000006</v>
      </c>
    </row>
    <row r="140" spans="1:3">
      <c r="A140" t="s">
        <v>219</v>
      </c>
      <c r="B140" t="s">
        <v>231</v>
      </c>
      <c r="C140">
        <v>82.15</v>
      </c>
    </row>
    <row r="141" spans="1:3">
      <c r="A141" t="s">
        <v>219</v>
      </c>
      <c r="B141" t="s">
        <v>232</v>
      </c>
      <c r="C141">
        <v>79.650000000000006</v>
      </c>
    </row>
    <row r="142" spans="1:3">
      <c r="A142" t="s">
        <v>219</v>
      </c>
      <c r="B142" t="s">
        <v>233</v>
      </c>
      <c r="C142">
        <v>81.36</v>
      </c>
    </row>
    <row r="143" spans="1:3">
      <c r="A143" t="s">
        <v>219</v>
      </c>
      <c r="B143" t="s">
        <v>234</v>
      </c>
      <c r="C143">
        <v>81.680000000000007</v>
      </c>
    </row>
    <row r="144" spans="1:3">
      <c r="A144" t="s">
        <v>219</v>
      </c>
      <c r="B144" t="s">
        <v>235</v>
      </c>
      <c r="C144">
        <v>87.76</v>
      </c>
    </row>
    <row r="145" spans="1:3">
      <c r="A145" t="s">
        <v>219</v>
      </c>
      <c r="B145" t="s">
        <v>236</v>
      </c>
      <c r="C145">
        <v>80.08</v>
      </c>
    </row>
    <row r="146" spans="1:3">
      <c r="A146" t="s">
        <v>219</v>
      </c>
      <c r="B146" t="s">
        <v>237</v>
      </c>
      <c r="C146">
        <v>76.709999999999994</v>
      </c>
    </row>
    <row r="147" spans="1:3">
      <c r="A147" t="s">
        <v>219</v>
      </c>
      <c r="B147" t="s">
        <v>238</v>
      </c>
      <c r="C147">
        <v>80.48</v>
      </c>
    </row>
    <row r="148" spans="1:3">
      <c r="A148" t="s">
        <v>239</v>
      </c>
      <c r="B148" t="s">
        <v>240</v>
      </c>
      <c r="C148">
        <v>66.97</v>
      </c>
    </row>
    <row r="149" spans="1:3">
      <c r="A149" t="s">
        <v>241</v>
      </c>
      <c r="B149" t="s">
        <v>242</v>
      </c>
      <c r="C149">
        <v>113.7</v>
      </c>
    </row>
    <row r="150" spans="1:3">
      <c r="A150" t="s">
        <v>241</v>
      </c>
      <c r="B150" t="s">
        <v>243</v>
      </c>
      <c r="C150">
        <v>114.55</v>
      </c>
    </row>
    <row r="151" spans="1:3">
      <c r="A151" t="s">
        <v>241</v>
      </c>
      <c r="B151" t="s">
        <v>244</v>
      </c>
      <c r="C151">
        <v>128.54</v>
      </c>
    </row>
    <row r="152" spans="1:3">
      <c r="A152" t="s">
        <v>241</v>
      </c>
      <c r="B152" t="s">
        <v>245</v>
      </c>
      <c r="C152">
        <v>109.88</v>
      </c>
    </row>
    <row r="153" spans="1:3">
      <c r="A153" t="s">
        <v>246</v>
      </c>
      <c r="B153" t="s">
        <v>247</v>
      </c>
      <c r="C153">
        <v>92.21</v>
      </c>
    </row>
    <row r="154" spans="1:3">
      <c r="A154" t="s">
        <v>246</v>
      </c>
      <c r="B154" t="s">
        <v>248</v>
      </c>
      <c r="C154">
        <v>93.21</v>
      </c>
    </row>
    <row r="155" spans="1:3">
      <c r="A155" t="s">
        <v>246</v>
      </c>
      <c r="B155" t="s">
        <v>249</v>
      </c>
      <c r="C155">
        <v>95.17</v>
      </c>
    </row>
    <row r="156" spans="1:3">
      <c r="A156" t="s">
        <v>246</v>
      </c>
      <c r="B156" t="s">
        <v>250</v>
      </c>
      <c r="C156">
        <v>89.63</v>
      </c>
    </row>
    <row r="157" spans="1:3">
      <c r="A157" t="s">
        <v>246</v>
      </c>
      <c r="B157" t="s">
        <v>251</v>
      </c>
      <c r="C157">
        <v>99.46</v>
      </c>
    </row>
    <row r="158" spans="1:3">
      <c r="A158" t="s">
        <v>246</v>
      </c>
      <c r="B158" t="s">
        <v>252</v>
      </c>
      <c r="C158">
        <v>89.07</v>
      </c>
    </row>
    <row r="159" spans="1:3">
      <c r="A159" t="s">
        <v>246</v>
      </c>
      <c r="B159" t="s">
        <v>253</v>
      </c>
      <c r="C159">
        <v>90.56</v>
      </c>
    </row>
    <row r="160" spans="1:3">
      <c r="A160" t="s">
        <v>246</v>
      </c>
      <c r="B160" t="s">
        <v>254</v>
      </c>
      <c r="C160">
        <v>86.02</v>
      </c>
    </row>
    <row r="161" spans="1:3">
      <c r="A161" t="s">
        <v>246</v>
      </c>
      <c r="B161" t="s">
        <v>255</v>
      </c>
      <c r="C161">
        <v>92.13</v>
      </c>
    </row>
    <row r="162" spans="1:3">
      <c r="A162" t="s">
        <v>246</v>
      </c>
      <c r="B162" t="s">
        <v>256</v>
      </c>
      <c r="C162">
        <v>90</v>
      </c>
    </row>
    <row r="163" spans="1:3">
      <c r="A163" t="s">
        <v>257</v>
      </c>
      <c r="B163" t="s">
        <v>258</v>
      </c>
      <c r="C163">
        <v>103.14</v>
      </c>
    </row>
    <row r="164" spans="1:3">
      <c r="A164" t="s">
        <v>257</v>
      </c>
      <c r="B164" t="s">
        <v>259</v>
      </c>
      <c r="C164">
        <v>96</v>
      </c>
    </row>
    <row r="165" spans="1:3">
      <c r="A165" t="s">
        <v>257</v>
      </c>
      <c r="B165" t="s">
        <v>260</v>
      </c>
      <c r="C165">
        <v>90.35</v>
      </c>
    </row>
    <row r="166" spans="1:3">
      <c r="A166" t="s">
        <v>257</v>
      </c>
      <c r="B166" t="s">
        <v>261</v>
      </c>
      <c r="C166">
        <v>92.33</v>
      </c>
    </row>
    <row r="167" spans="1:3">
      <c r="A167" t="s">
        <v>257</v>
      </c>
      <c r="B167" t="s">
        <v>262</v>
      </c>
      <c r="C167">
        <v>98.59</v>
      </c>
    </row>
    <row r="168" spans="1:3">
      <c r="A168" t="s">
        <v>257</v>
      </c>
      <c r="B168" t="s">
        <v>263</v>
      </c>
      <c r="C168">
        <v>105.22</v>
      </c>
    </row>
    <row r="169" spans="1:3">
      <c r="A169" t="s">
        <v>257</v>
      </c>
      <c r="B169" t="s">
        <v>264</v>
      </c>
      <c r="C169">
        <v>96.15</v>
      </c>
    </row>
    <row r="170" spans="1:3">
      <c r="A170" t="s">
        <v>257</v>
      </c>
      <c r="B170" t="s">
        <v>265</v>
      </c>
      <c r="C170">
        <v>92.69</v>
      </c>
    </row>
    <row r="171" spans="1:3">
      <c r="A171" t="s">
        <v>257</v>
      </c>
      <c r="B171" t="s">
        <v>266</v>
      </c>
      <c r="C171">
        <v>96.91</v>
      </c>
    </row>
    <row r="172" spans="1:3">
      <c r="A172" t="s">
        <v>257</v>
      </c>
      <c r="B172" t="s">
        <v>267</v>
      </c>
      <c r="C172">
        <v>94.84</v>
      </c>
    </row>
    <row r="173" spans="1:3">
      <c r="A173" t="s">
        <v>257</v>
      </c>
      <c r="B173" t="s">
        <v>268</v>
      </c>
      <c r="C173">
        <v>96.15</v>
      </c>
    </row>
    <row r="174" spans="1:3">
      <c r="A174" t="s">
        <v>257</v>
      </c>
      <c r="B174" t="s">
        <v>269</v>
      </c>
      <c r="C174">
        <v>95.59</v>
      </c>
    </row>
    <row r="175" spans="1:3">
      <c r="A175" t="s">
        <v>257</v>
      </c>
      <c r="B175" t="s">
        <v>270</v>
      </c>
      <c r="C175">
        <v>95.37</v>
      </c>
    </row>
    <row r="176" spans="1:3">
      <c r="A176" t="s">
        <v>257</v>
      </c>
      <c r="B176" t="s">
        <v>271</v>
      </c>
      <c r="C176">
        <v>96.71</v>
      </c>
    </row>
    <row r="177" spans="1:3">
      <c r="A177" t="s">
        <v>257</v>
      </c>
      <c r="B177" t="s">
        <v>272</v>
      </c>
      <c r="C177">
        <v>96.33</v>
      </c>
    </row>
    <row r="178" spans="1:3">
      <c r="A178" t="s">
        <v>257</v>
      </c>
      <c r="B178" t="s">
        <v>273</v>
      </c>
      <c r="C178">
        <v>98.29</v>
      </c>
    </row>
    <row r="179" spans="1:3">
      <c r="A179" t="s">
        <v>257</v>
      </c>
      <c r="B179" t="s">
        <v>274</v>
      </c>
      <c r="C179">
        <v>96.92</v>
      </c>
    </row>
    <row r="180" spans="1:3">
      <c r="A180" t="s">
        <v>257</v>
      </c>
      <c r="B180" t="s">
        <v>275</v>
      </c>
      <c r="C180">
        <v>96.51</v>
      </c>
    </row>
    <row r="181" spans="1:3">
      <c r="A181" t="s">
        <v>276</v>
      </c>
      <c r="B181" t="s">
        <v>277</v>
      </c>
      <c r="C181">
        <v>90.15</v>
      </c>
    </row>
    <row r="182" spans="1:3">
      <c r="A182" t="s">
        <v>276</v>
      </c>
      <c r="B182" t="s">
        <v>278</v>
      </c>
      <c r="C182">
        <v>88.75</v>
      </c>
    </row>
    <row r="183" spans="1:3">
      <c r="A183" t="s">
        <v>276</v>
      </c>
      <c r="B183" t="s">
        <v>279</v>
      </c>
      <c r="C183">
        <v>85.46</v>
      </c>
    </row>
    <row r="184" spans="1:3">
      <c r="A184" t="s">
        <v>276</v>
      </c>
      <c r="B184" t="s">
        <v>263</v>
      </c>
      <c r="C184">
        <v>105.22</v>
      </c>
    </row>
    <row r="185" spans="1:3">
      <c r="A185" t="s">
        <v>276</v>
      </c>
      <c r="B185" t="s">
        <v>280</v>
      </c>
      <c r="C185">
        <v>94.03</v>
      </c>
    </row>
    <row r="186" spans="1:3">
      <c r="A186" t="s">
        <v>276</v>
      </c>
      <c r="B186" t="s">
        <v>281</v>
      </c>
      <c r="C186">
        <v>85.11</v>
      </c>
    </row>
    <row r="187" spans="1:3">
      <c r="A187" t="s">
        <v>276</v>
      </c>
      <c r="B187" t="s">
        <v>282</v>
      </c>
      <c r="C187">
        <v>95</v>
      </c>
    </row>
    <row r="188" spans="1:3">
      <c r="A188" t="s">
        <v>276</v>
      </c>
      <c r="B188" t="s">
        <v>283</v>
      </c>
      <c r="C188">
        <v>85.86</v>
      </c>
    </row>
    <row r="189" spans="1:3">
      <c r="A189" t="s">
        <v>276</v>
      </c>
      <c r="B189" t="s">
        <v>284</v>
      </c>
      <c r="C189">
        <v>87.97</v>
      </c>
    </row>
    <row r="190" spans="1:3">
      <c r="A190" t="s">
        <v>276</v>
      </c>
      <c r="B190" t="s">
        <v>285</v>
      </c>
      <c r="C190">
        <v>92.18</v>
      </c>
    </row>
    <row r="191" spans="1:3">
      <c r="A191" t="s">
        <v>276</v>
      </c>
      <c r="B191" t="s">
        <v>286</v>
      </c>
      <c r="C191">
        <v>87.41</v>
      </c>
    </row>
    <row r="192" spans="1:3">
      <c r="A192" t="s">
        <v>276</v>
      </c>
      <c r="B192" t="s">
        <v>287</v>
      </c>
      <c r="C192">
        <v>88.05</v>
      </c>
    </row>
    <row r="193" spans="1:3">
      <c r="A193" t="s">
        <v>276</v>
      </c>
      <c r="B193" t="s">
        <v>288</v>
      </c>
      <c r="C193">
        <v>91.9</v>
      </c>
    </row>
    <row r="194" spans="1:3">
      <c r="A194" t="s">
        <v>276</v>
      </c>
      <c r="B194" t="s">
        <v>289</v>
      </c>
      <c r="C194">
        <v>87.59</v>
      </c>
    </row>
    <row r="195" spans="1:3">
      <c r="A195" t="s">
        <v>276</v>
      </c>
      <c r="B195" t="s">
        <v>290</v>
      </c>
      <c r="C195">
        <v>85.78</v>
      </c>
    </row>
    <row r="196" spans="1:3">
      <c r="A196" t="s">
        <v>276</v>
      </c>
      <c r="B196" t="s">
        <v>291</v>
      </c>
      <c r="C196">
        <v>86.54</v>
      </c>
    </row>
    <row r="197" spans="1:3">
      <c r="A197" t="s">
        <v>276</v>
      </c>
      <c r="B197" t="s">
        <v>292</v>
      </c>
      <c r="C197">
        <v>91.19</v>
      </c>
    </row>
    <row r="198" spans="1:3">
      <c r="A198" t="s">
        <v>276</v>
      </c>
      <c r="B198" t="s">
        <v>293</v>
      </c>
      <c r="C198">
        <v>86.63</v>
      </c>
    </row>
    <row r="199" spans="1:3">
      <c r="A199" t="s">
        <v>276</v>
      </c>
      <c r="B199" t="s">
        <v>294</v>
      </c>
      <c r="C199">
        <v>83.7</v>
      </c>
    </row>
    <row r="200" spans="1:3">
      <c r="A200" t="s">
        <v>295</v>
      </c>
      <c r="B200" t="s">
        <v>296</v>
      </c>
      <c r="C200">
        <v>91.58</v>
      </c>
    </row>
    <row r="201" spans="1:3">
      <c r="A201" t="s">
        <v>295</v>
      </c>
      <c r="B201" t="s">
        <v>297</v>
      </c>
      <c r="C201">
        <v>93.56</v>
      </c>
    </row>
    <row r="202" spans="1:3">
      <c r="A202" t="s">
        <v>295</v>
      </c>
      <c r="B202" t="s">
        <v>298</v>
      </c>
      <c r="C202">
        <v>92.67</v>
      </c>
    </row>
    <row r="203" spans="1:3">
      <c r="A203" t="s">
        <v>295</v>
      </c>
      <c r="B203" t="s">
        <v>265</v>
      </c>
      <c r="C203">
        <v>92.69</v>
      </c>
    </row>
    <row r="204" spans="1:3">
      <c r="A204" t="s">
        <v>295</v>
      </c>
      <c r="B204" t="s">
        <v>299</v>
      </c>
      <c r="C204">
        <v>94.57</v>
      </c>
    </row>
    <row r="205" spans="1:3">
      <c r="A205" t="s">
        <v>295</v>
      </c>
      <c r="B205" t="s">
        <v>300</v>
      </c>
      <c r="C205">
        <v>93.22</v>
      </c>
    </row>
    <row r="206" spans="1:3">
      <c r="A206" t="s">
        <v>295</v>
      </c>
      <c r="B206" t="s">
        <v>301</v>
      </c>
      <c r="C206">
        <v>91.86</v>
      </c>
    </row>
    <row r="207" spans="1:3">
      <c r="A207" t="s">
        <v>295</v>
      </c>
      <c r="B207" t="s">
        <v>302</v>
      </c>
      <c r="C207">
        <v>89.17</v>
      </c>
    </row>
    <row r="208" spans="1:3">
      <c r="A208" t="s">
        <v>295</v>
      </c>
      <c r="B208" t="s">
        <v>303</v>
      </c>
      <c r="C208">
        <v>88.32</v>
      </c>
    </row>
    <row r="209" spans="1:3">
      <c r="A209" t="s">
        <v>295</v>
      </c>
      <c r="B209" t="s">
        <v>304</v>
      </c>
      <c r="C209">
        <v>95.61</v>
      </c>
    </row>
    <row r="210" spans="1:3">
      <c r="A210" t="s">
        <v>295</v>
      </c>
      <c r="B210" t="s">
        <v>305</v>
      </c>
      <c r="C210">
        <v>92.47</v>
      </c>
    </row>
    <row r="211" spans="1:3">
      <c r="A211" t="s">
        <v>295</v>
      </c>
      <c r="B211" t="s">
        <v>306</v>
      </c>
      <c r="C211">
        <v>87.83</v>
      </c>
    </row>
    <row r="212" spans="1:3">
      <c r="A212" t="s">
        <v>295</v>
      </c>
      <c r="B212" t="s">
        <v>307</v>
      </c>
      <c r="C212">
        <v>88.2</v>
      </c>
    </row>
    <row r="213" spans="1:3">
      <c r="A213" t="s">
        <v>295</v>
      </c>
      <c r="B213" t="s">
        <v>308</v>
      </c>
      <c r="C213">
        <v>92.08</v>
      </c>
    </row>
    <row r="214" spans="1:3">
      <c r="A214" t="s">
        <v>309</v>
      </c>
      <c r="B214" t="s">
        <v>310</v>
      </c>
      <c r="C214">
        <v>88.59</v>
      </c>
    </row>
    <row r="215" spans="1:3">
      <c r="A215" t="s">
        <v>309</v>
      </c>
      <c r="B215" t="s">
        <v>311</v>
      </c>
      <c r="C215">
        <v>97.31</v>
      </c>
    </row>
    <row r="216" spans="1:3">
      <c r="A216" t="s">
        <v>309</v>
      </c>
      <c r="B216" t="s">
        <v>312</v>
      </c>
      <c r="C216">
        <v>82.77</v>
      </c>
    </row>
    <row r="217" spans="1:3">
      <c r="A217" t="s">
        <v>309</v>
      </c>
      <c r="B217" t="s">
        <v>313</v>
      </c>
      <c r="C217">
        <v>89.12</v>
      </c>
    </row>
    <row r="218" spans="1:3">
      <c r="A218" t="s">
        <v>309</v>
      </c>
      <c r="B218" t="s">
        <v>314</v>
      </c>
      <c r="C218">
        <v>84.42</v>
      </c>
    </row>
    <row r="219" spans="1:3">
      <c r="A219" t="s">
        <v>309</v>
      </c>
      <c r="B219" t="s">
        <v>315</v>
      </c>
      <c r="C219">
        <v>93.07</v>
      </c>
    </row>
    <row r="220" spans="1:3">
      <c r="A220" t="s">
        <v>309</v>
      </c>
      <c r="B220" t="s">
        <v>316</v>
      </c>
      <c r="C220">
        <v>87.95</v>
      </c>
    </row>
    <row r="221" spans="1:3">
      <c r="A221" t="s">
        <v>309</v>
      </c>
      <c r="B221" t="s">
        <v>317</v>
      </c>
      <c r="C221">
        <v>85.95</v>
      </c>
    </row>
    <row r="222" spans="1:3">
      <c r="A222" t="s">
        <v>318</v>
      </c>
      <c r="B222" t="s">
        <v>319</v>
      </c>
      <c r="C222">
        <v>86.85</v>
      </c>
    </row>
    <row r="223" spans="1:3">
      <c r="A223" t="s">
        <v>318</v>
      </c>
      <c r="B223" t="s">
        <v>320</v>
      </c>
      <c r="C223">
        <v>85.27</v>
      </c>
    </row>
    <row r="224" spans="1:3">
      <c r="A224" t="s">
        <v>318</v>
      </c>
      <c r="B224" t="s">
        <v>321</v>
      </c>
      <c r="C224">
        <v>80.83</v>
      </c>
    </row>
    <row r="225" spans="1:3">
      <c r="A225" t="s">
        <v>318</v>
      </c>
      <c r="B225" t="s">
        <v>280</v>
      </c>
      <c r="C225">
        <v>94.03</v>
      </c>
    </row>
    <row r="226" spans="1:3">
      <c r="A226" t="s">
        <v>318</v>
      </c>
      <c r="B226" t="s">
        <v>322</v>
      </c>
      <c r="C226">
        <v>84.55</v>
      </c>
    </row>
    <row r="227" spans="1:3">
      <c r="A227" t="s">
        <v>318</v>
      </c>
      <c r="B227" t="s">
        <v>323</v>
      </c>
      <c r="C227">
        <v>77.2</v>
      </c>
    </row>
    <row r="228" spans="1:3">
      <c r="A228" t="s">
        <v>318</v>
      </c>
      <c r="B228" t="s">
        <v>324</v>
      </c>
      <c r="C228">
        <v>83.99</v>
      </c>
    </row>
    <row r="229" spans="1:3">
      <c r="A229" t="s">
        <v>318</v>
      </c>
      <c r="B229" t="s">
        <v>283</v>
      </c>
      <c r="C229">
        <v>85.86</v>
      </c>
    </row>
    <row r="230" spans="1:3">
      <c r="A230" t="s">
        <v>318</v>
      </c>
      <c r="B230" t="s">
        <v>325</v>
      </c>
      <c r="C230">
        <v>80.819999999999993</v>
      </c>
    </row>
    <row r="231" spans="1:3">
      <c r="A231" t="s">
        <v>318</v>
      </c>
      <c r="B231" t="s">
        <v>326</v>
      </c>
      <c r="C231">
        <v>89.88</v>
      </c>
    </row>
    <row r="232" spans="1:3">
      <c r="A232" t="s">
        <v>318</v>
      </c>
      <c r="B232" t="s">
        <v>288</v>
      </c>
      <c r="C232">
        <v>91.9</v>
      </c>
    </row>
    <row r="233" spans="1:3">
      <c r="A233" t="s">
        <v>318</v>
      </c>
      <c r="B233" t="s">
        <v>327</v>
      </c>
      <c r="C233">
        <v>84.95</v>
      </c>
    </row>
    <row r="234" spans="1:3">
      <c r="A234" t="s">
        <v>318</v>
      </c>
      <c r="B234" t="s">
        <v>328</v>
      </c>
      <c r="C234">
        <v>80.14</v>
      </c>
    </row>
    <row r="235" spans="1:3">
      <c r="A235" t="s">
        <v>318</v>
      </c>
      <c r="B235" t="s">
        <v>329</v>
      </c>
      <c r="C235">
        <v>79.95</v>
      </c>
    </row>
    <row r="236" spans="1:3">
      <c r="A236" t="s">
        <v>330</v>
      </c>
      <c r="B236" t="s">
        <v>331</v>
      </c>
      <c r="C236">
        <v>79.209999999999994</v>
      </c>
    </row>
    <row r="237" spans="1:3">
      <c r="A237" t="s">
        <v>330</v>
      </c>
      <c r="B237" t="s">
        <v>332</v>
      </c>
      <c r="C237">
        <v>75.47</v>
      </c>
    </row>
    <row r="238" spans="1:3">
      <c r="A238" t="s">
        <v>330</v>
      </c>
      <c r="B238" t="s">
        <v>333</v>
      </c>
      <c r="C238">
        <v>81.42</v>
      </c>
    </row>
    <row r="239" spans="1:3">
      <c r="A239" t="s">
        <v>330</v>
      </c>
      <c r="B239" t="s">
        <v>334</v>
      </c>
      <c r="C239">
        <v>74.2</v>
      </c>
    </row>
    <row r="240" spans="1:3">
      <c r="A240" t="s">
        <v>330</v>
      </c>
      <c r="B240" t="s">
        <v>335</v>
      </c>
      <c r="C240">
        <v>76.150000000000006</v>
      </c>
    </row>
    <row r="241" spans="1:3">
      <c r="A241" t="s">
        <v>330</v>
      </c>
      <c r="B241" t="s">
        <v>336</v>
      </c>
      <c r="C241">
        <v>77.61</v>
      </c>
    </row>
    <row r="242" spans="1:3">
      <c r="A242" t="s">
        <v>330</v>
      </c>
      <c r="B242" t="s">
        <v>337</v>
      </c>
      <c r="C242">
        <v>76.209999999999994</v>
      </c>
    </row>
    <row r="243" spans="1:3">
      <c r="A243" t="s">
        <v>330</v>
      </c>
      <c r="B243" t="s">
        <v>338</v>
      </c>
      <c r="C243">
        <v>79.55</v>
      </c>
    </row>
    <row r="244" spans="1:3">
      <c r="A244" t="s">
        <v>330</v>
      </c>
      <c r="B244" t="s">
        <v>339</v>
      </c>
      <c r="C244">
        <v>72.55</v>
      </c>
    </row>
    <row r="245" spans="1:3">
      <c r="A245" t="s">
        <v>330</v>
      </c>
      <c r="B245" t="s">
        <v>340</v>
      </c>
      <c r="C245">
        <v>83.69</v>
      </c>
    </row>
    <row r="246" spans="1:3">
      <c r="A246" t="s">
        <v>330</v>
      </c>
      <c r="B246" t="s">
        <v>341</v>
      </c>
      <c r="C246">
        <v>70.75</v>
      </c>
    </row>
    <row r="247" spans="1:3">
      <c r="A247" t="s">
        <v>330</v>
      </c>
      <c r="B247" t="s">
        <v>342</v>
      </c>
      <c r="C247">
        <v>77.55</v>
      </c>
    </row>
    <row r="248" spans="1:3">
      <c r="A248" t="s">
        <v>330</v>
      </c>
      <c r="B248" t="s">
        <v>343</v>
      </c>
      <c r="C248">
        <v>71.88</v>
      </c>
    </row>
    <row r="249" spans="1:3">
      <c r="A249" t="s">
        <v>344</v>
      </c>
      <c r="B249" t="s">
        <v>345</v>
      </c>
      <c r="C249">
        <v>107.74</v>
      </c>
    </row>
    <row r="250" spans="1:3">
      <c r="A250" t="s">
        <v>344</v>
      </c>
      <c r="B250" t="s">
        <v>346</v>
      </c>
      <c r="C250">
        <v>104.55</v>
      </c>
    </row>
    <row r="251" spans="1:3">
      <c r="A251" t="s">
        <v>344</v>
      </c>
      <c r="B251" t="s">
        <v>347</v>
      </c>
      <c r="C251">
        <v>99.89</v>
      </c>
    </row>
    <row r="252" spans="1:3">
      <c r="A252" t="s">
        <v>344</v>
      </c>
      <c r="B252" t="s">
        <v>348</v>
      </c>
      <c r="C252">
        <v>104.73</v>
      </c>
    </row>
    <row r="253" spans="1:3">
      <c r="A253" t="s">
        <v>344</v>
      </c>
      <c r="B253" t="s">
        <v>349</v>
      </c>
      <c r="C253">
        <v>104.43</v>
      </c>
    </row>
    <row r="254" spans="1:3">
      <c r="A254" t="s">
        <v>344</v>
      </c>
      <c r="B254" t="s">
        <v>350</v>
      </c>
      <c r="C254">
        <v>112.05</v>
      </c>
    </row>
    <row r="255" spans="1:3">
      <c r="A255" t="s">
        <v>344</v>
      </c>
      <c r="B255" t="s">
        <v>351</v>
      </c>
      <c r="C255">
        <v>104.51</v>
      </c>
    </row>
    <row r="256" spans="1:3">
      <c r="A256" t="s">
        <v>344</v>
      </c>
      <c r="B256" t="s">
        <v>352</v>
      </c>
      <c r="C256">
        <v>105.97</v>
      </c>
    </row>
    <row r="257" spans="1:3">
      <c r="A257" t="s">
        <v>353</v>
      </c>
      <c r="B257" t="s">
        <v>354</v>
      </c>
      <c r="C257">
        <v>104.2</v>
      </c>
    </row>
    <row r="258" spans="1:3">
      <c r="A258" t="s">
        <v>353</v>
      </c>
      <c r="B258" t="s">
        <v>355</v>
      </c>
      <c r="C258">
        <v>102.48</v>
      </c>
    </row>
    <row r="259" spans="1:3">
      <c r="A259" t="s">
        <v>353</v>
      </c>
      <c r="B259" t="s">
        <v>356</v>
      </c>
      <c r="C259">
        <v>100.69</v>
      </c>
    </row>
    <row r="260" spans="1:3">
      <c r="A260" t="s">
        <v>353</v>
      </c>
      <c r="B260" t="s">
        <v>357</v>
      </c>
      <c r="C260">
        <v>93.86</v>
      </c>
    </row>
    <row r="261" spans="1:3">
      <c r="A261" t="s">
        <v>353</v>
      </c>
      <c r="B261" t="s">
        <v>358</v>
      </c>
      <c r="C261">
        <v>93.74</v>
      </c>
    </row>
    <row r="262" spans="1:3">
      <c r="A262" t="s">
        <v>353</v>
      </c>
      <c r="B262" t="s">
        <v>359</v>
      </c>
      <c r="C262">
        <v>95.52</v>
      </c>
    </row>
    <row r="263" spans="1:3">
      <c r="A263" t="s">
        <v>353</v>
      </c>
      <c r="B263" t="s">
        <v>360</v>
      </c>
      <c r="C263">
        <v>98.7</v>
      </c>
    </row>
    <row r="264" spans="1:3">
      <c r="A264" t="s">
        <v>353</v>
      </c>
      <c r="B264" t="s">
        <v>361</v>
      </c>
      <c r="C264">
        <v>100.66</v>
      </c>
    </row>
    <row r="265" spans="1:3">
      <c r="A265" t="s">
        <v>353</v>
      </c>
      <c r="B265" t="s">
        <v>192</v>
      </c>
      <c r="C265">
        <v>112.35</v>
      </c>
    </row>
    <row r="266" spans="1:3">
      <c r="A266" t="s">
        <v>362</v>
      </c>
      <c r="B266" t="s">
        <v>363</v>
      </c>
      <c r="C266">
        <v>115.28</v>
      </c>
    </row>
    <row r="267" spans="1:3">
      <c r="A267" t="s">
        <v>362</v>
      </c>
      <c r="B267" t="s">
        <v>364</v>
      </c>
      <c r="C267">
        <v>116.56</v>
      </c>
    </row>
    <row r="268" spans="1:3">
      <c r="A268" t="s">
        <v>362</v>
      </c>
      <c r="B268" t="s">
        <v>365</v>
      </c>
      <c r="C268">
        <v>116.58</v>
      </c>
    </row>
    <row r="269" spans="1:3">
      <c r="A269" t="s">
        <v>362</v>
      </c>
      <c r="B269" t="s">
        <v>366</v>
      </c>
      <c r="C269">
        <v>109.39</v>
      </c>
    </row>
    <row r="270" spans="1:3">
      <c r="A270" t="s">
        <v>362</v>
      </c>
      <c r="B270" t="s">
        <v>367</v>
      </c>
      <c r="C270">
        <v>115.31</v>
      </c>
    </row>
    <row r="271" spans="1:3">
      <c r="A271" t="s">
        <v>362</v>
      </c>
      <c r="B271" t="s">
        <v>368</v>
      </c>
      <c r="C271">
        <v>108.96</v>
      </c>
    </row>
    <row r="272" spans="1:3">
      <c r="A272" t="s">
        <v>362</v>
      </c>
      <c r="B272" t="s">
        <v>369</v>
      </c>
      <c r="C272">
        <v>109.1</v>
      </c>
    </row>
    <row r="273" spans="1:3">
      <c r="A273" t="s">
        <v>362</v>
      </c>
      <c r="B273" t="s">
        <v>370</v>
      </c>
      <c r="C273">
        <v>106.91</v>
      </c>
    </row>
    <row r="274" spans="1:3">
      <c r="A274" t="s">
        <v>362</v>
      </c>
      <c r="B274" t="s">
        <v>182</v>
      </c>
      <c r="C274">
        <v>110.09</v>
      </c>
    </row>
    <row r="275" spans="1:3">
      <c r="A275" t="s">
        <v>362</v>
      </c>
      <c r="B275" t="s">
        <v>184</v>
      </c>
      <c r="C275">
        <v>109.87</v>
      </c>
    </row>
    <row r="276" spans="1:3">
      <c r="A276" t="s">
        <v>371</v>
      </c>
      <c r="B276" t="s">
        <v>372</v>
      </c>
      <c r="C276">
        <v>96.9</v>
      </c>
    </row>
    <row r="277" spans="1:3">
      <c r="A277" t="s">
        <v>371</v>
      </c>
      <c r="B277" t="s">
        <v>373</v>
      </c>
      <c r="C277">
        <v>98.72</v>
      </c>
    </row>
    <row r="278" spans="1:3">
      <c r="A278" t="s">
        <v>371</v>
      </c>
      <c r="B278" t="s">
        <v>374</v>
      </c>
      <c r="C278">
        <v>95.79</v>
      </c>
    </row>
    <row r="279" spans="1:3">
      <c r="A279" t="s">
        <v>371</v>
      </c>
      <c r="B279" t="s">
        <v>375</v>
      </c>
      <c r="C279">
        <v>90.93</v>
      </c>
    </row>
    <row r="280" spans="1:3">
      <c r="A280" t="s">
        <v>371</v>
      </c>
      <c r="B280" t="s">
        <v>376</v>
      </c>
      <c r="C280">
        <v>99.39</v>
      </c>
    </row>
    <row r="281" spans="1:3">
      <c r="A281" t="s">
        <v>371</v>
      </c>
      <c r="B281" t="s">
        <v>377</v>
      </c>
      <c r="C281">
        <v>92.28</v>
      </c>
    </row>
    <row r="282" spans="1:3">
      <c r="A282" t="s">
        <v>371</v>
      </c>
      <c r="B282" t="s">
        <v>378</v>
      </c>
      <c r="C282">
        <v>97.97</v>
      </c>
    </row>
    <row r="283" spans="1:3">
      <c r="A283" t="s">
        <v>371</v>
      </c>
      <c r="B283" t="s">
        <v>379</v>
      </c>
      <c r="C283">
        <v>93.9</v>
      </c>
    </row>
    <row r="284" spans="1:3">
      <c r="A284" t="s">
        <v>371</v>
      </c>
      <c r="B284" t="s">
        <v>380</v>
      </c>
      <c r="C284">
        <v>95.02</v>
      </c>
    </row>
    <row r="285" spans="1:3">
      <c r="A285" t="s">
        <v>371</v>
      </c>
      <c r="B285" t="s">
        <v>381</v>
      </c>
      <c r="C285">
        <v>96.07</v>
      </c>
    </row>
    <row r="286" spans="1:3">
      <c r="A286" t="s">
        <v>371</v>
      </c>
      <c r="B286" t="s">
        <v>382</v>
      </c>
      <c r="C286">
        <v>91.74</v>
      </c>
    </row>
    <row r="287" spans="1:3">
      <c r="A287" t="s">
        <v>371</v>
      </c>
      <c r="B287" t="s">
        <v>383</v>
      </c>
      <c r="C287">
        <v>94.75</v>
      </c>
    </row>
    <row r="288" spans="1:3">
      <c r="A288" t="s">
        <v>371</v>
      </c>
      <c r="B288" t="s">
        <v>384</v>
      </c>
      <c r="C288">
        <v>90.59</v>
      </c>
    </row>
    <row r="289" spans="1:3">
      <c r="A289" t="s">
        <v>371</v>
      </c>
      <c r="B289" t="s">
        <v>385</v>
      </c>
      <c r="C289">
        <v>94.85</v>
      </c>
    </row>
    <row r="290" spans="1:3">
      <c r="A290" t="s">
        <v>371</v>
      </c>
      <c r="B290" t="s">
        <v>386</v>
      </c>
      <c r="C290">
        <v>92.49</v>
      </c>
    </row>
    <row r="291" spans="1:3">
      <c r="A291" t="s">
        <v>371</v>
      </c>
      <c r="B291" t="s">
        <v>292</v>
      </c>
      <c r="C291">
        <v>91.19</v>
      </c>
    </row>
    <row r="292" spans="1:3">
      <c r="A292" t="s">
        <v>371</v>
      </c>
      <c r="B292" t="s">
        <v>387</v>
      </c>
      <c r="C292">
        <v>92.41</v>
      </c>
    </row>
    <row r="293" spans="1:3">
      <c r="A293" t="s">
        <v>371</v>
      </c>
      <c r="B293" t="s">
        <v>388</v>
      </c>
      <c r="C293">
        <v>92.53</v>
      </c>
    </row>
    <row r="294" spans="1:3">
      <c r="A294" t="s">
        <v>371</v>
      </c>
      <c r="B294" t="s">
        <v>389</v>
      </c>
      <c r="C294">
        <v>93.96</v>
      </c>
    </row>
    <row r="295" spans="1:3">
      <c r="A295" t="s">
        <v>371</v>
      </c>
      <c r="B295" t="s">
        <v>390</v>
      </c>
      <c r="C295">
        <v>97.1</v>
      </c>
    </row>
    <row r="296" spans="1:3">
      <c r="A296" t="s">
        <v>391</v>
      </c>
      <c r="B296" t="s">
        <v>392</v>
      </c>
      <c r="C296">
        <v>101.79</v>
      </c>
    </row>
    <row r="297" spans="1:3">
      <c r="A297" t="s">
        <v>391</v>
      </c>
      <c r="B297" t="s">
        <v>393</v>
      </c>
      <c r="C297">
        <v>95.75</v>
      </c>
    </row>
    <row r="298" spans="1:3">
      <c r="A298" t="s">
        <v>391</v>
      </c>
      <c r="B298" t="s">
        <v>394</v>
      </c>
      <c r="C298">
        <v>99.31</v>
      </c>
    </row>
    <row r="299" spans="1:3">
      <c r="A299" t="s">
        <v>391</v>
      </c>
      <c r="B299" t="s">
        <v>395</v>
      </c>
      <c r="C299">
        <v>97.39</v>
      </c>
    </row>
    <row r="300" spans="1:3">
      <c r="A300" t="s">
        <v>391</v>
      </c>
      <c r="B300" t="s">
        <v>396</v>
      </c>
      <c r="C300">
        <v>93.3</v>
      </c>
    </row>
    <row r="301" spans="1:3">
      <c r="A301" t="s">
        <v>391</v>
      </c>
      <c r="B301" t="s">
        <v>397</v>
      </c>
      <c r="C301">
        <v>97.49</v>
      </c>
    </row>
    <row r="302" spans="1:3">
      <c r="A302" t="s">
        <v>391</v>
      </c>
      <c r="B302" t="s">
        <v>398</v>
      </c>
      <c r="C302">
        <v>103.93</v>
      </c>
    </row>
    <row r="303" spans="1:3">
      <c r="A303" t="s">
        <v>391</v>
      </c>
      <c r="B303" t="s">
        <v>399</v>
      </c>
      <c r="C303">
        <v>96.36</v>
      </c>
    </row>
    <row r="304" spans="1:3">
      <c r="A304" t="s">
        <v>391</v>
      </c>
      <c r="B304" t="s">
        <v>400</v>
      </c>
      <c r="C304">
        <v>97.05</v>
      </c>
    </row>
    <row r="305" spans="1:3">
      <c r="A305" t="s">
        <v>391</v>
      </c>
      <c r="B305" t="s">
        <v>401</v>
      </c>
      <c r="C305">
        <v>101.1</v>
      </c>
    </row>
    <row r="306" spans="1:3">
      <c r="A306" t="s">
        <v>391</v>
      </c>
      <c r="B306" t="s">
        <v>402</v>
      </c>
      <c r="C306">
        <v>97.12</v>
      </c>
    </row>
    <row r="307" spans="1:3">
      <c r="A307" t="s">
        <v>391</v>
      </c>
      <c r="B307" t="s">
        <v>403</v>
      </c>
      <c r="C307">
        <v>97.26</v>
      </c>
    </row>
    <row r="308" spans="1:3">
      <c r="A308" t="s">
        <v>391</v>
      </c>
      <c r="B308" t="s">
        <v>404</v>
      </c>
      <c r="C308">
        <v>97.73</v>
      </c>
    </row>
    <row r="309" spans="1:3">
      <c r="A309" t="s">
        <v>405</v>
      </c>
      <c r="B309" t="s">
        <v>406</v>
      </c>
      <c r="C309">
        <v>77.77</v>
      </c>
    </row>
    <row r="310" spans="1:3">
      <c r="A310" t="s">
        <v>405</v>
      </c>
      <c r="B310" t="s">
        <v>407</v>
      </c>
      <c r="C310">
        <v>82.1</v>
      </c>
    </row>
    <row r="311" spans="1:3">
      <c r="A311" t="s">
        <v>405</v>
      </c>
      <c r="B311" t="s">
        <v>408</v>
      </c>
      <c r="C311">
        <v>73.540000000000006</v>
      </c>
    </row>
    <row r="312" spans="1:3">
      <c r="A312" t="s">
        <v>405</v>
      </c>
      <c r="B312" t="s">
        <v>409</v>
      </c>
      <c r="C312">
        <v>79.7</v>
      </c>
    </row>
    <row r="313" spans="1:3">
      <c r="A313" t="s">
        <v>405</v>
      </c>
      <c r="B313" t="s">
        <v>125</v>
      </c>
      <c r="C313">
        <v>87.89</v>
      </c>
    </row>
    <row r="314" spans="1:3">
      <c r="A314" t="s">
        <v>405</v>
      </c>
      <c r="B314" t="s">
        <v>410</v>
      </c>
      <c r="C314">
        <v>76.55</v>
      </c>
    </row>
    <row r="315" spans="1:3">
      <c r="A315" t="s">
        <v>405</v>
      </c>
      <c r="B315" t="s">
        <v>411</v>
      </c>
      <c r="C315">
        <v>72.44</v>
      </c>
    </row>
    <row r="316" spans="1:3">
      <c r="A316" t="s">
        <v>405</v>
      </c>
      <c r="B316" t="s">
        <v>412</v>
      </c>
      <c r="C316">
        <v>73.44</v>
      </c>
    </row>
    <row r="317" spans="1:3">
      <c r="A317" t="s">
        <v>405</v>
      </c>
      <c r="B317" t="s">
        <v>413</v>
      </c>
      <c r="C317">
        <v>74.239999999999995</v>
      </c>
    </row>
    <row r="318" spans="1:3">
      <c r="A318" t="s">
        <v>414</v>
      </c>
      <c r="B318" t="s">
        <v>415</v>
      </c>
      <c r="C318">
        <v>94.57</v>
      </c>
    </row>
    <row r="319" spans="1:3">
      <c r="A319" t="s">
        <v>414</v>
      </c>
      <c r="B319" t="s">
        <v>260</v>
      </c>
      <c r="C319">
        <v>90.35</v>
      </c>
    </row>
    <row r="320" spans="1:3">
      <c r="A320" t="s">
        <v>414</v>
      </c>
      <c r="B320" t="s">
        <v>416</v>
      </c>
      <c r="C320">
        <v>89.63</v>
      </c>
    </row>
    <row r="321" spans="1:3">
      <c r="A321" t="s">
        <v>414</v>
      </c>
      <c r="B321" t="s">
        <v>417</v>
      </c>
      <c r="C321">
        <v>92.62</v>
      </c>
    </row>
    <row r="322" spans="1:3">
      <c r="A322" t="s">
        <v>414</v>
      </c>
      <c r="B322" t="s">
        <v>120</v>
      </c>
      <c r="C322">
        <v>89.5</v>
      </c>
    </row>
    <row r="323" spans="1:3">
      <c r="A323" t="s">
        <v>414</v>
      </c>
      <c r="B323" t="s">
        <v>418</v>
      </c>
      <c r="C323">
        <v>90.52</v>
      </c>
    </row>
    <row r="324" spans="1:3">
      <c r="A324" t="s">
        <v>414</v>
      </c>
      <c r="B324" t="s">
        <v>419</v>
      </c>
      <c r="C324">
        <v>91.4</v>
      </c>
    </row>
    <row r="325" spans="1:3">
      <c r="A325" t="s">
        <v>414</v>
      </c>
      <c r="B325" t="s">
        <v>311</v>
      </c>
      <c r="C325">
        <v>97.31</v>
      </c>
    </row>
    <row r="326" spans="1:3">
      <c r="A326" t="s">
        <v>414</v>
      </c>
      <c r="B326" t="s">
        <v>420</v>
      </c>
      <c r="C326">
        <v>90.15</v>
      </c>
    </row>
    <row r="327" spans="1:3">
      <c r="A327" t="s">
        <v>414</v>
      </c>
      <c r="B327" t="s">
        <v>421</v>
      </c>
      <c r="C327">
        <v>88.92</v>
      </c>
    </row>
    <row r="328" spans="1:3">
      <c r="A328" t="s">
        <v>414</v>
      </c>
      <c r="B328" t="s">
        <v>422</v>
      </c>
      <c r="C328">
        <v>89.55</v>
      </c>
    </row>
    <row r="329" spans="1:3">
      <c r="A329" t="s">
        <v>414</v>
      </c>
      <c r="B329" t="s">
        <v>423</v>
      </c>
      <c r="C329">
        <v>91.85</v>
      </c>
    </row>
    <row r="330" spans="1:3">
      <c r="A330" t="s">
        <v>414</v>
      </c>
      <c r="B330" t="s">
        <v>315</v>
      </c>
      <c r="C330">
        <v>93.07</v>
      </c>
    </row>
    <row r="331" spans="1:3">
      <c r="A331" t="s">
        <v>414</v>
      </c>
      <c r="B331" t="s">
        <v>274</v>
      </c>
      <c r="C331">
        <v>96.92</v>
      </c>
    </row>
    <row r="332" spans="1:3">
      <c r="A332" t="s">
        <v>424</v>
      </c>
      <c r="B332" t="s">
        <v>425</v>
      </c>
      <c r="C332">
        <v>91.98</v>
      </c>
    </row>
    <row r="333" spans="1:3">
      <c r="A333" t="s">
        <v>424</v>
      </c>
      <c r="B333" t="s">
        <v>426</v>
      </c>
      <c r="C333">
        <v>92.7</v>
      </c>
    </row>
    <row r="334" spans="1:3">
      <c r="A334" t="s">
        <v>424</v>
      </c>
      <c r="B334" t="s">
        <v>427</v>
      </c>
      <c r="C334">
        <v>90.09</v>
      </c>
    </row>
    <row r="335" spans="1:3">
      <c r="A335" t="s">
        <v>424</v>
      </c>
      <c r="B335" t="s">
        <v>428</v>
      </c>
      <c r="C335">
        <v>87.87</v>
      </c>
    </row>
    <row r="336" spans="1:3">
      <c r="A336" t="s">
        <v>424</v>
      </c>
      <c r="B336" t="s">
        <v>429</v>
      </c>
      <c r="C336">
        <v>91.48</v>
      </c>
    </row>
    <row r="337" spans="1:3">
      <c r="A337" t="s">
        <v>424</v>
      </c>
      <c r="B337" t="s">
        <v>430</v>
      </c>
      <c r="C337">
        <v>93.2</v>
      </c>
    </row>
    <row r="338" spans="1:3">
      <c r="A338" t="s">
        <v>424</v>
      </c>
      <c r="B338" t="s">
        <v>431</v>
      </c>
      <c r="C338">
        <v>92.25</v>
      </c>
    </row>
    <row r="339" spans="1:3">
      <c r="A339" t="s">
        <v>432</v>
      </c>
      <c r="B339" t="s">
        <v>433</v>
      </c>
      <c r="C339">
        <v>92.62</v>
      </c>
    </row>
    <row r="340" spans="1:3">
      <c r="A340" t="s">
        <v>432</v>
      </c>
      <c r="B340" t="s">
        <v>434</v>
      </c>
      <c r="C340">
        <v>89.88</v>
      </c>
    </row>
    <row r="341" spans="1:3">
      <c r="A341" t="s">
        <v>432</v>
      </c>
      <c r="B341" t="s">
        <v>435</v>
      </c>
      <c r="C341">
        <v>90.6</v>
      </c>
    </row>
    <row r="342" spans="1:3">
      <c r="A342" t="s">
        <v>432</v>
      </c>
      <c r="B342" t="s">
        <v>436</v>
      </c>
      <c r="C342">
        <v>90.23</v>
      </c>
    </row>
    <row r="343" spans="1:3">
      <c r="A343" t="s">
        <v>432</v>
      </c>
      <c r="B343" t="s">
        <v>437</v>
      </c>
      <c r="C343">
        <v>87.76</v>
      </c>
    </row>
    <row r="344" spans="1:3">
      <c r="A344" t="s">
        <v>432</v>
      </c>
      <c r="B344" t="s">
        <v>304</v>
      </c>
      <c r="C344">
        <v>95.61</v>
      </c>
    </row>
    <row r="345" spans="1:3">
      <c r="A345" t="s">
        <v>432</v>
      </c>
      <c r="B345" t="s">
        <v>305</v>
      </c>
      <c r="C345">
        <v>92.47</v>
      </c>
    </row>
    <row r="346" spans="1:3">
      <c r="A346" t="s">
        <v>432</v>
      </c>
      <c r="B346" t="s">
        <v>438</v>
      </c>
      <c r="C346">
        <v>89.24</v>
      </c>
    </row>
    <row r="347" spans="1:3">
      <c r="A347" t="s">
        <v>439</v>
      </c>
      <c r="B347" t="s">
        <v>440</v>
      </c>
      <c r="C347">
        <v>97.98</v>
      </c>
    </row>
    <row r="348" spans="1:3">
      <c r="A348" t="s">
        <v>439</v>
      </c>
      <c r="B348" t="s">
        <v>441</v>
      </c>
      <c r="C348">
        <v>99.4</v>
      </c>
    </row>
    <row r="349" spans="1:3">
      <c r="A349" t="s">
        <v>439</v>
      </c>
      <c r="B349" t="s">
        <v>442</v>
      </c>
      <c r="C349">
        <v>98.44</v>
      </c>
    </row>
    <row r="350" spans="1:3">
      <c r="A350" t="s">
        <v>439</v>
      </c>
      <c r="B350" t="s">
        <v>443</v>
      </c>
      <c r="C350">
        <v>90.94</v>
      </c>
    </row>
    <row r="351" spans="1:3">
      <c r="A351" t="s">
        <v>439</v>
      </c>
      <c r="B351" t="s">
        <v>444</v>
      </c>
      <c r="C351">
        <v>97.88</v>
      </c>
    </row>
    <row r="352" spans="1:3">
      <c r="A352" t="s">
        <v>445</v>
      </c>
      <c r="B352" t="s">
        <v>446</v>
      </c>
      <c r="C352">
        <v>102.55</v>
      </c>
    </row>
    <row r="353" spans="1:3">
      <c r="A353" t="s">
        <v>445</v>
      </c>
      <c r="B353" t="s">
        <v>365</v>
      </c>
      <c r="C353">
        <v>116.58</v>
      </c>
    </row>
    <row r="354" spans="1:3">
      <c r="A354" t="s">
        <v>445</v>
      </c>
      <c r="B354" t="s">
        <v>347</v>
      </c>
      <c r="C354">
        <v>99.89</v>
      </c>
    </row>
    <row r="355" spans="1:3">
      <c r="A355" t="s">
        <v>445</v>
      </c>
      <c r="B355" t="s">
        <v>447</v>
      </c>
      <c r="C355">
        <v>100.34</v>
      </c>
    </row>
    <row r="356" spans="1:3">
      <c r="A356" t="s">
        <v>445</v>
      </c>
      <c r="B356" t="s">
        <v>448</v>
      </c>
      <c r="C356">
        <v>99.53</v>
      </c>
    </row>
    <row r="357" spans="1:3">
      <c r="A357" t="s">
        <v>445</v>
      </c>
      <c r="B357" t="s">
        <v>351</v>
      </c>
      <c r="C357">
        <v>104.51</v>
      </c>
    </row>
    <row r="358" spans="1:3">
      <c r="A358" t="s">
        <v>445</v>
      </c>
      <c r="B358" t="s">
        <v>449</v>
      </c>
      <c r="C358">
        <v>100.94</v>
      </c>
    </row>
    <row r="359" spans="1:3">
      <c r="A359" t="s">
        <v>445</v>
      </c>
      <c r="B359" t="s">
        <v>450</v>
      </c>
      <c r="C359">
        <v>100.03</v>
      </c>
    </row>
    <row r="360" spans="1:3">
      <c r="A360" t="s">
        <v>451</v>
      </c>
      <c r="B360" t="s">
        <v>452</v>
      </c>
      <c r="C360">
        <v>110.65</v>
      </c>
    </row>
    <row r="361" spans="1:3">
      <c r="A361" t="s">
        <v>451</v>
      </c>
      <c r="B361" t="s">
        <v>453</v>
      </c>
      <c r="C361">
        <v>94.59</v>
      </c>
    </row>
    <row r="362" spans="1:3">
      <c r="A362" t="s">
        <v>451</v>
      </c>
      <c r="B362" t="s">
        <v>454</v>
      </c>
      <c r="C362">
        <v>107.53</v>
      </c>
    </row>
    <row r="363" spans="1:3">
      <c r="A363" t="s">
        <v>451</v>
      </c>
      <c r="B363" t="s">
        <v>455</v>
      </c>
      <c r="C363">
        <v>107.92</v>
      </c>
    </row>
    <row r="364" spans="1:3">
      <c r="A364" t="s">
        <v>451</v>
      </c>
      <c r="B364" t="s">
        <v>456</v>
      </c>
      <c r="C364">
        <v>119.14</v>
      </c>
    </row>
    <row r="365" spans="1:3">
      <c r="A365" t="s">
        <v>451</v>
      </c>
      <c r="B365" t="s">
        <v>457</v>
      </c>
      <c r="C365">
        <v>107.87</v>
      </c>
    </row>
    <row r="366" spans="1:3">
      <c r="A366" t="s">
        <v>451</v>
      </c>
      <c r="B366" t="s">
        <v>360</v>
      </c>
      <c r="C366">
        <v>98.7</v>
      </c>
    </row>
    <row r="367" spans="1:3">
      <c r="A367" t="s">
        <v>451</v>
      </c>
      <c r="B367" t="s">
        <v>458</v>
      </c>
      <c r="C367">
        <v>103.39</v>
      </c>
    </row>
    <row r="368" spans="1:3">
      <c r="A368" t="s">
        <v>459</v>
      </c>
      <c r="B368" t="s">
        <v>460</v>
      </c>
      <c r="C368">
        <v>90.79</v>
      </c>
    </row>
    <row r="369" spans="1:3">
      <c r="A369" t="s">
        <v>459</v>
      </c>
      <c r="B369" t="s">
        <v>461</v>
      </c>
      <c r="C369">
        <v>91.79</v>
      </c>
    </row>
    <row r="370" spans="1:3">
      <c r="A370" t="s">
        <v>459</v>
      </c>
      <c r="B370" t="s">
        <v>462</v>
      </c>
      <c r="C370">
        <v>89.21</v>
      </c>
    </row>
    <row r="371" spans="1:3">
      <c r="A371" t="s">
        <v>459</v>
      </c>
      <c r="B371" t="s">
        <v>463</v>
      </c>
      <c r="C371">
        <v>88.45</v>
      </c>
    </row>
    <row r="372" spans="1:3">
      <c r="A372" t="s">
        <v>459</v>
      </c>
      <c r="B372" t="s">
        <v>464</v>
      </c>
      <c r="C372">
        <v>85.2</v>
      </c>
    </row>
    <row r="373" spans="1:3">
      <c r="A373" t="s">
        <v>459</v>
      </c>
      <c r="B373" t="s">
        <v>465</v>
      </c>
      <c r="C373">
        <v>88.94</v>
      </c>
    </row>
    <row r="374" spans="1:3">
      <c r="A374" t="s">
        <v>459</v>
      </c>
      <c r="B374" t="s">
        <v>466</v>
      </c>
      <c r="C374">
        <v>99.56</v>
      </c>
    </row>
    <row r="375" spans="1:3">
      <c r="A375" t="s">
        <v>467</v>
      </c>
      <c r="B375" t="s">
        <v>468</v>
      </c>
      <c r="C375">
        <v>117.7</v>
      </c>
    </row>
    <row r="376" spans="1:3">
      <c r="A376" t="s">
        <v>467</v>
      </c>
      <c r="B376" t="s">
        <v>469</v>
      </c>
      <c r="C376">
        <v>110.03</v>
      </c>
    </row>
    <row r="377" spans="1:3">
      <c r="A377" t="s">
        <v>467</v>
      </c>
      <c r="B377" t="s">
        <v>470</v>
      </c>
      <c r="C377">
        <v>105.52</v>
      </c>
    </row>
    <row r="378" spans="1:3">
      <c r="A378" t="s">
        <v>467</v>
      </c>
      <c r="B378" t="s">
        <v>471</v>
      </c>
      <c r="C378">
        <v>106.82</v>
      </c>
    </row>
    <row r="379" spans="1:3">
      <c r="A379" t="s">
        <v>467</v>
      </c>
      <c r="B379" t="s">
        <v>472</v>
      </c>
      <c r="C379">
        <v>106.72</v>
      </c>
    </row>
    <row r="380" spans="1:3">
      <c r="A380" t="s">
        <v>467</v>
      </c>
      <c r="B380" t="s">
        <v>473</v>
      </c>
      <c r="C380">
        <v>104.2</v>
      </c>
    </row>
    <row r="381" spans="1:3">
      <c r="A381" t="s">
        <v>467</v>
      </c>
      <c r="B381" t="s">
        <v>474</v>
      </c>
      <c r="C381">
        <v>107.44</v>
      </c>
    </row>
    <row r="382" spans="1:3">
      <c r="A382" t="s">
        <v>467</v>
      </c>
      <c r="B382" t="s">
        <v>475</v>
      </c>
      <c r="C382">
        <v>109.01</v>
      </c>
    </row>
    <row r="383" spans="1:3">
      <c r="A383" t="s">
        <v>467</v>
      </c>
      <c r="B383" t="s">
        <v>476</v>
      </c>
      <c r="C383">
        <v>110.68</v>
      </c>
    </row>
    <row r="384" spans="1:3">
      <c r="A384" t="s">
        <v>467</v>
      </c>
      <c r="B384" t="s">
        <v>456</v>
      </c>
      <c r="C384">
        <v>119.14</v>
      </c>
    </row>
    <row r="385" spans="1:3">
      <c r="A385" t="s">
        <v>467</v>
      </c>
      <c r="B385" t="s">
        <v>477</v>
      </c>
      <c r="C385">
        <v>105.84</v>
      </c>
    </row>
    <row r="386" spans="1:3">
      <c r="A386" t="s">
        <v>467</v>
      </c>
      <c r="B386" t="s">
        <v>478</v>
      </c>
      <c r="C386">
        <v>106.18</v>
      </c>
    </row>
    <row r="387" spans="1:3">
      <c r="A387" t="s">
        <v>467</v>
      </c>
      <c r="B387" t="s">
        <v>479</v>
      </c>
      <c r="C387">
        <v>108.08</v>
      </c>
    </row>
    <row r="388" spans="1:3">
      <c r="A388" t="s">
        <v>467</v>
      </c>
      <c r="B388" t="s">
        <v>480</v>
      </c>
      <c r="C388">
        <v>102.91</v>
      </c>
    </row>
    <row r="389" spans="1:3">
      <c r="A389" t="s">
        <v>467</v>
      </c>
      <c r="B389" t="s">
        <v>481</v>
      </c>
      <c r="C389">
        <v>105.38</v>
      </c>
    </row>
    <row r="390" spans="1:3">
      <c r="A390" t="s">
        <v>482</v>
      </c>
      <c r="B390" t="s">
        <v>483</v>
      </c>
      <c r="C390">
        <v>89.51</v>
      </c>
    </row>
    <row r="391" spans="1:3">
      <c r="A391" t="s">
        <v>482</v>
      </c>
      <c r="B391" t="s">
        <v>484</v>
      </c>
      <c r="C391">
        <v>91.42</v>
      </c>
    </row>
    <row r="392" spans="1:3">
      <c r="A392" t="s">
        <v>482</v>
      </c>
      <c r="B392" t="s">
        <v>485</v>
      </c>
      <c r="C392">
        <v>84.52</v>
      </c>
    </row>
    <row r="393" spans="1:3">
      <c r="A393" t="s">
        <v>482</v>
      </c>
      <c r="B393" t="s">
        <v>486</v>
      </c>
      <c r="C393">
        <v>93.04</v>
      </c>
    </row>
    <row r="394" spans="1:3">
      <c r="A394" t="s">
        <v>482</v>
      </c>
      <c r="B394" t="s">
        <v>487</v>
      </c>
      <c r="C394">
        <v>96.57</v>
      </c>
    </row>
    <row r="395" spans="1:3">
      <c r="A395" t="s">
        <v>482</v>
      </c>
      <c r="B395" t="s">
        <v>488</v>
      </c>
      <c r="C395">
        <v>82.87</v>
      </c>
    </row>
    <row r="396" spans="1:3">
      <c r="A396" t="s">
        <v>482</v>
      </c>
      <c r="B396" t="s">
        <v>489</v>
      </c>
      <c r="C396">
        <v>83.31</v>
      </c>
    </row>
    <row r="397" spans="1:3">
      <c r="A397" t="s">
        <v>482</v>
      </c>
      <c r="B397" t="s">
        <v>490</v>
      </c>
      <c r="C397">
        <v>87.12</v>
      </c>
    </row>
    <row r="398" spans="1:3">
      <c r="A398" t="s">
        <v>482</v>
      </c>
      <c r="B398" t="s">
        <v>491</v>
      </c>
      <c r="C398">
        <v>84.45</v>
      </c>
    </row>
    <row r="399" spans="1:3">
      <c r="A399" t="s">
        <v>482</v>
      </c>
      <c r="B399" t="s">
        <v>492</v>
      </c>
      <c r="C399">
        <v>87.5</v>
      </c>
    </row>
    <row r="400" spans="1:3">
      <c r="A400" t="s">
        <v>482</v>
      </c>
      <c r="B400" t="s">
        <v>493</v>
      </c>
      <c r="C400">
        <v>80.540000000000006</v>
      </c>
    </row>
    <row r="401" spans="1:3">
      <c r="A401" t="s">
        <v>482</v>
      </c>
      <c r="B401" t="s">
        <v>494</v>
      </c>
      <c r="C401">
        <v>81.17</v>
      </c>
    </row>
    <row r="402" spans="1:3">
      <c r="A402" t="s">
        <v>482</v>
      </c>
      <c r="B402" t="s">
        <v>495</v>
      </c>
      <c r="C402">
        <v>82.41</v>
      </c>
    </row>
    <row r="403" spans="1:3">
      <c r="A403" t="s">
        <v>482</v>
      </c>
      <c r="B403" t="s">
        <v>496</v>
      </c>
      <c r="C403">
        <v>93.92</v>
      </c>
    </row>
    <row r="404" spans="1:3">
      <c r="A404" t="s">
        <v>482</v>
      </c>
      <c r="B404" t="s">
        <v>497</v>
      </c>
      <c r="C404">
        <v>81.67</v>
      </c>
    </row>
    <row r="405" spans="1:3">
      <c r="A405" t="s">
        <v>482</v>
      </c>
      <c r="B405" t="s">
        <v>498</v>
      </c>
      <c r="C405">
        <v>82.48</v>
      </c>
    </row>
    <row r="406" spans="1:3">
      <c r="A406" t="s">
        <v>482</v>
      </c>
      <c r="B406" t="s">
        <v>499</v>
      </c>
      <c r="C406">
        <v>92.41</v>
      </c>
    </row>
    <row r="407" spans="1:3">
      <c r="A407" t="s">
        <v>482</v>
      </c>
      <c r="B407" t="s">
        <v>500</v>
      </c>
      <c r="C407">
        <v>89.32</v>
      </c>
    </row>
    <row r="408" spans="1:3">
      <c r="A408" t="s">
        <v>482</v>
      </c>
      <c r="B408" t="s">
        <v>501</v>
      </c>
      <c r="C408">
        <v>87.07</v>
      </c>
    </row>
    <row r="409" spans="1:3">
      <c r="A409" t="s">
        <v>482</v>
      </c>
      <c r="B409" t="s">
        <v>502</v>
      </c>
      <c r="C409">
        <v>87.61</v>
      </c>
    </row>
    <row r="410" spans="1:3">
      <c r="A410" t="s">
        <v>482</v>
      </c>
      <c r="B410" t="s">
        <v>503</v>
      </c>
      <c r="C410">
        <v>85.75</v>
      </c>
    </row>
    <row r="411" spans="1:3">
      <c r="A411" t="s">
        <v>482</v>
      </c>
      <c r="B411" t="s">
        <v>504</v>
      </c>
      <c r="C411">
        <v>84.46</v>
      </c>
    </row>
    <row r="412" spans="1:3">
      <c r="A412" t="s">
        <v>505</v>
      </c>
      <c r="B412" t="s">
        <v>506</v>
      </c>
      <c r="C412">
        <v>98.64</v>
      </c>
    </row>
    <row r="413" spans="1:3">
      <c r="A413" t="s">
        <v>505</v>
      </c>
      <c r="B413" t="s">
        <v>507</v>
      </c>
      <c r="C413">
        <v>97.97</v>
      </c>
    </row>
    <row r="414" spans="1:3">
      <c r="A414" t="s">
        <v>505</v>
      </c>
      <c r="B414" t="s">
        <v>508</v>
      </c>
      <c r="C414">
        <v>98.11</v>
      </c>
    </row>
    <row r="415" spans="1:3">
      <c r="A415" t="s">
        <v>505</v>
      </c>
      <c r="B415" t="s">
        <v>394</v>
      </c>
      <c r="C415">
        <v>99.31</v>
      </c>
    </row>
    <row r="416" spans="1:3">
      <c r="A416" t="s">
        <v>505</v>
      </c>
      <c r="B416" t="s">
        <v>395</v>
      </c>
      <c r="C416">
        <v>97.39</v>
      </c>
    </row>
    <row r="417" spans="1:3">
      <c r="A417" t="s">
        <v>505</v>
      </c>
      <c r="B417" t="s">
        <v>509</v>
      </c>
      <c r="C417">
        <v>99.16</v>
      </c>
    </row>
    <row r="418" spans="1:3">
      <c r="A418" t="s">
        <v>510</v>
      </c>
      <c r="B418" t="s">
        <v>511</v>
      </c>
      <c r="C418">
        <v>92.28</v>
      </c>
    </row>
    <row r="419" spans="1:3">
      <c r="A419" t="s">
        <v>510</v>
      </c>
      <c r="B419" t="s">
        <v>512</v>
      </c>
      <c r="C419">
        <v>91.64</v>
      </c>
    </row>
    <row r="420" spans="1:3">
      <c r="A420" t="s">
        <v>510</v>
      </c>
      <c r="B420" t="s">
        <v>513</v>
      </c>
      <c r="C420">
        <v>88.64</v>
      </c>
    </row>
    <row r="421" spans="1:3">
      <c r="A421" t="s">
        <v>510</v>
      </c>
      <c r="B421" t="s">
        <v>280</v>
      </c>
      <c r="C421">
        <v>94.03</v>
      </c>
    </row>
    <row r="422" spans="1:3">
      <c r="A422" t="s">
        <v>510</v>
      </c>
      <c r="B422" t="s">
        <v>514</v>
      </c>
      <c r="C422">
        <v>95.38</v>
      </c>
    </row>
    <row r="423" spans="1:3">
      <c r="A423" t="s">
        <v>510</v>
      </c>
      <c r="B423" t="s">
        <v>515</v>
      </c>
      <c r="C423">
        <v>94.87</v>
      </c>
    </row>
    <row r="424" spans="1:3">
      <c r="A424" t="s">
        <v>510</v>
      </c>
      <c r="B424" t="s">
        <v>516</v>
      </c>
      <c r="C424">
        <v>92.62</v>
      </c>
    </row>
    <row r="425" spans="1:3">
      <c r="A425" t="s">
        <v>510</v>
      </c>
      <c r="B425" t="s">
        <v>517</v>
      </c>
      <c r="C425">
        <v>87.11</v>
      </c>
    </row>
    <row r="426" spans="1:3">
      <c r="A426" t="s">
        <v>510</v>
      </c>
      <c r="B426" t="s">
        <v>325</v>
      </c>
      <c r="C426">
        <v>80.819999999999993</v>
      </c>
    </row>
    <row r="427" spans="1:3">
      <c r="A427" t="s">
        <v>510</v>
      </c>
      <c r="B427" t="s">
        <v>518</v>
      </c>
      <c r="C427">
        <v>88.31</v>
      </c>
    </row>
    <row r="428" spans="1:3">
      <c r="A428" t="s">
        <v>510</v>
      </c>
      <c r="B428" t="s">
        <v>519</v>
      </c>
      <c r="C428">
        <v>86.28</v>
      </c>
    </row>
    <row r="429" spans="1:3">
      <c r="A429" t="s">
        <v>510</v>
      </c>
      <c r="B429" t="s">
        <v>520</v>
      </c>
      <c r="C429">
        <v>87.63</v>
      </c>
    </row>
    <row r="430" spans="1:3">
      <c r="A430" t="s">
        <v>510</v>
      </c>
      <c r="B430" t="s">
        <v>521</v>
      </c>
      <c r="C430">
        <v>88.08</v>
      </c>
    </row>
    <row r="431" spans="1:3">
      <c r="A431" t="s">
        <v>510</v>
      </c>
      <c r="B431" t="s">
        <v>522</v>
      </c>
      <c r="C431">
        <v>88.69</v>
      </c>
    </row>
    <row r="432" spans="1:3">
      <c r="A432" t="s">
        <v>510</v>
      </c>
      <c r="B432" t="s">
        <v>523</v>
      </c>
      <c r="C432">
        <v>91.65</v>
      </c>
    </row>
    <row r="433" spans="1:3">
      <c r="A433" t="s">
        <v>510</v>
      </c>
      <c r="B433" t="s">
        <v>524</v>
      </c>
      <c r="C433">
        <v>83.44</v>
      </c>
    </row>
    <row r="434" spans="1:3">
      <c r="A434" t="s">
        <v>510</v>
      </c>
      <c r="B434" t="s">
        <v>525</v>
      </c>
      <c r="C434">
        <v>88.37</v>
      </c>
    </row>
    <row r="435" spans="1:3">
      <c r="A435" t="s">
        <v>510</v>
      </c>
      <c r="B435" t="s">
        <v>526</v>
      </c>
      <c r="C435">
        <v>82.44</v>
      </c>
    </row>
    <row r="436" spans="1:3">
      <c r="A436" t="s">
        <v>510</v>
      </c>
      <c r="B436" t="s">
        <v>527</v>
      </c>
      <c r="C436">
        <v>85.56</v>
      </c>
    </row>
    <row r="437" spans="1:3">
      <c r="A437" t="s">
        <v>528</v>
      </c>
      <c r="B437" t="s">
        <v>529</v>
      </c>
      <c r="C437">
        <v>82.68</v>
      </c>
    </row>
    <row r="438" spans="1:3">
      <c r="A438" t="s">
        <v>528</v>
      </c>
      <c r="B438" t="s">
        <v>530</v>
      </c>
      <c r="C438">
        <v>79.03</v>
      </c>
    </row>
    <row r="439" spans="1:3">
      <c r="A439" t="s">
        <v>528</v>
      </c>
      <c r="B439" t="s">
        <v>121</v>
      </c>
      <c r="C439">
        <v>82.26</v>
      </c>
    </row>
    <row r="440" spans="1:3">
      <c r="A440" t="s">
        <v>528</v>
      </c>
      <c r="B440" t="s">
        <v>531</v>
      </c>
      <c r="C440">
        <v>78.38</v>
      </c>
    </row>
    <row r="441" spans="1:3">
      <c r="A441" t="s">
        <v>528</v>
      </c>
      <c r="B441" t="s">
        <v>532</v>
      </c>
      <c r="C441">
        <v>78.69</v>
      </c>
    </row>
    <row r="442" spans="1:3">
      <c r="A442" t="s">
        <v>528</v>
      </c>
      <c r="B442" t="s">
        <v>533</v>
      </c>
      <c r="C442">
        <v>77.540000000000006</v>
      </c>
    </row>
    <row r="443" spans="1:3">
      <c r="A443" t="s">
        <v>528</v>
      </c>
      <c r="B443" t="s">
        <v>534</v>
      </c>
      <c r="C443">
        <v>84.7</v>
      </c>
    </row>
    <row r="444" spans="1:3">
      <c r="A444" t="s">
        <v>528</v>
      </c>
      <c r="B444" t="s">
        <v>535</v>
      </c>
      <c r="C444">
        <v>78.5</v>
      </c>
    </row>
    <row r="445" spans="1:3">
      <c r="A445" t="s">
        <v>528</v>
      </c>
      <c r="B445" t="s">
        <v>536</v>
      </c>
      <c r="C445">
        <v>76.64</v>
      </c>
    </row>
    <row r="446" spans="1:3">
      <c r="A446" t="s">
        <v>528</v>
      </c>
      <c r="B446" t="s">
        <v>537</v>
      </c>
      <c r="C446">
        <v>85.53</v>
      </c>
    </row>
    <row r="447" spans="1:3">
      <c r="A447" t="s">
        <v>538</v>
      </c>
      <c r="B447" t="s">
        <v>539</v>
      </c>
      <c r="C447">
        <v>107.3</v>
      </c>
    </row>
    <row r="448" spans="1:3">
      <c r="A448" t="s">
        <v>538</v>
      </c>
      <c r="B448" t="s">
        <v>540</v>
      </c>
      <c r="C448">
        <v>104.27</v>
      </c>
    </row>
    <row r="449" spans="1:3">
      <c r="A449" t="s">
        <v>538</v>
      </c>
      <c r="B449" t="s">
        <v>541</v>
      </c>
      <c r="C449">
        <v>106.67</v>
      </c>
    </row>
    <row r="450" spans="1:3">
      <c r="A450" t="s">
        <v>538</v>
      </c>
      <c r="B450" t="s">
        <v>542</v>
      </c>
      <c r="C450">
        <v>100.93</v>
      </c>
    </row>
    <row r="451" spans="1:3">
      <c r="A451" t="s">
        <v>538</v>
      </c>
      <c r="B451" t="s">
        <v>543</v>
      </c>
      <c r="C451">
        <v>101.17</v>
      </c>
    </row>
    <row r="452" spans="1:3">
      <c r="A452" t="s">
        <v>538</v>
      </c>
      <c r="B452" t="s">
        <v>544</v>
      </c>
      <c r="C452">
        <v>101.77</v>
      </c>
    </row>
    <row r="453" spans="1:3">
      <c r="A453" t="s">
        <v>538</v>
      </c>
      <c r="B453" t="s">
        <v>545</v>
      </c>
      <c r="C453">
        <v>100.65</v>
      </c>
    </row>
    <row r="454" spans="1:3">
      <c r="A454" t="s">
        <v>538</v>
      </c>
      <c r="B454" t="s">
        <v>546</v>
      </c>
      <c r="C454">
        <v>101.98</v>
      </c>
    </row>
    <row r="455" spans="1:3">
      <c r="A455" t="s">
        <v>538</v>
      </c>
      <c r="B455" t="s">
        <v>547</v>
      </c>
      <c r="C455">
        <v>103.86</v>
      </c>
    </row>
    <row r="456" spans="1:3">
      <c r="A456" t="s">
        <v>538</v>
      </c>
      <c r="B456" t="s">
        <v>548</v>
      </c>
      <c r="C456">
        <v>103.66</v>
      </c>
    </row>
    <row r="457" spans="1:3">
      <c r="A457" t="s">
        <v>538</v>
      </c>
      <c r="B457" t="s">
        <v>549</v>
      </c>
      <c r="C457">
        <v>112.48</v>
      </c>
    </row>
    <row r="458" spans="1:3">
      <c r="A458" t="s">
        <v>538</v>
      </c>
      <c r="B458" t="s">
        <v>550</v>
      </c>
      <c r="C458">
        <v>105.59</v>
      </c>
    </row>
    <row r="459" spans="1:3">
      <c r="A459" t="s">
        <v>551</v>
      </c>
      <c r="B459" t="s">
        <v>552</v>
      </c>
      <c r="C459">
        <v>92.72</v>
      </c>
    </row>
    <row r="460" spans="1:3">
      <c r="A460" t="s">
        <v>551</v>
      </c>
      <c r="B460" t="s">
        <v>453</v>
      </c>
      <c r="C460">
        <v>94.59</v>
      </c>
    </row>
    <row r="461" spans="1:3">
      <c r="A461" t="s">
        <v>551</v>
      </c>
      <c r="B461" t="s">
        <v>553</v>
      </c>
      <c r="C461">
        <v>83.73</v>
      </c>
    </row>
    <row r="462" spans="1:3">
      <c r="A462" t="s">
        <v>551</v>
      </c>
      <c r="B462" t="s">
        <v>554</v>
      </c>
      <c r="C462">
        <v>85.79</v>
      </c>
    </row>
    <row r="463" spans="1:3">
      <c r="A463" t="s">
        <v>551</v>
      </c>
      <c r="B463" t="s">
        <v>555</v>
      </c>
      <c r="C463">
        <v>89.23</v>
      </c>
    </row>
    <row r="464" spans="1:3">
      <c r="A464" t="s">
        <v>551</v>
      </c>
      <c r="B464" t="s">
        <v>556</v>
      </c>
      <c r="C464">
        <v>89.74</v>
      </c>
    </row>
    <row r="465" spans="1:3">
      <c r="A465" t="s">
        <v>551</v>
      </c>
      <c r="B465" t="s">
        <v>557</v>
      </c>
      <c r="C465">
        <v>85.58</v>
      </c>
    </row>
    <row r="466" spans="1:3">
      <c r="A466" t="s">
        <v>551</v>
      </c>
      <c r="B466" t="s">
        <v>558</v>
      </c>
      <c r="C466">
        <v>88</v>
      </c>
    </row>
    <row r="467" spans="1:3">
      <c r="A467" t="s">
        <v>551</v>
      </c>
      <c r="B467" t="s">
        <v>559</v>
      </c>
      <c r="C467">
        <v>92.1</v>
      </c>
    </row>
    <row r="468" spans="1:3">
      <c r="A468" t="s">
        <v>551</v>
      </c>
      <c r="B468" t="s">
        <v>560</v>
      </c>
      <c r="C468">
        <v>80.45</v>
      </c>
    </row>
    <row r="469" spans="1:3">
      <c r="A469" t="s">
        <v>551</v>
      </c>
      <c r="B469" t="s">
        <v>561</v>
      </c>
      <c r="C469">
        <v>91.84</v>
      </c>
    </row>
    <row r="470" spans="1:3">
      <c r="A470" t="s">
        <v>551</v>
      </c>
      <c r="B470" t="s">
        <v>562</v>
      </c>
      <c r="C470">
        <v>89.93</v>
      </c>
    </row>
    <row r="471" spans="1:3">
      <c r="A471" t="s">
        <v>551</v>
      </c>
      <c r="B471" t="s">
        <v>456</v>
      </c>
      <c r="C471">
        <v>119.14</v>
      </c>
    </row>
    <row r="472" spans="1:3">
      <c r="A472" t="s">
        <v>551</v>
      </c>
      <c r="B472" t="s">
        <v>563</v>
      </c>
      <c r="C472">
        <v>86.07</v>
      </c>
    </row>
    <row r="473" spans="1:3">
      <c r="A473" t="s">
        <v>551</v>
      </c>
      <c r="B473" t="s">
        <v>360</v>
      </c>
      <c r="C473">
        <v>98.7</v>
      </c>
    </row>
    <row r="474" spans="1:3">
      <c r="A474" t="s">
        <v>551</v>
      </c>
      <c r="B474" t="s">
        <v>564</v>
      </c>
      <c r="C474">
        <v>91.84</v>
      </c>
    </row>
    <row r="475" spans="1:3">
      <c r="A475" t="s">
        <v>551</v>
      </c>
      <c r="B475" t="s">
        <v>565</v>
      </c>
      <c r="C475">
        <v>92.71</v>
      </c>
    </row>
    <row r="476" spans="1:3">
      <c r="A476" t="s">
        <v>551</v>
      </c>
      <c r="B476" t="s">
        <v>566</v>
      </c>
      <c r="C476">
        <v>89.04</v>
      </c>
    </row>
    <row r="477" spans="1:3">
      <c r="A477" t="s">
        <v>551</v>
      </c>
      <c r="B477" t="s">
        <v>567</v>
      </c>
      <c r="C477">
        <v>86.43</v>
      </c>
    </row>
    <row r="478" spans="1:3">
      <c r="A478" t="s">
        <v>551</v>
      </c>
      <c r="B478" t="s">
        <v>568</v>
      </c>
      <c r="C478">
        <v>90.09</v>
      </c>
    </row>
    <row r="479" spans="1:3">
      <c r="A479" t="s">
        <v>551</v>
      </c>
      <c r="B479" t="s">
        <v>569</v>
      </c>
      <c r="C479">
        <v>85.45</v>
      </c>
    </row>
    <row r="480" spans="1:3">
      <c r="A480" t="s">
        <v>551</v>
      </c>
      <c r="B480" t="s">
        <v>570</v>
      </c>
      <c r="C480">
        <v>88.96</v>
      </c>
    </row>
    <row r="481" spans="1:3">
      <c r="A481" t="s">
        <v>551</v>
      </c>
      <c r="B481" t="s">
        <v>571</v>
      </c>
      <c r="C481">
        <v>89.98</v>
      </c>
    </row>
    <row r="482" spans="1:3">
      <c r="A482" t="s">
        <v>551</v>
      </c>
      <c r="B482" t="s">
        <v>527</v>
      </c>
      <c r="C482">
        <v>85.56</v>
      </c>
    </row>
    <row r="483" spans="1:3">
      <c r="A483" t="s">
        <v>572</v>
      </c>
      <c r="B483" t="s">
        <v>573</v>
      </c>
      <c r="C483">
        <v>63.17</v>
      </c>
    </row>
    <row r="484" spans="1:3">
      <c r="A484" t="s">
        <v>572</v>
      </c>
      <c r="B484" t="s">
        <v>574</v>
      </c>
      <c r="C484">
        <v>60.43</v>
      </c>
    </row>
    <row r="485" spans="1:3">
      <c r="A485" t="s">
        <v>572</v>
      </c>
      <c r="B485" t="s">
        <v>575</v>
      </c>
      <c r="C485">
        <v>62.47</v>
      </c>
    </row>
    <row r="486" spans="1:3">
      <c r="A486" t="s">
        <v>572</v>
      </c>
      <c r="B486" t="s">
        <v>576</v>
      </c>
      <c r="C486">
        <v>62.81</v>
      </c>
    </row>
    <row r="487" spans="1:3">
      <c r="A487" t="s">
        <v>572</v>
      </c>
      <c r="B487" t="s">
        <v>577</v>
      </c>
      <c r="C487">
        <v>60.96</v>
      </c>
    </row>
    <row r="488" spans="1:3">
      <c r="A488" t="s">
        <v>572</v>
      </c>
      <c r="B488" t="s">
        <v>578</v>
      </c>
      <c r="C488">
        <v>61.34</v>
      </c>
    </row>
    <row r="489" spans="1:3">
      <c r="A489" t="s">
        <v>572</v>
      </c>
      <c r="B489" t="s">
        <v>579</v>
      </c>
      <c r="C489">
        <v>64.91</v>
      </c>
    </row>
    <row r="490" spans="1:3">
      <c r="A490" t="s">
        <v>572</v>
      </c>
      <c r="B490" t="s">
        <v>580</v>
      </c>
      <c r="C490">
        <v>59.5</v>
      </c>
    </row>
    <row r="491" spans="1:3">
      <c r="A491" t="s">
        <v>572</v>
      </c>
      <c r="B491" t="s">
        <v>581</v>
      </c>
      <c r="C491">
        <v>63.95</v>
      </c>
    </row>
    <row r="492" spans="1:3">
      <c r="A492" t="s">
        <v>582</v>
      </c>
      <c r="B492" t="s">
        <v>583</v>
      </c>
      <c r="C492">
        <v>106.66</v>
      </c>
    </row>
    <row r="493" spans="1:3">
      <c r="A493" t="s">
        <v>582</v>
      </c>
      <c r="B493" t="s">
        <v>181</v>
      </c>
      <c r="C493">
        <v>109.27</v>
      </c>
    </row>
    <row r="494" spans="1:3">
      <c r="A494" t="s">
        <v>582</v>
      </c>
      <c r="B494" t="s">
        <v>370</v>
      </c>
      <c r="C494">
        <v>106.91</v>
      </c>
    </row>
    <row r="495" spans="1:3">
      <c r="A495" t="s">
        <v>584</v>
      </c>
      <c r="B495" t="s">
        <v>585</v>
      </c>
      <c r="C495">
        <v>84.45</v>
      </c>
    </row>
    <row r="496" spans="1:3">
      <c r="A496" t="s">
        <v>584</v>
      </c>
      <c r="B496" t="s">
        <v>224</v>
      </c>
      <c r="C496">
        <v>82.78</v>
      </c>
    </row>
    <row r="497" spans="1:3">
      <c r="A497" t="s">
        <v>584</v>
      </c>
      <c r="B497" t="s">
        <v>586</v>
      </c>
      <c r="C497">
        <v>89.14</v>
      </c>
    </row>
    <row r="498" spans="1:3">
      <c r="A498" t="s">
        <v>584</v>
      </c>
      <c r="B498" t="s">
        <v>486</v>
      </c>
      <c r="C498">
        <v>93.04</v>
      </c>
    </row>
    <row r="499" spans="1:3">
      <c r="A499" t="s">
        <v>584</v>
      </c>
      <c r="B499" t="s">
        <v>587</v>
      </c>
      <c r="C499">
        <v>83.26</v>
      </c>
    </row>
    <row r="500" spans="1:3">
      <c r="A500" t="s">
        <v>584</v>
      </c>
      <c r="B500" t="s">
        <v>588</v>
      </c>
      <c r="C500">
        <v>80.47</v>
      </c>
    </row>
    <row r="501" spans="1:3">
      <c r="A501" t="s">
        <v>584</v>
      </c>
      <c r="B501" t="s">
        <v>589</v>
      </c>
      <c r="C501">
        <v>84.83</v>
      </c>
    </row>
    <row r="502" spans="1:3">
      <c r="A502" t="s">
        <v>584</v>
      </c>
      <c r="B502" t="s">
        <v>590</v>
      </c>
      <c r="C502">
        <v>87.13</v>
      </c>
    </row>
    <row r="503" spans="1:3">
      <c r="A503" t="s">
        <v>584</v>
      </c>
      <c r="B503" t="s">
        <v>494</v>
      </c>
      <c r="C503">
        <v>81.17</v>
      </c>
    </row>
    <row r="504" spans="1:3">
      <c r="A504" t="s">
        <v>584</v>
      </c>
      <c r="B504" t="s">
        <v>591</v>
      </c>
      <c r="C504">
        <v>85.84</v>
      </c>
    </row>
    <row r="505" spans="1:3">
      <c r="A505" t="s">
        <v>584</v>
      </c>
      <c r="B505" t="s">
        <v>592</v>
      </c>
      <c r="C505">
        <v>78.84</v>
      </c>
    </row>
    <row r="506" spans="1:3">
      <c r="A506" t="s">
        <v>584</v>
      </c>
      <c r="B506" t="s">
        <v>593</v>
      </c>
      <c r="C506">
        <v>80.11</v>
      </c>
    </row>
    <row r="507" spans="1:3">
      <c r="A507" t="s">
        <v>584</v>
      </c>
      <c r="B507" t="s">
        <v>594</v>
      </c>
      <c r="C507">
        <v>78.290000000000006</v>
      </c>
    </row>
    <row r="508" spans="1:3">
      <c r="A508" t="s">
        <v>584</v>
      </c>
      <c r="B508" t="s">
        <v>595</v>
      </c>
      <c r="C508">
        <v>78.89</v>
      </c>
    </row>
    <row r="509" spans="1:3">
      <c r="A509" t="s">
        <v>596</v>
      </c>
      <c r="B509" t="s">
        <v>597</v>
      </c>
      <c r="C509">
        <v>91.37</v>
      </c>
    </row>
    <row r="510" spans="1:3">
      <c r="A510" t="s">
        <v>596</v>
      </c>
      <c r="B510" t="s">
        <v>598</v>
      </c>
      <c r="C510">
        <v>90.56</v>
      </c>
    </row>
    <row r="511" spans="1:3">
      <c r="A511" t="s">
        <v>596</v>
      </c>
      <c r="B511" t="s">
        <v>599</v>
      </c>
      <c r="C511">
        <v>90.16</v>
      </c>
    </row>
    <row r="512" spans="1:3">
      <c r="A512" t="s">
        <v>596</v>
      </c>
      <c r="B512" t="s">
        <v>305</v>
      </c>
      <c r="C512">
        <v>92.47</v>
      </c>
    </row>
    <row r="513" spans="1:3">
      <c r="A513" t="s">
        <v>596</v>
      </c>
      <c r="B513" t="s">
        <v>600</v>
      </c>
      <c r="C513">
        <v>93.42</v>
      </c>
    </row>
    <row r="514" spans="1:3">
      <c r="A514" t="s">
        <v>596</v>
      </c>
      <c r="B514" t="s">
        <v>601</v>
      </c>
      <c r="C514">
        <v>89.25</v>
      </c>
    </row>
    <row r="515" spans="1:3">
      <c r="A515" t="s">
        <v>602</v>
      </c>
      <c r="B515" t="s">
        <v>603</v>
      </c>
      <c r="C515">
        <v>89.13</v>
      </c>
    </row>
    <row r="516" spans="1:3">
      <c r="A516" t="s">
        <v>602</v>
      </c>
      <c r="B516" t="s">
        <v>226</v>
      </c>
      <c r="C516">
        <v>86.06</v>
      </c>
    </row>
    <row r="517" spans="1:3">
      <c r="A517" t="s">
        <v>602</v>
      </c>
      <c r="B517" t="s">
        <v>322</v>
      </c>
      <c r="C517">
        <v>84.55</v>
      </c>
    </row>
    <row r="518" spans="1:3">
      <c r="A518" t="s">
        <v>602</v>
      </c>
      <c r="B518" t="s">
        <v>604</v>
      </c>
      <c r="C518">
        <v>83.54</v>
      </c>
    </row>
    <row r="519" spans="1:3">
      <c r="A519" t="s">
        <v>602</v>
      </c>
      <c r="B519" t="s">
        <v>605</v>
      </c>
      <c r="C519">
        <v>84.93</v>
      </c>
    </row>
    <row r="520" spans="1:3">
      <c r="A520" t="s">
        <v>602</v>
      </c>
      <c r="B520" t="s">
        <v>606</v>
      </c>
      <c r="C520">
        <v>82.79</v>
      </c>
    </row>
    <row r="521" spans="1:3">
      <c r="A521" t="s">
        <v>602</v>
      </c>
      <c r="B521" t="s">
        <v>607</v>
      </c>
      <c r="C521">
        <v>86.27</v>
      </c>
    </row>
    <row r="522" spans="1:3">
      <c r="A522" t="s">
        <v>602</v>
      </c>
      <c r="B522" t="s">
        <v>608</v>
      </c>
      <c r="C522">
        <v>87.84</v>
      </c>
    </row>
    <row r="523" spans="1:3">
      <c r="A523" t="s">
        <v>602</v>
      </c>
      <c r="B523" t="s">
        <v>125</v>
      </c>
      <c r="C523">
        <v>87.89</v>
      </c>
    </row>
    <row r="524" spans="1:3">
      <c r="A524" t="s">
        <v>602</v>
      </c>
      <c r="B524" t="s">
        <v>609</v>
      </c>
      <c r="C524">
        <v>82.48</v>
      </c>
    </row>
    <row r="525" spans="1:3">
      <c r="A525" t="s">
        <v>602</v>
      </c>
      <c r="B525" t="s">
        <v>610</v>
      </c>
      <c r="C525">
        <v>95.42</v>
      </c>
    </row>
    <row r="526" spans="1:3">
      <c r="A526" t="s">
        <v>602</v>
      </c>
      <c r="B526" t="s">
        <v>611</v>
      </c>
      <c r="C526">
        <v>82.35</v>
      </c>
    </row>
    <row r="527" spans="1:3">
      <c r="A527" t="s">
        <v>602</v>
      </c>
      <c r="B527" t="s">
        <v>612</v>
      </c>
      <c r="C527">
        <v>81.94</v>
      </c>
    </row>
    <row r="528" spans="1:3">
      <c r="A528" t="s">
        <v>602</v>
      </c>
      <c r="B528" t="s">
        <v>613</v>
      </c>
      <c r="C528">
        <v>84.27</v>
      </c>
    </row>
    <row r="529" spans="1:3">
      <c r="A529" t="s">
        <v>602</v>
      </c>
      <c r="B529" t="s">
        <v>614</v>
      </c>
      <c r="C529">
        <v>82.35</v>
      </c>
    </row>
    <row r="530" spans="1:3">
      <c r="A530" t="s">
        <v>615</v>
      </c>
      <c r="B530" t="s">
        <v>616</v>
      </c>
      <c r="C530">
        <v>86.84</v>
      </c>
    </row>
    <row r="531" spans="1:3">
      <c r="A531" t="s">
        <v>615</v>
      </c>
      <c r="B531" t="s">
        <v>617</v>
      </c>
      <c r="C531">
        <v>80.709999999999994</v>
      </c>
    </row>
    <row r="532" spans="1:3">
      <c r="A532" t="s">
        <v>615</v>
      </c>
      <c r="B532" t="s">
        <v>618</v>
      </c>
      <c r="C532">
        <v>82.62</v>
      </c>
    </row>
    <row r="533" spans="1:3">
      <c r="A533" t="s">
        <v>615</v>
      </c>
      <c r="B533" t="s">
        <v>619</v>
      </c>
      <c r="C533">
        <v>94.51</v>
      </c>
    </row>
    <row r="534" spans="1:3">
      <c r="A534" t="s">
        <v>615</v>
      </c>
      <c r="B534" t="s">
        <v>620</v>
      </c>
      <c r="C534">
        <v>82.39</v>
      </c>
    </row>
    <row r="535" spans="1:3">
      <c r="A535" t="s">
        <v>615</v>
      </c>
      <c r="B535" t="s">
        <v>621</v>
      </c>
      <c r="C535">
        <v>80.430000000000007</v>
      </c>
    </row>
    <row r="536" spans="1:3">
      <c r="A536" t="s">
        <v>615</v>
      </c>
      <c r="B536" t="s">
        <v>622</v>
      </c>
      <c r="C536">
        <v>79.739999999999995</v>
      </c>
    </row>
    <row r="537" spans="1:3">
      <c r="A537" t="s">
        <v>615</v>
      </c>
      <c r="B537" t="s">
        <v>623</v>
      </c>
      <c r="C537">
        <v>74.06</v>
      </c>
    </row>
    <row r="538" spans="1:3">
      <c r="A538" t="s">
        <v>615</v>
      </c>
      <c r="B538" t="s">
        <v>624</v>
      </c>
      <c r="C538">
        <v>78.989999999999995</v>
      </c>
    </row>
    <row r="539" spans="1:3">
      <c r="A539" t="s">
        <v>615</v>
      </c>
      <c r="B539" t="s">
        <v>625</v>
      </c>
      <c r="C539">
        <v>83.42</v>
      </c>
    </row>
    <row r="540" spans="1:3">
      <c r="A540" t="s">
        <v>615</v>
      </c>
      <c r="B540" t="s">
        <v>626</v>
      </c>
      <c r="C540">
        <v>81.849999999999994</v>
      </c>
    </row>
    <row r="541" spans="1:3">
      <c r="A541" t="s">
        <v>615</v>
      </c>
      <c r="B541" t="s">
        <v>627</v>
      </c>
      <c r="C541">
        <v>92.18</v>
      </c>
    </row>
    <row r="542" spans="1:3">
      <c r="A542" t="s">
        <v>615</v>
      </c>
      <c r="B542" t="s">
        <v>628</v>
      </c>
      <c r="C542">
        <v>74.72</v>
      </c>
    </row>
    <row r="543" spans="1:3">
      <c r="A543" t="s">
        <v>615</v>
      </c>
      <c r="B543" t="s">
        <v>629</v>
      </c>
      <c r="C543">
        <v>82.07</v>
      </c>
    </row>
    <row r="544" spans="1:3">
      <c r="A544" t="s">
        <v>615</v>
      </c>
      <c r="B544" t="s">
        <v>630</v>
      </c>
      <c r="C544">
        <v>87.01</v>
      </c>
    </row>
    <row r="545" spans="1:3">
      <c r="A545" t="s">
        <v>615</v>
      </c>
      <c r="B545" t="s">
        <v>631</v>
      </c>
      <c r="C545">
        <v>82.46</v>
      </c>
    </row>
    <row r="546" spans="1:3">
      <c r="A546" t="s">
        <v>615</v>
      </c>
      <c r="B546" t="s">
        <v>632</v>
      </c>
      <c r="C546">
        <v>73.099999999999994</v>
      </c>
    </row>
    <row r="547" spans="1:3">
      <c r="A547" t="s">
        <v>615</v>
      </c>
      <c r="B547" t="s">
        <v>633</v>
      </c>
      <c r="C547">
        <v>79.569999999999993</v>
      </c>
    </row>
    <row r="548" spans="1:3">
      <c r="A548" t="s">
        <v>615</v>
      </c>
      <c r="B548" t="s">
        <v>634</v>
      </c>
      <c r="C548">
        <v>80.58</v>
      </c>
    </row>
    <row r="549" spans="1:3">
      <c r="A549" t="s">
        <v>615</v>
      </c>
      <c r="B549" t="s">
        <v>635</v>
      </c>
      <c r="C549">
        <v>73.36</v>
      </c>
    </row>
    <row r="550" spans="1:3">
      <c r="A550" t="s">
        <v>615</v>
      </c>
      <c r="B550" t="s">
        <v>636</v>
      </c>
      <c r="C550">
        <v>92.59</v>
      </c>
    </row>
    <row r="551" spans="1:3">
      <c r="A551" t="s">
        <v>615</v>
      </c>
      <c r="B551" t="s">
        <v>637</v>
      </c>
      <c r="C551">
        <v>81.3</v>
      </c>
    </row>
    <row r="552" spans="1:3">
      <c r="A552" t="s">
        <v>615</v>
      </c>
      <c r="B552" t="s">
        <v>638</v>
      </c>
      <c r="C552">
        <v>88.11</v>
      </c>
    </row>
    <row r="553" spans="1:3">
      <c r="A553" t="s">
        <v>615</v>
      </c>
      <c r="B553" t="s">
        <v>639</v>
      </c>
      <c r="C553">
        <v>80.34</v>
      </c>
    </row>
    <row r="554" spans="1:3">
      <c r="A554" t="s">
        <v>615</v>
      </c>
      <c r="B554" t="s">
        <v>640</v>
      </c>
      <c r="C554">
        <v>87.24</v>
      </c>
    </row>
    <row r="555" spans="1:3">
      <c r="A555" t="s">
        <v>615</v>
      </c>
      <c r="B555" t="s">
        <v>641</v>
      </c>
      <c r="C555">
        <v>83.27</v>
      </c>
    </row>
    <row r="556" spans="1:3">
      <c r="A556" t="s">
        <v>615</v>
      </c>
      <c r="B556" t="s">
        <v>129</v>
      </c>
      <c r="C556">
        <v>79.569999999999993</v>
      </c>
    </row>
    <row r="557" spans="1:3">
      <c r="A557" t="s">
        <v>615</v>
      </c>
      <c r="B557" t="s">
        <v>642</v>
      </c>
      <c r="C557">
        <v>80.03</v>
      </c>
    </row>
    <row r="558" spans="1:3">
      <c r="A558" t="s">
        <v>615</v>
      </c>
      <c r="B558" t="s">
        <v>643</v>
      </c>
      <c r="C558">
        <v>81.17</v>
      </c>
    </row>
    <row r="559" spans="1:3">
      <c r="A559" t="s">
        <v>615</v>
      </c>
      <c r="B559" t="s">
        <v>644</v>
      </c>
      <c r="C559">
        <v>83.66</v>
      </c>
    </row>
    <row r="560" spans="1:3">
      <c r="A560" t="s">
        <v>615</v>
      </c>
      <c r="B560" t="s">
        <v>645</v>
      </c>
      <c r="C560">
        <v>82.25</v>
      </c>
    </row>
    <row r="561" spans="1:3">
      <c r="A561" t="s">
        <v>615</v>
      </c>
      <c r="B561" t="s">
        <v>646</v>
      </c>
      <c r="C561">
        <v>77.59</v>
      </c>
    </row>
    <row r="562" spans="1:3">
      <c r="A562" t="s">
        <v>647</v>
      </c>
      <c r="B562" t="s">
        <v>648</v>
      </c>
      <c r="C562">
        <v>96.48</v>
      </c>
    </row>
    <row r="563" spans="1:3">
      <c r="A563" t="s">
        <v>647</v>
      </c>
      <c r="B563" t="s">
        <v>649</v>
      </c>
      <c r="C563">
        <v>91.69</v>
      </c>
    </row>
    <row r="564" spans="1:3">
      <c r="A564" t="s">
        <v>647</v>
      </c>
      <c r="B564" t="s">
        <v>650</v>
      </c>
      <c r="C564">
        <v>97.91</v>
      </c>
    </row>
    <row r="565" spans="1:3">
      <c r="A565" t="s">
        <v>647</v>
      </c>
      <c r="B565" t="s">
        <v>252</v>
      </c>
      <c r="C565">
        <v>89.07</v>
      </c>
    </row>
    <row r="566" spans="1:3">
      <c r="A566" t="s">
        <v>647</v>
      </c>
      <c r="B566" t="s">
        <v>651</v>
      </c>
      <c r="C566">
        <v>94.88</v>
      </c>
    </row>
    <row r="567" spans="1:3">
      <c r="A567" t="s">
        <v>647</v>
      </c>
      <c r="B567" t="s">
        <v>652</v>
      </c>
      <c r="C567">
        <v>94.83</v>
      </c>
    </row>
    <row r="568" spans="1:3">
      <c r="A568" t="s">
        <v>647</v>
      </c>
      <c r="B568" t="s">
        <v>653</v>
      </c>
      <c r="C568">
        <v>99.05</v>
      </c>
    </row>
    <row r="569" spans="1:3">
      <c r="A569" t="s">
        <v>647</v>
      </c>
      <c r="B569" t="s">
        <v>654</v>
      </c>
      <c r="C569">
        <v>93.94</v>
      </c>
    </row>
    <row r="570" spans="1:3">
      <c r="A570" t="s">
        <v>655</v>
      </c>
      <c r="B570" t="s">
        <v>656</v>
      </c>
      <c r="C570">
        <v>112.69</v>
      </c>
    </row>
    <row r="571" spans="1:3">
      <c r="A571" t="s">
        <v>655</v>
      </c>
      <c r="B571" t="s">
        <v>657</v>
      </c>
      <c r="C571">
        <v>115.39</v>
      </c>
    </row>
    <row r="572" spans="1:3">
      <c r="A572" t="s">
        <v>655</v>
      </c>
      <c r="B572" t="s">
        <v>658</v>
      </c>
      <c r="C572">
        <v>112.24</v>
      </c>
    </row>
    <row r="573" spans="1:3">
      <c r="A573" t="s">
        <v>655</v>
      </c>
      <c r="B573" t="s">
        <v>659</v>
      </c>
      <c r="C573">
        <v>113.04</v>
      </c>
    </row>
    <row r="574" spans="1:3">
      <c r="A574" t="s">
        <v>660</v>
      </c>
      <c r="B574" t="s">
        <v>661</v>
      </c>
      <c r="C574">
        <v>93.91</v>
      </c>
    </row>
    <row r="575" spans="1:3">
      <c r="A575" t="s">
        <v>662</v>
      </c>
      <c r="B575" t="s">
        <v>663</v>
      </c>
      <c r="C575">
        <v>98.49</v>
      </c>
    </row>
    <row r="576" spans="1:3">
      <c r="A576" t="s">
        <v>662</v>
      </c>
      <c r="B576" t="s">
        <v>664</v>
      </c>
      <c r="C576">
        <v>91.22</v>
      </c>
    </row>
    <row r="577" spans="1:3">
      <c r="A577" t="s">
        <v>662</v>
      </c>
      <c r="B577" t="s">
        <v>665</v>
      </c>
      <c r="C577">
        <v>98.43</v>
      </c>
    </row>
    <row r="578" spans="1:3">
      <c r="A578" t="s">
        <v>662</v>
      </c>
      <c r="B578" t="s">
        <v>666</v>
      </c>
      <c r="C578">
        <v>93.78</v>
      </c>
    </row>
    <row r="579" spans="1:3">
      <c r="A579" t="s">
        <v>662</v>
      </c>
      <c r="B579" t="s">
        <v>607</v>
      </c>
      <c r="C579">
        <v>86.27</v>
      </c>
    </row>
    <row r="580" spans="1:3">
      <c r="A580" t="s">
        <v>662</v>
      </c>
      <c r="B580" t="s">
        <v>667</v>
      </c>
      <c r="C580">
        <v>88.69</v>
      </c>
    </row>
    <row r="581" spans="1:3">
      <c r="A581" t="s">
        <v>662</v>
      </c>
      <c r="B581" t="s">
        <v>668</v>
      </c>
      <c r="C581">
        <v>89.09</v>
      </c>
    </row>
    <row r="582" spans="1:3">
      <c r="A582" t="s">
        <v>662</v>
      </c>
      <c r="B582" t="s">
        <v>669</v>
      </c>
      <c r="C582">
        <v>91.46</v>
      </c>
    </row>
    <row r="583" spans="1:3">
      <c r="A583" t="s">
        <v>662</v>
      </c>
      <c r="B583" t="s">
        <v>670</v>
      </c>
      <c r="C583">
        <v>96.34</v>
      </c>
    </row>
    <row r="584" spans="1:3">
      <c r="A584" t="s">
        <v>662</v>
      </c>
      <c r="B584" t="s">
        <v>671</v>
      </c>
      <c r="C584">
        <v>89.77</v>
      </c>
    </row>
    <row r="585" spans="1:3">
      <c r="A585" t="s">
        <v>662</v>
      </c>
      <c r="B585" t="s">
        <v>672</v>
      </c>
      <c r="C585">
        <v>89.07</v>
      </c>
    </row>
    <row r="586" spans="1:3">
      <c r="A586" t="s">
        <v>662</v>
      </c>
      <c r="B586" t="s">
        <v>673</v>
      </c>
      <c r="C586">
        <v>87.64</v>
      </c>
    </row>
    <row r="587" spans="1:3">
      <c r="A587" t="s">
        <v>662</v>
      </c>
      <c r="B587" t="s">
        <v>674</v>
      </c>
      <c r="C587">
        <v>91.62</v>
      </c>
    </row>
    <row r="588" spans="1:3">
      <c r="A588" t="s">
        <v>662</v>
      </c>
      <c r="B588" t="s">
        <v>499</v>
      </c>
      <c r="C588">
        <v>92.41</v>
      </c>
    </row>
    <row r="589" spans="1:3">
      <c r="A589" t="s">
        <v>662</v>
      </c>
      <c r="B589" t="s">
        <v>675</v>
      </c>
      <c r="C589">
        <v>93.36</v>
      </c>
    </row>
    <row r="590" spans="1:3">
      <c r="A590" t="s">
        <v>662</v>
      </c>
      <c r="B590" t="s">
        <v>192</v>
      </c>
      <c r="C590">
        <v>112.35</v>
      </c>
    </row>
    <row r="591" spans="1:3">
      <c r="A591" t="s">
        <v>676</v>
      </c>
      <c r="B591" t="s">
        <v>677</v>
      </c>
      <c r="C591">
        <v>124.25</v>
      </c>
    </row>
    <row r="592" spans="1:3">
      <c r="A592" t="s">
        <v>676</v>
      </c>
      <c r="B592" t="s">
        <v>678</v>
      </c>
      <c r="C592">
        <v>118.52</v>
      </c>
    </row>
    <row r="593" spans="1:3">
      <c r="A593" t="s">
        <v>676</v>
      </c>
      <c r="B593" t="s">
        <v>679</v>
      </c>
      <c r="C593">
        <v>120.86</v>
      </c>
    </row>
    <row r="594" spans="1:3">
      <c r="A594" t="s">
        <v>676</v>
      </c>
      <c r="B594" t="s">
        <v>680</v>
      </c>
      <c r="C594">
        <v>113.98</v>
      </c>
    </row>
    <row r="595" spans="1:3">
      <c r="A595" t="s">
        <v>676</v>
      </c>
      <c r="B595" t="s">
        <v>681</v>
      </c>
      <c r="C595">
        <v>118.9</v>
      </c>
    </row>
    <row r="596" spans="1:3">
      <c r="A596" t="s">
        <v>676</v>
      </c>
      <c r="B596" t="s">
        <v>251</v>
      </c>
      <c r="C596">
        <v>99.46</v>
      </c>
    </row>
    <row r="597" spans="1:3">
      <c r="A597" t="s">
        <v>676</v>
      </c>
      <c r="B597" t="s">
        <v>682</v>
      </c>
      <c r="C597">
        <v>115.93</v>
      </c>
    </row>
    <row r="598" spans="1:3">
      <c r="A598" t="s">
        <v>676</v>
      </c>
      <c r="B598" t="s">
        <v>683</v>
      </c>
      <c r="C598">
        <v>121.7</v>
      </c>
    </row>
    <row r="599" spans="1:3">
      <c r="A599" t="s">
        <v>676</v>
      </c>
      <c r="B599" t="s">
        <v>684</v>
      </c>
      <c r="C599">
        <v>119</v>
      </c>
    </row>
    <row r="600" spans="1:3">
      <c r="A600" t="s">
        <v>676</v>
      </c>
      <c r="B600" t="s">
        <v>549</v>
      </c>
      <c r="C600">
        <v>112.48</v>
      </c>
    </row>
    <row r="601" spans="1:3">
      <c r="A601" t="s">
        <v>676</v>
      </c>
      <c r="B601" t="s">
        <v>685</v>
      </c>
      <c r="C601">
        <v>130.41999999999999</v>
      </c>
    </row>
    <row r="602" spans="1:3">
      <c r="A602" t="s">
        <v>676</v>
      </c>
      <c r="B602" t="s">
        <v>686</v>
      </c>
      <c r="C602">
        <v>114.53</v>
      </c>
    </row>
    <row r="603" spans="1:3">
      <c r="A603" t="s">
        <v>676</v>
      </c>
      <c r="B603" t="s">
        <v>687</v>
      </c>
      <c r="C603">
        <v>112.2</v>
      </c>
    </row>
    <row r="604" spans="1:3">
      <c r="A604" t="s">
        <v>676</v>
      </c>
      <c r="B604" t="s">
        <v>688</v>
      </c>
      <c r="C604">
        <v>114.89</v>
      </c>
    </row>
    <row r="605" spans="1:3">
      <c r="A605" t="s">
        <v>676</v>
      </c>
      <c r="B605" t="s">
        <v>689</v>
      </c>
      <c r="C605">
        <v>116.8</v>
      </c>
    </row>
    <row r="606" spans="1:3">
      <c r="A606" t="s">
        <v>676</v>
      </c>
      <c r="B606" t="s">
        <v>690</v>
      </c>
      <c r="C606">
        <v>112.89</v>
      </c>
    </row>
    <row r="607" spans="1:3">
      <c r="A607" t="s">
        <v>691</v>
      </c>
      <c r="B607" t="s">
        <v>692</v>
      </c>
      <c r="C607">
        <v>82.03</v>
      </c>
    </row>
    <row r="608" spans="1:3">
      <c r="A608" t="s">
        <v>691</v>
      </c>
      <c r="B608" t="s">
        <v>693</v>
      </c>
      <c r="C608">
        <v>77.55</v>
      </c>
    </row>
    <row r="609" spans="1:3">
      <c r="A609" t="s">
        <v>691</v>
      </c>
      <c r="B609" t="s">
        <v>694</v>
      </c>
      <c r="C609">
        <v>80.8</v>
      </c>
    </row>
    <row r="610" spans="1:3">
      <c r="A610" t="s">
        <v>691</v>
      </c>
      <c r="B610" t="s">
        <v>357</v>
      </c>
      <c r="C610">
        <v>93.86</v>
      </c>
    </row>
    <row r="611" spans="1:3">
      <c r="A611" t="s">
        <v>691</v>
      </c>
      <c r="B611" t="s">
        <v>358</v>
      </c>
      <c r="C611">
        <v>93.74</v>
      </c>
    </row>
    <row r="612" spans="1:3">
      <c r="A612" t="s">
        <v>691</v>
      </c>
      <c r="B612" t="s">
        <v>325</v>
      </c>
      <c r="C612">
        <v>80.819999999999993</v>
      </c>
    </row>
    <row r="613" spans="1:3">
      <c r="A613" t="s">
        <v>691</v>
      </c>
      <c r="B613" t="s">
        <v>695</v>
      </c>
      <c r="C613">
        <v>83.79</v>
      </c>
    </row>
    <row r="614" spans="1:3">
      <c r="A614" t="s">
        <v>691</v>
      </c>
      <c r="B614" t="s">
        <v>696</v>
      </c>
      <c r="C614">
        <v>78.790000000000006</v>
      </c>
    </row>
    <row r="615" spans="1:3">
      <c r="A615" t="s">
        <v>691</v>
      </c>
      <c r="B615" t="s">
        <v>697</v>
      </c>
      <c r="C615">
        <v>79.72</v>
      </c>
    </row>
    <row r="616" spans="1:3">
      <c r="A616" t="s">
        <v>691</v>
      </c>
      <c r="B616" t="s">
        <v>698</v>
      </c>
      <c r="C616">
        <v>80.400000000000006</v>
      </c>
    </row>
    <row r="617" spans="1:3">
      <c r="A617" t="s">
        <v>691</v>
      </c>
      <c r="B617" t="s">
        <v>699</v>
      </c>
      <c r="C617">
        <v>83.44</v>
      </c>
    </row>
    <row r="618" spans="1:3">
      <c r="A618" t="s">
        <v>691</v>
      </c>
      <c r="B618" t="s">
        <v>192</v>
      </c>
      <c r="C618">
        <v>112.35</v>
      </c>
    </row>
    <row r="619" spans="1:3">
      <c r="A619" t="s">
        <v>691</v>
      </c>
      <c r="B619" t="s">
        <v>526</v>
      </c>
      <c r="C619">
        <v>82.44</v>
      </c>
    </row>
    <row r="620" spans="1:3">
      <c r="A620" t="s">
        <v>691</v>
      </c>
      <c r="B620" t="s">
        <v>700</v>
      </c>
      <c r="C620">
        <v>93.36</v>
      </c>
    </row>
    <row r="621" spans="1:3">
      <c r="A621" t="s">
        <v>701</v>
      </c>
      <c r="B621" t="s">
        <v>702</v>
      </c>
      <c r="C621">
        <v>93.74</v>
      </c>
    </row>
    <row r="622" spans="1:3">
      <c r="A622" t="s">
        <v>701</v>
      </c>
      <c r="B622" t="s">
        <v>703</v>
      </c>
      <c r="C622">
        <v>93.28</v>
      </c>
    </row>
    <row r="623" spans="1:3">
      <c r="A623" t="s">
        <v>701</v>
      </c>
      <c r="B623" t="s">
        <v>263</v>
      </c>
      <c r="C623">
        <v>105.22</v>
      </c>
    </row>
    <row r="624" spans="1:3">
      <c r="A624" t="s">
        <v>701</v>
      </c>
      <c r="B624" t="s">
        <v>393</v>
      </c>
      <c r="C624">
        <v>95.75</v>
      </c>
    </row>
    <row r="625" spans="1:3">
      <c r="A625" t="s">
        <v>701</v>
      </c>
      <c r="B625" t="s">
        <v>704</v>
      </c>
      <c r="C625">
        <v>92.56</v>
      </c>
    </row>
    <row r="626" spans="1:3">
      <c r="A626" t="s">
        <v>701</v>
      </c>
      <c r="B626" t="s">
        <v>705</v>
      </c>
      <c r="C626">
        <v>91.49</v>
      </c>
    </row>
    <row r="627" spans="1:3">
      <c r="A627" t="s">
        <v>701</v>
      </c>
      <c r="B627" t="s">
        <v>706</v>
      </c>
      <c r="C627">
        <v>92.05</v>
      </c>
    </row>
    <row r="628" spans="1:3">
      <c r="A628" t="s">
        <v>701</v>
      </c>
      <c r="B628" t="s">
        <v>707</v>
      </c>
      <c r="C628">
        <v>91.44</v>
      </c>
    </row>
    <row r="629" spans="1:3">
      <c r="A629" t="s">
        <v>701</v>
      </c>
      <c r="B629" t="s">
        <v>396</v>
      </c>
      <c r="C629">
        <v>93.3</v>
      </c>
    </row>
    <row r="630" spans="1:3">
      <c r="A630" t="s">
        <v>701</v>
      </c>
      <c r="B630" t="s">
        <v>708</v>
      </c>
      <c r="C630">
        <v>97.29</v>
      </c>
    </row>
    <row r="631" spans="1:3">
      <c r="A631" t="s">
        <v>701</v>
      </c>
      <c r="B631" t="s">
        <v>709</v>
      </c>
      <c r="C631">
        <v>95.23</v>
      </c>
    </row>
    <row r="632" spans="1:3">
      <c r="A632" t="s">
        <v>701</v>
      </c>
      <c r="B632" t="s">
        <v>398</v>
      </c>
      <c r="C632">
        <v>103.93</v>
      </c>
    </row>
    <row r="633" spans="1:3">
      <c r="A633" t="s">
        <v>701</v>
      </c>
      <c r="B633" t="s">
        <v>710</v>
      </c>
      <c r="C633">
        <v>90.65</v>
      </c>
    </row>
    <row r="634" spans="1:3">
      <c r="A634" t="s">
        <v>701</v>
      </c>
      <c r="B634" t="s">
        <v>711</v>
      </c>
      <c r="C634">
        <v>90.9</v>
      </c>
    </row>
    <row r="635" spans="1:3">
      <c r="A635" t="s">
        <v>701</v>
      </c>
      <c r="B635" t="s">
        <v>712</v>
      </c>
      <c r="C635">
        <v>92.38</v>
      </c>
    </row>
    <row r="636" spans="1:3">
      <c r="A636" t="s">
        <v>701</v>
      </c>
      <c r="B636" t="s">
        <v>713</v>
      </c>
      <c r="C636">
        <v>92.94</v>
      </c>
    </row>
    <row r="637" spans="1:3">
      <c r="A637" t="s">
        <v>701</v>
      </c>
      <c r="B637" t="s">
        <v>714</v>
      </c>
      <c r="C637">
        <v>91.28</v>
      </c>
    </row>
    <row r="638" spans="1:3">
      <c r="A638" t="s">
        <v>701</v>
      </c>
      <c r="B638" t="s">
        <v>715</v>
      </c>
      <c r="C638">
        <v>91.69</v>
      </c>
    </row>
    <row r="639" spans="1:3">
      <c r="A639" t="s">
        <v>701</v>
      </c>
      <c r="B639" t="s">
        <v>716</v>
      </c>
      <c r="C639">
        <v>91.71</v>
      </c>
    </row>
    <row r="640" spans="1:3">
      <c r="A640" t="s">
        <v>701</v>
      </c>
      <c r="B640" t="s">
        <v>717</v>
      </c>
      <c r="C640">
        <v>89.64</v>
      </c>
    </row>
    <row r="641" spans="1:3">
      <c r="A641" t="s">
        <v>718</v>
      </c>
      <c r="B641" t="s">
        <v>719</v>
      </c>
      <c r="C641">
        <v>92.6</v>
      </c>
    </row>
    <row r="642" spans="1:3">
      <c r="A642" t="s">
        <v>718</v>
      </c>
      <c r="B642" t="s">
        <v>720</v>
      </c>
      <c r="C642">
        <v>89.86</v>
      </c>
    </row>
    <row r="643" spans="1:3">
      <c r="A643" t="s">
        <v>718</v>
      </c>
      <c r="B643" t="s">
        <v>721</v>
      </c>
      <c r="C643">
        <v>91.17</v>
      </c>
    </row>
    <row r="644" spans="1:3">
      <c r="A644" t="s">
        <v>718</v>
      </c>
      <c r="B644" t="s">
        <v>722</v>
      </c>
      <c r="C644">
        <v>90.84</v>
      </c>
    </row>
    <row r="645" spans="1:3">
      <c r="A645" t="s">
        <v>718</v>
      </c>
      <c r="B645" t="s">
        <v>723</v>
      </c>
      <c r="C645">
        <v>95.55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3DC7E-7480-46FA-8AC8-51EAE0B9A2C6}">
  <dimension ref="A1:B20"/>
  <sheetViews>
    <sheetView tabSelected="1" workbookViewId="0">
      <selection activeCell="H14" sqref="H14"/>
    </sheetView>
  </sheetViews>
  <sheetFormatPr defaultColWidth="8.7109375" defaultRowHeight="15"/>
  <cols>
    <col min="1" max="1" width="7.42578125" bestFit="1" customWidth="1"/>
    <col min="2" max="2" width="16" bestFit="1" customWidth="1"/>
  </cols>
  <sheetData>
    <row r="1" spans="1:2">
      <c r="A1" t="s">
        <v>724</v>
      </c>
      <c r="B1" t="s">
        <v>725</v>
      </c>
    </row>
    <row r="2" spans="1:2">
      <c r="A2">
        <v>2025</v>
      </c>
      <c r="B2">
        <v>6648.5011000000004</v>
      </c>
    </row>
    <row r="3" spans="1:2">
      <c r="A3">
        <v>2026</v>
      </c>
      <c r="B3">
        <v>19110.379700000001</v>
      </c>
    </row>
    <row r="4" spans="1:2">
      <c r="A4">
        <v>2027</v>
      </c>
      <c r="B4">
        <v>18668.313999999998</v>
      </c>
    </row>
    <row r="5" spans="1:2">
      <c r="A5">
        <v>2028</v>
      </c>
      <c r="B5">
        <v>18878.6842</v>
      </c>
    </row>
    <row r="6" spans="1:2">
      <c r="A6">
        <v>2029</v>
      </c>
      <c r="B6">
        <v>19478.078399999999</v>
      </c>
    </row>
    <row r="7" spans="1:2">
      <c r="A7">
        <v>2030</v>
      </c>
      <c r="B7">
        <v>26785.292799999999</v>
      </c>
    </row>
    <row r="8" spans="1:2">
      <c r="A8">
        <v>2031</v>
      </c>
      <c r="B8">
        <v>27534.2209</v>
      </c>
    </row>
    <row r="9" spans="1:2">
      <c r="A9">
        <v>2032</v>
      </c>
      <c r="B9">
        <v>27602.2307</v>
      </c>
    </row>
    <row r="10" spans="1:2">
      <c r="A10">
        <v>2033</v>
      </c>
      <c r="B10">
        <v>34385.538500000002</v>
      </c>
    </row>
    <row r="11" spans="1:2">
      <c r="A11">
        <v>2034</v>
      </c>
      <c r="B11">
        <v>19701.2906</v>
      </c>
    </row>
    <row r="12" spans="1:2">
      <c r="A12">
        <v>2035</v>
      </c>
      <c r="B12">
        <v>25837.6126</v>
      </c>
    </row>
    <row r="13" spans="1:2">
      <c r="A13">
        <v>2036</v>
      </c>
      <c r="B13">
        <v>25695.5877</v>
      </c>
    </row>
    <row r="14" spans="1:2">
      <c r="A14">
        <v>2037</v>
      </c>
      <c r="B14">
        <v>25510.5586</v>
      </c>
    </row>
    <row r="15" spans="1:2">
      <c r="A15">
        <v>2038</v>
      </c>
      <c r="B15">
        <v>25374.713500000002</v>
      </c>
    </row>
    <row r="16" spans="1:2">
      <c r="A16">
        <v>2039</v>
      </c>
      <c r="B16">
        <v>25102.897499999999</v>
      </c>
    </row>
    <row r="17" spans="1:2">
      <c r="A17">
        <v>2040</v>
      </c>
      <c r="B17">
        <v>24955.5232</v>
      </c>
    </row>
    <row r="18" spans="1:2">
      <c r="A18">
        <v>2041</v>
      </c>
      <c r="B18">
        <v>24597.2402</v>
      </c>
    </row>
    <row r="19" spans="1:2">
      <c r="A19">
        <v>2042</v>
      </c>
      <c r="B19">
        <v>24101.753000000001</v>
      </c>
    </row>
    <row r="20" spans="1:2">
      <c r="A20">
        <v>2043</v>
      </c>
      <c r="B20">
        <v>2406.8285999999998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46B52-FE96-40E3-B5CE-14EDE99915B4}">
  <dimension ref="A1:C44"/>
  <sheetViews>
    <sheetView zoomScaleNormal="80" workbookViewId="0">
      <selection activeCell="C8" sqref="C8"/>
    </sheetView>
  </sheetViews>
  <sheetFormatPr defaultColWidth="8.7109375" defaultRowHeight="15"/>
  <cols>
    <col min="1" max="1" width="23.7109375" bestFit="1" customWidth="1"/>
    <col min="2" max="2" width="33.140625" bestFit="1" customWidth="1"/>
    <col min="3" max="3" width="32.42578125" bestFit="1" customWidth="1"/>
  </cols>
  <sheetData>
    <row r="1" spans="1:3" ht="15.95">
      <c r="A1" s="13" t="s">
        <v>726</v>
      </c>
      <c r="B1" s="13" t="s">
        <v>727</v>
      </c>
      <c r="C1" s="13" t="s">
        <v>728</v>
      </c>
    </row>
    <row r="2" spans="1:3" ht="15.95">
      <c r="A2" s="13" t="s">
        <v>729</v>
      </c>
      <c r="B2" s="13" t="s">
        <v>730</v>
      </c>
      <c r="C2" s="13" t="s">
        <v>731</v>
      </c>
    </row>
    <row r="3" spans="1:3" ht="15.95">
      <c r="A3" s="13" t="s">
        <v>729</v>
      </c>
      <c r="B3" s="13" t="s">
        <v>732</v>
      </c>
      <c r="C3" s="13" t="s">
        <v>733</v>
      </c>
    </row>
    <row r="4" spans="1:3" ht="15.95">
      <c r="A4" s="13" t="s">
        <v>729</v>
      </c>
      <c r="B4" s="13" t="s">
        <v>734</v>
      </c>
      <c r="C4" s="13" t="s">
        <v>735</v>
      </c>
    </row>
    <row r="5" spans="1:3" ht="15.95">
      <c r="A5" s="13" t="s">
        <v>729</v>
      </c>
      <c r="B5" s="13" t="s">
        <v>736</v>
      </c>
      <c r="C5" s="13" t="s">
        <v>737</v>
      </c>
    </row>
    <row r="6" spans="1:3" ht="15.95">
      <c r="A6" s="13" t="s">
        <v>738</v>
      </c>
      <c r="B6" s="13" t="s">
        <v>739</v>
      </c>
      <c r="C6" s="13" t="s">
        <v>740</v>
      </c>
    </row>
    <row r="7" spans="1:3" ht="15.95">
      <c r="A7" s="13" t="s">
        <v>738</v>
      </c>
      <c r="B7" s="13" t="s">
        <v>741</v>
      </c>
      <c r="C7" s="13" t="s">
        <v>742</v>
      </c>
    </row>
    <row r="8" spans="1:3" ht="15.95">
      <c r="A8" s="13" t="s">
        <v>738</v>
      </c>
      <c r="B8" s="13" t="s">
        <v>743</v>
      </c>
      <c r="C8" s="13" t="s">
        <v>744</v>
      </c>
    </row>
    <row r="9" spans="1:3" ht="15.95">
      <c r="A9" s="13" t="s">
        <v>738</v>
      </c>
      <c r="B9" s="13" t="s">
        <v>745</v>
      </c>
      <c r="C9" s="13" t="s">
        <v>746</v>
      </c>
    </row>
    <row r="10" spans="1:3" ht="15.95">
      <c r="A10" s="13" t="s">
        <v>738</v>
      </c>
      <c r="B10" s="13" t="s">
        <v>747</v>
      </c>
      <c r="C10" s="13" t="s">
        <v>748</v>
      </c>
    </row>
    <row r="11" spans="1:3" ht="15.95">
      <c r="A11" s="13" t="s">
        <v>738</v>
      </c>
      <c r="B11" s="13" t="s">
        <v>749</v>
      </c>
      <c r="C11" s="13" t="s">
        <v>750</v>
      </c>
    </row>
    <row r="12" spans="1:3" ht="15.95">
      <c r="A12" s="13" t="s">
        <v>738</v>
      </c>
      <c r="B12" s="13" t="s">
        <v>751</v>
      </c>
      <c r="C12" s="13" t="s">
        <v>19</v>
      </c>
    </row>
    <row r="13" spans="1:3" ht="15.95">
      <c r="A13" s="13" t="s">
        <v>738</v>
      </c>
      <c r="B13" s="13" t="s">
        <v>752</v>
      </c>
      <c r="C13" s="13" t="s">
        <v>753</v>
      </c>
    </row>
    <row r="14" spans="1:3" ht="15.95">
      <c r="A14" s="13" t="s">
        <v>738</v>
      </c>
      <c r="B14" s="13" t="s">
        <v>754</v>
      </c>
      <c r="C14" s="13" t="s">
        <v>755</v>
      </c>
    </row>
    <row r="15" spans="1:3" ht="15.95">
      <c r="A15" s="13" t="s">
        <v>756</v>
      </c>
      <c r="B15" s="13" t="s">
        <v>757</v>
      </c>
      <c r="C15" s="13" t="s">
        <v>758</v>
      </c>
    </row>
    <row r="16" spans="1:3" ht="15.95">
      <c r="A16" s="13" t="s">
        <v>756</v>
      </c>
      <c r="B16" s="13" t="s">
        <v>759</v>
      </c>
      <c r="C16" s="13" t="s">
        <v>760</v>
      </c>
    </row>
    <row r="17" spans="1:3" ht="15.95">
      <c r="A17" s="13" t="s">
        <v>756</v>
      </c>
      <c r="B17" s="13" t="s">
        <v>761</v>
      </c>
      <c r="C17" s="13" t="s">
        <v>762</v>
      </c>
    </row>
    <row r="18" spans="1:3" ht="15.95">
      <c r="A18" s="13" t="s">
        <v>756</v>
      </c>
      <c r="B18" s="13" t="s">
        <v>763</v>
      </c>
      <c r="C18" s="13" t="s">
        <v>748</v>
      </c>
    </row>
    <row r="19" spans="1:3" ht="15.95">
      <c r="A19" s="13" t="s">
        <v>756</v>
      </c>
      <c r="B19" s="13" t="s">
        <v>764</v>
      </c>
      <c r="C19" s="13" t="s">
        <v>750</v>
      </c>
    </row>
    <row r="20" spans="1:3" ht="15.95">
      <c r="A20" s="13" t="s">
        <v>756</v>
      </c>
      <c r="B20" s="13" t="s">
        <v>765</v>
      </c>
      <c r="C20" s="13" t="s">
        <v>22</v>
      </c>
    </row>
    <row r="21" spans="1:3" ht="15.95">
      <c r="A21" s="13" t="s">
        <v>756</v>
      </c>
      <c r="B21" s="13" t="s">
        <v>766</v>
      </c>
      <c r="C21" s="13" t="s">
        <v>767</v>
      </c>
    </row>
    <row r="22" spans="1:3" ht="15.95">
      <c r="A22" s="13" t="s">
        <v>768</v>
      </c>
      <c r="B22" s="13" t="s">
        <v>769</v>
      </c>
      <c r="C22" s="13" t="s">
        <v>770</v>
      </c>
    </row>
    <row r="23" spans="1:3" ht="15.95">
      <c r="A23" s="13" t="s">
        <v>768</v>
      </c>
      <c r="B23" s="13" t="s">
        <v>771</v>
      </c>
      <c r="C23" s="13" t="s">
        <v>770</v>
      </c>
    </row>
    <row r="24" spans="1:3" ht="15.95">
      <c r="A24" s="13" t="s">
        <v>772</v>
      </c>
      <c r="B24" s="13" t="s">
        <v>773</v>
      </c>
      <c r="C24" s="13" t="s">
        <v>774</v>
      </c>
    </row>
    <row r="25" spans="1:3" ht="15.95">
      <c r="A25" s="13" t="s">
        <v>772</v>
      </c>
      <c r="B25" s="13" t="s">
        <v>775</v>
      </c>
      <c r="C25" s="13" t="s">
        <v>776</v>
      </c>
    </row>
    <row r="26" spans="1:3" ht="15.95">
      <c r="A26" s="13" t="s">
        <v>772</v>
      </c>
      <c r="B26" s="13" t="s">
        <v>777</v>
      </c>
      <c r="C26" s="13" t="s">
        <v>778</v>
      </c>
    </row>
    <row r="27" spans="1:3" ht="15.95">
      <c r="A27" s="13" t="s">
        <v>772</v>
      </c>
      <c r="B27" s="13" t="s">
        <v>779</v>
      </c>
      <c r="C27" s="13" t="s">
        <v>780</v>
      </c>
    </row>
    <row r="28" spans="1:3" ht="15.95">
      <c r="A28" s="13" t="s">
        <v>781</v>
      </c>
      <c r="B28" s="13" t="s">
        <v>782</v>
      </c>
      <c r="C28" s="13" t="s">
        <v>783</v>
      </c>
    </row>
    <row r="29" spans="1:3" ht="15.95">
      <c r="A29" s="13" t="s">
        <v>781</v>
      </c>
      <c r="B29" s="13" t="s">
        <v>784</v>
      </c>
      <c r="C29" s="13" t="s">
        <v>785</v>
      </c>
    </row>
    <row r="30" spans="1:3" ht="15.95">
      <c r="A30" s="13" t="s">
        <v>781</v>
      </c>
      <c r="B30" s="13" t="s">
        <v>786</v>
      </c>
      <c r="C30" s="13" t="s">
        <v>787</v>
      </c>
    </row>
    <row r="31" spans="1:3" ht="15.95">
      <c r="A31" s="13" t="s">
        <v>781</v>
      </c>
      <c r="B31" s="13" t="s">
        <v>788</v>
      </c>
      <c r="C31" s="13" t="s">
        <v>789</v>
      </c>
    </row>
    <row r="32" spans="1:3" ht="15.95">
      <c r="A32" s="13" t="s">
        <v>781</v>
      </c>
      <c r="B32" s="13" t="s">
        <v>790</v>
      </c>
      <c r="C32" s="13" t="s">
        <v>791</v>
      </c>
    </row>
    <row r="33" spans="1:3" ht="15.95">
      <c r="A33" s="13" t="s">
        <v>781</v>
      </c>
      <c r="B33" s="13" t="s">
        <v>792</v>
      </c>
      <c r="C33" s="13" t="s">
        <v>770</v>
      </c>
    </row>
    <row r="34" spans="1:3" ht="15.95">
      <c r="A34" s="13" t="s">
        <v>781</v>
      </c>
      <c r="B34" s="13" t="s">
        <v>793</v>
      </c>
      <c r="C34" s="13" t="s">
        <v>785</v>
      </c>
    </row>
    <row r="35" spans="1:3" ht="15.95">
      <c r="A35" s="13" t="s">
        <v>781</v>
      </c>
      <c r="B35" s="13" t="s">
        <v>794</v>
      </c>
      <c r="C35" s="13" t="s">
        <v>785</v>
      </c>
    </row>
    <row r="36" spans="1:3" ht="15.95">
      <c r="A36" s="13" t="s">
        <v>781</v>
      </c>
      <c r="B36" s="13" t="s">
        <v>795</v>
      </c>
      <c r="C36" s="13" t="s">
        <v>770</v>
      </c>
    </row>
    <row r="37" spans="1:3" ht="15.95">
      <c r="A37" s="13" t="s">
        <v>796</v>
      </c>
      <c r="B37" s="13" t="s">
        <v>797</v>
      </c>
      <c r="C37" s="13" t="s">
        <v>798</v>
      </c>
    </row>
    <row r="38" spans="1:3" ht="15.95">
      <c r="A38" s="13" t="s">
        <v>796</v>
      </c>
      <c r="B38" s="13" t="s">
        <v>79</v>
      </c>
      <c r="C38" s="13" t="s">
        <v>615</v>
      </c>
    </row>
    <row r="39" spans="1:3" ht="15.95">
      <c r="A39" s="13" t="s">
        <v>796</v>
      </c>
      <c r="B39" s="13" t="s">
        <v>799</v>
      </c>
      <c r="C39" s="13" t="s">
        <v>627</v>
      </c>
    </row>
    <row r="40" spans="1:3" ht="15.95">
      <c r="A40" s="13" t="s">
        <v>796</v>
      </c>
      <c r="B40" s="13" t="s">
        <v>800</v>
      </c>
      <c r="C40" s="13" t="s">
        <v>801</v>
      </c>
    </row>
    <row r="41" spans="1:3" ht="15.95">
      <c r="A41" s="13" t="s">
        <v>796</v>
      </c>
      <c r="B41" s="13" t="s">
        <v>802</v>
      </c>
      <c r="C41" s="13" t="s">
        <v>803</v>
      </c>
    </row>
    <row r="42" spans="1:3" ht="15.95">
      <c r="A42" s="13" t="s">
        <v>796</v>
      </c>
      <c r="B42" s="13" t="s">
        <v>804</v>
      </c>
      <c r="C42" s="13" t="s">
        <v>805</v>
      </c>
    </row>
    <row r="43" spans="1:3" ht="15.95">
      <c r="A43" s="13" t="s">
        <v>796</v>
      </c>
      <c r="B43" s="13" t="s">
        <v>806</v>
      </c>
      <c r="C43" s="13" t="s">
        <v>807</v>
      </c>
    </row>
    <row r="44" spans="1:3" ht="15.95">
      <c r="A44" s="13" t="s">
        <v>796</v>
      </c>
      <c r="B44" s="13" t="s">
        <v>808</v>
      </c>
      <c r="C44" s="13" t="s">
        <v>809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6A453-B3D1-4C19-B387-E671B5FA5592}">
  <dimension ref="A1"/>
  <sheetViews>
    <sheetView workbookViewId="0"/>
  </sheetViews>
  <sheetFormatPr defaultColWidth="8.7109375"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F5496"/>
  </sheetPr>
  <dimension ref="A1:Z54"/>
  <sheetViews>
    <sheetView workbookViewId="0">
      <selection activeCell="D4" sqref="D4"/>
    </sheetView>
  </sheetViews>
  <sheetFormatPr defaultColWidth="8.7109375" defaultRowHeight="15"/>
  <cols>
    <col min="1" max="1" width="38" customWidth="1"/>
    <col min="2" max="2" width="39.28515625" customWidth="1"/>
    <col min="11" max="11" width="18.7109375" customWidth="1"/>
    <col min="14" max="14" width="14.7109375" customWidth="1"/>
  </cols>
  <sheetData>
    <row r="1" spans="1:26" ht="18.95">
      <c r="A1" s="1" t="s">
        <v>810</v>
      </c>
      <c r="K1" s="1" t="s">
        <v>811</v>
      </c>
      <c r="Z1" t="str" cm="1">
        <f t="array" ref="Z1:Z54">_xlfn._xlws.SORT(_xlfn.UNIQUE(GeoAdjustments[State]))</f>
        <v>Alabama</v>
      </c>
    </row>
    <row r="2" spans="1:26">
      <c r="K2" s="23" t="s">
        <v>812</v>
      </c>
      <c r="Z2" t="str">
        <v>Alaska</v>
      </c>
    </row>
    <row r="3" spans="1:26">
      <c r="A3" s="2" t="s">
        <v>813</v>
      </c>
      <c r="B3" s="2" t="s">
        <v>728</v>
      </c>
      <c r="K3" t="s">
        <v>814</v>
      </c>
      <c r="Z3" t="str">
        <v>Arizona</v>
      </c>
    </row>
    <row r="4" spans="1:26">
      <c r="A4" s="5" t="s">
        <v>815</v>
      </c>
      <c r="B4" s="3">
        <v>21170</v>
      </c>
      <c r="K4" t="s">
        <v>816</v>
      </c>
      <c r="N4" s="24" t="s">
        <v>817</v>
      </c>
      <c r="Z4" t="str">
        <v>Arkansas</v>
      </c>
    </row>
    <row r="5" spans="1:26">
      <c r="A5" s="5" t="s">
        <v>818</v>
      </c>
      <c r="B5" s="3">
        <v>21547</v>
      </c>
      <c r="K5" t="s">
        <v>819</v>
      </c>
      <c r="N5" t="s">
        <v>820</v>
      </c>
      <c r="Z5" t="str">
        <v>California</v>
      </c>
    </row>
    <row r="6" spans="1:26">
      <c r="A6" s="5" t="s">
        <v>769</v>
      </c>
      <c r="B6" s="3"/>
      <c r="C6" t="s">
        <v>821</v>
      </c>
      <c r="K6" t="s">
        <v>822</v>
      </c>
      <c r="N6" t="s">
        <v>823</v>
      </c>
      <c r="Z6" t="str">
        <v>Colorado</v>
      </c>
    </row>
    <row r="7" spans="1:26">
      <c r="A7" s="5" t="s">
        <v>754</v>
      </c>
      <c r="B7" s="4" t="s">
        <v>755</v>
      </c>
      <c r="K7" t="s">
        <v>824</v>
      </c>
      <c r="N7" t="s">
        <v>825</v>
      </c>
      <c r="Z7" t="str">
        <v>Connecticut</v>
      </c>
    </row>
    <row r="8" spans="1:26">
      <c r="A8" s="5" t="s">
        <v>739</v>
      </c>
      <c r="B8" s="4" t="s">
        <v>740</v>
      </c>
      <c r="K8" t="s">
        <v>826</v>
      </c>
      <c r="N8" t="s">
        <v>827</v>
      </c>
      <c r="Z8" t="str">
        <v>Delaware</v>
      </c>
    </row>
    <row r="9" spans="1:26" ht="15.95">
      <c r="A9" s="5" t="s">
        <v>730</v>
      </c>
      <c r="B9" s="3">
        <v>45804</v>
      </c>
      <c r="C9" t="s">
        <v>828</v>
      </c>
      <c r="K9" s="22" t="s">
        <v>829</v>
      </c>
      <c r="N9" t="s">
        <v>830</v>
      </c>
      <c r="Z9" t="str">
        <v>District of Columbia</v>
      </c>
    </row>
    <row r="10" spans="1:26">
      <c r="A10" s="5" t="s">
        <v>732</v>
      </c>
      <c r="B10" s="3">
        <v>46296</v>
      </c>
      <c r="K10" t="s">
        <v>831</v>
      </c>
      <c r="N10" t="s">
        <v>832</v>
      </c>
      <c r="Z10" t="str">
        <v>Florida</v>
      </c>
    </row>
    <row r="11" spans="1:26">
      <c r="A11" s="5" t="s">
        <v>833</v>
      </c>
      <c r="B11" s="4" t="s">
        <v>748</v>
      </c>
      <c r="K11" t="s">
        <v>834</v>
      </c>
      <c r="N11" t="s">
        <v>835</v>
      </c>
      <c r="Z11" t="str">
        <v>Georgia</v>
      </c>
    </row>
    <row r="12" spans="1:26">
      <c r="A12" s="5" t="s">
        <v>836</v>
      </c>
      <c r="B12" s="4" t="s">
        <v>748</v>
      </c>
      <c r="K12" s="23" t="s">
        <v>837</v>
      </c>
      <c r="Z12" t="str">
        <v>Guam</v>
      </c>
    </row>
    <row r="13" spans="1:26">
      <c r="A13" s="5" t="s">
        <v>838</v>
      </c>
      <c r="B13" s="4" t="s">
        <v>750</v>
      </c>
      <c r="G13">
        <f>27-18</f>
        <v>9</v>
      </c>
      <c r="K13" t="s">
        <v>814</v>
      </c>
      <c r="Z13" t="str">
        <v>Hawaii</v>
      </c>
    </row>
    <row r="14" spans="1:26">
      <c r="A14" s="5" t="s">
        <v>839</v>
      </c>
      <c r="B14" s="4" t="s">
        <v>750</v>
      </c>
      <c r="K14" t="s">
        <v>840</v>
      </c>
      <c r="N14" t="s">
        <v>820</v>
      </c>
      <c r="Z14" t="str">
        <v>Idaho</v>
      </c>
    </row>
    <row r="15" spans="1:26">
      <c r="A15" s="5" t="s">
        <v>751</v>
      </c>
      <c r="B15" s="4" t="s">
        <v>19</v>
      </c>
      <c r="K15" t="s">
        <v>841</v>
      </c>
      <c r="N15" t="s">
        <v>832</v>
      </c>
      <c r="Z15" t="str">
        <v>Illinois</v>
      </c>
    </row>
    <row r="16" spans="1:26">
      <c r="A16" s="5" t="s">
        <v>765</v>
      </c>
      <c r="B16" s="4" t="s">
        <v>22</v>
      </c>
      <c r="K16" s="23" t="s">
        <v>842</v>
      </c>
      <c r="Z16" t="str">
        <v>Indiana</v>
      </c>
    </row>
    <row r="17" spans="1:26">
      <c r="A17" s="5" t="s">
        <v>843</v>
      </c>
      <c r="B17" s="4" t="s">
        <v>798</v>
      </c>
      <c r="Z17" t="str">
        <v>Iowa</v>
      </c>
    </row>
    <row r="18" spans="1:26">
      <c r="A18" s="5" t="s">
        <v>79</v>
      </c>
      <c r="B18" s="4" t="s">
        <v>615</v>
      </c>
      <c r="Z18" t="str">
        <v>Kansas</v>
      </c>
    </row>
    <row r="19" spans="1:26">
      <c r="A19" s="5" t="s">
        <v>799</v>
      </c>
      <c r="B19" s="4" t="s">
        <v>627</v>
      </c>
      <c r="Z19" t="str">
        <v>Kentucky</v>
      </c>
    </row>
    <row r="20" spans="1:26">
      <c r="A20" s="5" t="s">
        <v>800</v>
      </c>
      <c r="B20" s="4" t="s">
        <v>801</v>
      </c>
      <c r="Z20" t="str">
        <v>Louisiana</v>
      </c>
    </row>
    <row r="21" spans="1:26">
      <c r="A21" s="5" t="s">
        <v>802</v>
      </c>
      <c r="B21" s="4">
        <v>304.702</v>
      </c>
      <c r="Z21" t="str">
        <v>Maine</v>
      </c>
    </row>
    <row r="22" spans="1:26">
      <c r="A22" s="5" t="s">
        <v>804</v>
      </c>
      <c r="B22" s="4">
        <v>0</v>
      </c>
      <c r="Z22" t="str">
        <v>Maryland</v>
      </c>
    </row>
    <row r="23" spans="1:26">
      <c r="A23" s="5" t="s">
        <v>808</v>
      </c>
      <c r="B23" s="4">
        <v>3.56</v>
      </c>
      <c r="Z23" t="str">
        <v>Massachusetts</v>
      </c>
    </row>
    <row r="24" spans="1:26">
      <c r="A24" s="5" t="s">
        <v>844</v>
      </c>
      <c r="B24" s="4" t="s">
        <v>791</v>
      </c>
      <c r="Z24" t="str">
        <v>Michigan</v>
      </c>
    </row>
    <row r="25" spans="1:26">
      <c r="A25" s="5" t="s">
        <v>792</v>
      </c>
      <c r="B25" s="4"/>
      <c r="Z25" t="str">
        <v>Minnesota</v>
      </c>
    </row>
    <row r="26" spans="1:26">
      <c r="A26" s="5" t="s">
        <v>845</v>
      </c>
      <c r="B26" s="4"/>
      <c r="Z26" t="str">
        <v>Mississippi</v>
      </c>
    </row>
    <row r="27" spans="1:26">
      <c r="A27" s="5" t="s">
        <v>846</v>
      </c>
      <c r="B27" s="4">
        <v>83.86</v>
      </c>
      <c r="Z27" t="str">
        <v>Missouri</v>
      </c>
    </row>
    <row r="28" spans="1:26">
      <c r="A28" t="s">
        <v>847</v>
      </c>
      <c r="Z28" t="str">
        <v>Montana</v>
      </c>
    </row>
    <row r="29" spans="1:26">
      <c r="A29" t="s">
        <v>848</v>
      </c>
      <c r="Z29" t="str">
        <v>Nebraska</v>
      </c>
    </row>
    <row r="30" spans="1:26">
      <c r="Z30" t="str">
        <v>Nevada</v>
      </c>
    </row>
    <row r="31" spans="1:26">
      <c r="A31" s="8" t="s">
        <v>849</v>
      </c>
      <c r="Z31" t="str">
        <v>New Hampshire</v>
      </c>
    </row>
    <row r="32" spans="1:26">
      <c r="A32" s="7" t="s">
        <v>850</v>
      </c>
      <c r="Z32" t="str">
        <v>New Jersey</v>
      </c>
    </row>
    <row r="33" spans="1:26">
      <c r="A33" s="7" t="s">
        <v>851</v>
      </c>
      <c r="Z33" t="str">
        <v>New Mexico</v>
      </c>
    </row>
    <row r="34" spans="1:26">
      <c r="A34" s="7" t="s">
        <v>852</v>
      </c>
      <c r="Z34" t="str">
        <v>New York</v>
      </c>
    </row>
    <row r="35" spans="1:26">
      <c r="A35" s="7" t="s">
        <v>853</v>
      </c>
      <c r="Z35" t="str">
        <v>North Carolina</v>
      </c>
    </row>
    <row r="36" spans="1:26">
      <c r="Z36" t="str">
        <v>North Dakota</v>
      </c>
    </row>
    <row r="37" spans="1:26">
      <c r="Z37" t="str">
        <v>Ohio</v>
      </c>
    </row>
    <row r="38" spans="1:26">
      <c r="Z38" t="str">
        <v>Oklahoma</v>
      </c>
    </row>
    <row r="39" spans="1:26">
      <c r="Z39" t="str">
        <v>Oregon</v>
      </c>
    </row>
    <row r="40" spans="1:26">
      <c r="Z40" t="str">
        <v>Pennsylvania</v>
      </c>
    </row>
    <row r="41" spans="1:26">
      <c r="Z41" t="str">
        <v>Puerto Rico</v>
      </c>
    </row>
    <row r="42" spans="1:26">
      <c r="Z42" t="str">
        <v>Rhode Island</v>
      </c>
    </row>
    <row r="43" spans="1:26">
      <c r="Z43" t="str">
        <v>South Carolina</v>
      </c>
    </row>
    <row r="44" spans="1:26">
      <c r="Z44" t="str">
        <v>South Dakota</v>
      </c>
    </row>
    <row r="45" spans="1:26">
      <c r="Z45" t="str">
        <v>Tennessee</v>
      </c>
    </row>
    <row r="46" spans="1:26">
      <c r="Z46" t="str">
        <v>Texas</v>
      </c>
    </row>
    <row r="47" spans="1:26">
      <c r="Z47" t="str">
        <v>Utah</v>
      </c>
    </row>
    <row r="48" spans="1:26">
      <c r="Z48" t="str">
        <v>Vermont</v>
      </c>
    </row>
    <row r="49" spans="26:26">
      <c r="Z49" t="str">
        <v>Virgin Islands</v>
      </c>
    </row>
    <row r="50" spans="26:26">
      <c r="Z50" t="str">
        <v>Virginia</v>
      </c>
    </row>
    <row r="51" spans="26:26">
      <c r="Z51" t="str">
        <v>Washington</v>
      </c>
    </row>
    <row r="52" spans="26:26">
      <c r="Z52" t="str">
        <v>West Virginia</v>
      </c>
    </row>
    <row r="53" spans="26:26">
      <c r="Z53" t="str">
        <v>Wisconsin</v>
      </c>
    </row>
    <row r="54" spans="26:26">
      <c r="Z54" t="str">
        <v>Wyoming</v>
      </c>
    </row>
  </sheetData>
  <dataValidations count="9">
    <dataValidation type="list" allowBlank="1" errorTitle="Invalid Selection" error="Please select Husband or Wife" sqref="B8" xr:uid="{00000000-0002-0000-0000-000000000000}">
      <formula1>"Male,Female"</formula1>
    </dataValidation>
    <dataValidation type="list" allowBlank="1" error="Please select a valid employment status" sqref="B15" xr:uid="{00000000-0002-0000-0000-000001000000}">
      <formula1>"Employed full-time,Employed part-time,Homemaker not in labor force,In school full-time,Retired,Unemployed,Disabled and unable to work"</formula1>
    </dataValidation>
    <dataValidation type="list" allowBlank="1" sqref="B17" xr:uid="{00000000-0002-0000-0000-000002000000}">
      <formula1>"Own,Rent,N/A"</formula1>
    </dataValidation>
    <dataValidation type="list" allowBlank="1" sqref="B11:B12" xr:uid="{00000000-0002-0000-0000-000003000000}">
      <formula1>"All-Education,No Education to 9th,10th to 12th Grade,GED,HSD,Some College,Associates Degree,Bachelor's Degree,Master's Degree,Professional or Doctoral"</formula1>
    </dataValidation>
    <dataValidation type="list" allowBlank="1" sqref="B13:B14" xr:uid="{00000000-0002-0000-0000-000004000000}">
      <formula1>"All,Hispanic,Black,White"</formula1>
    </dataValidation>
    <dataValidation type="list" sqref="B24" xr:uid="{00000000-0002-0000-0000-000005000000}">
      <formula1>"Claimant Life Expectancy,Spouse Life Expectancy,Custom Age"</formula1>
    </dataValidation>
    <dataValidation type="list" sqref="B20" xr:uid="{00000000-0002-0000-0000-000006000000}">
      <formula1>"Yes,No"</formula1>
    </dataValidation>
    <dataValidation type="list" allowBlank="1" showInputMessage="1" showErrorMessage="1" sqref="B7" xr:uid="{3BC78CA0-CA61-45C4-A266-C2E538BB35EA}">
      <formula1>"Yes,No"</formula1>
    </dataValidation>
    <dataValidation type="list" allowBlank="1" error="Please select a valid employment status" sqref="B16" xr:uid="{0DE97433-3F55-4DE5-AFD0-1C41CEF233B3}">
      <formula1>"Spouse employed, Spouse not employed, regardless of spousal employment"</formula1>
    </dataValidation>
  </dataValidations>
  <pageMargins left="0.75" right="0.75" top="1" bottom="1" header="0.5" footer="0.5"/>
  <pageSetup paperSize="9" orientation="portrait" horizontalDpi="300" verticalDpi="300" r:id="rId1"/>
  <tableParts count="1">
    <tablePart r:id="rId2"/>
  </tableParts>
  <extLst>
    <ext xmlns:x14="http://schemas.microsoft.com/office/spreadsheetml/2009/9/main" uri="{CCE6A557-97BC-4b89-ADB6-D9C93CAAB3DF}">
      <x14:dataValidations xmlns:xm="http://schemas.microsoft.com/office/excel/2006/main" count="2">
        <x14:dataValidation type="list" allowBlank="1" xr:uid="{00000000-0002-0000-0000-000007000000}">
          <x14:formula1>
            <xm:f>_Helpers!$A$2:$A$55</xm:f>
          </x14:formula1>
          <xm:sqref>B18</xm:sqref>
        </x14:dataValidation>
        <x14:dataValidation type="list" allowBlank="1" showInputMessage="1" showErrorMessage="1" xr:uid="{507C1279-DFBD-4F6A-AF47-7D4D2070989E}">
          <x14:formula1>
            <xm:f>GeoData!$D$2:$D$535</xm:f>
          </x14:formula1>
          <xm:sqref>B19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7D786-EF24-4C4F-85A1-0B9CB790D5DF}">
  <dimension ref="A1:C31"/>
  <sheetViews>
    <sheetView workbookViewId="0">
      <selection activeCell="C13" sqref="C13"/>
    </sheetView>
  </sheetViews>
  <sheetFormatPr defaultColWidth="8.7109375" defaultRowHeight="15"/>
  <cols>
    <col min="1" max="1" width="8" bestFit="1" customWidth="1"/>
    <col min="2" max="2" width="18.28515625" bestFit="1" customWidth="1"/>
    <col min="3" max="3" width="26.42578125" bestFit="1" customWidth="1"/>
    <col min="4" max="4" width="34.7109375" bestFit="1" customWidth="1"/>
  </cols>
  <sheetData>
    <row r="1" spans="1:3">
      <c r="A1" s="12" t="s">
        <v>724</v>
      </c>
      <c r="B1" s="12" t="s">
        <v>854</v>
      </c>
      <c r="C1" s="12" t="s">
        <v>855</v>
      </c>
    </row>
    <row r="2" spans="1:3">
      <c r="A2" s="12" t="s">
        <v>856</v>
      </c>
      <c r="B2" s="12" t="s">
        <v>857</v>
      </c>
      <c r="C2" s="20" t="s">
        <v>858</v>
      </c>
    </row>
    <row r="3" spans="1:3">
      <c r="A3" s="12" t="s">
        <v>859</v>
      </c>
      <c r="B3" s="12" t="s">
        <v>860</v>
      </c>
      <c r="C3" s="20" t="s">
        <v>861</v>
      </c>
    </row>
    <row r="4" spans="1:3">
      <c r="A4" s="12" t="s">
        <v>862</v>
      </c>
      <c r="B4" s="12" t="s">
        <v>863</v>
      </c>
      <c r="C4" s="20" t="s">
        <v>864</v>
      </c>
    </row>
    <row r="5" spans="1:3">
      <c r="A5" s="12" t="s">
        <v>865</v>
      </c>
      <c r="B5" s="12" t="s">
        <v>866</v>
      </c>
      <c r="C5" s="20" t="s">
        <v>867</v>
      </c>
    </row>
    <row r="6" spans="1:3">
      <c r="A6" s="12" t="s">
        <v>868</v>
      </c>
      <c r="B6" s="12" t="s">
        <v>869</v>
      </c>
      <c r="C6" s="20" t="s">
        <v>870</v>
      </c>
    </row>
    <row r="7" spans="1:3">
      <c r="A7" s="12" t="s">
        <v>871</v>
      </c>
      <c r="B7" s="12" t="s">
        <v>872</v>
      </c>
      <c r="C7" s="20" t="s">
        <v>873</v>
      </c>
    </row>
    <row r="8" spans="1:3">
      <c r="A8" s="12" t="s">
        <v>874</v>
      </c>
      <c r="B8" s="12" t="s">
        <v>875</v>
      </c>
      <c r="C8" s="20" t="s">
        <v>876</v>
      </c>
    </row>
    <row r="9" spans="1:3">
      <c r="A9" s="12" t="s">
        <v>877</v>
      </c>
      <c r="B9" s="12" t="s">
        <v>878</v>
      </c>
      <c r="C9" s="20" t="s">
        <v>879</v>
      </c>
    </row>
    <row r="10" spans="1:3">
      <c r="A10" s="12" t="s">
        <v>880</v>
      </c>
      <c r="B10" s="12" t="s">
        <v>881</v>
      </c>
      <c r="C10" s="20" t="s">
        <v>882</v>
      </c>
    </row>
    <row r="11" spans="1:3">
      <c r="A11" s="12" t="s">
        <v>883</v>
      </c>
      <c r="B11" s="12" t="s">
        <v>884</v>
      </c>
      <c r="C11" s="20" t="s">
        <v>885</v>
      </c>
    </row>
    <row r="12" spans="1:3">
      <c r="A12" s="12" t="s">
        <v>886</v>
      </c>
      <c r="B12" s="12" t="s">
        <v>887</v>
      </c>
      <c r="C12" s="20" t="s">
        <v>888</v>
      </c>
    </row>
    <row r="13" spans="1:3">
      <c r="A13" s="12" t="s">
        <v>889</v>
      </c>
      <c r="B13" s="12" t="s">
        <v>890</v>
      </c>
      <c r="C13" s="20" t="s">
        <v>891</v>
      </c>
    </row>
    <row r="14" spans="1:3">
      <c r="A14" s="12" t="s">
        <v>892</v>
      </c>
      <c r="B14" s="12" t="s">
        <v>893</v>
      </c>
      <c r="C14" s="20" t="s">
        <v>894</v>
      </c>
    </row>
    <row r="15" spans="1:3">
      <c r="A15" s="12" t="s">
        <v>895</v>
      </c>
      <c r="B15" s="12" t="s">
        <v>896</v>
      </c>
      <c r="C15" s="20" t="s">
        <v>897</v>
      </c>
    </row>
    <row r="16" spans="1:3">
      <c r="A16" s="12" t="s">
        <v>898</v>
      </c>
      <c r="B16" s="12" t="s">
        <v>899</v>
      </c>
      <c r="C16" s="20" t="s">
        <v>900</v>
      </c>
    </row>
    <row r="17" spans="1:3">
      <c r="A17" s="12" t="s">
        <v>901</v>
      </c>
      <c r="B17" s="12" t="s">
        <v>902</v>
      </c>
      <c r="C17" s="20" t="s">
        <v>903</v>
      </c>
    </row>
    <row r="18" spans="1:3">
      <c r="A18" s="12" t="s">
        <v>904</v>
      </c>
      <c r="B18" s="12" t="s">
        <v>905</v>
      </c>
      <c r="C18" s="20" t="s">
        <v>906</v>
      </c>
    </row>
    <row r="19" spans="1:3">
      <c r="A19" s="12" t="s">
        <v>907</v>
      </c>
      <c r="B19" s="12" t="s">
        <v>908</v>
      </c>
      <c r="C19" s="20" t="s">
        <v>909</v>
      </c>
    </row>
    <row r="20" spans="1:3">
      <c r="A20" s="12" t="s">
        <v>910</v>
      </c>
      <c r="B20" s="12" t="s">
        <v>911</v>
      </c>
      <c r="C20" s="20" t="s">
        <v>912</v>
      </c>
    </row>
    <row r="21" spans="1:3">
      <c r="A21" s="12" t="s">
        <v>913</v>
      </c>
      <c r="B21" s="12" t="s">
        <v>914</v>
      </c>
      <c r="C21" s="20" t="s">
        <v>915</v>
      </c>
    </row>
    <row r="22" spans="1:3">
      <c r="A22" s="12" t="s">
        <v>916</v>
      </c>
      <c r="B22" s="12" t="s">
        <v>917</v>
      </c>
      <c r="C22" s="20" t="s">
        <v>918</v>
      </c>
    </row>
    <row r="23" spans="1:3">
      <c r="A23" s="12" t="s">
        <v>919</v>
      </c>
      <c r="B23" s="12" t="s">
        <v>920</v>
      </c>
      <c r="C23" s="20" t="s">
        <v>921</v>
      </c>
    </row>
    <row r="24" spans="1:3">
      <c r="A24" s="12" t="s">
        <v>922</v>
      </c>
      <c r="B24" s="12" t="s">
        <v>923</v>
      </c>
      <c r="C24" s="20" t="s">
        <v>924</v>
      </c>
    </row>
    <row r="25" spans="1:3">
      <c r="A25" s="12" t="s">
        <v>925</v>
      </c>
      <c r="B25" s="12" t="s">
        <v>926</v>
      </c>
      <c r="C25" s="20" t="s">
        <v>927</v>
      </c>
    </row>
    <row r="26" spans="1:3">
      <c r="A26" s="12" t="s">
        <v>928</v>
      </c>
      <c r="B26" s="12" t="s">
        <v>929</v>
      </c>
      <c r="C26" s="20" t="s">
        <v>930</v>
      </c>
    </row>
    <row r="27" spans="1:3">
      <c r="A27" s="12" t="s">
        <v>931</v>
      </c>
      <c r="B27" s="12" t="s">
        <v>932</v>
      </c>
      <c r="C27" s="20" t="s">
        <v>933</v>
      </c>
    </row>
    <row r="28" spans="1:3">
      <c r="A28" s="12" t="s">
        <v>934</v>
      </c>
      <c r="B28" s="12" t="s">
        <v>935</v>
      </c>
      <c r="C28" s="20" t="s">
        <v>936</v>
      </c>
    </row>
    <row r="29" spans="1:3">
      <c r="A29" s="12" t="s">
        <v>937</v>
      </c>
      <c r="B29" s="12" t="s">
        <v>938</v>
      </c>
      <c r="C29" s="20" t="s">
        <v>939</v>
      </c>
    </row>
    <row r="30" spans="1:3">
      <c r="A30" s="12" t="s">
        <v>940</v>
      </c>
      <c r="B30" s="12" t="s">
        <v>941</v>
      </c>
      <c r="C30" s="20" t="s">
        <v>942</v>
      </c>
    </row>
    <row r="31" spans="1:3">
      <c r="A31" s="12" t="s">
        <v>943</v>
      </c>
      <c r="B31" s="12" t="s">
        <v>944</v>
      </c>
      <c r="C31" s="20" t="s">
        <v>945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B5"/>
  <sheetViews>
    <sheetView workbookViewId="0">
      <selection activeCell="B11" sqref="B11"/>
    </sheetView>
  </sheetViews>
  <sheetFormatPr defaultColWidth="8.7109375" defaultRowHeight="15"/>
  <cols>
    <col min="1" max="2" width="25" customWidth="1"/>
  </cols>
  <sheetData>
    <row r="1" spans="1:2">
      <c r="A1" s="6" t="s">
        <v>946</v>
      </c>
      <c r="B1" s="6" t="s">
        <v>728</v>
      </c>
    </row>
    <row r="2" spans="1:2">
      <c r="A2" t="s">
        <v>947</v>
      </c>
      <c r="B2" s="4" t="s">
        <v>948</v>
      </c>
    </row>
    <row r="3" spans="1:2">
      <c r="A3" t="s">
        <v>949</v>
      </c>
      <c r="B3" s="4"/>
    </row>
    <row r="4" spans="1:2">
      <c r="A4" t="s">
        <v>950</v>
      </c>
      <c r="B4" s="4">
        <v>30</v>
      </c>
    </row>
    <row r="5" spans="1:2">
      <c r="A5" t="s">
        <v>951</v>
      </c>
      <c r="B5" s="11">
        <v>0.04</v>
      </c>
    </row>
  </sheetData>
  <dataValidations count="1">
    <dataValidation type="list" allowBlank="1" showInputMessage="1" showErrorMessage="1" sqref="B2" xr:uid="{446F9622-4C76-49FE-9512-9F130B43C4B6}">
      <formula1>"Laddered, Static, Custom"</formula1>
    </dataValidation>
  </dataValidations>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006"/>
  <sheetViews>
    <sheetView topLeftCell="A2986" workbookViewId="0">
      <selection activeCell="F3285" sqref="F3285"/>
    </sheetView>
  </sheetViews>
  <sheetFormatPr defaultColWidth="8.7109375" defaultRowHeight="15"/>
  <cols>
    <col min="1" max="1" width="20" customWidth="1"/>
    <col min="2" max="2" width="80" customWidth="1"/>
    <col min="3" max="7" width="20" customWidth="1"/>
  </cols>
  <sheetData>
    <row r="1" spans="1:7">
      <c r="A1" s="2" t="s">
        <v>8</v>
      </c>
      <c r="B1" s="2" t="s">
        <v>952</v>
      </c>
      <c r="C1" s="2" t="s">
        <v>953</v>
      </c>
      <c r="D1" s="2" t="s">
        <v>954</v>
      </c>
      <c r="E1" s="2" t="s">
        <v>955</v>
      </c>
      <c r="F1" s="2" t="s">
        <v>956</v>
      </c>
      <c r="G1" s="2" t="s">
        <v>957</v>
      </c>
    </row>
    <row r="2" spans="1:7" hidden="1">
      <c r="A2">
        <v>1</v>
      </c>
      <c r="B2" t="s">
        <v>958</v>
      </c>
      <c r="C2" t="s">
        <v>959</v>
      </c>
      <c r="D2">
        <v>1.92</v>
      </c>
      <c r="E2">
        <v>18.309999999999999</v>
      </c>
      <c r="F2">
        <v>5.03</v>
      </c>
      <c r="G2">
        <v>1.31</v>
      </c>
    </row>
    <row r="3" spans="1:7" hidden="1">
      <c r="A3">
        <v>1</v>
      </c>
      <c r="B3" t="s">
        <v>958</v>
      </c>
      <c r="C3" t="s">
        <v>960</v>
      </c>
      <c r="D3">
        <v>2.6</v>
      </c>
      <c r="E3">
        <v>18.399999999999999</v>
      </c>
      <c r="F3">
        <v>6.83</v>
      </c>
      <c r="G3">
        <v>1.87</v>
      </c>
    </row>
    <row r="4" spans="1:7" hidden="1">
      <c r="A4">
        <v>1</v>
      </c>
      <c r="B4" t="s">
        <v>958</v>
      </c>
      <c r="C4" t="s">
        <v>961</v>
      </c>
      <c r="D4">
        <v>3.1</v>
      </c>
      <c r="E4">
        <v>20.059999999999999</v>
      </c>
      <c r="F4">
        <v>8.8699999999999992</v>
      </c>
      <c r="G4">
        <v>1.44</v>
      </c>
    </row>
    <row r="5" spans="1:7" hidden="1">
      <c r="A5">
        <v>1</v>
      </c>
      <c r="B5" t="s">
        <v>958</v>
      </c>
      <c r="C5" t="s">
        <v>962</v>
      </c>
      <c r="D5">
        <v>0.84</v>
      </c>
      <c r="E5">
        <v>24.72</v>
      </c>
      <c r="F5">
        <v>2.95</v>
      </c>
      <c r="G5">
        <v>0.41</v>
      </c>
    </row>
    <row r="6" spans="1:7" hidden="1">
      <c r="A6">
        <v>1</v>
      </c>
      <c r="B6" t="s">
        <v>958</v>
      </c>
      <c r="C6" t="s">
        <v>963</v>
      </c>
      <c r="D6">
        <v>1.98</v>
      </c>
      <c r="E6">
        <v>18.13</v>
      </c>
      <c r="F6">
        <v>5.12</v>
      </c>
      <c r="G6">
        <v>1.19</v>
      </c>
    </row>
    <row r="7" spans="1:7" hidden="1">
      <c r="A7">
        <v>1</v>
      </c>
      <c r="B7" t="s">
        <v>958</v>
      </c>
      <c r="C7" t="s">
        <v>964</v>
      </c>
      <c r="D7">
        <v>0.08</v>
      </c>
      <c r="E7">
        <v>21.87</v>
      </c>
      <c r="F7">
        <v>0.24</v>
      </c>
      <c r="G7">
        <v>0.02</v>
      </c>
    </row>
    <row r="8" spans="1:7" hidden="1">
      <c r="A8">
        <v>1</v>
      </c>
      <c r="B8" t="s">
        <v>958</v>
      </c>
      <c r="C8" t="s">
        <v>965</v>
      </c>
      <c r="D8">
        <v>1.87</v>
      </c>
      <c r="E8">
        <v>24.75</v>
      </c>
      <c r="F8">
        <v>6.6</v>
      </c>
      <c r="G8">
        <v>0.84</v>
      </c>
    </row>
    <row r="9" spans="1:7">
      <c r="A9">
        <v>1</v>
      </c>
      <c r="B9" t="s">
        <v>958</v>
      </c>
      <c r="C9" t="s">
        <v>24</v>
      </c>
      <c r="D9">
        <v>12.37</v>
      </c>
      <c r="E9">
        <v>20.16</v>
      </c>
      <c r="F9">
        <v>35.630000000000003</v>
      </c>
      <c r="G9">
        <v>7.07</v>
      </c>
    </row>
    <row r="10" spans="1:7" hidden="1">
      <c r="A10">
        <v>1</v>
      </c>
      <c r="B10" t="s">
        <v>958</v>
      </c>
      <c r="C10" t="s">
        <v>966</v>
      </c>
      <c r="D10">
        <v>10.62</v>
      </c>
      <c r="E10">
        <v>18.05</v>
      </c>
      <c r="F10">
        <v>27.4</v>
      </c>
      <c r="G10">
        <v>10.45</v>
      </c>
    </row>
    <row r="11" spans="1:7" hidden="1">
      <c r="A11">
        <v>1</v>
      </c>
      <c r="B11" t="s">
        <v>958</v>
      </c>
      <c r="C11" t="s">
        <v>967</v>
      </c>
      <c r="D11">
        <v>0.15</v>
      </c>
      <c r="E11">
        <v>17.91</v>
      </c>
      <c r="F11">
        <v>0.4</v>
      </c>
      <c r="G11">
        <v>0.08</v>
      </c>
    </row>
    <row r="12" spans="1:7" hidden="1">
      <c r="A12">
        <v>1</v>
      </c>
      <c r="B12" t="s">
        <v>958</v>
      </c>
      <c r="C12" t="s">
        <v>968</v>
      </c>
      <c r="D12">
        <v>0.46</v>
      </c>
      <c r="E12">
        <v>18.09</v>
      </c>
      <c r="F12">
        <v>1.2</v>
      </c>
      <c r="G12">
        <v>0.16</v>
      </c>
    </row>
    <row r="13" spans="1:7" hidden="1">
      <c r="A13">
        <v>1</v>
      </c>
      <c r="B13" t="s">
        <v>958</v>
      </c>
      <c r="C13" t="s">
        <v>969</v>
      </c>
      <c r="D13">
        <v>0.88</v>
      </c>
      <c r="E13">
        <v>24.75</v>
      </c>
      <c r="F13">
        <v>3.1</v>
      </c>
      <c r="G13">
        <v>0.05</v>
      </c>
    </row>
    <row r="14" spans="1:7" hidden="1">
      <c r="A14">
        <v>1</v>
      </c>
      <c r="B14" t="s">
        <v>958</v>
      </c>
      <c r="C14" t="s">
        <v>970</v>
      </c>
      <c r="D14">
        <v>0.23</v>
      </c>
      <c r="E14">
        <v>24.75</v>
      </c>
      <c r="F14">
        <v>0.82</v>
      </c>
      <c r="G14">
        <v>0.05</v>
      </c>
    </row>
    <row r="15" spans="1:7" hidden="1">
      <c r="A15">
        <v>2</v>
      </c>
      <c r="B15" t="s">
        <v>971</v>
      </c>
      <c r="C15" t="s">
        <v>959</v>
      </c>
      <c r="D15">
        <v>1.8</v>
      </c>
      <c r="E15">
        <v>18.309999999999999</v>
      </c>
      <c r="F15">
        <v>4.7</v>
      </c>
      <c r="G15">
        <v>1.22</v>
      </c>
    </row>
    <row r="16" spans="1:7" hidden="1">
      <c r="A16">
        <v>2</v>
      </c>
      <c r="B16" t="s">
        <v>971</v>
      </c>
      <c r="C16" t="s">
        <v>960</v>
      </c>
      <c r="D16">
        <v>2.5099999999999998</v>
      </c>
      <c r="E16">
        <v>18.399999999999999</v>
      </c>
      <c r="F16">
        <v>6.59</v>
      </c>
      <c r="G16">
        <v>1.85</v>
      </c>
    </row>
    <row r="17" spans="1:7" hidden="1">
      <c r="A17">
        <v>2</v>
      </c>
      <c r="B17" t="s">
        <v>971</v>
      </c>
      <c r="C17" t="s">
        <v>961</v>
      </c>
      <c r="D17">
        <v>3.6</v>
      </c>
      <c r="E17">
        <v>20.059999999999999</v>
      </c>
      <c r="F17">
        <v>10.32</v>
      </c>
      <c r="G17">
        <v>2.04</v>
      </c>
    </row>
    <row r="18" spans="1:7" hidden="1">
      <c r="A18">
        <v>2</v>
      </c>
      <c r="B18" t="s">
        <v>971</v>
      </c>
      <c r="C18" t="s">
        <v>962</v>
      </c>
      <c r="D18">
        <v>0.8</v>
      </c>
      <c r="E18">
        <v>24.72</v>
      </c>
      <c r="F18">
        <v>2.82</v>
      </c>
      <c r="G18">
        <v>0.43</v>
      </c>
    </row>
    <row r="19" spans="1:7" hidden="1">
      <c r="A19">
        <v>2</v>
      </c>
      <c r="B19" t="s">
        <v>971</v>
      </c>
      <c r="C19" t="s">
        <v>963</v>
      </c>
      <c r="D19">
        <v>2.0699999999999998</v>
      </c>
      <c r="E19">
        <v>18.13</v>
      </c>
      <c r="F19">
        <v>5.37</v>
      </c>
      <c r="G19">
        <v>1.1599999999999999</v>
      </c>
    </row>
    <row r="20" spans="1:7" hidden="1">
      <c r="A20">
        <v>2</v>
      </c>
      <c r="B20" t="s">
        <v>971</v>
      </c>
      <c r="C20" t="s">
        <v>964</v>
      </c>
      <c r="D20">
        <v>0.11</v>
      </c>
      <c r="E20">
        <v>21.87</v>
      </c>
      <c r="F20">
        <v>0.34</v>
      </c>
      <c r="G20">
        <v>0.05</v>
      </c>
    </row>
    <row r="21" spans="1:7" hidden="1">
      <c r="A21">
        <v>2</v>
      </c>
      <c r="B21" t="s">
        <v>971</v>
      </c>
      <c r="C21" t="s">
        <v>965</v>
      </c>
      <c r="D21">
        <v>1.84</v>
      </c>
      <c r="E21">
        <v>24.75</v>
      </c>
      <c r="F21">
        <v>6.49</v>
      </c>
      <c r="G21">
        <v>0.85</v>
      </c>
    </row>
    <row r="22" spans="1:7">
      <c r="A22">
        <v>2</v>
      </c>
      <c r="B22" t="s">
        <v>971</v>
      </c>
      <c r="C22" t="s">
        <v>24</v>
      </c>
      <c r="D22">
        <v>12.72</v>
      </c>
      <c r="E22">
        <v>20.16</v>
      </c>
      <c r="F22">
        <v>36.630000000000003</v>
      </c>
      <c r="G22">
        <v>7.61</v>
      </c>
    </row>
    <row r="23" spans="1:7" hidden="1">
      <c r="A23">
        <v>2</v>
      </c>
      <c r="B23" t="s">
        <v>971</v>
      </c>
      <c r="C23" t="s">
        <v>966</v>
      </c>
      <c r="D23">
        <v>7.95</v>
      </c>
      <c r="E23">
        <v>18.05</v>
      </c>
      <c r="F23">
        <v>20.49</v>
      </c>
      <c r="G23">
        <v>7.73</v>
      </c>
    </row>
    <row r="24" spans="1:7" hidden="1">
      <c r="A24">
        <v>2</v>
      </c>
      <c r="B24" t="s">
        <v>971</v>
      </c>
      <c r="C24" t="s">
        <v>967</v>
      </c>
      <c r="D24">
        <v>0.15</v>
      </c>
      <c r="E24">
        <v>17.91</v>
      </c>
      <c r="F24">
        <v>0.38</v>
      </c>
      <c r="G24">
        <v>0.09</v>
      </c>
    </row>
    <row r="25" spans="1:7" hidden="1">
      <c r="A25">
        <v>2</v>
      </c>
      <c r="B25" t="s">
        <v>971</v>
      </c>
      <c r="C25" t="s">
        <v>968</v>
      </c>
      <c r="D25">
        <v>0.43</v>
      </c>
      <c r="E25">
        <v>18.09</v>
      </c>
      <c r="F25">
        <v>1.1100000000000001</v>
      </c>
      <c r="G25">
        <v>0.12</v>
      </c>
    </row>
    <row r="26" spans="1:7" hidden="1">
      <c r="A26">
        <v>2</v>
      </c>
      <c r="B26" t="s">
        <v>971</v>
      </c>
      <c r="C26" t="s">
        <v>969</v>
      </c>
      <c r="D26">
        <v>1.08</v>
      </c>
      <c r="E26">
        <v>24.75</v>
      </c>
      <c r="F26">
        <v>3.84</v>
      </c>
      <c r="G26">
        <v>0.06</v>
      </c>
    </row>
    <row r="27" spans="1:7" hidden="1">
      <c r="A27">
        <v>2</v>
      </c>
      <c r="B27" t="s">
        <v>971</v>
      </c>
      <c r="C27" t="s">
        <v>970</v>
      </c>
      <c r="D27">
        <v>0.27</v>
      </c>
      <c r="E27">
        <v>24.75</v>
      </c>
      <c r="F27">
        <v>0.96</v>
      </c>
      <c r="G27">
        <v>7.0000000000000007E-2</v>
      </c>
    </row>
    <row r="28" spans="1:7" hidden="1">
      <c r="A28">
        <v>3</v>
      </c>
      <c r="B28" t="s">
        <v>972</v>
      </c>
      <c r="C28" t="s">
        <v>959</v>
      </c>
      <c r="D28">
        <v>1.67</v>
      </c>
      <c r="E28">
        <v>18.309999999999999</v>
      </c>
      <c r="F28">
        <v>4.3600000000000003</v>
      </c>
      <c r="G28">
        <v>1.02</v>
      </c>
    </row>
    <row r="29" spans="1:7" hidden="1">
      <c r="A29">
        <v>3</v>
      </c>
      <c r="B29" t="s">
        <v>972</v>
      </c>
      <c r="C29" t="s">
        <v>960</v>
      </c>
      <c r="D29">
        <v>2.54</v>
      </c>
      <c r="E29">
        <v>18.399999999999999</v>
      </c>
      <c r="F29">
        <v>6.68</v>
      </c>
      <c r="G29">
        <v>1.66</v>
      </c>
    </row>
    <row r="30" spans="1:7" hidden="1">
      <c r="A30">
        <v>3</v>
      </c>
      <c r="B30" t="s">
        <v>972</v>
      </c>
      <c r="C30" t="s">
        <v>961</v>
      </c>
      <c r="D30">
        <v>4.0599999999999996</v>
      </c>
      <c r="E30">
        <v>20.059999999999999</v>
      </c>
      <c r="F30">
        <v>11.62</v>
      </c>
      <c r="G30">
        <v>2.14</v>
      </c>
    </row>
    <row r="31" spans="1:7" hidden="1">
      <c r="A31">
        <v>3</v>
      </c>
      <c r="B31" t="s">
        <v>972</v>
      </c>
      <c r="C31" t="s">
        <v>962</v>
      </c>
      <c r="D31">
        <v>0.79</v>
      </c>
      <c r="E31">
        <v>24.72</v>
      </c>
      <c r="F31">
        <v>2.79</v>
      </c>
      <c r="G31">
        <v>0.4</v>
      </c>
    </row>
    <row r="32" spans="1:7" hidden="1">
      <c r="A32">
        <v>3</v>
      </c>
      <c r="B32" t="s">
        <v>972</v>
      </c>
      <c r="C32" t="s">
        <v>963</v>
      </c>
      <c r="D32">
        <v>1.99</v>
      </c>
      <c r="E32">
        <v>18.13</v>
      </c>
      <c r="F32">
        <v>5.15</v>
      </c>
      <c r="G32">
        <v>0.93</v>
      </c>
    </row>
    <row r="33" spans="1:7" hidden="1">
      <c r="A33">
        <v>3</v>
      </c>
      <c r="B33" t="s">
        <v>972</v>
      </c>
      <c r="C33" t="s">
        <v>964</v>
      </c>
      <c r="D33">
        <v>0.11</v>
      </c>
      <c r="E33">
        <v>21.87</v>
      </c>
      <c r="F33">
        <v>0.33</v>
      </c>
      <c r="G33">
        <v>0.03</v>
      </c>
    </row>
    <row r="34" spans="1:7" hidden="1">
      <c r="A34">
        <v>3</v>
      </c>
      <c r="B34" t="s">
        <v>972</v>
      </c>
      <c r="C34" t="s">
        <v>965</v>
      </c>
      <c r="D34">
        <v>1.94</v>
      </c>
      <c r="E34">
        <v>24.75</v>
      </c>
      <c r="F34">
        <v>6.86</v>
      </c>
      <c r="G34">
        <v>0.76</v>
      </c>
    </row>
    <row r="35" spans="1:7">
      <c r="A35">
        <v>3</v>
      </c>
      <c r="B35" t="s">
        <v>972</v>
      </c>
      <c r="C35" t="s">
        <v>24</v>
      </c>
      <c r="D35">
        <v>13.09</v>
      </c>
      <c r="E35">
        <v>20.21</v>
      </c>
      <c r="F35">
        <v>37.79</v>
      </c>
      <c r="G35">
        <v>6.94</v>
      </c>
    </row>
    <row r="36" spans="1:7" hidden="1">
      <c r="A36">
        <v>3</v>
      </c>
      <c r="B36" t="s">
        <v>972</v>
      </c>
      <c r="C36" t="s">
        <v>966</v>
      </c>
      <c r="D36">
        <v>4.3</v>
      </c>
      <c r="E36">
        <v>18.05</v>
      </c>
      <c r="F36">
        <v>11.1</v>
      </c>
      <c r="G36">
        <v>4.03</v>
      </c>
    </row>
    <row r="37" spans="1:7" hidden="1">
      <c r="A37">
        <v>3</v>
      </c>
      <c r="B37" t="s">
        <v>972</v>
      </c>
      <c r="C37" t="s">
        <v>967</v>
      </c>
      <c r="D37">
        <v>0.21</v>
      </c>
      <c r="E37">
        <v>17.91</v>
      </c>
      <c r="F37">
        <v>0.54</v>
      </c>
      <c r="G37">
        <v>0.05</v>
      </c>
    </row>
    <row r="38" spans="1:7" hidden="1">
      <c r="A38">
        <v>3</v>
      </c>
      <c r="B38" t="s">
        <v>972</v>
      </c>
      <c r="C38" t="s">
        <v>968</v>
      </c>
      <c r="D38">
        <v>0.42</v>
      </c>
      <c r="E38">
        <v>18.09</v>
      </c>
      <c r="F38">
        <v>1.08</v>
      </c>
      <c r="G38">
        <v>0.13</v>
      </c>
    </row>
    <row r="39" spans="1:7" hidden="1">
      <c r="A39">
        <v>3</v>
      </c>
      <c r="B39" t="s">
        <v>972</v>
      </c>
      <c r="C39" t="s">
        <v>969</v>
      </c>
      <c r="D39">
        <v>1.1000000000000001</v>
      </c>
      <c r="E39">
        <v>24.75</v>
      </c>
      <c r="F39">
        <v>3.89</v>
      </c>
      <c r="G39">
        <v>0.04</v>
      </c>
    </row>
    <row r="40" spans="1:7" hidden="1">
      <c r="A40">
        <v>3</v>
      </c>
      <c r="B40" t="s">
        <v>972</v>
      </c>
      <c r="C40" t="s">
        <v>970</v>
      </c>
      <c r="D40">
        <v>0.25</v>
      </c>
      <c r="E40">
        <v>24.75</v>
      </c>
      <c r="F40">
        <v>0.89</v>
      </c>
      <c r="G40">
        <v>0.06</v>
      </c>
    </row>
    <row r="41" spans="1:7" hidden="1">
      <c r="A41">
        <v>4</v>
      </c>
      <c r="B41" t="s">
        <v>973</v>
      </c>
      <c r="C41" t="s">
        <v>959</v>
      </c>
      <c r="D41">
        <v>1.58</v>
      </c>
      <c r="E41">
        <v>18.309999999999999</v>
      </c>
      <c r="F41">
        <v>4.13</v>
      </c>
      <c r="G41">
        <v>0.01</v>
      </c>
    </row>
    <row r="42" spans="1:7" hidden="1">
      <c r="A42">
        <v>4</v>
      </c>
      <c r="B42" t="s">
        <v>973</v>
      </c>
      <c r="C42" t="s">
        <v>960</v>
      </c>
      <c r="D42">
        <v>2.27</v>
      </c>
      <c r="E42">
        <v>18.399999999999999</v>
      </c>
      <c r="F42">
        <v>5.95</v>
      </c>
      <c r="G42">
        <v>0</v>
      </c>
    </row>
    <row r="43" spans="1:7" hidden="1">
      <c r="A43">
        <v>4</v>
      </c>
      <c r="B43" t="s">
        <v>973</v>
      </c>
      <c r="C43" t="s">
        <v>961</v>
      </c>
      <c r="D43">
        <v>5.14</v>
      </c>
      <c r="E43">
        <v>20.059999999999999</v>
      </c>
      <c r="F43">
        <v>14.73</v>
      </c>
      <c r="G43">
        <v>0</v>
      </c>
    </row>
    <row r="44" spans="1:7" hidden="1">
      <c r="A44">
        <v>4</v>
      </c>
      <c r="B44" t="s">
        <v>973</v>
      </c>
      <c r="C44" t="s">
        <v>962</v>
      </c>
      <c r="D44">
        <v>1</v>
      </c>
      <c r="E44">
        <v>24.72</v>
      </c>
      <c r="F44">
        <v>3.54</v>
      </c>
      <c r="G44">
        <v>0</v>
      </c>
    </row>
    <row r="45" spans="1:7" hidden="1">
      <c r="A45">
        <v>4</v>
      </c>
      <c r="B45" t="s">
        <v>973</v>
      </c>
      <c r="C45" t="s">
        <v>963</v>
      </c>
      <c r="D45">
        <v>1.91</v>
      </c>
      <c r="E45">
        <v>18.13</v>
      </c>
      <c r="F45">
        <v>4.95</v>
      </c>
      <c r="G45">
        <v>0</v>
      </c>
    </row>
    <row r="46" spans="1:7" hidden="1">
      <c r="A46">
        <v>4</v>
      </c>
      <c r="B46" t="s">
        <v>973</v>
      </c>
      <c r="C46" t="s">
        <v>964</v>
      </c>
      <c r="D46">
        <v>0.13</v>
      </c>
      <c r="E46">
        <v>21.87</v>
      </c>
      <c r="F46">
        <v>0.41</v>
      </c>
      <c r="G46">
        <v>0</v>
      </c>
    </row>
    <row r="47" spans="1:7" hidden="1">
      <c r="A47">
        <v>4</v>
      </c>
      <c r="B47" t="s">
        <v>973</v>
      </c>
      <c r="C47" t="s">
        <v>965</v>
      </c>
      <c r="D47">
        <v>2.0099999999999998</v>
      </c>
      <c r="E47">
        <v>24.75</v>
      </c>
      <c r="F47">
        <v>7.1</v>
      </c>
      <c r="G47">
        <v>0.01</v>
      </c>
    </row>
    <row r="48" spans="1:7">
      <c r="A48">
        <v>4</v>
      </c>
      <c r="B48" t="s">
        <v>973</v>
      </c>
      <c r="C48" t="s">
        <v>24</v>
      </c>
      <c r="D48">
        <v>14.04</v>
      </c>
      <c r="E48">
        <v>20.350000000000001</v>
      </c>
      <c r="F48">
        <v>40.82</v>
      </c>
      <c r="G48">
        <v>0.03</v>
      </c>
    </row>
    <row r="49" spans="1:7" hidden="1">
      <c r="A49">
        <v>4</v>
      </c>
      <c r="B49" t="s">
        <v>973</v>
      </c>
      <c r="C49" t="s">
        <v>966</v>
      </c>
      <c r="D49">
        <v>1.54</v>
      </c>
      <c r="E49">
        <v>18.05</v>
      </c>
      <c r="F49">
        <v>3.97</v>
      </c>
      <c r="G49">
        <v>1.36</v>
      </c>
    </row>
    <row r="50" spans="1:7" hidden="1">
      <c r="A50">
        <v>4</v>
      </c>
      <c r="B50" t="s">
        <v>973</v>
      </c>
      <c r="C50" t="s">
        <v>967</v>
      </c>
      <c r="D50">
        <v>0.19</v>
      </c>
      <c r="E50">
        <v>17.91</v>
      </c>
      <c r="F50">
        <v>0.49</v>
      </c>
      <c r="G50">
        <v>0</v>
      </c>
    </row>
    <row r="51" spans="1:7" hidden="1">
      <c r="A51">
        <v>4</v>
      </c>
      <c r="B51" t="s">
        <v>973</v>
      </c>
      <c r="C51" t="s">
        <v>968</v>
      </c>
      <c r="D51">
        <v>0.52</v>
      </c>
      <c r="E51">
        <v>18.09</v>
      </c>
      <c r="F51">
        <v>1.34</v>
      </c>
      <c r="G51">
        <v>0</v>
      </c>
    </row>
    <row r="52" spans="1:7" hidden="1">
      <c r="A52">
        <v>4</v>
      </c>
      <c r="B52" t="s">
        <v>973</v>
      </c>
      <c r="C52" t="s">
        <v>969</v>
      </c>
      <c r="D52">
        <v>0.9</v>
      </c>
      <c r="E52">
        <v>24.75</v>
      </c>
      <c r="F52">
        <v>3.18</v>
      </c>
      <c r="G52">
        <v>0</v>
      </c>
    </row>
    <row r="53" spans="1:7" hidden="1">
      <c r="A53">
        <v>4</v>
      </c>
      <c r="B53" t="s">
        <v>973</v>
      </c>
      <c r="C53" t="s">
        <v>970</v>
      </c>
      <c r="D53">
        <v>0.39</v>
      </c>
      <c r="E53">
        <v>24.75</v>
      </c>
      <c r="F53">
        <v>1.37</v>
      </c>
      <c r="G53">
        <v>0</v>
      </c>
    </row>
    <row r="54" spans="1:7" hidden="1">
      <c r="A54">
        <v>5</v>
      </c>
      <c r="B54" t="s">
        <v>974</v>
      </c>
      <c r="C54" t="s">
        <v>959</v>
      </c>
      <c r="D54">
        <v>1.45</v>
      </c>
      <c r="E54">
        <v>18.309999999999999</v>
      </c>
      <c r="F54">
        <v>3.79</v>
      </c>
      <c r="G54">
        <v>0</v>
      </c>
    </row>
    <row r="55" spans="1:7" hidden="1">
      <c r="A55">
        <v>5</v>
      </c>
      <c r="B55" t="s">
        <v>974</v>
      </c>
      <c r="C55" t="s">
        <v>960</v>
      </c>
      <c r="D55">
        <v>2.12</v>
      </c>
      <c r="E55">
        <v>18.399999999999999</v>
      </c>
      <c r="F55">
        <v>5.56</v>
      </c>
      <c r="G55">
        <v>0</v>
      </c>
    </row>
    <row r="56" spans="1:7" hidden="1">
      <c r="A56">
        <v>5</v>
      </c>
      <c r="B56" t="s">
        <v>974</v>
      </c>
      <c r="C56" t="s">
        <v>961</v>
      </c>
      <c r="D56">
        <v>5.38</v>
      </c>
      <c r="E56">
        <v>20.059999999999999</v>
      </c>
      <c r="F56">
        <v>15.42</v>
      </c>
      <c r="G56">
        <v>0</v>
      </c>
    </row>
    <row r="57" spans="1:7" hidden="1">
      <c r="A57">
        <v>5</v>
      </c>
      <c r="B57" t="s">
        <v>974</v>
      </c>
      <c r="C57" t="s">
        <v>962</v>
      </c>
      <c r="D57">
        <v>0.98</v>
      </c>
      <c r="E57">
        <v>24.72</v>
      </c>
      <c r="F57">
        <v>3.47</v>
      </c>
      <c r="G57">
        <v>0</v>
      </c>
    </row>
    <row r="58" spans="1:7" hidden="1">
      <c r="A58">
        <v>5</v>
      </c>
      <c r="B58" t="s">
        <v>974</v>
      </c>
      <c r="C58" t="s">
        <v>963</v>
      </c>
      <c r="D58">
        <v>1.98</v>
      </c>
      <c r="E58">
        <v>18.13</v>
      </c>
      <c r="F58">
        <v>5.13</v>
      </c>
      <c r="G58">
        <v>0</v>
      </c>
    </row>
    <row r="59" spans="1:7" hidden="1">
      <c r="A59">
        <v>5</v>
      </c>
      <c r="B59" t="s">
        <v>974</v>
      </c>
      <c r="C59" t="s">
        <v>964</v>
      </c>
      <c r="D59">
        <v>0.13</v>
      </c>
      <c r="E59">
        <v>21.87</v>
      </c>
      <c r="F59">
        <v>0.42</v>
      </c>
      <c r="G59">
        <v>0</v>
      </c>
    </row>
    <row r="60" spans="1:7" hidden="1">
      <c r="A60">
        <v>5</v>
      </c>
      <c r="B60" t="s">
        <v>974</v>
      </c>
      <c r="C60" t="s">
        <v>965</v>
      </c>
      <c r="D60">
        <v>1.99</v>
      </c>
      <c r="E60">
        <v>24.75</v>
      </c>
      <c r="F60">
        <v>7.03</v>
      </c>
      <c r="G60">
        <v>0.01</v>
      </c>
    </row>
    <row r="61" spans="1:7">
      <c r="A61">
        <v>5</v>
      </c>
      <c r="B61" t="s">
        <v>974</v>
      </c>
      <c r="C61" t="s">
        <v>24</v>
      </c>
      <c r="D61">
        <v>14.03</v>
      </c>
      <c r="E61">
        <v>20.36</v>
      </c>
      <c r="F61">
        <v>40.81</v>
      </c>
      <c r="G61">
        <v>0.02</v>
      </c>
    </row>
    <row r="62" spans="1:7" hidden="1">
      <c r="A62">
        <v>5</v>
      </c>
      <c r="B62" t="s">
        <v>974</v>
      </c>
      <c r="C62" t="s">
        <v>966</v>
      </c>
      <c r="D62">
        <v>0</v>
      </c>
      <c r="E62">
        <v>18.05</v>
      </c>
      <c r="F62">
        <v>0</v>
      </c>
      <c r="G62">
        <v>0</v>
      </c>
    </row>
    <row r="63" spans="1:7" hidden="1">
      <c r="A63">
        <v>5</v>
      </c>
      <c r="B63" t="s">
        <v>974</v>
      </c>
      <c r="C63" t="s">
        <v>967</v>
      </c>
      <c r="D63">
        <v>0.21</v>
      </c>
      <c r="E63">
        <v>17.91</v>
      </c>
      <c r="F63">
        <v>0.54</v>
      </c>
      <c r="G63">
        <v>0</v>
      </c>
    </row>
    <row r="64" spans="1:7" hidden="1">
      <c r="A64">
        <v>5</v>
      </c>
      <c r="B64" t="s">
        <v>974</v>
      </c>
      <c r="C64" t="s">
        <v>968</v>
      </c>
      <c r="D64">
        <v>0.81</v>
      </c>
      <c r="E64">
        <v>18.09</v>
      </c>
      <c r="F64">
        <v>2.09</v>
      </c>
      <c r="G64">
        <v>0</v>
      </c>
    </row>
    <row r="65" spans="1:7" hidden="1">
      <c r="A65">
        <v>5</v>
      </c>
      <c r="B65" t="s">
        <v>974</v>
      </c>
      <c r="C65" t="s">
        <v>969</v>
      </c>
      <c r="D65">
        <v>0.16</v>
      </c>
      <c r="E65">
        <v>24.75</v>
      </c>
      <c r="F65">
        <v>0.55000000000000004</v>
      </c>
      <c r="G65">
        <v>0</v>
      </c>
    </row>
    <row r="66" spans="1:7" hidden="1">
      <c r="A66">
        <v>5</v>
      </c>
      <c r="B66" t="s">
        <v>974</v>
      </c>
      <c r="C66" t="s">
        <v>970</v>
      </c>
      <c r="D66">
        <v>0.31</v>
      </c>
      <c r="E66">
        <v>24.75</v>
      </c>
      <c r="F66">
        <v>1.1000000000000001</v>
      </c>
      <c r="G66">
        <v>0</v>
      </c>
    </row>
    <row r="67" spans="1:7" hidden="1">
      <c r="A67">
        <v>6</v>
      </c>
      <c r="B67" t="s">
        <v>975</v>
      </c>
      <c r="C67" t="s">
        <v>959</v>
      </c>
      <c r="D67">
        <v>1.75</v>
      </c>
      <c r="E67">
        <v>18.309999999999999</v>
      </c>
      <c r="F67">
        <v>4.57</v>
      </c>
      <c r="G67">
        <v>0.01</v>
      </c>
    </row>
    <row r="68" spans="1:7" hidden="1">
      <c r="A68">
        <v>6</v>
      </c>
      <c r="B68" t="s">
        <v>975</v>
      </c>
      <c r="C68" t="s">
        <v>960</v>
      </c>
      <c r="D68">
        <v>2.2200000000000002</v>
      </c>
      <c r="E68">
        <v>18.399999999999999</v>
      </c>
      <c r="F68">
        <v>5.83</v>
      </c>
      <c r="G68">
        <v>0.01</v>
      </c>
    </row>
    <row r="69" spans="1:7" hidden="1">
      <c r="A69">
        <v>6</v>
      </c>
      <c r="B69" t="s">
        <v>975</v>
      </c>
      <c r="C69" t="s">
        <v>961</v>
      </c>
      <c r="D69">
        <v>3.6</v>
      </c>
      <c r="E69">
        <v>20.059999999999999</v>
      </c>
      <c r="F69">
        <v>10.31</v>
      </c>
      <c r="G69">
        <v>0.01</v>
      </c>
    </row>
    <row r="70" spans="1:7" hidden="1">
      <c r="A70">
        <v>6</v>
      </c>
      <c r="B70" t="s">
        <v>975</v>
      </c>
      <c r="C70" t="s">
        <v>962</v>
      </c>
      <c r="D70">
        <v>0.85</v>
      </c>
      <c r="E70">
        <v>24.72</v>
      </c>
      <c r="F70">
        <v>3.01</v>
      </c>
      <c r="G70">
        <v>0</v>
      </c>
    </row>
    <row r="71" spans="1:7" hidden="1">
      <c r="A71">
        <v>6</v>
      </c>
      <c r="B71" t="s">
        <v>975</v>
      </c>
      <c r="C71" t="s">
        <v>963</v>
      </c>
      <c r="D71">
        <v>2.16</v>
      </c>
      <c r="E71">
        <v>18.13</v>
      </c>
      <c r="F71">
        <v>5.59</v>
      </c>
      <c r="G71">
        <v>0.01</v>
      </c>
    </row>
    <row r="72" spans="1:7" hidden="1">
      <c r="A72">
        <v>6</v>
      </c>
      <c r="B72" t="s">
        <v>975</v>
      </c>
      <c r="C72" t="s">
        <v>964</v>
      </c>
      <c r="D72">
        <v>0.12</v>
      </c>
      <c r="E72">
        <v>21.87</v>
      </c>
      <c r="F72">
        <v>0.38</v>
      </c>
      <c r="G72">
        <v>0</v>
      </c>
    </row>
    <row r="73" spans="1:7" hidden="1">
      <c r="A73">
        <v>6</v>
      </c>
      <c r="B73" t="s">
        <v>975</v>
      </c>
      <c r="C73" t="s">
        <v>965</v>
      </c>
      <c r="D73">
        <v>2</v>
      </c>
      <c r="E73">
        <v>24.75</v>
      </c>
      <c r="F73">
        <v>7.06</v>
      </c>
      <c r="G73">
        <v>0.03</v>
      </c>
    </row>
    <row r="74" spans="1:7">
      <c r="A74">
        <v>6</v>
      </c>
      <c r="B74" t="s">
        <v>975</v>
      </c>
      <c r="C74" t="s">
        <v>24</v>
      </c>
      <c r="D74">
        <v>12.69</v>
      </c>
      <c r="E74">
        <v>20.27</v>
      </c>
      <c r="F74">
        <v>36.75</v>
      </c>
      <c r="G74">
        <v>7.0000000000000007E-2</v>
      </c>
    </row>
    <row r="75" spans="1:7" hidden="1">
      <c r="A75">
        <v>6</v>
      </c>
      <c r="B75" t="s">
        <v>975</v>
      </c>
      <c r="C75" t="s">
        <v>966</v>
      </c>
      <c r="D75">
        <v>0</v>
      </c>
      <c r="E75">
        <v>18.05</v>
      </c>
      <c r="F75">
        <v>0</v>
      </c>
      <c r="G75">
        <v>0</v>
      </c>
    </row>
    <row r="76" spans="1:7" hidden="1">
      <c r="A76">
        <v>6</v>
      </c>
      <c r="B76" t="s">
        <v>975</v>
      </c>
      <c r="C76" t="s">
        <v>967</v>
      </c>
      <c r="D76">
        <v>0.16</v>
      </c>
      <c r="E76">
        <v>17.91</v>
      </c>
      <c r="F76">
        <v>0.42</v>
      </c>
      <c r="G76">
        <v>0</v>
      </c>
    </row>
    <row r="77" spans="1:7" hidden="1">
      <c r="A77">
        <v>6</v>
      </c>
      <c r="B77" t="s">
        <v>975</v>
      </c>
      <c r="C77" t="s">
        <v>968</v>
      </c>
      <c r="D77">
        <v>0.75</v>
      </c>
      <c r="E77">
        <v>18.09</v>
      </c>
      <c r="F77">
        <v>1.94</v>
      </c>
      <c r="G77">
        <v>0.01</v>
      </c>
    </row>
    <row r="78" spans="1:7" hidden="1">
      <c r="A78">
        <v>6</v>
      </c>
      <c r="B78" t="s">
        <v>975</v>
      </c>
      <c r="C78" t="s">
        <v>969</v>
      </c>
      <c r="D78">
        <v>0.16</v>
      </c>
      <c r="E78">
        <v>24.75</v>
      </c>
      <c r="F78">
        <v>0.55000000000000004</v>
      </c>
      <c r="G78">
        <v>0</v>
      </c>
    </row>
    <row r="79" spans="1:7" hidden="1">
      <c r="A79">
        <v>6</v>
      </c>
      <c r="B79" t="s">
        <v>975</v>
      </c>
      <c r="C79" t="s">
        <v>970</v>
      </c>
      <c r="D79">
        <v>0.33</v>
      </c>
      <c r="E79">
        <v>24.75</v>
      </c>
      <c r="F79">
        <v>1.18</v>
      </c>
      <c r="G79">
        <v>0</v>
      </c>
    </row>
    <row r="80" spans="1:7" hidden="1">
      <c r="A80">
        <v>7</v>
      </c>
      <c r="B80" t="s">
        <v>976</v>
      </c>
      <c r="C80" t="s">
        <v>959</v>
      </c>
      <c r="D80">
        <v>1.35</v>
      </c>
      <c r="E80">
        <v>18.309999999999999</v>
      </c>
      <c r="F80">
        <v>3.54</v>
      </c>
      <c r="G80">
        <v>0</v>
      </c>
    </row>
    <row r="81" spans="1:7" hidden="1">
      <c r="A81">
        <v>7</v>
      </c>
      <c r="B81" t="s">
        <v>976</v>
      </c>
      <c r="C81" t="s">
        <v>960</v>
      </c>
      <c r="D81">
        <v>2.08</v>
      </c>
      <c r="E81">
        <v>18.399999999999999</v>
      </c>
      <c r="F81">
        <v>5.46</v>
      </c>
      <c r="G81">
        <v>0</v>
      </c>
    </row>
    <row r="82" spans="1:7" hidden="1">
      <c r="A82">
        <v>7</v>
      </c>
      <c r="B82" t="s">
        <v>976</v>
      </c>
      <c r="C82" t="s">
        <v>961</v>
      </c>
      <c r="D82">
        <v>6.33</v>
      </c>
      <c r="E82">
        <v>20.059999999999999</v>
      </c>
      <c r="F82">
        <v>18.14</v>
      </c>
      <c r="G82">
        <v>0</v>
      </c>
    </row>
    <row r="83" spans="1:7" hidden="1">
      <c r="A83">
        <v>7</v>
      </c>
      <c r="B83" t="s">
        <v>976</v>
      </c>
      <c r="C83" t="s">
        <v>962</v>
      </c>
      <c r="D83">
        <v>0.98</v>
      </c>
      <c r="E83">
        <v>24.72</v>
      </c>
      <c r="F83">
        <v>3.45</v>
      </c>
      <c r="G83">
        <v>0</v>
      </c>
    </row>
    <row r="84" spans="1:7" hidden="1">
      <c r="A84">
        <v>7</v>
      </c>
      <c r="B84" t="s">
        <v>976</v>
      </c>
      <c r="C84" t="s">
        <v>963</v>
      </c>
      <c r="D84">
        <v>2.0499999999999998</v>
      </c>
      <c r="E84">
        <v>18.13</v>
      </c>
      <c r="F84">
        <v>5.32</v>
      </c>
      <c r="G84">
        <v>0</v>
      </c>
    </row>
    <row r="85" spans="1:7" hidden="1">
      <c r="A85">
        <v>7</v>
      </c>
      <c r="B85" t="s">
        <v>976</v>
      </c>
      <c r="C85" t="s">
        <v>964</v>
      </c>
      <c r="D85">
        <v>0.16</v>
      </c>
      <c r="E85">
        <v>21.87</v>
      </c>
      <c r="F85">
        <v>0.51</v>
      </c>
      <c r="G85">
        <v>0</v>
      </c>
    </row>
    <row r="86" spans="1:7" hidden="1">
      <c r="A86">
        <v>7</v>
      </c>
      <c r="B86" t="s">
        <v>976</v>
      </c>
      <c r="C86" t="s">
        <v>965</v>
      </c>
      <c r="D86">
        <v>2.0699999999999998</v>
      </c>
      <c r="E86">
        <v>24.75</v>
      </c>
      <c r="F86">
        <v>7.32</v>
      </c>
      <c r="G86">
        <v>0</v>
      </c>
    </row>
    <row r="87" spans="1:7">
      <c r="A87">
        <v>7</v>
      </c>
      <c r="B87" t="s">
        <v>976</v>
      </c>
      <c r="C87" t="s">
        <v>24</v>
      </c>
      <c r="D87">
        <v>15.03</v>
      </c>
      <c r="E87">
        <v>20.38</v>
      </c>
      <c r="F87">
        <v>43.75</v>
      </c>
      <c r="G87">
        <v>0</v>
      </c>
    </row>
    <row r="88" spans="1:7" hidden="1">
      <c r="A88">
        <v>7</v>
      </c>
      <c r="B88" t="s">
        <v>976</v>
      </c>
      <c r="C88" t="s">
        <v>966</v>
      </c>
      <c r="D88">
        <v>0</v>
      </c>
      <c r="E88">
        <v>18.05</v>
      </c>
      <c r="F88">
        <v>0</v>
      </c>
      <c r="G88">
        <v>0</v>
      </c>
    </row>
    <row r="89" spans="1:7" hidden="1">
      <c r="A89">
        <v>7</v>
      </c>
      <c r="B89" t="s">
        <v>976</v>
      </c>
      <c r="C89" t="s">
        <v>967</v>
      </c>
      <c r="D89">
        <v>0.24</v>
      </c>
      <c r="E89">
        <v>17.91</v>
      </c>
      <c r="F89">
        <v>0.61</v>
      </c>
      <c r="G89">
        <v>0</v>
      </c>
    </row>
    <row r="90" spans="1:7" hidden="1">
      <c r="A90">
        <v>7</v>
      </c>
      <c r="B90" t="s">
        <v>976</v>
      </c>
      <c r="C90" t="s">
        <v>968</v>
      </c>
      <c r="D90">
        <v>0.78</v>
      </c>
      <c r="E90">
        <v>18.09</v>
      </c>
      <c r="F90">
        <v>2.0099999999999998</v>
      </c>
      <c r="G90">
        <v>0</v>
      </c>
    </row>
    <row r="91" spans="1:7" hidden="1">
      <c r="A91">
        <v>7</v>
      </c>
      <c r="B91" t="s">
        <v>976</v>
      </c>
      <c r="C91" t="s">
        <v>969</v>
      </c>
      <c r="D91">
        <v>0.21</v>
      </c>
      <c r="E91">
        <v>24.75</v>
      </c>
      <c r="F91">
        <v>0.73</v>
      </c>
      <c r="G91">
        <v>0</v>
      </c>
    </row>
    <row r="92" spans="1:7" hidden="1">
      <c r="A92">
        <v>7</v>
      </c>
      <c r="B92" t="s">
        <v>976</v>
      </c>
      <c r="C92" t="s">
        <v>970</v>
      </c>
      <c r="D92">
        <v>0.25</v>
      </c>
      <c r="E92">
        <v>24.75</v>
      </c>
      <c r="F92">
        <v>0.89</v>
      </c>
      <c r="G92">
        <v>0</v>
      </c>
    </row>
    <row r="93" spans="1:7" hidden="1">
      <c r="A93">
        <v>8</v>
      </c>
      <c r="B93" t="s">
        <v>977</v>
      </c>
      <c r="C93" t="s">
        <v>959</v>
      </c>
      <c r="D93">
        <v>1.27</v>
      </c>
      <c r="E93">
        <v>18.309999999999999</v>
      </c>
      <c r="F93">
        <v>3.33</v>
      </c>
      <c r="G93">
        <v>0</v>
      </c>
    </row>
    <row r="94" spans="1:7" hidden="1">
      <c r="A94">
        <v>8</v>
      </c>
      <c r="B94" t="s">
        <v>977</v>
      </c>
      <c r="C94" t="s">
        <v>960</v>
      </c>
      <c r="D94">
        <v>2.06</v>
      </c>
      <c r="E94">
        <v>18.399999999999999</v>
      </c>
      <c r="F94">
        <v>5.41</v>
      </c>
      <c r="G94">
        <v>0</v>
      </c>
    </row>
    <row r="95" spans="1:7" hidden="1">
      <c r="A95">
        <v>8</v>
      </c>
      <c r="B95" t="s">
        <v>977</v>
      </c>
      <c r="C95" t="s">
        <v>961</v>
      </c>
      <c r="D95">
        <v>6.15</v>
      </c>
      <c r="E95">
        <v>20.059999999999999</v>
      </c>
      <c r="F95">
        <v>17.62</v>
      </c>
      <c r="G95">
        <v>0</v>
      </c>
    </row>
    <row r="96" spans="1:7" hidden="1">
      <c r="A96">
        <v>8</v>
      </c>
      <c r="B96" t="s">
        <v>977</v>
      </c>
      <c r="C96" t="s">
        <v>962</v>
      </c>
      <c r="D96">
        <v>1.0900000000000001</v>
      </c>
      <c r="E96">
        <v>24.72</v>
      </c>
      <c r="F96">
        <v>3.85</v>
      </c>
      <c r="G96">
        <v>0</v>
      </c>
    </row>
    <row r="97" spans="1:7" hidden="1">
      <c r="A97">
        <v>8</v>
      </c>
      <c r="B97" t="s">
        <v>977</v>
      </c>
      <c r="C97" t="s">
        <v>963</v>
      </c>
      <c r="D97">
        <v>1.79</v>
      </c>
      <c r="E97">
        <v>18.13</v>
      </c>
      <c r="F97">
        <v>4.6399999999999997</v>
      </c>
      <c r="G97">
        <v>0</v>
      </c>
    </row>
    <row r="98" spans="1:7" hidden="1">
      <c r="A98">
        <v>8</v>
      </c>
      <c r="B98" t="s">
        <v>977</v>
      </c>
      <c r="C98" t="s">
        <v>964</v>
      </c>
      <c r="D98">
        <v>0.12</v>
      </c>
      <c r="E98">
        <v>21.87</v>
      </c>
      <c r="F98">
        <v>0.38</v>
      </c>
      <c r="G98">
        <v>0</v>
      </c>
    </row>
    <row r="99" spans="1:7" hidden="1">
      <c r="A99">
        <v>8</v>
      </c>
      <c r="B99" t="s">
        <v>977</v>
      </c>
      <c r="C99" t="s">
        <v>965</v>
      </c>
      <c r="D99">
        <v>1.92</v>
      </c>
      <c r="E99">
        <v>24.75</v>
      </c>
      <c r="F99">
        <v>6.8</v>
      </c>
      <c r="G99">
        <v>0</v>
      </c>
    </row>
    <row r="100" spans="1:7">
      <c r="A100">
        <v>8</v>
      </c>
      <c r="B100" t="s">
        <v>977</v>
      </c>
      <c r="C100" t="s">
        <v>24</v>
      </c>
      <c r="D100">
        <v>14.41</v>
      </c>
      <c r="E100">
        <v>20.420000000000002</v>
      </c>
      <c r="F100">
        <v>42.03</v>
      </c>
      <c r="G100">
        <v>0</v>
      </c>
    </row>
    <row r="101" spans="1:7" hidden="1">
      <c r="A101">
        <v>8</v>
      </c>
      <c r="B101" t="s">
        <v>977</v>
      </c>
      <c r="C101" t="s">
        <v>966</v>
      </c>
      <c r="D101">
        <v>0</v>
      </c>
      <c r="E101">
        <v>18.05</v>
      </c>
      <c r="F101">
        <v>0</v>
      </c>
      <c r="G101">
        <v>0</v>
      </c>
    </row>
    <row r="102" spans="1:7" hidden="1">
      <c r="A102">
        <v>8</v>
      </c>
      <c r="B102" t="s">
        <v>977</v>
      </c>
      <c r="C102" t="s">
        <v>967</v>
      </c>
      <c r="D102">
        <v>0.23</v>
      </c>
      <c r="E102">
        <v>17.91</v>
      </c>
      <c r="F102">
        <v>0.59</v>
      </c>
      <c r="G102">
        <v>0</v>
      </c>
    </row>
    <row r="103" spans="1:7" hidden="1">
      <c r="A103">
        <v>8</v>
      </c>
      <c r="B103" t="s">
        <v>977</v>
      </c>
      <c r="C103" t="s">
        <v>968</v>
      </c>
      <c r="D103">
        <v>0.88</v>
      </c>
      <c r="E103">
        <v>18.09</v>
      </c>
      <c r="F103">
        <v>2.2599999999999998</v>
      </c>
      <c r="G103">
        <v>0</v>
      </c>
    </row>
    <row r="104" spans="1:7" hidden="1">
      <c r="A104">
        <v>8</v>
      </c>
      <c r="B104" t="s">
        <v>977</v>
      </c>
      <c r="C104" t="s">
        <v>969</v>
      </c>
      <c r="D104">
        <v>0.12</v>
      </c>
      <c r="E104">
        <v>24.75</v>
      </c>
      <c r="F104">
        <v>0.43</v>
      </c>
      <c r="G104">
        <v>0</v>
      </c>
    </row>
    <row r="105" spans="1:7" hidden="1">
      <c r="A105">
        <v>8</v>
      </c>
      <c r="B105" t="s">
        <v>977</v>
      </c>
      <c r="C105" t="s">
        <v>970</v>
      </c>
      <c r="D105">
        <v>0.33</v>
      </c>
      <c r="E105">
        <v>24.75</v>
      </c>
      <c r="F105">
        <v>1.17</v>
      </c>
      <c r="G105">
        <v>0</v>
      </c>
    </row>
    <row r="106" spans="1:7" hidden="1">
      <c r="A106">
        <v>9</v>
      </c>
      <c r="B106" t="s">
        <v>978</v>
      </c>
      <c r="C106" t="s">
        <v>959</v>
      </c>
      <c r="D106">
        <v>1.47</v>
      </c>
      <c r="E106">
        <v>18.309999999999999</v>
      </c>
      <c r="F106">
        <v>3.85</v>
      </c>
      <c r="G106">
        <v>0.03</v>
      </c>
    </row>
    <row r="107" spans="1:7" hidden="1">
      <c r="A107">
        <v>9</v>
      </c>
      <c r="B107" t="s">
        <v>978</v>
      </c>
      <c r="C107" t="s">
        <v>960</v>
      </c>
      <c r="D107">
        <v>2.1</v>
      </c>
      <c r="E107">
        <v>18.399999999999999</v>
      </c>
      <c r="F107">
        <v>5.52</v>
      </c>
      <c r="G107">
        <v>0.05</v>
      </c>
    </row>
    <row r="108" spans="1:7" hidden="1">
      <c r="A108">
        <v>9</v>
      </c>
      <c r="B108" t="s">
        <v>978</v>
      </c>
      <c r="C108" t="s">
        <v>961</v>
      </c>
      <c r="D108">
        <v>5.2</v>
      </c>
      <c r="E108">
        <v>20.059999999999999</v>
      </c>
      <c r="F108">
        <v>14.9</v>
      </c>
      <c r="G108">
        <v>0.05</v>
      </c>
    </row>
    <row r="109" spans="1:7" hidden="1">
      <c r="A109">
        <v>9</v>
      </c>
      <c r="B109" t="s">
        <v>978</v>
      </c>
      <c r="C109" t="s">
        <v>962</v>
      </c>
      <c r="D109">
        <v>1.03</v>
      </c>
      <c r="E109">
        <v>24.72</v>
      </c>
      <c r="F109">
        <v>3.63</v>
      </c>
      <c r="G109">
        <v>0.02</v>
      </c>
    </row>
    <row r="110" spans="1:7" hidden="1">
      <c r="A110">
        <v>9</v>
      </c>
      <c r="B110" t="s">
        <v>978</v>
      </c>
      <c r="C110" t="s">
        <v>963</v>
      </c>
      <c r="D110">
        <v>1.98</v>
      </c>
      <c r="E110">
        <v>18.13</v>
      </c>
      <c r="F110">
        <v>5.14</v>
      </c>
      <c r="G110">
        <v>0.02</v>
      </c>
    </row>
    <row r="111" spans="1:7" hidden="1">
      <c r="A111">
        <v>9</v>
      </c>
      <c r="B111" t="s">
        <v>978</v>
      </c>
      <c r="C111" t="s">
        <v>964</v>
      </c>
      <c r="D111">
        <v>0.13</v>
      </c>
      <c r="E111">
        <v>21.87</v>
      </c>
      <c r="F111">
        <v>0.42</v>
      </c>
      <c r="G111">
        <v>0</v>
      </c>
    </row>
    <row r="112" spans="1:7" hidden="1">
      <c r="A112">
        <v>9</v>
      </c>
      <c r="B112" t="s">
        <v>978</v>
      </c>
      <c r="C112" t="s">
        <v>965</v>
      </c>
      <c r="D112">
        <v>2.0299999999999998</v>
      </c>
      <c r="E112">
        <v>24.75</v>
      </c>
      <c r="F112">
        <v>7.19</v>
      </c>
      <c r="G112">
        <v>0.03</v>
      </c>
    </row>
    <row r="113" spans="1:7">
      <c r="A113">
        <v>9</v>
      </c>
      <c r="B113" t="s">
        <v>978</v>
      </c>
      <c r="C113" t="s">
        <v>24</v>
      </c>
      <c r="D113">
        <v>13.95</v>
      </c>
      <c r="E113">
        <v>20.39</v>
      </c>
      <c r="F113">
        <v>40.65</v>
      </c>
      <c r="G113">
        <v>0.2</v>
      </c>
    </row>
    <row r="114" spans="1:7" hidden="1">
      <c r="A114">
        <v>9</v>
      </c>
      <c r="B114" t="s">
        <v>978</v>
      </c>
      <c r="C114" t="s">
        <v>966</v>
      </c>
      <c r="D114">
        <v>0.31</v>
      </c>
      <c r="E114">
        <v>18.05</v>
      </c>
      <c r="F114">
        <v>0.8</v>
      </c>
      <c r="G114">
        <v>0.3</v>
      </c>
    </row>
    <row r="115" spans="1:7" hidden="1">
      <c r="A115">
        <v>9</v>
      </c>
      <c r="B115" t="s">
        <v>978</v>
      </c>
      <c r="C115" t="s">
        <v>967</v>
      </c>
      <c r="D115">
        <v>0.16</v>
      </c>
      <c r="E115">
        <v>17.91</v>
      </c>
      <c r="F115">
        <v>0.41</v>
      </c>
      <c r="G115">
        <v>0</v>
      </c>
    </row>
    <row r="116" spans="1:7" hidden="1">
      <c r="A116">
        <v>9</v>
      </c>
      <c r="B116" t="s">
        <v>978</v>
      </c>
      <c r="C116" t="s">
        <v>968</v>
      </c>
      <c r="D116">
        <v>0.88</v>
      </c>
      <c r="E116">
        <v>18.09</v>
      </c>
      <c r="F116">
        <v>2.2799999999999998</v>
      </c>
      <c r="G116">
        <v>0</v>
      </c>
    </row>
    <row r="117" spans="1:7" hidden="1">
      <c r="A117">
        <v>9</v>
      </c>
      <c r="B117" t="s">
        <v>978</v>
      </c>
      <c r="C117" t="s">
        <v>969</v>
      </c>
      <c r="D117">
        <v>0.14000000000000001</v>
      </c>
      <c r="E117">
        <v>24.75</v>
      </c>
      <c r="F117">
        <v>0.5</v>
      </c>
      <c r="G117">
        <v>0</v>
      </c>
    </row>
    <row r="118" spans="1:7" hidden="1">
      <c r="A118">
        <v>9</v>
      </c>
      <c r="B118" t="s">
        <v>978</v>
      </c>
      <c r="C118" t="s">
        <v>970</v>
      </c>
      <c r="D118">
        <v>0.32</v>
      </c>
      <c r="E118">
        <v>24.75</v>
      </c>
      <c r="F118">
        <v>1.1399999999999999</v>
      </c>
      <c r="G118">
        <v>0</v>
      </c>
    </row>
    <row r="119" spans="1:7" hidden="1">
      <c r="A119">
        <v>10</v>
      </c>
      <c r="B119" t="s">
        <v>979</v>
      </c>
      <c r="C119" t="s">
        <v>959</v>
      </c>
      <c r="D119">
        <v>1.73</v>
      </c>
      <c r="E119">
        <v>18.309999999999999</v>
      </c>
      <c r="F119">
        <v>4.53</v>
      </c>
      <c r="G119">
        <v>7.0000000000000007E-2</v>
      </c>
    </row>
    <row r="120" spans="1:7" hidden="1">
      <c r="A120">
        <v>10</v>
      </c>
      <c r="B120" t="s">
        <v>979</v>
      </c>
      <c r="C120" t="s">
        <v>960</v>
      </c>
      <c r="D120">
        <v>2.21</v>
      </c>
      <c r="E120">
        <v>18.399999999999999</v>
      </c>
      <c r="F120">
        <v>5.8</v>
      </c>
      <c r="G120">
        <v>0.1</v>
      </c>
    </row>
    <row r="121" spans="1:7" hidden="1">
      <c r="A121">
        <v>10</v>
      </c>
      <c r="B121" t="s">
        <v>979</v>
      </c>
      <c r="C121" t="s">
        <v>961</v>
      </c>
      <c r="D121">
        <v>3.55</v>
      </c>
      <c r="E121">
        <v>20.059999999999999</v>
      </c>
      <c r="F121">
        <v>10.18</v>
      </c>
      <c r="G121">
        <v>0.09</v>
      </c>
    </row>
    <row r="122" spans="1:7" hidden="1">
      <c r="A122">
        <v>10</v>
      </c>
      <c r="B122" t="s">
        <v>979</v>
      </c>
      <c r="C122" t="s">
        <v>962</v>
      </c>
      <c r="D122">
        <v>0.92</v>
      </c>
      <c r="E122">
        <v>24.72</v>
      </c>
      <c r="F122">
        <v>3.25</v>
      </c>
      <c r="G122">
        <v>0.03</v>
      </c>
    </row>
    <row r="123" spans="1:7" hidden="1">
      <c r="A123">
        <v>10</v>
      </c>
      <c r="B123" t="s">
        <v>979</v>
      </c>
      <c r="C123" t="s">
        <v>963</v>
      </c>
      <c r="D123">
        <v>2.15</v>
      </c>
      <c r="E123">
        <v>18.13</v>
      </c>
      <c r="F123">
        <v>5.57</v>
      </c>
      <c r="G123">
        <v>0.06</v>
      </c>
    </row>
    <row r="124" spans="1:7" hidden="1">
      <c r="A124">
        <v>10</v>
      </c>
      <c r="B124" t="s">
        <v>979</v>
      </c>
      <c r="C124" t="s">
        <v>964</v>
      </c>
      <c r="D124">
        <v>0.13</v>
      </c>
      <c r="E124">
        <v>21.87</v>
      </c>
      <c r="F124">
        <v>0.4</v>
      </c>
      <c r="G124">
        <v>0</v>
      </c>
    </row>
    <row r="125" spans="1:7" hidden="1">
      <c r="A125">
        <v>10</v>
      </c>
      <c r="B125" t="s">
        <v>979</v>
      </c>
      <c r="C125" t="s">
        <v>965</v>
      </c>
      <c r="D125">
        <v>2.0099999999999998</v>
      </c>
      <c r="E125">
        <v>24.75</v>
      </c>
      <c r="F125">
        <v>7.11</v>
      </c>
      <c r="G125">
        <v>7.0000000000000007E-2</v>
      </c>
    </row>
    <row r="126" spans="1:7">
      <c r="A126">
        <v>10</v>
      </c>
      <c r="B126" t="s">
        <v>979</v>
      </c>
      <c r="C126" t="s">
        <v>24</v>
      </c>
      <c r="D126">
        <v>12.7</v>
      </c>
      <c r="E126">
        <v>20.3</v>
      </c>
      <c r="F126">
        <v>36.85</v>
      </c>
      <c r="G126">
        <v>0.41</v>
      </c>
    </row>
    <row r="127" spans="1:7" hidden="1">
      <c r="A127">
        <v>10</v>
      </c>
      <c r="B127" t="s">
        <v>979</v>
      </c>
      <c r="C127" t="s">
        <v>966</v>
      </c>
      <c r="D127">
        <v>0.74</v>
      </c>
      <c r="E127">
        <v>18.05</v>
      </c>
      <c r="F127">
        <v>1.91</v>
      </c>
      <c r="G127">
        <v>0.73</v>
      </c>
    </row>
    <row r="128" spans="1:7" hidden="1">
      <c r="A128">
        <v>10</v>
      </c>
      <c r="B128" t="s">
        <v>979</v>
      </c>
      <c r="C128" t="s">
        <v>967</v>
      </c>
      <c r="D128">
        <v>0.13</v>
      </c>
      <c r="E128">
        <v>17.91</v>
      </c>
      <c r="F128">
        <v>0.34</v>
      </c>
      <c r="G128">
        <v>0</v>
      </c>
    </row>
    <row r="129" spans="1:7" hidden="1">
      <c r="A129">
        <v>10</v>
      </c>
      <c r="B129" t="s">
        <v>979</v>
      </c>
      <c r="C129" t="s">
        <v>968</v>
      </c>
      <c r="D129">
        <v>0.8</v>
      </c>
      <c r="E129">
        <v>18.09</v>
      </c>
      <c r="F129">
        <v>2.0699999999999998</v>
      </c>
      <c r="G129">
        <v>0.01</v>
      </c>
    </row>
    <row r="130" spans="1:7" hidden="1">
      <c r="A130">
        <v>10</v>
      </c>
      <c r="B130" t="s">
        <v>979</v>
      </c>
      <c r="C130" t="s">
        <v>969</v>
      </c>
      <c r="D130">
        <v>0.18</v>
      </c>
      <c r="E130">
        <v>24.75</v>
      </c>
      <c r="F130">
        <v>0.62</v>
      </c>
      <c r="G130">
        <v>0</v>
      </c>
    </row>
    <row r="131" spans="1:7" hidden="1">
      <c r="A131">
        <v>10</v>
      </c>
      <c r="B131" t="s">
        <v>979</v>
      </c>
      <c r="C131" t="s">
        <v>970</v>
      </c>
      <c r="D131">
        <v>0.33</v>
      </c>
      <c r="E131">
        <v>24.75</v>
      </c>
      <c r="F131">
        <v>1.1599999999999999</v>
      </c>
      <c r="G131">
        <v>0</v>
      </c>
    </row>
    <row r="132" spans="1:7" hidden="1">
      <c r="A132">
        <v>11</v>
      </c>
      <c r="B132" t="s">
        <v>980</v>
      </c>
      <c r="C132" t="s">
        <v>959</v>
      </c>
      <c r="D132">
        <v>1.31</v>
      </c>
      <c r="E132">
        <v>18.309999999999999</v>
      </c>
      <c r="F132">
        <v>3.43</v>
      </c>
      <c r="G132">
        <v>0.02</v>
      </c>
    </row>
    <row r="133" spans="1:7" hidden="1">
      <c r="A133">
        <v>11</v>
      </c>
      <c r="B133" t="s">
        <v>980</v>
      </c>
      <c r="C133" t="s">
        <v>960</v>
      </c>
      <c r="D133">
        <v>2.08</v>
      </c>
      <c r="E133">
        <v>18.399999999999999</v>
      </c>
      <c r="F133">
        <v>5.47</v>
      </c>
      <c r="G133">
        <v>0.04</v>
      </c>
    </row>
    <row r="134" spans="1:7" hidden="1">
      <c r="A134">
        <v>11</v>
      </c>
      <c r="B134" t="s">
        <v>980</v>
      </c>
      <c r="C134" t="s">
        <v>961</v>
      </c>
      <c r="D134">
        <v>6.33</v>
      </c>
      <c r="E134">
        <v>20.059999999999999</v>
      </c>
      <c r="F134">
        <v>18.14</v>
      </c>
      <c r="G134">
        <v>0.04</v>
      </c>
    </row>
    <row r="135" spans="1:7" hidden="1">
      <c r="A135">
        <v>11</v>
      </c>
      <c r="B135" t="s">
        <v>980</v>
      </c>
      <c r="C135" t="s">
        <v>962</v>
      </c>
      <c r="D135">
        <v>1.1200000000000001</v>
      </c>
      <c r="E135">
        <v>24.72</v>
      </c>
      <c r="F135">
        <v>3.94</v>
      </c>
      <c r="G135">
        <v>0.01</v>
      </c>
    </row>
    <row r="136" spans="1:7" hidden="1">
      <c r="A136">
        <v>11</v>
      </c>
      <c r="B136" t="s">
        <v>980</v>
      </c>
      <c r="C136" t="s">
        <v>963</v>
      </c>
      <c r="D136">
        <v>1.99</v>
      </c>
      <c r="E136">
        <v>18.13</v>
      </c>
      <c r="F136">
        <v>5.16</v>
      </c>
      <c r="G136">
        <v>0.01</v>
      </c>
    </row>
    <row r="137" spans="1:7" hidden="1">
      <c r="A137">
        <v>11</v>
      </c>
      <c r="B137" t="s">
        <v>980</v>
      </c>
      <c r="C137" t="s">
        <v>964</v>
      </c>
      <c r="D137">
        <v>0.15</v>
      </c>
      <c r="E137">
        <v>21.87</v>
      </c>
      <c r="F137">
        <v>0.47</v>
      </c>
      <c r="G137">
        <v>0</v>
      </c>
    </row>
    <row r="138" spans="1:7" hidden="1">
      <c r="A138">
        <v>11</v>
      </c>
      <c r="B138" t="s">
        <v>980</v>
      </c>
      <c r="C138" t="s">
        <v>965</v>
      </c>
      <c r="D138">
        <v>2.2200000000000002</v>
      </c>
      <c r="E138">
        <v>24.75</v>
      </c>
      <c r="F138">
        <v>7.85</v>
      </c>
      <c r="G138">
        <v>0.02</v>
      </c>
    </row>
    <row r="139" spans="1:7">
      <c r="A139">
        <v>11</v>
      </c>
      <c r="B139" t="s">
        <v>980</v>
      </c>
      <c r="C139" t="s">
        <v>24</v>
      </c>
      <c r="D139">
        <v>15.2</v>
      </c>
      <c r="E139">
        <v>20.47</v>
      </c>
      <c r="F139">
        <v>44.46</v>
      </c>
      <c r="G139">
        <v>0.13</v>
      </c>
    </row>
    <row r="140" spans="1:7" hidden="1">
      <c r="A140">
        <v>11</v>
      </c>
      <c r="B140" t="s">
        <v>980</v>
      </c>
      <c r="C140" t="s">
        <v>966</v>
      </c>
      <c r="D140">
        <v>0.06</v>
      </c>
      <c r="E140">
        <v>18.05</v>
      </c>
      <c r="F140">
        <v>0.15</v>
      </c>
      <c r="G140">
        <v>0.06</v>
      </c>
    </row>
    <row r="141" spans="1:7" hidden="1">
      <c r="A141">
        <v>11</v>
      </c>
      <c r="B141" t="s">
        <v>980</v>
      </c>
      <c r="C141" t="s">
        <v>967</v>
      </c>
      <c r="D141">
        <v>0.15</v>
      </c>
      <c r="E141">
        <v>17.91</v>
      </c>
      <c r="F141">
        <v>0.38</v>
      </c>
      <c r="G141">
        <v>0</v>
      </c>
    </row>
    <row r="142" spans="1:7" hidden="1">
      <c r="A142">
        <v>11</v>
      </c>
      <c r="B142" t="s">
        <v>980</v>
      </c>
      <c r="C142" t="s">
        <v>968</v>
      </c>
      <c r="D142">
        <v>0.81</v>
      </c>
      <c r="E142">
        <v>18.09</v>
      </c>
      <c r="F142">
        <v>2.09</v>
      </c>
      <c r="G142">
        <v>0</v>
      </c>
    </row>
    <row r="143" spans="1:7" hidden="1">
      <c r="A143">
        <v>11</v>
      </c>
      <c r="B143" t="s">
        <v>980</v>
      </c>
      <c r="C143" t="s">
        <v>969</v>
      </c>
      <c r="D143">
        <v>0.14000000000000001</v>
      </c>
      <c r="E143">
        <v>24.75</v>
      </c>
      <c r="F143">
        <v>0.51</v>
      </c>
      <c r="G143">
        <v>0</v>
      </c>
    </row>
    <row r="144" spans="1:7" hidden="1">
      <c r="A144">
        <v>11</v>
      </c>
      <c r="B144" t="s">
        <v>980</v>
      </c>
      <c r="C144" t="s">
        <v>970</v>
      </c>
      <c r="D144">
        <v>0.28999999999999998</v>
      </c>
      <c r="E144">
        <v>24.75</v>
      </c>
      <c r="F144">
        <v>1.03</v>
      </c>
      <c r="G144">
        <v>0</v>
      </c>
    </row>
    <row r="145" spans="1:7" hidden="1">
      <c r="A145">
        <v>12</v>
      </c>
      <c r="B145" t="s">
        <v>981</v>
      </c>
      <c r="C145" t="s">
        <v>959</v>
      </c>
      <c r="D145">
        <v>1.3</v>
      </c>
      <c r="E145">
        <v>18.309999999999999</v>
      </c>
      <c r="F145">
        <v>3.41</v>
      </c>
      <c r="G145">
        <v>0</v>
      </c>
    </row>
    <row r="146" spans="1:7" hidden="1">
      <c r="A146">
        <v>12</v>
      </c>
      <c r="B146" t="s">
        <v>981</v>
      </c>
      <c r="C146" t="s">
        <v>960</v>
      </c>
      <c r="D146">
        <v>2.0099999999999998</v>
      </c>
      <c r="E146">
        <v>18.399999999999999</v>
      </c>
      <c r="F146">
        <v>5.28</v>
      </c>
      <c r="G146">
        <v>0</v>
      </c>
    </row>
    <row r="147" spans="1:7" hidden="1">
      <c r="A147">
        <v>12</v>
      </c>
      <c r="B147" t="s">
        <v>981</v>
      </c>
      <c r="C147" t="s">
        <v>961</v>
      </c>
      <c r="D147">
        <v>6.19</v>
      </c>
      <c r="E147">
        <v>20.059999999999999</v>
      </c>
      <c r="F147">
        <v>17.739999999999998</v>
      </c>
      <c r="G147">
        <v>0.01</v>
      </c>
    </row>
    <row r="148" spans="1:7" hidden="1">
      <c r="A148">
        <v>12</v>
      </c>
      <c r="B148" t="s">
        <v>981</v>
      </c>
      <c r="C148" t="s">
        <v>962</v>
      </c>
      <c r="D148">
        <v>1.0900000000000001</v>
      </c>
      <c r="E148">
        <v>24.72</v>
      </c>
      <c r="F148">
        <v>3.84</v>
      </c>
      <c r="G148">
        <v>0</v>
      </c>
    </row>
    <row r="149" spans="1:7" hidden="1">
      <c r="A149">
        <v>12</v>
      </c>
      <c r="B149" t="s">
        <v>981</v>
      </c>
      <c r="C149" t="s">
        <v>963</v>
      </c>
      <c r="D149">
        <v>1.82</v>
      </c>
      <c r="E149">
        <v>18.13</v>
      </c>
      <c r="F149">
        <v>4.71</v>
      </c>
      <c r="G149">
        <v>0</v>
      </c>
    </row>
    <row r="150" spans="1:7" hidden="1">
      <c r="A150">
        <v>12</v>
      </c>
      <c r="B150" t="s">
        <v>981</v>
      </c>
      <c r="C150" t="s">
        <v>964</v>
      </c>
      <c r="D150">
        <v>0.13</v>
      </c>
      <c r="E150">
        <v>21.87</v>
      </c>
      <c r="F150">
        <v>0.4</v>
      </c>
      <c r="G150">
        <v>0</v>
      </c>
    </row>
    <row r="151" spans="1:7" hidden="1">
      <c r="A151">
        <v>12</v>
      </c>
      <c r="B151" t="s">
        <v>981</v>
      </c>
      <c r="C151" t="s">
        <v>965</v>
      </c>
      <c r="D151">
        <v>1.95</v>
      </c>
      <c r="E151">
        <v>24.75</v>
      </c>
      <c r="F151">
        <v>6.91</v>
      </c>
      <c r="G151">
        <v>0.01</v>
      </c>
    </row>
    <row r="152" spans="1:7">
      <c r="A152">
        <v>12</v>
      </c>
      <c r="B152" t="s">
        <v>981</v>
      </c>
      <c r="C152" t="s">
        <v>24</v>
      </c>
      <c r="D152">
        <v>14.5</v>
      </c>
      <c r="E152">
        <v>20.43</v>
      </c>
      <c r="F152">
        <v>42.3</v>
      </c>
      <c r="G152">
        <v>0.03</v>
      </c>
    </row>
    <row r="153" spans="1:7" hidden="1">
      <c r="A153">
        <v>12</v>
      </c>
      <c r="B153" t="s">
        <v>981</v>
      </c>
      <c r="C153" t="s">
        <v>966</v>
      </c>
      <c r="D153">
        <v>0.03</v>
      </c>
      <c r="E153">
        <v>18.05</v>
      </c>
      <c r="F153">
        <v>7.0000000000000007E-2</v>
      </c>
      <c r="G153">
        <v>0.02</v>
      </c>
    </row>
    <row r="154" spans="1:7" hidden="1">
      <c r="A154">
        <v>12</v>
      </c>
      <c r="B154" t="s">
        <v>981</v>
      </c>
      <c r="C154" t="s">
        <v>967</v>
      </c>
      <c r="D154">
        <v>0.19</v>
      </c>
      <c r="E154">
        <v>17.91</v>
      </c>
      <c r="F154">
        <v>0.48</v>
      </c>
      <c r="G154">
        <v>0</v>
      </c>
    </row>
    <row r="155" spans="1:7" hidden="1">
      <c r="A155">
        <v>12</v>
      </c>
      <c r="B155" t="s">
        <v>981</v>
      </c>
      <c r="C155" t="s">
        <v>968</v>
      </c>
      <c r="D155">
        <v>1.01</v>
      </c>
      <c r="E155">
        <v>18.09</v>
      </c>
      <c r="F155">
        <v>2.6</v>
      </c>
      <c r="G155">
        <v>0</v>
      </c>
    </row>
    <row r="156" spans="1:7" hidden="1">
      <c r="A156">
        <v>12</v>
      </c>
      <c r="B156" t="s">
        <v>981</v>
      </c>
      <c r="C156" t="s">
        <v>969</v>
      </c>
      <c r="D156">
        <v>0.1</v>
      </c>
      <c r="E156">
        <v>24.75</v>
      </c>
      <c r="F156">
        <v>0.37</v>
      </c>
      <c r="G156">
        <v>0</v>
      </c>
    </row>
    <row r="157" spans="1:7" hidden="1">
      <c r="A157">
        <v>12</v>
      </c>
      <c r="B157" t="s">
        <v>981</v>
      </c>
      <c r="C157" t="s">
        <v>970</v>
      </c>
      <c r="D157">
        <v>0.34</v>
      </c>
      <c r="E157">
        <v>24.75</v>
      </c>
      <c r="F157">
        <v>1.19</v>
      </c>
      <c r="G157">
        <v>0</v>
      </c>
    </row>
    <row r="158" spans="1:7" hidden="1">
      <c r="A158">
        <v>13</v>
      </c>
      <c r="B158" t="s">
        <v>982</v>
      </c>
      <c r="C158" t="s">
        <v>959</v>
      </c>
      <c r="D158">
        <v>2.12</v>
      </c>
      <c r="E158">
        <v>18.309999999999999</v>
      </c>
      <c r="F158">
        <v>5.54</v>
      </c>
      <c r="G158">
        <v>1.39</v>
      </c>
    </row>
    <row r="159" spans="1:7" hidden="1">
      <c r="A159">
        <v>13</v>
      </c>
      <c r="B159" t="s">
        <v>982</v>
      </c>
      <c r="C159" t="s">
        <v>960</v>
      </c>
      <c r="D159">
        <v>2.98</v>
      </c>
      <c r="E159">
        <v>18.399999999999999</v>
      </c>
      <c r="F159">
        <v>7.83</v>
      </c>
      <c r="G159">
        <v>2.13</v>
      </c>
    </row>
    <row r="160" spans="1:7" hidden="1">
      <c r="A160">
        <v>13</v>
      </c>
      <c r="B160" t="s">
        <v>982</v>
      </c>
      <c r="C160" t="s">
        <v>961</v>
      </c>
      <c r="D160">
        <v>3.47</v>
      </c>
      <c r="E160">
        <v>20.059999999999999</v>
      </c>
      <c r="F160">
        <v>9.94</v>
      </c>
      <c r="G160">
        <v>1.6</v>
      </c>
    </row>
    <row r="161" spans="1:7" hidden="1">
      <c r="A161">
        <v>13</v>
      </c>
      <c r="B161" t="s">
        <v>982</v>
      </c>
      <c r="C161" t="s">
        <v>962</v>
      </c>
      <c r="D161">
        <v>0.92</v>
      </c>
      <c r="E161">
        <v>24.72</v>
      </c>
      <c r="F161">
        <v>3.26</v>
      </c>
      <c r="G161">
        <v>0.45</v>
      </c>
    </row>
    <row r="162" spans="1:7" hidden="1">
      <c r="A162">
        <v>13</v>
      </c>
      <c r="B162" t="s">
        <v>982</v>
      </c>
      <c r="C162" t="s">
        <v>963</v>
      </c>
      <c r="D162">
        <v>1.83</v>
      </c>
      <c r="E162">
        <v>18.13</v>
      </c>
      <c r="F162">
        <v>4.7300000000000004</v>
      </c>
      <c r="G162">
        <v>1.07</v>
      </c>
    </row>
    <row r="163" spans="1:7" hidden="1">
      <c r="A163">
        <v>13</v>
      </c>
      <c r="B163" t="s">
        <v>982</v>
      </c>
      <c r="C163" t="s">
        <v>964</v>
      </c>
      <c r="D163">
        <v>0.08</v>
      </c>
      <c r="E163">
        <v>21.87</v>
      </c>
      <c r="F163">
        <v>0.27</v>
      </c>
      <c r="G163">
        <v>0.02</v>
      </c>
    </row>
    <row r="164" spans="1:7" hidden="1">
      <c r="A164">
        <v>13</v>
      </c>
      <c r="B164" t="s">
        <v>982</v>
      </c>
      <c r="C164" t="s">
        <v>965</v>
      </c>
      <c r="D164">
        <v>1.8</v>
      </c>
      <c r="E164">
        <v>24.75</v>
      </c>
      <c r="F164">
        <v>6.37</v>
      </c>
      <c r="G164">
        <v>0.78</v>
      </c>
    </row>
    <row r="165" spans="1:7">
      <c r="A165">
        <v>13</v>
      </c>
      <c r="B165" t="s">
        <v>982</v>
      </c>
      <c r="C165" t="s">
        <v>24</v>
      </c>
      <c r="D165">
        <v>13.2</v>
      </c>
      <c r="E165">
        <v>20.11</v>
      </c>
      <c r="F165">
        <v>37.94</v>
      </c>
      <c r="G165">
        <v>7.44</v>
      </c>
    </row>
    <row r="166" spans="1:7" hidden="1">
      <c r="A166">
        <v>13</v>
      </c>
      <c r="B166" t="s">
        <v>982</v>
      </c>
      <c r="C166" t="s">
        <v>966</v>
      </c>
      <c r="D166">
        <v>11.79</v>
      </c>
      <c r="E166">
        <v>18.05</v>
      </c>
      <c r="F166">
        <v>30.41</v>
      </c>
      <c r="G166">
        <v>11.59</v>
      </c>
    </row>
    <row r="167" spans="1:7" hidden="1">
      <c r="A167">
        <v>13</v>
      </c>
      <c r="B167" t="s">
        <v>982</v>
      </c>
      <c r="C167" t="s">
        <v>967</v>
      </c>
      <c r="D167">
        <v>0.18</v>
      </c>
      <c r="E167">
        <v>17.91</v>
      </c>
      <c r="F167">
        <v>0.46</v>
      </c>
      <c r="G167">
        <v>7.0000000000000007E-2</v>
      </c>
    </row>
    <row r="168" spans="1:7" hidden="1">
      <c r="A168">
        <v>13</v>
      </c>
      <c r="B168" t="s">
        <v>982</v>
      </c>
      <c r="C168" t="s">
        <v>968</v>
      </c>
      <c r="D168">
        <v>0.44</v>
      </c>
      <c r="E168">
        <v>18.09</v>
      </c>
      <c r="F168">
        <v>1.1299999999999999</v>
      </c>
      <c r="G168">
        <v>0.13</v>
      </c>
    </row>
    <row r="169" spans="1:7" hidden="1">
      <c r="A169">
        <v>13</v>
      </c>
      <c r="B169" t="s">
        <v>982</v>
      </c>
      <c r="C169" t="s">
        <v>969</v>
      </c>
      <c r="D169">
        <v>1.1399999999999999</v>
      </c>
      <c r="E169">
        <v>24.75</v>
      </c>
      <c r="F169">
        <v>4.0199999999999996</v>
      </c>
      <c r="G169">
        <v>0.06</v>
      </c>
    </row>
    <row r="170" spans="1:7" hidden="1">
      <c r="A170">
        <v>13</v>
      </c>
      <c r="B170" t="s">
        <v>982</v>
      </c>
      <c r="C170" t="s">
        <v>970</v>
      </c>
      <c r="D170">
        <v>0.23</v>
      </c>
      <c r="E170">
        <v>24.75</v>
      </c>
      <c r="F170">
        <v>0.8</v>
      </c>
      <c r="G170">
        <v>0.05</v>
      </c>
    </row>
    <row r="171" spans="1:7" hidden="1">
      <c r="A171">
        <v>14</v>
      </c>
      <c r="B171" t="s">
        <v>983</v>
      </c>
      <c r="C171" t="s">
        <v>959</v>
      </c>
      <c r="D171">
        <v>2.0699999999999998</v>
      </c>
      <c r="E171">
        <v>18.309999999999999</v>
      </c>
      <c r="F171">
        <v>5.41</v>
      </c>
      <c r="G171">
        <v>1.37</v>
      </c>
    </row>
    <row r="172" spans="1:7" hidden="1">
      <c r="A172">
        <v>14</v>
      </c>
      <c r="B172" t="s">
        <v>983</v>
      </c>
      <c r="C172" t="s">
        <v>960</v>
      </c>
      <c r="D172">
        <v>2.86</v>
      </c>
      <c r="E172">
        <v>18.399999999999999</v>
      </c>
      <c r="F172">
        <v>7.51</v>
      </c>
      <c r="G172">
        <v>2.11</v>
      </c>
    </row>
    <row r="173" spans="1:7" hidden="1">
      <c r="A173">
        <v>14</v>
      </c>
      <c r="B173" t="s">
        <v>983</v>
      </c>
      <c r="C173" t="s">
        <v>961</v>
      </c>
      <c r="D173">
        <v>3.6</v>
      </c>
      <c r="E173">
        <v>20.059999999999999</v>
      </c>
      <c r="F173">
        <v>10.31</v>
      </c>
      <c r="G173">
        <v>1.95</v>
      </c>
    </row>
    <row r="174" spans="1:7" hidden="1">
      <c r="A174">
        <v>14</v>
      </c>
      <c r="B174" t="s">
        <v>983</v>
      </c>
      <c r="C174" t="s">
        <v>962</v>
      </c>
      <c r="D174">
        <v>0.85</v>
      </c>
      <c r="E174">
        <v>24.72</v>
      </c>
      <c r="F174">
        <v>2.99</v>
      </c>
      <c r="G174">
        <v>0.46</v>
      </c>
    </row>
    <row r="175" spans="1:7" hidden="1">
      <c r="A175">
        <v>14</v>
      </c>
      <c r="B175" t="s">
        <v>983</v>
      </c>
      <c r="C175" t="s">
        <v>963</v>
      </c>
      <c r="D175">
        <v>1.95</v>
      </c>
      <c r="E175">
        <v>18.13</v>
      </c>
      <c r="F175">
        <v>5.0599999999999996</v>
      </c>
      <c r="G175">
        <v>1.05</v>
      </c>
    </row>
    <row r="176" spans="1:7" hidden="1">
      <c r="A176">
        <v>14</v>
      </c>
      <c r="B176" t="s">
        <v>983</v>
      </c>
      <c r="C176" t="s">
        <v>964</v>
      </c>
      <c r="D176">
        <v>0.09</v>
      </c>
      <c r="E176">
        <v>21.87</v>
      </c>
      <c r="F176">
        <v>0.28999999999999998</v>
      </c>
      <c r="G176">
        <v>0.05</v>
      </c>
    </row>
    <row r="177" spans="1:7" hidden="1">
      <c r="A177">
        <v>14</v>
      </c>
      <c r="B177" t="s">
        <v>983</v>
      </c>
      <c r="C177" t="s">
        <v>965</v>
      </c>
      <c r="D177">
        <v>1.81</v>
      </c>
      <c r="E177">
        <v>24.75</v>
      </c>
      <c r="F177">
        <v>6.4</v>
      </c>
      <c r="G177">
        <v>0.85</v>
      </c>
    </row>
    <row r="178" spans="1:7">
      <c r="A178">
        <v>14</v>
      </c>
      <c r="B178" t="s">
        <v>983</v>
      </c>
      <c r="C178" t="s">
        <v>24</v>
      </c>
      <c r="D178">
        <v>13.23</v>
      </c>
      <c r="E178">
        <v>20.09</v>
      </c>
      <c r="F178">
        <v>37.97</v>
      </c>
      <c r="G178">
        <v>7.84</v>
      </c>
    </row>
    <row r="179" spans="1:7" hidden="1">
      <c r="A179">
        <v>14</v>
      </c>
      <c r="B179" t="s">
        <v>983</v>
      </c>
      <c r="C179" t="s">
        <v>966</v>
      </c>
      <c r="D179">
        <v>8.64</v>
      </c>
      <c r="E179">
        <v>18.05</v>
      </c>
      <c r="F179">
        <v>22.27</v>
      </c>
      <c r="G179">
        <v>8.39</v>
      </c>
    </row>
    <row r="180" spans="1:7" hidden="1">
      <c r="A180">
        <v>14</v>
      </c>
      <c r="B180" t="s">
        <v>983</v>
      </c>
      <c r="C180" t="s">
        <v>967</v>
      </c>
      <c r="D180">
        <v>0.14000000000000001</v>
      </c>
      <c r="E180">
        <v>17.91</v>
      </c>
      <c r="F180">
        <v>0.37</v>
      </c>
      <c r="G180">
        <v>0.09</v>
      </c>
    </row>
    <row r="181" spans="1:7" hidden="1">
      <c r="A181">
        <v>14</v>
      </c>
      <c r="B181" t="s">
        <v>983</v>
      </c>
      <c r="C181" t="s">
        <v>968</v>
      </c>
      <c r="D181">
        <v>0.37</v>
      </c>
      <c r="E181">
        <v>18.09</v>
      </c>
      <c r="F181">
        <v>0.95</v>
      </c>
      <c r="G181">
        <v>0.13</v>
      </c>
    </row>
    <row r="182" spans="1:7" hidden="1">
      <c r="A182">
        <v>14</v>
      </c>
      <c r="B182" t="s">
        <v>983</v>
      </c>
      <c r="C182" t="s">
        <v>969</v>
      </c>
      <c r="D182">
        <v>1.29</v>
      </c>
      <c r="E182">
        <v>24.75</v>
      </c>
      <c r="F182">
        <v>4.58</v>
      </c>
      <c r="G182">
        <v>0.06</v>
      </c>
    </row>
    <row r="183" spans="1:7" hidden="1">
      <c r="A183">
        <v>14</v>
      </c>
      <c r="B183" t="s">
        <v>983</v>
      </c>
      <c r="C183" t="s">
        <v>970</v>
      </c>
      <c r="D183">
        <v>0.24</v>
      </c>
      <c r="E183">
        <v>24.75</v>
      </c>
      <c r="F183">
        <v>0.85</v>
      </c>
      <c r="G183">
        <v>0.08</v>
      </c>
    </row>
    <row r="184" spans="1:7" hidden="1">
      <c r="A184">
        <v>15</v>
      </c>
      <c r="B184" t="s">
        <v>984</v>
      </c>
      <c r="C184" t="s">
        <v>959</v>
      </c>
      <c r="D184">
        <v>1.84</v>
      </c>
      <c r="E184">
        <v>18.309999999999999</v>
      </c>
      <c r="F184">
        <v>4.8099999999999996</v>
      </c>
      <c r="G184">
        <v>1.1299999999999999</v>
      </c>
    </row>
    <row r="185" spans="1:7" hidden="1">
      <c r="A185">
        <v>15</v>
      </c>
      <c r="B185" t="s">
        <v>984</v>
      </c>
      <c r="C185" t="s">
        <v>960</v>
      </c>
      <c r="D185">
        <v>2.82</v>
      </c>
      <c r="E185">
        <v>18.399999999999999</v>
      </c>
      <c r="F185">
        <v>7.42</v>
      </c>
      <c r="G185">
        <v>1.87</v>
      </c>
    </row>
    <row r="186" spans="1:7" hidden="1">
      <c r="A186">
        <v>15</v>
      </c>
      <c r="B186" t="s">
        <v>984</v>
      </c>
      <c r="C186" t="s">
        <v>961</v>
      </c>
      <c r="D186">
        <v>4.17</v>
      </c>
      <c r="E186">
        <v>20.059999999999999</v>
      </c>
      <c r="F186">
        <v>11.94</v>
      </c>
      <c r="G186">
        <v>2.19</v>
      </c>
    </row>
    <row r="187" spans="1:7" hidden="1">
      <c r="A187">
        <v>15</v>
      </c>
      <c r="B187" t="s">
        <v>984</v>
      </c>
      <c r="C187" t="s">
        <v>962</v>
      </c>
      <c r="D187">
        <v>0.77</v>
      </c>
      <c r="E187">
        <v>24.72</v>
      </c>
      <c r="F187">
        <v>2.72</v>
      </c>
      <c r="G187">
        <v>0.37</v>
      </c>
    </row>
    <row r="188" spans="1:7" hidden="1">
      <c r="A188">
        <v>15</v>
      </c>
      <c r="B188" t="s">
        <v>984</v>
      </c>
      <c r="C188" t="s">
        <v>963</v>
      </c>
      <c r="D188">
        <v>1.95</v>
      </c>
      <c r="E188">
        <v>18.13</v>
      </c>
      <c r="F188">
        <v>5.04</v>
      </c>
      <c r="G188">
        <v>0.93</v>
      </c>
    </row>
    <row r="189" spans="1:7" hidden="1">
      <c r="A189">
        <v>15</v>
      </c>
      <c r="B189" t="s">
        <v>984</v>
      </c>
      <c r="C189" t="s">
        <v>964</v>
      </c>
      <c r="D189">
        <v>0.11</v>
      </c>
      <c r="E189">
        <v>21.87</v>
      </c>
      <c r="F189">
        <v>0.34</v>
      </c>
      <c r="G189">
        <v>0.03</v>
      </c>
    </row>
    <row r="190" spans="1:7" hidden="1">
      <c r="A190">
        <v>15</v>
      </c>
      <c r="B190" t="s">
        <v>984</v>
      </c>
      <c r="C190" t="s">
        <v>965</v>
      </c>
      <c r="D190">
        <v>1.99</v>
      </c>
      <c r="E190">
        <v>24.75</v>
      </c>
      <c r="F190">
        <v>7.03</v>
      </c>
      <c r="G190">
        <v>0.79</v>
      </c>
    </row>
    <row r="191" spans="1:7">
      <c r="A191">
        <v>15</v>
      </c>
      <c r="B191" t="s">
        <v>984</v>
      </c>
      <c r="C191" t="s">
        <v>24</v>
      </c>
      <c r="D191">
        <v>13.64</v>
      </c>
      <c r="E191">
        <v>20.170000000000002</v>
      </c>
      <c r="F191">
        <v>39.299999999999997</v>
      </c>
      <c r="G191">
        <v>7.31</v>
      </c>
    </row>
    <row r="192" spans="1:7" hidden="1">
      <c r="A192">
        <v>15</v>
      </c>
      <c r="B192" t="s">
        <v>984</v>
      </c>
      <c r="C192" t="s">
        <v>966</v>
      </c>
      <c r="D192">
        <v>4.54</v>
      </c>
      <c r="E192">
        <v>18.05</v>
      </c>
      <c r="F192">
        <v>11.72</v>
      </c>
      <c r="G192">
        <v>4.2699999999999996</v>
      </c>
    </row>
    <row r="193" spans="1:7" hidden="1">
      <c r="A193">
        <v>15</v>
      </c>
      <c r="B193" t="s">
        <v>984</v>
      </c>
      <c r="C193" t="s">
        <v>967</v>
      </c>
      <c r="D193">
        <v>0.21</v>
      </c>
      <c r="E193">
        <v>17.91</v>
      </c>
      <c r="F193">
        <v>0.54</v>
      </c>
      <c r="G193">
        <v>0.05</v>
      </c>
    </row>
    <row r="194" spans="1:7" hidden="1">
      <c r="A194">
        <v>15</v>
      </c>
      <c r="B194" t="s">
        <v>984</v>
      </c>
      <c r="C194" t="s">
        <v>968</v>
      </c>
      <c r="D194">
        <v>0.42</v>
      </c>
      <c r="E194">
        <v>18.09</v>
      </c>
      <c r="F194">
        <v>1.08</v>
      </c>
      <c r="G194">
        <v>0.11</v>
      </c>
    </row>
    <row r="195" spans="1:7" hidden="1">
      <c r="A195">
        <v>15</v>
      </c>
      <c r="B195" t="s">
        <v>984</v>
      </c>
      <c r="C195" t="s">
        <v>969</v>
      </c>
      <c r="D195">
        <v>1.23</v>
      </c>
      <c r="E195">
        <v>24.75</v>
      </c>
      <c r="F195">
        <v>4.3499999999999996</v>
      </c>
      <c r="G195">
        <v>0.05</v>
      </c>
    </row>
    <row r="196" spans="1:7" hidden="1">
      <c r="A196">
        <v>15</v>
      </c>
      <c r="B196" t="s">
        <v>984</v>
      </c>
      <c r="C196" t="s">
        <v>970</v>
      </c>
      <c r="D196">
        <v>0.27</v>
      </c>
      <c r="E196">
        <v>24.75</v>
      </c>
      <c r="F196">
        <v>0.95</v>
      </c>
      <c r="G196">
        <v>7.0000000000000007E-2</v>
      </c>
    </row>
    <row r="197" spans="1:7" hidden="1">
      <c r="A197">
        <v>16</v>
      </c>
      <c r="B197" t="s">
        <v>985</v>
      </c>
      <c r="C197" t="s">
        <v>959</v>
      </c>
      <c r="D197">
        <v>1.77</v>
      </c>
      <c r="E197">
        <v>18.309999999999999</v>
      </c>
      <c r="F197">
        <v>4.62</v>
      </c>
      <c r="G197">
        <v>0.02</v>
      </c>
    </row>
    <row r="198" spans="1:7" hidden="1">
      <c r="A198">
        <v>16</v>
      </c>
      <c r="B198" t="s">
        <v>985</v>
      </c>
      <c r="C198" t="s">
        <v>960</v>
      </c>
      <c r="D198">
        <v>2.4300000000000002</v>
      </c>
      <c r="E198">
        <v>18.399999999999999</v>
      </c>
      <c r="F198">
        <v>6.38</v>
      </c>
      <c r="G198">
        <v>0</v>
      </c>
    </row>
    <row r="199" spans="1:7" hidden="1">
      <c r="A199">
        <v>16</v>
      </c>
      <c r="B199" t="s">
        <v>985</v>
      </c>
      <c r="C199" t="s">
        <v>961</v>
      </c>
      <c r="D199">
        <v>4.99</v>
      </c>
      <c r="E199">
        <v>20.059999999999999</v>
      </c>
      <c r="F199">
        <v>14.29</v>
      </c>
      <c r="G199">
        <v>0</v>
      </c>
    </row>
    <row r="200" spans="1:7" hidden="1">
      <c r="A200">
        <v>16</v>
      </c>
      <c r="B200" t="s">
        <v>985</v>
      </c>
      <c r="C200" t="s">
        <v>962</v>
      </c>
      <c r="D200">
        <v>1.05</v>
      </c>
      <c r="E200">
        <v>24.72</v>
      </c>
      <c r="F200">
        <v>3.73</v>
      </c>
      <c r="G200">
        <v>0</v>
      </c>
    </row>
    <row r="201" spans="1:7" hidden="1">
      <c r="A201">
        <v>16</v>
      </c>
      <c r="B201" t="s">
        <v>985</v>
      </c>
      <c r="C201" t="s">
        <v>963</v>
      </c>
      <c r="D201">
        <v>1.98</v>
      </c>
      <c r="E201">
        <v>18.13</v>
      </c>
      <c r="F201">
        <v>5.13</v>
      </c>
      <c r="G201">
        <v>0</v>
      </c>
    </row>
    <row r="202" spans="1:7" hidden="1">
      <c r="A202">
        <v>16</v>
      </c>
      <c r="B202" t="s">
        <v>985</v>
      </c>
      <c r="C202" t="s">
        <v>964</v>
      </c>
      <c r="D202">
        <v>0.14000000000000001</v>
      </c>
      <c r="E202">
        <v>21.87</v>
      </c>
      <c r="F202">
        <v>0.45</v>
      </c>
      <c r="G202">
        <v>0</v>
      </c>
    </row>
    <row r="203" spans="1:7" hidden="1">
      <c r="A203">
        <v>16</v>
      </c>
      <c r="B203" t="s">
        <v>985</v>
      </c>
      <c r="C203" t="s">
        <v>965</v>
      </c>
      <c r="D203">
        <v>2.02</v>
      </c>
      <c r="E203">
        <v>24.75</v>
      </c>
      <c r="F203">
        <v>7.14</v>
      </c>
      <c r="G203">
        <v>0.01</v>
      </c>
    </row>
    <row r="204" spans="1:7">
      <c r="A204">
        <v>16</v>
      </c>
      <c r="B204" t="s">
        <v>985</v>
      </c>
      <c r="C204" t="s">
        <v>24</v>
      </c>
      <c r="D204">
        <v>14.38</v>
      </c>
      <c r="E204">
        <v>20.32</v>
      </c>
      <c r="F204">
        <v>41.74</v>
      </c>
      <c r="G204">
        <v>0.04</v>
      </c>
    </row>
    <row r="205" spans="1:7" hidden="1">
      <c r="A205">
        <v>16</v>
      </c>
      <c r="B205" t="s">
        <v>985</v>
      </c>
      <c r="C205" t="s">
        <v>966</v>
      </c>
      <c r="D205">
        <v>1.57</v>
      </c>
      <c r="E205">
        <v>18.05</v>
      </c>
      <c r="F205">
        <v>4.04</v>
      </c>
      <c r="G205">
        <v>1.39</v>
      </c>
    </row>
    <row r="206" spans="1:7" hidden="1">
      <c r="A206">
        <v>16</v>
      </c>
      <c r="B206" t="s">
        <v>985</v>
      </c>
      <c r="C206" t="s">
        <v>967</v>
      </c>
      <c r="D206">
        <v>0.18</v>
      </c>
      <c r="E206">
        <v>17.91</v>
      </c>
      <c r="F206">
        <v>0.46</v>
      </c>
      <c r="G206">
        <v>0</v>
      </c>
    </row>
    <row r="207" spans="1:7" hidden="1">
      <c r="A207">
        <v>16</v>
      </c>
      <c r="B207" t="s">
        <v>985</v>
      </c>
      <c r="C207" t="s">
        <v>968</v>
      </c>
      <c r="D207">
        <v>0.55000000000000004</v>
      </c>
      <c r="E207">
        <v>18.09</v>
      </c>
      <c r="F207">
        <v>1.42</v>
      </c>
      <c r="G207">
        <v>0</v>
      </c>
    </row>
    <row r="208" spans="1:7" hidden="1">
      <c r="A208">
        <v>16</v>
      </c>
      <c r="B208" t="s">
        <v>985</v>
      </c>
      <c r="C208" t="s">
        <v>969</v>
      </c>
      <c r="D208">
        <v>0.98</v>
      </c>
      <c r="E208">
        <v>24.75</v>
      </c>
      <c r="F208">
        <v>3.45</v>
      </c>
      <c r="G208">
        <v>0</v>
      </c>
    </row>
    <row r="209" spans="1:7" hidden="1">
      <c r="A209">
        <v>16</v>
      </c>
      <c r="B209" t="s">
        <v>985</v>
      </c>
      <c r="C209" t="s">
        <v>970</v>
      </c>
      <c r="D209">
        <v>0.43</v>
      </c>
      <c r="E209">
        <v>24.75</v>
      </c>
      <c r="F209">
        <v>1.54</v>
      </c>
      <c r="G209">
        <v>0</v>
      </c>
    </row>
    <row r="210" spans="1:7" hidden="1">
      <c r="A210">
        <v>17</v>
      </c>
      <c r="B210" t="s">
        <v>986</v>
      </c>
      <c r="C210" t="s">
        <v>959</v>
      </c>
      <c r="D210">
        <v>1.58</v>
      </c>
      <c r="E210">
        <v>18.309999999999999</v>
      </c>
      <c r="F210">
        <v>4.12</v>
      </c>
      <c r="G210">
        <v>0</v>
      </c>
    </row>
    <row r="211" spans="1:7" hidden="1">
      <c r="A211">
        <v>17</v>
      </c>
      <c r="B211" t="s">
        <v>986</v>
      </c>
      <c r="C211" t="s">
        <v>960</v>
      </c>
      <c r="D211">
        <v>2.2999999999999998</v>
      </c>
      <c r="E211">
        <v>18.399999999999999</v>
      </c>
      <c r="F211">
        <v>6.05</v>
      </c>
      <c r="G211">
        <v>0</v>
      </c>
    </row>
    <row r="212" spans="1:7" hidden="1">
      <c r="A212">
        <v>17</v>
      </c>
      <c r="B212" t="s">
        <v>986</v>
      </c>
      <c r="C212" t="s">
        <v>961</v>
      </c>
      <c r="D212">
        <v>5.38</v>
      </c>
      <c r="E212">
        <v>20.059999999999999</v>
      </c>
      <c r="F212">
        <v>15.41</v>
      </c>
      <c r="G212">
        <v>0.01</v>
      </c>
    </row>
    <row r="213" spans="1:7" hidden="1">
      <c r="A213">
        <v>17</v>
      </c>
      <c r="B213" t="s">
        <v>986</v>
      </c>
      <c r="C213" t="s">
        <v>962</v>
      </c>
      <c r="D213">
        <v>0.99</v>
      </c>
      <c r="E213">
        <v>24.72</v>
      </c>
      <c r="F213">
        <v>3.5</v>
      </c>
      <c r="G213">
        <v>0</v>
      </c>
    </row>
    <row r="214" spans="1:7" hidden="1">
      <c r="A214">
        <v>17</v>
      </c>
      <c r="B214" t="s">
        <v>986</v>
      </c>
      <c r="C214" t="s">
        <v>963</v>
      </c>
      <c r="D214">
        <v>2.0099999999999998</v>
      </c>
      <c r="E214">
        <v>18.13</v>
      </c>
      <c r="F214">
        <v>5.21</v>
      </c>
      <c r="G214">
        <v>0</v>
      </c>
    </row>
    <row r="215" spans="1:7" hidden="1">
      <c r="A215">
        <v>17</v>
      </c>
      <c r="B215" t="s">
        <v>986</v>
      </c>
      <c r="C215" t="s">
        <v>964</v>
      </c>
      <c r="D215">
        <v>0.13</v>
      </c>
      <c r="E215">
        <v>21.87</v>
      </c>
      <c r="F215">
        <v>0.41</v>
      </c>
      <c r="G215">
        <v>0</v>
      </c>
    </row>
    <row r="216" spans="1:7" hidden="1">
      <c r="A216">
        <v>17</v>
      </c>
      <c r="B216" t="s">
        <v>986</v>
      </c>
      <c r="C216" t="s">
        <v>965</v>
      </c>
      <c r="D216">
        <v>2.02</v>
      </c>
      <c r="E216">
        <v>24.75</v>
      </c>
      <c r="F216">
        <v>7.13</v>
      </c>
      <c r="G216">
        <v>0.01</v>
      </c>
    </row>
    <row r="217" spans="1:7">
      <c r="A217">
        <v>17</v>
      </c>
      <c r="B217" t="s">
        <v>986</v>
      </c>
      <c r="C217" t="s">
        <v>24</v>
      </c>
      <c r="D217">
        <v>14.4</v>
      </c>
      <c r="E217">
        <v>20.329999999999998</v>
      </c>
      <c r="F217">
        <v>41.82</v>
      </c>
      <c r="G217">
        <v>0.03</v>
      </c>
    </row>
    <row r="218" spans="1:7" hidden="1">
      <c r="A218">
        <v>17</v>
      </c>
      <c r="B218" t="s">
        <v>986</v>
      </c>
      <c r="C218" t="s">
        <v>966</v>
      </c>
      <c r="D218">
        <v>0</v>
      </c>
      <c r="E218">
        <v>18.05</v>
      </c>
      <c r="F218">
        <v>0</v>
      </c>
      <c r="G218">
        <v>0</v>
      </c>
    </row>
    <row r="219" spans="1:7" hidden="1">
      <c r="A219">
        <v>17</v>
      </c>
      <c r="B219" t="s">
        <v>986</v>
      </c>
      <c r="C219" t="s">
        <v>967</v>
      </c>
      <c r="D219">
        <v>0.17</v>
      </c>
      <c r="E219">
        <v>17.91</v>
      </c>
      <c r="F219">
        <v>0.43</v>
      </c>
      <c r="G219">
        <v>0</v>
      </c>
    </row>
    <row r="220" spans="1:7" hidden="1">
      <c r="A220">
        <v>17</v>
      </c>
      <c r="B220" t="s">
        <v>986</v>
      </c>
      <c r="C220" t="s">
        <v>968</v>
      </c>
      <c r="D220">
        <v>0.8</v>
      </c>
      <c r="E220">
        <v>18.09</v>
      </c>
      <c r="F220">
        <v>2.08</v>
      </c>
      <c r="G220">
        <v>0</v>
      </c>
    </row>
    <row r="221" spans="1:7" hidden="1">
      <c r="A221">
        <v>17</v>
      </c>
      <c r="B221" t="s">
        <v>986</v>
      </c>
      <c r="C221" t="s">
        <v>969</v>
      </c>
      <c r="D221">
        <v>0.17</v>
      </c>
      <c r="E221">
        <v>24.75</v>
      </c>
      <c r="F221">
        <v>0.61</v>
      </c>
      <c r="G221">
        <v>0</v>
      </c>
    </row>
    <row r="222" spans="1:7" hidden="1">
      <c r="A222">
        <v>17</v>
      </c>
      <c r="B222" t="s">
        <v>986</v>
      </c>
      <c r="C222" t="s">
        <v>970</v>
      </c>
      <c r="D222">
        <v>0.3</v>
      </c>
      <c r="E222">
        <v>24.75</v>
      </c>
      <c r="F222">
        <v>1.07</v>
      </c>
      <c r="G222">
        <v>0</v>
      </c>
    </row>
    <row r="223" spans="1:7" hidden="1">
      <c r="A223">
        <v>18</v>
      </c>
      <c r="B223" t="s">
        <v>987</v>
      </c>
      <c r="C223" t="s">
        <v>959</v>
      </c>
      <c r="D223">
        <v>1.83</v>
      </c>
      <c r="E223">
        <v>18.309999999999999</v>
      </c>
      <c r="F223">
        <v>4.7699999999999996</v>
      </c>
      <c r="G223">
        <v>0.01</v>
      </c>
    </row>
    <row r="224" spans="1:7" hidden="1">
      <c r="A224">
        <v>18</v>
      </c>
      <c r="B224" t="s">
        <v>987</v>
      </c>
      <c r="C224" t="s">
        <v>960</v>
      </c>
      <c r="D224">
        <v>2.31</v>
      </c>
      <c r="E224">
        <v>18.399999999999999</v>
      </c>
      <c r="F224">
        <v>6.07</v>
      </c>
      <c r="G224">
        <v>0.01</v>
      </c>
    </row>
    <row r="225" spans="1:7" hidden="1">
      <c r="A225">
        <v>18</v>
      </c>
      <c r="B225" t="s">
        <v>987</v>
      </c>
      <c r="C225" t="s">
        <v>961</v>
      </c>
      <c r="D225">
        <v>3.72</v>
      </c>
      <c r="E225">
        <v>20.059999999999999</v>
      </c>
      <c r="F225">
        <v>10.67</v>
      </c>
      <c r="G225">
        <v>0.01</v>
      </c>
    </row>
    <row r="226" spans="1:7" hidden="1">
      <c r="A226">
        <v>18</v>
      </c>
      <c r="B226" t="s">
        <v>987</v>
      </c>
      <c r="C226" t="s">
        <v>962</v>
      </c>
      <c r="D226">
        <v>0.91</v>
      </c>
      <c r="E226">
        <v>24.72</v>
      </c>
      <c r="F226">
        <v>3.2</v>
      </c>
      <c r="G226">
        <v>0</v>
      </c>
    </row>
    <row r="227" spans="1:7" hidden="1">
      <c r="A227">
        <v>18</v>
      </c>
      <c r="B227" t="s">
        <v>987</v>
      </c>
      <c r="C227" t="s">
        <v>963</v>
      </c>
      <c r="D227">
        <v>2.15</v>
      </c>
      <c r="E227">
        <v>18.13</v>
      </c>
      <c r="F227">
        <v>5.57</v>
      </c>
      <c r="G227">
        <v>0.01</v>
      </c>
    </row>
    <row r="228" spans="1:7" hidden="1">
      <c r="A228">
        <v>18</v>
      </c>
      <c r="B228" t="s">
        <v>987</v>
      </c>
      <c r="C228" t="s">
        <v>964</v>
      </c>
      <c r="D228">
        <v>0.11</v>
      </c>
      <c r="E228">
        <v>21.87</v>
      </c>
      <c r="F228">
        <v>0.36</v>
      </c>
      <c r="G228">
        <v>0</v>
      </c>
    </row>
    <row r="229" spans="1:7" hidden="1">
      <c r="A229">
        <v>18</v>
      </c>
      <c r="B229" t="s">
        <v>987</v>
      </c>
      <c r="C229" t="s">
        <v>965</v>
      </c>
      <c r="D229">
        <v>2.0499999999999998</v>
      </c>
      <c r="E229">
        <v>24.75</v>
      </c>
      <c r="F229">
        <v>7.26</v>
      </c>
      <c r="G229">
        <v>0.03</v>
      </c>
    </row>
    <row r="230" spans="1:7">
      <c r="A230">
        <v>18</v>
      </c>
      <c r="B230" t="s">
        <v>987</v>
      </c>
      <c r="C230" t="s">
        <v>24</v>
      </c>
      <c r="D230">
        <v>13.08</v>
      </c>
      <c r="E230">
        <v>20.28</v>
      </c>
      <c r="F230">
        <v>37.909999999999997</v>
      </c>
      <c r="G230">
        <v>0.08</v>
      </c>
    </row>
    <row r="231" spans="1:7" hidden="1">
      <c r="A231">
        <v>18</v>
      </c>
      <c r="B231" t="s">
        <v>987</v>
      </c>
      <c r="C231" t="s">
        <v>966</v>
      </c>
      <c r="D231">
        <v>0</v>
      </c>
      <c r="E231">
        <v>18.05</v>
      </c>
      <c r="F231">
        <v>0.01</v>
      </c>
      <c r="G231">
        <v>0</v>
      </c>
    </row>
    <row r="232" spans="1:7" hidden="1">
      <c r="A232">
        <v>18</v>
      </c>
      <c r="B232" t="s">
        <v>987</v>
      </c>
      <c r="C232" t="s">
        <v>967</v>
      </c>
      <c r="D232">
        <v>0.13</v>
      </c>
      <c r="E232">
        <v>17.91</v>
      </c>
      <c r="F232">
        <v>0.34</v>
      </c>
      <c r="G232">
        <v>0</v>
      </c>
    </row>
    <row r="233" spans="1:7" hidden="1">
      <c r="A233">
        <v>18</v>
      </c>
      <c r="B233" t="s">
        <v>987</v>
      </c>
      <c r="C233" t="s">
        <v>968</v>
      </c>
      <c r="D233">
        <v>0.78</v>
      </c>
      <c r="E233">
        <v>18.09</v>
      </c>
      <c r="F233">
        <v>2</v>
      </c>
      <c r="G233">
        <v>0.01</v>
      </c>
    </row>
    <row r="234" spans="1:7" hidden="1">
      <c r="A234">
        <v>18</v>
      </c>
      <c r="B234" t="s">
        <v>987</v>
      </c>
      <c r="C234" t="s">
        <v>969</v>
      </c>
      <c r="D234">
        <v>0.16</v>
      </c>
      <c r="E234">
        <v>24.75</v>
      </c>
      <c r="F234">
        <v>0.56999999999999995</v>
      </c>
      <c r="G234">
        <v>0</v>
      </c>
    </row>
    <row r="235" spans="1:7" hidden="1">
      <c r="A235">
        <v>18</v>
      </c>
      <c r="B235" t="s">
        <v>987</v>
      </c>
      <c r="C235" t="s">
        <v>970</v>
      </c>
      <c r="D235">
        <v>0.33</v>
      </c>
      <c r="E235">
        <v>24.75</v>
      </c>
      <c r="F235">
        <v>1.1599999999999999</v>
      </c>
      <c r="G235">
        <v>0</v>
      </c>
    </row>
    <row r="236" spans="1:7" hidden="1">
      <c r="A236">
        <v>19</v>
      </c>
      <c r="B236" t="s">
        <v>988</v>
      </c>
      <c r="C236" t="s">
        <v>959</v>
      </c>
      <c r="D236">
        <v>1.46</v>
      </c>
      <c r="E236">
        <v>18.309999999999999</v>
      </c>
      <c r="F236">
        <v>3.83</v>
      </c>
      <c r="G236">
        <v>0</v>
      </c>
    </row>
    <row r="237" spans="1:7" hidden="1">
      <c r="A237">
        <v>19</v>
      </c>
      <c r="B237" t="s">
        <v>988</v>
      </c>
      <c r="C237" t="s">
        <v>960</v>
      </c>
      <c r="D237">
        <v>2.2400000000000002</v>
      </c>
      <c r="E237">
        <v>18.399999999999999</v>
      </c>
      <c r="F237">
        <v>5.89</v>
      </c>
      <c r="G237">
        <v>0</v>
      </c>
    </row>
    <row r="238" spans="1:7" hidden="1">
      <c r="A238">
        <v>19</v>
      </c>
      <c r="B238" t="s">
        <v>988</v>
      </c>
      <c r="C238" t="s">
        <v>961</v>
      </c>
      <c r="D238">
        <v>6.32</v>
      </c>
      <c r="E238">
        <v>20.059999999999999</v>
      </c>
      <c r="F238">
        <v>18.12</v>
      </c>
      <c r="G238">
        <v>0</v>
      </c>
    </row>
    <row r="239" spans="1:7" hidden="1">
      <c r="A239">
        <v>19</v>
      </c>
      <c r="B239" t="s">
        <v>988</v>
      </c>
      <c r="C239" t="s">
        <v>962</v>
      </c>
      <c r="D239">
        <v>1.01</v>
      </c>
      <c r="E239">
        <v>24.72</v>
      </c>
      <c r="F239">
        <v>3.57</v>
      </c>
      <c r="G239">
        <v>0</v>
      </c>
    </row>
    <row r="240" spans="1:7" hidden="1">
      <c r="A240">
        <v>19</v>
      </c>
      <c r="B240" t="s">
        <v>988</v>
      </c>
      <c r="C240" t="s">
        <v>963</v>
      </c>
      <c r="D240">
        <v>2.14</v>
      </c>
      <c r="E240">
        <v>18.13</v>
      </c>
      <c r="F240">
        <v>5.54</v>
      </c>
      <c r="G240">
        <v>0</v>
      </c>
    </row>
    <row r="241" spans="1:7" hidden="1">
      <c r="A241">
        <v>19</v>
      </c>
      <c r="B241" t="s">
        <v>988</v>
      </c>
      <c r="C241" t="s">
        <v>964</v>
      </c>
      <c r="D241">
        <v>0.17</v>
      </c>
      <c r="E241">
        <v>21.87</v>
      </c>
      <c r="F241">
        <v>0.54</v>
      </c>
      <c r="G241">
        <v>0</v>
      </c>
    </row>
    <row r="242" spans="1:7" hidden="1">
      <c r="A242">
        <v>19</v>
      </c>
      <c r="B242" t="s">
        <v>988</v>
      </c>
      <c r="C242" t="s">
        <v>965</v>
      </c>
      <c r="D242">
        <v>2.09</v>
      </c>
      <c r="E242">
        <v>24.75</v>
      </c>
      <c r="F242">
        <v>7.41</v>
      </c>
      <c r="G242">
        <v>0</v>
      </c>
    </row>
    <row r="243" spans="1:7">
      <c r="A243">
        <v>19</v>
      </c>
      <c r="B243" t="s">
        <v>988</v>
      </c>
      <c r="C243" t="s">
        <v>24</v>
      </c>
      <c r="D243">
        <v>15.44</v>
      </c>
      <c r="E243">
        <v>20.350000000000001</v>
      </c>
      <c r="F243">
        <v>44.89</v>
      </c>
      <c r="G243">
        <v>0</v>
      </c>
    </row>
    <row r="244" spans="1:7" hidden="1">
      <c r="A244">
        <v>19</v>
      </c>
      <c r="B244" t="s">
        <v>988</v>
      </c>
      <c r="C244" t="s">
        <v>966</v>
      </c>
      <c r="D244">
        <v>0</v>
      </c>
      <c r="E244">
        <v>18.05</v>
      </c>
      <c r="F244">
        <v>0</v>
      </c>
      <c r="G244">
        <v>0</v>
      </c>
    </row>
    <row r="245" spans="1:7" hidden="1">
      <c r="A245">
        <v>19</v>
      </c>
      <c r="B245" t="s">
        <v>988</v>
      </c>
      <c r="C245" t="s">
        <v>967</v>
      </c>
      <c r="D245">
        <v>0.23</v>
      </c>
      <c r="E245">
        <v>17.91</v>
      </c>
      <c r="F245">
        <v>0.57999999999999996</v>
      </c>
      <c r="G245">
        <v>0</v>
      </c>
    </row>
    <row r="246" spans="1:7" hidden="1">
      <c r="A246">
        <v>19</v>
      </c>
      <c r="B246" t="s">
        <v>988</v>
      </c>
      <c r="C246" t="s">
        <v>968</v>
      </c>
      <c r="D246">
        <v>0.83</v>
      </c>
      <c r="E246">
        <v>18.09</v>
      </c>
      <c r="F246">
        <v>2.13</v>
      </c>
      <c r="G246">
        <v>0</v>
      </c>
    </row>
    <row r="247" spans="1:7" hidden="1">
      <c r="A247">
        <v>19</v>
      </c>
      <c r="B247" t="s">
        <v>988</v>
      </c>
      <c r="C247" t="s">
        <v>969</v>
      </c>
      <c r="D247">
        <v>0.22</v>
      </c>
      <c r="E247">
        <v>24.75</v>
      </c>
      <c r="F247">
        <v>0.76</v>
      </c>
      <c r="G247">
        <v>0</v>
      </c>
    </row>
    <row r="248" spans="1:7" hidden="1">
      <c r="A248">
        <v>19</v>
      </c>
      <c r="B248" t="s">
        <v>988</v>
      </c>
      <c r="C248" t="s">
        <v>970</v>
      </c>
      <c r="D248">
        <v>0.26</v>
      </c>
      <c r="E248">
        <v>24.75</v>
      </c>
      <c r="F248">
        <v>0.92</v>
      </c>
      <c r="G248">
        <v>0</v>
      </c>
    </row>
    <row r="249" spans="1:7" hidden="1">
      <c r="A249">
        <v>20</v>
      </c>
      <c r="B249" t="s">
        <v>989</v>
      </c>
      <c r="C249" t="s">
        <v>959</v>
      </c>
      <c r="D249">
        <v>1.4</v>
      </c>
      <c r="E249">
        <v>18.309999999999999</v>
      </c>
      <c r="F249">
        <v>3.66</v>
      </c>
      <c r="G249">
        <v>0</v>
      </c>
    </row>
    <row r="250" spans="1:7" hidden="1">
      <c r="A250">
        <v>20</v>
      </c>
      <c r="B250" t="s">
        <v>989</v>
      </c>
      <c r="C250" t="s">
        <v>960</v>
      </c>
      <c r="D250">
        <v>2.34</v>
      </c>
      <c r="E250">
        <v>18.399999999999999</v>
      </c>
      <c r="F250">
        <v>6.16</v>
      </c>
      <c r="G250">
        <v>0</v>
      </c>
    </row>
    <row r="251" spans="1:7" hidden="1">
      <c r="A251">
        <v>20</v>
      </c>
      <c r="B251" t="s">
        <v>989</v>
      </c>
      <c r="C251" t="s">
        <v>961</v>
      </c>
      <c r="D251">
        <v>6.36</v>
      </c>
      <c r="E251">
        <v>20.059999999999999</v>
      </c>
      <c r="F251">
        <v>18.22</v>
      </c>
      <c r="G251">
        <v>0</v>
      </c>
    </row>
    <row r="252" spans="1:7" hidden="1">
      <c r="A252">
        <v>20</v>
      </c>
      <c r="B252" t="s">
        <v>989</v>
      </c>
      <c r="C252" t="s">
        <v>962</v>
      </c>
      <c r="D252">
        <v>1.06</v>
      </c>
      <c r="E252">
        <v>24.72</v>
      </c>
      <c r="F252">
        <v>3.75</v>
      </c>
      <c r="G252">
        <v>0</v>
      </c>
    </row>
    <row r="253" spans="1:7" hidden="1">
      <c r="A253">
        <v>20</v>
      </c>
      <c r="B253" t="s">
        <v>989</v>
      </c>
      <c r="C253" t="s">
        <v>963</v>
      </c>
      <c r="D253">
        <v>1.75</v>
      </c>
      <c r="E253">
        <v>18.13</v>
      </c>
      <c r="F253">
        <v>4.55</v>
      </c>
      <c r="G253">
        <v>0</v>
      </c>
    </row>
    <row r="254" spans="1:7" hidden="1">
      <c r="A254">
        <v>20</v>
      </c>
      <c r="B254" t="s">
        <v>989</v>
      </c>
      <c r="C254" t="s">
        <v>964</v>
      </c>
      <c r="D254">
        <v>0.12</v>
      </c>
      <c r="E254">
        <v>21.87</v>
      </c>
      <c r="F254">
        <v>0.37</v>
      </c>
      <c r="G254">
        <v>0</v>
      </c>
    </row>
    <row r="255" spans="1:7" hidden="1">
      <c r="A255">
        <v>20</v>
      </c>
      <c r="B255" t="s">
        <v>989</v>
      </c>
      <c r="C255" t="s">
        <v>965</v>
      </c>
      <c r="D255">
        <v>1.91</v>
      </c>
      <c r="E255">
        <v>24.75</v>
      </c>
      <c r="F255">
        <v>6.75</v>
      </c>
      <c r="G255">
        <v>0</v>
      </c>
    </row>
    <row r="256" spans="1:7">
      <c r="A256">
        <v>20</v>
      </c>
      <c r="B256" t="s">
        <v>989</v>
      </c>
      <c r="C256" t="s">
        <v>24</v>
      </c>
      <c r="D256">
        <v>14.95</v>
      </c>
      <c r="E256">
        <v>20.350000000000001</v>
      </c>
      <c r="F256">
        <v>43.47</v>
      </c>
      <c r="G256">
        <v>0</v>
      </c>
    </row>
    <row r="257" spans="1:7" hidden="1">
      <c r="A257">
        <v>20</v>
      </c>
      <c r="B257" t="s">
        <v>989</v>
      </c>
      <c r="C257" t="s">
        <v>966</v>
      </c>
      <c r="D257">
        <v>0</v>
      </c>
      <c r="E257">
        <v>18.05</v>
      </c>
      <c r="F257">
        <v>0</v>
      </c>
      <c r="G257">
        <v>0</v>
      </c>
    </row>
    <row r="258" spans="1:7" hidden="1">
      <c r="A258">
        <v>20</v>
      </c>
      <c r="B258" t="s">
        <v>989</v>
      </c>
      <c r="C258" t="s">
        <v>967</v>
      </c>
      <c r="D258">
        <v>0.16</v>
      </c>
      <c r="E258">
        <v>17.91</v>
      </c>
      <c r="F258">
        <v>0.41</v>
      </c>
      <c r="G258">
        <v>0</v>
      </c>
    </row>
    <row r="259" spans="1:7" hidden="1">
      <c r="A259">
        <v>20</v>
      </c>
      <c r="B259" t="s">
        <v>989</v>
      </c>
      <c r="C259" t="s">
        <v>968</v>
      </c>
      <c r="D259">
        <v>0.82</v>
      </c>
      <c r="E259">
        <v>18.09</v>
      </c>
      <c r="F259">
        <v>2.11</v>
      </c>
      <c r="G259">
        <v>0</v>
      </c>
    </row>
    <row r="260" spans="1:7" hidden="1">
      <c r="A260">
        <v>20</v>
      </c>
      <c r="B260" t="s">
        <v>989</v>
      </c>
      <c r="C260" t="s">
        <v>969</v>
      </c>
      <c r="D260">
        <v>0.15</v>
      </c>
      <c r="E260">
        <v>24.75</v>
      </c>
      <c r="F260">
        <v>0.53</v>
      </c>
      <c r="G260">
        <v>0</v>
      </c>
    </row>
    <row r="261" spans="1:7" hidden="1">
      <c r="A261">
        <v>20</v>
      </c>
      <c r="B261" t="s">
        <v>989</v>
      </c>
      <c r="C261" t="s">
        <v>970</v>
      </c>
      <c r="D261">
        <v>0.31</v>
      </c>
      <c r="E261">
        <v>24.75</v>
      </c>
      <c r="F261">
        <v>1.1000000000000001</v>
      </c>
      <c r="G261">
        <v>0</v>
      </c>
    </row>
    <row r="262" spans="1:7" hidden="1">
      <c r="A262">
        <v>21</v>
      </c>
      <c r="B262" t="s">
        <v>990</v>
      </c>
      <c r="C262" t="s">
        <v>959</v>
      </c>
      <c r="D262">
        <v>1.61</v>
      </c>
      <c r="E262">
        <v>18.309999999999999</v>
      </c>
      <c r="F262">
        <v>4.22</v>
      </c>
      <c r="G262">
        <v>0.03</v>
      </c>
    </row>
    <row r="263" spans="1:7" hidden="1">
      <c r="A263">
        <v>21</v>
      </c>
      <c r="B263" t="s">
        <v>990</v>
      </c>
      <c r="C263" t="s">
        <v>960</v>
      </c>
      <c r="D263">
        <v>2.2799999999999998</v>
      </c>
      <c r="E263">
        <v>18.399999999999999</v>
      </c>
      <c r="F263">
        <v>6</v>
      </c>
      <c r="G263">
        <v>0.05</v>
      </c>
    </row>
    <row r="264" spans="1:7" hidden="1">
      <c r="A264">
        <v>21</v>
      </c>
      <c r="B264" t="s">
        <v>990</v>
      </c>
      <c r="C264" t="s">
        <v>961</v>
      </c>
      <c r="D264">
        <v>5.18</v>
      </c>
      <c r="E264">
        <v>20.059999999999999</v>
      </c>
      <c r="F264">
        <v>14.83</v>
      </c>
      <c r="G264">
        <v>0.06</v>
      </c>
    </row>
    <row r="265" spans="1:7" hidden="1">
      <c r="A265">
        <v>21</v>
      </c>
      <c r="B265" t="s">
        <v>990</v>
      </c>
      <c r="C265" t="s">
        <v>962</v>
      </c>
      <c r="D265">
        <v>1.03</v>
      </c>
      <c r="E265">
        <v>24.72</v>
      </c>
      <c r="F265">
        <v>3.64</v>
      </c>
      <c r="G265">
        <v>0.02</v>
      </c>
    </row>
    <row r="266" spans="1:7" hidden="1">
      <c r="A266">
        <v>21</v>
      </c>
      <c r="B266" t="s">
        <v>990</v>
      </c>
      <c r="C266" t="s">
        <v>963</v>
      </c>
      <c r="D266">
        <v>1.99</v>
      </c>
      <c r="E266">
        <v>18.13</v>
      </c>
      <c r="F266">
        <v>5.16</v>
      </c>
      <c r="G266">
        <v>0.02</v>
      </c>
    </row>
    <row r="267" spans="1:7" hidden="1">
      <c r="A267">
        <v>21</v>
      </c>
      <c r="B267" t="s">
        <v>990</v>
      </c>
      <c r="C267" t="s">
        <v>964</v>
      </c>
      <c r="D267">
        <v>0.14000000000000001</v>
      </c>
      <c r="E267">
        <v>21.87</v>
      </c>
      <c r="F267">
        <v>0.42</v>
      </c>
      <c r="G267">
        <v>0</v>
      </c>
    </row>
    <row r="268" spans="1:7" hidden="1">
      <c r="A268">
        <v>21</v>
      </c>
      <c r="B268" t="s">
        <v>990</v>
      </c>
      <c r="C268" t="s">
        <v>965</v>
      </c>
      <c r="D268">
        <v>2.0499999999999998</v>
      </c>
      <c r="E268">
        <v>24.75</v>
      </c>
      <c r="F268">
        <v>7.25</v>
      </c>
      <c r="G268">
        <v>0.03</v>
      </c>
    </row>
    <row r="269" spans="1:7">
      <c r="A269">
        <v>21</v>
      </c>
      <c r="B269" t="s">
        <v>990</v>
      </c>
      <c r="C269" t="s">
        <v>24</v>
      </c>
      <c r="D269">
        <v>14.28</v>
      </c>
      <c r="E269">
        <v>20.350000000000001</v>
      </c>
      <c r="F269">
        <v>41.52</v>
      </c>
      <c r="G269">
        <v>0.2</v>
      </c>
    </row>
    <row r="270" spans="1:7" hidden="1">
      <c r="A270">
        <v>21</v>
      </c>
      <c r="B270" t="s">
        <v>990</v>
      </c>
      <c r="C270" t="s">
        <v>966</v>
      </c>
      <c r="D270">
        <v>0.32</v>
      </c>
      <c r="E270">
        <v>18.05</v>
      </c>
      <c r="F270">
        <v>0.82</v>
      </c>
      <c r="G270">
        <v>0.31</v>
      </c>
    </row>
    <row r="271" spans="1:7" hidden="1">
      <c r="A271">
        <v>21</v>
      </c>
      <c r="B271" t="s">
        <v>990</v>
      </c>
      <c r="C271" t="s">
        <v>967</v>
      </c>
      <c r="D271">
        <v>0.13</v>
      </c>
      <c r="E271">
        <v>17.91</v>
      </c>
      <c r="F271">
        <v>0.32</v>
      </c>
      <c r="G271">
        <v>0</v>
      </c>
    </row>
    <row r="272" spans="1:7" hidden="1">
      <c r="A272">
        <v>21</v>
      </c>
      <c r="B272" t="s">
        <v>990</v>
      </c>
      <c r="C272" t="s">
        <v>968</v>
      </c>
      <c r="D272">
        <v>0.86</v>
      </c>
      <c r="E272">
        <v>18.09</v>
      </c>
      <c r="F272">
        <v>2.23</v>
      </c>
      <c r="G272">
        <v>0.01</v>
      </c>
    </row>
    <row r="273" spans="1:7" hidden="1">
      <c r="A273">
        <v>21</v>
      </c>
      <c r="B273" t="s">
        <v>990</v>
      </c>
      <c r="C273" t="s">
        <v>969</v>
      </c>
      <c r="D273">
        <v>0.16</v>
      </c>
      <c r="E273">
        <v>24.75</v>
      </c>
      <c r="F273">
        <v>0.56000000000000005</v>
      </c>
      <c r="G273">
        <v>0</v>
      </c>
    </row>
    <row r="274" spans="1:7" hidden="1">
      <c r="A274">
        <v>21</v>
      </c>
      <c r="B274" t="s">
        <v>990</v>
      </c>
      <c r="C274" t="s">
        <v>970</v>
      </c>
      <c r="D274">
        <v>0.32</v>
      </c>
      <c r="E274">
        <v>24.75</v>
      </c>
      <c r="F274">
        <v>1.1399999999999999</v>
      </c>
      <c r="G274">
        <v>0</v>
      </c>
    </row>
    <row r="275" spans="1:7" hidden="1">
      <c r="A275">
        <v>22</v>
      </c>
      <c r="B275" t="s">
        <v>991</v>
      </c>
      <c r="C275" t="s">
        <v>959</v>
      </c>
      <c r="D275">
        <v>1.85</v>
      </c>
      <c r="E275">
        <v>18.309999999999999</v>
      </c>
      <c r="F275">
        <v>4.83</v>
      </c>
      <c r="G275">
        <v>0.06</v>
      </c>
    </row>
    <row r="276" spans="1:7" hidden="1">
      <c r="A276">
        <v>22</v>
      </c>
      <c r="B276" t="s">
        <v>991</v>
      </c>
      <c r="C276" t="s">
        <v>960</v>
      </c>
      <c r="D276">
        <v>2.31</v>
      </c>
      <c r="E276">
        <v>18.399999999999999</v>
      </c>
      <c r="F276">
        <v>6.07</v>
      </c>
      <c r="G276">
        <v>0.1</v>
      </c>
    </row>
    <row r="277" spans="1:7" hidden="1">
      <c r="A277">
        <v>22</v>
      </c>
      <c r="B277" t="s">
        <v>991</v>
      </c>
      <c r="C277" t="s">
        <v>961</v>
      </c>
      <c r="D277">
        <v>3.73</v>
      </c>
      <c r="E277">
        <v>20.059999999999999</v>
      </c>
      <c r="F277">
        <v>10.69</v>
      </c>
      <c r="G277">
        <v>0.09</v>
      </c>
    </row>
    <row r="278" spans="1:7" hidden="1">
      <c r="A278">
        <v>22</v>
      </c>
      <c r="B278" t="s">
        <v>991</v>
      </c>
      <c r="C278" t="s">
        <v>962</v>
      </c>
      <c r="D278">
        <v>0.98</v>
      </c>
      <c r="E278">
        <v>24.72</v>
      </c>
      <c r="F278">
        <v>3.47</v>
      </c>
      <c r="G278">
        <v>0.03</v>
      </c>
    </row>
    <row r="279" spans="1:7" hidden="1">
      <c r="A279">
        <v>22</v>
      </c>
      <c r="B279" t="s">
        <v>991</v>
      </c>
      <c r="C279" t="s">
        <v>963</v>
      </c>
      <c r="D279">
        <v>2.14</v>
      </c>
      <c r="E279">
        <v>18.13</v>
      </c>
      <c r="F279">
        <v>5.56</v>
      </c>
      <c r="G279">
        <v>0.03</v>
      </c>
    </row>
    <row r="280" spans="1:7" hidden="1">
      <c r="A280">
        <v>22</v>
      </c>
      <c r="B280" t="s">
        <v>991</v>
      </c>
      <c r="C280" t="s">
        <v>964</v>
      </c>
      <c r="D280">
        <v>0.12</v>
      </c>
      <c r="E280">
        <v>21.87</v>
      </c>
      <c r="F280">
        <v>0.38</v>
      </c>
      <c r="G280">
        <v>0</v>
      </c>
    </row>
    <row r="281" spans="1:7" hidden="1">
      <c r="A281">
        <v>22</v>
      </c>
      <c r="B281" t="s">
        <v>991</v>
      </c>
      <c r="C281" t="s">
        <v>965</v>
      </c>
      <c r="D281">
        <v>2.0699999999999998</v>
      </c>
      <c r="E281">
        <v>24.75</v>
      </c>
      <c r="F281">
        <v>7.31</v>
      </c>
      <c r="G281">
        <v>0.06</v>
      </c>
    </row>
    <row r="282" spans="1:7">
      <c r="A282">
        <v>22</v>
      </c>
      <c r="B282" t="s">
        <v>991</v>
      </c>
      <c r="C282" t="s">
        <v>24</v>
      </c>
      <c r="D282">
        <v>13.2</v>
      </c>
      <c r="E282">
        <v>20.309999999999999</v>
      </c>
      <c r="F282">
        <v>38.31</v>
      </c>
      <c r="G282">
        <v>0.37</v>
      </c>
    </row>
    <row r="283" spans="1:7" hidden="1">
      <c r="A283">
        <v>22</v>
      </c>
      <c r="B283" t="s">
        <v>991</v>
      </c>
      <c r="C283" t="s">
        <v>966</v>
      </c>
      <c r="D283">
        <v>0.66</v>
      </c>
      <c r="E283">
        <v>18.05</v>
      </c>
      <c r="F283">
        <v>1.71</v>
      </c>
      <c r="G283">
        <v>0.65</v>
      </c>
    </row>
    <row r="284" spans="1:7" hidden="1">
      <c r="A284">
        <v>22</v>
      </c>
      <c r="B284" t="s">
        <v>991</v>
      </c>
      <c r="C284" t="s">
        <v>967</v>
      </c>
      <c r="D284">
        <v>0.13</v>
      </c>
      <c r="E284">
        <v>17.91</v>
      </c>
      <c r="F284">
        <v>0.33</v>
      </c>
      <c r="G284">
        <v>0</v>
      </c>
    </row>
    <row r="285" spans="1:7" hidden="1">
      <c r="A285">
        <v>22</v>
      </c>
      <c r="B285" t="s">
        <v>991</v>
      </c>
      <c r="C285" t="s">
        <v>968</v>
      </c>
      <c r="D285">
        <v>0.82</v>
      </c>
      <c r="E285">
        <v>18.09</v>
      </c>
      <c r="F285">
        <v>2.12</v>
      </c>
      <c r="G285">
        <v>0.01</v>
      </c>
    </row>
    <row r="286" spans="1:7" hidden="1">
      <c r="A286">
        <v>22</v>
      </c>
      <c r="B286" t="s">
        <v>991</v>
      </c>
      <c r="C286" t="s">
        <v>969</v>
      </c>
      <c r="D286">
        <v>0.18</v>
      </c>
      <c r="E286">
        <v>24.75</v>
      </c>
      <c r="F286">
        <v>0.64</v>
      </c>
      <c r="G286">
        <v>0</v>
      </c>
    </row>
    <row r="287" spans="1:7" hidden="1">
      <c r="A287">
        <v>22</v>
      </c>
      <c r="B287" t="s">
        <v>991</v>
      </c>
      <c r="C287" t="s">
        <v>970</v>
      </c>
      <c r="D287">
        <v>0.33</v>
      </c>
      <c r="E287">
        <v>24.75</v>
      </c>
      <c r="F287">
        <v>1.18</v>
      </c>
      <c r="G287">
        <v>0</v>
      </c>
    </row>
    <row r="288" spans="1:7" hidden="1">
      <c r="A288">
        <v>23</v>
      </c>
      <c r="B288" t="s">
        <v>992</v>
      </c>
      <c r="C288" t="s">
        <v>959</v>
      </c>
      <c r="D288">
        <v>1.37</v>
      </c>
      <c r="E288">
        <v>18.309999999999999</v>
      </c>
      <c r="F288">
        <v>3.58</v>
      </c>
      <c r="G288">
        <v>0.02</v>
      </c>
    </row>
    <row r="289" spans="1:7" hidden="1">
      <c r="A289">
        <v>23</v>
      </c>
      <c r="B289" t="s">
        <v>992</v>
      </c>
      <c r="C289" t="s">
        <v>960</v>
      </c>
      <c r="D289">
        <v>2.2599999999999998</v>
      </c>
      <c r="E289">
        <v>18.399999999999999</v>
      </c>
      <c r="F289">
        <v>5.94</v>
      </c>
      <c r="G289">
        <v>0.02</v>
      </c>
    </row>
    <row r="290" spans="1:7" hidden="1">
      <c r="A290">
        <v>23</v>
      </c>
      <c r="B290" t="s">
        <v>992</v>
      </c>
      <c r="C290" t="s">
        <v>961</v>
      </c>
      <c r="D290">
        <v>6.37</v>
      </c>
      <c r="E290">
        <v>20.059999999999999</v>
      </c>
      <c r="F290">
        <v>18.260000000000002</v>
      </c>
      <c r="G290">
        <v>0.05</v>
      </c>
    </row>
    <row r="291" spans="1:7" hidden="1">
      <c r="A291">
        <v>23</v>
      </c>
      <c r="B291" t="s">
        <v>992</v>
      </c>
      <c r="C291" t="s">
        <v>962</v>
      </c>
      <c r="D291">
        <v>1.1100000000000001</v>
      </c>
      <c r="E291">
        <v>24.72</v>
      </c>
      <c r="F291">
        <v>3.92</v>
      </c>
      <c r="G291">
        <v>0</v>
      </c>
    </row>
    <row r="292" spans="1:7" hidden="1">
      <c r="A292">
        <v>23</v>
      </c>
      <c r="B292" t="s">
        <v>992</v>
      </c>
      <c r="C292" t="s">
        <v>963</v>
      </c>
      <c r="D292">
        <v>2.02</v>
      </c>
      <c r="E292">
        <v>18.13</v>
      </c>
      <c r="F292">
        <v>5.23</v>
      </c>
      <c r="G292">
        <v>0.01</v>
      </c>
    </row>
    <row r="293" spans="1:7" hidden="1">
      <c r="A293">
        <v>23</v>
      </c>
      <c r="B293" t="s">
        <v>992</v>
      </c>
      <c r="C293" t="s">
        <v>964</v>
      </c>
      <c r="D293">
        <v>0.18</v>
      </c>
      <c r="E293">
        <v>21.87</v>
      </c>
      <c r="F293">
        <v>0.55000000000000004</v>
      </c>
      <c r="G293">
        <v>0</v>
      </c>
    </row>
    <row r="294" spans="1:7" hidden="1">
      <c r="A294">
        <v>23</v>
      </c>
      <c r="B294" t="s">
        <v>992</v>
      </c>
      <c r="C294" t="s">
        <v>965</v>
      </c>
      <c r="D294">
        <v>2.21</v>
      </c>
      <c r="E294">
        <v>24.75</v>
      </c>
      <c r="F294">
        <v>7.82</v>
      </c>
      <c r="G294">
        <v>0.01</v>
      </c>
    </row>
    <row r="295" spans="1:7">
      <c r="A295">
        <v>23</v>
      </c>
      <c r="B295" t="s">
        <v>992</v>
      </c>
      <c r="C295" t="s">
        <v>24</v>
      </c>
      <c r="D295">
        <v>15.52</v>
      </c>
      <c r="E295">
        <v>20.43</v>
      </c>
      <c r="F295">
        <v>45.3</v>
      </c>
      <c r="G295">
        <v>0.12</v>
      </c>
    </row>
    <row r="296" spans="1:7" hidden="1">
      <c r="A296">
        <v>23</v>
      </c>
      <c r="B296" t="s">
        <v>992</v>
      </c>
      <c r="C296" t="s">
        <v>966</v>
      </c>
      <c r="D296">
        <v>0.05</v>
      </c>
      <c r="E296">
        <v>18.05</v>
      </c>
      <c r="F296">
        <v>0.13</v>
      </c>
      <c r="G296">
        <v>0.05</v>
      </c>
    </row>
    <row r="297" spans="1:7" hidden="1">
      <c r="A297">
        <v>23</v>
      </c>
      <c r="B297" t="s">
        <v>992</v>
      </c>
      <c r="C297" t="s">
        <v>967</v>
      </c>
      <c r="D297">
        <v>0.13</v>
      </c>
      <c r="E297">
        <v>17.91</v>
      </c>
      <c r="F297">
        <v>0.32</v>
      </c>
      <c r="G297">
        <v>0</v>
      </c>
    </row>
    <row r="298" spans="1:7" hidden="1">
      <c r="A298">
        <v>23</v>
      </c>
      <c r="B298" t="s">
        <v>992</v>
      </c>
      <c r="C298" t="s">
        <v>968</v>
      </c>
      <c r="D298">
        <v>0.84</v>
      </c>
      <c r="E298">
        <v>18.09</v>
      </c>
      <c r="F298">
        <v>2.1800000000000002</v>
      </c>
      <c r="G298">
        <v>0</v>
      </c>
    </row>
    <row r="299" spans="1:7" hidden="1">
      <c r="A299">
        <v>23</v>
      </c>
      <c r="B299" t="s">
        <v>992</v>
      </c>
      <c r="C299" t="s">
        <v>969</v>
      </c>
      <c r="D299">
        <v>0.16</v>
      </c>
      <c r="E299">
        <v>24.75</v>
      </c>
      <c r="F299">
        <v>0.56999999999999995</v>
      </c>
      <c r="G299">
        <v>0</v>
      </c>
    </row>
    <row r="300" spans="1:7" hidden="1">
      <c r="A300">
        <v>23</v>
      </c>
      <c r="B300" t="s">
        <v>992</v>
      </c>
      <c r="C300" t="s">
        <v>970</v>
      </c>
      <c r="D300">
        <v>0.28999999999999998</v>
      </c>
      <c r="E300">
        <v>24.75</v>
      </c>
      <c r="F300">
        <v>1.03</v>
      </c>
      <c r="G300">
        <v>0</v>
      </c>
    </row>
    <row r="301" spans="1:7" hidden="1">
      <c r="A301">
        <v>24</v>
      </c>
      <c r="B301" t="s">
        <v>993</v>
      </c>
      <c r="C301" t="s">
        <v>959</v>
      </c>
      <c r="D301">
        <v>1.47</v>
      </c>
      <c r="E301">
        <v>18.309999999999999</v>
      </c>
      <c r="F301">
        <v>3.84</v>
      </c>
      <c r="G301">
        <v>0</v>
      </c>
    </row>
    <row r="302" spans="1:7" hidden="1">
      <c r="A302">
        <v>24</v>
      </c>
      <c r="B302" t="s">
        <v>993</v>
      </c>
      <c r="C302" t="s">
        <v>960</v>
      </c>
      <c r="D302">
        <v>2.27</v>
      </c>
      <c r="E302">
        <v>18.399999999999999</v>
      </c>
      <c r="F302">
        <v>5.95</v>
      </c>
      <c r="G302">
        <v>0.01</v>
      </c>
    </row>
    <row r="303" spans="1:7" hidden="1">
      <c r="A303">
        <v>24</v>
      </c>
      <c r="B303" t="s">
        <v>993</v>
      </c>
      <c r="C303" t="s">
        <v>961</v>
      </c>
      <c r="D303">
        <v>6.31</v>
      </c>
      <c r="E303">
        <v>20.059999999999999</v>
      </c>
      <c r="F303">
        <v>18.07</v>
      </c>
      <c r="G303">
        <v>0.01</v>
      </c>
    </row>
    <row r="304" spans="1:7" hidden="1">
      <c r="A304">
        <v>24</v>
      </c>
      <c r="B304" t="s">
        <v>993</v>
      </c>
      <c r="C304" t="s">
        <v>962</v>
      </c>
      <c r="D304">
        <v>1.04</v>
      </c>
      <c r="E304">
        <v>24.72</v>
      </c>
      <c r="F304">
        <v>3.67</v>
      </c>
      <c r="G304">
        <v>0</v>
      </c>
    </row>
    <row r="305" spans="1:7" hidden="1">
      <c r="A305">
        <v>24</v>
      </c>
      <c r="B305" t="s">
        <v>993</v>
      </c>
      <c r="C305" t="s">
        <v>963</v>
      </c>
      <c r="D305">
        <v>1.77</v>
      </c>
      <c r="E305">
        <v>18.13</v>
      </c>
      <c r="F305">
        <v>4.57</v>
      </c>
      <c r="G305">
        <v>0</v>
      </c>
    </row>
    <row r="306" spans="1:7" hidden="1">
      <c r="A306">
        <v>24</v>
      </c>
      <c r="B306" t="s">
        <v>993</v>
      </c>
      <c r="C306" t="s">
        <v>964</v>
      </c>
      <c r="D306">
        <v>0.13</v>
      </c>
      <c r="E306">
        <v>21.87</v>
      </c>
      <c r="F306">
        <v>0.39</v>
      </c>
      <c r="G306">
        <v>0</v>
      </c>
    </row>
    <row r="307" spans="1:7" hidden="1">
      <c r="A307">
        <v>24</v>
      </c>
      <c r="B307" t="s">
        <v>993</v>
      </c>
      <c r="C307" t="s">
        <v>965</v>
      </c>
      <c r="D307">
        <v>1.92</v>
      </c>
      <c r="E307">
        <v>24.75</v>
      </c>
      <c r="F307">
        <v>6.78</v>
      </c>
      <c r="G307">
        <v>0.01</v>
      </c>
    </row>
    <row r="308" spans="1:7">
      <c r="A308">
        <v>24</v>
      </c>
      <c r="B308" t="s">
        <v>993</v>
      </c>
      <c r="C308" t="s">
        <v>24</v>
      </c>
      <c r="D308">
        <v>14.89</v>
      </c>
      <c r="E308">
        <v>20.350000000000001</v>
      </c>
      <c r="F308">
        <v>43.28</v>
      </c>
      <c r="G308">
        <v>0.02</v>
      </c>
    </row>
    <row r="309" spans="1:7" hidden="1">
      <c r="A309">
        <v>24</v>
      </c>
      <c r="B309" t="s">
        <v>993</v>
      </c>
      <c r="C309" t="s">
        <v>966</v>
      </c>
      <c r="D309">
        <v>0.04</v>
      </c>
      <c r="E309">
        <v>18.05</v>
      </c>
      <c r="F309">
        <v>0.1</v>
      </c>
      <c r="G309">
        <v>0.04</v>
      </c>
    </row>
    <row r="310" spans="1:7" hidden="1">
      <c r="A310">
        <v>24</v>
      </c>
      <c r="B310" t="s">
        <v>993</v>
      </c>
      <c r="C310" t="s">
        <v>967</v>
      </c>
      <c r="D310">
        <v>0.12</v>
      </c>
      <c r="E310">
        <v>17.91</v>
      </c>
      <c r="F310">
        <v>0.31</v>
      </c>
      <c r="G310">
        <v>0</v>
      </c>
    </row>
    <row r="311" spans="1:7" hidden="1">
      <c r="A311">
        <v>24</v>
      </c>
      <c r="B311" t="s">
        <v>993</v>
      </c>
      <c r="C311" t="s">
        <v>968</v>
      </c>
      <c r="D311">
        <v>0.94</v>
      </c>
      <c r="E311">
        <v>18.09</v>
      </c>
      <c r="F311">
        <v>2.42</v>
      </c>
      <c r="G311">
        <v>0</v>
      </c>
    </row>
    <row r="312" spans="1:7" hidden="1">
      <c r="A312">
        <v>24</v>
      </c>
      <c r="B312" t="s">
        <v>993</v>
      </c>
      <c r="C312" t="s">
        <v>969</v>
      </c>
      <c r="D312">
        <v>0.13</v>
      </c>
      <c r="E312">
        <v>24.75</v>
      </c>
      <c r="F312">
        <v>0.46</v>
      </c>
      <c r="G312">
        <v>0</v>
      </c>
    </row>
    <row r="313" spans="1:7" hidden="1">
      <c r="A313">
        <v>24</v>
      </c>
      <c r="B313" t="s">
        <v>993</v>
      </c>
      <c r="C313" t="s">
        <v>970</v>
      </c>
      <c r="D313">
        <v>0.33</v>
      </c>
      <c r="E313">
        <v>24.75</v>
      </c>
      <c r="F313">
        <v>1.1599999999999999</v>
      </c>
      <c r="G313">
        <v>0</v>
      </c>
    </row>
    <row r="314" spans="1:7" hidden="1">
      <c r="A314">
        <v>25</v>
      </c>
      <c r="B314" t="s">
        <v>994</v>
      </c>
      <c r="C314" t="s">
        <v>959</v>
      </c>
      <c r="D314">
        <v>1.66</v>
      </c>
      <c r="E314">
        <v>18.309999999999999</v>
      </c>
      <c r="F314">
        <v>4.34</v>
      </c>
      <c r="G314">
        <v>1.21</v>
      </c>
    </row>
    <row r="315" spans="1:7" hidden="1">
      <c r="A315">
        <v>25</v>
      </c>
      <c r="B315" t="s">
        <v>994</v>
      </c>
      <c r="C315" t="s">
        <v>960</v>
      </c>
      <c r="D315">
        <v>2.08</v>
      </c>
      <c r="E315">
        <v>18.399999999999999</v>
      </c>
      <c r="F315">
        <v>5.47</v>
      </c>
      <c r="G315">
        <v>1.5</v>
      </c>
    </row>
    <row r="316" spans="1:7" hidden="1">
      <c r="A316">
        <v>25</v>
      </c>
      <c r="B316" t="s">
        <v>994</v>
      </c>
      <c r="C316" t="s">
        <v>961</v>
      </c>
      <c r="D316">
        <v>2.59</v>
      </c>
      <c r="E316">
        <v>20.059999999999999</v>
      </c>
      <c r="F316">
        <v>7.43</v>
      </c>
      <c r="G316">
        <v>1.23</v>
      </c>
    </row>
    <row r="317" spans="1:7" hidden="1">
      <c r="A317">
        <v>25</v>
      </c>
      <c r="B317" t="s">
        <v>994</v>
      </c>
      <c r="C317" t="s">
        <v>962</v>
      </c>
      <c r="D317">
        <v>0.72</v>
      </c>
      <c r="E317">
        <v>24.72</v>
      </c>
      <c r="F317">
        <v>2.5299999999999998</v>
      </c>
      <c r="G317">
        <v>0.36</v>
      </c>
    </row>
    <row r="318" spans="1:7" hidden="1">
      <c r="A318">
        <v>25</v>
      </c>
      <c r="B318" t="s">
        <v>994</v>
      </c>
      <c r="C318" t="s">
        <v>963</v>
      </c>
      <c r="D318">
        <v>2.1800000000000002</v>
      </c>
      <c r="E318">
        <v>18.13</v>
      </c>
      <c r="F318">
        <v>5.64</v>
      </c>
      <c r="G318">
        <v>1.34</v>
      </c>
    </row>
    <row r="319" spans="1:7" hidden="1">
      <c r="A319">
        <v>25</v>
      </c>
      <c r="B319" t="s">
        <v>994</v>
      </c>
      <c r="C319" t="s">
        <v>964</v>
      </c>
      <c r="D319">
        <v>0.06</v>
      </c>
      <c r="E319">
        <v>21.87</v>
      </c>
      <c r="F319">
        <v>0.2</v>
      </c>
      <c r="G319">
        <v>0.01</v>
      </c>
    </row>
    <row r="320" spans="1:7" hidden="1">
      <c r="A320">
        <v>25</v>
      </c>
      <c r="B320" t="s">
        <v>994</v>
      </c>
      <c r="C320" t="s">
        <v>965</v>
      </c>
      <c r="D320">
        <v>1.95</v>
      </c>
      <c r="E320">
        <v>24.75</v>
      </c>
      <c r="F320">
        <v>6.9</v>
      </c>
      <c r="G320">
        <v>0.91</v>
      </c>
    </row>
    <row r="321" spans="1:7">
      <c r="A321">
        <v>25</v>
      </c>
      <c r="B321" t="s">
        <v>994</v>
      </c>
      <c r="C321" t="s">
        <v>24</v>
      </c>
      <c r="D321">
        <v>11.25</v>
      </c>
      <c r="E321">
        <v>20.239999999999998</v>
      </c>
      <c r="F321">
        <v>32.53</v>
      </c>
      <c r="G321">
        <v>6.57</v>
      </c>
    </row>
    <row r="322" spans="1:7" hidden="1">
      <c r="A322">
        <v>25</v>
      </c>
      <c r="B322" t="s">
        <v>994</v>
      </c>
      <c r="C322" t="s">
        <v>966</v>
      </c>
      <c r="D322">
        <v>9.0500000000000007</v>
      </c>
      <c r="E322">
        <v>18.05</v>
      </c>
      <c r="F322">
        <v>23.34</v>
      </c>
      <c r="G322">
        <v>8.92</v>
      </c>
    </row>
    <row r="323" spans="1:7" hidden="1">
      <c r="A323">
        <v>25</v>
      </c>
      <c r="B323" t="s">
        <v>994</v>
      </c>
      <c r="C323" t="s">
        <v>967</v>
      </c>
      <c r="D323">
        <v>0.12</v>
      </c>
      <c r="E323">
        <v>17.91</v>
      </c>
      <c r="F323">
        <v>0.3</v>
      </c>
      <c r="G323">
        <v>0.09</v>
      </c>
    </row>
    <row r="324" spans="1:7" hidden="1">
      <c r="A324">
        <v>25</v>
      </c>
      <c r="B324" t="s">
        <v>994</v>
      </c>
      <c r="C324" t="s">
        <v>968</v>
      </c>
      <c r="D324">
        <v>0.5</v>
      </c>
      <c r="E324">
        <v>18.09</v>
      </c>
      <c r="F324">
        <v>1.29</v>
      </c>
      <c r="G324">
        <v>0.19</v>
      </c>
    </row>
    <row r="325" spans="1:7" hidden="1">
      <c r="A325">
        <v>25</v>
      </c>
      <c r="B325" t="s">
        <v>994</v>
      </c>
      <c r="C325" t="s">
        <v>969</v>
      </c>
      <c r="D325">
        <v>0.53</v>
      </c>
      <c r="E325">
        <v>24.75</v>
      </c>
      <c r="F325">
        <v>1.87</v>
      </c>
      <c r="G325">
        <v>0.04</v>
      </c>
    </row>
    <row r="326" spans="1:7" hidden="1">
      <c r="A326">
        <v>25</v>
      </c>
      <c r="B326" t="s">
        <v>994</v>
      </c>
      <c r="C326" t="s">
        <v>970</v>
      </c>
      <c r="D326">
        <v>0.24</v>
      </c>
      <c r="E326">
        <v>24.75</v>
      </c>
      <c r="F326">
        <v>0.85</v>
      </c>
      <c r="G326">
        <v>0.05</v>
      </c>
    </row>
    <row r="327" spans="1:7" hidden="1">
      <c r="A327">
        <v>26</v>
      </c>
      <c r="B327" t="s">
        <v>995</v>
      </c>
      <c r="C327" t="s">
        <v>959</v>
      </c>
      <c r="D327">
        <v>1.38</v>
      </c>
      <c r="E327">
        <v>18.309999999999999</v>
      </c>
      <c r="F327">
        <v>3.61</v>
      </c>
      <c r="G327">
        <v>0.99</v>
      </c>
    </row>
    <row r="328" spans="1:7" hidden="1">
      <c r="A328">
        <v>26</v>
      </c>
      <c r="B328" t="s">
        <v>995</v>
      </c>
      <c r="C328" t="s">
        <v>960</v>
      </c>
      <c r="D328">
        <v>1.97</v>
      </c>
      <c r="E328">
        <v>18.399999999999999</v>
      </c>
      <c r="F328">
        <v>5.18</v>
      </c>
      <c r="G328">
        <v>1.45</v>
      </c>
    </row>
    <row r="329" spans="1:7" hidden="1">
      <c r="A329">
        <v>26</v>
      </c>
      <c r="B329" t="s">
        <v>995</v>
      </c>
      <c r="C329" t="s">
        <v>961</v>
      </c>
      <c r="D329">
        <v>3.61</v>
      </c>
      <c r="E329">
        <v>20.059999999999999</v>
      </c>
      <c r="F329">
        <v>10.35</v>
      </c>
      <c r="G329">
        <v>2.17</v>
      </c>
    </row>
    <row r="330" spans="1:7" hidden="1">
      <c r="A330">
        <v>26</v>
      </c>
      <c r="B330" t="s">
        <v>995</v>
      </c>
      <c r="C330" t="s">
        <v>962</v>
      </c>
      <c r="D330">
        <v>0.73</v>
      </c>
      <c r="E330">
        <v>24.72</v>
      </c>
      <c r="F330">
        <v>2.57</v>
      </c>
      <c r="G330">
        <v>0.38</v>
      </c>
    </row>
    <row r="331" spans="1:7" hidden="1">
      <c r="A331">
        <v>26</v>
      </c>
      <c r="B331" t="s">
        <v>995</v>
      </c>
      <c r="C331" t="s">
        <v>963</v>
      </c>
      <c r="D331">
        <v>2.25</v>
      </c>
      <c r="E331">
        <v>18.13</v>
      </c>
      <c r="F331">
        <v>5.83</v>
      </c>
      <c r="G331">
        <v>1.34</v>
      </c>
    </row>
    <row r="332" spans="1:7" hidden="1">
      <c r="A332">
        <v>26</v>
      </c>
      <c r="B332" t="s">
        <v>995</v>
      </c>
      <c r="C332" t="s">
        <v>964</v>
      </c>
      <c r="D332">
        <v>0.13</v>
      </c>
      <c r="E332">
        <v>21.87</v>
      </c>
      <c r="F332">
        <v>0.42</v>
      </c>
      <c r="G332">
        <v>0.05</v>
      </c>
    </row>
    <row r="333" spans="1:7" hidden="1">
      <c r="A333">
        <v>26</v>
      </c>
      <c r="B333" t="s">
        <v>995</v>
      </c>
      <c r="C333" t="s">
        <v>965</v>
      </c>
      <c r="D333">
        <v>1.87</v>
      </c>
      <c r="E333">
        <v>24.75</v>
      </c>
      <c r="F333">
        <v>6.63</v>
      </c>
      <c r="G333">
        <v>0.86</v>
      </c>
    </row>
    <row r="334" spans="1:7">
      <c r="A334">
        <v>26</v>
      </c>
      <c r="B334" t="s">
        <v>995</v>
      </c>
      <c r="C334" t="s">
        <v>24</v>
      </c>
      <c r="D334">
        <v>11.95</v>
      </c>
      <c r="E334">
        <v>20.260000000000002</v>
      </c>
      <c r="F334">
        <v>34.590000000000003</v>
      </c>
      <c r="G334">
        <v>7.25</v>
      </c>
    </row>
    <row r="335" spans="1:7" hidden="1">
      <c r="A335">
        <v>26</v>
      </c>
      <c r="B335" t="s">
        <v>995</v>
      </c>
      <c r="C335" t="s">
        <v>966</v>
      </c>
      <c r="D335">
        <v>6.89</v>
      </c>
      <c r="E335">
        <v>18.05</v>
      </c>
      <c r="F335">
        <v>17.760000000000002</v>
      </c>
      <c r="G335">
        <v>6.74</v>
      </c>
    </row>
    <row r="336" spans="1:7" hidden="1">
      <c r="A336">
        <v>26</v>
      </c>
      <c r="B336" t="s">
        <v>995</v>
      </c>
      <c r="C336" t="s">
        <v>967</v>
      </c>
      <c r="D336">
        <v>0.16</v>
      </c>
      <c r="E336">
        <v>17.91</v>
      </c>
      <c r="F336">
        <v>0.4</v>
      </c>
      <c r="G336">
        <v>0.09</v>
      </c>
    </row>
    <row r="337" spans="1:7" hidden="1">
      <c r="A337">
        <v>26</v>
      </c>
      <c r="B337" t="s">
        <v>995</v>
      </c>
      <c r="C337" t="s">
        <v>968</v>
      </c>
      <c r="D337">
        <v>0.52</v>
      </c>
      <c r="E337">
        <v>18.09</v>
      </c>
      <c r="F337">
        <v>1.36</v>
      </c>
      <c r="G337">
        <v>0.09</v>
      </c>
    </row>
    <row r="338" spans="1:7" hidden="1">
      <c r="A338">
        <v>26</v>
      </c>
      <c r="B338" t="s">
        <v>995</v>
      </c>
      <c r="C338" t="s">
        <v>969</v>
      </c>
      <c r="D338">
        <v>0.76</v>
      </c>
      <c r="E338">
        <v>24.75</v>
      </c>
      <c r="F338">
        <v>2.7</v>
      </c>
      <c r="G338">
        <v>0.06</v>
      </c>
    </row>
    <row r="339" spans="1:7" hidden="1">
      <c r="A339">
        <v>26</v>
      </c>
      <c r="B339" t="s">
        <v>995</v>
      </c>
      <c r="C339" t="s">
        <v>970</v>
      </c>
      <c r="D339">
        <v>0.32</v>
      </c>
      <c r="E339">
        <v>24.75</v>
      </c>
      <c r="F339">
        <v>1.1200000000000001</v>
      </c>
      <c r="G339">
        <v>0.05</v>
      </c>
    </row>
    <row r="340" spans="1:7" hidden="1">
      <c r="A340">
        <v>27</v>
      </c>
      <c r="B340" t="s">
        <v>996</v>
      </c>
      <c r="C340" t="s">
        <v>959</v>
      </c>
      <c r="D340">
        <v>1.28</v>
      </c>
      <c r="E340">
        <v>18.309999999999999</v>
      </c>
      <c r="F340">
        <v>3.34</v>
      </c>
      <c r="G340">
        <v>0.76</v>
      </c>
    </row>
    <row r="341" spans="1:7" hidden="1">
      <c r="A341">
        <v>27</v>
      </c>
      <c r="B341" t="s">
        <v>996</v>
      </c>
      <c r="C341" t="s">
        <v>960</v>
      </c>
      <c r="D341">
        <v>1.89</v>
      </c>
      <c r="E341">
        <v>18.399999999999999</v>
      </c>
      <c r="F341">
        <v>4.96</v>
      </c>
      <c r="G341">
        <v>1.18</v>
      </c>
    </row>
    <row r="342" spans="1:7" hidden="1">
      <c r="A342">
        <v>27</v>
      </c>
      <c r="B342" t="s">
        <v>996</v>
      </c>
      <c r="C342" t="s">
        <v>961</v>
      </c>
      <c r="D342">
        <v>3.8</v>
      </c>
      <c r="E342">
        <v>20.059999999999999</v>
      </c>
      <c r="F342">
        <v>10.9</v>
      </c>
      <c r="G342">
        <v>2.02</v>
      </c>
    </row>
    <row r="343" spans="1:7" hidden="1">
      <c r="A343">
        <v>27</v>
      </c>
      <c r="B343" t="s">
        <v>996</v>
      </c>
      <c r="C343" t="s">
        <v>962</v>
      </c>
      <c r="D343">
        <v>0.83</v>
      </c>
      <c r="E343">
        <v>24.72</v>
      </c>
      <c r="F343">
        <v>2.94</v>
      </c>
      <c r="G343">
        <v>0.47</v>
      </c>
    </row>
    <row r="344" spans="1:7" hidden="1">
      <c r="A344">
        <v>27</v>
      </c>
      <c r="B344" t="s">
        <v>996</v>
      </c>
      <c r="C344" t="s">
        <v>963</v>
      </c>
      <c r="D344">
        <v>2.09</v>
      </c>
      <c r="E344">
        <v>18.13</v>
      </c>
      <c r="F344">
        <v>5.4</v>
      </c>
      <c r="G344">
        <v>0.92</v>
      </c>
    </row>
    <row r="345" spans="1:7" hidden="1">
      <c r="A345">
        <v>27</v>
      </c>
      <c r="B345" t="s">
        <v>996</v>
      </c>
      <c r="C345" t="s">
        <v>964</v>
      </c>
      <c r="D345">
        <v>0.1</v>
      </c>
      <c r="E345">
        <v>21.87</v>
      </c>
      <c r="F345">
        <v>0.31</v>
      </c>
      <c r="G345">
        <v>0.02</v>
      </c>
    </row>
    <row r="346" spans="1:7" hidden="1">
      <c r="A346">
        <v>27</v>
      </c>
      <c r="B346" t="s">
        <v>996</v>
      </c>
      <c r="C346" t="s">
        <v>965</v>
      </c>
      <c r="D346">
        <v>1.83</v>
      </c>
      <c r="E346">
        <v>24.75</v>
      </c>
      <c r="F346">
        <v>6.46</v>
      </c>
      <c r="G346">
        <v>0.7</v>
      </c>
    </row>
    <row r="347" spans="1:7">
      <c r="A347">
        <v>27</v>
      </c>
      <c r="B347" t="s">
        <v>996</v>
      </c>
      <c r="C347" t="s">
        <v>24</v>
      </c>
      <c r="D347">
        <v>11.81</v>
      </c>
      <c r="E347">
        <v>20.329999999999998</v>
      </c>
      <c r="F347">
        <v>34.32</v>
      </c>
      <c r="G347">
        <v>6.08</v>
      </c>
    </row>
    <row r="348" spans="1:7" hidden="1">
      <c r="A348">
        <v>27</v>
      </c>
      <c r="B348" t="s">
        <v>996</v>
      </c>
      <c r="C348" t="s">
        <v>966</v>
      </c>
      <c r="D348">
        <v>3.74</v>
      </c>
      <c r="E348">
        <v>18.05</v>
      </c>
      <c r="F348">
        <v>9.66</v>
      </c>
      <c r="G348">
        <v>3.48</v>
      </c>
    </row>
    <row r="349" spans="1:7" hidden="1">
      <c r="A349">
        <v>27</v>
      </c>
      <c r="B349" t="s">
        <v>996</v>
      </c>
      <c r="C349" t="s">
        <v>967</v>
      </c>
      <c r="D349">
        <v>0.21</v>
      </c>
      <c r="E349">
        <v>17.91</v>
      </c>
      <c r="F349">
        <v>0.52</v>
      </c>
      <c r="G349">
        <v>0.06</v>
      </c>
    </row>
    <row r="350" spans="1:7" hidden="1">
      <c r="A350">
        <v>27</v>
      </c>
      <c r="B350" t="s">
        <v>996</v>
      </c>
      <c r="C350" t="s">
        <v>968</v>
      </c>
      <c r="D350">
        <v>0.42</v>
      </c>
      <c r="E350">
        <v>18.09</v>
      </c>
      <c r="F350">
        <v>1.1000000000000001</v>
      </c>
      <c r="G350">
        <v>0.17</v>
      </c>
    </row>
    <row r="351" spans="1:7" hidden="1">
      <c r="A351">
        <v>27</v>
      </c>
      <c r="B351" t="s">
        <v>996</v>
      </c>
      <c r="C351" t="s">
        <v>969</v>
      </c>
      <c r="D351">
        <v>0.8</v>
      </c>
      <c r="E351">
        <v>24.75</v>
      </c>
      <c r="F351">
        <v>2.82</v>
      </c>
      <c r="G351">
        <v>0.02</v>
      </c>
    </row>
    <row r="352" spans="1:7" hidden="1">
      <c r="A352">
        <v>27</v>
      </c>
      <c r="B352" t="s">
        <v>996</v>
      </c>
      <c r="C352" t="s">
        <v>970</v>
      </c>
      <c r="D352">
        <v>0.21</v>
      </c>
      <c r="E352">
        <v>24.75</v>
      </c>
      <c r="F352">
        <v>0.75</v>
      </c>
      <c r="G352">
        <v>0.06</v>
      </c>
    </row>
    <row r="353" spans="1:7" hidden="1">
      <c r="A353">
        <v>28</v>
      </c>
      <c r="B353" t="s">
        <v>997</v>
      </c>
      <c r="C353" t="s">
        <v>959</v>
      </c>
      <c r="D353">
        <v>1.06</v>
      </c>
      <c r="E353">
        <v>18.309999999999999</v>
      </c>
      <c r="F353">
        <v>2.77</v>
      </c>
      <c r="G353">
        <v>0</v>
      </c>
    </row>
    <row r="354" spans="1:7" hidden="1">
      <c r="A354">
        <v>28</v>
      </c>
      <c r="B354" t="s">
        <v>997</v>
      </c>
      <c r="C354" t="s">
        <v>960</v>
      </c>
      <c r="D354">
        <v>1.81</v>
      </c>
      <c r="E354">
        <v>18.399999999999999</v>
      </c>
      <c r="F354">
        <v>4.76</v>
      </c>
      <c r="G354">
        <v>0</v>
      </c>
    </row>
    <row r="355" spans="1:7" hidden="1">
      <c r="A355">
        <v>28</v>
      </c>
      <c r="B355" t="s">
        <v>997</v>
      </c>
      <c r="C355" t="s">
        <v>961</v>
      </c>
      <c r="D355">
        <v>5.58</v>
      </c>
      <c r="E355">
        <v>20.059999999999999</v>
      </c>
      <c r="F355">
        <v>15.98</v>
      </c>
      <c r="G355">
        <v>0</v>
      </c>
    </row>
    <row r="356" spans="1:7" hidden="1">
      <c r="A356">
        <v>28</v>
      </c>
      <c r="B356" t="s">
        <v>997</v>
      </c>
      <c r="C356" t="s">
        <v>962</v>
      </c>
      <c r="D356">
        <v>0.85</v>
      </c>
      <c r="E356">
        <v>24.72</v>
      </c>
      <c r="F356">
        <v>3</v>
      </c>
      <c r="G356">
        <v>0</v>
      </c>
    </row>
    <row r="357" spans="1:7" hidden="1">
      <c r="A357">
        <v>28</v>
      </c>
      <c r="B357" t="s">
        <v>997</v>
      </c>
      <c r="C357" t="s">
        <v>963</v>
      </c>
      <c r="D357">
        <v>1.71</v>
      </c>
      <c r="E357">
        <v>18.13</v>
      </c>
      <c r="F357">
        <v>4.42</v>
      </c>
      <c r="G357">
        <v>0</v>
      </c>
    </row>
    <row r="358" spans="1:7" hidden="1">
      <c r="A358">
        <v>28</v>
      </c>
      <c r="B358" t="s">
        <v>997</v>
      </c>
      <c r="C358" t="s">
        <v>964</v>
      </c>
      <c r="D358">
        <v>0.1</v>
      </c>
      <c r="E358">
        <v>21.87</v>
      </c>
      <c r="F358">
        <v>0.31</v>
      </c>
      <c r="G358">
        <v>0</v>
      </c>
    </row>
    <row r="359" spans="1:7" hidden="1">
      <c r="A359">
        <v>28</v>
      </c>
      <c r="B359" t="s">
        <v>997</v>
      </c>
      <c r="C359" t="s">
        <v>965</v>
      </c>
      <c r="D359">
        <v>1.98</v>
      </c>
      <c r="E359">
        <v>24.75</v>
      </c>
      <c r="F359">
        <v>6.99</v>
      </c>
      <c r="G359">
        <v>0</v>
      </c>
    </row>
    <row r="360" spans="1:7">
      <c r="A360">
        <v>28</v>
      </c>
      <c r="B360" t="s">
        <v>997</v>
      </c>
      <c r="C360" t="s">
        <v>24</v>
      </c>
      <c r="D360">
        <v>13.08</v>
      </c>
      <c r="E360">
        <v>20.46</v>
      </c>
      <c r="F360">
        <v>38.229999999999997</v>
      </c>
      <c r="G360">
        <v>0</v>
      </c>
    </row>
    <row r="361" spans="1:7" hidden="1">
      <c r="A361">
        <v>28</v>
      </c>
      <c r="B361" t="s">
        <v>997</v>
      </c>
      <c r="C361" t="s">
        <v>966</v>
      </c>
      <c r="D361">
        <v>1.47</v>
      </c>
      <c r="E361">
        <v>18.05</v>
      </c>
      <c r="F361">
        <v>3.78</v>
      </c>
      <c r="G361">
        <v>1.28</v>
      </c>
    </row>
    <row r="362" spans="1:7" hidden="1">
      <c r="A362">
        <v>28</v>
      </c>
      <c r="B362" t="s">
        <v>997</v>
      </c>
      <c r="C362" t="s">
        <v>967</v>
      </c>
      <c r="D362">
        <v>0.23</v>
      </c>
      <c r="E362">
        <v>17.91</v>
      </c>
      <c r="F362">
        <v>0.59</v>
      </c>
      <c r="G362">
        <v>0</v>
      </c>
    </row>
    <row r="363" spans="1:7" hidden="1">
      <c r="A363">
        <v>28</v>
      </c>
      <c r="B363" t="s">
        <v>997</v>
      </c>
      <c r="C363" t="s">
        <v>968</v>
      </c>
      <c r="D363">
        <v>0.43</v>
      </c>
      <c r="E363">
        <v>18.09</v>
      </c>
      <c r="F363">
        <v>1.1000000000000001</v>
      </c>
      <c r="G363">
        <v>0</v>
      </c>
    </row>
    <row r="364" spans="1:7" hidden="1">
      <c r="A364">
        <v>28</v>
      </c>
      <c r="B364" t="s">
        <v>997</v>
      </c>
      <c r="C364" t="s">
        <v>969</v>
      </c>
      <c r="D364">
        <v>0.68</v>
      </c>
      <c r="E364">
        <v>24.75</v>
      </c>
      <c r="F364">
        <v>2.4</v>
      </c>
      <c r="G364">
        <v>0</v>
      </c>
    </row>
    <row r="365" spans="1:7" hidden="1">
      <c r="A365">
        <v>28</v>
      </c>
      <c r="B365" t="s">
        <v>997</v>
      </c>
      <c r="C365" t="s">
        <v>970</v>
      </c>
      <c r="D365">
        <v>0.25</v>
      </c>
      <c r="E365">
        <v>24.75</v>
      </c>
      <c r="F365">
        <v>0.88</v>
      </c>
      <c r="G365">
        <v>0</v>
      </c>
    </row>
    <row r="366" spans="1:7" hidden="1">
      <c r="A366">
        <v>29</v>
      </c>
      <c r="B366" t="s">
        <v>998</v>
      </c>
      <c r="C366" t="s">
        <v>959</v>
      </c>
      <c r="D366">
        <v>1.1100000000000001</v>
      </c>
      <c r="E366">
        <v>18.309999999999999</v>
      </c>
      <c r="F366">
        <v>2.9</v>
      </c>
      <c r="G366">
        <v>0</v>
      </c>
    </row>
    <row r="367" spans="1:7" hidden="1">
      <c r="A367">
        <v>29</v>
      </c>
      <c r="B367" t="s">
        <v>998</v>
      </c>
      <c r="C367" t="s">
        <v>960</v>
      </c>
      <c r="D367">
        <v>1.62</v>
      </c>
      <c r="E367">
        <v>18.399999999999999</v>
      </c>
      <c r="F367">
        <v>4.26</v>
      </c>
      <c r="G367">
        <v>0</v>
      </c>
    </row>
    <row r="368" spans="1:7" hidden="1">
      <c r="A368">
        <v>29</v>
      </c>
      <c r="B368" t="s">
        <v>998</v>
      </c>
      <c r="C368" t="s">
        <v>961</v>
      </c>
      <c r="D368">
        <v>5.39</v>
      </c>
      <c r="E368">
        <v>20.059999999999999</v>
      </c>
      <c r="F368">
        <v>15.45</v>
      </c>
      <c r="G368">
        <v>0</v>
      </c>
    </row>
    <row r="369" spans="1:7" hidden="1">
      <c r="A369">
        <v>29</v>
      </c>
      <c r="B369" t="s">
        <v>998</v>
      </c>
      <c r="C369" t="s">
        <v>962</v>
      </c>
      <c r="D369">
        <v>0.96</v>
      </c>
      <c r="E369">
        <v>24.72</v>
      </c>
      <c r="F369">
        <v>3.4</v>
      </c>
      <c r="G369">
        <v>0</v>
      </c>
    </row>
    <row r="370" spans="1:7" hidden="1">
      <c r="A370">
        <v>29</v>
      </c>
      <c r="B370" t="s">
        <v>998</v>
      </c>
      <c r="C370" t="s">
        <v>963</v>
      </c>
      <c r="D370">
        <v>1.91</v>
      </c>
      <c r="E370">
        <v>18.13</v>
      </c>
      <c r="F370">
        <v>4.9400000000000004</v>
      </c>
      <c r="G370">
        <v>0</v>
      </c>
    </row>
    <row r="371" spans="1:7" hidden="1">
      <c r="A371">
        <v>29</v>
      </c>
      <c r="B371" t="s">
        <v>998</v>
      </c>
      <c r="C371" t="s">
        <v>964</v>
      </c>
      <c r="D371">
        <v>0.14000000000000001</v>
      </c>
      <c r="E371">
        <v>21.87</v>
      </c>
      <c r="F371">
        <v>0.42</v>
      </c>
      <c r="G371">
        <v>0</v>
      </c>
    </row>
    <row r="372" spans="1:7" hidden="1">
      <c r="A372">
        <v>29</v>
      </c>
      <c r="B372" t="s">
        <v>998</v>
      </c>
      <c r="C372" t="s">
        <v>965</v>
      </c>
      <c r="D372">
        <v>1.91</v>
      </c>
      <c r="E372">
        <v>24.75</v>
      </c>
      <c r="F372">
        <v>6.76</v>
      </c>
      <c r="G372">
        <v>0</v>
      </c>
    </row>
    <row r="373" spans="1:7">
      <c r="A373">
        <v>29</v>
      </c>
      <c r="B373" t="s">
        <v>998</v>
      </c>
      <c r="C373" t="s">
        <v>24</v>
      </c>
      <c r="D373">
        <v>13.04</v>
      </c>
      <c r="E373">
        <v>20.47</v>
      </c>
      <c r="F373">
        <v>38.130000000000003</v>
      </c>
      <c r="G373">
        <v>0.01</v>
      </c>
    </row>
    <row r="374" spans="1:7" hidden="1">
      <c r="A374">
        <v>29</v>
      </c>
      <c r="B374" t="s">
        <v>998</v>
      </c>
      <c r="C374" t="s">
        <v>966</v>
      </c>
      <c r="D374">
        <v>0</v>
      </c>
      <c r="E374">
        <v>18.05</v>
      </c>
      <c r="F374">
        <v>0</v>
      </c>
      <c r="G374">
        <v>0</v>
      </c>
    </row>
    <row r="375" spans="1:7" hidden="1">
      <c r="A375">
        <v>29</v>
      </c>
      <c r="B375" t="s">
        <v>998</v>
      </c>
      <c r="C375" t="s">
        <v>967</v>
      </c>
      <c r="D375">
        <v>0.32</v>
      </c>
      <c r="E375">
        <v>17.91</v>
      </c>
      <c r="F375">
        <v>0.83</v>
      </c>
      <c r="G375">
        <v>0</v>
      </c>
    </row>
    <row r="376" spans="1:7" hidden="1">
      <c r="A376">
        <v>29</v>
      </c>
      <c r="B376" t="s">
        <v>998</v>
      </c>
      <c r="C376" t="s">
        <v>968</v>
      </c>
      <c r="D376">
        <v>0.82</v>
      </c>
      <c r="E376">
        <v>18.09</v>
      </c>
      <c r="F376">
        <v>2.12</v>
      </c>
      <c r="G376">
        <v>0</v>
      </c>
    </row>
    <row r="377" spans="1:7" hidden="1">
      <c r="A377">
        <v>29</v>
      </c>
      <c r="B377" t="s">
        <v>998</v>
      </c>
      <c r="C377" t="s">
        <v>969</v>
      </c>
      <c r="D377">
        <v>0.11</v>
      </c>
      <c r="E377">
        <v>24.75</v>
      </c>
      <c r="F377">
        <v>0.39</v>
      </c>
      <c r="G377">
        <v>0</v>
      </c>
    </row>
    <row r="378" spans="1:7" hidden="1">
      <c r="A378">
        <v>29</v>
      </c>
      <c r="B378" t="s">
        <v>998</v>
      </c>
      <c r="C378" t="s">
        <v>970</v>
      </c>
      <c r="D378">
        <v>0.33</v>
      </c>
      <c r="E378">
        <v>24.75</v>
      </c>
      <c r="F378">
        <v>1.17</v>
      </c>
      <c r="G378">
        <v>0</v>
      </c>
    </row>
    <row r="379" spans="1:7" hidden="1">
      <c r="A379">
        <v>30</v>
      </c>
      <c r="B379" t="s">
        <v>999</v>
      </c>
      <c r="C379" t="s">
        <v>959</v>
      </c>
      <c r="D379">
        <v>1.36</v>
      </c>
      <c r="E379">
        <v>18.309999999999999</v>
      </c>
      <c r="F379">
        <v>3.56</v>
      </c>
      <c r="G379">
        <v>0</v>
      </c>
    </row>
    <row r="380" spans="1:7" hidden="1">
      <c r="A380">
        <v>30</v>
      </c>
      <c r="B380" t="s">
        <v>999</v>
      </c>
      <c r="C380" t="s">
        <v>960</v>
      </c>
      <c r="D380">
        <v>1.76</v>
      </c>
      <c r="E380">
        <v>18.399999999999999</v>
      </c>
      <c r="F380">
        <v>4.62</v>
      </c>
      <c r="G380">
        <v>0.01</v>
      </c>
    </row>
    <row r="381" spans="1:7" hidden="1">
      <c r="A381">
        <v>30</v>
      </c>
      <c r="B381" t="s">
        <v>999</v>
      </c>
      <c r="C381" t="s">
        <v>961</v>
      </c>
      <c r="D381">
        <v>2.95</v>
      </c>
      <c r="E381">
        <v>20.059999999999999</v>
      </c>
      <c r="F381">
        <v>8.4700000000000006</v>
      </c>
      <c r="G381">
        <v>0</v>
      </c>
    </row>
    <row r="382" spans="1:7" hidden="1">
      <c r="A382">
        <v>30</v>
      </c>
      <c r="B382" t="s">
        <v>999</v>
      </c>
      <c r="C382" t="s">
        <v>962</v>
      </c>
      <c r="D382">
        <v>0.57999999999999996</v>
      </c>
      <c r="E382">
        <v>24.72</v>
      </c>
      <c r="F382">
        <v>2.0299999999999998</v>
      </c>
      <c r="G382">
        <v>0</v>
      </c>
    </row>
    <row r="383" spans="1:7" hidden="1">
      <c r="A383">
        <v>30</v>
      </c>
      <c r="B383" t="s">
        <v>999</v>
      </c>
      <c r="C383" t="s">
        <v>963</v>
      </c>
      <c r="D383">
        <v>2.2000000000000002</v>
      </c>
      <c r="E383">
        <v>18.13</v>
      </c>
      <c r="F383">
        <v>5.7</v>
      </c>
      <c r="G383">
        <v>0</v>
      </c>
    </row>
    <row r="384" spans="1:7" hidden="1">
      <c r="A384">
        <v>30</v>
      </c>
      <c r="B384" t="s">
        <v>999</v>
      </c>
      <c r="C384" t="s">
        <v>964</v>
      </c>
      <c r="D384">
        <v>0.16</v>
      </c>
      <c r="E384">
        <v>21.87</v>
      </c>
      <c r="F384">
        <v>0.5</v>
      </c>
      <c r="G384">
        <v>0</v>
      </c>
    </row>
    <row r="385" spans="1:7" hidden="1">
      <c r="A385">
        <v>30</v>
      </c>
      <c r="B385" t="s">
        <v>999</v>
      </c>
      <c r="C385" t="s">
        <v>965</v>
      </c>
      <c r="D385">
        <v>1.7</v>
      </c>
      <c r="E385">
        <v>24.75</v>
      </c>
      <c r="F385">
        <v>6.02</v>
      </c>
      <c r="G385">
        <v>0</v>
      </c>
    </row>
    <row r="386" spans="1:7">
      <c r="A386">
        <v>30</v>
      </c>
      <c r="B386" t="s">
        <v>999</v>
      </c>
      <c r="C386" t="s">
        <v>24</v>
      </c>
      <c r="D386">
        <v>10.71</v>
      </c>
      <c r="E386">
        <v>20.190000000000001</v>
      </c>
      <c r="F386">
        <v>30.89</v>
      </c>
      <c r="G386">
        <v>0.02</v>
      </c>
    </row>
    <row r="387" spans="1:7" hidden="1">
      <c r="A387">
        <v>30</v>
      </c>
      <c r="B387" t="s">
        <v>999</v>
      </c>
      <c r="C387" t="s">
        <v>966</v>
      </c>
      <c r="D387">
        <v>0</v>
      </c>
      <c r="E387">
        <v>18.05</v>
      </c>
      <c r="F387">
        <v>0</v>
      </c>
      <c r="G387">
        <v>0</v>
      </c>
    </row>
    <row r="388" spans="1:7" hidden="1">
      <c r="A388">
        <v>30</v>
      </c>
      <c r="B388" t="s">
        <v>999</v>
      </c>
      <c r="C388" t="s">
        <v>967</v>
      </c>
      <c r="D388">
        <v>0.33</v>
      </c>
      <c r="E388">
        <v>17.91</v>
      </c>
      <c r="F388">
        <v>0.83</v>
      </c>
      <c r="G388">
        <v>0</v>
      </c>
    </row>
    <row r="389" spans="1:7" hidden="1">
      <c r="A389">
        <v>30</v>
      </c>
      <c r="B389" t="s">
        <v>999</v>
      </c>
      <c r="C389" t="s">
        <v>968</v>
      </c>
      <c r="D389">
        <v>0.62</v>
      </c>
      <c r="E389">
        <v>18.09</v>
      </c>
      <c r="F389">
        <v>1.6</v>
      </c>
      <c r="G389">
        <v>0</v>
      </c>
    </row>
    <row r="390" spans="1:7" hidden="1">
      <c r="A390">
        <v>30</v>
      </c>
      <c r="B390" t="s">
        <v>999</v>
      </c>
      <c r="C390" t="s">
        <v>969</v>
      </c>
      <c r="D390">
        <v>0.13</v>
      </c>
      <c r="E390">
        <v>24.75</v>
      </c>
      <c r="F390">
        <v>0.45</v>
      </c>
      <c r="G390">
        <v>0</v>
      </c>
    </row>
    <row r="391" spans="1:7" hidden="1">
      <c r="A391">
        <v>30</v>
      </c>
      <c r="B391" t="s">
        <v>999</v>
      </c>
      <c r="C391" t="s">
        <v>970</v>
      </c>
      <c r="D391">
        <v>0.36</v>
      </c>
      <c r="E391">
        <v>24.75</v>
      </c>
      <c r="F391">
        <v>1.27</v>
      </c>
      <c r="G391">
        <v>0</v>
      </c>
    </row>
    <row r="392" spans="1:7" hidden="1">
      <c r="A392">
        <v>31</v>
      </c>
      <c r="B392" t="s">
        <v>1000</v>
      </c>
      <c r="C392" t="s">
        <v>959</v>
      </c>
      <c r="D392">
        <v>1</v>
      </c>
      <c r="E392">
        <v>18.309999999999999</v>
      </c>
      <c r="F392">
        <v>2.62</v>
      </c>
      <c r="G392">
        <v>0</v>
      </c>
    </row>
    <row r="393" spans="1:7" hidden="1">
      <c r="A393">
        <v>31</v>
      </c>
      <c r="B393" t="s">
        <v>1000</v>
      </c>
      <c r="C393" t="s">
        <v>960</v>
      </c>
      <c r="D393">
        <v>1.56</v>
      </c>
      <c r="E393">
        <v>18.399999999999999</v>
      </c>
      <c r="F393">
        <v>4.0999999999999996</v>
      </c>
      <c r="G393">
        <v>0</v>
      </c>
    </row>
    <row r="394" spans="1:7" hidden="1">
      <c r="A394">
        <v>31</v>
      </c>
      <c r="B394" t="s">
        <v>1000</v>
      </c>
      <c r="C394" t="s">
        <v>961</v>
      </c>
      <c r="D394">
        <v>6.35</v>
      </c>
      <c r="E394">
        <v>20.059999999999999</v>
      </c>
      <c r="F394">
        <v>18.2</v>
      </c>
      <c r="G394">
        <v>0</v>
      </c>
    </row>
    <row r="395" spans="1:7" hidden="1">
      <c r="A395">
        <v>31</v>
      </c>
      <c r="B395" t="s">
        <v>1000</v>
      </c>
      <c r="C395" t="s">
        <v>962</v>
      </c>
      <c r="D395">
        <v>0.87</v>
      </c>
      <c r="E395">
        <v>24.72</v>
      </c>
      <c r="F395">
        <v>3.07</v>
      </c>
      <c r="G395">
        <v>0</v>
      </c>
    </row>
    <row r="396" spans="1:7" hidden="1">
      <c r="A396">
        <v>31</v>
      </c>
      <c r="B396" t="s">
        <v>1000</v>
      </c>
      <c r="C396" t="s">
        <v>963</v>
      </c>
      <c r="D396">
        <v>1.8</v>
      </c>
      <c r="E396">
        <v>18.13</v>
      </c>
      <c r="F396">
        <v>4.6500000000000004</v>
      </c>
      <c r="G396">
        <v>0</v>
      </c>
    </row>
    <row r="397" spans="1:7" hidden="1">
      <c r="A397">
        <v>31</v>
      </c>
      <c r="B397" t="s">
        <v>1000</v>
      </c>
      <c r="C397" t="s">
        <v>964</v>
      </c>
      <c r="D397">
        <v>0.14000000000000001</v>
      </c>
      <c r="E397">
        <v>21.87</v>
      </c>
      <c r="F397">
        <v>0.44</v>
      </c>
      <c r="G397">
        <v>0</v>
      </c>
    </row>
    <row r="398" spans="1:7" hidden="1">
      <c r="A398">
        <v>31</v>
      </c>
      <c r="B398" t="s">
        <v>1000</v>
      </c>
      <c r="C398" t="s">
        <v>965</v>
      </c>
      <c r="D398">
        <v>2</v>
      </c>
      <c r="E398">
        <v>24.75</v>
      </c>
      <c r="F398">
        <v>7.06</v>
      </c>
      <c r="G398">
        <v>0</v>
      </c>
    </row>
    <row r="399" spans="1:7">
      <c r="A399">
        <v>31</v>
      </c>
      <c r="B399" t="s">
        <v>1000</v>
      </c>
      <c r="C399" t="s">
        <v>24</v>
      </c>
      <c r="D399">
        <v>13.72</v>
      </c>
      <c r="E399">
        <v>20.49</v>
      </c>
      <c r="F399">
        <v>40.14</v>
      </c>
      <c r="G399">
        <v>0</v>
      </c>
    </row>
    <row r="400" spans="1:7" hidden="1">
      <c r="A400">
        <v>31</v>
      </c>
      <c r="B400" t="s">
        <v>1000</v>
      </c>
      <c r="C400" t="s">
        <v>966</v>
      </c>
      <c r="D400">
        <v>0</v>
      </c>
      <c r="E400">
        <v>18.05</v>
      </c>
      <c r="F400">
        <v>0</v>
      </c>
      <c r="G400">
        <v>0</v>
      </c>
    </row>
    <row r="401" spans="1:7" hidden="1">
      <c r="A401">
        <v>31</v>
      </c>
      <c r="B401" t="s">
        <v>1000</v>
      </c>
      <c r="C401" t="s">
        <v>967</v>
      </c>
      <c r="D401">
        <v>0.27</v>
      </c>
      <c r="E401">
        <v>17.91</v>
      </c>
      <c r="F401">
        <v>0.7</v>
      </c>
      <c r="G401">
        <v>0</v>
      </c>
    </row>
    <row r="402" spans="1:7" hidden="1">
      <c r="A402">
        <v>31</v>
      </c>
      <c r="B402" t="s">
        <v>1000</v>
      </c>
      <c r="C402" t="s">
        <v>968</v>
      </c>
      <c r="D402">
        <v>0.63</v>
      </c>
      <c r="E402">
        <v>18.09</v>
      </c>
      <c r="F402">
        <v>1.63</v>
      </c>
      <c r="G402">
        <v>0</v>
      </c>
    </row>
    <row r="403" spans="1:7" hidden="1">
      <c r="A403">
        <v>31</v>
      </c>
      <c r="B403" t="s">
        <v>1000</v>
      </c>
      <c r="C403" t="s">
        <v>969</v>
      </c>
      <c r="D403">
        <v>0.17</v>
      </c>
      <c r="E403">
        <v>24.75</v>
      </c>
      <c r="F403">
        <v>0.6</v>
      </c>
      <c r="G403">
        <v>0</v>
      </c>
    </row>
    <row r="404" spans="1:7" hidden="1">
      <c r="A404">
        <v>31</v>
      </c>
      <c r="B404" t="s">
        <v>1000</v>
      </c>
      <c r="C404" t="s">
        <v>970</v>
      </c>
      <c r="D404">
        <v>0.23</v>
      </c>
      <c r="E404">
        <v>24.75</v>
      </c>
      <c r="F404">
        <v>0.83</v>
      </c>
      <c r="G404">
        <v>0</v>
      </c>
    </row>
    <row r="405" spans="1:7" hidden="1">
      <c r="A405">
        <v>32</v>
      </c>
      <c r="B405" t="s">
        <v>1001</v>
      </c>
      <c r="C405" t="s">
        <v>959</v>
      </c>
      <c r="D405">
        <v>1.07</v>
      </c>
      <c r="E405">
        <v>18.309999999999999</v>
      </c>
      <c r="F405">
        <v>2.79</v>
      </c>
      <c r="G405">
        <v>0</v>
      </c>
    </row>
    <row r="406" spans="1:7" hidden="1">
      <c r="A406">
        <v>32</v>
      </c>
      <c r="B406" t="s">
        <v>1001</v>
      </c>
      <c r="C406" t="s">
        <v>960</v>
      </c>
      <c r="D406">
        <v>1.6</v>
      </c>
      <c r="E406">
        <v>18.399999999999999</v>
      </c>
      <c r="F406">
        <v>4.2</v>
      </c>
      <c r="G406">
        <v>0</v>
      </c>
    </row>
    <row r="407" spans="1:7" hidden="1">
      <c r="A407">
        <v>32</v>
      </c>
      <c r="B407" t="s">
        <v>1001</v>
      </c>
      <c r="C407" t="s">
        <v>961</v>
      </c>
      <c r="D407">
        <v>5.82</v>
      </c>
      <c r="E407">
        <v>20.059999999999999</v>
      </c>
      <c r="F407">
        <v>16.66</v>
      </c>
      <c r="G407">
        <v>0.01</v>
      </c>
    </row>
    <row r="408" spans="1:7" hidden="1">
      <c r="A408">
        <v>32</v>
      </c>
      <c r="B408" t="s">
        <v>1001</v>
      </c>
      <c r="C408" t="s">
        <v>962</v>
      </c>
      <c r="D408">
        <v>1.1299999999999999</v>
      </c>
      <c r="E408">
        <v>24.72</v>
      </c>
      <c r="F408">
        <v>3.99</v>
      </c>
      <c r="G408">
        <v>0</v>
      </c>
    </row>
    <row r="409" spans="1:7" hidden="1">
      <c r="A409">
        <v>32</v>
      </c>
      <c r="B409" t="s">
        <v>1001</v>
      </c>
      <c r="C409" t="s">
        <v>963</v>
      </c>
      <c r="D409">
        <v>1.85</v>
      </c>
      <c r="E409">
        <v>18.13</v>
      </c>
      <c r="F409">
        <v>4.8</v>
      </c>
      <c r="G409">
        <v>0</v>
      </c>
    </row>
    <row r="410" spans="1:7" hidden="1">
      <c r="A410">
        <v>32</v>
      </c>
      <c r="B410" t="s">
        <v>1001</v>
      </c>
      <c r="C410" t="s">
        <v>964</v>
      </c>
      <c r="D410">
        <v>0.13</v>
      </c>
      <c r="E410">
        <v>21.87</v>
      </c>
      <c r="F410">
        <v>0.39</v>
      </c>
      <c r="G410">
        <v>0</v>
      </c>
    </row>
    <row r="411" spans="1:7" hidden="1">
      <c r="A411">
        <v>32</v>
      </c>
      <c r="B411" t="s">
        <v>1001</v>
      </c>
      <c r="C411" t="s">
        <v>965</v>
      </c>
      <c r="D411">
        <v>1.95</v>
      </c>
      <c r="E411">
        <v>24.75</v>
      </c>
      <c r="F411">
        <v>6.89</v>
      </c>
      <c r="G411">
        <v>0</v>
      </c>
    </row>
    <row r="412" spans="1:7">
      <c r="A412">
        <v>32</v>
      </c>
      <c r="B412" t="s">
        <v>1001</v>
      </c>
      <c r="C412" t="s">
        <v>24</v>
      </c>
      <c r="D412">
        <v>13.54</v>
      </c>
      <c r="E412">
        <v>20.54</v>
      </c>
      <c r="F412">
        <v>39.729999999999997</v>
      </c>
      <c r="G412">
        <v>0.01</v>
      </c>
    </row>
    <row r="413" spans="1:7" hidden="1">
      <c r="A413">
        <v>32</v>
      </c>
      <c r="B413" t="s">
        <v>1001</v>
      </c>
      <c r="C413" t="s">
        <v>966</v>
      </c>
      <c r="D413">
        <v>0</v>
      </c>
      <c r="E413">
        <v>18.05</v>
      </c>
      <c r="F413">
        <v>0</v>
      </c>
      <c r="G413">
        <v>0</v>
      </c>
    </row>
    <row r="414" spans="1:7" hidden="1">
      <c r="A414">
        <v>32</v>
      </c>
      <c r="B414" t="s">
        <v>1001</v>
      </c>
      <c r="C414" t="s">
        <v>967</v>
      </c>
      <c r="D414">
        <v>0.34</v>
      </c>
      <c r="E414">
        <v>17.91</v>
      </c>
      <c r="F414">
        <v>0.88</v>
      </c>
      <c r="G414">
        <v>0</v>
      </c>
    </row>
    <row r="415" spans="1:7" hidden="1">
      <c r="A415">
        <v>32</v>
      </c>
      <c r="B415" t="s">
        <v>1001</v>
      </c>
      <c r="C415" t="s">
        <v>968</v>
      </c>
      <c r="D415">
        <v>0.97</v>
      </c>
      <c r="E415">
        <v>18.09</v>
      </c>
      <c r="F415">
        <v>2.5</v>
      </c>
      <c r="G415">
        <v>0</v>
      </c>
    </row>
    <row r="416" spans="1:7" hidden="1">
      <c r="A416">
        <v>32</v>
      </c>
      <c r="B416" t="s">
        <v>1001</v>
      </c>
      <c r="C416" t="s">
        <v>969</v>
      </c>
      <c r="D416">
        <v>0.08</v>
      </c>
      <c r="E416">
        <v>24.75</v>
      </c>
      <c r="F416">
        <v>0.27</v>
      </c>
      <c r="G416">
        <v>0</v>
      </c>
    </row>
    <row r="417" spans="1:7" hidden="1">
      <c r="A417">
        <v>32</v>
      </c>
      <c r="B417" t="s">
        <v>1001</v>
      </c>
      <c r="C417" t="s">
        <v>970</v>
      </c>
      <c r="D417">
        <v>0.36</v>
      </c>
      <c r="E417">
        <v>24.75</v>
      </c>
      <c r="F417">
        <v>1.28</v>
      </c>
      <c r="G417">
        <v>0</v>
      </c>
    </row>
    <row r="418" spans="1:7" hidden="1">
      <c r="A418">
        <v>33</v>
      </c>
      <c r="B418" t="s">
        <v>1002</v>
      </c>
      <c r="C418" t="s">
        <v>959</v>
      </c>
      <c r="D418">
        <v>1.1000000000000001</v>
      </c>
      <c r="E418">
        <v>18.309999999999999</v>
      </c>
      <c r="F418">
        <v>2.87</v>
      </c>
      <c r="G418">
        <v>0.03</v>
      </c>
    </row>
    <row r="419" spans="1:7" hidden="1">
      <c r="A419">
        <v>33</v>
      </c>
      <c r="B419" t="s">
        <v>1002</v>
      </c>
      <c r="C419" t="s">
        <v>960</v>
      </c>
      <c r="D419">
        <v>1.61</v>
      </c>
      <c r="E419">
        <v>18.399999999999999</v>
      </c>
      <c r="F419">
        <v>4.24</v>
      </c>
      <c r="G419">
        <v>0.04</v>
      </c>
    </row>
    <row r="420" spans="1:7" hidden="1">
      <c r="A420">
        <v>33</v>
      </c>
      <c r="B420" t="s">
        <v>1002</v>
      </c>
      <c r="C420" t="s">
        <v>961</v>
      </c>
      <c r="D420">
        <v>5.26</v>
      </c>
      <c r="E420">
        <v>20.059999999999999</v>
      </c>
      <c r="F420">
        <v>15.08</v>
      </c>
      <c r="G420">
        <v>0.03</v>
      </c>
    </row>
    <row r="421" spans="1:7" hidden="1">
      <c r="A421">
        <v>33</v>
      </c>
      <c r="B421" t="s">
        <v>1002</v>
      </c>
      <c r="C421" t="s">
        <v>962</v>
      </c>
      <c r="D421">
        <v>1.02</v>
      </c>
      <c r="E421">
        <v>24.72</v>
      </c>
      <c r="F421">
        <v>3.62</v>
      </c>
      <c r="G421">
        <v>0.02</v>
      </c>
    </row>
    <row r="422" spans="1:7" hidden="1">
      <c r="A422">
        <v>33</v>
      </c>
      <c r="B422" t="s">
        <v>1002</v>
      </c>
      <c r="C422" t="s">
        <v>963</v>
      </c>
      <c r="D422">
        <v>1.97</v>
      </c>
      <c r="E422">
        <v>18.13</v>
      </c>
      <c r="F422">
        <v>5.09</v>
      </c>
      <c r="G422">
        <v>0.05</v>
      </c>
    </row>
    <row r="423" spans="1:7" hidden="1">
      <c r="A423">
        <v>33</v>
      </c>
      <c r="B423" t="s">
        <v>1002</v>
      </c>
      <c r="C423" t="s">
        <v>964</v>
      </c>
      <c r="D423">
        <v>0.13</v>
      </c>
      <c r="E423">
        <v>21.87</v>
      </c>
      <c r="F423">
        <v>0.4</v>
      </c>
      <c r="G423">
        <v>0</v>
      </c>
    </row>
    <row r="424" spans="1:7" hidden="1">
      <c r="A424">
        <v>33</v>
      </c>
      <c r="B424" t="s">
        <v>1002</v>
      </c>
      <c r="C424" t="s">
        <v>965</v>
      </c>
      <c r="D424">
        <v>1.99</v>
      </c>
      <c r="E424">
        <v>24.75</v>
      </c>
      <c r="F424">
        <v>7.03</v>
      </c>
      <c r="G424">
        <v>0.03</v>
      </c>
    </row>
    <row r="425" spans="1:7">
      <c r="A425">
        <v>33</v>
      </c>
      <c r="B425" t="s">
        <v>1002</v>
      </c>
      <c r="C425" t="s">
        <v>24</v>
      </c>
      <c r="D425">
        <v>13.08</v>
      </c>
      <c r="E425">
        <v>20.51</v>
      </c>
      <c r="F425">
        <v>38.33</v>
      </c>
      <c r="G425">
        <v>0.19</v>
      </c>
    </row>
    <row r="426" spans="1:7" hidden="1">
      <c r="A426">
        <v>33</v>
      </c>
      <c r="B426" t="s">
        <v>1002</v>
      </c>
      <c r="C426" t="s">
        <v>966</v>
      </c>
      <c r="D426">
        <v>0.28999999999999998</v>
      </c>
      <c r="E426">
        <v>18.05</v>
      </c>
      <c r="F426">
        <v>0.75</v>
      </c>
      <c r="G426">
        <v>0.27</v>
      </c>
    </row>
    <row r="427" spans="1:7" hidden="1">
      <c r="A427">
        <v>33</v>
      </c>
      <c r="B427" t="s">
        <v>1002</v>
      </c>
      <c r="C427" t="s">
        <v>967</v>
      </c>
      <c r="D427">
        <v>0.25</v>
      </c>
      <c r="E427">
        <v>17.91</v>
      </c>
      <c r="F427">
        <v>0.63</v>
      </c>
      <c r="G427">
        <v>0</v>
      </c>
    </row>
    <row r="428" spans="1:7" hidden="1">
      <c r="A428">
        <v>33</v>
      </c>
      <c r="B428" t="s">
        <v>1002</v>
      </c>
      <c r="C428" t="s">
        <v>968</v>
      </c>
      <c r="D428">
        <v>0.94</v>
      </c>
      <c r="E428">
        <v>18.09</v>
      </c>
      <c r="F428">
        <v>2.4300000000000002</v>
      </c>
      <c r="G428">
        <v>0</v>
      </c>
    </row>
    <row r="429" spans="1:7" hidden="1">
      <c r="A429">
        <v>33</v>
      </c>
      <c r="B429" t="s">
        <v>1002</v>
      </c>
      <c r="C429" t="s">
        <v>969</v>
      </c>
      <c r="D429">
        <v>0.09</v>
      </c>
      <c r="E429">
        <v>24.75</v>
      </c>
      <c r="F429">
        <v>0.33</v>
      </c>
      <c r="G429">
        <v>0</v>
      </c>
    </row>
    <row r="430" spans="1:7" hidden="1">
      <c r="A430">
        <v>33</v>
      </c>
      <c r="B430" t="s">
        <v>1002</v>
      </c>
      <c r="C430" t="s">
        <v>970</v>
      </c>
      <c r="D430">
        <v>0.33</v>
      </c>
      <c r="E430">
        <v>24.75</v>
      </c>
      <c r="F430">
        <v>1.1599999999999999</v>
      </c>
      <c r="G430">
        <v>0</v>
      </c>
    </row>
    <row r="431" spans="1:7" hidden="1">
      <c r="A431">
        <v>34</v>
      </c>
      <c r="B431" t="s">
        <v>1003</v>
      </c>
      <c r="C431" t="s">
        <v>959</v>
      </c>
      <c r="D431">
        <v>1.1599999999999999</v>
      </c>
      <c r="E431">
        <v>18.309999999999999</v>
      </c>
      <c r="F431">
        <v>3.03</v>
      </c>
      <c r="G431">
        <v>0.11</v>
      </c>
    </row>
    <row r="432" spans="1:7" hidden="1">
      <c r="A432">
        <v>34</v>
      </c>
      <c r="B432" t="s">
        <v>1003</v>
      </c>
      <c r="C432" t="s">
        <v>960</v>
      </c>
      <c r="D432">
        <v>1.69</v>
      </c>
      <c r="E432">
        <v>18.399999999999999</v>
      </c>
      <c r="F432">
        <v>4.4400000000000004</v>
      </c>
      <c r="G432">
        <v>0.09</v>
      </c>
    </row>
    <row r="433" spans="1:7" hidden="1">
      <c r="A433">
        <v>34</v>
      </c>
      <c r="B433" t="s">
        <v>1003</v>
      </c>
      <c r="C433" t="s">
        <v>961</v>
      </c>
      <c r="D433">
        <v>2.65</v>
      </c>
      <c r="E433">
        <v>20.059999999999999</v>
      </c>
      <c r="F433">
        <v>7.61</v>
      </c>
      <c r="G433">
        <v>7.0000000000000007E-2</v>
      </c>
    </row>
    <row r="434" spans="1:7" hidden="1">
      <c r="A434">
        <v>34</v>
      </c>
      <c r="B434" t="s">
        <v>1003</v>
      </c>
      <c r="C434" t="s">
        <v>962</v>
      </c>
      <c r="D434">
        <v>0.6</v>
      </c>
      <c r="E434">
        <v>24.72</v>
      </c>
      <c r="F434">
        <v>2.13</v>
      </c>
      <c r="G434">
        <v>0.03</v>
      </c>
    </row>
    <row r="435" spans="1:7" hidden="1">
      <c r="A435">
        <v>34</v>
      </c>
      <c r="B435" t="s">
        <v>1003</v>
      </c>
      <c r="C435" t="s">
        <v>963</v>
      </c>
      <c r="D435">
        <v>2.1800000000000002</v>
      </c>
      <c r="E435">
        <v>18.13</v>
      </c>
      <c r="F435">
        <v>5.65</v>
      </c>
      <c r="G435">
        <v>0.17</v>
      </c>
    </row>
    <row r="436" spans="1:7" hidden="1">
      <c r="A436">
        <v>34</v>
      </c>
      <c r="B436" t="s">
        <v>1003</v>
      </c>
      <c r="C436" t="s">
        <v>964</v>
      </c>
      <c r="D436">
        <v>0.17</v>
      </c>
      <c r="E436">
        <v>21.87</v>
      </c>
      <c r="F436">
        <v>0.53</v>
      </c>
      <c r="G436">
        <v>0</v>
      </c>
    </row>
    <row r="437" spans="1:7" hidden="1">
      <c r="A437">
        <v>34</v>
      </c>
      <c r="B437" t="s">
        <v>1003</v>
      </c>
      <c r="C437" t="s">
        <v>965</v>
      </c>
      <c r="D437">
        <v>1.72</v>
      </c>
      <c r="E437">
        <v>24.75</v>
      </c>
      <c r="F437">
        <v>6.08</v>
      </c>
      <c r="G437">
        <v>0.12</v>
      </c>
    </row>
    <row r="438" spans="1:7">
      <c r="A438">
        <v>34</v>
      </c>
      <c r="B438" t="s">
        <v>1003</v>
      </c>
      <c r="C438" t="s">
        <v>24</v>
      </c>
      <c r="D438">
        <v>10.17</v>
      </c>
      <c r="E438">
        <v>20.27</v>
      </c>
      <c r="F438">
        <v>29.46</v>
      </c>
      <c r="G438">
        <v>0.59</v>
      </c>
    </row>
    <row r="439" spans="1:7" hidden="1">
      <c r="A439">
        <v>34</v>
      </c>
      <c r="B439" t="s">
        <v>1003</v>
      </c>
      <c r="C439" t="s">
        <v>966</v>
      </c>
      <c r="D439">
        <v>1.1399999999999999</v>
      </c>
      <c r="E439">
        <v>18.05</v>
      </c>
      <c r="F439">
        <v>2.93</v>
      </c>
      <c r="G439">
        <v>1.08</v>
      </c>
    </row>
    <row r="440" spans="1:7" hidden="1">
      <c r="A440">
        <v>34</v>
      </c>
      <c r="B440" t="s">
        <v>1003</v>
      </c>
      <c r="C440" t="s">
        <v>967</v>
      </c>
      <c r="D440">
        <v>0.15</v>
      </c>
      <c r="E440">
        <v>17.91</v>
      </c>
      <c r="F440">
        <v>0.39</v>
      </c>
      <c r="G440">
        <v>0</v>
      </c>
    </row>
    <row r="441" spans="1:7" hidden="1">
      <c r="A441">
        <v>34</v>
      </c>
      <c r="B441" t="s">
        <v>1003</v>
      </c>
      <c r="C441" t="s">
        <v>968</v>
      </c>
      <c r="D441">
        <v>0.71</v>
      </c>
      <c r="E441">
        <v>18.09</v>
      </c>
      <c r="F441">
        <v>1.83</v>
      </c>
      <c r="G441">
        <v>0.01</v>
      </c>
    </row>
    <row r="442" spans="1:7" hidden="1">
      <c r="A442">
        <v>34</v>
      </c>
      <c r="B442" t="s">
        <v>1003</v>
      </c>
      <c r="C442" t="s">
        <v>969</v>
      </c>
      <c r="D442">
        <v>0.15</v>
      </c>
      <c r="E442">
        <v>24.75</v>
      </c>
      <c r="F442">
        <v>0.54</v>
      </c>
      <c r="G442">
        <v>0</v>
      </c>
    </row>
    <row r="443" spans="1:7" hidden="1">
      <c r="A443">
        <v>34</v>
      </c>
      <c r="B443" t="s">
        <v>1003</v>
      </c>
      <c r="C443" t="s">
        <v>970</v>
      </c>
      <c r="D443">
        <v>0.3</v>
      </c>
      <c r="E443">
        <v>24.75</v>
      </c>
      <c r="F443">
        <v>1.07</v>
      </c>
      <c r="G443">
        <v>0</v>
      </c>
    </row>
    <row r="444" spans="1:7" hidden="1">
      <c r="A444">
        <v>35</v>
      </c>
      <c r="B444" t="s">
        <v>1004</v>
      </c>
      <c r="C444" t="s">
        <v>959</v>
      </c>
      <c r="D444">
        <v>1.1299999999999999</v>
      </c>
      <c r="E444">
        <v>18.309999999999999</v>
      </c>
      <c r="F444">
        <v>2.95</v>
      </c>
      <c r="G444">
        <v>0.02</v>
      </c>
    </row>
    <row r="445" spans="1:7" hidden="1">
      <c r="A445">
        <v>35</v>
      </c>
      <c r="B445" t="s">
        <v>1004</v>
      </c>
      <c r="C445" t="s">
        <v>960</v>
      </c>
      <c r="D445">
        <v>1.5</v>
      </c>
      <c r="E445">
        <v>18.399999999999999</v>
      </c>
      <c r="F445">
        <v>3.94</v>
      </c>
      <c r="G445">
        <v>7.0000000000000007E-2</v>
      </c>
    </row>
    <row r="446" spans="1:7" hidden="1">
      <c r="A446">
        <v>35</v>
      </c>
      <c r="B446" t="s">
        <v>1004</v>
      </c>
      <c r="C446" t="s">
        <v>961</v>
      </c>
      <c r="D446">
        <v>6.2</v>
      </c>
      <c r="E446">
        <v>20.059999999999999</v>
      </c>
      <c r="F446">
        <v>17.75</v>
      </c>
      <c r="G446">
        <v>0.01</v>
      </c>
    </row>
    <row r="447" spans="1:7" hidden="1">
      <c r="A447">
        <v>35</v>
      </c>
      <c r="B447" t="s">
        <v>1004</v>
      </c>
      <c r="C447" t="s">
        <v>962</v>
      </c>
      <c r="D447">
        <v>1.1299999999999999</v>
      </c>
      <c r="E447">
        <v>24.72</v>
      </c>
      <c r="F447">
        <v>3.99</v>
      </c>
      <c r="G447">
        <v>0.04</v>
      </c>
    </row>
    <row r="448" spans="1:7" hidden="1">
      <c r="A448">
        <v>35</v>
      </c>
      <c r="B448" t="s">
        <v>1004</v>
      </c>
      <c r="C448" t="s">
        <v>963</v>
      </c>
      <c r="D448">
        <v>1.9</v>
      </c>
      <c r="E448">
        <v>18.13</v>
      </c>
      <c r="F448">
        <v>4.92</v>
      </c>
      <c r="G448">
        <v>0.01</v>
      </c>
    </row>
    <row r="449" spans="1:7" hidden="1">
      <c r="A449">
        <v>35</v>
      </c>
      <c r="B449" t="s">
        <v>1004</v>
      </c>
      <c r="C449" t="s">
        <v>964</v>
      </c>
      <c r="D449">
        <v>7.0000000000000007E-2</v>
      </c>
      <c r="E449">
        <v>21.87</v>
      </c>
      <c r="F449">
        <v>0.21</v>
      </c>
      <c r="G449">
        <v>0</v>
      </c>
    </row>
    <row r="450" spans="1:7" hidden="1">
      <c r="A450">
        <v>35</v>
      </c>
      <c r="B450" t="s">
        <v>1004</v>
      </c>
      <c r="C450" t="s">
        <v>965</v>
      </c>
      <c r="D450">
        <v>2.25</v>
      </c>
      <c r="E450">
        <v>24.75</v>
      </c>
      <c r="F450">
        <v>7.96</v>
      </c>
      <c r="G450">
        <v>0.02</v>
      </c>
    </row>
    <row r="451" spans="1:7">
      <c r="A451">
        <v>35</v>
      </c>
      <c r="B451" t="s">
        <v>1004</v>
      </c>
      <c r="C451" t="s">
        <v>24</v>
      </c>
      <c r="D451">
        <v>14.17</v>
      </c>
      <c r="E451">
        <v>20.61</v>
      </c>
      <c r="F451">
        <v>41.73</v>
      </c>
      <c r="G451">
        <v>0.17</v>
      </c>
    </row>
    <row r="452" spans="1:7" hidden="1">
      <c r="A452">
        <v>35</v>
      </c>
      <c r="B452" t="s">
        <v>1004</v>
      </c>
      <c r="C452" t="s">
        <v>966</v>
      </c>
      <c r="D452">
        <v>0.08</v>
      </c>
      <c r="E452">
        <v>18.05</v>
      </c>
      <c r="F452">
        <v>0.22</v>
      </c>
      <c r="G452">
        <v>0.08</v>
      </c>
    </row>
    <row r="453" spans="1:7" hidden="1">
      <c r="A453">
        <v>35</v>
      </c>
      <c r="B453" t="s">
        <v>1004</v>
      </c>
      <c r="C453" t="s">
        <v>967</v>
      </c>
      <c r="D453">
        <v>0.22</v>
      </c>
      <c r="E453">
        <v>17.91</v>
      </c>
      <c r="F453">
        <v>0.56999999999999995</v>
      </c>
      <c r="G453">
        <v>0</v>
      </c>
    </row>
    <row r="454" spans="1:7" hidden="1">
      <c r="A454">
        <v>35</v>
      </c>
      <c r="B454" t="s">
        <v>1004</v>
      </c>
      <c r="C454" t="s">
        <v>968</v>
      </c>
      <c r="D454">
        <v>0.69</v>
      </c>
      <c r="E454">
        <v>18.09</v>
      </c>
      <c r="F454">
        <v>1.79</v>
      </c>
      <c r="G454">
        <v>0</v>
      </c>
    </row>
    <row r="455" spans="1:7" hidden="1">
      <c r="A455">
        <v>35</v>
      </c>
      <c r="B455" t="s">
        <v>1004</v>
      </c>
      <c r="C455" t="s">
        <v>969</v>
      </c>
      <c r="D455">
        <v>0.09</v>
      </c>
      <c r="E455">
        <v>24.75</v>
      </c>
      <c r="F455">
        <v>0.33</v>
      </c>
      <c r="G455">
        <v>0</v>
      </c>
    </row>
    <row r="456" spans="1:7" hidden="1">
      <c r="A456">
        <v>35</v>
      </c>
      <c r="B456" t="s">
        <v>1004</v>
      </c>
      <c r="C456" t="s">
        <v>970</v>
      </c>
      <c r="D456">
        <v>0.28999999999999998</v>
      </c>
      <c r="E456">
        <v>24.75</v>
      </c>
      <c r="F456">
        <v>1.03</v>
      </c>
      <c r="G456">
        <v>0</v>
      </c>
    </row>
    <row r="457" spans="1:7" hidden="1">
      <c r="A457">
        <v>36</v>
      </c>
      <c r="B457" t="s">
        <v>1005</v>
      </c>
      <c r="C457" t="s">
        <v>959</v>
      </c>
      <c r="D457">
        <v>1.06</v>
      </c>
      <c r="E457">
        <v>18.309999999999999</v>
      </c>
      <c r="F457">
        <v>2.77</v>
      </c>
      <c r="G457">
        <v>0</v>
      </c>
    </row>
    <row r="458" spans="1:7" hidden="1">
      <c r="A458">
        <v>36</v>
      </c>
      <c r="B458" t="s">
        <v>1005</v>
      </c>
      <c r="C458" t="s">
        <v>960</v>
      </c>
      <c r="D458">
        <v>1.62</v>
      </c>
      <c r="E458">
        <v>18.399999999999999</v>
      </c>
      <c r="F458">
        <v>4.26</v>
      </c>
      <c r="G458">
        <v>0</v>
      </c>
    </row>
    <row r="459" spans="1:7" hidden="1">
      <c r="A459">
        <v>36</v>
      </c>
      <c r="B459" t="s">
        <v>1005</v>
      </c>
      <c r="C459" t="s">
        <v>961</v>
      </c>
      <c r="D459">
        <v>6.02</v>
      </c>
      <c r="E459">
        <v>20.059999999999999</v>
      </c>
      <c r="F459">
        <v>17.25</v>
      </c>
      <c r="G459">
        <v>0.03</v>
      </c>
    </row>
    <row r="460" spans="1:7" hidden="1">
      <c r="A460">
        <v>36</v>
      </c>
      <c r="B460" t="s">
        <v>1005</v>
      </c>
      <c r="C460" t="s">
        <v>962</v>
      </c>
      <c r="D460">
        <v>1.1599999999999999</v>
      </c>
      <c r="E460">
        <v>24.72</v>
      </c>
      <c r="F460">
        <v>4.0999999999999996</v>
      </c>
      <c r="G460">
        <v>0</v>
      </c>
    </row>
    <row r="461" spans="1:7" hidden="1">
      <c r="A461">
        <v>36</v>
      </c>
      <c r="B461" t="s">
        <v>1005</v>
      </c>
      <c r="C461" t="s">
        <v>963</v>
      </c>
      <c r="D461">
        <v>1.9</v>
      </c>
      <c r="E461">
        <v>18.13</v>
      </c>
      <c r="F461">
        <v>4.92</v>
      </c>
      <c r="G461">
        <v>0.01</v>
      </c>
    </row>
    <row r="462" spans="1:7" hidden="1">
      <c r="A462">
        <v>36</v>
      </c>
      <c r="B462" t="s">
        <v>1005</v>
      </c>
      <c r="C462" t="s">
        <v>964</v>
      </c>
      <c r="D462">
        <v>0.13</v>
      </c>
      <c r="E462">
        <v>21.87</v>
      </c>
      <c r="F462">
        <v>0.41</v>
      </c>
      <c r="G462">
        <v>0</v>
      </c>
    </row>
    <row r="463" spans="1:7" hidden="1">
      <c r="A463">
        <v>36</v>
      </c>
      <c r="B463" t="s">
        <v>1005</v>
      </c>
      <c r="C463" t="s">
        <v>965</v>
      </c>
      <c r="D463">
        <v>2.0099999999999998</v>
      </c>
      <c r="E463">
        <v>24.75</v>
      </c>
      <c r="F463">
        <v>7.11</v>
      </c>
      <c r="G463">
        <v>0</v>
      </c>
    </row>
    <row r="464" spans="1:7">
      <c r="A464">
        <v>36</v>
      </c>
      <c r="B464" t="s">
        <v>1005</v>
      </c>
      <c r="C464" t="s">
        <v>24</v>
      </c>
      <c r="D464">
        <v>13.91</v>
      </c>
      <c r="E464">
        <v>20.55</v>
      </c>
      <c r="F464">
        <v>40.83</v>
      </c>
      <c r="G464">
        <v>0.04</v>
      </c>
    </row>
    <row r="465" spans="1:7" hidden="1">
      <c r="A465">
        <v>36</v>
      </c>
      <c r="B465" t="s">
        <v>1005</v>
      </c>
      <c r="C465" t="s">
        <v>966</v>
      </c>
      <c r="D465">
        <v>0.01</v>
      </c>
      <c r="E465">
        <v>18.05</v>
      </c>
      <c r="F465">
        <v>0.04</v>
      </c>
      <c r="G465">
        <v>0</v>
      </c>
    </row>
    <row r="466" spans="1:7" hidden="1">
      <c r="A466">
        <v>36</v>
      </c>
      <c r="B466" t="s">
        <v>1005</v>
      </c>
      <c r="C466" t="s">
        <v>967</v>
      </c>
      <c r="D466">
        <v>0.28999999999999998</v>
      </c>
      <c r="E466">
        <v>17.91</v>
      </c>
      <c r="F466">
        <v>0.74</v>
      </c>
      <c r="G466">
        <v>0</v>
      </c>
    </row>
    <row r="467" spans="1:7" hidden="1">
      <c r="A467">
        <v>36</v>
      </c>
      <c r="B467" t="s">
        <v>1005</v>
      </c>
      <c r="C467" t="s">
        <v>968</v>
      </c>
      <c r="D467">
        <v>1.1100000000000001</v>
      </c>
      <c r="E467">
        <v>18.09</v>
      </c>
      <c r="F467">
        <v>2.88</v>
      </c>
      <c r="G467">
        <v>0</v>
      </c>
    </row>
    <row r="468" spans="1:7" hidden="1">
      <c r="A468">
        <v>36</v>
      </c>
      <c r="B468" t="s">
        <v>1005</v>
      </c>
      <c r="C468" t="s">
        <v>969</v>
      </c>
      <c r="D468">
        <v>7.0000000000000007E-2</v>
      </c>
      <c r="E468">
        <v>24.75</v>
      </c>
      <c r="F468">
        <v>0.24</v>
      </c>
      <c r="G468">
        <v>0</v>
      </c>
    </row>
    <row r="469" spans="1:7" hidden="1">
      <c r="A469">
        <v>36</v>
      </c>
      <c r="B469" t="s">
        <v>1005</v>
      </c>
      <c r="C469" t="s">
        <v>970</v>
      </c>
      <c r="D469">
        <v>0.35</v>
      </c>
      <c r="E469">
        <v>24.75</v>
      </c>
      <c r="F469">
        <v>1.24</v>
      </c>
      <c r="G469">
        <v>0</v>
      </c>
    </row>
    <row r="470" spans="1:7" hidden="1">
      <c r="A470">
        <v>37</v>
      </c>
      <c r="B470" t="s">
        <v>1006</v>
      </c>
      <c r="C470" t="s">
        <v>959</v>
      </c>
      <c r="D470">
        <v>2.95</v>
      </c>
      <c r="E470">
        <v>18.309999999999999</v>
      </c>
      <c r="F470">
        <v>7.71</v>
      </c>
      <c r="G470">
        <v>1.87</v>
      </c>
    </row>
    <row r="471" spans="1:7" hidden="1">
      <c r="A471">
        <v>37</v>
      </c>
      <c r="B471" t="s">
        <v>1006</v>
      </c>
      <c r="C471" t="s">
        <v>960</v>
      </c>
      <c r="D471">
        <v>3.31</v>
      </c>
      <c r="E471">
        <v>18.399999999999999</v>
      </c>
      <c r="F471">
        <v>8.6999999999999993</v>
      </c>
      <c r="G471">
        <v>2.4500000000000002</v>
      </c>
    </row>
    <row r="472" spans="1:7" hidden="1">
      <c r="A472">
        <v>37</v>
      </c>
      <c r="B472" t="s">
        <v>1006</v>
      </c>
      <c r="C472" t="s">
        <v>961</v>
      </c>
      <c r="D472">
        <v>3.05</v>
      </c>
      <c r="E472">
        <v>20.059999999999999</v>
      </c>
      <c r="F472">
        <v>8.75</v>
      </c>
      <c r="G472">
        <v>1.38</v>
      </c>
    </row>
    <row r="473" spans="1:7" hidden="1">
      <c r="A473">
        <v>37</v>
      </c>
      <c r="B473" t="s">
        <v>1006</v>
      </c>
      <c r="C473" t="s">
        <v>962</v>
      </c>
      <c r="D473">
        <v>0.82</v>
      </c>
      <c r="E473">
        <v>24.72</v>
      </c>
      <c r="F473">
        <v>2.89</v>
      </c>
      <c r="G473">
        <v>0.64</v>
      </c>
    </row>
    <row r="474" spans="1:7" hidden="1">
      <c r="A474">
        <v>37</v>
      </c>
      <c r="B474" t="s">
        <v>1006</v>
      </c>
      <c r="C474" t="s">
        <v>963</v>
      </c>
      <c r="D474">
        <v>2.29</v>
      </c>
      <c r="E474">
        <v>18.13</v>
      </c>
      <c r="F474">
        <v>5.94</v>
      </c>
      <c r="G474">
        <v>1.64</v>
      </c>
    </row>
    <row r="475" spans="1:7" hidden="1">
      <c r="A475">
        <v>37</v>
      </c>
      <c r="B475" t="s">
        <v>1006</v>
      </c>
      <c r="C475" t="s">
        <v>964</v>
      </c>
      <c r="D475">
        <v>0.12</v>
      </c>
      <c r="E475">
        <v>21.87</v>
      </c>
      <c r="F475">
        <v>0.38</v>
      </c>
      <c r="G475">
        <v>0.1</v>
      </c>
    </row>
    <row r="476" spans="1:7" hidden="1">
      <c r="A476">
        <v>37</v>
      </c>
      <c r="B476" t="s">
        <v>1006</v>
      </c>
      <c r="C476" t="s">
        <v>965</v>
      </c>
      <c r="D476">
        <v>1.91</v>
      </c>
      <c r="E476">
        <v>24.75</v>
      </c>
      <c r="F476">
        <v>6.76</v>
      </c>
      <c r="G476">
        <v>1.19</v>
      </c>
    </row>
    <row r="477" spans="1:7">
      <c r="A477">
        <v>37</v>
      </c>
      <c r="B477" t="s">
        <v>1006</v>
      </c>
      <c r="C477" t="s">
        <v>24</v>
      </c>
      <c r="D477">
        <v>14.46</v>
      </c>
      <c r="E477">
        <v>19.920000000000002</v>
      </c>
      <c r="F477">
        <v>41.13</v>
      </c>
      <c r="G477">
        <v>9.26</v>
      </c>
    </row>
    <row r="478" spans="1:7" hidden="1">
      <c r="A478">
        <v>37</v>
      </c>
      <c r="B478" t="s">
        <v>1006</v>
      </c>
      <c r="C478" t="s">
        <v>966</v>
      </c>
      <c r="D478">
        <v>11.24</v>
      </c>
      <c r="E478">
        <v>18.05</v>
      </c>
      <c r="F478">
        <v>28.98</v>
      </c>
      <c r="G478">
        <v>11.14</v>
      </c>
    </row>
    <row r="479" spans="1:7" hidden="1">
      <c r="A479">
        <v>37</v>
      </c>
      <c r="B479" t="s">
        <v>1006</v>
      </c>
      <c r="C479" t="s">
        <v>967</v>
      </c>
      <c r="D479">
        <v>0.64</v>
      </c>
      <c r="E479">
        <v>17.91</v>
      </c>
      <c r="F479">
        <v>1.65</v>
      </c>
      <c r="G479">
        <v>0.19</v>
      </c>
    </row>
    <row r="480" spans="1:7" hidden="1">
      <c r="A480">
        <v>37</v>
      </c>
      <c r="B480" t="s">
        <v>1006</v>
      </c>
      <c r="C480" t="s">
        <v>968</v>
      </c>
      <c r="D480">
        <v>0.56999999999999995</v>
      </c>
      <c r="E480">
        <v>18.09</v>
      </c>
      <c r="F480">
        <v>1.48</v>
      </c>
      <c r="G480">
        <v>0.12</v>
      </c>
    </row>
    <row r="481" spans="1:7" hidden="1">
      <c r="A481">
        <v>37</v>
      </c>
      <c r="B481" t="s">
        <v>1006</v>
      </c>
      <c r="C481" t="s">
        <v>969</v>
      </c>
      <c r="D481">
        <v>1.34</v>
      </c>
      <c r="E481">
        <v>24.75</v>
      </c>
      <c r="F481">
        <v>4.75</v>
      </c>
      <c r="G481">
        <v>0.16</v>
      </c>
    </row>
    <row r="482" spans="1:7" hidden="1">
      <c r="A482">
        <v>37</v>
      </c>
      <c r="B482" t="s">
        <v>1006</v>
      </c>
      <c r="C482" t="s">
        <v>970</v>
      </c>
      <c r="D482">
        <v>0.24</v>
      </c>
      <c r="E482">
        <v>24.75</v>
      </c>
      <c r="F482">
        <v>0.84</v>
      </c>
      <c r="G482">
        <v>0.08</v>
      </c>
    </row>
    <row r="483" spans="1:7" hidden="1">
      <c r="A483">
        <v>38</v>
      </c>
      <c r="B483" t="s">
        <v>1007</v>
      </c>
      <c r="C483" t="s">
        <v>959</v>
      </c>
      <c r="D483">
        <v>3.45</v>
      </c>
      <c r="E483">
        <v>18.309999999999999</v>
      </c>
      <c r="F483">
        <v>9.02</v>
      </c>
      <c r="G483">
        <v>1.98</v>
      </c>
    </row>
    <row r="484" spans="1:7" hidden="1">
      <c r="A484">
        <v>38</v>
      </c>
      <c r="B484" t="s">
        <v>1007</v>
      </c>
      <c r="C484" t="s">
        <v>960</v>
      </c>
      <c r="D484">
        <v>3.67</v>
      </c>
      <c r="E484">
        <v>18.399999999999999</v>
      </c>
      <c r="F484">
        <v>9.65</v>
      </c>
      <c r="G484">
        <v>2.75</v>
      </c>
    </row>
    <row r="485" spans="1:7" hidden="1">
      <c r="A485">
        <v>38</v>
      </c>
      <c r="B485" t="s">
        <v>1007</v>
      </c>
      <c r="C485" t="s">
        <v>961</v>
      </c>
      <c r="D485">
        <v>3.34</v>
      </c>
      <c r="E485">
        <v>20.059999999999999</v>
      </c>
      <c r="F485">
        <v>9.57</v>
      </c>
      <c r="G485">
        <v>1.44</v>
      </c>
    </row>
    <row r="486" spans="1:7" hidden="1">
      <c r="A486">
        <v>38</v>
      </c>
      <c r="B486" t="s">
        <v>1007</v>
      </c>
      <c r="C486" t="s">
        <v>962</v>
      </c>
      <c r="D486">
        <v>0.41</v>
      </c>
      <c r="E486">
        <v>24.72</v>
      </c>
      <c r="F486">
        <v>1.46</v>
      </c>
      <c r="G486">
        <v>0.22</v>
      </c>
    </row>
    <row r="487" spans="1:7" hidden="1">
      <c r="A487">
        <v>38</v>
      </c>
      <c r="B487" t="s">
        <v>1007</v>
      </c>
      <c r="C487" t="s">
        <v>963</v>
      </c>
      <c r="D487">
        <v>2.5099999999999998</v>
      </c>
      <c r="E487">
        <v>18.13</v>
      </c>
      <c r="F487">
        <v>6.5</v>
      </c>
      <c r="G487">
        <v>1.47</v>
      </c>
    </row>
    <row r="488" spans="1:7" hidden="1">
      <c r="A488">
        <v>38</v>
      </c>
      <c r="B488" t="s">
        <v>1007</v>
      </c>
      <c r="C488" t="s">
        <v>964</v>
      </c>
      <c r="D488">
        <v>0.03</v>
      </c>
      <c r="E488">
        <v>21.87</v>
      </c>
      <c r="F488">
        <v>0.1</v>
      </c>
      <c r="G488">
        <v>0</v>
      </c>
    </row>
    <row r="489" spans="1:7" hidden="1">
      <c r="A489">
        <v>38</v>
      </c>
      <c r="B489" t="s">
        <v>1007</v>
      </c>
      <c r="C489" t="s">
        <v>965</v>
      </c>
      <c r="D489">
        <v>2.02</v>
      </c>
      <c r="E489">
        <v>24.75</v>
      </c>
      <c r="F489">
        <v>7.13</v>
      </c>
      <c r="G489">
        <v>1.08</v>
      </c>
    </row>
    <row r="490" spans="1:7">
      <c r="A490">
        <v>38</v>
      </c>
      <c r="B490" t="s">
        <v>1007</v>
      </c>
      <c r="C490" t="s">
        <v>24</v>
      </c>
      <c r="D490">
        <v>15.42</v>
      </c>
      <c r="E490">
        <v>19.7</v>
      </c>
      <c r="F490">
        <v>43.41</v>
      </c>
      <c r="G490">
        <v>8.94</v>
      </c>
    </row>
    <row r="491" spans="1:7" hidden="1">
      <c r="A491">
        <v>38</v>
      </c>
      <c r="B491" t="s">
        <v>1007</v>
      </c>
      <c r="C491" t="s">
        <v>966</v>
      </c>
      <c r="D491">
        <v>9.89</v>
      </c>
      <c r="E491">
        <v>18.05</v>
      </c>
      <c r="F491">
        <v>25.51</v>
      </c>
      <c r="G491">
        <v>9.7899999999999991</v>
      </c>
    </row>
    <row r="492" spans="1:7" hidden="1">
      <c r="A492">
        <v>38</v>
      </c>
      <c r="B492" t="s">
        <v>1007</v>
      </c>
      <c r="C492" t="s">
        <v>967</v>
      </c>
      <c r="D492">
        <v>0.24</v>
      </c>
      <c r="E492">
        <v>17.91</v>
      </c>
      <c r="F492">
        <v>0.6</v>
      </c>
      <c r="G492">
        <v>0.22</v>
      </c>
    </row>
    <row r="493" spans="1:7" hidden="1">
      <c r="A493">
        <v>38</v>
      </c>
      <c r="B493" t="s">
        <v>1007</v>
      </c>
      <c r="C493" t="s">
        <v>968</v>
      </c>
      <c r="D493">
        <v>0.6</v>
      </c>
      <c r="E493">
        <v>18.09</v>
      </c>
      <c r="F493">
        <v>1.55</v>
      </c>
      <c r="G493">
        <v>0.05</v>
      </c>
    </row>
    <row r="494" spans="1:7" hidden="1">
      <c r="A494">
        <v>38</v>
      </c>
      <c r="B494" t="s">
        <v>1007</v>
      </c>
      <c r="C494" t="s">
        <v>969</v>
      </c>
      <c r="D494">
        <v>1.44</v>
      </c>
      <c r="E494">
        <v>24.75</v>
      </c>
      <c r="F494">
        <v>5.0999999999999996</v>
      </c>
      <c r="G494">
        <v>0.06</v>
      </c>
    </row>
    <row r="495" spans="1:7" hidden="1">
      <c r="A495">
        <v>38</v>
      </c>
      <c r="B495" t="s">
        <v>1007</v>
      </c>
      <c r="C495" t="s">
        <v>970</v>
      </c>
      <c r="D495">
        <v>0.16</v>
      </c>
      <c r="E495">
        <v>24.75</v>
      </c>
      <c r="F495">
        <v>0.57999999999999996</v>
      </c>
      <c r="G495">
        <v>0.03</v>
      </c>
    </row>
    <row r="496" spans="1:7" hidden="1">
      <c r="A496">
        <v>39</v>
      </c>
      <c r="B496" t="s">
        <v>1008</v>
      </c>
      <c r="C496" t="s">
        <v>959</v>
      </c>
      <c r="D496">
        <v>2.2999999999999998</v>
      </c>
      <c r="E496">
        <v>18.309999999999999</v>
      </c>
      <c r="F496">
        <v>6.02</v>
      </c>
      <c r="G496">
        <v>1</v>
      </c>
    </row>
    <row r="497" spans="1:7" hidden="1">
      <c r="A497">
        <v>39</v>
      </c>
      <c r="B497" t="s">
        <v>1008</v>
      </c>
      <c r="C497" t="s">
        <v>960</v>
      </c>
      <c r="D497">
        <v>3.23</v>
      </c>
      <c r="E497">
        <v>18.399999999999999</v>
      </c>
      <c r="F497">
        <v>8.49</v>
      </c>
      <c r="G497">
        <v>2.0499999999999998</v>
      </c>
    </row>
    <row r="498" spans="1:7" hidden="1">
      <c r="A498">
        <v>39</v>
      </c>
      <c r="B498" t="s">
        <v>1008</v>
      </c>
      <c r="C498" t="s">
        <v>961</v>
      </c>
      <c r="D498">
        <v>5.03</v>
      </c>
      <c r="E498">
        <v>20.059999999999999</v>
      </c>
      <c r="F498">
        <v>14.41</v>
      </c>
      <c r="G498">
        <v>2.54</v>
      </c>
    </row>
    <row r="499" spans="1:7" hidden="1">
      <c r="A499">
        <v>39</v>
      </c>
      <c r="B499" t="s">
        <v>1008</v>
      </c>
      <c r="C499" t="s">
        <v>962</v>
      </c>
      <c r="D499">
        <v>1.22</v>
      </c>
      <c r="E499">
        <v>24.72</v>
      </c>
      <c r="F499">
        <v>4.32</v>
      </c>
      <c r="G499">
        <v>0.43</v>
      </c>
    </row>
    <row r="500" spans="1:7" hidden="1">
      <c r="A500">
        <v>39</v>
      </c>
      <c r="B500" t="s">
        <v>1008</v>
      </c>
      <c r="C500" t="s">
        <v>963</v>
      </c>
      <c r="D500">
        <v>2.58</v>
      </c>
      <c r="E500">
        <v>18.13</v>
      </c>
      <c r="F500">
        <v>6.69</v>
      </c>
      <c r="G500">
        <v>1.1100000000000001</v>
      </c>
    </row>
    <row r="501" spans="1:7" hidden="1">
      <c r="A501">
        <v>39</v>
      </c>
      <c r="B501" t="s">
        <v>1008</v>
      </c>
      <c r="C501" t="s">
        <v>964</v>
      </c>
      <c r="D501">
        <v>0.31</v>
      </c>
      <c r="E501">
        <v>21.87</v>
      </c>
      <c r="F501">
        <v>0.96</v>
      </c>
      <c r="G501">
        <v>0.12</v>
      </c>
    </row>
    <row r="502" spans="1:7" hidden="1">
      <c r="A502">
        <v>39</v>
      </c>
      <c r="B502" t="s">
        <v>1008</v>
      </c>
      <c r="C502" t="s">
        <v>965</v>
      </c>
      <c r="D502">
        <v>3.16</v>
      </c>
      <c r="E502">
        <v>24.75</v>
      </c>
      <c r="F502">
        <v>11.19</v>
      </c>
      <c r="G502">
        <v>0.85</v>
      </c>
    </row>
    <row r="503" spans="1:7">
      <c r="A503">
        <v>39</v>
      </c>
      <c r="B503" t="s">
        <v>1008</v>
      </c>
      <c r="C503" t="s">
        <v>24</v>
      </c>
      <c r="D503">
        <v>17.84</v>
      </c>
      <c r="E503">
        <v>20.440000000000001</v>
      </c>
      <c r="F503">
        <v>52.07</v>
      </c>
      <c r="G503">
        <v>8.09</v>
      </c>
    </row>
    <row r="504" spans="1:7" hidden="1">
      <c r="A504">
        <v>39</v>
      </c>
      <c r="B504" t="s">
        <v>1008</v>
      </c>
      <c r="C504" t="s">
        <v>966</v>
      </c>
      <c r="D504">
        <v>5.38</v>
      </c>
      <c r="E504">
        <v>18.05</v>
      </c>
      <c r="F504">
        <v>13.88</v>
      </c>
      <c r="G504">
        <v>5.01</v>
      </c>
    </row>
    <row r="505" spans="1:7" hidden="1">
      <c r="A505">
        <v>39</v>
      </c>
      <c r="B505" t="s">
        <v>1008</v>
      </c>
      <c r="C505" t="s">
        <v>967</v>
      </c>
      <c r="D505">
        <v>0.39</v>
      </c>
      <c r="E505">
        <v>17.91</v>
      </c>
      <c r="F505">
        <v>1</v>
      </c>
      <c r="G505">
        <v>0.06</v>
      </c>
    </row>
    <row r="506" spans="1:7" hidden="1">
      <c r="A506">
        <v>39</v>
      </c>
      <c r="B506" t="s">
        <v>1008</v>
      </c>
      <c r="C506" t="s">
        <v>968</v>
      </c>
      <c r="D506">
        <v>0.39</v>
      </c>
      <c r="E506">
        <v>18.09</v>
      </c>
      <c r="F506">
        <v>1</v>
      </c>
      <c r="G506">
        <v>7.0000000000000007E-2</v>
      </c>
    </row>
    <row r="507" spans="1:7" hidden="1">
      <c r="A507">
        <v>39</v>
      </c>
      <c r="B507" t="s">
        <v>1008</v>
      </c>
      <c r="C507" t="s">
        <v>969</v>
      </c>
      <c r="D507">
        <v>1.46</v>
      </c>
      <c r="E507">
        <v>24.75</v>
      </c>
      <c r="F507">
        <v>5.16</v>
      </c>
      <c r="G507">
        <v>0.15</v>
      </c>
    </row>
    <row r="508" spans="1:7" hidden="1">
      <c r="A508">
        <v>39</v>
      </c>
      <c r="B508" t="s">
        <v>1008</v>
      </c>
      <c r="C508" t="s">
        <v>970</v>
      </c>
      <c r="D508">
        <v>0.28999999999999998</v>
      </c>
      <c r="E508">
        <v>24.75</v>
      </c>
      <c r="F508">
        <v>1.02</v>
      </c>
      <c r="G508">
        <v>7.0000000000000007E-2</v>
      </c>
    </row>
    <row r="509" spans="1:7" hidden="1">
      <c r="A509">
        <v>40</v>
      </c>
      <c r="B509" t="s">
        <v>1009</v>
      </c>
      <c r="C509" t="s">
        <v>959</v>
      </c>
      <c r="D509">
        <v>2.78</v>
      </c>
      <c r="E509">
        <v>18.309999999999999</v>
      </c>
      <c r="F509">
        <v>7.27</v>
      </c>
      <c r="G509">
        <v>1.31</v>
      </c>
    </row>
    <row r="510" spans="1:7" hidden="1">
      <c r="A510">
        <v>40</v>
      </c>
      <c r="B510" t="s">
        <v>1009</v>
      </c>
      <c r="C510" t="s">
        <v>960</v>
      </c>
      <c r="D510">
        <v>3.27</v>
      </c>
      <c r="E510">
        <v>18.399999999999999</v>
      </c>
      <c r="F510">
        <v>8.6</v>
      </c>
      <c r="G510">
        <v>2</v>
      </c>
    </row>
    <row r="511" spans="1:7" hidden="1">
      <c r="A511">
        <v>40</v>
      </c>
      <c r="B511" t="s">
        <v>1009</v>
      </c>
      <c r="C511" t="s">
        <v>961</v>
      </c>
      <c r="D511">
        <v>4.3600000000000003</v>
      </c>
      <c r="E511">
        <v>20.059999999999999</v>
      </c>
      <c r="F511">
        <v>12.48</v>
      </c>
      <c r="G511">
        <v>1.55</v>
      </c>
    </row>
    <row r="512" spans="1:7" hidden="1">
      <c r="A512">
        <v>40</v>
      </c>
      <c r="B512" t="s">
        <v>1009</v>
      </c>
      <c r="C512" t="s">
        <v>962</v>
      </c>
      <c r="D512">
        <v>0.84</v>
      </c>
      <c r="E512">
        <v>24.72</v>
      </c>
      <c r="F512">
        <v>2.97</v>
      </c>
      <c r="G512">
        <v>0.35</v>
      </c>
    </row>
    <row r="513" spans="1:7" hidden="1">
      <c r="A513">
        <v>40</v>
      </c>
      <c r="B513" t="s">
        <v>1009</v>
      </c>
      <c r="C513" t="s">
        <v>963</v>
      </c>
      <c r="D513">
        <v>2.4500000000000002</v>
      </c>
      <c r="E513">
        <v>18.13</v>
      </c>
      <c r="F513">
        <v>6.36</v>
      </c>
      <c r="G513">
        <v>1.1499999999999999</v>
      </c>
    </row>
    <row r="514" spans="1:7" hidden="1">
      <c r="A514">
        <v>40</v>
      </c>
      <c r="B514" t="s">
        <v>1009</v>
      </c>
      <c r="C514" t="s">
        <v>964</v>
      </c>
      <c r="D514">
        <v>0.17</v>
      </c>
      <c r="E514">
        <v>21.87</v>
      </c>
      <c r="F514">
        <v>0.53</v>
      </c>
      <c r="G514">
        <v>0.06</v>
      </c>
    </row>
    <row r="515" spans="1:7" hidden="1">
      <c r="A515">
        <v>40</v>
      </c>
      <c r="B515" t="s">
        <v>1009</v>
      </c>
      <c r="C515" t="s">
        <v>965</v>
      </c>
      <c r="D515">
        <v>2.38</v>
      </c>
      <c r="E515">
        <v>24.75</v>
      </c>
      <c r="F515">
        <v>8.41</v>
      </c>
      <c r="G515">
        <v>0.86</v>
      </c>
    </row>
    <row r="516" spans="1:7">
      <c r="A516">
        <v>40</v>
      </c>
      <c r="B516" t="s">
        <v>1009</v>
      </c>
      <c r="C516" t="s">
        <v>24</v>
      </c>
      <c r="D516">
        <v>16.25</v>
      </c>
      <c r="E516">
        <v>20.079999999999998</v>
      </c>
      <c r="F516">
        <v>46.62</v>
      </c>
      <c r="G516">
        <v>7.29</v>
      </c>
    </row>
    <row r="517" spans="1:7" hidden="1">
      <c r="A517">
        <v>40</v>
      </c>
      <c r="B517" t="s">
        <v>1009</v>
      </c>
      <c r="C517" t="s">
        <v>966</v>
      </c>
      <c r="D517">
        <v>7.39</v>
      </c>
      <c r="E517">
        <v>18.05</v>
      </c>
      <c r="F517">
        <v>19.07</v>
      </c>
      <c r="G517">
        <v>7.2</v>
      </c>
    </row>
    <row r="518" spans="1:7" hidden="1">
      <c r="A518">
        <v>40</v>
      </c>
      <c r="B518" t="s">
        <v>1009</v>
      </c>
      <c r="C518" t="s">
        <v>967</v>
      </c>
      <c r="D518">
        <v>0.47</v>
      </c>
      <c r="E518">
        <v>17.91</v>
      </c>
      <c r="F518">
        <v>1.21</v>
      </c>
      <c r="G518">
        <v>0.12</v>
      </c>
    </row>
    <row r="519" spans="1:7" hidden="1">
      <c r="A519">
        <v>40</v>
      </c>
      <c r="B519" t="s">
        <v>1009</v>
      </c>
      <c r="C519" t="s">
        <v>968</v>
      </c>
      <c r="D519">
        <v>0.63</v>
      </c>
      <c r="E519">
        <v>18.09</v>
      </c>
      <c r="F519">
        <v>1.64</v>
      </c>
      <c r="G519">
        <v>7.0000000000000007E-2</v>
      </c>
    </row>
    <row r="520" spans="1:7" hidden="1">
      <c r="A520">
        <v>40</v>
      </c>
      <c r="B520" t="s">
        <v>1009</v>
      </c>
      <c r="C520" t="s">
        <v>969</v>
      </c>
      <c r="D520">
        <v>1.34</v>
      </c>
      <c r="E520">
        <v>24.75</v>
      </c>
      <c r="F520">
        <v>4.74</v>
      </c>
      <c r="G520">
        <v>0.1</v>
      </c>
    </row>
    <row r="521" spans="1:7" hidden="1">
      <c r="A521">
        <v>40</v>
      </c>
      <c r="B521" t="s">
        <v>1009</v>
      </c>
      <c r="C521" t="s">
        <v>970</v>
      </c>
      <c r="D521">
        <v>0.25</v>
      </c>
      <c r="E521">
        <v>24.75</v>
      </c>
      <c r="F521">
        <v>0.87</v>
      </c>
      <c r="G521">
        <v>0.05</v>
      </c>
    </row>
    <row r="522" spans="1:7" hidden="1">
      <c r="A522">
        <v>41</v>
      </c>
      <c r="B522" t="s">
        <v>1010</v>
      </c>
      <c r="C522" t="s">
        <v>959</v>
      </c>
      <c r="D522">
        <v>1.93</v>
      </c>
      <c r="E522">
        <v>18.309999999999999</v>
      </c>
      <c r="F522">
        <v>5.05</v>
      </c>
      <c r="G522">
        <v>0</v>
      </c>
    </row>
    <row r="523" spans="1:7" hidden="1">
      <c r="A523">
        <v>41</v>
      </c>
      <c r="B523" t="s">
        <v>1010</v>
      </c>
      <c r="C523" t="s">
        <v>960</v>
      </c>
      <c r="D523">
        <v>2.58</v>
      </c>
      <c r="E523">
        <v>18.399999999999999</v>
      </c>
      <c r="F523">
        <v>6.77</v>
      </c>
      <c r="G523">
        <v>0</v>
      </c>
    </row>
    <row r="524" spans="1:7" hidden="1">
      <c r="A524">
        <v>41</v>
      </c>
      <c r="B524" t="s">
        <v>1010</v>
      </c>
      <c r="C524" t="s">
        <v>961</v>
      </c>
      <c r="D524">
        <v>6.81</v>
      </c>
      <c r="E524">
        <v>20.059999999999999</v>
      </c>
      <c r="F524">
        <v>19.5</v>
      </c>
      <c r="G524">
        <v>0</v>
      </c>
    </row>
    <row r="525" spans="1:7" hidden="1">
      <c r="A525">
        <v>41</v>
      </c>
      <c r="B525" t="s">
        <v>1010</v>
      </c>
      <c r="C525" t="s">
        <v>962</v>
      </c>
      <c r="D525">
        <v>1.59</v>
      </c>
      <c r="E525">
        <v>24.72</v>
      </c>
      <c r="F525">
        <v>5.6</v>
      </c>
      <c r="G525">
        <v>0</v>
      </c>
    </row>
    <row r="526" spans="1:7" hidden="1">
      <c r="A526">
        <v>41</v>
      </c>
      <c r="B526" t="s">
        <v>1010</v>
      </c>
      <c r="C526" t="s">
        <v>963</v>
      </c>
      <c r="D526">
        <v>2.2400000000000002</v>
      </c>
      <c r="E526">
        <v>18.13</v>
      </c>
      <c r="F526">
        <v>5.8</v>
      </c>
      <c r="G526">
        <v>0</v>
      </c>
    </row>
    <row r="527" spans="1:7" hidden="1">
      <c r="A527">
        <v>41</v>
      </c>
      <c r="B527" t="s">
        <v>1010</v>
      </c>
      <c r="C527" t="s">
        <v>964</v>
      </c>
      <c r="D527">
        <v>0.21</v>
      </c>
      <c r="E527">
        <v>21.87</v>
      </c>
      <c r="F527">
        <v>0.66</v>
      </c>
      <c r="G527">
        <v>0</v>
      </c>
    </row>
    <row r="528" spans="1:7" hidden="1">
      <c r="A528">
        <v>41</v>
      </c>
      <c r="B528" t="s">
        <v>1010</v>
      </c>
      <c r="C528" t="s">
        <v>965</v>
      </c>
      <c r="D528">
        <v>2.14</v>
      </c>
      <c r="E528">
        <v>24.75</v>
      </c>
      <c r="F528">
        <v>7.57</v>
      </c>
      <c r="G528">
        <v>0</v>
      </c>
    </row>
    <row r="529" spans="1:7">
      <c r="A529">
        <v>41</v>
      </c>
      <c r="B529" t="s">
        <v>1010</v>
      </c>
      <c r="C529" t="s">
        <v>24</v>
      </c>
      <c r="D529">
        <v>17.489999999999998</v>
      </c>
      <c r="E529">
        <v>20.39</v>
      </c>
      <c r="F529">
        <v>50.95</v>
      </c>
      <c r="G529">
        <v>0</v>
      </c>
    </row>
    <row r="530" spans="1:7" hidden="1">
      <c r="A530">
        <v>41</v>
      </c>
      <c r="B530" t="s">
        <v>1010</v>
      </c>
      <c r="C530" t="s">
        <v>966</v>
      </c>
      <c r="D530">
        <v>0</v>
      </c>
      <c r="E530">
        <v>18.05</v>
      </c>
      <c r="F530">
        <v>0</v>
      </c>
      <c r="G530">
        <v>0</v>
      </c>
    </row>
    <row r="531" spans="1:7" hidden="1">
      <c r="A531">
        <v>41</v>
      </c>
      <c r="B531" t="s">
        <v>1010</v>
      </c>
      <c r="C531" t="s">
        <v>967</v>
      </c>
      <c r="D531">
        <v>0.39</v>
      </c>
      <c r="E531">
        <v>17.91</v>
      </c>
      <c r="F531">
        <v>1</v>
      </c>
      <c r="G531">
        <v>0</v>
      </c>
    </row>
    <row r="532" spans="1:7" hidden="1">
      <c r="A532">
        <v>41</v>
      </c>
      <c r="B532" t="s">
        <v>1010</v>
      </c>
      <c r="C532" t="s">
        <v>968</v>
      </c>
      <c r="D532">
        <v>1.39</v>
      </c>
      <c r="E532">
        <v>18.09</v>
      </c>
      <c r="F532">
        <v>3.6</v>
      </c>
      <c r="G532">
        <v>0</v>
      </c>
    </row>
    <row r="533" spans="1:7" hidden="1">
      <c r="A533">
        <v>41</v>
      </c>
      <c r="B533" t="s">
        <v>1010</v>
      </c>
      <c r="C533" t="s">
        <v>969</v>
      </c>
      <c r="D533">
        <v>0.27</v>
      </c>
      <c r="E533">
        <v>24.75</v>
      </c>
      <c r="F533">
        <v>0.96</v>
      </c>
      <c r="G533">
        <v>0</v>
      </c>
    </row>
    <row r="534" spans="1:7" hidden="1">
      <c r="A534">
        <v>41</v>
      </c>
      <c r="B534" t="s">
        <v>1010</v>
      </c>
      <c r="C534" t="s">
        <v>970</v>
      </c>
      <c r="D534">
        <v>0.45</v>
      </c>
      <c r="E534">
        <v>24.75</v>
      </c>
      <c r="F534">
        <v>1.6</v>
      </c>
      <c r="G534">
        <v>0</v>
      </c>
    </row>
    <row r="535" spans="1:7" hidden="1">
      <c r="A535">
        <v>42</v>
      </c>
      <c r="B535" t="s">
        <v>1011</v>
      </c>
      <c r="C535" t="s">
        <v>959</v>
      </c>
      <c r="D535">
        <v>2.4900000000000002</v>
      </c>
      <c r="E535">
        <v>18.309999999999999</v>
      </c>
      <c r="F535">
        <v>6.52</v>
      </c>
      <c r="G535">
        <v>0</v>
      </c>
    </row>
    <row r="536" spans="1:7" hidden="1">
      <c r="A536">
        <v>42</v>
      </c>
      <c r="B536" t="s">
        <v>1011</v>
      </c>
      <c r="C536" t="s">
        <v>960</v>
      </c>
      <c r="D536">
        <v>2.84</v>
      </c>
      <c r="E536">
        <v>18.399999999999999</v>
      </c>
      <c r="F536">
        <v>7.47</v>
      </c>
      <c r="G536">
        <v>0</v>
      </c>
    </row>
    <row r="537" spans="1:7" hidden="1">
      <c r="A537">
        <v>42</v>
      </c>
      <c r="B537" t="s">
        <v>1011</v>
      </c>
      <c r="C537" t="s">
        <v>961</v>
      </c>
      <c r="D537">
        <v>3.97</v>
      </c>
      <c r="E537">
        <v>20.059999999999999</v>
      </c>
      <c r="F537">
        <v>11.39</v>
      </c>
      <c r="G537">
        <v>0</v>
      </c>
    </row>
    <row r="538" spans="1:7" hidden="1">
      <c r="A538">
        <v>42</v>
      </c>
      <c r="B538" t="s">
        <v>1011</v>
      </c>
      <c r="C538" t="s">
        <v>962</v>
      </c>
      <c r="D538">
        <v>1.39</v>
      </c>
      <c r="E538">
        <v>24.72</v>
      </c>
      <c r="F538">
        <v>4.92</v>
      </c>
      <c r="G538">
        <v>0</v>
      </c>
    </row>
    <row r="539" spans="1:7" hidden="1">
      <c r="A539">
        <v>42</v>
      </c>
      <c r="B539" t="s">
        <v>1011</v>
      </c>
      <c r="C539" t="s">
        <v>963</v>
      </c>
      <c r="D539">
        <v>2.2000000000000002</v>
      </c>
      <c r="E539">
        <v>18.13</v>
      </c>
      <c r="F539">
        <v>5.71</v>
      </c>
      <c r="G539">
        <v>0</v>
      </c>
    </row>
    <row r="540" spans="1:7" hidden="1">
      <c r="A540">
        <v>42</v>
      </c>
      <c r="B540" t="s">
        <v>1011</v>
      </c>
      <c r="C540" t="s">
        <v>964</v>
      </c>
      <c r="D540">
        <v>0.16</v>
      </c>
      <c r="E540">
        <v>21.87</v>
      </c>
      <c r="F540">
        <v>0.51</v>
      </c>
      <c r="G540">
        <v>0</v>
      </c>
    </row>
    <row r="541" spans="1:7" hidden="1">
      <c r="A541">
        <v>42</v>
      </c>
      <c r="B541" t="s">
        <v>1011</v>
      </c>
      <c r="C541" t="s">
        <v>965</v>
      </c>
      <c r="D541">
        <v>1.73</v>
      </c>
      <c r="E541">
        <v>24.75</v>
      </c>
      <c r="F541">
        <v>6.11</v>
      </c>
      <c r="G541">
        <v>0</v>
      </c>
    </row>
    <row r="542" spans="1:7">
      <c r="A542">
        <v>42</v>
      </c>
      <c r="B542" t="s">
        <v>1011</v>
      </c>
      <c r="C542" t="s">
        <v>24</v>
      </c>
      <c r="D542">
        <v>14.8</v>
      </c>
      <c r="E542">
        <v>20.170000000000002</v>
      </c>
      <c r="F542">
        <v>42.62</v>
      </c>
      <c r="G542">
        <v>0</v>
      </c>
    </row>
    <row r="543" spans="1:7" hidden="1">
      <c r="A543">
        <v>42</v>
      </c>
      <c r="B543" t="s">
        <v>1011</v>
      </c>
      <c r="C543" t="s">
        <v>966</v>
      </c>
      <c r="D543">
        <v>0</v>
      </c>
      <c r="E543">
        <v>18.05</v>
      </c>
      <c r="F543">
        <v>0</v>
      </c>
      <c r="G543">
        <v>0</v>
      </c>
    </row>
    <row r="544" spans="1:7" hidden="1">
      <c r="A544">
        <v>42</v>
      </c>
      <c r="B544" t="s">
        <v>1011</v>
      </c>
      <c r="C544" t="s">
        <v>967</v>
      </c>
      <c r="D544">
        <v>0.21</v>
      </c>
      <c r="E544">
        <v>17.91</v>
      </c>
      <c r="F544">
        <v>0.53</v>
      </c>
      <c r="G544">
        <v>0</v>
      </c>
    </row>
    <row r="545" spans="1:7" hidden="1">
      <c r="A545">
        <v>42</v>
      </c>
      <c r="B545" t="s">
        <v>1011</v>
      </c>
      <c r="C545" t="s">
        <v>968</v>
      </c>
      <c r="D545">
        <v>0.75</v>
      </c>
      <c r="E545">
        <v>18.09</v>
      </c>
      <c r="F545">
        <v>1.93</v>
      </c>
      <c r="G545">
        <v>0</v>
      </c>
    </row>
    <row r="546" spans="1:7" hidden="1">
      <c r="A546">
        <v>42</v>
      </c>
      <c r="B546" t="s">
        <v>1011</v>
      </c>
      <c r="C546" t="s">
        <v>969</v>
      </c>
      <c r="D546">
        <v>0.31</v>
      </c>
      <c r="E546">
        <v>24.75</v>
      </c>
      <c r="F546">
        <v>1.1000000000000001</v>
      </c>
      <c r="G546">
        <v>0</v>
      </c>
    </row>
    <row r="547" spans="1:7" hidden="1">
      <c r="A547">
        <v>42</v>
      </c>
      <c r="B547" t="s">
        <v>1011</v>
      </c>
      <c r="C547" t="s">
        <v>970</v>
      </c>
      <c r="D547">
        <v>0.42</v>
      </c>
      <c r="E547">
        <v>24.75</v>
      </c>
      <c r="F547">
        <v>1.5</v>
      </c>
      <c r="G547">
        <v>0</v>
      </c>
    </row>
    <row r="548" spans="1:7" hidden="1">
      <c r="A548">
        <v>43</v>
      </c>
      <c r="B548" t="s">
        <v>1012</v>
      </c>
      <c r="C548" t="s">
        <v>959</v>
      </c>
      <c r="D548">
        <v>1.7</v>
      </c>
      <c r="E548">
        <v>18.309999999999999</v>
      </c>
      <c r="F548">
        <v>4.46</v>
      </c>
      <c r="G548">
        <v>0</v>
      </c>
    </row>
    <row r="549" spans="1:7" hidden="1">
      <c r="A549">
        <v>43</v>
      </c>
      <c r="B549" t="s">
        <v>1012</v>
      </c>
      <c r="C549" t="s">
        <v>960</v>
      </c>
      <c r="D549">
        <v>2.41</v>
      </c>
      <c r="E549">
        <v>18.399999999999999</v>
      </c>
      <c r="F549">
        <v>6.34</v>
      </c>
      <c r="G549">
        <v>0</v>
      </c>
    </row>
    <row r="550" spans="1:7" hidden="1">
      <c r="A550">
        <v>43</v>
      </c>
      <c r="B550" t="s">
        <v>1012</v>
      </c>
      <c r="C550" t="s">
        <v>961</v>
      </c>
      <c r="D550">
        <v>7.51</v>
      </c>
      <c r="E550">
        <v>20.059999999999999</v>
      </c>
      <c r="F550">
        <v>21.53</v>
      </c>
      <c r="G550">
        <v>0</v>
      </c>
    </row>
    <row r="551" spans="1:7" hidden="1">
      <c r="A551">
        <v>43</v>
      </c>
      <c r="B551" t="s">
        <v>1012</v>
      </c>
      <c r="C551" t="s">
        <v>962</v>
      </c>
      <c r="D551">
        <v>1.72</v>
      </c>
      <c r="E551">
        <v>24.72</v>
      </c>
      <c r="F551">
        <v>6.09</v>
      </c>
      <c r="G551">
        <v>0</v>
      </c>
    </row>
    <row r="552" spans="1:7" hidden="1">
      <c r="A552">
        <v>43</v>
      </c>
      <c r="B552" t="s">
        <v>1012</v>
      </c>
      <c r="C552" t="s">
        <v>963</v>
      </c>
      <c r="D552">
        <v>2.17</v>
      </c>
      <c r="E552">
        <v>18.13</v>
      </c>
      <c r="F552">
        <v>5.62</v>
      </c>
      <c r="G552">
        <v>0</v>
      </c>
    </row>
    <row r="553" spans="1:7" hidden="1">
      <c r="A553">
        <v>43</v>
      </c>
      <c r="B553" t="s">
        <v>1012</v>
      </c>
      <c r="C553" t="s">
        <v>964</v>
      </c>
      <c r="D553">
        <v>0.23</v>
      </c>
      <c r="E553">
        <v>21.87</v>
      </c>
      <c r="F553">
        <v>0.72</v>
      </c>
      <c r="G553">
        <v>0</v>
      </c>
    </row>
    <row r="554" spans="1:7" hidden="1">
      <c r="A554">
        <v>43</v>
      </c>
      <c r="B554" t="s">
        <v>1012</v>
      </c>
      <c r="C554" t="s">
        <v>965</v>
      </c>
      <c r="D554">
        <v>2.2599999999999998</v>
      </c>
      <c r="E554">
        <v>24.75</v>
      </c>
      <c r="F554">
        <v>7.99</v>
      </c>
      <c r="G554">
        <v>0</v>
      </c>
    </row>
    <row r="555" spans="1:7">
      <c r="A555">
        <v>43</v>
      </c>
      <c r="B555" t="s">
        <v>1012</v>
      </c>
      <c r="C555" t="s">
        <v>24</v>
      </c>
      <c r="D555">
        <v>18.02</v>
      </c>
      <c r="E555">
        <v>20.5</v>
      </c>
      <c r="F555">
        <v>52.75</v>
      </c>
      <c r="G555">
        <v>0</v>
      </c>
    </row>
    <row r="556" spans="1:7" hidden="1">
      <c r="A556">
        <v>43</v>
      </c>
      <c r="B556" t="s">
        <v>1012</v>
      </c>
      <c r="C556" t="s">
        <v>966</v>
      </c>
      <c r="D556">
        <v>0</v>
      </c>
      <c r="E556">
        <v>18.05</v>
      </c>
      <c r="F556">
        <v>0</v>
      </c>
      <c r="G556">
        <v>0</v>
      </c>
    </row>
    <row r="557" spans="1:7" hidden="1">
      <c r="A557">
        <v>43</v>
      </c>
      <c r="B557" t="s">
        <v>1012</v>
      </c>
      <c r="C557" t="s">
        <v>967</v>
      </c>
      <c r="D557">
        <v>0.4</v>
      </c>
      <c r="E557">
        <v>17.91</v>
      </c>
      <c r="F557">
        <v>1.02</v>
      </c>
      <c r="G557">
        <v>0</v>
      </c>
    </row>
    <row r="558" spans="1:7" hidden="1">
      <c r="A558">
        <v>43</v>
      </c>
      <c r="B558" t="s">
        <v>1012</v>
      </c>
      <c r="C558" t="s">
        <v>968</v>
      </c>
      <c r="D558">
        <v>1.58</v>
      </c>
      <c r="E558">
        <v>18.09</v>
      </c>
      <c r="F558">
        <v>4.09</v>
      </c>
      <c r="G558">
        <v>0</v>
      </c>
    </row>
    <row r="559" spans="1:7" hidden="1">
      <c r="A559">
        <v>43</v>
      </c>
      <c r="B559" t="s">
        <v>1012</v>
      </c>
      <c r="C559" t="s">
        <v>969</v>
      </c>
      <c r="D559">
        <v>0.24</v>
      </c>
      <c r="E559">
        <v>24.75</v>
      </c>
      <c r="F559">
        <v>0.87</v>
      </c>
      <c r="G559">
        <v>0</v>
      </c>
    </row>
    <row r="560" spans="1:7" hidden="1">
      <c r="A560">
        <v>43</v>
      </c>
      <c r="B560" t="s">
        <v>1012</v>
      </c>
      <c r="C560" t="s">
        <v>970</v>
      </c>
      <c r="D560">
        <v>0.47</v>
      </c>
      <c r="E560">
        <v>24.75</v>
      </c>
      <c r="F560">
        <v>1.65</v>
      </c>
      <c r="G560">
        <v>0</v>
      </c>
    </row>
    <row r="561" spans="1:7" hidden="1">
      <c r="A561">
        <v>44</v>
      </c>
      <c r="B561" t="s">
        <v>1013</v>
      </c>
      <c r="C561" t="s">
        <v>959</v>
      </c>
      <c r="D561">
        <v>2.0299999999999998</v>
      </c>
      <c r="E561">
        <v>18.309999999999999</v>
      </c>
      <c r="F561">
        <v>5.31</v>
      </c>
      <c r="G561">
        <v>0.01</v>
      </c>
    </row>
    <row r="562" spans="1:7" hidden="1">
      <c r="A562">
        <v>44</v>
      </c>
      <c r="B562" t="s">
        <v>1013</v>
      </c>
      <c r="C562" t="s">
        <v>960</v>
      </c>
      <c r="D562">
        <v>2.56</v>
      </c>
      <c r="E562">
        <v>18.399999999999999</v>
      </c>
      <c r="F562">
        <v>6.72</v>
      </c>
      <c r="G562">
        <v>0.02</v>
      </c>
    </row>
    <row r="563" spans="1:7" hidden="1">
      <c r="A563">
        <v>44</v>
      </c>
      <c r="B563" t="s">
        <v>1013</v>
      </c>
      <c r="C563" t="s">
        <v>961</v>
      </c>
      <c r="D563">
        <v>6.7</v>
      </c>
      <c r="E563">
        <v>20.059999999999999</v>
      </c>
      <c r="F563">
        <v>19.190000000000001</v>
      </c>
      <c r="G563">
        <v>0.01</v>
      </c>
    </row>
    <row r="564" spans="1:7" hidden="1">
      <c r="A564">
        <v>44</v>
      </c>
      <c r="B564" t="s">
        <v>1013</v>
      </c>
      <c r="C564" t="s">
        <v>962</v>
      </c>
      <c r="D564">
        <v>1.63</v>
      </c>
      <c r="E564">
        <v>24.72</v>
      </c>
      <c r="F564">
        <v>5.75</v>
      </c>
      <c r="G564">
        <v>0</v>
      </c>
    </row>
    <row r="565" spans="1:7" hidden="1">
      <c r="A565">
        <v>44</v>
      </c>
      <c r="B565" t="s">
        <v>1013</v>
      </c>
      <c r="C565" t="s">
        <v>963</v>
      </c>
      <c r="D565">
        <v>2.31</v>
      </c>
      <c r="E565">
        <v>18.13</v>
      </c>
      <c r="F565">
        <v>5.99</v>
      </c>
      <c r="G565">
        <v>0</v>
      </c>
    </row>
    <row r="566" spans="1:7" hidden="1">
      <c r="A566">
        <v>44</v>
      </c>
      <c r="B566" t="s">
        <v>1013</v>
      </c>
      <c r="C566" t="s">
        <v>964</v>
      </c>
      <c r="D566">
        <v>0.22</v>
      </c>
      <c r="E566">
        <v>21.87</v>
      </c>
      <c r="F566">
        <v>0.69</v>
      </c>
      <c r="G566">
        <v>0</v>
      </c>
    </row>
    <row r="567" spans="1:7" hidden="1">
      <c r="A567">
        <v>44</v>
      </c>
      <c r="B567" t="s">
        <v>1013</v>
      </c>
      <c r="C567" t="s">
        <v>965</v>
      </c>
      <c r="D567">
        <v>2.21</v>
      </c>
      <c r="E567">
        <v>24.75</v>
      </c>
      <c r="F567">
        <v>7.8</v>
      </c>
      <c r="G567">
        <v>0</v>
      </c>
    </row>
    <row r="568" spans="1:7">
      <c r="A568">
        <v>44</v>
      </c>
      <c r="B568" t="s">
        <v>1013</v>
      </c>
      <c r="C568" t="s">
        <v>24</v>
      </c>
      <c r="D568">
        <v>17.649999999999999</v>
      </c>
      <c r="E568">
        <v>20.399999999999999</v>
      </c>
      <c r="F568">
        <v>51.45</v>
      </c>
      <c r="G568">
        <v>0.04</v>
      </c>
    </row>
    <row r="569" spans="1:7" hidden="1">
      <c r="A569">
        <v>44</v>
      </c>
      <c r="B569" t="s">
        <v>1013</v>
      </c>
      <c r="C569" t="s">
        <v>966</v>
      </c>
      <c r="D569">
        <v>0.08</v>
      </c>
      <c r="E569">
        <v>18.05</v>
      </c>
      <c r="F569">
        <v>0.22</v>
      </c>
      <c r="G569">
        <v>0.08</v>
      </c>
    </row>
    <row r="570" spans="1:7" hidden="1">
      <c r="A570">
        <v>44</v>
      </c>
      <c r="B570" t="s">
        <v>1013</v>
      </c>
      <c r="C570" t="s">
        <v>967</v>
      </c>
      <c r="D570">
        <v>0.39</v>
      </c>
      <c r="E570">
        <v>17.91</v>
      </c>
      <c r="F570">
        <v>1</v>
      </c>
      <c r="G570">
        <v>0</v>
      </c>
    </row>
    <row r="571" spans="1:7" hidden="1">
      <c r="A571">
        <v>44</v>
      </c>
      <c r="B571" t="s">
        <v>1013</v>
      </c>
      <c r="C571" t="s">
        <v>968</v>
      </c>
      <c r="D571">
        <v>1.39</v>
      </c>
      <c r="E571">
        <v>18.09</v>
      </c>
      <c r="F571">
        <v>3.59</v>
      </c>
      <c r="G571">
        <v>0</v>
      </c>
    </row>
    <row r="572" spans="1:7" hidden="1">
      <c r="A572">
        <v>44</v>
      </c>
      <c r="B572" t="s">
        <v>1013</v>
      </c>
      <c r="C572" t="s">
        <v>969</v>
      </c>
      <c r="D572">
        <v>0.24</v>
      </c>
      <c r="E572">
        <v>24.75</v>
      </c>
      <c r="F572">
        <v>0.86</v>
      </c>
      <c r="G572">
        <v>0</v>
      </c>
    </row>
    <row r="573" spans="1:7" hidden="1">
      <c r="A573">
        <v>44</v>
      </c>
      <c r="B573" t="s">
        <v>1013</v>
      </c>
      <c r="C573" t="s">
        <v>970</v>
      </c>
      <c r="D573">
        <v>0.44</v>
      </c>
      <c r="E573">
        <v>24.75</v>
      </c>
      <c r="F573">
        <v>1.54</v>
      </c>
      <c r="G573">
        <v>0</v>
      </c>
    </row>
    <row r="574" spans="1:7" hidden="1">
      <c r="A574">
        <v>45</v>
      </c>
      <c r="B574" t="s">
        <v>1014</v>
      </c>
      <c r="C574" t="s">
        <v>959</v>
      </c>
      <c r="D574">
        <v>2.66</v>
      </c>
      <c r="E574">
        <v>18.309999999999999</v>
      </c>
      <c r="F574">
        <v>6.95</v>
      </c>
      <c r="G574">
        <v>0.03</v>
      </c>
    </row>
    <row r="575" spans="1:7" hidden="1">
      <c r="A575">
        <v>45</v>
      </c>
      <c r="B575" t="s">
        <v>1014</v>
      </c>
      <c r="C575" t="s">
        <v>960</v>
      </c>
      <c r="D575">
        <v>2.91</v>
      </c>
      <c r="E575">
        <v>18.399999999999999</v>
      </c>
      <c r="F575">
        <v>7.63</v>
      </c>
      <c r="G575">
        <v>0.11</v>
      </c>
    </row>
    <row r="576" spans="1:7" hidden="1">
      <c r="A576">
        <v>45</v>
      </c>
      <c r="B576" t="s">
        <v>1014</v>
      </c>
      <c r="C576" t="s">
        <v>961</v>
      </c>
      <c r="D576">
        <v>2.23</v>
      </c>
      <c r="E576">
        <v>20.059999999999999</v>
      </c>
      <c r="F576">
        <v>6.4</v>
      </c>
      <c r="G576">
        <v>0.06</v>
      </c>
    </row>
    <row r="577" spans="1:7" hidden="1">
      <c r="A577">
        <v>45</v>
      </c>
      <c r="B577" t="s">
        <v>1014</v>
      </c>
      <c r="C577" t="s">
        <v>962</v>
      </c>
      <c r="D577">
        <v>1.49</v>
      </c>
      <c r="E577">
        <v>24.72</v>
      </c>
      <c r="F577">
        <v>5.27</v>
      </c>
      <c r="G577">
        <v>0</v>
      </c>
    </row>
    <row r="578" spans="1:7" hidden="1">
      <c r="A578">
        <v>45</v>
      </c>
      <c r="B578" t="s">
        <v>1014</v>
      </c>
      <c r="C578" t="s">
        <v>963</v>
      </c>
      <c r="D578">
        <v>2.37</v>
      </c>
      <c r="E578">
        <v>18.13</v>
      </c>
      <c r="F578">
        <v>6.13</v>
      </c>
      <c r="G578">
        <v>0</v>
      </c>
    </row>
    <row r="579" spans="1:7" hidden="1">
      <c r="A579">
        <v>45</v>
      </c>
      <c r="B579" t="s">
        <v>1014</v>
      </c>
      <c r="C579" t="s">
        <v>964</v>
      </c>
      <c r="D579">
        <v>0.13</v>
      </c>
      <c r="E579">
        <v>21.87</v>
      </c>
      <c r="F579">
        <v>0.4</v>
      </c>
      <c r="G579">
        <v>0</v>
      </c>
    </row>
    <row r="580" spans="1:7" hidden="1">
      <c r="A580">
        <v>45</v>
      </c>
      <c r="B580" t="s">
        <v>1014</v>
      </c>
      <c r="C580" t="s">
        <v>965</v>
      </c>
      <c r="D580">
        <v>1.75</v>
      </c>
      <c r="E580">
        <v>24.75</v>
      </c>
      <c r="F580">
        <v>6.2</v>
      </c>
      <c r="G580">
        <v>0</v>
      </c>
    </row>
    <row r="581" spans="1:7">
      <c r="A581">
        <v>45</v>
      </c>
      <c r="B581" t="s">
        <v>1014</v>
      </c>
      <c r="C581" t="s">
        <v>24</v>
      </c>
      <c r="D581">
        <v>13.53</v>
      </c>
      <c r="E581">
        <v>20.16</v>
      </c>
      <c r="F581">
        <v>38.979999999999997</v>
      </c>
      <c r="G581">
        <v>0.2</v>
      </c>
    </row>
    <row r="582" spans="1:7" hidden="1">
      <c r="A582">
        <v>45</v>
      </c>
      <c r="B582" t="s">
        <v>1014</v>
      </c>
      <c r="C582" t="s">
        <v>966</v>
      </c>
      <c r="D582">
        <v>0.42</v>
      </c>
      <c r="E582">
        <v>18.05</v>
      </c>
      <c r="F582">
        <v>1.0900000000000001</v>
      </c>
      <c r="G582">
        <v>0.4</v>
      </c>
    </row>
    <row r="583" spans="1:7" hidden="1">
      <c r="A583">
        <v>45</v>
      </c>
      <c r="B583" t="s">
        <v>1014</v>
      </c>
      <c r="C583" t="s">
        <v>967</v>
      </c>
      <c r="D583">
        <v>0.48</v>
      </c>
      <c r="E583">
        <v>17.91</v>
      </c>
      <c r="F583">
        <v>1.22</v>
      </c>
      <c r="G583">
        <v>0</v>
      </c>
    </row>
    <row r="584" spans="1:7" hidden="1">
      <c r="A584">
        <v>45</v>
      </c>
      <c r="B584" t="s">
        <v>1014</v>
      </c>
      <c r="C584" t="s">
        <v>968</v>
      </c>
      <c r="D584">
        <v>0.5</v>
      </c>
      <c r="E584">
        <v>18.09</v>
      </c>
      <c r="F584">
        <v>1.28</v>
      </c>
      <c r="G584">
        <v>0</v>
      </c>
    </row>
    <row r="585" spans="1:7" hidden="1">
      <c r="A585">
        <v>45</v>
      </c>
      <c r="B585" t="s">
        <v>1014</v>
      </c>
      <c r="C585" t="s">
        <v>969</v>
      </c>
      <c r="D585">
        <v>0.31</v>
      </c>
      <c r="E585">
        <v>24.75</v>
      </c>
      <c r="F585">
        <v>1.1000000000000001</v>
      </c>
      <c r="G585">
        <v>0</v>
      </c>
    </row>
    <row r="586" spans="1:7" hidden="1">
      <c r="A586">
        <v>45</v>
      </c>
      <c r="B586" t="s">
        <v>1014</v>
      </c>
      <c r="C586" t="s">
        <v>970</v>
      </c>
      <c r="D586">
        <v>0.39</v>
      </c>
      <c r="E586">
        <v>24.75</v>
      </c>
      <c r="F586">
        <v>1.37</v>
      </c>
      <c r="G586">
        <v>0</v>
      </c>
    </row>
    <row r="587" spans="1:7" hidden="1">
      <c r="A587">
        <v>46</v>
      </c>
      <c r="B587" t="s">
        <v>1015</v>
      </c>
      <c r="C587" t="s">
        <v>959</v>
      </c>
      <c r="D587">
        <v>1.77</v>
      </c>
      <c r="E587">
        <v>18.309999999999999</v>
      </c>
      <c r="F587">
        <v>4.6399999999999997</v>
      </c>
      <c r="G587">
        <v>0</v>
      </c>
    </row>
    <row r="588" spans="1:7" hidden="1">
      <c r="A588">
        <v>46</v>
      </c>
      <c r="B588" t="s">
        <v>1015</v>
      </c>
      <c r="C588" t="s">
        <v>960</v>
      </c>
      <c r="D588">
        <v>2.4</v>
      </c>
      <c r="E588">
        <v>18.399999999999999</v>
      </c>
      <c r="F588">
        <v>6.3</v>
      </c>
      <c r="G588">
        <v>0</v>
      </c>
    </row>
    <row r="589" spans="1:7" hidden="1">
      <c r="A589">
        <v>46</v>
      </c>
      <c r="B589" t="s">
        <v>1015</v>
      </c>
      <c r="C589" t="s">
        <v>961</v>
      </c>
      <c r="D589">
        <v>7.75</v>
      </c>
      <c r="E589">
        <v>20.059999999999999</v>
      </c>
      <c r="F589">
        <v>22.21</v>
      </c>
      <c r="G589">
        <v>0</v>
      </c>
    </row>
    <row r="590" spans="1:7" hidden="1">
      <c r="A590">
        <v>46</v>
      </c>
      <c r="B590" t="s">
        <v>1015</v>
      </c>
      <c r="C590" t="s">
        <v>962</v>
      </c>
      <c r="D590">
        <v>1.71</v>
      </c>
      <c r="E590">
        <v>24.72</v>
      </c>
      <c r="F590">
        <v>6.04</v>
      </c>
      <c r="G590">
        <v>0</v>
      </c>
    </row>
    <row r="591" spans="1:7" hidden="1">
      <c r="A591">
        <v>46</v>
      </c>
      <c r="B591" t="s">
        <v>1015</v>
      </c>
      <c r="C591" t="s">
        <v>963</v>
      </c>
      <c r="D591">
        <v>2.25</v>
      </c>
      <c r="E591">
        <v>18.13</v>
      </c>
      <c r="F591">
        <v>5.82</v>
      </c>
      <c r="G591">
        <v>0</v>
      </c>
    </row>
    <row r="592" spans="1:7" hidden="1">
      <c r="A592">
        <v>46</v>
      </c>
      <c r="B592" t="s">
        <v>1015</v>
      </c>
      <c r="C592" t="s">
        <v>964</v>
      </c>
      <c r="D592">
        <v>0.24</v>
      </c>
      <c r="E592">
        <v>21.87</v>
      </c>
      <c r="F592">
        <v>0.76</v>
      </c>
      <c r="G592">
        <v>0</v>
      </c>
    </row>
    <row r="593" spans="1:7" hidden="1">
      <c r="A593">
        <v>46</v>
      </c>
      <c r="B593" t="s">
        <v>1015</v>
      </c>
      <c r="C593" t="s">
        <v>965</v>
      </c>
      <c r="D593">
        <v>2.34</v>
      </c>
      <c r="E593">
        <v>24.75</v>
      </c>
      <c r="F593">
        <v>8.2799999999999994</v>
      </c>
      <c r="G593">
        <v>0</v>
      </c>
    </row>
    <row r="594" spans="1:7">
      <c r="A594">
        <v>46</v>
      </c>
      <c r="B594" t="s">
        <v>1015</v>
      </c>
      <c r="C594" t="s">
        <v>24</v>
      </c>
      <c r="D594">
        <v>18.46</v>
      </c>
      <c r="E594">
        <v>20.49</v>
      </c>
      <c r="F594">
        <v>54.04</v>
      </c>
      <c r="G594">
        <v>0</v>
      </c>
    </row>
    <row r="595" spans="1:7" hidden="1">
      <c r="A595">
        <v>46</v>
      </c>
      <c r="B595" t="s">
        <v>1015</v>
      </c>
      <c r="C595" t="s">
        <v>966</v>
      </c>
      <c r="D595">
        <v>0</v>
      </c>
      <c r="E595">
        <v>18.05</v>
      </c>
      <c r="F595">
        <v>0</v>
      </c>
      <c r="G595">
        <v>0</v>
      </c>
    </row>
    <row r="596" spans="1:7" hidden="1">
      <c r="A596">
        <v>46</v>
      </c>
      <c r="B596" t="s">
        <v>1015</v>
      </c>
      <c r="C596" t="s">
        <v>967</v>
      </c>
      <c r="D596">
        <v>0.34</v>
      </c>
      <c r="E596">
        <v>17.91</v>
      </c>
      <c r="F596">
        <v>0.87</v>
      </c>
      <c r="G596">
        <v>0</v>
      </c>
    </row>
    <row r="597" spans="1:7" hidden="1">
      <c r="A597">
        <v>46</v>
      </c>
      <c r="B597" t="s">
        <v>1015</v>
      </c>
      <c r="C597" t="s">
        <v>968</v>
      </c>
      <c r="D597">
        <v>1.65</v>
      </c>
      <c r="E597">
        <v>18.09</v>
      </c>
      <c r="F597">
        <v>4.25</v>
      </c>
      <c r="G597">
        <v>0</v>
      </c>
    </row>
    <row r="598" spans="1:7" hidden="1">
      <c r="A598">
        <v>46</v>
      </c>
      <c r="B598" t="s">
        <v>1015</v>
      </c>
      <c r="C598" t="s">
        <v>969</v>
      </c>
      <c r="D598">
        <v>0.21</v>
      </c>
      <c r="E598">
        <v>24.75</v>
      </c>
      <c r="F598">
        <v>0.74</v>
      </c>
      <c r="G598">
        <v>0</v>
      </c>
    </row>
    <row r="599" spans="1:7" hidden="1">
      <c r="A599">
        <v>46</v>
      </c>
      <c r="B599" t="s">
        <v>1015</v>
      </c>
      <c r="C599" t="s">
        <v>970</v>
      </c>
      <c r="D599">
        <v>0.45</v>
      </c>
      <c r="E599">
        <v>24.75</v>
      </c>
      <c r="F599">
        <v>1.59</v>
      </c>
      <c r="G599">
        <v>0</v>
      </c>
    </row>
    <row r="600" spans="1:7" hidden="1">
      <c r="A600">
        <v>47</v>
      </c>
      <c r="B600" t="s">
        <v>1016</v>
      </c>
      <c r="C600" t="s">
        <v>959</v>
      </c>
      <c r="D600">
        <v>3.06</v>
      </c>
      <c r="E600">
        <v>18.309999999999999</v>
      </c>
      <c r="F600">
        <v>8</v>
      </c>
      <c r="G600">
        <v>1.4</v>
      </c>
    </row>
    <row r="601" spans="1:7" hidden="1">
      <c r="A601">
        <v>47</v>
      </c>
      <c r="B601" t="s">
        <v>1016</v>
      </c>
      <c r="C601" t="s">
        <v>960</v>
      </c>
      <c r="D601">
        <v>3.78</v>
      </c>
      <c r="E601">
        <v>18.399999999999999</v>
      </c>
      <c r="F601">
        <v>9.94</v>
      </c>
      <c r="G601">
        <v>2.38</v>
      </c>
    </row>
    <row r="602" spans="1:7" hidden="1">
      <c r="A602">
        <v>47</v>
      </c>
      <c r="B602" t="s">
        <v>1016</v>
      </c>
      <c r="C602" t="s">
        <v>961</v>
      </c>
      <c r="D602">
        <v>4.13</v>
      </c>
      <c r="E602">
        <v>20.059999999999999</v>
      </c>
      <c r="F602">
        <v>11.84</v>
      </c>
      <c r="G602">
        <v>1.54</v>
      </c>
    </row>
    <row r="603" spans="1:7" hidden="1">
      <c r="A603">
        <v>47</v>
      </c>
      <c r="B603" t="s">
        <v>1016</v>
      </c>
      <c r="C603" t="s">
        <v>962</v>
      </c>
      <c r="D603">
        <v>0.85</v>
      </c>
      <c r="E603">
        <v>24.72</v>
      </c>
      <c r="F603">
        <v>2.99</v>
      </c>
      <c r="G603">
        <v>0.3</v>
      </c>
    </row>
    <row r="604" spans="1:7" hidden="1">
      <c r="A604">
        <v>47</v>
      </c>
      <c r="B604" t="s">
        <v>1016</v>
      </c>
      <c r="C604" t="s">
        <v>963</v>
      </c>
      <c r="D604">
        <v>2.29</v>
      </c>
      <c r="E604">
        <v>18.13</v>
      </c>
      <c r="F604">
        <v>5.93</v>
      </c>
      <c r="G604">
        <v>0.9</v>
      </c>
    </row>
    <row r="605" spans="1:7" hidden="1">
      <c r="A605">
        <v>47</v>
      </c>
      <c r="B605" t="s">
        <v>1016</v>
      </c>
      <c r="C605" t="s">
        <v>964</v>
      </c>
      <c r="D605">
        <v>0.18</v>
      </c>
      <c r="E605">
        <v>21.87</v>
      </c>
      <c r="F605">
        <v>0.56000000000000005</v>
      </c>
      <c r="G605">
        <v>0.09</v>
      </c>
    </row>
    <row r="606" spans="1:7" hidden="1">
      <c r="A606">
        <v>47</v>
      </c>
      <c r="B606" t="s">
        <v>1016</v>
      </c>
      <c r="C606" t="s">
        <v>965</v>
      </c>
      <c r="D606">
        <v>1.99</v>
      </c>
      <c r="E606">
        <v>24.75</v>
      </c>
      <c r="F606">
        <v>7.04</v>
      </c>
      <c r="G606">
        <v>0.77</v>
      </c>
    </row>
    <row r="607" spans="1:7">
      <c r="A607">
        <v>47</v>
      </c>
      <c r="B607" t="s">
        <v>1016</v>
      </c>
      <c r="C607" t="s">
        <v>24</v>
      </c>
      <c r="D607">
        <v>16.29</v>
      </c>
      <c r="E607">
        <v>19.91</v>
      </c>
      <c r="F607">
        <v>46.32</v>
      </c>
      <c r="G607">
        <v>7.37</v>
      </c>
    </row>
    <row r="608" spans="1:7" hidden="1">
      <c r="A608">
        <v>47</v>
      </c>
      <c r="B608" t="s">
        <v>1016</v>
      </c>
      <c r="C608" t="s">
        <v>966</v>
      </c>
      <c r="D608">
        <v>7.67</v>
      </c>
      <c r="E608">
        <v>18.05</v>
      </c>
      <c r="F608">
        <v>19.77</v>
      </c>
      <c r="G608">
        <v>7.43</v>
      </c>
    </row>
    <row r="609" spans="1:7" hidden="1">
      <c r="A609">
        <v>47</v>
      </c>
      <c r="B609" t="s">
        <v>1016</v>
      </c>
      <c r="C609" t="s">
        <v>967</v>
      </c>
      <c r="D609">
        <v>0.56000000000000005</v>
      </c>
      <c r="E609">
        <v>17.91</v>
      </c>
      <c r="F609">
        <v>1.44</v>
      </c>
      <c r="G609">
        <v>0.11</v>
      </c>
    </row>
    <row r="610" spans="1:7" hidden="1">
      <c r="A610">
        <v>47</v>
      </c>
      <c r="B610" t="s">
        <v>1016</v>
      </c>
      <c r="C610" t="s">
        <v>968</v>
      </c>
      <c r="D610">
        <v>0.68</v>
      </c>
      <c r="E610">
        <v>18.09</v>
      </c>
      <c r="F610">
        <v>1.77</v>
      </c>
      <c r="G610">
        <v>0.06</v>
      </c>
    </row>
    <row r="611" spans="1:7" hidden="1">
      <c r="A611">
        <v>47</v>
      </c>
      <c r="B611" t="s">
        <v>1016</v>
      </c>
      <c r="C611" t="s">
        <v>969</v>
      </c>
      <c r="D611">
        <v>1.57</v>
      </c>
      <c r="E611">
        <v>24.75</v>
      </c>
      <c r="F611">
        <v>5.53</v>
      </c>
      <c r="G611">
        <v>0.14000000000000001</v>
      </c>
    </row>
    <row r="612" spans="1:7" hidden="1">
      <c r="A612">
        <v>47</v>
      </c>
      <c r="B612" t="s">
        <v>1016</v>
      </c>
      <c r="C612" t="s">
        <v>970</v>
      </c>
      <c r="D612">
        <v>0.25</v>
      </c>
      <c r="E612">
        <v>24.75</v>
      </c>
      <c r="F612">
        <v>0.9</v>
      </c>
      <c r="G612">
        <v>0.05</v>
      </c>
    </row>
    <row r="613" spans="1:7" hidden="1">
      <c r="A613">
        <v>48</v>
      </c>
      <c r="B613" t="s">
        <v>1017</v>
      </c>
      <c r="C613" t="s">
        <v>959</v>
      </c>
      <c r="D613">
        <v>2.08</v>
      </c>
      <c r="E613">
        <v>18.309999999999999</v>
      </c>
      <c r="F613">
        <v>5.44</v>
      </c>
      <c r="G613">
        <v>0</v>
      </c>
    </row>
    <row r="614" spans="1:7" hidden="1">
      <c r="A614">
        <v>48</v>
      </c>
      <c r="B614" t="s">
        <v>1017</v>
      </c>
      <c r="C614" t="s">
        <v>960</v>
      </c>
      <c r="D614">
        <v>2.87</v>
      </c>
      <c r="E614">
        <v>18.399999999999999</v>
      </c>
      <c r="F614">
        <v>7.55</v>
      </c>
      <c r="G614">
        <v>0</v>
      </c>
    </row>
    <row r="615" spans="1:7" hidden="1">
      <c r="A615">
        <v>48</v>
      </c>
      <c r="B615" t="s">
        <v>1017</v>
      </c>
      <c r="C615" t="s">
        <v>961</v>
      </c>
      <c r="D615">
        <v>6.49</v>
      </c>
      <c r="E615">
        <v>20.059999999999999</v>
      </c>
      <c r="F615">
        <v>18.600000000000001</v>
      </c>
      <c r="G615">
        <v>0</v>
      </c>
    </row>
    <row r="616" spans="1:7" hidden="1">
      <c r="A616">
        <v>48</v>
      </c>
      <c r="B616" t="s">
        <v>1017</v>
      </c>
      <c r="C616" t="s">
        <v>962</v>
      </c>
      <c r="D616">
        <v>1.54</v>
      </c>
      <c r="E616">
        <v>24.72</v>
      </c>
      <c r="F616">
        <v>5.44</v>
      </c>
      <c r="G616">
        <v>0</v>
      </c>
    </row>
    <row r="617" spans="1:7" hidden="1">
      <c r="A617">
        <v>48</v>
      </c>
      <c r="B617" t="s">
        <v>1017</v>
      </c>
      <c r="C617" t="s">
        <v>963</v>
      </c>
      <c r="D617">
        <v>2.36</v>
      </c>
      <c r="E617">
        <v>18.13</v>
      </c>
      <c r="F617">
        <v>6.13</v>
      </c>
      <c r="G617">
        <v>0</v>
      </c>
    </row>
    <row r="618" spans="1:7" hidden="1">
      <c r="A618">
        <v>48</v>
      </c>
      <c r="B618" t="s">
        <v>1017</v>
      </c>
      <c r="C618" t="s">
        <v>964</v>
      </c>
      <c r="D618">
        <v>0.2</v>
      </c>
      <c r="E618">
        <v>21.87</v>
      </c>
      <c r="F618">
        <v>0.62</v>
      </c>
      <c r="G618">
        <v>0</v>
      </c>
    </row>
    <row r="619" spans="1:7" hidden="1">
      <c r="A619">
        <v>48</v>
      </c>
      <c r="B619" t="s">
        <v>1017</v>
      </c>
      <c r="C619" t="s">
        <v>965</v>
      </c>
      <c r="D619">
        <v>2.25</v>
      </c>
      <c r="E619">
        <v>24.75</v>
      </c>
      <c r="F619">
        <v>7.94</v>
      </c>
      <c r="G619">
        <v>0</v>
      </c>
    </row>
    <row r="620" spans="1:7">
      <c r="A620">
        <v>48</v>
      </c>
      <c r="B620" t="s">
        <v>1017</v>
      </c>
      <c r="C620" t="s">
        <v>24</v>
      </c>
      <c r="D620">
        <v>17.79</v>
      </c>
      <c r="E620">
        <v>20.350000000000001</v>
      </c>
      <c r="F620">
        <v>51.71</v>
      </c>
      <c r="G620">
        <v>0</v>
      </c>
    </row>
    <row r="621" spans="1:7" hidden="1">
      <c r="A621">
        <v>48</v>
      </c>
      <c r="B621" t="s">
        <v>1017</v>
      </c>
      <c r="C621" t="s">
        <v>966</v>
      </c>
      <c r="D621">
        <v>0</v>
      </c>
      <c r="E621">
        <v>18.05</v>
      </c>
      <c r="F621">
        <v>0</v>
      </c>
      <c r="G621">
        <v>0</v>
      </c>
    </row>
    <row r="622" spans="1:7" hidden="1">
      <c r="A622">
        <v>48</v>
      </c>
      <c r="B622" t="s">
        <v>1017</v>
      </c>
      <c r="C622" t="s">
        <v>967</v>
      </c>
      <c r="D622">
        <v>0.45</v>
      </c>
      <c r="E622">
        <v>17.91</v>
      </c>
      <c r="F622">
        <v>1.1399999999999999</v>
      </c>
      <c r="G622">
        <v>0</v>
      </c>
    </row>
    <row r="623" spans="1:7" hidden="1">
      <c r="A623">
        <v>48</v>
      </c>
      <c r="B623" t="s">
        <v>1017</v>
      </c>
      <c r="C623" t="s">
        <v>968</v>
      </c>
      <c r="D623">
        <v>1.1000000000000001</v>
      </c>
      <c r="E623">
        <v>18.09</v>
      </c>
      <c r="F623">
        <v>2.83</v>
      </c>
      <c r="G623">
        <v>0</v>
      </c>
    </row>
    <row r="624" spans="1:7" hidden="1">
      <c r="A624">
        <v>48</v>
      </c>
      <c r="B624" t="s">
        <v>1017</v>
      </c>
      <c r="C624" t="s">
        <v>969</v>
      </c>
      <c r="D624">
        <v>0.37</v>
      </c>
      <c r="E624">
        <v>24.75</v>
      </c>
      <c r="F624">
        <v>1.31</v>
      </c>
      <c r="G624">
        <v>0</v>
      </c>
    </row>
    <row r="625" spans="1:7" hidden="1">
      <c r="A625">
        <v>48</v>
      </c>
      <c r="B625" t="s">
        <v>1017</v>
      </c>
      <c r="C625" t="s">
        <v>970</v>
      </c>
      <c r="D625">
        <v>0.41</v>
      </c>
      <c r="E625">
        <v>24.75</v>
      </c>
      <c r="F625">
        <v>1.44</v>
      </c>
      <c r="G625">
        <v>0</v>
      </c>
    </row>
    <row r="626" spans="1:7" hidden="1">
      <c r="A626">
        <v>49</v>
      </c>
      <c r="B626" t="s">
        <v>1018</v>
      </c>
      <c r="C626" t="s">
        <v>959</v>
      </c>
      <c r="D626">
        <v>2.7</v>
      </c>
      <c r="E626">
        <v>18.309999999999999</v>
      </c>
      <c r="F626">
        <v>7.07</v>
      </c>
      <c r="G626">
        <v>0</v>
      </c>
    </row>
    <row r="627" spans="1:7" hidden="1">
      <c r="A627">
        <v>49</v>
      </c>
      <c r="B627" t="s">
        <v>1018</v>
      </c>
      <c r="C627" t="s">
        <v>960</v>
      </c>
      <c r="D627">
        <v>2.86</v>
      </c>
      <c r="E627">
        <v>18.399999999999999</v>
      </c>
      <c r="F627">
        <v>7.53</v>
      </c>
      <c r="G627">
        <v>0</v>
      </c>
    </row>
    <row r="628" spans="1:7" hidden="1">
      <c r="A628">
        <v>49</v>
      </c>
      <c r="B628" t="s">
        <v>1018</v>
      </c>
      <c r="C628" t="s">
        <v>961</v>
      </c>
      <c r="D628">
        <v>4.1900000000000004</v>
      </c>
      <c r="E628">
        <v>20.059999999999999</v>
      </c>
      <c r="F628">
        <v>12.02</v>
      </c>
      <c r="G628">
        <v>0</v>
      </c>
    </row>
    <row r="629" spans="1:7" hidden="1">
      <c r="A629">
        <v>49</v>
      </c>
      <c r="B629" t="s">
        <v>1018</v>
      </c>
      <c r="C629" t="s">
        <v>962</v>
      </c>
      <c r="D629">
        <v>1.48</v>
      </c>
      <c r="E629">
        <v>24.72</v>
      </c>
      <c r="F629">
        <v>5.24</v>
      </c>
      <c r="G629">
        <v>0</v>
      </c>
    </row>
    <row r="630" spans="1:7" hidden="1">
      <c r="A630">
        <v>49</v>
      </c>
      <c r="B630" t="s">
        <v>1018</v>
      </c>
      <c r="C630" t="s">
        <v>963</v>
      </c>
      <c r="D630">
        <v>2.33</v>
      </c>
      <c r="E630">
        <v>18.13</v>
      </c>
      <c r="F630">
        <v>6.03</v>
      </c>
      <c r="G630">
        <v>0</v>
      </c>
    </row>
    <row r="631" spans="1:7" hidden="1">
      <c r="A631">
        <v>49</v>
      </c>
      <c r="B631" t="s">
        <v>1018</v>
      </c>
      <c r="C631" t="s">
        <v>964</v>
      </c>
      <c r="D631">
        <v>0.14000000000000001</v>
      </c>
      <c r="E631">
        <v>21.87</v>
      </c>
      <c r="F631">
        <v>0.43</v>
      </c>
      <c r="G631">
        <v>0</v>
      </c>
    </row>
    <row r="632" spans="1:7" hidden="1">
      <c r="A632">
        <v>49</v>
      </c>
      <c r="B632" t="s">
        <v>1018</v>
      </c>
      <c r="C632" t="s">
        <v>965</v>
      </c>
      <c r="D632">
        <v>1.84</v>
      </c>
      <c r="E632">
        <v>24.75</v>
      </c>
      <c r="F632">
        <v>6.52</v>
      </c>
      <c r="G632">
        <v>0</v>
      </c>
    </row>
    <row r="633" spans="1:7">
      <c r="A633">
        <v>49</v>
      </c>
      <c r="B633" t="s">
        <v>1018</v>
      </c>
      <c r="C633" t="s">
        <v>24</v>
      </c>
      <c r="D633">
        <v>15.55</v>
      </c>
      <c r="E633">
        <v>20.18</v>
      </c>
      <c r="F633">
        <v>44.84</v>
      </c>
      <c r="G633">
        <v>0</v>
      </c>
    </row>
    <row r="634" spans="1:7" hidden="1">
      <c r="A634">
        <v>49</v>
      </c>
      <c r="B634" t="s">
        <v>1018</v>
      </c>
      <c r="C634" t="s">
        <v>966</v>
      </c>
      <c r="D634">
        <v>0</v>
      </c>
      <c r="E634">
        <v>18.05</v>
      </c>
      <c r="F634">
        <v>0</v>
      </c>
      <c r="G634">
        <v>0</v>
      </c>
    </row>
    <row r="635" spans="1:7" hidden="1">
      <c r="A635">
        <v>49</v>
      </c>
      <c r="B635" t="s">
        <v>1018</v>
      </c>
      <c r="C635" t="s">
        <v>967</v>
      </c>
      <c r="D635">
        <v>0.19</v>
      </c>
      <c r="E635">
        <v>17.91</v>
      </c>
      <c r="F635">
        <v>0.48</v>
      </c>
      <c r="G635">
        <v>0</v>
      </c>
    </row>
    <row r="636" spans="1:7" hidden="1">
      <c r="A636">
        <v>49</v>
      </c>
      <c r="B636" t="s">
        <v>1018</v>
      </c>
      <c r="C636" t="s">
        <v>968</v>
      </c>
      <c r="D636">
        <v>0.52</v>
      </c>
      <c r="E636">
        <v>18.09</v>
      </c>
      <c r="F636">
        <v>1.34</v>
      </c>
      <c r="G636">
        <v>0</v>
      </c>
    </row>
    <row r="637" spans="1:7" hidden="1">
      <c r="A637">
        <v>49</v>
      </c>
      <c r="B637" t="s">
        <v>1018</v>
      </c>
      <c r="C637" t="s">
        <v>969</v>
      </c>
      <c r="D637">
        <v>0.33</v>
      </c>
      <c r="E637">
        <v>24.75</v>
      </c>
      <c r="F637">
        <v>1.1499999999999999</v>
      </c>
      <c r="G637">
        <v>0</v>
      </c>
    </row>
    <row r="638" spans="1:7" hidden="1">
      <c r="A638">
        <v>49</v>
      </c>
      <c r="B638" t="s">
        <v>1018</v>
      </c>
      <c r="C638" t="s">
        <v>970</v>
      </c>
      <c r="D638">
        <v>0.32</v>
      </c>
      <c r="E638">
        <v>24.75</v>
      </c>
      <c r="F638">
        <v>1.1399999999999999</v>
      </c>
      <c r="G638">
        <v>0</v>
      </c>
    </row>
    <row r="639" spans="1:7" hidden="1">
      <c r="A639">
        <v>50</v>
      </c>
      <c r="B639" t="s">
        <v>1019</v>
      </c>
      <c r="C639" t="s">
        <v>959</v>
      </c>
      <c r="D639">
        <v>1.59</v>
      </c>
      <c r="E639">
        <v>18.309999999999999</v>
      </c>
      <c r="F639">
        <v>4.16</v>
      </c>
      <c r="G639">
        <v>0</v>
      </c>
    </row>
    <row r="640" spans="1:7" hidden="1">
      <c r="A640">
        <v>50</v>
      </c>
      <c r="B640" t="s">
        <v>1019</v>
      </c>
      <c r="C640" t="s">
        <v>960</v>
      </c>
      <c r="D640">
        <v>2.72</v>
      </c>
      <c r="E640">
        <v>18.399999999999999</v>
      </c>
      <c r="F640">
        <v>7.15</v>
      </c>
      <c r="G640">
        <v>0</v>
      </c>
    </row>
    <row r="641" spans="1:7" hidden="1">
      <c r="A641">
        <v>50</v>
      </c>
      <c r="B641" t="s">
        <v>1019</v>
      </c>
      <c r="C641" t="s">
        <v>961</v>
      </c>
      <c r="D641">
        <v>7.58</v>
      </c>
      <c r="E641">
        <v>20.059999999999999</v>
      </c>
      <c r="F641">
        <v>21.73</v>
      </c>
      <c r="G641">
        <v>0</v>
      </c>
    </row>
    <row r="642" spans="1:7" hidden="1">
      <c r="A642">
        <v>50</v>
      </c>
      <c r="B642" t="s">
        <v>1019</v>
      </c>
      <c r="C642" t="s">
        <v>962</v>
      </c>
      <c r="D642">
        <v>1.76</v>
      </c>
      <c r="E642">
        <v>24.72</v>
      </c>
      <c r="F642">
        <v>6.2</v>
      </c>
      <c r="G642">
        <v>0</v>
      </c>
    </row>
    <row r="643" spans="1:7" hidden="1">
      <c r="A643">
        <v>50</v>
      </c>
      <c r="B643" t="s">
        <v>1019</v>
      </c>
      <c r="C643" t="s">
        <v>963</v>
      </c>
      <c r="D643">
        <v>2.27</v>
      </c>
      <c r="E643">
        <v>18.13</v>
      </c>
      <c r="F643">
        <v>5.88</v>
      </c>
      <c r="G643">
        <v>0</v>
      </c>
    </row>
    <row r="644" spans="1:7" hidden="1">
      <c r="A644">
        <v>50</v>
      </c>
      <c r="B644" t="s">
        <v>1019</v>
      </c>
      <c r="C644" t="s">
        <v>964</v>
      </c>
      <c r="D644">
        <v>0.22</v>
      </c>
      <c r="E644">
        <v>21.87</v>
      </c>
      <c r="F644">
        <v>0.7</v>
      </c>
      <c r="G644">
        <v>0</v>
      </c>
    </row>
    <row r="645" spans="1:7" hidden="1">
      <c r="A645">
        <v>50</v>
      </c>
      <c r="B645" t="s">
        <v>1019</v>
      </c>
      <c r="C645" t="s">
        <v>965</v>
      </c>
      <c r="D645">
        <v>2.4700000000000002</v>
      </c>
      <c r="E645">
        <v>24.75</v>
      </c>
      <c r="F645">
        <v>8.74</v>
      </c>
      <c r="G645">
        <v>0</v>
      </c>
    </row>
    <row r="646" spans="1:7">
      <c r="A646">
        <v>50</v>
      </c>
      <c r="B646" t="s">
        <v>1019</v>
      </c>
      <c r="C646" t="s">
        <v>24</v>
      </c>
      <c r="D646">
        <v>18.62</v>
      </c>
      <c r="E646">
        <v>20.52</v>
      </c>
      <c r="F646">
        <v>54.56</v>
      </c>
      <c r="G646">
        <v>0</v>
      </c>
    </row>
    <row r="647" spans="1:7" hidden="1">
      <c r="A647">
        <v>50</v>
      </c>
      <c r="B647" t="s">
        <v>1019</v>
      </c>
      <c r="C647" t="s">
        <v>966</v>
      </c>
      <c r="D647">
        <v>0</v>
      </c>
      <c r="E647">
        <v>18.05</v>
      </c>
      <c r="F647">
        <v>0</v>
      </c>
      <c r="G647">
        <v>0</v>
      </c>
    </row>
    <row r="648" spans="1:7" hidden="1">
      <c r="A648">
        <v>50</v>
      </c>
      <c r="B648" t="s">
        <v>1019</v>
      </c>
      <c r="C648" t="s">
        <v>967</v>
      </c>
      <c r="D648">
        <v>0.46</v>
      </c>
      <c r="E648">
        <v>17.91</v>
      </c>
      <c r="F648">
        <v>1.18</v>
      </c>
      <c r="G648">
        <v>0</v>
      </c>
    </row>
    <row r="649" spans="1:7" hidden="1">
      <c r="A649">
        <v>50</v>
      </c>
      <c r="B649" t="s">
        <v>1019</v>
      </c>
      <c r="C649" t="s">
        <v>968</v>
      </c>
      <c r="D649">
        <v>1.38</v>
      </c>
      <c r="E649">
        <v>18.09</v>
      </c>
      <c r="F649">
        <v>3.58</v>
      </c>
      <c r="G649">
        <v>0</v>
      </c>
    </row>
    <row r="650" spans="1:7" hidden="1">
      <c r="A650">
        <v>50</v>
      </c>
      <c r="B650" t="s">
        <v>1019</v>
      </c>
      <c r="C650" t="s">
        <v>969</v>
      </c>
      <c r="D650">
        <v>0.36</v>
      </c>
      <c r="E650">
        <v>24.75</v>
      </c>
      <c r="F650">
        <v>1.29</v>
      </c>
      <c r="G650">
        <v>0</v>
      </c>
    </row>
    <row r="651" spans="1:7" hidden="1">
      <c r="A651">
        <v>50</v>
      </c>
      <c r="B651" t="s">
        <v>1019</v>
      </c>
      <c r="C651" t="s">
        <v>970</v>
      </c>
      <c r="D651">
        <v>0.44</v>
      </c>
      <c r="E651">
        <v>24.75</v>
      </c>
      <c r="F651">
        <v>1.56</v>
      </c>
      <c r="G651">
        <v>0</v>
      </c>
    </row>
    <row r="652" spans="1:7" hidden="1">
      <c r="A652">
        <v>51</v>
      </c>
      <c r="B652" t="s">
        <v>1020</v>
      </c>
      <c r="C652" t="s">
        <v>959</v>
      </c>
      <c r="D652">
        <v>2.15</v>
      </c>
      <c r="E652">
        <v>18.309999999999999</v>
      </c>
      <c r="F652">
        <v>5.63</v>
      </c>
      <c r="G652">
        <v>0</v>
      </c>
    </row>
    <row r="653" spans="1:7" hidden="1">
      <c r="A653">
        <v>51</v>
      </c>
      <c r="B653" t="s">
        <v>1020</v>
      </c>
      <c r="C653" t="s">
        <v>960</v>
      </c>
      <c r="D653">
        <v>2.76</v>
      </c>
      <c r="E653">
        <v>18.399999999999999</v>
      </c>
      <c r="F653">
        <v>7.26</v>
      </c>
      <c r="G653">
        <v>0</v>
      </c>
    </row>
    <row r="654" spans="1:7" hidden="1">
      <c r="A654">
        <v>51</v>
      </c>
      <c r="B654" t="s">
        <v>1020</v>
      </c>
      <c r="C654" t="s">
        <v>961</v>
      </c>
      <c r="D654">
        <v>6.02</v>
      </c>
      <c r="E654">
        <v>20.059999999999999</v>
      </c>
      <c r="F654">
        <v>17.260000000000002</v>
      </c>
      <c r="G654">
        <v>0.01</v>
      </c>
    </row>
    <row r="655" spans="1:7" hidden="1">
      <c r="A655">
        <v>51</v>
      </c>
      <c r="B655" t="s">
        <v>1020</v>
      </c>
      <c r="C655" t="s">
        <v>962</v>
      </c>
      <c r="D655">
        <v>1.63</v>
      </c>
      <c r="E655">
        <v>24.72</v>
      </c>
      <c r="F655">
        <v>5.76</v>
      </c>
      <c r="G655">
        <v>0</v>
      </c>
    </row>
    <row r="656" spans="1:7" hidden="1">
      <c r="A656">
        <v>51</v>
      </c>
      <c r="B656" t="s">
        <v>1020</v>
      </c>
      <c r="C656" t="s">
        <v>963</v>
      </c>
      <c r="D656">
        <v>2.42</v>
      </c>
      <c r="E656">
        <v>18.13</v>
      </c>
      <c r="F656">
        <v>6.26</v>
      </c>
      <c r="G656">
        <v>0</v>
      </c>
    </row>
    <row r="657" spans="1:7" hidden="1">
      <c r="A657">
        <v>51</v>
      </c>
      <c r="B657" t="s">
        <v>1020</v>
      </c>
      <c r="C657" t="s">
        <v>964</v>
      </c>
      <c r="D657">
        <v>0.22</v>
      </c>
      <c r="E657">
        <v>21.87</v>
      </c>
      <c r="F657">
        <v>0.69</v>
      </c>
      <c r="G657">
        <v>0</v>
      </c>
    </row>
    <row r="658" spans="1:7" hidden="1">
      <c r="A658">
        <v>51</v>
      </c>
      <c r="B658" t="s">
        <v>1020</v>
      </c>
      <c r="C658" t="s">
        <v>965</v>
      </c>
      <c r="D658">
        <v>2.33</v>
      </c>
      <c r="E658">
        <v>24.75</v>
      </c>
      <c r="F658">
        <v>8.24</v>
      </c>
      <c r="G658">
        <v>0</v>
      </c>
    </row>
    <row r="659" spans="1:7">
      <c r="A659">
        <v>51</v>
      </c>
      <c r="B659" t="s">
        <v>1020</v>
      </c>
      <c r="C659" t="s">
        <v>24</v>
      </c>
      <c r="D659">
        <v>17.54</v>
      </c>
      <c r="E659">
        <v>20.399999999999999</v>
      </c>
      <c r="F659">
        <v>51.1</v>
      </c>
      <c r="G659">
        <v>0.01</v>
      </c>
    </row>
    <row r="660" spans="1:7" hidden="1">
      <c r="A660">
        <v>51</v>
      </c>
      <c r="B660" t="s">
        <v>1020</v>
      </c>
      <c r="C660" t="s">
        <v>966</v>
      </c>
      <c r="D660">
        <v>0.02</v>
      </c>
      <c r="E660">
        <v>18.05</v>
      </c>
      <c r="F660">
        <v>0.06</v>
      </c>
      <c r="G660">
        <v>0.02</v>
      </c>
    </row>
    <row r="661" spans="1:7" hidden="1">
      <c r="A661">
        <v>51</v>
      </c>
      <c r="B661" t="s">
        <v>1020</v>
      </c>
      <c r="C661" t="s">
        <v>967</v>
      </c>
      <c r="D661">
        <v>0.46</v>
      </c>
      <c r="E661">
        <v>17.91</v>
      </c>
      <c r="F661">
        <v>1.17</v>
      </c>
      <c r="G661">
        <v>0</v>
      </c>
    </row>
    <row r="662" spans="1:7" hidden="1">
      <c r="A662">
        <v>51</v>
      </c>
      <c r="B662" t="s">
        <v>1020</v>
      </c>
      <c r="C662" t="s">
        <v>968</v>
      </c>
      <c r="D662">
        <v>1.07</v>
      </c>
      <c r="E662">
        <v>18.09</v>
      </c>
      <c r="F662">
        <v>2.77</v>
      </c>
      <c r="G662">
        <v>0</v>
      </c>
    </row>
    <row r="663" spans="1:7" hidden="1">
      <c r="A663">
        <v>51</v>
      </c>
      <c r="B663" t="s">
        <v>1020</v>
      </c>
      <c r="C663" t="s">
        <v>969</v>
      </c>
      <c r="D663">
        <v>0.32</v>
      </c>
      <c r="E663">
        <v>24.75</v>
      </c>
      <c r="F663">
        <v>1.1200000000000001</v>
      </c>
      <c r="G663">
        <v>0</v>
      </c>
    </row>
    <row r="664" spans="1:7" hidden="1">
      <c r="A664">
        <v>51</v>
      </c>
      <c r="B664" t="s">
        <v>1020</v>
      </c>
      <c r="C664" t="s">
        <v>970</v>
      </c>
      <c r="D664">
        <v>0.35</v>
      </c>
      <c r="E664">
        <v>24.75</v>
      </c>
      <c r="F664">
        <v>1.24</v>
      </c>
      <c r="G664">
        <v>0</v>
      </c>
    </row>
    <row r="665" spans="1:7" hidden="1">
      <c r="A665">
        <v>52</v>
      </c>
      <c r="B665" t="s">
        <v>1021</v>
      </c>
      <c r="C665" t="s">
        <v>959</v>
      </c>
      <c r="D665">
        <v>2.94</v>
      </c>
      <c r="E665">
        <v>18.309999999999999</v>
      </c>
      <c r="F665">
        <v>7.68</v>
      </c>
      <c r="G665">
        <v>0</v>
      </c>
    </row>
    <row r="666" spans="1:7" hidden="1">
      <c r="A666">
        <v>52</v>
      </c>
      <c r="B666" t="s">
        <v>1021</v>
      </c>
      <c r="C666" t="s">
        <v>960</v>
      </c>
      <c r="D666">
        <v>2.89</v>
      </c>
      <c r="E666">
        <v>18.399999999999999</v>
      </c>
      <c r="F666">
        <v>7.59</v>
      </c>
      <c r="G666">
        <v>0</v>
      </c>
    </row>
    <row r="667" spans="1:7" hidden="1">
      <c r="A667">
        <v>52</v>
      </c>
      <c r="B667" t="s">
        <v>1021</v>
      </c>
      <c r="C667" t="s">
        <v>961</v>
      </c>
      <c r="D667">
        <v>2.1800000000000002</v>
      </c>
      <c r="E667">
        <v>20.059999999999999</v>
      </c>
      <c r="F667">
        <v>6.24</v>
      </c>
      <c r="G667">
        <v>0.03</v>
      </c>
    </row>
    <row r="668" spans="1:7" hidden="1">
      <c r="A668">
        <v>52</v>
      </c>
      <c r="B668" t="s">
        <v>1021</v>
      </c>
      <c r="C668" t="s">
        <v>962</v>
      </c>
      <c r="D668">
        <v>1.67</v>
      </c>
      <c r="E668">
        <v>24.72</v>
      </c>
      <c r="F668">
        <v>5.88</v>
      </c>
      <c r="G668">
        <v>0</v>
      </c>
    </row>
    <row r="669" spans="1:7" hidden="1">
      <c r="A669">
        <v>52</v>
      </c>
      <c r="B669" t="s">
        <v>1021</v>
      </c>
      <c r="C669" t="s">
        <v>963</v>
      </c>
      <c r="D669">
        <v>2.5099999999999998</v>
      </c>
      <c r="E669">
        <v>18.13</v>
      </c>
      <c r="F669">
        <v>6.51</v>
      </c>
      <c r="G669">
        <v>0</v>
      </c>
    </row>
    <row r="670" spans="1:7" hidden="1">
      <c r="A670">
        <v>52</v>
      </c>
      <c r="B670" t="s">
        <v>1021</v>
      </c>
      <c r="C670" t="s">
        <v>964</v>
      </c>
      <c r="D670">
        <v>0.16</v>
      </c>
      <c r="E670">
        <v>21.87</v>
      </c>
      <c r="F670">
        <v>0.49</v>
      </c>
      <c r="G670">
        <v>0</v>
      </c>
    </row>
    <row r="671" spans="1:7" hidden="1">
      <c r="A671">
        <v>52</v>
      </c>
      <c r="B671" t="s">
        <v>1021</v>
      </c>
      <c r="C671" t="s">
        <v>965</v>
      </c>
      <c r="D671">
        <v>1.91</v>
      </c>
      <c r="E671">
        <v>24.75</v>
      </c>
      <c r="F671">
        <v>6.77</v>
      </c>
      <c r="G671">
        <v>0</v>
      </c>
    </row>
    <row r="672" spans="1:7">
      <c r="A672">
        <v>52</v>
      </c>
      <c r="B672" t="s">
        <v>1021</v>
      </c>
      <c r="C672" t="s">
        <v>24</v>
      </c>
      <c r="D672">
        <v>14.25</v>
      </c>
      <c r="E672">
        <v>20.22</v>
      </c>
      <c r="F672">
        <v>41.17</v>
      </c>
      <c r="G672">
        <v>0.03</v>
      </c>
    </row>
    <row r="673" spans="1:7" hidden="1">
      <c r="A673">
        <v>52</v>
      </c>
      <c r="B673" t="s">
        <v>1021</v>
      </c>
      <c r="C673" t="s">
        <v>966</v>
      </c>
      <c r="D673">
        <v>0.08</v>
      </c>
      <c r="E673">
        <v>18.05</v>
      </c>
      <c r="F673">
        <v>0.21</v>
      </c>
      <c r="G673">
        <v>0.06</v>
      </c>
    </row>
    <row r="674" spans="1:7" hidden="1">
      <c r="A674">
        <v>52</v>
      </c>
      <c r="B674" t="s">
        <v>1021</v>
      </c>
      <c r="C674" t="s">
        <v>967</v>
      </c>
      <c r="D674">
        <v>0.52</v>
      </c>
      <c r="E674">
        <v>17.91</v>
      </c>
      <c r="F674">
        <v>1.33</v>
      </c>
      <c r="G674">
        <v>0</v>
      </c>
    </row>
    <row r="675" spans="1:7" hidden="1">
      <c r="A675">
        <v>52</v>
      </c>
      <c r="B675" t="s">
        <v>1021</v>
      </c>
      <c r="C675" t="s">
        <v>968</v>
      </c>
      <c r="D675">
        <v>0.35</v>
      </c>
      <c r="E675">
        <v>18.09</v>
      </c>
      <c r="F675">
        <v>0.89</v>
      </c>
      <c r="G675">
        <v>0</v>
      </c>
    </row>
    <row r="676" spans="1:7" hidden="1">
      <c r="A676">
        <v>52</v>
      </c>
      <c r="B676" t="s">
        <v>1021</v>
      </c>
      <c r="C676" t="s">
        <v>969</v>
      </c>
      <c r="D676">
        <v>0.31</v>
      </c>
      <c r="E676">
        <v>24.75</v>
      </c>
      <c r="F676">
        <v>1.1100000000000001</v>
      </c>
      <c r="G676">
        <v>0</v>
      </c>
    </row>
    <row r="677" spans="1:7" hidden="1">
      <c r="A677">
        <v>52</v>
      </c>
      <c r="B677" t="s">
        <v>1021</v>
      </c>
      <c r="C677" t="s">
        <v>970</v>
      </c>
      <c r="D677">
        <v>0.27</v>
      </c>
      <c r="E677">
        <v>24.75</v>
      </c>
      <c r="F677">
        <v>0.94</v>
      </c>
      <c r="G677">
        <v>0</v>
      </c>
    </row>
    <row r="678" spans="1:7" hidden="1">
      <c r="A678">
        <v>53</v>
      </c>
      <c r="B678" t="s">
        <v>1022</v>
      </c>
      <c r="C678" t="s">
        <v>959</v>
      </c>
      <c r="D678">
        <v>1.61</v>
      </c>
      <c r="E678">
        <v>18.309999999999999</v>
      </c>
      <c r="F678">
        <v>4.21</v>
      </c>
      <c r="G678">
        <v>0</v>
      </c>
    </row>
    <row r="679" spans="1:7" hidden="1">
      <c r="A679">
        <v>53</v>
      </c>
      <c r="B679" t="s">
        <v>1022</v>
      </c>
      <c r="C679" t="s">
        <v>960</v>
      </c>
      <c r="D679">
        <v>2.68</v>
      </c>
      <c r="E679">
        <v>18.399999999999999</v>
      </c>
      <c r="F679">
        <v>7.05</v>
      </c>
      <c r="G679">
        <v>0</v>
      </c>
    </row>
    <row r="680" spans="1:7" hidden="1">
      <c r="A680">
        <v>53</v>
      </c>
      <c r="B680" t="s">
        <v>1022</v>
      </c>
      <c r="C680" t="s">
        <v>961</v>
      </c>
      <c r="D680">
        <v>7.67</v>
      </c>
      <c r="E680">
        <v>20.059999999999999</v>
      </c>
      <c r="F680">
        <v>21.97</v>
      </c>
      <c r="G680">
        <v>0</v>
      </c>
    </row>
    <row r="681" spans="1:7" hidden="1">
      <c r="A681">
        <v>53</v>
      </c>
      <c r="B681" t="s">
        <v>1022</v>
      </c>
      <c r="C681" t="s">
        <v>962</v>
      </c>
      <c r="D681">
        <v>1.78</v>
      </c>
      <c r="E681">
        <v>24.72</v>
      </c>
      <c r="F681">
        <v>6.29</v>
      </c>
      <c r="G681">
        <v>0</v>
      </c>
    </row>
    <row r="682" spans="1:7" hidden="1">
      <c r="A682">
        <v>53</v>
      </c>
      <c r="B682" t="s">
        <v>1022</v>
      </c>
      <c r="C682" t="s">
        <v>963</v>
      </c>
      <c r="D682">
        <v>2.35</v>
      </c>
      <c r="E682">
        <v>18.13</v>
      </c>
      <c r="F682">
        <v>6.08</v>
      </c>
      <c r="G682">
        <v>0</v>
      </c>
    </row>
    <row r="683" spans="1:7" hidden="1">
      <c r="A683">
        <v>53</v>
      </c>
      <c r="B683" t="s">
        <v>1022</v>
      </c>
      <c r="C683" t="s">
        <v>964</v>
      </c>
      <c r="D683">
        <v>0.24</v>
      </c>
      <c r="E683">
        <v>21.87</v>
      </c>
      <c r="F683">
        <v>0.75</v>
      </c>
      <c r="G683">
        <v>0</v>
      </c>
    </row>
    <row r="684" spans="1:7" hidden="1">
      <c r="A684">
        <v>53</v>
      </c>
      <c r="B684" t="s">
        <v>1022</v>
      </c>
      <c r="C684" t="s">
        <v>965</v>
      </c>
      <c r="D684">
        <v>2.58</v>
      </c>
      <c r="E684">
        <v>24.75</v>
      </c>
      <c r="F684">
        <v>9.11</v>
      </c>
      <c r="G684">
        <v>0</v>
      </c>
    </row>
    <row r="685" spans="1:7">
      <c r="A685">
        <v>53</v>
      </c>
      <c r="B685" t="s">
        <v>1022</v>
      </c>
      <c r="C685" t="s">
        <v>24</v>
      </c>
      <c r="D685">
        <v>18.899999999999999</v>
      </c>
      <c r="E685">
        <v>20.54</v>
      </c>
      <c r="F685">
        <v>55.45</v>
      </c>
      <c r="G685">
        <v>0</v>
      </c>
    </row>
    <row r="686" spans="1:7" hidden="1">
      <c r="A686">
        <v>53</v>
      </c>
      <c r="B686" t="s">
        <v>1022</v>
      </c>
      <c r="C686" t="s">
        <v>966</v>
      </c>
      <c r="D686">
        <v>0</v>
      </c>
      <c r="E686">
        <v>18.05</v>
      </c>
      <c r="F686">
        <v>0</v>
      </c>
      <c r="G686">
        <v>0</v>
      </c>
    </row>
    <row r="687" spans="1:7" hidden="1">
      <c r="A687">
        <v>53</v>
      </c>
      <c r="B687" t="s">
        <v>1022</v>
      </c>
      <c r="C687" t="s">
        <v>967</v>
      </c>
      <c r="D687">
        <v>0.36</v>
      </c>
      <c r="E687">
        <v>17.91</v>
      </c>
      <c r="F687">
        <v>0.92</v>
      </c>
      <c r="G687">
        <v>0</v>
      </c>
    </row>
    <row r="688" spans="1:7" hidden="1">
      <c r="A688">
        <v>53</v>
      </c>
      <c r="B688" t="s">
        <v>1022</v>
      </c>
      <c r="C688" t="s">
        <v>968</v>
      </c>
      <c r="D688">
        <v>1.45</v>
      </c>
      <c r="E688">
        <v>18.09</v>
      </c>
      <c r="F688">
        <v>3.75</v>
      </c>
      <c r="G688">
        <v>0</v>
      </c>
    </row>
    <row r="689" spans="1:7" hidden="1">
      <c r="A689">
        <v>53</v>
      </c>
      <c r="B689" t="s">
        <v>1022</v>
      </c>
      <c r="C689" t="s">
        <v>969</v>
      </c>
      <c r="D689">
        <v>0.3</v>
      </c>
      <c r="E689">
        <v>24.75</v>
      </c>
      <c r="F689">
        <v>1.08</v>
      </c>
      <c r="G689">
        <v>0</v>
      </c>
    </row>
    <row r="690" spans="1:7" hidden="1">
      <c r="A690">
        <v>53</v>
      </c>
      <c r="B690" t="s">
        <v>1022</v>
      </c>
      <c r="C690" t="s">
        <v>970</v>
      </c>
      <c r="D690">
        <v>0.39</v>
      </c>
      <c r="E690">
        <v>24.75</v>
      </c>
      <c r="F690">
        <v>1.39</v>
      </c>
      <c r="G690">
        <v>0</v>
      </c>
    </row>
    <row r="691" spans="1:7" hidden="1">
      <c r="A691">
        <v>54</v>
      </c>
      <c r="B691" t="s">
        <v>1023</v>
      </c>
      <c r="C691" t="s">
        <v>959</v>
      </c>
      <c r="D691">
        <v>2.2200000000000002</v>
      </c>
      <c r="E691">
        <v>18.309999999999999</v>
      </c>
      <c r="F691">
        <v>5.8</v>
      </c>
      <c r="G691">
        <v>1.1299999999999999</v>
      </c>
    </row>
    <row r="692" spans="1:7" hidden="1">
      <c r="A692">
        <v>54</v>
      </c>
      <c r="B692" t="s">
        <v>1023</v>
      </c>
      <c r="C692" t="s">
        <v>960</v>
      </c>
      <c r="D692">
        <v>2.2400000000000002</v>
      </c>
      <c r="E692">
        <v>18.399999999999999</v>
      </c>
      <c r="F692">
        <v>5.88</v>
      </c>
      <c r="G692">
        <v>1.23</v>
      </c>
    </row>
    <row r="693" spans="1:7" hidden="1">
      <c r="A693">
        <v>54</v>
      </c>
      <c r="B693" t="s">
        <v>1023</v>
      </c>
      <c r="C693" t="s">
        <v>961</v>
      </c>
      <c r="D693">
        <v>4.8</v>
      </c>
      <c r="E693">
        <v>20.059999999999999</v>
      </c>
      <c r="F693">
        <v>13.77</v>
      </c>
      <c r="G693">
        <v>1.56</v>
      </c>
    </row>
    <row r="694" spans="1:7" hidden="1">
      <c r="A694">
        <v>54</v>
      </c>
      <c r="B694" t="s">
        <v>1023</v>
      </c>
      <c r="C694" t="s">
        <v>962</v>
      </c>
      <c r="D694">
        <v>0.83</v>
      </c>
      <c r="E694">
        <v>24.72</v>
      </c>
      <c r="F694">
        <v>2.92</v>
      </c>
      <c r="G694">
        <v>0.47</v>
      </c>
    </row>
    <row r="695" spans="1:7" hidden="1">
      <c r="A695">
        <v>54</v>
      </c>
      <c r="B695" t="s">
        <v>1023</v>
      </c>
      <c r="C695" t="s">
        <v>963</v>
      </c>
      <c r="D695">
        <v>2.78</v>
      </c>
      <c r="E695">
        <v>18.13</v>
      </c>
      <c r="F695">
        <v>7.21</v>
      </c>
      <c r="G695">
        <v>1.67</v>
      </c>
    </row>
    <row r="696" spans="1:7" hidden="1">
      <c r="A696">
        <v>54</v>
      </c>
      <c r="B696" t="s">
        <v>1023</v>
      </c>
      <c r="C696" t="s">
        <v>964</v>
      </c>
      <c r="D696">
        <v>0.15</v>
      </c>
      <c r="E696">
        <v>21.87</v>
      </c>
      <c r="F696">
        <v>0.47</v>
      </c>
      <c r="G696">
        <v>0.02</v>
      </c>
    </row>
    <row r="697" spans="1:7" hidden="1">
      <c r="A697">
        <v>54</v>
      </c>
      <c r="B697" t="s">
        <v>1023</v>
      </c>
      <c r="C697" t="s">
        <v>965</v>
      </c>
      <c r="D697">
        <v>3.16</v>
      </c>
      <c r="E697">
        <v>24.75</v>
      </c>
      <c r="F697">
        <v>11.18</v>
      </c>
      <c r="G697">
        <v>1.04</v>
      </c>
    </row>
    <row r="698" spans="1:7">
      <c r="A698">
        <v>54</v>
      </c>
      <c r="B698" t="s">
        <v>1023</v>
      </c>
      <c r="C698" t="s">
        <v>24</v>
      </c>
      <c r="D698">
        <v>16.18</v>
      </c>
      <c r="E698">
        <v>20.43</v>
      </c>
      <c r="F698">
        <v>47.23</v>
      </c>
      <c r="G698">
        <v>7.12</v>
      </c>
    </row>
    <row r="699" spans="1:7" hidden="1">
      <c r="A699">
        <v>54</v>
      </c>
      <c r="B699" t="s">
        <v>1023</v>
      </c>
      <c r="C699" t="s">
        <v>966</v>
      </c>
      <c r="D699">
        <v>6.84</v>
      </c>
      <c r="E699">
        <v>18.05</v>
      </c>
      <c r="F699">
        <v>17.649999999999999</v>
      </c>
      <c r="G699">
        <v>6.75</v>
      </c>
    </row>
    <row r="700" spans="1:7" hidden="1">
      <c r="A700">
        <v>54</v>
      </c>
      <c r="B700" t="s">
        <v>1023</v>
      </c>
      <c r="C700" t="s">
        <v>967</v>
      </c>
      <c r="D700">
        <v>0.3</v>
      </c>
      <c r="E700">
        <v>17.91</v>
      </c>
      <c r="F700">
        <v>0.76</v>
      </c>
      <c r="G700">
        <v>0.16</v>
      </c>
    </row>
    <row r="701" spans="1:7" hidden="1">
      <c r="A701">
        <v>54</v>
      </c>
      <c r="B701" t="s">
        <v>1023</v>
      </c>
      <c r="C701" t="s">
        <v>968</v>
      </c>
      <c r="D701">
        <v>0.54</v>
      </c>
      <c r="E701">
        <v>18.09</v>
      </c>
      <c r="F701">
        <v>1.39</v>
      </c>
      <c r="G701">
        <v>0.09</v>
      </c>
    </row>
    <row r="702" spans="1:7" hidden="1">
      <c r="A702">
        <v>54</v>
      </c>
      <c r="B702" t="s">
        <v>1023</v>
      </c>
      <c r="C702" t="s">
        <v>969</v>
      </c>
      <c r="D702">
        <v>0.88</v>
      </c>
      <c r="E702">
        <v>24.75</v>
      </c>
      <c r="F702">
        <v>3.12</v>
      </c>
      <c r="G702">
        <v>0.04</v>
      </c>
    </row>
    <row r="703" spans="1:7" hidden="1">
      <c r="A703">
        <v>54</v>
      </c>
      <c r="B703" t="s">
        <v>1023</v>
      </c>
      <c r="C703" t="s">
        <v>970</v>
      </c>
      <c r="D703">
        <v>0.23</v>
      </c>
      <c r="E703">
        <v>24.75</v>
      </c>
      <c r="F703">
        <v>0.81</v>
      </c>
      <c r="G703">
        <v>0.04</v>
      </c>
    </row>
    <row r="704" spans="1:7" hidden="1">
      <c r="A704">
        <v>55</v>
      </c>
      <c r="B704" t="s">
        <v>1024</v>
      </c>
      <c r="C704" t="s">
        <v>959</v>
      </c>
      <c r="D704">
        <v>1.76</v>
      </c>
      <c r="E704">
        <v>18.309999999999999</v>
      </c>
      <c r="F704">
        <v>4.5999999999999996</v>
      </c>
      <c r="G704">
        <v>0</v>
      </c>
    </row>
    <row r="705" spans="1:7" hidden="1">
      <c r="A705">
        <v>55</v>
      </c>
      <c r="B705" t="s">
        <v>1024</v>
      </c>
      <c r="C705" t="s">
        <v>960</v>
      </c>
      <c r="D705">
        <v>2.23</v>
      </c>
      <c r="E705">
        <v>18.399999999999999</v>
      </c>
      <c r="F705">
        <v>5.86</v>
      </c>
      <c r="G705">
        <v>0</v>
      </c>
    </row>
    <row r="706" spans="1:7" hidden="1">
      <c r="A706">
        <v>55</v>
      </c>
      <c r="B706" t="s">
        <v>1024</v>
      </c>
      <c r="C706" t="s">
        <v>961</v>
      </c>
      <c r="D706">
        <v>7.17</v>
      </c>
      <c r="E706">
        <v>20.059999999999999</v>
      </c>
      <c r="F706">
        <v>20.55</v>
      </c>
      <c r="G706">
        <v>0</v>
      </c>
    </row>
    <row r="707" spans="1:7" hidden="1">
      <c r="A707">
        <v>55</v>
      </c>
      <c r="B707" t="s">
        <v>1024</v>
      </c>
      <c r="C707" t="s">
        <v>962</v>
      </c>
      <c r="D707">
        <v>1.64</v>
      </c>
      <c r="E707">
        <v>24.72</v>
      </c>
      <c r="F707">
        <v>5.78</v>
      </c>
      <c r="G707">
        <v>0</v>
      </c>
    </row>
    <row r="708" spans="1:7" hidden="1">
      <c r="A708">
        <v>55</v>
      </c>
      <c r="B708" t="s">
        <v>1024</v>
      </c>
      <c r="C708" t="s">
        <v>963</v>
      </c>
      <c r="D708">
        <v>2.09</v>
      </c>
      <c r="E708">
        <v>18.13</v>
      </c>
      <c r="F708">
        <v>5.42</v>
      </c>
      <c r="G708">
        <v>0</v>
      </c>
    </row>
    <row r="709" spans="1:7" hidden="1">
      <c r="A709">
        <v>55</v>
      </c>
      <c r="B709" t="s">
        <v>1024</v>
      </c>
      <c r="C709" t="s">
        <v>964</v>
      </c>
      <c r="D709">
        <v>0.23</v>
      </c>
      <c r="E709">
        <v>21.87</v>
      </c>
      <c r="F709">
        <v>0.72</v>
      </c>
      <c r="G709">
        <v>0</v>
      </c>
    </row>
    <row r="710" spans="1:7" hidden="1">
      <c r="A710">
        <v>55</v>
      </c>
      <c r="B710" t="s">
        <v>1024</v>
      </c>
      <c r="C710" t="s">
        <v>965</v>
      </c>
      <c r="D710">
        <v>2.02</v>
      </c>
      <c r="E710">
        <v>24.75</v>
      </c>
      <c r="F710">
        <v>7.13</v>
      </c>
      <c r="G710">
        <v>0</v>
      </c>
    </row>
    <row r="711" spans="1:7">
      <c r="A711">
        <v>55</v>
      </c>
      <c r="B711" t="s">
        <v>1024</v>
      </c>
      <c r="C711" t="s">
        <v>24</v>
      </c>
      <c r="D711">
        <v>17.13</v>
      </c>
      <c r="E711">
        <v>20.45</v>
      </c>
      <c r="F711">
        <v>50.06</v>
      </c>
      <c r="G711">
        <v>0</v>
      </c>
    </row>
    <row r="712" spans="1:7" hidden="1">
      <c r="A712">
        <v>55</v>
      </c>
      <c r="B712" t="s">
        <v>1024</v>
      </c>
      <c r="C712" t="s">
        <v>966</v>
      </c>
      <c r="D712">
        <v>0</v>
      </c>
      <c r="E712">
        <v>18.05</v>
      </c>
      <c r="F712">
        <v>0</v>
      </c>
      <c r="G712">
        <v>0</v>
      </c>
    </row>
    <row r="713" spans="1:7" hidden="1">
      <c r="A713">
        <v>55</v>
      </c>
      <c r="B713" t="s">
        <v>1024</v>
      </c>
      <c r="C713" t="s">
        <v>967</v>
      </c>
      <c r="D713">
        <v>0.33</v>
      </c>
      <c r="E713">
        <v>17.91</v>
      </c>
      <c r="F713">
        <v>0.84</v>
      </c>
      <c r="G713">
        <v>0</v>
      </c>
    </row>
    <row r="714" spans="1:7" hidden="1">
      <c r="A714">
        <v>55</v>
      </c>
      <c r="B714" t="s">
        <v>1024</v>
      </c>
      <c r="C714" t="s">
        <v>968</v>
      </c>
      <c r="D714">
        <v>1.74</v>
      </c>
      <c r="E714">
        <v>18.09</v>
      </c>
      <c r="F714">
        <v>4.49</v>
      </c>
      <c r="G714">
        <v>0</v>
      </c>
    </row>
    <row r="715" spans="1:7" hidden="1">
      <c r="A715">
        <v>55</v>
      </c>
      <c r="B715" t="s">
        <v>1024</v>
      </c>
      <c r="C715" t="s">
        <v>969</v>
      </c>
      <c r="D715">
        <v>0.16</v>
      </c>
      <c r="E715">
        <v>24.75</v>
      </c>
      <c r="F715">
        <v>0.56000000000000005</v>
      </c>
      <c r="G715">
        <v>0</v>
      </c>
    </row>
    <row r="716" spans="1:7" hidden="1">
      <c r="A716">
        <v>55</v>
      </c>
      <c r="B716" t="s">
        <v>1024</v>
      </c>
      <c r="C716" t="s">
        <v>970</v>
      </c>
      <c r="D716">
        <v>0.51</v>
      </c>
      <c r="E716">
        <v>24.75</v>
      </c>
      <c r="F716">
        <v>1.79</v>
      </c>
      <c r="G716">
        <v>0</v>
      </c>
    </row>
    <row r="717" spans="1:7" hidden="1">
      <c r="A717">
        <v>56</v>
      </c>
      <c r="B717" t="s">
        <v>1025</v>
      </c>
      <c r="C717" t="s">
        <v>959</v>
      </c>
      <c r="D717">
        <v>1.8</v>
      </c>
      <c r="E717">
        <v>18.309999999999999</v>
      </c>
      <c r="F717">
        <v>4.71</v>
      </c>
      <c r="G717">
        <v>0</v>
      </c>
    </row>
    <row r="718" spans="1:7" hidden="1">
      <c r="A718">
        <v>56</v>
      </c>
      <c r="B718" t="s">
        <v>1025</v>
      </c>
      <c r="C718" t="s">
        <v>960</v>
      </c>
      <c r="D718">
        <v>2.16</v>
      </c>
      <c r="E718">
        <v>18.399999999999999</v>
      </c>
      <c r="F718">
        <v>5.67</v>
      </c>
      <c r="G718">
        <v>0</v>
      </c>
    </row>
    <row r="719" spans="1:7" hidden="1">
      <c r="A719">
        <v>56</v>
      </c>
      <c r="B719" t="s">
        <v>1025</v>
      </c>
      <c r="C719" t="s">
        <v>961</v>
      </c>
      <c r="D719">
        <v>7.46</v>
      </c>
      <c r="E719">
        <v>20.059999999999999</v>
      </c>
      <c r="F719">
        <v>21.37</v>
      </c>
      <c r="G719">
        <v>0</v>
      </c>
    </row>
    <row r="720" spans="1:7" hidden="1">
      <c r="A720">
        <v>56</v>
      </c>
      <c r="B720" t="s">
        <v>1025</v>
      </c>
      <c r="C720" t="s">
        <v>962</v>
      </c>
      <c r="D720">
        <v>1.7</v>
      </c>
      <c r="E720">
        <v>24.72</v>
      </c>
      <c r="F720">
        <v>6</v>
      </c>
      <c r="G720">
        <v>0</v>
      </c>
    </row>
    <row r="721" spans="1:7" hidden="1">
      <c r="A721">
        <v>56</v>
      </c>
      <c r="B721" t="s">
        <v>1025</v>
      </c>
      <c r="C721" t="s">
        <v>963</v>
      </c>
      <c r="D721">
        <v>2.08</v>
      </c>
      <c r="E721">
        <v>18.13</v>
      </c>
      <c r="F721">
        <v>5.4</v>
      </c>
      <c r="G721">
        <v>0</v>
      </c>
    </row>
    <row r="722" spans="1:7" hidden="1">
      <c r="A722">
        <v>56</v>
      </c>
      <c r="B722" t="s">
        <v>1025</v>
      </c>
      <c r="C722" t="s">
        <v>964</v>
      </c>
      <c r="D722">
        <v>0.24</v>
      </c>
      <c r="E722">
        <v>21.87</v>
      </c>
      <c r="F722">
        <v>0.74</v>
      </c>
      <c r="G722">
        <v>0</v>
      </c>
    </row>
    <row r="723" spans="1:7" hidden="1">
      <c r="A723">
        <v>56</v>
      </c>
      <c r="B723" t="s">
        <v>1025</v>
      </c>
      <c r="C723" t="s">
        <v>965</v>
      </c>
      <c r="D723">
        <v>2.09</v>
      </c>
      <c r="E723">
        <v>24.75</v>
      </c>
      <c r="F723">
        <v>7.37</v>
      </c>
      <c r="G723">
        <v>0</v>
      </c>
    </row>
    <row r="724" spans="1:7">
      <c r="A724">
        <v>56</v>
      </c>
      <c r="B724" t="s">
        <v>1025</v>
      </c>
      <c r="C724" t="s">
        <v>24</v>
      </c>
      <c r="D724">
        <v>17.52</v>
      </c>
      <c r="E724">
        <v>20.48</v>
      </c>
      <c r="F724">
        <v>51.25</v>
      </c>
      <c r="G724">
        <v>0</v>
      </c>
    </row>
    <row r="725" spans="1:7" hidden="1">
      <c r="A725">
        <v>56</v>
      </c>
      <c r="B725" t="s">
        <v>1025</v>
      </c>
      <c r="C725" t="s">
        <v>966</v>
      </c>
      <c r="D725">
        <v>0</v>
      </c>
      <c r="E725">
        <v>18.05</v>
      </c>
      <c r="F725">
        <v>0</v>
      </c>
      <c r="G725">
        <v>0</v>
      </c>
    </row>
    <row r="726" spans="1:7" hidden="1">
      <c r="A726">
        <v>56</v>
      </c>
      <c r="B726" t="s">
        <v>1025</v>
      </c>
      <c r="C726" t="s">
        <v>967</v>
      </c>
      <c r="D726">
        <v>0.35</v>
      </c>
      <c r="E726">
        <v>17.91</v>
      </c>
      <c r="F726">
        <v>0.89</v>
      </c>
      <c r="G726">
        <v>0</v>
      </c>
    </row>
    <row r="727" spans="1:7" hidden="1">
      <c r="A727">
        <v>56</v>
      </c>
      <c r="B727" t="s">
        <v>1025</v>
      </c>
      <c r="C727" t="s">
        <v>968</v>
      </c>
      <c r="D727">
        <v>1.74</v>
      </c>
      <c r="E727">
        <v>18.09</v>
      </c>
      <c r="F727">
        <v>4.51</v>
      </c>
      <c r="G727">
        <v>0</v>
      </c>
    </row>
    <row r="728" spans="1:7" hidden="1">
      <c r="A728">
        <v>56</v>
      </c>
      <c r="B728" t="s">
        <v>1025</v>
      </c>
      <c r="C728" t="s">
        <v>969</v>
      </c>
      <c r="D728">
        <v>0.15</v>
      </c>
      <c r="E728">
        <v>24.75</v>
      </c>
      <c r="F728">
        <v>0.52</v>
      </c>
      <c r="G728">
        <v>0</v>
      </c>
    </row>
    <row r="729" spans="1:7" hidden="1">
      <c r="A729">
        <v>56</v>
      </c>
      <c r="B729" t="s">
        <v>1025</v>
      </c>
      <c r="C729" t="s">
        <v>970</v>
      </c>
      <c r="D729">
        <v>0.49</v>
      </c>
      <c r="E729">
        <v>24.75</v>
      </c>
      <c r="F729">
        <v>1.72</v>
      </c>
      <c r="G729">
        <v>0</v>
      </c>
    </row>
    <row r="730" spans="1:7" hidden="1">
      <c r="A730">
        <v>57</v>
      </c>
      <c r="B730" t="s">
        <v>1026</v>
      </c>
      <c r="C730" t="s">
        <v>959</v>
      </c>
      <c r="D730">
        <v>1.89</v>
      </c>
      <c r="E730">
        <v>18.309999999999999</v>
      </c>
      <c r="F730">
        <v>4.95</v>
      </c>
      <c r="G730">
        <v>0.01</v>
      </c>
    </row>
    <row r="731" spans="1:7" hidden="1">
      <c r="A731">
        <v>57</v>
      </c>
      <c r="B731" t="s">
        <v>1026</v>
      </c>
      <c r="C731" t="s">
        <v>960</v>
      </c>
      <c r="D731">
        <v>2.33</v>
      </c>
      <c r="E731">
        <v>18.399999999999999</v>
      </c>
      <c r="F731">
        <v>6.11</v>
      </c>
      <c r="G731">
        <v>0.05</v>
      </c>
    </row>
    <row r="732" spans="1:7" hidden="1">
      <c r="A732">
        <v>57</v>
      </c>
      <c r="B732" t="s">
        <v>1026</v>
      </c>
      <c r="C732" t="s">
        <v>961</v>
      </c>
      <c r="D732">
        <v>7.44</v>
      </c>
      <c r="E732">
        <v>20.059999999999999</v>
      </c>
      <c r="F732">
        <v>21.33</v>
      </c>
      <c r="G732">
        <v>0.02</v>
      </c>
    </row>
    <row r="733" spans="1:7" hidden="1">
      <c r="A733">
        <v>57</v>
      </c>
      <c r="B733" t="s">
        <v>1026</v>
      </c>
      <c r="C733" t="s">
        <v>962</v>
      </c>
      <c r="D733">
        <v>1.62</v>
      </c>
      <c r="E733">
        <v>24.72</v>
      </c>
      <c r="F733">
        <v>5.73</v>
      </c>
      <c r="G733">
        <v>0</v>
      </c>
    </row>
    <row r="734" spans="1:7" hidden="1">
      <c r="A734">
        <v>57</v>
      </c>
      <c r="B734" t="s">
        <v>1026</v>
      </c>
      <c r="C734" t="s">
        <v>963</v>
      </c>
      <c r="D734">
        <v>2.2000000000000002</v>
      </c>
      <c r="E734">
        <v>18.13</v>
      </c>
      <c r="F734">
        <v>5.69</v>
      </c>
      <c r="G734">
        <v>0</v>
      </c>
    </row>
    <row r="735" spans="1:7" hidden="1">
      <c r="A735">
        <v>57</v>
      </c>
      <c r="B735" t="s">
        <v>1026</v>
      </c>
      <c r="C735" t="s">
        <v>964</v>
      </c>
      <c r="D735">
        <v>0.22</v>
      </c>
      <c r="E735">
        <v>21.87</v>
      </c>
      <c r="F735">
        <v>0.69</v>
      </c>
      <c r="G735">
        <v>0</v>
      </c>
    </row>
    <row r="736" spans="1:7" hidden="1">
      <c r="A736">
        <v>57</v>
      </c>
      <c r="B736" t="s">
        <v>1026</v>
      </c>
      <c r="C736" t="s">
        <v>965</v>
      </c>
      <c r="D736">
        <v>2.0699999999999998</v>
      </c>
      <c r="E736">
        <v>24.75</v>
      </c>
      <c r="F736">
        <v>7.33</v>
      </c>
      <c r="G736">
        <v>0</v>
      </c>
    </row>
    <row r="737" spans="1:7">
      <c r="A737">
        <v>57</v>
      </c>
      <c r="B737" t="s">
        <v>1026</v>
      </c>
      <c r="C737" t="s">
        <v>24</v>
      </c>
      <c r="D737">
        <v>17.77</v>
      </c>
      <c r="E737">
        <v>20.41</v>
      </c>
      <c r="F737">
        <v>51.83</v>
      </c>
      <c r="G737">
        <v>0.08</v>
      </c>
    </row>
    <row r="738" spans="1:7" hidden="1">
      <c r="A738">
        <v>57</v>
      </c>
      <c r="B738" t="s">
        <v>1026</v>
      </c>
      <c r="C738" t="s">
        <v>966</v>
      </c>
      <c r="D738">
        <v>0.15</v>
      </c>
      <c r="E738">
        <v>18.05</v>
      </c>
      <c r="F738">
        <v>0.39</v>
      </c>
      <c r="G738">
        <v>0.15</v>
      </c>
    </row>
    <row r="739" spans="1:7" hidden="1">
      <c r="A739">
        <v>57</v>
      </c>
      <c r="B739" t="s">
        <v>1026</v>
      </c>
      <c r="C739" t="s">
        <v>967</v>
      </c>
      <c r="D739">
        <v>0.32</v>
      </c>
      <c r="E739">
        <v>17.91</v>
      </c>
      <c r="F739">
        <v>0.81</v>
      </c>
      <c r="G739">
        <v>0</v>
      </c>
    </row>
    <row r="740" spans="1:7" hidden="1">
      <c r="A740">
        <v>57</v>
      </c>
      <c r="B740" t="s">
        <v>1026</v>
      </c>
      <c r="C740" t="s">
        <v>968</v>
      </c>
      <c r="D740">
        <v>1.74</v>
      </c>
      <c r="E740">
        <v>18.09</v>
      </c>
      <c r="F740">
        <v>4.49</v>
      </c>
      <c r="G740">
        <v>0</v>
      </c>
    </row>
    <row r="741" spans="1:7" hidden="1">
      <c r="A741">
        <v>57</v>
      </c>
      <c r="B741" t="s">
        <v>1026</v>
      </c>
      <c r="C741" t="s">
        <v>969</v>
      </c>
      <c r="D741">
        <v>0.16</v>
      </c>
      <c r="E741">
        <v>24.75</v>
      </c>
      <c r="F741">
        <v>0.56000000000000005</v>
      </c>
      <c r="G741">
        <v>0</v>
      </c>
    </row>
    <row r="742" spans="1:7" hidden="1">
      <c r="A742">
        <v>57</v>
      </c>
      <c r="B742" t="s">
        <v>1026</v>
      </c>
      <c r="C742" t="s">
        <v>970</v>
      </c>
      <c r="D742">
        <v>0.53</v>
      </c>
      <c r="E742">
        <v>24.75</v>
      </c>
      <c r="F742">
        <v>1.87</v>
      </c>
      <c r="G742">
        <v>0</v>
      </c>
    </row>
    <row r="743" spans="1:7" hidden="1">
      <c r="A743">
        <v>58</v>
      </c>
      <c r="B743" t="s">
        <v>1027</v>
      </c>
      <c r="C743" t="s">
        <v>959</v>
      </c>
      <c r="D743">
        <v>1.9</v>
      </c>
      <c r="E743">
        <v>18.309999999999999</v>
      </c>
      <c r="F743">
        <v>4.9800000000000004</v>
      </c>
      <c r="G743">
        <v>0</v>
      </c>
    </row>
    <row r="744" spans="1:7" hidden="1">
      <c r="A744">
        <v>58</v>
      </c>
      <c r="B744" t="s">
        <v>1027</v>
      </c>
      <c r="C744" t="s">
        <v>960</v>
      </c>
      <c r="D744">
        <v>2.1800000000000002</v>
      </c>
      <c r="E744">
        <v>18.399999999999999</v>
      </c>
      <c r="F744">
        <v>5.73</v>
      </c>
      <c r="G744">
        <v>0</v>
      </c>
    </row>
    <row r="745" spans="1:7" hidden="1">
      <c r="A745">
        <v>58</v>
      </c>
      <c r="B745" t="s">
        <v>1027</v>
      </c>
      <c r="C745" t="s">
        <v>961</v>
      </c>
      <c r="D745">
        <v>7.81</v>
      </c>
      <c r="E745">
        <v>20.059999999999999</v>
      </c>
      <c r="F745">
        <v>22.38</v>
      </c>
      <c r="G745">
        <v>0</v>
      </c>
    </row>
    <row r="746" spans="1:7" hidden="1">
      <c r="A746">
        <v>58</v>
      </c>
      <c r="B746" t="s">
        <v>1027</v>
      </c>
      <c r="C746" t="s">
        <v>962</v>
      </c>
      <c r="D746">
        <v>1.65</v>
      </c>
      <c r="E746">
        <v>24.72</v>
      </c>
      <c r="F746">
        <v>5.84</v>
      </c>
      <c r="G746">
        <v>0</v>
      </c>
    </row>
    <row r="747" spans="1:7" hidden="1">
      <c r="A747">
        <v>58</v>
      </c>
      <c r="B747" t="s">
        <v>1027</v>
      </c>
      <c r="C747" t="s">
        <v>963</v>
      </c>
      <c r="D747">
        <v>2.17</v>
      </c>
      <c r="E747">
        <v>18.13</v>
      </c>
      <c r="F747">
        <v>5.62</v>
      </c>
      <c r="G747">
        <v>0</v>
      </c>
    </row>
    <row r="748" spans="1:7" hidden="1">
      <c r="A748">
        <v>58</v>
      </c>
      <c r="B748" t="s">
        <v>1027</v>
      </c>
      <c r="C748" t="s">
        <v>964</v>
      </c>
      <c r="D748">
        <v>0.24</v>
      </c>
      <c r="E748">
        <v>21.87</v>
      </c>
      <c r="F748">
        <v>0.76</v>
      </c>
      <c r="G748">
        <v>0</v>
      </c>
    </row>
    <row r="749" spans="1:7" hidden="1">
      <c r="A749">
        <v>58</v>
      </c>
      <c r="B749" t="s">
        <v>1027</v>
      </c>
      <c r="C749" t="s">
        <v>965</v>
      </c>
      <c r="D749">
        <v>2.16</v>
      </c>
      <c r="E749">
        <v>24.75</v>
      </c>
      <c r="F749">
        <v>7.64</v>
      </c>
      <c r="G749">
        <v>0</v>
      </c>
    </row>
    <row r="750" spans="1:7">
      <c r="A750">
        <v>58</v>
      </c>
      <c r="B750" t="s">
        <v>1027</v>
      </c>
      <c r="C750" t="s">
        <v>24</v>
      </c>
      <c r="D750">
        <v>18.12</v>
      </c>
      <c r="E750">
        <v>20.45</v>
      </c>
      <c r="F750">
        <v>52.95</v>
      </c>
      <c r="G750">
        <v>0</v>
      </c>
    </row>
    <row r="751" spans="1:7" hidden="1">
      <c r="A751">
        <v>58</v>
      </c>
      <c r="B751" t="s">
        <v>1027</v>
      </c>
      <c r="C751" t="s">
        <v>966</v>
      </c>
      <c r="D751">
        <v>0</v>
      </c>
      <c r="E751">
        <v>18.05</v>
      </c>
      <c r="F751">
        <v>0</v>
      </c>
      <c r="G751">
        <v>0</v>
      </c>
    </row>
    <row r="752" spans="1:7" hidden="1">
      <c r="A752">
        <v>58</v>
      </c>
      <c r="B752" t="s">
        <v>1027</v>
      </c>
      <c r="C752" t="s">
        <v>967</v>
      </c>
      <c r="D752">
        <v>0.32</v>
      </c>
      <c r="E752">
        <v>17.91</v>
      </c>
      <c r="F752">
        <v>0.83</v>
      </c>
      <c r="G752">
        <v>0</v>
      </c>
    </row>
    <row r="753" spans="1:7" hidden="1">
      <c r="A753">
        <v>58</v>
      </c>
      <c r="B753" t="s">
        <v>1027</v>
      </c>
      <c r="C753" t="s">
        <v>968</v>
      </c>
      <c r="D753">
        <v>1.8</v>
      </c>
      <c r="E753">
        <v>18.09</v>
      </c>
      <c r="F753">
        <v>4.6399999999999997</v>
      </c>
      <c r="G753">
        <v>0</v>
      </c>
    </row>
    <row r="754" spans="1:7" hidden="1">
      <c r="A754">
        <v>58</v>
      </c>
      <c r="B754" t="s">
        <v>1027</v>
      </c>
      <c r="C754" t="s">
        <v>969</v>
      </c>
      <c r="D754">
        <v>0.14000000000000001</v>
      </c>
      <c r="E754">
        <v>24.75</v>
      </c>
      <c r="F754">
        <v>0.49</v>
      </c>
      <c r="G754">
        <v>0</v>
      </c>
    </row>
    <row r="755" spans="1:7" hidden="1">
      <c r="A755">
        <v>58</v>
      </c>
      <c r="B755" t="s">
        <v>1027</v>
      </c>
      <c r="C755" t="s">
        <v>970</v>
      </c>
      <c r="D755">
        <v>0.49</v>
      </c>
      <c r="E755">
        <v>24.75</v>
      </c>
      <c r="F755">
        <v>1.73</v>
      </c>
      <c r="G755">
        <v>0</v>
      </c>
    </row>
    <row r="756" spans="1:7" hidden="1">
      <c r="A756">
        <v>59</v>
      </c>
      <c r="B756" t="s">
        <v>1028</v>
      </c>
      <c r="C756" t="s">
        <v>959</v>
      </c>
      <c r="D756">
        <v>3.43</v>
      </c>
      <c r="E756">
        <v>18.309999999999999</v>
      </c>
      <c r="F756">
        <v>8.9700000000000006</v>
      </c>
      <c r="G756">
        <v>1.59</v>
      </c>
    </row>
    <row r="757" spans="1:7" hidden="1">
      <c r="A757">
        <v>59</v>
      </c>
      <c r="B757" t="s">
        <v>1028</v>
      </c>
      <c r="C757" t="s">
        <v>960</v>
      </c>
      <c r="D757">
        <v>3.79</v>
      </c>
      <c r="E757">
        <v>18.399999999999999</v>
      </c>
      <c r="F757">
        <v>9.9499999999999993</v>
      </c>
      <c r="G757">
        <v>2.81</v>
      </c>
    </row>
    <row r="758" spans="1:7" hidden="1">
      <c r="A758">
        <v>59</v>
      </c>
      <c r="B758" t="s">
        <v>1028</v>
      </c>
      <c r="C758" t="s">
        <v>961</v>
      </c>
      <c r="D758">
        <v>5.3</v>
      </c>
      <c r="E758">
        <v>20.059999999999999</v>
      </c>
      <c r="F758">
        <v>15.18</v>
      </c>
      <c r="G758">
        <v>2.2999999999999998</v>
      </c>
    </row>
    <row r="759" spans="1:7" hidden="1">
      <c r="A759">
        <v>59</v>
      </c>
      <c r="B759" t="s">
        <v>1028</v>
      </c>
      <c r="C759" t="s">
        <v>962</v>
      </c>
      <c r="D759">
        <v>0.84</v>
      </c>
      <c r="E759">
        <v>24.72</v>
      </c>
      <c r="F759">
        <v>2.96</v>
      </c>
      <c r="G759">
        <v>0.38</v>
      </c>
    </row>
    <row r="760" spans="1:7" hidden="1">
      <c r="A760">
        <v>59</v>
      </c>
      <c r="B760" t="s">
        <v>1028</v>
      </c>
      <c r="C760" t="s">
        <v>963</v>
      </c>
      <c r="D760">
        <v>2.62</v>
      </c>
      <c r="E760">
        <v>18.13</v>
      </c>
      <c r="F760">
        <v>6.79</v>
      </c>
      <c r="G760">
        <v>1.5</v>
      </c>
    </row>
    <row r="761" spans="1:7" hidden="1">
      <c r="A761">
        <v>59</v>
      </c>
      <c r="B761" t="s">
        <v>1028</v>
      </c>
      <c r="C761" t="s">
        <v>964</v>
      </c>
      <c r="D761">
        <v>0.28000000000000003</v>
      </c>
      <c r="E761">
        <v>21.87</v>
      </c>
      <c r="F761">
        <v>0.88</v>
      </c>
      <c r="G761">
        <v>0.01</v>
      </c>
    </row>
    <row r="762" spans="1:7" hidden="1">
      <c r="A762">
        <v>59</v>
      </c>
      <c r="B762" t="s">
        <v>1028</v>
      </c>
      <c r="C762" t="s">
        <v>965</v>
      </c>
      <c r="D762">
        <v>2.06</v>
      </c>
      <c r="E762">
        <v>24.75</v>
      </c>
      <c r="F762">
        <v>7.28</v>
      </c>
      <c r="G762">
        <v>0.89</v>
      </c>
    </row>
    <row r="763" spans="1:7">
      <c r="A763">
        <v>59</v>
      </c>
      <c r="B763" t="s">
        <v>1028</v>
      </c>
      <c r="C763" t="s">
        <v>24</v>
      </c>
      <c r="D763">
        <v>18.309999999999999</v>
      </c>
      <c r="E763">
        <v>19.88</v>
      </c>
      <c r="F763">
        <v>52</v>
      </c>
      <c r="G763">
        <v>9.48</v>
      </c>
    </row>
    <row r="764" spans="1:7" hidden="1">
      <c r="A764">
        <v>59</v>
      </c>
      <c r="B764" t="s">
        <v>1028</v>
      </c>
      <c r="C764" t="s">
        <v>966</v>
      </c>
      <c r="D764">
        <v>10.77</v>
      </c>
      <c r="E764">
        <v>18.05</v>
      </c>
      <c r="F764">
        <v>27.79</v>
      </c>
      <c r="G764">
        <v>10.29</v>
      </c>
    </row>
    <row r="765" spans="1:7" hidden="1">
      <c r="A765">
        <v>59</v>
      </c>
      <c r="B765" t="s">
        <v>1028</v>
      </c>
      <c r="C765" t="s">
        <v>967</v>
      </c>
      <c r="D765">
        <v>0.15</v>
      </c>
      <c r="E765">
        <v>17.91</v>
      </c>
      <c r="F765">
        <v>0.39</v>
      </c>
      <c r="G765">
        <v>0.06</v>
      </c>
    </row>
    <row r="766" spans="1:7" hidden="1">
      <c r="A766">
        <v>59</v>
      </c>
      <c r="B766" t="s">
        <v>1028</v>
      </c>
      <c r="C766" t="s">
        <v>968</v>
      </c>
      <c r="D766">
        <v>0.96</v>
      </c>
      <c r="E766">
        <v>18.09</v>
      </c>
      <c r="F766">
        <v>2.48</v>
      </c>
      <c r="G766">
        <v>0.22</v>
      </c>
    </row>
    <row r="767" spans="1:7" hidden="1">
      <c r="A767">
        <v>59</v>
      </c>
      <c r="B767" t="s">
        <v>1028</v>
      </c>
      <c r="C767" t="s">
        <v>969</v>
      </c>
      <c r="D767">
        <v>1.23</v>
      </c>
      <c r="E767">
        <v>24.75</v>
      </c>
      <c r="F767">
        <v>4.3600000000000003</v>
      </c>
      <c r="G767">
        <v>0.12</v>
      </c>
    </row>
    <row r="768" spans="1:7" hidden="1">
      <c r="A768">
        <v>59</v>
      </c>
      <c r="B768" t="s">
        <v>1028</v>
      </c>
      <c r="C768" t="s">
        <v>970</v>
      </c>
      <c r="D768">
        <v>0.35</v>
      </c>
      <c r="E768">
        <v>24.75</v>
      </c>
      <c r="F768">
        <v>1.24</v>
      </c>
      <c r="G768">
        <v>0.19</v>
      </c>
    </row>
    <row r="769" spans="1:7" hidden="1">
      <c r="A769">
        <v>60</v>
      </c>
      <c r="B769" t="s">
        <v>1029</v>
      </c>
      <c r="C769" t="s">
        <v>959</v>
      </c>
      <c r="D769">
        <v>4.1500000000000004</v>
      </c>
      <c r="E769">
        <v>18.309999999999999</v>
      </c>
      <c r="F769">
        <v>10.86</v>
      </c>
      <c r="G769">
        <v>1.98</v>
      </c>
    </row>
    <row r="770" spans="1:7" hidden="1">
      <c r="A770">
        <v>60</v>
      </c>
      <c r="B770" t="s">
        <v>1029</v>
      </c>
      <c r="C770" t="s">
        <v>960</v>
      </c>
      <c r="D770">
        <v>3.63</v>
      </c>
      <c r="E770">
        <v>18.399999999999999</v>
      </c>
      <c r="F770">
        <v>9.5399999999999991</v>
      </c>
      <c r="G770">
        <v>2.3199999999999998</v>
      </c>
    </row>
    <row r="771" spans="1:7" hidden="1">
      <c r="A771">
        <v>60</v>
      </c>
      <c r="B771" t="s">
        <v>1029</v>
      </c>
      <c r="C771" t="s">
        <v>961</v>
      </c>
      <c r="D771">
        <v>8.0299999999999994</v>
      </c>
      <c r="E771">
        <v>20.059999999999999</v>
      </c>
      <c r="F771">
        <v>23.01</v>
      </c>
      <c r="G771">
        <v>2.68</v>
      </c>
    </row>
    <row r="772" spans="1:7" hidden="1">
      <c r="A772">
        <v>60</v>
      </c>
      <c r="B772" t="s">
        <v>1029</v>
      </c>
      <c r="C772" t="s">
        <v>962</v>
      </c>
      <c r="D772">
        <v>0.72</v>
      </c>
      <c r="E772">
        <v>24.72</v>
      </c>
      <c r="F772">
        <v>2.5299999999999998</v>
      </c>
      <c r="G772">
        <v>0.25</v>
      </c>
    </row>
    <row r="773" spans="1:7" hidden="1">
      <c r="A773">
        <v>60</v>
      </c>
      <c r="B773" t="s">
        <v>1029</v>
      </c>
      <c r="C773" t="s">
        <v>963</v>
      </c>
      <c r="D773">
        <v>2.87</v>
      </c>
      <c r="E773">
        <v>18.13</v>
      </c>
      <c r="F773">
        <v>7.42</v>
      </c>
      <c r="G773">
        <v>1.02</v>
      </c>
    </row>
    <row r="774" spans="1:7" hidden="1">
      <c r="A774">
        <v>60</v>
      </c>
      <c r="B774" t="s">
        <v>1029</v>
      </c>
      <c r="C774" t="s">
        <v>964</v>
      </c>
      <c r="D774">
        <v>0.06</v>
      </c>
      <c r="E774">
        <v>21.87</v>
      </c>
      <c r="F774">
        <v>0.19</v>
      </c>
      <c r="G774">
        <v>0</v>
      </c>
    </row>
    <row r="775" spans="1:7" hidden="1">
      <c r="A775">
        <v>60</v>
      </c>
      <c r="B775" t="s">
        <v>1029</v>
      </c>
      <c r="C775" t="s">
        <v>965</v>
      </c>
      <c r="D775">
        <v>2.38</v>
      </c>
      <c r="E775">
        <v>24.75</v>
      </c>
      <c r="F775">
        <v>8.41</v>
      </c>
      <c r="G775">
        <v>0.79</v>
      </c>
    </row>
    <row r="776" spans="1:7">
      <c r="A776">
        <v>60</v>
      </c>
      <c r="B776" t="s">
        <v>1029</v>
      </c>
      <c r="C776" t="s">
        <v>24</v>
      </c>
      <c r="D776">
        <v>21.83</v>
      </c>
      <c r="E776">
        <v>19.87</v>
      </c>
      <c r="F776">
        <v>61.96</v>
      </c>
      <c r="G776">
        <v>9.0399999999999991</v>
      </c>
    </row>
    <row r="777" spans="1:7" hidden="1">
      <c r="A777">
        <v>60</v>
      </c>
      <c r="B777" t="s">
        <v>1029</v>
      </c>
      <c r="C777" t="s">
        <v>966</v>
      </c>
      <c r="D777">
        <v>5.0199999999999996</v>
      </c>
      <c r="E777">
        <v>18.05</v>
      </c>
      <c r="F777">
        <v>12.94</v>
      </c>
      <c r="G777">
        <v>4.6399999999999997</v>
      </c>
    </row>
    <row r="778" spans="1:7" hidden="1">
      <c r="A778">
        <v>60</v>
      </c>
      <c r="B778" t="s">
        <v>1029</v>
      </c>
      <c r="C778" t="s">
        <v>967</v>
      </c>
      <c r="D778">
        <v>0.34</v>
      </c>
      <c r="E778">
        <v>17.91</v>
      </c>
      <c r="F778">
        <v>0.88</v>
      </c>
      <c r="G778">
        <v>0.02</v>
      </c>
    </row>
    <row r="779" spans="1:7" hidden="1">
      <c r="A779">
        <v>60</v>
      </c>
      <c r="B779" t="s">
        <v>1029</v>
      </c>
      <c r="C779" t="s">
        <v>968</v>
      </c>
      <c r="D779">
        <v>1.21</v>
      </c>
      <c r="E779">
        <v>18.09</v>
      </c>
      <c r="F779">
        <v>3.11</v>
      </c>
      <c r="G779">
        <v>0.06</v>
      </c>
    </row>
    <row r="780" spans="1:7" hidden="1">
      <c r="A780">
        <v>60</v>
      </c>
      <c r="B780" t="s">
        <v>1029</v>
      </c>
      <c r="C780" t="s">
        <v>969</v>
      </c>
      <c r="D780">
        <v>1.29</v>
      </c>
      <c r="E780">
        <v>24.75</v>
      </c>
      <c r="F780">
        <v>4.57</v>
      </c>
      <c r="G780">
        <v>0.02</v>
      </c>
    </row>
    <row r="781" spans="1:7" hidden="1">
      <c r="A781">
        <v>60</v>
      </c>
      <c r="B781" t="s">
        <v>1029</v>
      </c>
      <c r="C781" t="s">
        <v>970</v>
      </c>
      <c r="D781">
        <v>0.24</v>
      </c>
      <c r="E781">
        <v>24.75</v>
      </c>
      <c r="F781">
        <v>0.84</v>
      </c>
      <c r="G781">
        <v>0.05</v>
      </c>
    </row>
    <row r="782" spans="1:7" hidden="1">
      <c r="A782">
        <v>61</v>
      </c>
      <c r="B782" t="s">
        <v>1030</v>
      </c>
      <c r="C782" t="s">
        <v>959</v>
      </c>
      <c r="D782">
        <v>3.7</v>
      </c>
      <c r="E782">
        <v>18.309999999999999</v>
      </c>
      <c r="F782">
        <v>9.67</v>
      </c>
      <c r="G782">
        <v>1.66</v>
      </c>
    </row>
    <row r="783" spans="1:7" hidden="1">
      <c r="A783">
        <v>61</v>
      </c>
      <c r="B783" t="s">
        <v>1030</v>
      </c>
      <c r="C783" t="s">
        <v>960</v>
      </c>
      <c r="D783">
        <v>3.54</v>
      </c>
      <c r="E783">
        <v>18.399999999999999</v>
      </c>
      <c r="F783">
        <v>9.3000000000000007</v>
      </c>
      <c r="G783">
        <v>1.9</v>
      </c>
    </row>
    <row r="784" spans="1:7" hidden="1">
      <c r="A784">
        <v>61</v>
      </c>
      <c r="B784" t="s">
        <v>1030</v>
      </c>
      <c r="C784" t="s">
        <v>961</v>
      </c>
      <c r="D784">
        <v>6.09</v>
      </c>
      <c r="E784">
        <v>20.059999999999999</v>
      </c>
      <c r="F784">
        <v>17.440000000000001</v>
      </c>
      <c r="G784">
        <v>1.82</v>
      </c>
    </row>
    <row r="785" spans="1:7" hidden="1">
      <c r="A785">
        <v>61</v>
      </c>
      <c r="B785" t="s">
        <v>1030</v>
      </c>
      <c r="C785" t="s">
        <v>962</v>
      </c>
      <c r="D785">
        <v>0.83</v>
      </c>
      <c r="E785">
        <v>24.72</v>
      </c>
      <c r="F785">
        <v>2.91</v>
      </c>
      <c r="G785">
        <v>0.4</v>
      </c>
    </row>
    <row r="786" spans="1:7" hidden="1">
      <c r="A786">
        <v>61</v>
      </c>
      <c r="B786" t="s">
        <v>1030</v>
      </c>
      <c r="C786" t="s">
        <v>963</v>
      </c>
      <c r="D786">
        <v>3.38</v>
      </c>
      <c r="E786">
        <v>18.13</v>
      </c>
      <c r="F786">
        <v>8.76</v>
      </c>
      <c r="G786">
        <v>1.1499999999999999</v>
      </c>
    </row>
    <row r="787" spans="1:7" hidden="1">
      <c r="A787">
        <v>61</v>
      </c>
      <c r="B787" t="s">
        <v>1030</v>
      </c>
      <c r="C787" t="s">
        <v>964</v>
      </c>
      <c r="D787">
        <v>0.17</v>
      </c>
      <c r="E787">
        <v>21.87</v>
      </c>
      <c r="F787">
        <v>0.53</v>
      </c>
      <c r="G787">
        <v>0</v>
      </c>
    </row>
    <row r="788" spans="1:7" hidden="1">
      <c r="A788">
        <v>61</v>
      </c>
      <c r="B788" t="s">
        <v>1030</v>
      </c>
      <c r="C788" t="s">
        <v>965</v>
      </c>
      <c r="D788">
        <v>2.09</v>
      </c>
      <c r="E788">
        <v>24.75</v>
      </c>
      <c r="F788">
        <v>7.4</v>
      </c>
      <c r="G788">
        <v>0.7</v>
      </c>
    </row>
    <row r="789" spans="1:7">
      <c r="A789">
        <v>61</v>
      </c>
      <c r="B789" t="s">
        <v>1030</v>
      </c>
      <c r="C789" t="s">
        <v>24</v>
      </c>
      <c r="D789">
        <v>19.79</v>
      </c>
      <c r="E789">
        <v>19.809999999999999</v>
      </c>
      <c r="F789">
        <v>56.01</v>
      </c>
      <c r="G789">
        <v>7.63</v>
      </c>
    </row>
    <row r="790" spans="1:7" hidden="1">
      <c r="A790">
        <v>61</v>
      </c>
      <c r="B790" t="s">
        <v>1030</v>
      </c>
      <c r="C790" t="s">
        <v>966</v>
      </c>
      <c r="D790">
        <v>7.72</v>
      </c>
      <c r="E790">
        <v>18.05</v>
      </c>
      <c r="F790">
        <v>19.91</v>
      </c>
      <c r="G790">
        <v>7.37</v>
      </c>
    </row>
    <row r="791" spans="1:7" hidden="1">
      <c r="A791">
        <v>61</v>
      </c>
      <c r="B791" t="s">
        <v>1030</v>
      </c>
      <c r="C791" t="s">
        <v>967</v>
      </c>
      <c r="D791">
        <v>0.28000000000000003</v>
      </c>
      <c r="E791">
        <v>17.91</v>
      </c>
      <c r="F791">
        <v>0.73</v>
      </c>
      <c r="G791">
        <v>0.06</v>
      </c>
    </row>
    <row r="792" spans="1:7" hidden="1">
      <c r="A792">
        <v>61</v>
      </c>
      <c r="B792" t="s">
        <v>1030</v>
      </c>
      <c r="C792" t="s">
        <v>968</v>
      </c>
      <c r="D792">
        <v>1.1299999999999999</v>
      </c>
      <c r="E792">
        <v>18.09</v>
      </c>
      <c r="F792">
        <v>2.91</v>
      </c>
      <c r="G792">
        <v>0.11</v>
      </c>
    </row>
    <row r="793" spans="1:7" hidden="1">
      <c r="A793">
        <v>61</v>
      </c>
      <c r="B793" t="s">
        <v>1030</v>
      </c>
      <c r="C793" t="s">
        <v>969</v>
      </c>
      <c r="D793">
        <v>1.22</v>
      </c>
      <c r="E793">
        <v>24.75</v>
      </c>
      <c r="F793">
        <v>4.32</v>
      </c>
      <c r="G793">
        <v>0.08</v>
      </c>
    </row>
    <row r="794" spans="1:7" hidden="1">
      <c r="A794">
        <v>61</v>
      </c>
      <c r="B794" t="s">
        <v>1030</v>
      </c>
      <c r="C794" t="s">
        <v>970</v>
      </c>
      <c r="D794">
        <v>0.35</v>
      </c>
      <c r="E794">
        <v>24.75</v>
      </c>
      <c r="F794">
        <v>1.22</v>
      </c>
      <c r="G794">
        <v>0.09</v>
      </c>
    </row>
    <row r="795" spans="1:7" hidden="1">
      <c r="A795">
        <v>62</v>
      </c>
      <c r="B795" t="s">
        <v>1031</v>
      </c>
      <c r="C795" t="s">
        <v>959</v>
      </c>
      <c r="D795">
        <v>2.81</v>
      </c>
      <c r="E795">
        <v>18.309999999999999</v>
      </c>
      <c r="F795">
        <v>7.35</v>
      </c>
      <c r="G795">
        <v>0</v>
      </c>
    </row>
    <row r="796" spans="1:7" hidden="1">
      <c r="A796">
        <v>62</v>
      </c>
      <c r="B796" t="s">
        <v>1031</v>
      </c>
      <c r="C796" t="s">
        <v>960</v>
      </c>
      <c r="D796">
        <v>3.7</v>
      </c>
      <c r="E796">
        <v>18.399999999999999</v>
      </c>
      <c r="F796">
        <v>9.7100000000000009</v>
      </c>
      <c r="G796">
        <v>0</v>
      </c>
    </row>
    <row r="797" spans="1:7" hidden="1">
      <c r="A797">
        <v>62</v>
      </c>
      <c r="B797" t="s">
        <v>1031</v>
      </c>
      <c r="C797" t="s">
        <v>961</v>
      </c>
      <c r="D797">
        <v>8.6300000000000008</v>
      </c>
      <c r="E797">
        <v>20.059999999999999</v>
      </c>
      <c r="F797">
        <v>24.72</v>
      </c>
      <c r="G797">
        <v>0</v>
      </c>
    </row>
    <row r="798" spans="1:7" hidden="1">
      <c r="A798">
        <v>62</v>
      </c>
      <c r="B798" t="s">
        <v>1031</v>
      </c>
      <c r="C798" t="s">
        <v>962</v>
      </c>
      <c r="D798">
        <v>1.43</v>
      </c>
      <c r="E798">
        <v>24.72</v>
      </c>
      <c r="F798">
        <v>5.0599999999999996</v>
      </c>
      <c r="G798">
        <v>0</v>
      </c>
    </row>
    <row r="799" spans="1:7" hidden="1">
      <c r="A799">
        <v>62</v>
      </c>
      <c r="B799" t="s">
        <v>1031</v>
      </c>
      <c r="C799" t="s">
        <v>963</v>
      </c>
      <c r="D799">
        <v>2.84</v>
      </c>
      <c r="E799">
        <v>18.13</v>
      </c>
      <c r="F799">
        <v>7.34</v>
      </c>
      <c r="G799">
        <v>0</v>
      </c>
    </row>
    <row r="800" spans="1:7" hidden="1">
      <c r="A800">
        <v>62</v>
      </c>
      <c r="B800" t="s">
        <v>1031</v>
      </c>
      <c r="C800" t="s">
        <v>964</v>
      </c>
      <c r="D800">
        <v>0.3</v>
      </c>
      <c r="E800">
        <v>21.87</v>
      </c>
      <c r="F800">
        <v>0.93</v>
      </c>
      <c r="G800">
        <v>0</v>
      </c>
    </row>
    <row r="801" spans="1:7" hidden="1">
      <c r="A801">
        <v>62</v>
      </c>
      <c r="B801" t="s">
        <v>1031</v>
      </c>
      <c r="C801" t="s">
        <v>965</v>
      </c>
      <c r="D801">
        <v>2.25</v>
      </c>
      <c r="E801">
        <v>24.75</v>
      </c>
      <c r="F801">
        <v>7.95</v>
      </c>
      <c r="G801">
        <v>0</v>
      </c>
    </row>
    <row r="802" spans="1:7">
      <c r="A802">
        <v>62</v>
      </c>
      <c r="B802" t="s">
        <v>1031</v>
      </c>
      <c r="C802" t="s">
        <v>24</v>
      </c>
      <c r="D802">
        <v>21.94</v>
      </c>
      <c r="E802">
        <v>20.12</v>
      </c>
      <c r="F802">
        <v>63.06</v>
      </c>
      <c r="G802">
        <v>0</v>
      </c>
    </row>
    <row r="803" spans="1:7" hidden="1">
      <c r="A803">
        <v>62</v>
      </c>
      <c r="B803" t="s">
        <v>1031</v>
      </c>
      <c r="C803" t="s">
        <v>966</v>
      </c>
      <c r="D803">
        <v>0</v>
      </c>
      <c r="E803">
        <v>18.05</v>
      </c>
      <c r="F803">
        <v>0</v>
      </c>
      <c r="G803">
        <v>0</v>
      </c>
    </row>
    <row r="804" spans="1:7" hidden="1">
      <c r="A804">
        <v>62</v>
      </c>
      <c r="B804" t="s">
        <v>1031</v>
      </c>
      <c r="C804" t="s">
        <v>967</v>
      </c>
      <c r="D804">
        <v>0.33</v>
      </c>
      <c r="E804">
        <v>17.91</v>
      </c>
      <c r="F804">
        <v>0.83</v>
      </c>
      <c r="G804">
        <v>0</v>
      </c>
    </row>
    <row r="805" spans="1:7" hidden="1">
      <c r="A805">
        <v>62</v>
      </c>
      <c r="B805" t="s">
        <v>1031</v>
      </c>
      <c r="C805" t="s">
        <v>968</v>
      </c>
      <c r="D805">
        <v>1.07</v>
      </c>
      <c r="E805">
        <v>18.09</v>
      </c>
      <c r="F805">
        <v>2.77</v>
      </c>
      <c r="G805">
        <v>0</v>
      </c>
    </row>
    <row r="806" spans="1:7" hidden="1">
      <c r="A806">
        <v>62</v>
      </c>
      <c r="B806" t="s">
        <v>1031</v>
      </c>
      <c r="C806" t="s">
        <v>969</v>
      </c>
      <c r="D806">
        <v>0.31</v>
      </c>
      <c r="E806">
        <v>24.75</v>
      </c>
      <c r="F806">
        <v>1.0900000000000001</v>
      </c>
      <c r="G806">
        <v>0</v>
      </c>
    </row>
    <row r="807" spans="1:7" hidden="1">
      <c r="A807">
        <v>62</v>
      </c>
      <c r="B807" t="s">
        <v>1031</v>
      </c>
      <c r="C807" t="s">
        <v>970</v>
      </c>
      <c r="D807">
        <v>0.5</v>
      </c>
      <c r="E807">
        <v>24.75</v>
      </c>
      <c r="F807">
        <v>1.77</v>
      </c>
      <c r="G807">
        <v>0</v>
      </c>
    </row>
    <row r="808" spans="1:7" hidden="1">
      <c r="A808">
        <v>63</v>
      </c>
      <c r="B808" t="s">
        <v>1032</v>
      </c>
      <c r="C808" t="s">
        <v>959</v>
      </c>
      <c r="D808">
        <v>2.42</v>
      </c>
      <c r="E808">
        <v>18.309999999999999</v>
      </c>
      <c r="F808">
        <v>6.33</v>
      </c>
      <c r="G808">
        <v>0</v>
      </c>
    </row>
    <row r="809" spans="1:7" hidden="1">
      <c r="A809">
        <v>63</v>
      </c>
      <c r="B809" t="s">
        <v>1032</v>
      </c>
      <c r="C809" t="s">
        <v>960</v>
      </c>
      <c r="D809">
        <v>3.86</v>
      </c>
      <c r="E809">
        <v>18.399999999999999</v>
      </c>
      <c r="F809">
        <v>10.14</v>
      </c>
      <c r="G809">
        <v>0</v>
      </c>
    </row>
    <row r="810" spans="1:7" hidden="1">
      <c r="A810">
        <v>63</v>
      </c>
      <c r="B810" t="s">
        <v>1032</v>
      </c>
      <c r="C810" t="s">
        <v>961</v>
      </c>
      <c r="D810">
        <v>9.9</v>
      </c>
      <c r="E810">
        <v>20.059999999999999</v>
      </c>
      <c r="F810">
        <v>28.37</v>
      </c>
      <c r="G810">
        <v>0</v>
      </c>
    </row>
    <row r="811" spans="1:7" hidden="1">
      <c r="A811">
        <v>63</v>
      </c>
      <c r="B811" t="s">
        <v>1032</v>
      </c>
      <c r="C811" t="s">
        <v>962</v>
      </c>
      <c r="D811">
        <v>1.38</v>
      </c>
      <c r="E811">
        <v>24.72</v>
      </c>
      <c r="F811">
        <v>4.87</v>
      </c>
      <c r="G811">
        <v>0</v>
      </c>
    </row>
    <row r="812" spans="1:7" hidden="1">
      <c r="A812">
        <v>63</v>
      </c>
      <c r="B812" t="s">
        <v>1032</v>
      </c>
      <c r="C812" t="s">
        <v>963</v>
      </c>
      <c r="D812">
        <v>2.71</v>
      </c>
      <c r="E812">
        <v>18.13</v>
      </c>
      <c r="F812">
        <v>7.03</v>
      </c>
      <c r="G812">
        <v>0.01</v>
      </c>
    </row>
    <row r="813" spans="1:7" hidden="1">
      <c r="A813">
        <v>63</v>
      </c>
      <c r="B813" t="s">
        <v>1032</v>
      </c>
      <c r="C813" t="s">
        <v>964</v>
      </c>
      <c r="D813">
        <v>0.31</v>
      </c>
      <c r="E813">
        <v>21.87</v>
      </c>
      <c r="F813">
        <v>0.96</v>
      </c>
      <c r="G813">
        <v>0</v>
      </c>
    </row>
    <row r="814" spans="1:7" hidden="1">
      <c r="A814">
        <v>63</v>
      </c>
      <c r="B814" t="s">
        <v>1032</v>
      </c>
      <c r="C814" t="s">
        <v>965</v>
      </c>
      <c r="D814">
        <v>1.91</v>
      </c>
      <c r="E814">
        <v>24.75</v>
      </c>
      <c r="F814">
        <v>6.75</v>
      </c>
      <c r="G814">
        <v>0</v>
      </c>
    </row>
    <row r="815" spans="1:7">
      <c r="A815">
        <v>63</v>
      </c>
      <c r="B815" t="s">
        <v>1032</v>
      </c>
      <c r="C815" t="s">
        <v>24</v>
      </c>
      <c r="D815">
        <v>22.49</v>
      </c>
      <c r="E815">
        <v>20.059999999999999</v>
      </c>
      <c r="F815">
        <v>64.459999999999994</v>
      </c>
      <c r="G815">
        <v>0.01</v>
      </c>
    </row>
    <row r="816" spans="1:7" hidden="1">
      <c r="A816">
        <v>63</v>
      </c>
      <c r="B816" t="s">
        <v>1032</v>
      </c>
      <c r="C816" t="s">
        <v>966</v>
      </c>
      <c r="D816">
        <v>0</v>
      </c>
      <c r="E816">
        <v>18.05</v>
      </c>
      <c r="F816">
        <v>0</v>
      </c>
      <c r="G816">
        <v>0</v>
      </c>
    </row>
    <row r="817" spans="1:7" hidden="1">
      <c r="A817">
        <v>63</v>
      </c>
      <c r="B817" t="s">
        <v>1032</v>
      </c>
      <c r="C817" t="s">
        <v>967</v>
      </c>
      <c r="D817">
        <v>0.35</v>
      </c>
      <c r="E817">
        <v>17.91</v>
      </c>
      <c r="F817">
        <v>0.89</v>
      </c>
      <c r="G817">
        <v>0</v>
      </c>
    </row>
    <row r="818" spans="1:7" hidden="1">
      <c r="A818">
        <v>63</v>
      </c>
      <c r="B818" t="s">
        <v>1032</v>
      </c>
      <c r="C818" t="s">
        <v>968</v>
      </c>
      <c r="D818">
        <v>1.75</v>
      </c>
      <c r="E818">
        <v>18.09</v>
      </c>
      <c r="F818">
        <v>4.5199999999999996</v>
      </c>
      <c r="G818">
        <v>0</v>
      </c>
    </row>
    <row r="819" spans="1:7" hidden="1">
      <c r="A819">
        <v>63</v>
      </c>
      <c r="B819" t="s">
        <v>1032</v>
      </c>
      <c r="C819" t="s">
        <v>969</v>
      </c>
      <c r="D819">
        <v>0.34</v>
      </c>
      <c r="E819">
        <v>24.75</v>
      </c>
      <c r="F819">
        <v>1.22</v>
      </c>
      <c r="G819">
        <v>0</v>
      </c>
    </row>
    <row r="820" spans="1:7" hidden="1">
      <c r="A820">
        <v>63</v>
      </c>
      <c r="B820" t="s">
        <v>1032</v>
      </c>
      <c r="C820" t="s">
        <v>970</v>
      </c>
      <c r="D820">
        <v>0.69</v>
      </c>
      <c r="E820">
        <v>24.75</v>
      </c>
      <c r="F820">
        <v>2.4500000000000002</v>
      </c>
      <c r="G820">
        <v>0</v>
      </c>
    </row>
    <row r="821" spans="1:7" hidden="1">
      <c r="A821">
        <v>64</v>
      </c>
      <c r="B821" t="s">
        <v>1033</v>
      </c>
      <c r="C821" t="s">
        <v>959</v>
      </c>
      <c r="D821">
        <v>3.26</v>
      </c>
      <c r="E821">
        <v>18.309999999999999</v>
      </c>
      <c r="F821">
        <v>8.5299999999999994</v>
      </c>
      <c r="G821">
        <v>0.02</v>
      </c>
    </row>
    <row r="822" spans="1:7" hidden="1">
      <c r="A822">
        <v>64</v>
      </c>
      <c r="B822" t="s">
        <v>1033</v>
      </c>
      <c r="C822" t="s">
        <v>960</v>
      </c>
      <c r="D822">
        <v>3.75</v>
      </c>
      <c r="E822">
        <v>18.399999999999999</v>
      </c>
      <c r="F822">
        <v>9.85</v>
      </c>
      <c r="G822">
        <v>0.03</v>
      </c>
    </row>
    <row r="823" spans="1:7" hidden="1">
      <c r="A823">
        <v>64</v>
      </c>
      <c r="B823" t="s">
        <v>1033</v>
      </c>
      <c r="C823" t="s">
        <v>961</v>
      </c>
      <c r="D823">
        <v>8.58</v>
      </c>
      <c r="E823">
        <v>20.059999999999999</v>
      </c>
      <c r="F823">
        <v>24.6</v>
      </c>
      <c r="G823">
        <v>0.05</v>
      </c>
    </row>
    <row r="824" spans="1:7" hidden="1">
      <c r="A824">
        <v>64</v>
      </c>
      <c r="B824" t="s">
        <v>1033</v>
      </c>
      <c r="C824" t="s">
        <v>962</v>
      </c>
      <c r="D824">
        <v>1.52</v>
      </c>
      <c r="E824">
        <v>24.72</v>
      </c>
      <c r="F824">
        <v>5.38</v>
      </c>
      <c r="G824">
        <v>0</v>
      </c>
    </row>
    <row r="825" spans="1:7" hidden="1">
      <c r="A825">
        <v>64</v>
      </c>
      <c r="B825" t="s">
        <v>1033</v>
      </c>
      <c r="C825" t="s">
        <v>963</v>
      </c>
      <c r="D825">
        <v>2.93</v>
      </c>
      <c r="E825">
        <v>18.13</v>
      </c>
      <c r="F825">
        <v>7.59</v>
      </c>
      <c r="G825">
        <v>0.02</v>
      </c>
    </row>
    <row r="826" spans="1:7" hidden="1">
      <c r="A826">
        <v>64</v>
      </c>
      <c r="B826" t="s">
        <v>1033</v>
      </c>
      <c r="C826" t="s">
        <v>964</v>
      </c>
      <c r="D826">
        <v>0.28000000000000003</v>
      </c>
      <c r="E826">
        <v>21.87</v>
      </c>
      <c r="F826">
        <v>0.87</v>
      </c>
      <c r="G826">
        <v>0</v>
      </c>
    </row>
    <row r="827" spans="1:7" hidden="1">
      <c r="A827">
        <v>64</v>
      </c>
      <c r="B827" t="s">
        <v>1033</v>
      </c>
      <c r="C827" t="s">
        <v>965</v>
      </c>
      <c r="D827">
        <v>2.2599999999999998</v>
      </c>
      <c r="E827">
        <v>24.75</v>
      </c>
      <c r="F827">
        <v>7.99</v>
      </c>
      <c r="G827">
        <v>0.01</v>
      </c>
    </row>
    <row r="828" spans="1:7">
      <c r="A828">
        <v>64</v>
      </c>
      <c r="B828" t="s">
        <v>1033</v>
      </c>
      <c r="C828" t="s">
        <v>24</v>
      </c>
      <c r="D828">
        <v>22.59</v>
      </c>
      <c r="E828">
        <v>20.09</v>
      </c>
      <c r="F828">
        <v>64.81</v>
      </c>
      <c r="G828">
        <v>0.12</v>
      </c>
    </row>
    <row r="829" spans="1:7" hidden="1">
      <c r="A829">
        <v>64</v>
      </c>
      <c r="B829" t="s">
        <v>1033</v>
      </c>
      <c r="C829" t="s">
        <v>966</v>
      </c>
      <c r="D829">
        <v>0.34</v>
      </c>
      <c r="E829">
        <v>18.05</v>
      </c>
      <c r="F829">
        <v>0.87</v>
      </c>
      <c r="G829">
        <v>0.34</v>
      </c>
    </row>
    <row r="830" spans="1:7" hidden="1">
      <c r="A830">
        <v>64</v>
      </c>
      <c r="B830" t="s">
        <v>1033</v>
      </c>
      <c r="C830" t="s">
        <v>967</v>
      </c>
      <c r="D830">
        <v>0.31</v>
      </c>
      <c r="E830">
        <v>17.91</v>
      </c>
      <c r="F830">
        <v>0.79</v>
      </c>
      <c r="G830">
        <v>0</v>
      </c>
    </row>
    <row r="831" spans="1:7" hidden="1">
      <c r="A831">
        <v>64</v>
      </c>
      <c r="B831" t="s">
        <v>1033</v>
      </c>
      <c r="C831" t="s">
        <v>968</v>
      </c>
      <c r="D831">
        <v>1.24</v>
      </c>
      <c r="E831">
        <v>18.09</v>
      </c>
      <c r="F831">
        <v>3.21</v>
      </c>
      <c r="G831">
        <v>0.02</v>
      </c>
    </row>
    <row r="832" spans="1:7" hidden="1">
      <c r="A832">
        <v>64</v>
      </c>
      <c r="B832" t="s">
        <v>1033</v>
      </c>
      <c r="C832" t="s">
        <v>969</v>
      </c>
      <c r="D832">
        <v>0.24</v>
      </c>
      <c r="E832">
        <v>24.75</v>
      </c>
      <c r="F832">
        <v>0.84</v>
      </c>
      <c r="G832">
        <v>0</v>
      </c>
    </row>
    <row r="833" spans="1:7" hidden="1">
      <c r="A833">
        <v>64</v>
      </c>
      <c r="B833" t="s">
        <v>1033</v>
      </c>
      <c r="C833" t="s">
        <v>970</v>
      </c>
      <c r="D833">
        <v>0.56999999999999995</v>
      </c>
      <c r="E833">
        <v>24.75</v>
      </c>
      <c r="F833">
        <v>2.02</v>
      </c>
      <c r="G833">
        <v>0</v>
      </c>
    </row>
    <row r="834" spans="1:7" hidden="1">
      <c r="A834">
        <v>65</v>
      </c>
      <c r="B834" t="s">
        <v>1034</v>
      </c>
      <c r="C834" t="s">
        <v>959</v>
      </c>
      <c r="D834">
        <v>2.86</v>
      </c>
      <c r="E834">
        <v>18.309999999999999</v>
      </c>
      <c r="F834">
        <v>7.49</v>
      </c>
      <c r="G834">
        <v>0</v>
      </c>
    </row>
    <row r="835" spans="1:7" hidden="1">
      <c r="A835">
        <v>65</v>
      </c>
      <c r="B835" t="s">
        <v>1034</v>
      </c>
      <c r="C835" t="s">
        <v>960</v>
      </c>
      <c r="D835">
        <v>3.64</v>
      </c>
      <c r="E835">
        <v>18.399999999999999</v>
      </c>
      <c r="F835">
        <v>9.56</v>
      </c>
      <c r="G835">
        <v>0</v>
      </c>
    </row>
    <row r="836" spans="1:7" hidden="1">
      <c r="A836">
        <v>65</v>
      </c>
      <c r="B836" t="s">
        <v>1034</v>
      </c>
      <c r="C836" t="s">
        <v>961</v>
      </c>
      <c r="D836">
        <v>10.29</v>
      </c>
      <c r="E836">
        <v>20.059999999999999</v>
      </c>
      <c r="F836">
        <v>29.49</v>
      </c>
      <c r="G836">
        <v>0</v>
      </c>
    </row>
    <row r="837" spans="1:7" hidden="1">
      <c r="A837">
        <v>65</v>
      </c>
      <c r="B837" t="s">
        <v>1034</v>
      </c>
      <c r="C837" t="s">
        <v>962</v>
      </c>
      <c r="D837">
        <v>1.63</v>
      </c>
      <c r="E837">
        <v>24.72</v>
      </c>
      <c r="F837">
        <v>5.76</v>
      </c>
      <c r="G837">
        <v>0</v>
      </c>
    </row>
    <row r="838" spans="1:7" hidden="1">
      <c r="A838">
        <v>65</v>
      </c>
      <c r="B838" t="s">
        <v>1034</v>
      </c>
      <c r="C838" t="s">
        <v>963</v>
      </c>
      <c r="D838">
        <v>2.75</v>
      </c>
      <c r="E838">
        <v>18.13</v>
      </c>
      <c r="F838">
        <v>7.14</v>
      </c>
      <c r="G838">
        <v>0.01</v>
      </c>
    </row>
    <row r="839" spans="1:7" hidden="1">
      <c r="A839">
        <v>65</v>
      </c>
      <c r="B839" t="s">
        <v>1034</v>
      </c>
      <c r="C839" t="s">
        <v>964</v>
      </c>
      <c r="D839">
        <v>0.3</v>
      </c>
      <c r="E839">
        <v>21.87</v>
      </c>
      <c r="F839">
        <v>0.94</v>
      </c>
      <c r="G839">
        <v>0</v>
      </c>
    </row>
    <row r="840" spans="1:7" hidden="1">
      <c r="A840">
        <v>65</v>
      </c>
      <c r="B840" t="s">
        <v>1034</v>
      </c>
      <c r="C840" t="s">
        <v>965</v>
      </c>
      <c r="D840">
        <v>1.77</v>
      </c>
      <c r="E840">
        <v>24.75</v>
      </c>
      <c r="F840">
        <v>6.25</v>
      </c>
      <c r="G840">
        <v>0</v>
      </c>
    </row>
    <row r="841" spans="1:7">
      <c r="A841">
        <v>65</v>
      </c>
      <c r="B841" t="s">
        <v>1034</v>
      </c>
      <c r="C841" t="s">
        <v>24</v>
      </c>
      <c r="D841">
        <v>23.25</v>
      </c>
      <c r="E841">
        <v>20.059999999999999</v>
      </c>
      <c r="F841">
        <v>66.63</v>
      </c>
      <c r="G841">
        <v>0.01</v>
      </c>
    </row>
    <row r="842" spans="1:7" hidden="1">
      <c r="A842">
        <v>65</v>
      </c>
      <c r="B842" t="s">
        <v>1034</v>
      </c>
      <c r="C842" t="s">
        <v>966</v>
      </c>
      <c r="D842">
        <v>0</v>
      </c>
      <c r="E842">
        <v>18.05</v>
      </c>
      <c r="F842">
        <v>0</v>
      </c>
      <c r="G842">
        <v>0</v>
      </c>
    </row>
    <row r="843" spans="1:7" hidden="1">
      <c r="A843">
        <v>65</v>
      </c>
      <c r="B843" t="s">
        <v>1034</v>
      </c>
      <c r="C843" t="s">
        <v>967</v>
      </c>
      <c r="D843">
        <v>0.25</v>
      </c>
      <c r="E843">
        <v>17.91</v>
      </c>
      <c r="F843">
        <v>0.63</v>
      </c>
      <c r="G843">
        <v>0</v>
      </c>
    </row>
    <row r="844" spans="1:7" hidden="1">
      <c r="A844">
        <v>65</v>
      </c>
      <c r="B844" t="s">
        <v>1034</v>
      </c>
      <c r="C844" t="s">
        <v>968</v>
      </c>
      <c r="D844">
        <v>1.94</v>
      </c>
      <c r="E844">
        <v>18.09</v>
      </c>
      <c r="F844">
        <v>5.0199999999999996</v>
      </c>
      <c r="G844">
        <v>0</v>
      </c>
    </row>
    <row r="845" spans="1:7" hidden="1">
      <c r="A845">
        <v>65</v>
      </c>
      <c r="B845" t="s">
        <v>1034</v>
      </c>
      <c r="C845" t="s">
        <v>969</v>
      </c>
      <c r="D845">
        <v>0.11</v>
      </c>
      <c r="E845">
        <v>24.75</v>
      </c>
      <c r="F845">
        <v>0.4</v>
      </c>
      <c r="G845">
        <v>0</v>
      </c>
    </row>
    <row r="846" spans="1:7" hidden="1">
      <c r="A846">
        <v>65</v>
      </c>
      <c r="B846" t="s">
        <v>1034</v>
      </c>
      <c r="C846" t="s">
        <v>970</v>
      </c>
      <c r="D846">
        <v>0.72</v>
      </c>
      <c r="E846">
        <v>24.75</v>
      </c>
      <c r="F846">
        <v>2.54</v>
      </c>
      <c r="G846">
        <v>0</v>
      </c>
    </row>
    <row r="847" spans="1:7" hidden="1">
      <c r="A847">
        <v>66</v>
      </c>
      <c r="B847" t="s">
        <v>1035</v>
      </c>
      <c r="C847" t="s">
        <v>959</v>
      </c>
      <c r="D847">
        <v>4.25</v>
      </c>
      <c r="E847">
        <v>18.309999999999999</v>
      </c>
      <c r="F847">
        <v>11.12</v>
      </c>
      <c r="G847">
        <v>2.0299999999999998</v>
      </c>
    </row>
    <row r="848" spans="1:7" hidden="1">
      <c r="A848">
        <v>66</v>
      </c>
      <c r="B848" t="s">
        <v>1035</v>
      </c>
      <c r="C848" t="s">
        <v>960</v>
      </c>
      <c r="D848">
        <v>4</v>
      </c>
      <c r="E848">
        <v>18.399999999999999</v>
      </c>
      <c r="F848">
        <v>10.52</v>
      </c>
      <c r="G848">
        <v>2.2000000000000002</v>
      </c>
    </row>
    <row r="849" spans="1:7" hidden="1">
      <c r="A849">
        <v>66</v>
      </c>
      <c r="B849" t="s">
        <v>1035</v>
      </c>
      <c r="C849" t="s">
        <v>961</v>
      </c>
      <c r="D849">
        <v>6.04</v>
      </c>
      <c r="E849">
        <v>20.059999999999999</v>
      </c>
      <c r="F849">
        <v>17.3</v>
      </c>
      <c r="G849">
        <v>1.4</v>
      </c>
    </row>
    <row r="850" spans="1:7" hidden="1">
      <c r="A850">
        <v>66</v>
      </c>
      <c r="B850" t="s">
        <v>1035</v>
      </c>
      <c r="C850" t="s">
        <v>962</v>
      </c>
      <c r="D850">
        <v>0.82</v>
      </c>
      <c r="E850">
        <v>24.72</v>
      </c>
      <c r="F850">
        <v>2.9</v>
      </c>
      <c r="G850">
        <v>0.31</v>
      </c>
    </row>
    <row r="851" spans="1:7" hidden="1">
      <c r="A851">
        <v>66</v>
      </c>
      <c r="B851" t="s">
        <v>1035</v>
      </c>
      <c r="C851" t="s">
        <v>963</v>
      </c>
      <c r="D851">
        <v>2.5099999999999998</v>
      </c>
      <c r="E851">
        <v>18.13</v>
      </c>
      <c r="F851">
        <v>6.5</v>
      </c>
      <c r="G851">
        <v>1.02</v>
      </c>
    </row>
    <row r="852" spans="1:7" hidden="1">
      <c r="A852">
        <v>66</v>
      </c>
      <c r="B852" t="s">
        <v>1035</v>
      </c>
      <c r="C852" t="s">
        <v>964</v>
      </c>
      <c r="D852">
        <v>0.2</v>
      </c>
      <c r="E852">
        <v>21.87</v>
      </c>
      <c r="F852">
        <v>0.63</v>
      </c>
      <c r="G852">
        <v>0</v>
      </c>
    </row>
    <row r="853" spans="1:7" hidden="1">
      <c r="A853">
        <v>66</v>
      </c>
      <c r="B853" t="s">
        <v>1035</v>
      </c>
      <c r="C853" t="s">
        <v>965</v>
      </c>
      <c r="D853">
        <v>1.96</v>
      </c>
      <c r="E853">
        <v>24.75</v>
      </c>
      <c r="F853">
        <v>6.93</v>
      </c>
      <c r="G853">
        <v>0.63</v>
      </c>
    </row>
    <row r="854" spans="1:7">
      <c r="A854">
        <v>66</v>
      </c>
      <c r="B854" t="s">
        <v>1035</v>
      </c>
      <c r="C854" t="s">
        <v>24</v>
      </c>
      <c r="D854">
        <v>19.79</v>
      </c>
      <c r="E854">
        <v>19.78</v>
      </c>
      <c r="F854">
        <v>55.91</v>
      </c>
      <c r="G854">
        <v>7.6</v>
      </c>
    </row>
    <row r="855" spans="1:7" hidden="1">
      <c r="A855">
        <v>66</v>
      </c>
      <c r="B855" t="s">
        <v>1035</v>
      </c>
      <c r="C855" t="s">
        <v>966</v>
      </c>
      <c r="D855">
        <v>9.0399999999999991</v>
      </c>
      <c r="E855">
        <v>18.05</v>
      </c>
      <c r="F855">
        <v>23.31</v>
      </c>
      <c r="G855">
        <v>8.6300000000000008</v>
      </c>
    </row>
    <row r="856" spans="1:7" hidden="1">
      <c r="A856">
        <v>66</v>
      </c>
      <c r="B856" t="s">
        <v>1035</v>
      </c>
      <c r="C856" t="s">
        <v>967</v>
      </c>
      <c r="D856">
        <v>0.33</v>
      </c>
      <c r="E856">
        <v>17.91</v>
      </c>
      <c r="F856">
        <v>0.85</v>
      </c>
      <c r="G856">
        <v>7.0000000000000007E-2</v>
      </c>
    </row>
    <row r="857" spans="1:7" hidden="1">
      <c r="A857">
        <v>66</v>
      </c>
      <c r="B857" t="s">
        <v>1035</v>
      </c>
      <c r="C857" t="s">
        <v>968</v>
      </c>
      <c r="D857">
        <v>1.0900000000000001</v>
      </c>
      <c r="E857">
        <v>18.09</v>
      </c>
      <c r="F857">
        <v>2.82</v>
      </c>
      <c r="G857">
        <v>0.13</v>
      </c>
    </row>
    <row r="858" spans="1:7" hidden="1">
      <c r="A858">
        <v>66</v>
      </c>
      <c r="B858" t="s">
        <v>1035</v>
      </c>
      <c r="C858" t="s">
        <v>969</v>
      </c>
      <c r="D858">
        <v>1.51</v>
      </c>
      <c r="E858">
        <v>24.75</v>
      </c>
      <c r="F858">
        <v>5.35</v>
      </c>
      <c r="G858">
        <v>0.11</v>
      </c>
    </row>
    <row r="859" spans="1:7" hidden="1">
      <c r="A859">
        <v>66</v>
      </c>
      <c r="B859" t="s">
        <v>1035</v>
      </c>
      <c r="C859" t="s">
        <v>970</v>
      </c>
      <c r="D859">
        <v>0.4</v>
      </c>
      <c r="E859">
        <v>24.75</v>
      </c>
      <c r="F859">
        <v>1.42</v>
      </c>
      <c r="G859">
        <v>0.11</v>
      </c>
    </row>
    <row r="860" spans="1:7" hidden="1">
      <c r="A860">
        <v>67</v>
      </c>
      <c r="B860" t="s">
        <v>1036</v>
      </c>
      <c r="C860" t="s">
        <v>959</v>
      </c>
      <c r="D860">
        <v>3.43</v>
      </c>
      <c r="E860">
        <v>18.309999999999999</v>
      </c>
      <c r="F860">
        <v>8.9700000000000006</v>
      </c>
      <c r="G860">
        <v>0</v>
      </c>
    </row>
    <row r="861" spans="1:7" hidden="1">
      <c r="A861">
        <v>67</v>
      </c>
      <c r="B861" t="s">
        <v>1036</v>
      </c>
      <c r="C861" t="s">
        <v>960</v>
      </c>
      <c r="D861">
        <v>4.24</v>
      </c>
      <c r="E861">
        <v>18.399999999999999</v>
      </c>
      <c r="F861">
        <v>11.14</v>
      </c>
      <c r="G861">
        <v>0</v>
      </c>
    </row>
    <row r="862" spans="1:7" hidden="1">
      <c r="A862">
        <v>67</v>
      </c>
      <c r="B862" t="s">
        <v>1036</v>
      </c>
      <c r="C862" t="s">
        <v>961</v>
      </c>
      <c r="D862">
        <v>8.7799999999999994</v>
      </c>
      <c r="E862">
        <v>20.059999999999999</v>
      </c>
      <c r="F862">
        <v>25.15</v>
      </c>
      <c r="G862">
        <v>0</v>
      </c>
    </row>
    <row r="863" spans="1:7" hidden="1">
      <c r="A863">
        <v>67</v>
      </c>
      <c r="B863" t="s">
        <v>1036</v>
      </c>
      <c r="C863" t="s">
        <v>962</v>
      </c>
      <c r="D863">
        <v>1.59</v>
      </c>
      <c r="E863">
        <v>24.72</v>
      </c>
      <c r="F863">
        <v>5.63</v>
      </c>
      <c r="G863">
        <v>0</v>
      </c>
    </row>
    <row r="864" spans="1:7" hidden="1">
      <c r="A864">
        <v>67</v>
      </c>
      <c r="B864" t="s">
        <v>1036</v>
      </c>
      <c r="C864" t="s">
        <v>963</v>
      </c>
      <c r="D864">
        <v>3.17</v>
      </c>
      <c r="E864">
        <v>18.13</v>
      </c>
      <c r="F864">
        <v>8.2100000000000009</v>
      </c>
      <c r="G864">
        <v>0</v>
      </c>
    </row>
    <row r="865" spans="1:7" hidden="1">
      <c r="A865">
        <v>67</v>
      </c>
      <c r="B865" t="s">
        <v>1036</v>
      </c>
      <c r="C865" t="s">
        <v>964</v>
      </c>
      <c r="D865">
        <v>0.33</v>
      </c>
      <c r="E865">
        <v>21.87</v>
      </c>
      <c r="F865">
        <v>1.03</v>
      </c>
      <c r="G865">
        <v>0</v>
      </c>
    </row>
    <row r="866" spans="1:7" hidden="1">
      <c r="A866">
        <v>67</v>
      </c>
      <c r="B866" t="s">
        <v>1036</v>
      </c>
      <c r="C866" t="s">
        <v>965</v>
      </c>
      <c r="D866">
        <v>2.35</v>
      </c>
      <c r="E866">
        <v>24.75</v>
      </c>
      <c r="F866">
        <v>8.31</v>
      </c>
      <c r="G866">
        <v>0</v>
      </c>
    </row>
    <row r="867" spans="1:7">
      <c r="A867">
        <v>67</v>
      </c>
      <c r="B867" t="s">
        <v>1036</v>
      </c>
      <c r="C867" t="s">
        <v>24</v>
      </c>
      <c r="D867">
        <v>23.89</v>
      </c>
      <c r="E867">
        <v>20.05</v>
      </c>
      <c r="F867">
        <v>68.44</v>
      </c>
      <c r="G867">
        <v>0.01</v>
      </c>
    </row>
    <row r="868" spans="1:7" hidden="1">
      <c r="A868">
        <v>67</v>
      </c>
      <c r="B868" t="s">
        <v>1036</v>
      </c>
      <c r="C868" t="s">
        <v>966</v>
      </c>
      <c r="D868">
        <v>0</v>
      </c>
      <c r="E868">
        <v>18.05</v>
      </c>
      <c r="F868">
        <v>0</v>
      </c>
      <c r="G868">
        <v>0</v>
      </c>
    </row>
    <row r="869" spans="1:7" hidden="1">
      <c r="A869">
        <v>67</v>
      </c>
      <c r="B869" t="s">
        <v>1036</v>
      </c>
      <c r="C869" t="s">
        <v>967</v>
      </c>
      <c r="D869">
        <v>0.31</v>
      </c>
      <c r="E869">
        <v>17.91</v>
      </c>
      <c r="F869">
        <v>0.79</v>
      </c>
      <c r="G869">
        <v>0</v>
      </c>
    </row>
    <row r="870" spans="1:7" hidden="1">
      <c r="A870">
        <v>67</v>
      </c>
      <c r="B870" t="s">
        <v>1036</v>
      </c>
      <c r="C870" t="s">
        <v>968</v>
      </c>
      <c r="D870">
        <v>1.06</v>
      </c>
      <c r="E870">
        <v>18.09</v>
      </c>
      <c r="F870">
        <v>2.74</v>
      </c>
      <c r="G870">
        <v>0</v>
      </c>
    </row>
    <row r="871" spans="1:7" hidden="1">
      <c r="A871">
        <v>67</v>
      </c>
      <c r="B871" t="s">
        <v>1036</v>
      </c>
      <c r="C871" t="s">
        <v>969</v>
      </c>
      <c r="D871">
        <v>0.27</v>
      </c>
      <c r="E871">
        <v>24.75</v>
      </c>
      <c r="F871">
        <v>0.96</v>
      </c>
      <c r="G871">
        <v>0</v>
      </c>
    </row>
    <row r="872" spans="1:7" hidden="1">
      <c r="A872">
        <v>67</v>
      </c>
      <c r="B872" t="s">
        <v>1036</v>
      </c>
      <c r="C872" t="s">
        <v>970</v>
      </c>
      <c r="D872">
        <v>0.44</v>
      </c>
      <c r="E872">
        <v>24.75</v>
      </c>
      <c r="F872">
        <v>1.54</v>
      </c>
      <c r="G872">
        <v>0</v>
      </c>
    </row>
    <row r="873" spans="1:7" hidden="1">
      <c r="A873">
        <v>68</v>
      </c>
      <c r="B873" t="s">
        <v>1037</v>
      </c>
      <c r="C873" t="s">
        <v>959</v>
      </c>
      <c r="D873">
        <v>3.87</v>
      </c>
      <c r="E873">
        <v>18.309999999999999</v>
      </c>
      <c r="F873">
        <v>10.119999999999999</v>
      </c>
      <c r="G873">
        <v>0.01</v>
      </c>
    </row>
    <row r="874" spans="1:7" hidden="1">
      <c r="A874">
        <v>68</v>
      </c>
      <c r="B874" t="s">
        <v>1037</v>
      </c>
      <c r="C874" t="s">
        <v>960</v>
      </c>
      <c r="D874">
        <v>3.94</v>
      </c>
      <c r="E874">
        <v>18.399999999999999</v>
      </c>
      <c r="F874">
        <v>10.35</v>
      </c>
      <c r="G874">
        <v>0.05</v>
      </c>
    </row>
    <row r="875" spans="1:7" hidden="1">
      <c r="A875">
        <v>68</v>
      </c>
      <c r="B875" t="s">
        <v>1037</v>
      </c>
      <c r="C875" t="s">
        <v>961</v>
      </c>
      <c r="D875">
        <v>8.93</v>
      </c>
      <c r="E875">
        <v>20.059999999999999</v>
      </c>
      <c r="F875">
        <v>25.6</v>
      </c>
      <c r="G875">
        <v>0.04</v>
      </c>
    </row>
    <row r="876" spans="1:7" hidden="1">
      <c r="A876">
        <v>68</v>
      </c>
      <c r="B876" t="s">
        <v>1037</v>
      </c>
      <c r="C876" t="s">
        <v>962</v>
      </c>
      <c r="D876">
        <v>1.71</v>
      </c>
      <c r="E876">
        <v>24.72</v>
      </c>
      <c r="F876">
        <v>6.04</v>
      </c>
      <c r="G876">
        <v>0</v>
      </c>
    </row>
    <row r="877" spans="1:7" hidden="1">
      <c r="A877">
        <v>68</v>
      </c>
      <c r="B877" t="s">
        <v>1037</v>
      </c>
      <c r="C877" t="s">
        <v>963</v>
      </c>
      <c r="D877">
        <v>3.26</v>
      </c>
      <c r="E877">
        <v>18.13</v>
      </c>
      <c r="F877">
        <v>8.43</v>
      </c>
      <c r="G877">
        <v>0.02</v>
      </c>
    </row>
    <row r="878" spans="1:7" hidden="1">
      <c r="A878">
        <v>68</v>
      </c>
      <c r="B878" t="s">
        <v>1037</v>
      </c>
      <c r="C878" t="s">
        <v>964</v>
      </c>
      <c r="D878">
        <v>0.28000000000000003</v>
      </c>
      <c r="E878">
        <v>21.87</v>
      </c>
      <c r="F878">
        <v>0.87</v>
      </c>
      <c r="G878">
        <v>0</v>
      </c>
    </row>
    <row r="879" spans="1:7" hidden="1">
      <c r="A879">
        <v>68</v>
      </c>
      <c r="B879" t="s">
        <v>1037</v>
      </c>
      <c r="C879" t="s">
        <v>965</v>
      </c>
      <c r="D879">
        <v>2.2999999999999998</v>
      </c>
      <c r="E879">
        <v>24.75</v>
      </c>
      <c r="F879">
        <v>8.1300000000000008</v>
      </c>
      <c r="G879">
        <v>0.01</v>
      </c>
    </row>
    <row r="880" spans="1:7">
      <c r="A880">
        <v>68</v>
      </c>
      <c r="B880" t="s">
        <v>1037</v>
      </c>
      <c r="C880" t="s">
        <v>24</v>
      </c>
      <c r="D880">
        <v>24.28</v>
      </c>
      <c r="E880">
        <v>20.05</v>
      </c>
      <c r="F880">
        <v>69.540000000000006</v>
      </c>
      <c r="G880">
        <v>0.13</v>
      </c>
    </row>
    <row r="881" spans="1:7" hidden="1">
      <c r="A881">
        <v>68</v>
      </c>
      <c r="B881" t="s">
        <v>1037</v>
      </c>
      <c r="C881" t="s">
        <v>966</v>
      </c>
      <c r="D881">
        <v>0.49</v>
      </c>
      <c r="E881">
        <v>18.05</v>
      </c>
      <c r="F881">
        <v>1.25</v>
      </c>
      <c r="G881">
        <v>0.48</v>
      </c>
    </row>
    <row r="882" spans="1:7" hidden="1">
      <c r="A882">
        <v>68</v>
      </c>
      <c r="B882" t="s">
        <v>1037</v>
      </c>
      <c r="C882" t="s">
        <v>967</v>
      </c>
      <c r="D882">
        <v>0.31</v>
      </c>
      <c r="E882">
        <v>17.91</v>
      </c>
      <c r="F882">
        <v>0.79</v>
      </c>
      <c r="G882">
        <v>0</v>
      </c>
    </row>
    <row r="883" spans="1:7" hidden="1">
      <c r="A883">
        <v>68</v>
      </c>
      <c r="B883" t="s">
        <v>1037</v>
      </c>
      <c r="C883" t="s">
        <v>968</v>
      </c>
      <c r="D883">
        <v>1.1200000000000001</v>
      </c>
      <c r="E883">
        <v>18.09</v>
      </c>
      <c r="F883">
        <v>2.9</v>
      </c>
      <c r="G883">
        <v>0</v>
      </c>
    </row>
    <row r="884" spans="1:7" hidden="1">
      <c r="A884">
        <v>68</v>
      </c>
      <c r="B884" t="s">
        <v>1037</v>
      </c>
      <c r="C884" t="s">
        <v>969</v>
      </c>
      <c r="D884">
        <v>0.28000000000000003</v>
      </c>
      <c r="E884">
        <v>24.75</v>
      </c>
      <c r="F884">
        <v>0.98</v>
      </c>
      <c r="G884">
        <v>0</v>
      </c>
    </row>
    <row r="885" spans="1:7" hidden="1">
      <c r="A885">
        <v>68</v>
      </c>
      <c r="B885" t="s">
        <v>1037</v>
      </c>
      <c r="C885" t="s">
        <v>970</v>
      </c>
      <c r="D885">
        <v>0.48</v>
      </c>
      <c r="E885">
        <v>24.75</v>
      </c>
      <c r="F885">
        <v>1.68</v>
      </c>
      <c r="G885">
        <v>0</v>
      </c>
    </row>
    <row r="886" spans="1:7" hidden="1">
      <c r="A886">
        <v>69</v>
      </c>
      <c r="B886" t="s">
        <v>1038</v>
      </c>
      <c r="C886" t="s">
        <v>959</v>
      </c>
      <c r="D886">
        <v>2.71</v>
      </c>
      <c r="E886">
        <v>18.309999999999999</v>
      </c>
      <c r="F886">
        <v>7.1</v>
      </c>
      <c r="G886">
        <v>1</v>
      </c>
    </row>
    <row r="887" spans="1:7" hidden="1">
      <c r="A887">
        <v>69</v>
      </c>
      <c r="B887" t="s">
        <v>1038</v>
      </c>
      <c r="C887" t="s">
        <v>960</v>
      </c>
      <c r="D887">
        <v>2.71</v>
      </c>
      <c r="E887">
        <v>18.399999999999999</v>
      </c>
      <c r="F887">
        <v>7.11</v>
      </c>
      <c r="G887">
        <v>1.35</v>
      </c>
    </row>
    <row r="888" spans="1:7" hidden="1">
      <c r="A888">
        <v>69</v>
      </c>
      <c r="B888" t="s">
        <v>1038</v>
      </c>
      <c r="C888" t="s">
        <v>961</v>
      </c>
      <c r="D888">
        <v>6.17</v>
      </c>
      <c r="E888">
        <v>20.059999999999999</v>
      </c>
      <c r="F888">
        <v>17.68</v>
      </c>
      <c r="G888">
        <v>2.56</v>
      </c>
    </row>
    <row r="889" spans="1:7" hidden="1">
      <c r="A889">
        <v>69</v>
      </c>
      <c r="B889" t="s">
        <v>1038</v>
      </c>
      <c r="C889" t="s">
        <v>962</v>
      </c>
      <c r="D889">
        <v>0.83</v>
      </c>
      <c r="E889">
        <v>24.72</v>
      </c>
      <c r="F889">
        <v>2.94</v>
      </c>
      <c r="G889">
        <v>0.55000000000000004</v>
      </c>
    </row>
    <row r="890" spans="1:7" hidden="1">
      <c r="A890">
        <v>69</v>
      </c>
      <c r="B890" t="s">
        <v>1038</v>
      </c>
      <c r="C890" t="s">
        <v>963</v>
      </c>
      <c r="D890">
        <v>4.93</v>
      </c>
      <c r="E890">
        <v>18.13</v>
      </c>
      <c r="F890">
        <v>12.77</v>
      </c>
      <c r="G890">
        <v>1.39</v>
      </c>
    </row>
    <row r="891" spans="1:7" hidden="1">
      <c r="A891">
        <v>69</v>
      </c>
      <c r="B891" t="s">
        <v>1038</v>
      </c>
      <c r="C891" t="s">
        <v>964</v>
      </c>
      <c r="D891">
        <v>0.11</v>
      </c>
      <c r="E891">
        <v>21.87</v>
      </c>
      <c r="F891">
        <v>0.35</v>
      </c>
      <c r="G891">
        <v>0.01</v>
      </c>
    </row>
    <row r="892" spans="1:7" hidden="1">
      <c r="A892">
        <v>69</v>
      </c>
      <c r="B892" t="s">
        <v>1038</v>
      </c>
      <c r="C892" t="s">
        <v>965</v>
      </c>
      <c r="D892">
        <v>2.33</v>
      </c>
      <c r="E892">
        <v>24.75</v>
      </c>
      <c r="F892">
        <v>8.23</v>
      </c>
      <c r="G892">
        <v>0.82</v>
      </c>
    </row>
    <row r="893" spans="1:7">
      <c r="A893">
        <v>69</v>
      </c>
      <c r="B893" t="s">
        <v>1038</v>
      </c>
      <c r="C893" t="s">
        <v>24</v>
      </c>
      <c r="D893">
        <v>19.79</v>
      </c>
      <c r="E893">
        <v>19.87</v>
      </c>
      <c r="F893">
        <v>56.18</v>
      </c>
      <c r="G893">
        <v>7.68</v>
      </c>
    </row>
    <row r="894" spans="1:7" hidden="1">
      <c r="A894">
        <v>69</v>
      </c>
      <c r="B894" t="s">
        <v>1038</v>
      </c>
      <c r="C894" t="s">
        <v>966</v>
      </c>
      <c r="D894">
        <v>5.37</v>
      </c>
      <c r="E894">
        <v>18.05</v>
      </c>
      <c r="F894">
        <v>13.85</v>
      </c>
      <c r="G894">
        <v>5.14</v>
      </c>
    </row>
    <row r="895" spans="1:7" hidden="1">
      <c r="A895">
        <v>69</v>
      </c>
      <c r="B895" t="s">
        <v>1038</v>
      </c>
      <c r="C895" t="s">
        <v>967</v>
      </c>
      <c r="D895">
        <v>0.2</v>
      </c>
      <c r="E895">
        <v>17.91</v>
      </c>
      <c r="F895">
        <v>0.5</v>
      </c>
      <c r="G895">
        <v>0.05</v>
      </c>
    </row>
    <row r="896" spans="1:7" hidden="1">
      <c r="A896">
        <v>69</v>
      </c>
      <c r="B896" t="s">
        <v>1038</v>
      </c>
      <c r="C896" t="s">
        <v>968</v>
      </c>
      <c r="D896">
        <v>1.19</v>
      </c>
      <c r="E896">
        <v>18.09</v>
      </c>
      <c r="F896">
        <v>3.08</v>
      </c>
      <c r="G896">
        <v>0.09</v>
      </c>
    </row>
    <row r="897" spans="1:7" hidden="1">
      <c r="A897">
        <v>69</v>
      </c>
      <c r="B897" t="s">
        <v>1038</v>
      </c>
      <c r="C897" t="s">
        <v>969</v>
      </c>
      <c r="D897">
        <v>0.71</v>
      </c>
      <c r="E897">
        <v>24.75</v>
      </c>
      <c r="F897">
        <v>2.5</v>
      </c>
      <c r="G897">
        <v>0.02</v>
      </c>
    </row>
    <row r="898" spans="1:7" hidden="1">
      <c r="A898">
        <v>69</v>
      </c>
      <c r="B898" t="s">
        <v>1038</v>
      </c>
      <c r="C898" t="s">
        <v>970</v>
      </c>
      <c r="D898">
        <v>0.25</v>
      </c>
      <c r="E898">
        <v>24.75</v>
      </c>
      <c r="F898">
        <v>0.87</v>
      </c>
      <c r="G898">
        <v>0.05</v>
      </c>
    </row>
    <row r="899" spans="1:7" hidden="1">
      <c r="A899">
        <v>70</v>
      </c>
      <c r="B899" t="s">
        <v>1039</v>
      </c>
      <c r="C899" t="s">
        <v>959</v>
      </c>
      <c r="D899">
        <v>1.51</v>
      </c>
      <c r="E899">
        <v>18.309999999999999</v>
      </c>
      <c r="F899">
        <v>3.96</v>
      </c>
      <c r="G899">
        <v>0</v>
      </c>
    </row>
    <row r="900" spans="1:7" hidden="1">
      <c r="A900">
        <v>70</v>
      </c>
      <c r="B900" t="s">
        <v>1039</v>
      </c>
      <c r="C900" t="s">
        <v>960</v>
      </c>
      <c r="D900">
        <v>2.56</v>
      </c>
      <c r="E900">
        <v>18.399999999999999</v>
      </c>
      <c r="F900">
        <v>6.73</v>
      </c>
      <c r="G900">
        <v>0</v>
      </c>
    </row>
    <row r="901" spans="1:7" hidden="1">
      <c r="A901">
        <v>70</v>
      </c>
      <c r="B901" t="s">
        <v>1039</v>
      </c>
      <c r="C901" t="s">
        <v>961</v>
      </c>
      <c r="D901">
        <v>8.31</v>
      </c>
      <c r="E901">
        <v>20.059999999999999</v>
      </c>
      <c r="F901">
        <v>23.81</v>
      </c>
      <c r="G901">
        <v>0</v>
      </c>
    </row>
    <row r="902" spans="1:7" hidden="1">
      <c r="A902">
        <v>70</v>
      </c>
      <c r="B902" t="s">
        <v>1039</v>
      </c>
      <c r="C902" t="s">
        <v>962</v>
      </c>
      <c r="D902">
        <v>1.1000000000000001</v>
      </c>
      <c r="E902">
        <v>24.72</v>
      </c>
      <c r="F902">
        <v>3.88</v>
      </c>
      <c r="G902">
        <v>0</v>
      </c>
    </row>
    <row r="903" spans="1:7" hidden="1">
      <c r="A903">
        <v>70</v>
      </c>
      <c r="B903" t="s">
        <v>1039</v>
      </c>
      <c r="C903" t="s">
        <v>963</v>
      </c>
      <c r="D903">
        <v>2.14</v>
      </c>
      <c r="E903">
        <v>18.13</v>
      </c>
      <c r="F903">
        <v>5.54</v>
      </c>
      <c r="G903">
        <v>0</v>
      </c>
    </row>
    <row r="904" spans="1:7" hidden="1">
      <c r="A904">
        <v>70</v>
      </c>
      <c r="B904" t="s">
        <v>1039</v>
      </c>
      <c r="C904" t="s">
        <v>964</v>
      </c>
      <c r="D904">
        <v>0.23</v>
      </c>
      <c r="E904">
        <v>21.87</v>
      </c>
      <c r="F904">
        <v>0.72</v>
      </c>
      <c r="G904">
        <v>0</v>
      </c>
    </row>
    <row r="905" spans="1:7" hidden="1">
      <c r="A905">
        <v>70</v>
      </c>
      <c r="B905" t="s">
        <v>1039</v>
      </c>
      <c r="C905" t="s">
        <v>965</v>
      </c>
      <c r="D905">
        <v>2.0299999999999998</v>
      </c>
      <c r="E905">
        <v>24.75</v>
      </c>
      <c r="F905">
        <v>7.19</v>
      </c>
      <c r="G905">
        <v>0</v>
      </c>
    </row>
    <row r="906" spans="1:7">
      <c r="A906">
        <v>70</v>
      </c>
      <c r="B906" t="s">
        <v>1039</v>
      </c>
      <c r="C906" t="s">
        <v>24</v>
      </c>
      <c r="D906">
        <v>17.88</v>
      </c>
      <c r="E906">
        <v>20.28</v>
      </c>
      <c r="F906">
        <v>51.83</v>
      </c>
      <c r="G906">
        <v>0</v>
      </c>
    </row>
    <row r="907" spans="1:7" hidden="1">
      <c r="A907">
        <v>70</v>
      </c>
      <c r="B907" t="s">
        <v>1039</v>
      </c>
      <c r="C907" t="s">
        <v>966</v>
      </c>
      <c r="D907">
        <v>0</v>
      </c>
      <c r="E907">
        <v>18.05</v>
      </c>
      <c r="F907">
        <v>0</v>
      </c>
      <c r="G907">
        <v>0</v>
      </c>
    </row>
    <row r="908" spans="1:7" hidden="1">
      <c r="A908">
        <v>70</v>
      </c>
      <c r="B908" t="s">
        <v>1039</v>
      </c>
      <c r="C908" t="s">
        <v>967</v>
      </c>
      <c r="D908">
        <v>0.36</v>
      </c>
      <c r="E908">
        <v>17.91</v>
      </c>
      <c r="F908">
        <v>0.92</v>
      </c>
      <c r="G908">
        <v>0</v>
      </c>
    </row>
    <row r="909" spans="1:7" hidden="1">
      <c r="A909">
        <v>70</v>
      </c>
      <c r="B909" t="s">
        <v>1039</v>
      </c>
      <c r="C909" t="s">
        <v>968</v>
      </c>
      <c r="D909">
        <v>1.0900000000000001</v>
      </c>
      <c r="E909">
        <v>18.09</v>
      </c>
      <c r="F909">
        <v>2.83</v>
      </c>
      <c r="G909">
        <v>0</v>
      </c>
    </row>
    <row r="910" spans="1:7" hidden="1">
      <c r="A910">
        <v>70</v>
      </c>
      <c r="B910" t="s">
        <v>1039</v>
      </c>
      <c r="C910" t="s">
        <v>969</v>
      </c>
      <c r="D910">
        <v>0.39</v>
      </c>
      <c r="E910">
        <v>24.75</v>
      </c>
      <c r="F910">
        <v>1.37</v>
      </c>
      <c r="G910">
        <v>0</v>
      </c>
    </row>
    <row r="911" spans="1:7" hidden="1">
      <c r="A911">
        <v>70</v>
      </c>
      <c r="B911" t="s">
        <v>1039</v>
      </c>
      <c r="C911" t="s">
        <v>970</v>
      </c>
      <c r="D911">
        <v>0.64</v>
      </c>
      <c r="E911">
        <v>24.75</v>
      </c>
      <c r="F911">
        <v>2.25</v>
      </c>
      <c r="G911">
        <v>0</v>
      </c>
    </row>
    <row r="912" spans="1:7" hidden="1">
      <c r="A912">
        <v>71</v>
      </c>
      <c r="B912" t="s">
        <v>1040</v>
      </c>
      <c r="C912" t="s">
        <v>959</v>
      </c>
      <c r="D912">
        <v>2.98</v>
      </c>
      <c r="E912">
        <v>18.309999999999999</v>
      </c>
      <c r="F912">
        <v>7.81</v>
      </c>
      <c r="G912">
        <v>1.1100000000000001</v>
      </c>
    </row>
    <row r="913" spans="1:7" hidden="1">
      <c r="A913">
        <v>71</v>
      </c>
      <c r="B913" t="s">
        <v>1040</v>
      </c>
      <c r="C913" t="s">
        <v>960</v>
      </c>
      <c r="D913">
        <v>3.84</v>
      </c>
      <c r="E913">
        <v>18.399999999999999</v>
      </c>
      <c r="F913">
        <v>10.08</v>
      </c>
      <c r="G913">
        <v>2.0299999999999998</v>
      </c>
    </row>
    <row r="914" spans="1:7" hidden="1">
      <c r="A914">
        <v>71</v>
      </c>
      <c r="B914" t="s">
        <v>1040</v>
      </c>
      <c r="C914" t="s">
        <v>961</v>
      </c>
      <c r="D914">
        <v>3.86</v>
      </c>
      <c r="E914">
        <v>20.059999999999999</v>
      </c>
      <c r="F914">
        <v>11.05</v>
      </c>
      <c r="G914">
        <v>1.07</v>
      </c>
    </row>
    <row r="915" spans="1:7" hidden="1">
      <c r="A915">
        <v>71</v>
      </c>
      <c r="B915" t="s">
        <v>1040</v>
      </c>
      <c r="C915" t="s">
        <v>962</v>
      </c>
      <c r="D915">
        <v>1.1599999999999999</v>
      </c>
      <c r="E915">
        <v>24.72</v>
      </c>
      <c r="F915">
        <v>4.08</v>
      </c>
      <c r="G915">
        <v>0.28000000000000003</v>
      </c>
    </row>
    <row r="916" spans="1:7" hidden="1">
      <c r="A916">
        <v>71</v>
      </c>
      <c r="B916" t="s">
        <v>1040</v>
      </c>
      <c r="C916" t="s">
        <v>963</v>
      </c>
      <c r="D916">
        <v>2.2599999999999998</v>
      </c>
      <c r="E916">
        <v>18.13</v>
      </c>
      <c r="F916">
        <v>5.87</v>
      </c>
      <c r="G916">
        <v>0.62</v>
      </c>
    </row>
    <row r="917" spans="1:7" hidden="1">
      <c r="A917">
        <v>71</v>
      </c>
      <c r="B917" t="s">
        <v>1040</v>
      </c>
      <c r="C917" t="s">
        <v>964</v>
      </c>
      <c r="D917">
        <v>0.44</v>
      </c>
      <c r="E917">
        <v>21.87</v>
      </c>
      <c r="F917">
        <v>1.36</v>
      </c>
      <c r="G917">
        <v>0.02</v>
      </c>
    </row>
    <row r="918" spans="1:7" hidden="1">
      <c r="A918">
        <v>71</v>
      </c>
      <c r="B918" t="s">
        <v>1040</v>
      </c>
      <c r="C918" t="s">
        <v>965</v>
      </c>
      <c r="D918">
        <v>1.5</v>
      </c>
      <c r="E918">
        <v>24.75</v>
      </c>
      <c r="F918">
        <v>5.29</v>
      </c>
      <c r="G918">
        <v>0.42</v>
      </c>
    </row>
    <row r="919" spans="1:7">
      <c r="A919">
        <v>71</v>
      </c>
      <c r="B919" t="s">
        <v>1040</v>
      </c>
      <c r="C919" t="s">
        <v>24</v>
      </c>
      <c r="D919">
        <v>16.03</v>
      </c>
      <c r="E919">
        <v>19.89</v>
      </c>
      <c r="F919">
        <v>45.54</v>
      </c>
      <c r="G919">
        <v>5.55</v>
      </c>
    </row>
    <row r="920" spans="1:7" hidden="1">
      <c r="A920">
        <v>71</v>
      </c>
      <c r="B920" t="s">
        <v>1040</v>
      </c>
      <c r="C920" t="s">
        <v>966</v>
      </c>
      <c r="D920">
        <v>5.74</v>
      </c>
      <c r="E920">
        <v>18.05</v>
      </c>
      <c r="F920">
        <v>14.79</v>
      </c>
      <c r="G920">
        <v>5.42</v>
      </c>
    </row>
    <row r="921" spans="1:7" hidden="1">
      <c r="A921">
        <v>71</v>
      </c>
      <c r="B921" t="s">
        <v>1040</v>
      </c>
      <c r="C921" t="s">
        <v>967</v>
      </c>
      <c r="D921">
        <v>0.48</v>
      </c>
      <c r="E921">
        <v>17.91</v>
      </c>
      <c r="F921">
        <v>1.22</v>
      </c>
      <c r="G921">
        <v>0.09</v>
      </c>
    </row>
    <row r="922" spans="1:7" hidden="1">
      <c r="A922">
        <v>71</v>
      </c>
      <c r="B922" t="s">
        <v>1040</v>
      </c>
      <c r="C922" t="s">
        <v>968</v>
      </c>
      <c r="D922">
        <v>0.77</v>
      </c>
      <c r="E922">
        <v>18.09</v>
      </c>
      <c r="F922">
        <v>1.98</v>
      </c>
      <c r="G922">
        <v>0.08</v>
      </c>
    </row>
    <row r="923" spans="1:7" hidden="1">
      <c r="A923">
        <v>71</v>
      </c>
      <c r="B923" t="s">
        <v>1040</v>
      </c>
      <c r="C923" t="s">
        <v>969</v>
      </c>
      <c r="D923">
        <v>1.34</v>
      </c>
      <c r="E923">
        <v>24.75</v>
      </c>
      <c r="F923">
        <v>4.75</v>
      </c>
      <c r="G923">
        <v>0.16</v>
      </c>
    </row>
    <row r="924" spans="1:7" hidden="1">
      <c r="A924">
        <v>71</v>
      </c>
      <c r="B924" t="s">
        <v>1040</v>
      </c>
      <c r="C924" t="s">
        <v>970</v>
      </c>
      <c r="D924">
        <v>0.21</v>
      </c>
      <c r="E924">
        <v>24.75</v>
      </c>
      <c r="F924">
        <v>0.73</v>
      </c>
      <c r="G924">
        <v>0.02</v>
      </c>
    </row>
    <row r="925" spans="1:7" hidden="1">
      <c r="A925">
        <v>72</v>
      </c>
      <c r="B925" t="s">
        <v>1041</v>
      </c>
      <c r="C925" t="s">
        <v>959</v>
      </c>
      <c r="D925">
        <v>3.43</v>
      </c>
      <c r="E925">
        <v>18.309999999999999</v>
      </c>
      <c r="F925">
        <v>8.9700000000000006</v>
      </c>
      <c r="G925">
        <v>1.96</v>
      </c>
    </row>
    <row r="926" spans="1:7" hidden="1">
      <c r="A926">
        <v>72</v>
      </c>
      <c r="B926" t="s">
        <v>1041</v>
      </c>
      <c r="C926" t="s">
        <v>960</v>
      </c>
      <c r="D926">
        <v>4.18</v>
      </c>
      <c r="E926">
        <v>18.399999999999999</v>
      </c>
      <c r="F926">
        <v>10.98</v>
      </c>
      <c r="G926">
        <v>3.08</v>
      </c>
    </row>
    <row r="927" spans="1:7" hidden="1">
      <c r="A927">
        <v>72</v>
      </c>
      <c r="B927" t="s">
        <v>1041</v>
      </c>
      <c r="C927" t="s">
        <v>961</v>
      </c>
      <c r="D927">
        <v>3.03</v>
      </c>
      <c r="E927">
        <v>20.059999999999999</v>
      </c>
      <c r="F927">
        <v>8.68</v>
      </c>
      <c r="G927">
        <v>1.24</v>
      </c>
    </row>
    <row r="928" spans="1:7" hidden="1">
      <c r="A928">
        <v>72</v>
      </c>
      <c r="B928" t="s">
        <v>1041</v>
      </c>
      <c r="C928" t="s">
        <v>962</v>
      </c>
      <c r="D928">
        <v>1.64</v>
      </c>
      <c r="E928">
        <v>24.72</v>
      </c>
      <c r="F928">
        <v>5.8</v>
      </c>
      <c r="G928">
        <v>0.48</v>
      </c>
    </row>
    <row r="929" spans="1:7" hidden="1">
      <c r="A929">
        <v>72</v>
      </c>
      <c r="B929" t="s">
        <v>1041</v>
      </c>
      <c r="C929" t="s">
        <v>963</v>
      </c>
      <c r="D929">
        <v>2.69</v>
      </c>
      <c r="E929">
        <v>18.13</v>
      </c>
      <c r="F929">
        <v>6.98</v>
      </c>
      <c r="G929">
        <v>1.18</v>
      </c>
    </row>
    <row r="930" spans="1:7" hidden="1">
      <c r="A930">
        <v>72</v>
      </c>
      <c r="B930" t="s">
        <v>1041</v>
      </c>
      <c r="C930" t="s">
        <v>964</v>
      </c>
      <c r="D930">
        <v>1</v>
      </c>
      <c r="E930">
        <v>21.87</v>
      </c>
      <c r="F930">
        <v>3.12</v>
      </c>
      <c r="G930">
        <v>0.05</v>
      </c>
    </row>
    <row r="931" spans="1:7" hidden="1">
      <c r="A931">
        <v>72</v>
      </c>
      <c r="B931" t="s">
        <v>1041</v>
      </c>
      <c r="C931" t="s">
        <v>965</v>
      </c>
      <c r="D931">
        <v>1.66</v>
      </c>
      <c r="E931">
        <v>24.75</v>
      </c>
      <c r="F931">
        <v>5.85</v>
      </c>
      <c r="G931">
        <v>0.7</v>
      </c>
    </row>
    <row r="932" spans="1:7">
      <c r="A932">
        <v>72</v>
      </c>
      <c r="B932" t="s">
        <v>1041</v>
      </c>
      <c r="C932" t="s">
        <v>24</v>
      </c>
      <c r="D932">
        <v>17.63</v>
      </c>
      <c r="E932">
        <v>20.010000000000002</v>
      </c>
      <c r="F932">
        <v>50.39</v>
      </c>
      <c r="G932">
        <v>8.69</v>
      </c>
    </row>
    <row r="933" spans="1:7" hidden="1">
      <c r="A933">
        <v>72</v>
      </c>
      <c r="B933" t="s">
        <v>1041</v>
      </c>
      <c r="C933" t="s">
        <v>966</v>
      </c>
      <c r="D933">
        <v>8.31</v>
      </c>
      <c r="E933">
        <v>18.05</v>
      </c>
      <c r="F933">
        <v>21.44</v>
      </c>
      <c r="G933">
        <v>7.98</v>
      </c>
    </row>
    <row r="934" spans="1:7" hidden="1">
      <c r="A934">
        <v>72</v>
      </c>
      <c r="B934" t="s">
        <v>1041</v>
      </c>
      <c r="C934" t="s">
        <v>967</v>
      </c>
      <c r="D934">
        <v>0.32</v>
      </c>
      <c r="E934">
        <v>17.91</v>
      </c>
      <c r="F934">
        <v>0.81</v>
      </c>
      <c r="G934">
        <v>0.09</v>
      </c>
    </row>
    <row r="935" spans="1:7" hidden="1">
      <c r="A935">
        <v>72</v>
      </c>
      <c r="B935" t="s">
        <v>1041</v>
      </c>
      <c r="C935" t="s">
        <v>968</v>
      </c>
      <c r="D935">
        <v>0.56000000000000005</v>
      </c>
      <c r="E935">
        <v>18.09</v>
      </c>
      <c r="F935">
        <v>1.44</v>
      </c>
      <c r="G935">
        <v>0.11</v>
      </c>
    </row>
    <row r="936" spans="1:7" hidden="1">
      <c r="A936">
        <v>72</v>
      </c>
      <c r="B936" t="s">
        <v>1041</v>
      </c>
      <c r="C936" t="s">
        <v>969</v>
      </c>
      <c r="D936">
        <v>1.21</v>
      </c>
      <c r="E936">
        <v>24.75</v>
      </c>
      <c r="F936">
        <v>4.26</v>
      </c>
      <c r="G936">
        <v>0.22</v>
      </c>
    </row>
    <row r="937" spans="1:7" hidden="1">
      <c r="A937">
        <v>72</v>
      </c>
      <c r="B937" t="s">
        <v>1041</v>
      </c>
      <c r="C937" t="s">
        <v>970</v>
      </c>
      <c r="D937">
        <v>0.32</v>
      </c>
      <c r="E937">
        <v>24.75</v>
      </c>
      <c r="F937">
        <v>1.1200000000000001</v>
      </c>
      <c r="G937">
        <v>0.03</v>
      </c>
    </row>
    <row r="938" spans="1:7" hidden="1">
      <c r="A938">
        <v>73</v>
      </c>
      <c r="B938" t="s">
        <v>1042</v>
      </c>
      <c r="C938" t="s">
        <v>959</v>
      </c>
      <c r="D938">
        <v>3.33</v>
      </c>
      <c r="E938">
        <v>18.309999999999999</v>
      </c>
      <c r="F938">
        <v>8.6999999999999993</v>
      </c>
      <c r="G938">
        <v>0.75</v>
      </c>
    </row>
    <row r="939" spans="1:7" hidden="1">
      <c r="A939">
        <v>73</v>
      </c>
      <c r="B939" t="s">
        <v>1042</v>
      </c>
      <c r="C939" t="s">
        <v>960</v>
      </c>
      <c r="D939">
        <v>3.94</v>
      </c>
      <c r="E939">
        <v>18.399999999999999</v>
      </c>
      <c r="F939">
        <v>10.36</v>
      </c>
      <c r="G939">
        <v>1.94</v>
      </c>
    </row>
    <row r="940" spans="1:7" hidden="1">
      <c r="A940">
        <v>73</v>
      </c>
      <c r="B940" t="s">
        <v>1042</v>
      </c>
      <c r="C940" t="s">
        <v>961</v>
      </c>
      <c r="D940">
        <v>4.8099999999999996</v>
      </c>
      <c r="E940">
        <v>20.059999999999999</v>
      </c>
      <c r="F940">
        <v>13.79</v>
      </c>
      <c r="G940">
        <v>1.18</v>
      </c>
    </row>
    <row r="941" spans="1:7" hidden="1">
      <c r="A941">
        <v>73</v>
      </c>
      <c r="B941" t="s">
        <v>1042</v>
      </c>
      <c r="C941" t="s">
        <v>962</v>
      </c>
      <c r="D941">
        <v>0.88</v>
      </c>
      <c r="E941">
        <v>24.72</v>
      </c>
      <c r="F941">
        <v>3.12</v>
      </c>
      <c r="G941">
        <v>0.15</v>
      </c>
    </row>
    <row r="942" spans="1:7" hidden="1">
      <c r="A942">
        <v>73</v>
      </c>
      <c r="B942" t="s">
        <v>1042</v>
      </c>
      <c r="C942" t="s">
        <v>963</v>
      </c>
      <c r="D942">
        <v>1.88</v>
      </c>
      <c r="E942">
        <v>18.13</v>
      </c>
      <c r="F942">
        <v>4.87</v>
      </c>
      <c r="G942">
        <v>0.27</v>
      </c>
    </row>
    <row r="943" spans="1:7" hidden="1">
      <c r="A943">
        <v>73</v>
      </c>
      <c r="B943" t="s">
        <v>1042</v>
      </c>
      <c r="C943" t="s">
        <v>964</v>
      </c>
      <c r="D943">
        <v>0.03</v>
      </c>
      <c r="E943">
        <v>21.87</v>
      </c>
      <c r="F943">
        <v>0.1</v>
      </c>
      <c r="G943">
        <v>0</v>
      </c>
    </row>
    <row r="944" spans="1:7" hidden="1">
      <c r="A944">
        <v>73</v>
      </c>
      <c r="B944" t="s">
        <v>1042</v>
      </c>
      <c r="C944" t="s">
        <v>965</v>
      </c>
      <c r="D944">
        <v>1.37</v>
      </c>
      <c r="E944">
        <v>24.75</v>
      </c>
      <c r="F944">
        <v>4.83</v>
      </c>
      <c r="G944">
        <v>0.24</v>
      </c>
    </row>
    <row r="945" spans="1:7">
      <c r="A945">
        <v>73</v>
      </c>
      <c r="B945" t="s">
        <v>1042</v>
      </c>
      <c r="C945" t="s">
        <v>24</v>
      </c>
      <c r="D945">
        <v>16.239999999999998</v>
      </c>
      <c r="E945">
        <v>19.73</v>
      </c>
      <c r="F945">
        <v>45.77</v>
      </c>
      <c r="G945">
        <v>4.54</v>
      </c>
    </row>
    <row r="946" spans="1:7" hidden="1">
      <c r="A946">
        <v>73</v>
      </c>
      <c r="B946" t="s">
        <v>1042</v>
      </c>
      <c r="C946" t="s">
        <v>966</v>
      </c>
      <c r="D946">
        <v>4.5199999999999996</v>
      </c>
      <c r="E946">
        <v>18.05</v>
      </c>
      <c r="F946">
        <v>11.65</v>
      </c>
      <c r="G946">
        <v>4.1100000000000003</v>
      </c>
    </row>
    <row r="947" spans="1:7" hidden="1">
      <c r="A947">
        <v>73</v>
      </c>
      <c r="B947" t="s">
        <v>1042</v>
      </c>
      <c r="C947" t="s">
        <v>967</v>
      </c>
      <c r="D947">
        <v>0.4</v>
      </c>
      <c r="E947">
        <v>17.91</v>
      </c>
      <c r="F947">
        <v>1.02</v>
      </c>
      <c r="G947">
        <v>0.05</v>
      </c>
    </row>
    <row r="948" spans="1:7" hidden="1">
      <c r="A948">
        <v>73</v>
      </c>
      <c r="B948" t="s">
        <v>1042</v>
      </c>
      <c r="C948" t="s">
        <v>968</v>
      </c>
      <c r="D948">
        <v>1.03</v>
      </c>
      <c r="E948">
        <v>18.09</v>
      </c>
      <c r="F948">
        <v>2.66</v>
      </c>
      <c r="G948">
        <v>0.1</v>
      </c>
    </row>
    <row r="949" spans="1:7" hidden="1">
      <c r="A949">
        <v>73</v>
      </c>
      <c r="B949" t="s">
        <v>1042</v>
      </c>
      <c r="C949" t="s">
        <v>969</v>
      </c>
      <c r="D949">
        <v>1.48</v>
      </c>
      <c r="E949">
        <v>24.75</v>
      </c>
      <c r="F949">
        <v>5.22</v>
      </c>
      <c r="G949">
        <v>0.16</v>
      </c>
    </row>
    <row r="950" spans="1:7" hidden="1">
      <c r="A950">
        <v>73</v>
      </c>
      <c r="B950" t="s">
        <v>1042</v>
      </c>
      <c r="C950" t="s">
        <v>970</v>
      </c>
      <c r="D950">
        <v>0.13</v>
      </c>
      <c r="E950">
        <v>24.75</v>
      </c>
      <c r="F950">
        <v>0.44</v>
      </c>
      <c r="G950">
        <v>0.02</v>
      </c>
    </row>
    <row r="951" spans="1:7" hidden="1">
      <c r="A951">
        <v>74</v>
      </c>
      <c r="B951" t="s">
        <v>1043</v>
      </c>
      <c r="C951" t="s">
        <v>959</v>
      </c>
      <c r="D951">
        <v>2.17</v>
      </c>
      <c r="E951">
        <v>18.309999999999999</v>
      </c>
      <c r="F951">
        <v>5.67</v>
      </c>
      <c r="G951">
        <v>0.01</v>
      </c>
    </row>
    <row r="952" spans="1:7" hidden="1">
      <c r="A952">
        <v>74</v>
      </c>
      <c r="B952" t="s">
        <v>1043</v>
      </c>
      <c r="C952" t="s">
        <v>960</v>
      </c>
      <c r="D952">
        <v>2.67</v>
      </c>
      <c r="E952">
        <v>18.399999999999999</v>
      </c>
      <c r="F952">
        <v>7.03</v>
      </c>
      <c r="G952">
        <v>0</v>
      </c>
    </row>
    <row r="953" spans="1:7" hidden="1">
      <c r="A953">
        <v>74</v>
      </c>
      <c r="B953" t="s">
        <v>1043</v>
      </c>
      <c r="C953" t="s">
        <v>961</v>
      </c>
      <c r="D953">
        <v>5.33</v>
      </c>
      <c r="E953">
        <v>20.059999999999999</v>
      </c>
      <c r="F953">
        <v>15.28</v>
      </c>
      <c r="G953">
        <v>0</v>
      </c>
    </row>
    <row r="954" spans="1:7" hidden="1">
      <c r="A954">
        <v>74</v>
      </c>
      <c r="B954" t="s">
        <v>1043</v>
      </c>
      <c r="C954" t="s">
        <v>962</v>
      </c>
      <c r="D954">
        <v>1</v>
      </c>
      <c r="E954">
        <v>24.72</v>
      </c>
      <c r="F954">
        <v>3.53</v>
      </c>
      <c r="G954">
        <v>0</v>
      </c>
    </row>
    <row r="955" spans="1:7" hidden="1">
      <c r="A955">
        <v>74</v>
      </c>
      <c r="B955" t="s">
        <v>1043</v>
      </c>
      <c r="C955" t="s">
        <v>963</v>
      </c>
      <c r="D955">
        <v>1.85</v>
      </c>
      <c r="E955">
        <v>18.13</v>
      </c>
      <c r="F955">
        <v>4.79</v>
      </c>
      <c r="G955">
        <v>0</v>
      </c>
    </row>
    <row r="956" spans="1:7" hidden="1">
      <c r="A956">
        <v>74</v>
      </c>
      <c r="B956" t="s">
        <v>1043</v>
      </c>
      <c r="C956" t="s">
        <v>964</v>
      </c>
      <c r="D956">
        <v>0.22</v>
      </c>
      <c r="E956">
        <v>21.87</v>
      </c>
      <c r="F956">
        <v>0.68</v>
      </c>
      <c r="G956">
        <v>0</v>
      </c>
    </row>
    <row r="957" spans="1:7" hidden="1">
      <c r="A957">
        <v>74</v>
      </c>
      <c r="B957" t="s">
        <v>1043</v>
      </c>
      <c r="C957" t="s">
        <v>965</v>
      </c>
      <c r="D957">
        <v>1.57</v>
      </c>
      <c r="E957">
        <v>24.75</v>
      </c>
      <c r="F957">
        <v>5.55</v>
      </c>
      <c r="G957">
        <v>0</v>
      </c>
    </row>
    <row r="958" spans="1:7">
      <c r="A958">
        <v>74</v>
      </c>
      <c r="B958" t="s">
        <v>1043</v>
      </c>
      <c r="C958" t="s">
        <v>24</v>
      </c>
      <c r="D958">
        <v>14.81</v>
      </c>
      <c r="E958">
        <v>20.100000000000001</v>
      </c>
      <c r="F958">
        <v>42.54</v>
      </c>
      <c r="G958">
        <v>0.01</v>
      </c>
    </row>
    <row r="959" spans="1:7" hidden="1">
      <c r="A959">
        <v>74</v>
      </c>
      <c r="B959" t="s">
        <v>1043</v>
      </c>
      <c r="C959" t="s">
        <v>966</v>
      </c>
      <c r="D959">
        <v>0</v>
      </c>
      <c r="E959">
        <v>18.05</v>
      </c>
      <c r="F959">
        <v>0</v>
      </c>
      <c r="G959">
        <v>0</v>
      </c>
    </row>
    <row r="960" spans="1:7" hidden="1">
      <c r="A960">
        <v>74</v>
      </c>
      <c r="B960" t="s">
        <v>1043</v>
      </c>
      <c r="C960" t="s">
        <v>967</v>
      </c>
      <c r="D960">
        <v>0.65</v>
      </c>
      <c r="E960">
        <v>17.91</v>
      </c>
      <c r="F960">
        <v>1.66</v>
      </c>
      <c r="G960">
        <v>0</v>
      </c>
    </row>
    <row r="961" spans="1:7" hidden="1">
      <c r="A961">
        <v>74</v>
      </c>
      <c r="B961" t="s">
        <v>1043</v>
      </c>
      <c r="C961" t="s">
        <v>968</v>
      </c>
      <c r="D961">
        <v>1.22</v>
      </c>
      <c r="E961">
        <v>18.09</v>
      </c>
      <c r="F961">
        <v>3.15</v>
      </c>
      <c r="G961">
        <v>0</v>
      </c>
    </row>
    <row r="962" spans="1:7" hidden="1">
      <c r="A962">
        <v>74</v>
      </c>
      <c r="B962" t="s">
        <v>1043</v>
      </c>
      <c r="C962" t="s">
        <v>969</v>
      </c>
      <c r="D962">
        <v>0.28999999999999998</v>
      </c>
      <c r="E962">
        <v>24.75</v>
      </c>
      <c r="F962">
        <v>1.01</v>
      </c>
      <c r="G962">
        <v>0</v>
      </c>
    </row>
    <row r="963" spans="1:7" hidden="1">
      <c r="A963">
        <v>74</v>
      </c>
      <c r="B963" t="s">
        <v>1043</v>
      </c>
      <c r="C963" t="s">
        <v>970</v>
      </c>
      <c r="D963">
        <v>0.32</v>
      </c>
      <c r="E963">
        <v>24.75</v>
      </c>
      <c r="F963">
        <v>1.1299999999999999</v>
      </c>
      <c r="G963">
        <v>0</v>
      </c>
    </row>
    <row r="964" spans="1:7" hidden="1">
      <c r="A964">
        <v>75</v>
      </c>
      <c r="B964" t="s">
        <v>1044</v>
      </c>
      <c r="C964" t="s">
        <v>959</v>
      </c>
      <c r="D964">
        <v>1.73</v>
      </c>
      <c r="E964">
        <v>18.309999999999999</v>
      </c>
      <c r="F964">
        <v>4.53</v>
      </c>
      <c r="G964">
        <v>0.02</v>
      </c>
    </row>
    <row r="965" spans="1:7" hidden="1">
      <c r="A965">
        <v>75</v>
      </c>
      <c r="B965" t="s">
        <v>1044</v>
      </c>
      <c r="C965" t="s">
        <v>960</v>
      </c>
      <c r="D965">
        <v>2.4300000000000002</v>
      </c>
      <c r="E965">
        <v>18.399999999999999</v>
      </c>
      <c r="F965">
        <v>6.39</v>
      </c>
      <c r="G965">
        <v>0</v>
      </c>
    </row>
    <row r="966" spans="1:7" hidden="1">
      <c r="A966">
        <v>75</v>
      </c>
      <c r="B966" t="s">
        <v>1044</v>
      </c>
      <c r="C966" t="s">
        <v>961</v>
      </c>
      <c r="D966">
        <v>4.79</v>
      </c>
      <c r="E966">
        <v>20.059999999999999</v>
      </c>
      <c r="F966">
        <v>13.72</v>
      </c>
      <c r="G966">
        <v>0</v>
      </c>
    </row>
    <row r="967" spans="1:7" hidden="1">
      <c r="A967">
        <v>75</v>
      </c>
      <c r="B967" t="s">
        <v>1044</v>
      </c>
      <c r="C967" t="s">
        <v>962</v>
      </c>
      <c r="D967">
        <v>0.62</v>
      </c>
      <c r="E967">
        <v>24.72</v>
      </c>
      <c r="F967">
        <v>2.2000000000000002</v>
      </c>
      <c r="G967">
        <v>0</v>
      </c>
    </row>
    <row r="968" spans="1:7" hidden="1">
      <c r="A968">
        <v>75</v>
      </c>
      <c r="B968" t="s">
        <v>1044</v>
      </c>
      <c r="C968" t="s">
        <v>963</v>
      </c>
      <c r="D968">
        <v>1.75</v>
      </c>
      <c r="E968">
        <v>18.13</v>
      </c>
      <c r="F968">
        <v>4.54</v>
      </c>
      <c r="G968">
        <v>0</v>
      </c>
    </row>
    <row r="969" spans="1:7" hidden="1">
      <c r="A969">
        <v>75</v>
      </c>
      <c r="B969" t="s">
        <v>1044</v>
      </c>
      <c r="C969" t="s">
        <v>964</v>
      </c>
      <c r="D969">
        <v>0.14000000000000001</v>
      </c>
      <c r="E969">
        <v>21.87</v>
      </c>
      <c r="F969">
        <v>0.45</v>
      </c>
      <c r="G969">
        <v>0</v>
      </c>
    </row>
    <row r="970" spans="1:7" hidden="1">
      <c r="A970">
        <v>75</v>
      </c>
      <c r="B970" t="s">
        <v>1044</v>
      </c>
      <c r="C970" t="s">
        <v>965</v>
      </c>
      <c r="D970">
        <v>1.1299999999999999</v>
      </c>
      <c r="E970">
        <v>24.75</v>
      </c>
      <c r="F970">
        <v>3.99</v>
      </c>
      <c r="G970">
        <v>0</v>
      </c>
    </row>
    <row r="971" spans="1:7">
      <c r="A971">
        <v>75</v>
      </c>
      <c r="B971" t="s">
        <v>1044</v>
      </c>
      <c r="C971" t="s">
        <v>24</v>
      </c>
      <c r="D971">
        <v>12.6</v>
      </c>
      <c r="E971">
        <v>19.899999999999999</v>
      </c>
      <c r="F971">
        <v>35.82</v>
      </c>
      <c r="G971">
        <v>0.02</v>
      </c>
    </row>
    <row r="972" spans="1:7" hidden="1">
      <c r="A972">
        <v>75</v>
      </c>
      <c r="B972" t="s">
        <v>1044</v>
      </c>
      <c r="C972" t="s">
        <v>966</v>
      </c>
      <c r="D972">
        <v>0</v>
      </c>
      <c r="E972">
        <v>18.05</v>
      </c>
      <c r="F972">
        <v>0</v>
      </c>
      <c r="G972">
        <v>0</v>
      </c>
    </row>
    <row r="973" spans="1:7" hidden="1">
      <c r="A973">
        <v>75</v>
      </c>
      <c r="B973" t="s">
        <v>1044</v>
      </c>
      <c r="C973" t="s">
        <v>967</v>
      </c>
      <c r="D973">
        <v>0.94</v>
      </c>
      <c r="E973">
        <v>17.91</v>
      </c>
      <c r="F973">
        <v>2.4</v>
      </c>
      <c r="G973">
        <v>0</v>
      </c>
    </row>
    <row r="974" spans="1:7" hidden="1">
      <c r="A974">
        <v>75</v>
      </c>
      <c r="B974" t="s">
        <v>1044</v>
      </c>
      <c r="C974" t="s">
        <v>968</v>
      </c>
      <c r="D974">
        <v>1.74</v>
      </c>
      <c r="E974">
        <v>18.09</v>
      </c>
      <c r="F974">
        <v>4.51</v>
      </c>
      <c r="G974">
        <v>0</v>
      </c>
    </row>
    <row r="975" spans="1:7" hidden="1">
      <c r="A975">
        <v>75</v>
      </c>
      <c r="B975" t="s">
        <v>1044</v>
      </c>
      <c r="C975" t="s">
        <v>969</v>
      </c>
      <c r="D975">
        <v>0.36</v>
      </c>
      <c r="E975">
        <v>24.75</v>
      </c>
      <c r="F975">
        <v>1.26</v>
      </c>
      <c r="G975">
        <v>0</v>
      </c>
    </row>
    <row r="976" spans="1:7" hidden="1">
      <c r="A976">
        <v>75</v>
      </c>
      <c r="B976" t="s">
        <v>1044</v>
      </c>
      <c r="C976" t="s">
        <v>970</v>
      </c>
      <c r="D976">
        <v>0.38</v>
      </c>
      <c r="E976">
        <v>24.75</v>
      </c>
      <c r="F976">
        <v>1.35</v>
      </c>
      <c r="G976">
        <v>0</v>
      </c>
    </row>
    <row r="977" spans="1:7" hidden="1">
      <c r="A977">
        <v>76</v>
      </c>
      <c r="B977" t="s">
        <v>1045</v>
      </c>
      <c r="C977" t="s">
        <v>959</v>
      </c>
      <c r="D977">
        <v>2</v>
      </c>
      <c r="E977">
        <v>18.309999999999999</v>
      </c>
      <c r="F977">
        <v>5.24</v>
      </c>
      <c r="G977">
        <v>0</v>
      </c>
    </row>
    <row r="978" spans="1:7" hidden="1">
      <c r="A978">
        <v>76</v>
      </c>
      <c r="B978" t="s">
        <v>1045</v>
      </c>
      <c r="C978" t="s">
        <v>960</v>
      </c>
      <c r="D978">
        <v>2.71</v>
      </c>
      <c r="E978">
        <v>18.399999999999999</v>
      </c>
      <c r="F978">
        <v>7.13</v>
      </c>
      <c r="G978">
        <v>0</v>
      </c>
    </row>
    <row r="979" spans="1:7" hidden="1">
      <c r="A979">
        <v>76</v>
      </c>
      <c r="B979" t="s">
        <v>1045</v>
      </c>
      <c r="C979" t="s">
        <v>961</v>
      </c>
      <c r="D979">
        <v>4.83</v>
      </c>
      <c r="E979">
        <v>20.059999999999999</v>
      </c>
      <c r="F979">
        <v>13.85</v>
      </c>
      <c r="G979">
        <v>0</v>
      </c>
    </row>
    <row r="980" spans="1:7" hidden="1">
      <c r="A980">
        <v>76</v>
      </c>
      <c r="B980" t="s">
        <v>1045</v>
      </c>
      <c r="C980" t="s">
        <v>962</v>
      </c>
      <c r="D980">
        <v>1.04</v>
      </c>
      <c r="E980">
        <v>24.72</v>
      </c>
      <c r="F980">
        <v>3.68</v>
      </c>
      <c r="G980">
        <v>0</v>
      </c>
    </row>
    <row r="981" spans="1:7" hidden="1">
      <c r="A981">
        <v>76</v>
      </c>
      <c r="B981" t="s">
        <v>1045</v>
      </c>
      <c r="C981" t="s">
        <v>963</v>
      </c>
      <c r="D981">
        <v>1.86</v>
      </c>
      <c r="E981">
        <v>18.13</v>
      </c>
      <c r="F981">
        <v>4.82</v>
      </c>
      <c r="G981">
        <v>0</v>
      </c>
    </row>
    <row r="982" spans="1:7" hidden="1">
      <c r="A982">
        <v>76</v>
      </c>
      <c r="B982" t="s">
        <v>1045</v>
      </c>
      <c r="C982" t="s">
        <v>964</v>
      </c>
      <c r="D982">
        <v>0.28000000000000003</v>
      </c>
      <c r="E982">
        <v>21.87</v>
      </c>
      <c r="F982">
        <v>0.87</v>
      </c>
      <c r="G982">
        <v>0</v>
      </c>
    </row>
    <row r="983" spans="1:7" hidden="1">
      <c r="A983">
        <v>76</v>
      </c>
      <c r="B983" t="s">
        <v>1045</v>
      </c>
      <c r="C983" t="s">
        <v>965</v>
      </c>
      <c r="D983">
        <v>1.76</v>
      </c>
      <c r="E983">
        <v>24.75</v>
      </c>
      <c r="F983">
        <v>6.22</v>
      </c>
      <c r="G983">
        <v>0</v>
      </c>
    </row>
    <row r="984" spans="1:7">
      <c r="A984">
        <v>76</v>
      </c>
      <c r="B984" t="s">
        <v>1045</v>
      </c>
      <c r="C984" t="s">
        <v>24</v>
      </c>
      <c r="D984">
        <v>14.49</v>
      </c>
      <c r="E984">
        <v>20.2</v>
      </c>
      <c r="F984">
        <v>41.81</v>
      </c>
      <c r="G984">
        <v>0</v>
      </c>
    </row>
    <row r="985" spans="1:7" hidden="1">
      <c r="A985">
        <v>76</v>
      </c>
      <c r="B985" t="s">
        <v>1045</v>
      </c>
      <c r="C985" t="s">
        <v>966</v>
      </c>
      <c r="D985">
        <v>0</v>
      </c>
      <c r="E985">
        <v>18.05</v>
      </c>
      <c r="F985">
        <v>0</v>
      </c>
      <c r="G985">
        <v>0</v>
      </c>
    </row>
    <row r="986" spans="1:7" hidden="1">
      <c r="A986">
        <v>76</v>
      </c>
      <c r="B986" t="s">
        <v>1045</v>
      </c>
      <c r="C986" t="s">
        <v>967</v>
      </c>
      <c r="D986">
        <v>0.62</v>
      </c>
      <c r="E986">
        <v>17.91</v>
      </c>
      <c r="F986">
        <v>1.6</v>
      </c>
      <c r="G986">
        <v>0</v>
      </c>
    </row>
    <row r="987" spans="1:7" hidden="1">
      <c r="A987">
        <v>76</v>
      </c>
      <c r="B987" t="s">
        <v>1045</v>
      </c>
      <c r="C987" t="s">
        <v>968</v>
      </c>
      <c r="D987">
        <v>1.1399999999999999</v>
      </c>
      <c r="E987">
        <v>18.09</v>
      </c>
      <c r="F987">
        <v>2.93</v>
      </c>
      <c r="G987">
        <v>0</v>
      </c>
    </row>
    <row r="988" spans="1:7" hidden="1">
      <c r="A988">
        <v>76</v>
      </c>
      <c r="B988" t="s">
        <v>1045</v>
      </c>
      <c r="C988" t="s">
        <v>969</v>
      </c>
      <c r="D988">
        <v>0.27</v>
      </c>
      <c r="E988">
        <v>24.75</v>
      </c>
      <c r="F988">
        <v>0.94</v>
      </c>
      <c r="G988">
        <v>0</v>
      </c>
    </row>
    <row r="989" spans="1:7" hidden="1">
      <c r="A989">
        <v>76</v>
      </c>
      <c r="B989" t="s">
        <v>1045</v>
      </c>
      <c r="C989" t="s">
        <v>970</v>
      </c>
      <c r="D989">
        <v>0.26</v>
      </c>
      <c r="E989">
        <v>24.75</v>
      </c>
      <c r="F989">
        <v>0.92</v>
      </c>
      <c r="G989">
        <v>0</v>
      </c>
    </row>
    <row r="990" spans="1:7" hidden="1">
      <c r="A990">
        <v>77</v>
      </c>
      <c r="B990" t="s">
        <v>1046</v>
      </c>
      <c r="C990" t="s">
        <v>959</v>
      </c>
      <c r="D990">
        <v>2.4700000000000002</v>
      </c>
      <c r="E990">
        <v>18.309999999999999</v>
      </c>
      <c r="F990">
        <v>6.47</v>
      </c>
      <c r="G990">
        <v>0.01</v>
      </c>
    </row>
    <row r="991" spans="1:7" hidden="1">
      <c r="A991">
        <v>77</v>
      </c>
      <c r="B991" t="s">
        <v>1046</v>
      </c>
      <c r="C991" t="s">
        <v>960</v>
      </c>
      <c r="D991">
        <v>2.6</v>
      </c>
      <c r="E991">
        <v>18.399999999999999</v>
      </c>
      <c r="F991">
        <v>6.83</v>
      </c>
      <c r="G991">
        <v>0.01</v>
      </c>
    </row>
    <row r="992" spans="1:7" hidden="1">
      <c r="A992">
        <v>77</v>
      </c>
      <c r="B992" t="s">
        <v>1046</v>
      </c>
      <c r="C992" t="s">
        <v>961</v>
      </c>
      <c r="D992">
        <v>5.18</v>
      </c>
      <c r="E992">
        <v>20.059999999999999</v>
      </c>
      <c r="F992">
        <v>14.84</v>
      </c>
      <c r="G992">
        <v>0</v>
      </c>
    </row>
    <row r="993" spans="1:7" hidden="1">
      <c r="A993">
        <v>77</v>
      </c>
      <c r="B993" t="s">
        <v>1046</v>
      </c>
      <c r="C993" t="s">
        <v>962</v>
      </c>
      <c r="D993">
        <v>1</v>
      </c>
      <c r="E993">
        <v>24.72</v>
      </c>
      <c r="F993">
        <v>3.55</v>
      </c>
      <c r="G993">
        <v>0</v>
      </c>
    </row>
    <row r="994" spans="1:7" hidden="1">
      <c r="A994">
        <v>77</v>
      </c>
      <c r="B994" t="s">
        <v>1046</v>
      </c>
      <c r="C994" t="s">
        <v>963</v>
      </c>
      <c r="D994">
        <v>1.79</v>
      </c>
      <c r="E994">
        <v>18.13</v>
      </c>
      <c r="F994">
        <v>4.6500000000000004</v>
      </c>
      <c r="G994">
        <v>0</v>
      </c>
    </row>
    <row r="995" spans="1:7" hidden="1">
      <c r="A995">
        <v>77</v>
      </c>
      <c r="B995" t="s">
        <v>1046</v>
      </c>
      <c r="C995" t="s">
        <v>964</v>
      </c>
      <c r="D995">
        <v>0.19</v>
      </c>
      <c r="E995">
        <v>21.87</v>
      </c>
      <c r="F995">
        <v>0.6</v>
      </c>
      <c r="G995">
        <v>0</v>
      </c>
    </row>
    <row r="996" spans="1:7" hidden="1">
      <c r="A996">
        <v>77</v>
      </c>
      <c r="B996" t="s">
        <v>1046</v>
      </c>
      <c r="C996" t="s">
        <v>965</v>
      </c>
      <c r="D996">
        <v>1.59</v>
      </c>
      <c r="E996">
        <v>24.75</v>
      </c>
      <c r="F996">
        <v>5.62</v>
      </c>
      <c r="G996">
        <v>0</v>
      </c>
    </row>
    <row r="997" spans="1:7">
      <c r="A997">
        <v>77</v>
      </c>
      <c r="B997" t="s">
        <v>1046</v>
      </c>
      <c r="C997" t="s">
        <v>24</v>
      </c>
      <c r="D997">
        <v>14.83</v>
      </c>
      <c r="E997">
        <v>20.079999999999998</v>
      </c>
      <c r="F997">
        <v>42.55</v>
      </c>
      <c r="G997">
        <v>0.02</v>
      </c>
    </row>
    <row r="998" spans="1:7" hidden="1">
      <c r="A998">
        <v>77</v>
      </c>
      <c r="B998" t="s">
        <v>1046</v>
      </c>
      <c r="C998" t="s">
        <v>966</v>
      </c>
      <c r="D998">
        <v>0.01</v>
      </c>
      <c r="E998">
        <v>18.05</v>
      </c>
      <c r="F998">
        <v>0.04</v>
      </c>
      <c r="G998">
        <v>0.01</v>
      </c>
    </row>
    <row r="999" spans="1:7" hidden="1">
      <c r="A999">
        <v>77</v>
      </c>
      <c r="B999" t="s">
        <v>1046</v>
      </c>
      <c r="C999" t="s">
        <v>967</v>
      </c>
      <c r="D999">
        <v>0.72</v>
      </c>
      <c r="E999">
        <v>17.91</v>
      </c>
      <c r="F999">
        <v>1.83</v>
      </c>
      <c r="G999">
        <v>0</v>
      </c>
    </row>
    <row r="1000" spans="1:7" hidden="1">
      <c r="A1000">
        <v>77</v>
      </c>
      <c r="B1000" t="s">
        <v>1046</v>
      </c>
      <c r="C1000" t="s">
        <v>968</v>
      </c>
      <c r="D1000">
        <v>1.28</v>
      </c>
      <c r="E1000">
        <v>18.09</v>
      </c>
      <c r="F1000">
        <v>3.31</v>
      </c>
      <c r="G1000">
        <v>0</v>
      </c>
    </row>
    <row r="1001" spans="1:7" hidden="1">
      <c r="A1001">
        <v>77</v>
      </c>
      <c r="B1001" t="s">
        <v>1046</v>
      </c>
      <c r="C1001" t="s">
        <v>969</v>
      </c>
      <c r="D1001">
        <v>0.32</v>
      </c>
      <c r="E1001">
        <v>24.75</v>
      </c>
      <c r="F1001">
        <v>1.1200000000000001</v>
      </c>
      <c r="G1001">
        <v>0</v>
      </c>
    </row>
    <row r="1002" spans="1:7" hidden="1">
      <c r="A1002">
        <v>77</v>
      </c>
      <c r="B1002" t="s">
        <v>1046</v>
      </c>
      <c r="C1002" t="s">
        <v>970</v>
      </c>
      <c r="D1002">
        <v>0.35</v>
      </c>
      <c r="E1002">
        <v>24.75</v>
      </c>
      <c r="F1002">
        <v>1.25</v>
      </c>
      <c r="G1002">
        <v>0</v>
      </c>
    </row>
    <row r="1003" spans="1:7" hidden="1">
      <c r="A1003">
        <v>78</v>
      </c>
      <c r="B1003" t="s">
        <v>1047</v>
      </c>
      <c r="C1003" t="s">
        <v>959</v>
      </c>
      <c r="D1003">
        <v>2.19</v>
      </c>
      <c r="E1003">
        <v>18.309999999999999</v>
      </c>
      <c r="F1003">
        <v>5.72</v>
      </c>
      <c r="G1003">
        <v>0</v>
      </c>
    </row>
    <row r="1004" spans="1:7" hidden="1">
      <c r="A1004">
        <v>78</v>
      </c>
      <c r="B1004" t="s">
        <v>1047</v>
      </c>
      <c r="C1004" t="s">
        <v>960</v>
      </c>
      <c r="D1004">
        <v>2.5</v>
      </c>
      <c r="E1004">
        <v>18.399999999999999</v>
      </c>
      <c r="F1004">
        <v>6.56</v>
      </c>
      <c r="G1004">
        <v>0</v>
      </c>
    </row>
    <row r="1005" spans="1:7" hidden="1">
      <c r="A1005">
        <v>78</v>
      </c>
      <c r="B1005" t="s">
        <v>1047</v>
      </c>
      <c r="C1005" t="s">
        <v>961</v>
      </c>
      <c r="D1005">
        <v>4.97</v>
      </c>
      <c r="E1005">
        <v>20.059999999999999</v>
      </c>
      <c r="F1005">
        <v>14.24</v>
      </c>
      <c r="G1005">
        <v>0</v>
      </c>
    </row>
    <row r="1006" spans="1:7" hidden="1">
      <c r="A1006">
        <v>78</v>
      </c>
      <c r="B1006" t="s">
        <v>1047</v>
      </c>
      <c r="C1006" t="s">
        <v>962</v>
      </c>
      <c r="D1006">
        <v>1.03</v>
      </c>
      <c r="E1006">
        <v>24.72</v>
      </c>
      <c r="F1006">
        <v>3.63</v>
      </c>
      <c r="G1006">
        <v>0</v>
      </c>
    </row>
    <row r="1007" spans="1:7" hidden="1">
      <c r="A1007">
        <v>78</v>
      </c>
      <c r="B1007" t="s">
        <v>1047</v>
      </c>
      <c r="C1007" t="s">
        <v>963</v>
      </c>
      <c r="D1007">
        <v>1.79</v>
      </c>
      <c r="E1007">
        <v>18.13</v>
      </c>
      <c r="F1007">
        <v>4.6399999999999997</v>
      </c>
      <c r="G1007">
        <v>0</v>
      </c>
    </row>
    <row r="1008" spans="1:7" hidden="1">
      <c r="A1008">
        <v>78</v>
      </c>
      <c r="B1008" t="s">
        <v>1047</v>
      </c>
      <c r="C1008" t="s">
        <v>964</v>
      </c>
      <c r="D1008">
        <v>0.2</v>
      </c>
      <c r="E1008">
        <v>21.87</v>
      </c>
      <c r="F1008">
        <v>0.64</v>
      </c>
      <c r="G1008">
        <v>0</v>
      </c>
    </row>
    <row r="1009" spans="1:7" hidden="1">
      <c r="A1009">
        <v>78</v>
      </c>
      <c r="B1009" t="s">
        <v>1047</v>
      </c>
      <c r="C1009" t="s">
        <v>965</v>
      </c>
      <c r="D1009">
        <v>1.66</v>
      </c>
      <c r="E1009">
        <v>24.75</v>
      </c>
      <c r="F1009">
        <v>5.88</v>
      </c>
      <c r="G1009">
        <v>0</v>
      </c>
    </row>
    <row r="1010" spans="1:7">
      <c r="A1010">
        <v>78</v>
      </c>
      <c r="B1010" t="s">
        <v>1047</v>
      </c>
      <c r="C1010" t="s">
        <v>24</v>
      </c>
      <c r="D1010">
        <v>14.34</v>
      </c>
      <c r="E1010">
        <v>20.170000000000002</v>
      </c>
      <c r="F1010">
        <v>41.31</v>
      </c>
      <c r="G1010">
        <v>0</v>
      </c>
    </row>
    <row r="1011" spans="1:7" hidden="1">
      <c r="A1011">
        <v>78</v>
      </c>
      <c r="B1011" t="s">
        <v>1047</v>
      </c>
      <c r="C1011" t="s">
        <v>966</v>
      </c>
      <c r="D1011">
        <v>0</v>
      </c>
      <c r="E1011">
        <v>18.05</v>
      </c>
      <c r="F1011">
        <v>0.01</v>
      </c>
      <c r="G1011">
        <v>0</v>
      </c>
    </row>
    <row r="1012" spans="1:7" hidden="1">
      <c r="A1012">
        <v>78</v>
      </c>
      <c r="B1012" t="s">
        <v>1047</v>
      </c>
      <c r="C1012" t="s">
        <v>967</v>
      </c>
      <c r="D1012">
        <v>0.6</v>
      </c>
      <c r="E1012">
        <v>17.91</v>
      </c>
      <c r="F1012">
        <v>1.53</v>
      </c>
      <c r="G1012">
        <v>0</v>
      </c>
    </row>
    <row r="1013" spans="1:7" hidden="1">
      <c r="A1013">
        <v>78</v>
      </c>
      <c r="B1013" t="s">
        <v>1047</v>
      </c>
      <c r="C1013" t="s">
        <v>968</v>
      </c>
      <c r="D1013">
        <v>1.1399999999999999</v>
      </c>
      <c r="E1013">
        <v>18.09</v>
      </c>
      <c r="F1013">
        <v>2.95</v>
      </c>
      <c r="G1013">
        <v>0</v>
      </c>
    </row>
    <row r="1014" spans="1:7" hidden="1">
      <c r="A1014">
        <v>78</v>
      </c>
      <c r="B1014" t="s">
        <v>1047</v>
      </c>
      <c r="C1014" t="s">
        <v>969</v>
      </c>
      <c r="D1014">
        <v>0.32</v>
      </c>
      <c r="E1014">
        <v>24.75</v>
      </c>
      <c r="F1014">
        <v>1.1200000000000001</v>
      </c>
      <c r="G1014">
        <v>0</v>
      </c>
    </row>
    <row r="1015" spans="1:7" hidden="1">
      <c r="A1015">
        <v>78</v>
      </c>
      <c r="B1015" t="s">
        <v>1047</v>
      </c>
      <c r="C1015" t="s">
        <v>970</v>
      </c>
      <c r="D1015">
        <v>0.22</v>
      </c>
      <c r="E1015">
        <v>24.75</v>
      </c>
      <c r="F1015">
        <v>0.78</v>
      </c>
      <c r="G1015">
        <v>0</v>
      </c>
    </row>
    <row r="1016" spans="1:7" hidden="1">
      <c r="A1016">
        <v>79</v>
      </c>
      <c r="B1016" t="s">
        <v>1048</v>
      </c>
      <c r="C1016" t="s">
        <v>959</v>
      </c>
      <c r="D1016">
        <v>3.85</v>
      </c>
      <c r="E1016">
        <v>18.309999999999999</v>
      </c>
      <c r="F1016">
        <v>10.07</v>
      </c>
      <c r="G1016">
        <v>1.18</v>
      </c>
    </row>
    <row r="1017" spans="1:7" hidden="1">
      <c r="A1017">
        <v>79</v>
      </c>
      <c r="B1017" t="s">
        <v>1048</v>
      </c>
      <c r="C1017" t="s">
        <v>960</v>
      </c>
      <c r="D1017">
        <v>4.2300000000000004</v>
      </c>
      <c r="E1017">
        <v>18.399999999999999</v>
      </c>
      <c r="F1017">
        <v>11.1</v>
      </c>
      <c r="G1017">
        <v>2.17</v>
      </c>
    </row>
    <row r="1018" spans="1:7" hidden="1">
      <c r="A1018">
        <v>79</v>
      </c>
      <c r="B1018" t="s">
        <v>1048</v>
      </c>
      <c r="C1018" t="s">
        <v>961</v>
      </c>
      <c r="D1018">
        <v>4.18</v>
      </c>
      <c r="E1018">
        <v>20.059999999999999</v>
      </c>
      <c r="F1018">
        <v>11.98</v>
      </c>
      <c r="G1018">
        <v>0.98</v>
      </c>
    </row>
    <row r="1019" spans="1:7" hidden="1">
      <c r="A1019">
        <v>79</v>
      </c>
      <c r="B1019" t="s">
        <v>1048</v>
      </c>
      <c r="C1019" t="s">
        <v>962</v>
      </c>
      <c r="D1019">
        <v>1.23</v>
      </c>
      <c r="E1019">
        <v>24.72</v>
      </c>
      <c r="F1019">
        <v>4.3499999999999996</v>
      </c>
      <c r="G1019">
        <v>0.31</v>
      </c>
    </row>
    <row r="1020" spans="1:7" hidden="1">
      <c r="A1020">
        <v>79</v>
      </c>
      <c r="B1020" t="s">
        <v>1048</v>
      </c>
      <c r="C1020" t="s">
        <v>963</v>
      </c>
      <c r="D1020">
        <v>2.14</v>
      </c>
      <c r="E1020">
        <v>18.13</v>
      </c>
      <c r="F1020">
        <v>5.55</v>
      </c>
      <c r="G1020">
        <v>0.54</v>
      </c>
    </row>
    <row r="1021" spans="1:7" hidden="1">
      <c r="A1021">
        <v>79</v>
      </c>
      <c r="B1021" t="s">
        <v>1048</v>
      </c>
      <c r="C1021" t="s">
        <v>964</v>
      </c>
      <c r="D1021">
        <v>0.75</v>
      </c>
      <c r="E1021">
        <v>21.87</v>
      </c>
      <c r="F1021">
        <v>2.34</v>
      </c>
      <c r="G1021">
        <v>0.03</v>
      </c>
    </row>
    <row r="1022" spans="1:7" hidden="1">
      <c r="A1022">
        <v>79</v>
      </c>
      <c r="B1022" t="s">
        <v>1048</v>
      </c>
      <c r="C1022" t="s">
        <v>965</v>
      </c>
      <c r="D1022">
        <v>1.46</v>
      </c>
      <c r="E1022">
        <v>24.75</v>
      </c>
      <c r="F1022">
        <v>5.17</v>
      </c>
      <c r="G1022">
        <v>0.47</v>
      </c>
    </row>
    <row r="1023" spans="1:7">
      <c r="A1023">
        <v>79</v>
      </c>
      <c r="B1023" t="s">
        <v>1048</v>
      </c>
      <c r="C1023" t="s">
        <v>24</v>
      </c>
      <c r="D1023">
        <v>17.84</v>
      </c>
      <c r="E1023">
        <v>19.84</v>
      </c>
      <c r="F1023">
        <v>50.56</v>
      </c>
      <c r="G1023">
        <v>5.7</v>
      </c>
    </row>
    <row r="1024" spans="1:7" hidden="1">
      <c r="A1024">
        <v>79</v>
      </c>
      <c r="B1024" t="s">
        <v>1048</v>
      </c>
      <c r="C1024" t="s">
        <v>966</v>
      </c>
      <c r="D1024">
        <v>6.37</v>
      </c>
      <c r="E1024">
        <v>18.05</v>
      </c>
      <c r="F1024">
        <v>16.43</v>
      </c>
      <c r="G1024">
        <v>6.11</v>
      </c>
    </row>
    <row r="1025" spans="1:7" hidden="1">
      <c r="A1025">
        <v>79</v>
      </c>
      <c r="B1025" t="s">
        <v>1048</v>
      </c>
      <c r="C1025" t="s">
        <v>967</v>
      </c>
      <c r="D1025">
        <v>0.28000000000000003</v>
      </c>
      <c r="E1025">
        <v>17.91</v>
      </c>
      <c r="F1025">
        <v>0.7</v>
      </c>
      <c r="G1025">
        <v>0.08</v>
      </c>
    </row>
    <row r="1026" spans="1:7" hidden="1">
      <c r="A1026">
        <v>79</v>
      </c>
      <c r="B1026" t="s">
        <v>1048</v>
      </c>
      <c r="C1026" t="s">
        <v>968</v>
      </c>
      <c r="D1026">
        <v>0.78</v>
      </c>
      <c r="E1026">
        <v>18.09</v>
      </c>
      <c r="F1026">
        <v>2.02</v>
      </c>
      <c r="G1026">
        <v>0.02</v>
      </c>
    </row>
    <row r="1027" spans="1:7" hidden="1">
      <c r="A1027">
        <v>79</v>
      </c>
      <c r="B1027" t="s">
        <v>1048</v>
      </c>
      <c r="C1027" t="s">
        <v>969</v>
      </c>
      <c r="D1027">
        <v>1.65</v>
      </c>
      <c r="E1027">
        <v>24.75</v>
      </c>
      <c r="F1027">
        <v>5.83</v>
      </c>
      <c r="G1027">
        <v>0.21</v>
      </c>
    </row>
    <row r="1028" spans="1:7" hidden="1">
      <c r="A1028">
        <v>79</v>
      </c>
      <c r="B1028" t="s">
        <v>1048</v>
      </c>
      <c r="C1028" t="s">
        <v>970</v>
      </c>
      <c r="D1028">
        <v>0.21</v>
      </c>
      <c r="E1028">
        <v>24.75</v>
      </c>
      <c r="F1028">
        <v>0.74</v>
      </c>
      <c r="G1028">
        <v>0.01</v>
      </c>
    </row>
    <row r="1029" spans="1:7" hidden="1">
      <c r="A1029">
        <v>80</v>
      </c>
      <c r="B1029" t="s">
        <v>1049</v>
      </c>
      <c r="C1029" t="s">
        <v>959</v>
      </c>
      <c r="D1029">
        <v>2.83</v>
      </c>
      <c r="E1029">
        <v>18.309999999999999</v>
      </c>
      <c r="F1029">
        <v>7.41</v>
      </c>
      <c r="G1029">
        <v>0</v>
      </c>
    </row>
    <row r="1030" spans="1:7" hidden="1">
      <c r="A1030">
        <v>80</v>
      </c>
      <c r="B1030" t="s">
        <v>1049</v>
      </c>
      <c r="C1030" t="s">
        <v>960</v>
      </c>
      <c r="D1030">
        <v>3.21</v>
      </c>
      <c r="E1030">
        <v>18.399999999999999</v>
      </c>
      <c r="F1030">
        <v>8.43</v>
      </c>
      <c r="G1030">
        <v>0</v>
      </c>
    </row>
    <row r="1031" spans="1:7" hidden="1">
      <c r="A1031">
        <v>80</v>
      </c>
      <c r="B1031" t="s">
        <v>1049</v>
      </c>
      <c r="C1031" t="s">
        <v>961</v>
      </c>
      <c r="D1031">
        <v>6.13</v>
      </c>
      <c r="E1031">
        <v>20.059999999999999</v>
      </c>
      <c r="F1031">
        <v>17.559999999999999</v>
      </c>
      <c r="G1031">
        <v>0</v>
      </c>
    </row>
    <row r="1032" spans="1:7" hidden="1">
      <c r="A1032">
        <v>80</v>
      </c>
      <c r="B1032" t="s">
        <v>1049</v>
      </c>
      <c r="C1032" t="s">
        <v>962</v>
      </c>
      <c r="D1032">
        <v>0.96</v>
      </c>
      <c r="E1032">
        <v>24.72</v>
      </c>
      <c r="F1032">
        <v>3.38</v>
      </c>
      <c r="G1032">
        <v>0</v>
      </c>
    </row>
    <row r="1033" spans="1:7" hidden="1">
      <c r="A1033">
        <v>80</v>
      </c>
      <c r="B1033" t="s">
        <v>1049</v>
      </c>
      <c r="C1033" t="s">
        <v>963</v>
      </c>
      <c r="D1033">
        <v>1.92</v>
      </c>
      <c r="E1033">
        <v>18.13</v>
      </c>
      <c r="F1033">
        <v>4.97</v>
      </c>
      <c r="G1033">
        <v>0</v>
      </c>
    </row>
    <row r="1034" spans="1:7" hidden="1">
      <c r="A1034">
        <v>80</v>
      </c>
      <c r="B1034" t="s">
        <v>1049</v>
      </c>
      <c r="C1034" t="s">
        <v>964</v>
      </c>
      <c r="D1034">
        <v>0.36</v>
      </c>
      <c r="E1034">
        <v>21.87</v>
      </c>
      <c r="F1034">
        <v>1.1200000000000001</v>
      </c>
      <c r="G1034">
        <v>0</v>
      </c>
    </row>
    <row r="1035" spans="1:7" hidden="1">
      <c r="A1035">
        <v>80</v>
      </c>
      <c r="B1035" t="s">
        <v>1049</v>
      </c>
      <c r="C1035" t="s">
        <v>965</v>
      </c>
      <c r="D1035">
        <v>1.69</v>
      </c>
      <c r="E1035">
        <v>24.75</v>
      </c>
      <c r="F1035">
        <v>5.98</v>
      </c>
      <c r="G1035">
        <v>0</v>
      </c>
    </row>
    <row r="1036" spans="1:7">
      <c r="A1036">
        <v>80</v>
      </c>
      <c r="B1036" t="s">
        <v>1049</v>
      </c>
      <c r="C1036" t="s">
        <v>24</v>
      </c>
      <c r="D1036">
        <v>17.09</v>
      </c>
      <c r="E1036">
        <v>20</v>
      </c>
      <c r="F1036">
        <v>48.84</v>
      </c>
      <c r="G1036">
        <v>0</v>
      </c>
    </row>
    <row r="1037" spans="1:7" hidden="1">
      <c r="A1037">
        <v>80</v>
      </c>
      <c r="B1037" t="s">
        <v>1049</v>
      </c>
      <c r="C1037" t="s">
        <v>966</v>
      </c>
      <c r="D1037">
        <v>0</v>
      </c>
      <c r="E1037">
        <v>18.05</v>
      </c>
      <c r="F1037">
        <v>0</v>
      </c>
      <c r="G1037">
        <v>0</v>
      </c>
    </row>
    <row r="1038" spans="1:7" hidden="1">
      <c r="A1038">
        <v>80</v>
      </c>
      <c r="B1038" t="s">
        <v>1049</v>
      </c>
      <c r="C1038" t="s">
        <v>967</v>
      </c>
      <c r="D1038">
        <v>0.32</v>
      </c>
      <c r="E1038">
        <v>17.91</v>
      </c>
      <c r="F1038">
        <v>0.83</v>
      </c>
      <c r="G1038">
        <v>0</v>
      </c>
    </row>
    <row r="1039" spans="1:7" hidden="1">
      <c r="A1039">
        <v>80</v>
      </c>
      <c r="B1039" t="s">
        <v>1049</v>
      </c>
      <c r="C1039" t="s">
        <v>968</v>
      </c>
      <c r="D1039">
        <v>1.25</v>
      </c>
      <c r="E1039">
        <v>18.09</v>
      </c>
      <c r="F1039">
        <v>3.22</v>
      </c>
      <c r="G1039">
        <v>0</v>
      </c>
    </row>
    <row r="1040" spans="1:7" hidden="1">
      <c r="A1040">
        <v>80</v>
      </c>
      <c r="B1040" t="s">
        <v>1049</v>
      </c>
      <c r="C1040" t="s">
        <v>969</v>
      </c>
      <c r="D1040">
        <v>0.37</v>
      </c>
      <c r="E1040">
        <v>24.75</v>
      </c>
      <c r="F1040">
        <v>1.32</v>
      </c>
      <c r="G1040">
        <v>0</v>
      </c>
    </row>
    <row r="1041" spans="1:7" hidden="1">
      <c r="A1041">
        <v>80</v>
      </c>
      <c r="B1041" t="s">
        <v>1049</v>
      </c>
      <c r="C1041" t="s">
        <v>970</v>
      </c>
      <c r="D1041">
        <v>0.34</v>
      </c>
      <c r="E1041">
        <v>24.75</v>
      </c>
      <c r="F1041">
        <v>1.19</v>
      </c>
      <c r="G1041">
        <v>0</v>
      </c>
    </row>
    <row r="1042" spans="1:7" hidden="1">
      <c r="A1042">
        <v>81</v>
      </c>
      <c r="B1042" t="s">
        <v>1050</v>
      </c>
      <c r="C1042" t="s">
        <v>959</v>
      </c>
      <c r="D1042">
        <v>2.68</v>
      </c>
      <c r="E1042">
        <v>18.309999999999999</v>
      </c>
      <c r="F1042">
        <v>7</v>
      </c>
      <c r="G1042">
        <v>0</v>
      </c>
    </row>
    <row r="1043" spans="1:7" hidden="1">
      <c r="A1043">
        <v>81</v>
      </c>
      <c r="B1043" t="s">
        <v>1050</v>
      </c>
      <c r="C1043" t="s">
        <v>960</v>
      </c>
      <c r="D1043">
        <v>3.58</v>
      </c>
      <c r="E1043">
        <v>18.399999999999999</v>
      </c>
      <c r="F1043">
        <v>9.41</v>
      </c>
      <c r="G1043">
        <v>0</v>
      </c>
    </row>
    <row r="1044" spans="1:7" hidden="1">
      <c r="A1044">
        <v>81</v>
      </c>
      <c r="B1044" t="s">
        <v>1050</v>
      </c>
      <c r="C1044" t="s">
        <v>961</v>
      </c>
      <c r="D1044">
        <v>4.9800000000000004</v>
      </c>
      <c r="E1044">
        <v>20.059999999999999</v>
      </c>
      <c r="F1044">
        <v>14.26</v>
      </c>
      <c r="G1044">
        <v>0</v>
      </c>
    </row>
    <row r="1045" spans="1:7" hidden="1">
      <c r="A1045">
        <v>81</v>
      </c>
      <c r="B1045" t="s">
        <v>1050</v>
      </c>
      <c r="C1045" t="s">
        <v>962</v>
      </c>
      <c r="D1045">
        <v>1.06</v>
      </c>
      <c r="E1045">
        <v>24.72</v>
      </c>
      <c r="F1045">
        <v>3.75</v>
      </c>
      <c r="G1045">
        <v>0</v>
      </c>
    </row>
    <row r="1046" spans="1:7" hidden="1">
      <c r="A1046">
        <v>81</v>
      </c>
      <c r="B1046" t="s">
        <v>1050</v>
      </c>
      <c r="C1046" t="s">
        <v>963</v>
      </c>
      <c r="D1046">
        <v>1.79</v>
      </c>
      <c r="E1046">
        <v>18.13</v>
      </c>
      <c r="F1046">
        <v>4.62</v>
      </c>
      <c r="G1046">
        <v>0</v>
      </c>
    </row>
    <row r="1047" spans="1:7" hidden="1">
      <c r="A1047">
        <v>81</v>
      </c>
      <c r="B1047" t="s">
        <v>1050</v>
      </c>
      <c r="C1047" t="s">
        <v>964</v>
      </c>
      <c r="D1047">
        <v>0.55000000000000004</v>
      </c>
      <c r="E1047">
        <v>21.87</v>
      </c>
      <c r="F1047">
        <v>1.71</v>
      </c>
      <c r="G1047">
        <v>0</v>
      </c>
    </row>
    <row r="1048" spans="1:7" hidden="1">
      <c r="A1048">
        <v>81</v>
      </c>
      <c r="B1048" t="s">
        <v>1050</v>
      </c>
      <c r="C1048" t="s">
        <v>965</v>
      </c>
      <c r="D1048">
        <v>2.0499999999999998</v>
      </c>
      <c r="E1048">
        <v>24.75</v>
      </c>
      <c r="F1048">
        <v>7.25</v>
      </c>
      <c r="G1048">
        <v>0</v>
      </c>
    </row>
    <row r="1049" spans="1:7">
      <c r="A1049">
        <v>81</v>
      </c>
      <c r="B1049" t="s">
        <v>1050</v>
      </c>
      <c r="C1049" t="s">
        <v>24</v>
      </c>
      <c r="D1049">
        <v>16.68</v>
      </c>
      <c r="E1049">
        <v>20.149999999999999</v>
      </c>
      <c r="F1049">
        <v>48</v>
      </c>
      <c r="G1049">
        <v>0</v>
      </c>
    </row>
    <row r="1050" spans="1:7" hidden="1">
      <c r="A1050">
        <v>81</v>
      </c>
      <c r="B1050" t="s">
        <v>1050</v>
      </c>
      <c r="C1050" t="s">
        <v>966</v>
      </c>
      <c r="D1050">
        <v>0</v>
      </c>
      <c r="E1050">
        <v>18.05</v>
      </c>
      <c r="F1050">
        <v>0</v>
      </c>
      <c r="G1050">
        <v>0</v>
      </c>
    </row>
    <row r="1051" spans="1:7" hidden="1">
      <c r="A1051">
        <v>81</v>
      </c>
      <c r="B1051" t="s">
        <v>1050</v>
      </c>
      <c r="C1051" t="s">
        <v>967</v>
      </c>
      <c r="D1051">
        <v>0.32</v>
      </c>
      <c r="E1051">
        <v>17.91</v>
      </c>
      <c r="F1051">
        <v>0.81</v>
      </c>
      <c r="G1051">
        <v>0</v>
      </c>
    </row>
    <row r="1052" spans="1:7" hidden="1">
      <c r="A1052">
        <v>81</v>
      </c>
      <c r="B1052" t="s">
        <v>1050</v>
      </c>
      <c r="C1052" t="s">
        <v>968</v>
      </c>
      <c r="D1052">
        <v>1.28</v>
      </c>
      <c r="E1052">
        <v>18.09</v>
      </c>
      <c r="F1052">
        <v>3.31</v>
      </c>
      <c r="G1052">
        <v>0</v>
      </c>
    </row>
    <row r="1053" spans="1:7" hidden="1">
      <c r="A1053">
        <v>81</v>
      </c>
      <c r="B1053" t="s">
        <v>1050</v>
      </c>
      <c r="C1053" t="s">
        <v>969</v>
      </c>
      <c r="D1053">
        <v>0.33</v>
      </c>
      <c r="E1053">
        <v>24.75</v>
      </c>
      <c r="F1053">
        <v>1.17</v>
      </c>
      <c r="G1053">
        <v>0</v>
      </c>
    </row>
    <row r="1054" spans="1:7" hidden="1">
      <c r="A1054">
        <v>81</v>
      </c>
      <c r="B1054" t="s">
        <v>1050</v>
      </c>
      <c r="C1054" t="s">
        <v>970</v>
      </c>
      <c r="D1054">
        <v>0.28999999999999998</v>
      </c>
      <c r="E1054">
        <v>24.75</v>
      </c>
      <c r="F1054">
        <v>1.01</v>
      </c>
      <c r="G1054">
        <v>0</v>
      </c>
    </row>
    <row r="1055" spans="1:7" hidden="1">
      <c r="A1055">
        <v>82</v>
      </c>
      <c r="B1055" t="s">
        <v>1051</v>
      </c>
      <c r="C1055" t="s">
        <v>959</v>
      </c>
      <c r="D1055">
        <v>3.32</v>
      </c>
      <c r="E1055">
        <v>18.309999999999999</v>
      </c>
      <c r="F1055">
        <v>8.6999999999999993</v>
      </c>
      <c r="G1055">
        <v>0</v>
      </c>
    </row>
    <row r="1056" spans="1:7" hidden="1">
      <c r="A1056">
        <v>82</v>
      </c>
      <c r="B1056" t="s">
        <v>1051</v>
      </c>
      <c r="C1056" t="s">
        <v>960</v>
      </c>
      <c r="D1056">
        <v>3.24</v>
      </c>
      <c r="E1056">
        <v>18.399999999999999</v>
      </c>
      <c r="F1056">
        <v>8.5</v>
      </c>
      <c r="G1056">
        <v>0.01</v>
      </c>
    </row>
    <row r="1057" spans="1:7" hidden="1">
      <c r="A1057">
        <v>82</v>
      </c>
      <c r="B1057" t="s">
        <v>1051</v>
      </c>
      <c r="C1057" t="s">
        <v>961</v>
      </c>
      <c r="D1057">
        <v>5.9</v>
      </c>
      <c r="E1057">
        <v>20.059999999999999</v>
      </c>
      <c r="F1057">
        <v>16.91</v>
      </c>
      <c r="G1057">
        <v>0</v>
      </c>
    </row>
    <row r="1058" spans="1:7" hidden="1">
      <c r="A1058">
        <v>82</v>
      </c>
      <c r="B1058" t="s">
        <v>1051</v>
      </c>
      <c r="C1058" t="s">
        <v>962</v>
      </c>
      <c r="D1058">
        <v>0.83</v>
      </c>
      <c r="E1058">
        <v>24.72</v>
      </c>
      <c r="F1058">
        <v>2.93</v>
      </c>
      <c r="G1058">
        <v>0</v>
      </c>
    </row>
    <row r="1059" spans="1:7" hidden="1">
      <c r="A1059">
        <v>82</v>
      </c>
      <c r="B1059" t="s">
        <v>1051</v>
      </c>
      <c r="C1059" t="s">
        <v>963</v>
      </c>
      <c r="D1059">
        <v>1.98</v>
      </c>
      <c r="E1059">
        <v>18.13</v>
      </c>
      <c r="F1059">
        <v>5.13</v>
      </c>
      <c r="G1059">
        <v>0</v>
      </c>
    </row>
    <row r="1060" spans="1:7" hidden="1">
      <c r="A1060">
        <v>82</v>
      </c>
      <c r="B1060" t="s">
        <v>1051</v>
      </c>
      <c r="C1060" t="s">
        <v>964</v>
      </c>
      <c r="D1060">
        <v>0.28999999999999998</v>
      </c>
      <c r="E1060">
        <v>21.87</v>
      </c>
      <c r="F1060">
        <v>0.9</v>
      </c>
      <c r="G1060">
        <v>0</v>
      </c>
    </row>
    <row r="1061" spans="1:7" hidden="1">
      <c r="A1061">
        <v>82</v>
      </c>
      <c r="B1061" t="s">
        <v>1051</v>
      </c>
      <c r="C1061" t="s">
        <v>965</v>
      </c>
      <c r="D1061">
        <v>1.78</v>
      </c>
      <c r="E1061">
        <v>24.75</v>
      </c>
      <c r="F1061">
        <v>6.29</v>
      </c>
      <c r="G1061">
        <v>0</v>
      </c>
    </row>
    <row r="1062" spans="1:7">
      <c r="A1062">
        <v>82</v>
      </c>
      <c r="B1062" t="s">
        <v>1051</v>
      </c>
      <c r="C1062" t="s">
        <v>24</v>
      </c>
      <c r="D1062">
        <v>17.34</v>
      </c>
      <c r="E1062">
        <v>19.93</v>
      </c>
      <c r="F1062">
        <v>49.36</v>
      </c>
      <c r="G1062">
        <v>0.01</v>
      </c>
    </row>
    <row r="1063" spans="1:7" hidden="1">
      <c r="A1063">
        <v>82</v>
      </c>
      <c r="B1063" t="s">
        <v>1051</v>
      </c>
      <c r="C1063" t="s">
        <v>966</v>
      </c>
      <c r="D1063">
        <v>0.01</v>
      </c>
      <c r="E1063">
        <v>18.05</v>
      </c>
      <c r="F1063">
        <v>0.01</v>
      </c>
      <c r="G1063">
        <v>0.01</v>
      </c>
    </row>
    <row r="1064" spans="1:7" hidden="1">
      <c r="A1064">
        <v>82</v>
      </c>
      <c r="B1064" t="s">
        <v>1051</v>
      </c>
      <c r="C1064" t="s">
        <v>967</v>
      </c>
      <c r="D1064">
        <v>0.35</v>
      </c>
      <c r="E1064">
        <v>17.91</v>
      </c>
      <c r="F1064">
        <v>0.9</v>
      </c>
      <c r="G1064">
        <v>0</v>
      </c>
    </row>
    <row r="1065" spans="1:7" hidden="1">
      <c r="A1065">
        <v>82</v>
      </c>
      <c r="B1065" t="s">
        <v>1051</v>
      </c>
      <c r="C1065" t="s">
        <v>968</v>
      </c>
      <c r="D1065">
        <v>1.38</v>
      </c>
      <c r="E1065">
        <v>18.09</v>
      </c>
      <c r="F1065">
        <v>3.57</v>
      </c>
      <c r="G1065">
        <v>0</v>
      </c>
    </row>
    <row r="1066" spans="1:7" hidden="1">
      <c r="A1066">
        <v>82</v>
      </c>
      <c r="B1066" t="s">
        <v>1051</v>
      </c>
      <c r="C1066" t="s">
        <v>969</v>
      </c>
      <c r="D1066">
        <v>0.37</v>
      </c>
      <c r="E1066">
        <v>24.75</v>
      </c>
      <c r="F1066">
        <v>1.3</v>
      </c>
      <c r="G1066">
        <v>0</v>
      </c>
    </row>
    <row r="1067" spans="1:7" hidden="1">
      <c r="A1067">
        <v>82</v>
      </c>
      <c r="B1067" t="s">
        <v>1051</v>
      </c>
      <c r="C1067" t="s">
        <v>970</v>
      </c>
      <c r="D1067">
        <v>0.41</v>
      </c>
      <c r="E1067">
        <v>24.75</v>
      </c>
      <c r="F1067">
        <v>1.45</v>
      </c>
      <c r="G1067">
        <v>0</v>
      </c>
    </row>
    <row r="1068" spans="1:7" hidden="1">
      <c r="A1068">
        <v>83</v>
      </c>
      <c r="B1068" t="s">
        <v>1052</v>
      </c>
      <c r="C1068" t="s">
        <v>959</v>
      </c>
      <c r="D1068">
        <v>2.87</v>
      </c>
      <c r="E1068">
        <v>18.309999999999999</v>
      </c>
      <c r="F1068">
        <v>7.51</v>
      </c>
      <c r="G1068">
        <v>0</v>
      </c>
    </row>
    <row r="1069" spans="1:7" hidden="1">
      <c r="A1069">
        <v>83</v>
      </c>
      <c r="B1069" t="s">
        <v>1052</v>
      </c>
      <c r="C1069" t="s">
        <v>960</v>
      </c>
      <c r="D1069">
        <v>3.31</v>
      </c>
      <c r="E1069">
        <v>18.399999999999999</v>
      </c>
      <c r="F1069">
        <v>8.69</v>
      </c>
      <c r="G1069">
        <v>0</v>
      </c>
    </row>
    <row r="1070" spans="1:7" hidden="1">
      <c r="A1070">
        <v>83</v>
      </c>
      <c r="B1070" t="s">
        <v>1052</v>
      </c>
      <c r="C1070" t="s">
        <v>961</v>
      </c>
      <c r="D1070">
        <v>5.39</v>
      </c>
      <c r="E1070">
        <v>20.059999999999999</v>
      </c>
      <c r="F1070">
        <v>15.45</v>
      </c>
      <c r="G1070">
        <v>0</v>
      </c>
    </row>
    <row r="1071" spans="1:7" hidden="1">
      <c r="A1071">
        <v>83</v>
      </c>
      <c r="B1071" t="s">
        <v>1052</v>
      </c>
      <c r="C1071" t="s">
        <v>962</v>
      </c>
      <c r="D1071">
        <v>1.03</v>
      </c>
      <c r="E1071">
        <v>24.72</v>
      </c>
      <c r="F1071">
        <v>3.65</v>
      </c>
      <c r="G1071">
        <v>0</v>
      </c>
    </row>
    <row r="1072" spans="1:7" hidden="1">
      <c r="A1072">
        <v>83</v>
      </c>
      <c r="B1072" t="s">
        <v>1052</v>
      </c>
      <c r="C1072" t="s">
        <v>963</v>
      </c>
      <c r="D1072">
        <v>1.85</v>
      </c>
      <c r="E1072">
        <v>18.13</v>
      </c>
      <c r="F1072">
        <v>4.79</v>
      </c>
      <c r="G1072">
        <v>0</v>
      </c>
    </row>
    <row r="1073" spans="1:7" hidden="1">
      <c r="A1073">
        <v>83</v>
      </c>
      <c r="B1073" t="s">
        <v>1052</v>
      </c>
      <c r="C1073" t="s">
        <v>964</v>
      </c>
      <c r="D1073">
        <v>0.37</v>
      </c>
      <c r="E1073">
        <v>21.87</v>
      </c>
      <c r="F1073">
        <v>1.1499999999999999</v>
      </c>
      <c r="G1073">
        <v>0</v>
      </c>
    </row>
    <row r="1074" spans="1:7" hidden="1">
      <c r="A1074">
        <v>83</v>
      </c>
      <c r="B1074" t="s">
        <v>1052</v>
      </c>
      <c r="C1074" t="s">
        <v>965</v>
      </c>
      <c r="D1074">
        <v>1.95</v>
      </c>
      <c r="E1074">
        <v>24.75</v>
      </c>
      <c r="F1074">
        <v>6.9</v>
      </c>
      <c r="G1074">
        <v>0</v>
      </c>
    </row>
    <row r="1075" spans="1:7">
      <c r="A1075">
        <v>83</v>
      </c>
      <c r="B1075" t="s">
        <v>1052</v>
      </c>
      <c r="C1075" t="s">
        <v>24</v>
      </c>
      <c r="D1075">
        <v>16.77</v>
      </c>
      <c r="E1075">
        <v>20.09</v>
      </c>
      <c r="F1075">
        <v>48.13</v>
      </c>
      <c r="G1075">
        <v>0</v>
      </c>
    </row>
    <row r="1076" spans="1:7" hidden="1">
      <c r="A1076">
        <v>83</v>
      </c>
      <c r="B1076" t="s">
        <v>1052</v>
      </c>
      <c r="C1076" t="s">
        <v>966</v>
      </c>
      <c r="D1076">
        <v>0.01</v>
      </c>
      <c r="E1076">
        <v>18.05</v>
      </c>
      <c r="F1076">
        <v>0.02</v>
      </c>
      <c r="G1076">
        <v>0.01</v>
      </c>
    </row>
    <row r="1077" spans="1:7" hidden="1">
      <c r="A1077">
        <v>83</v>
      </c>
      <c r="B1077" t="s">
        <v>1052</v>
      </c>
      <c r="C1077" t="s">
        <v>967</v>
      </c>
      <c r="D1077">
        <v>0.35</v>
      </c>
      <c r="E1077">
        <v>17.91</v>
      </c>
      <c r="F1077">
        <v>0.89</v>
      </c>
      <c r="G1077">
        <v>0</v>
      </c>
    </row>
    <row r="1078" spans="1:7" hidden="1">
      <c r="A1078">
        <v>83</v>
      </c>
      <c r="B1078" t="s">
        <v>1052</v>
      </c>
      <c r="C1078" t="s">
        <v>968</v>
      </c>
      <c r="D1078">
        <v>1.17</v>
      </c>
      <c r="E1078">
        <v>18.09</v>
      </c>
      <c r="F1078">
        <v>3.03</v>
      </c>
      <c r="G1078">
        <v>0</v>
      </c>
    </row>
    <row r="1079" spans="1:7" hidden="1">
      <c r="A1079">
        <v>83</v>
      </c>
      <c r="B1079" t="s">
        <v>1052</v>
      </c>
      <c r="C1079" t="s">
        <v>969</v>
      </c>
      <c r="D1079">
        <v>0.37</v>
      </c>
      <c r="E1079">
        <v>24.75</v>
      </c>
      <c r="F1079">
        <v>1.31</v>
      </c>
      <c r="G1079">
        <v>0</v>
      </c>
    </row>
    <row r="1080" spans="1:7" hidden="1">
      <c r="A1080">
        <v>83</v>
      </c>
      <c r="B1080" t="s">
        <v>1052</v>
      </c>
      <c r="C1080" t="s">
        <v>970</v>
      </c>
      <c r="D1080">
        <v>0.25</v>
      </c>
      <c r="E1080">
        <v>24.75</v>
      </c>
      <c r="F1080">
        <v>0.89</v>
      </c>
      <c r="G1080">
        <v>0</v>
      </c>
    </row>
    <row r="1081" spans="1:7" hidden="1">
      <c r="A1081">
        <v>84</v>
      </c>
      <c r="B1081" t="s">
        <v>1053</v>
      </c>
      <c r="C1081" t="s">
        <v>959</v>
      </c>
      <c r="D1081">
        <v>1.8</v>
      </c>
      <c r="E1081">
        <v>18.309999999999999</v>
      </c>
      <c r="F1081">
        <v>4.71</v>
      </c>
      <c r="G1081">
        <v>1.01</v>
      </c>
    </row>
    <row r="1082" spans="1:7" hidden="1">
      <c r="A1082">
        <v>84</v>
      </c>
      <c r="B1082" t="s">
        <v>1053</v>
      </c>
      <c r="C1082" t="s">
        <v>960</v>
      </c>
      <c r="D1082">
        <v>3.3</v>
      </c>
      <c r="E1082">
        <v>18.399999999999999</v>
      </c>
      <c r="F1082">
        <v>8.67</v>
      </c>
      <c r="G1082">
        <v>1.83</v>
      </c>
    </row>
    <row r="1083" spans="1:7" hidden="1">
      <c r="A1083">
        <v>84</v>
      </c>
      <c r="B1083" t="s">
        <v>1053</v>
      </c>
      <c r="C1083" t="s">
        <v>961</v>
      </c>
      <c r="D1083">
        <v>3.41</v>
      </c>
      <c r="E1083">
        <v>20.059999999999999</v>
      </c>
      <c r="F1083">
        <v>9.77</v>
      </c>
      <c r="G1083">
        <v>1.2</v>
      </c>
    </row>
    <row r="1084" spans="1:7" hidden="1">
      <c r="A1084">
        <v>84</v>
      </c>
      <c r="B1084" t="s">
        <v>1053</v>
      </c>
      <c r="C1084" t="s">
        <v>962</v>
      </c>
      <c r="D1084">
        <v>1.05</v>
      </c>
      <c r="E1084">
        <v>24.72</v>
      </c>
      <c r="F1084">
        <v>3.71</v>
      </c>
      <c r="G1084">
        <v>0.23</v>
      </c>
    </row>
    <row r="1085" spans="1:7" hidden="1">
      <c r="A1085">
        <v>84</v>
      </c>
      <c r="B1085" t="s">
        <v>1053</v>
      </c>
      <c r="C1085" t="s">
        <v>963</v>
      </c>
      <c r="D1085">
        <v>2.4300000000000002</v>
      </c>
      <c r="E1085">
        <v>18.13</v>
      </c>
      <c r="F1085">
        <v>6.3</v>
      </c>
      <c r="G1085">
        <v>0.74</v>
      </c>
    </row>
    <row r="1086" spans="1:7" hidden="1">
      <c r="A1086">
        <v>84</v>
      </c>
      <c r="B1086" t="s">
        <v>1053</v>
      </c>
      <c r="C1086" t="s">
        <v>964</v>
      </c>
      <c r="D1086">
        <v>0.01</v>
      </c>
      <c r="E1086">
        <v>21.87</v>
      </c>
      <c r="F1086">
        <v>0.02</v>
      </c>
      <c r="G1086">
        <v>0.01</v>
      </c>
    </row>
    <row r="1087" spans="1:7" hidden="1">
      <c r="A1087">
        <v>84</v>
      </c>
      <c r="B1087" t="s">
        <v>1053</v>
      </c>
      <c r="C1087" t="s">
        <v>965</v>
      </c>
      <c r="D1087">
        <v>1.54</v>
      </c>
      <c r="E1087">
        <v>24.75</v>
      </c>
      <c r="F1087">
        <v>5.46</v>
      </c>
      <c r="G1087">
        <v>0.34</v>
      </c>
    </row>
    <row r="1088" spans="1:7">
      <c r="A1088">
        <v>84</v>
      </c>
      <c r="B1088" t="s">
        <v>1053</v>
      </c>
      <c r="C1088" t="s">
        <v>24</v>
      </c>
      <c r="D1088">
        <v>13.54</v>
      </c>
      <c r="E1088">
        <v>19.97</v>
      </c>
      <c r="F1088">
        <v>38.64</v>
      </c>
      <c r="G1088">
        <v>5.35</v>
      </c>
    </row>
    <row r="1089" spans="1:7" hidden="1">
      <c r="A1089">
        <v>84</v>
      </c>
      <c r="B1089" t="s">
        <v>1053</v>
      </c>
      <c r="C1089" t="s">
        <v>966</v>
      </c>
      <c r="D1089">
        <v>4.8600000000000003</v>
      </c>
      <c r="E1089">
        <v>18.05</v>
      </c>
      <c r="F1089">
        <v>12.54</v>
      </c>
      <c r="G1089">
        <v>4.4800000000000004</v>
      </c>
    </row>
    <row r="1090" spans="1:7" hidden="1">
      <c r="A1090">
        <v>84</v>
      </c>
      <c r="B1090" t="s">
        <v>1053</v>
      </c>
      <c r="C1090" t="s">
        <v>967</v>
      </c>
      <c r="D1090">
        <v>0.76</v>
      </c>
      <c r="E1090">
        <v>17.91</v>
      </c>
      <c r="F1090">
        <v>1.93</v>
      </c>
      <c r="G1090">
        <v>0.1</v>
      </c>
    </row>
    <row r="1091" spans="1:7" hidden="1">
      <c r="A1091">
        <v>84</v>
      </c>
      <c r="B1091" t="s">
        <v>1053</v>
      </c>
      <c r="C1091" t="s">
        <v>968</v>
      </c>
      <c r="D1091">
        <v>0.75</v>
      </c>
      <c r="E1091">
        <v>18.09</v>
      </c>
      <c r="F1091">
        <v>1.93</v>
      </c>
      <c r="G1091">
        <v>0.17</v>
      </c>
    </row>
    <row r="1092" spans="1:7" hidden="1">
      <c r="A1092">
        <v>84</v>
      </c>
      <c r="B1092" t="s">
        <v>1053</v>
      </c>
      <c r="C1092" t="s">
        <v>969</v>
      </c>
      <c r="D1092">
        <v>0.93</v>
      </c>
      <c r="E1092">
        <v>24.75</v>
      </c>
      <c r="F1092">
        <v>3.28</v>
      </c>
      <c r="G1092">
        <v>0.08</v>
      </c>
    </row>
    <row r="1093" spans="1:7" hidden="1">
      <c r="A1093">
        <v>84</v>
      </c>
      <c r="B1093" t="s">
        <v>1053</v>
      </c>
      <c r="C1093" t="s">
        <v>970</v>
      </c>
      <c r="D1093">
        <v>0.2</v>
      </c>
      <c r="E1093">
        <v>24.75</v>
      </c>
      <c r="F1093">
        <v>0.71</v>
      </c>
      <c r="G1093">
        <v>0.04</v>
      </c>
    </row>
    <row r="1094" spans="1:7" hidden="1">
      <c r="A1094">
        <v>85</v>
      </c>
      <c r="B1094" t="s">
        <v>1054</v>
      </c>
      <c r="C1094" t="s">
        <v>959</v>
      </c>
      <c r="D1094">
        <v>1.56</v>
      </c>
      <c r="E1094">
        <v>18.309999999999999</v>
      </c>
      <c r="F1094">
        <v>4.09</v>
      </c>
      <c r="G1094">
        <v>0.01</v>
      </c>
    </row>
    <row r="1095" spans="1:7" hidden="1">
      <c r="A1095">
        <v>85</v>
      </c>
      <c r="B1095" t="s">
        <v>1054</v>
      </c>
      <c r="C1095" t="s">
        <v>960</v>
      </c>
      <c r="D1095">
        <v>2.19</v>
      </c>
      <c r="E1095">
        <v>18.399999999999999</v>
      </c>
      <c r="F1095">
        <v>5.76</v>
      </c>
      <c r="G1095">
        <v>0</v>
      </c>
    </row>
    <row r="1096" spans="1:7" hidden="1">
      <c r="A1096">
        <v>85</v>
      </c>
      <c r="B1096" t="s">
        <v>1054</v>
      </c>
      <c r="C1096" t="s">
        <v>961</v>
      </c>
      <c r="D1096">
        <v>4.6100000000000003</v>
      </c>
      <c r="E1096">
        <v>20.059999999999999</v>
      </c>
      <c r="F1096">
        <v>13.22</v>
      </c>
      <c r="G1096">
        <v>0</v>
      </c>
    </row>
    <row r="1097" spans="1:7" hidden="1">
      <c r="A1097">
        <v>85</v>
      </c>
      <c r="B1097" t="s">
        <v>1054</v>
      </c>
      <c r="C1097" t="s">
        <v>962</v>
      </c>
      <c r="D1097">
        <v>1.04</v>
      </c>
      <c r="E1097">
        <v>24.72</v>
      </c>
      <c r="F1097">
        <v>3.67</v>
      </c>
      <c r="G1097">
        <v>0</v>
      </c>
    </row>
    <row r="1098" spans="1:7" hidden="1">
      <c r="A1098">
        <v>85</v>
      </c>
      <c r="B1098" t="s">
        <v>1054</v>
      </c>
      <c r="C1098" t="s">
        <v>963</v>
      </c>
      <c r="D1098">
        <v>1.79</v>
      </c>
      <c r="E1098">
        <v>18.13</v>
      </c>
      <c r="F1098">
        <v>4.63</v>
      </c>
      <c r="G1098">
        <v>0</v>
      </c>
    </row>
    <row r="1099" spans="1:7" hidden="1">
      <c r="A1099">
        <v>85</v>
      </c>
      <c r="B1099" t="s">
        <v>1054</v>
      </c>
      <c r="C1099" t="s">
        <v>964</v>
      </c>
      <c r="D1099">
        <v>0.09</v>
      </c>
      <c r="E1099">
        <v>21.87</v>
      </c>
      <c r="F1099">
        <v>0.28999999999999998</v>
      </c>
      <c r="G1099">
        <v>0</v>
      </c>
    </row>
    <row r="1100" spans="1:7" hidden="1">
      <c r="A1100">
        <v>85</v>
      </c>
      <c r="B1100" t="s">
        <v>1054</v>
      </c>
      <c r="C1100" t="s">
        <v>965</v>
      </c>
      <c r="D1100">
        <v>1.46</v>
      </c>
      <c r="E1100">
        <v>24.75</v>
      </c>
      <c r="F1100">
        <v>5.17</v>
      </c>
      <c r="G1100">
        <v>0</v>
      </c>
    </row>
    <row r="1101" spans="1:7">
      <c r="A1101">
        <v>85</v>
      </c>
      <c r="B1101" t="s">
        <v>1054</v>
      </c>
      <c r="C1101" t="s">
        <v>24</v>
      </c>
      <c r="D1101">
        <v>12.75</v>
      </c>
      <c r="E1101">
        <v>20.22</v>
      </c>
      <c r="F1101">
        <v>36.83</v>
      </c>
      <c r="G1101">
        <v>0.01</v>
      </c>
    </row>
    <row r="1102" spans="1:7" hidden="1">
      <c r="A1102">
        <v>85</v>
      </c>
      <c r="B1102" t="s">
        <v>1054</v>
      </c>
      <c r="C1102" t="s">
        <v>966</v>
      </c>
      <c r="D1102">
        <v>0</v>
      </c>
      <c r="E1102">
        <v>18.05</v>
      </c>
      <c r="F1102">
        <v>0</v>
      </c>
      <c r="G1102">
        <v>0</v>
      </c>
    </row>
    <row r="1103" spans="1:7" hidden="1">
      <c r="A1103">
        <v>85</v>
      </c>
      <c r="B1103" t="s">
        <v>1054</v>
      </c>
      <c r="C1103" t="s">
        <v>967</v>
      </c>
      <c r="D1103">
        <v>0.94</v>
      </c>
      <c r="E1103">
        <v>17.91</v>
      </c>
      <c r="F1103">
        <v>2.4</v>
      </c>
      <c r="G1103">
        <v>0</v>
      </c>
    </row>
    <row r="1104" spans="1:7" hidden="1">
      <c r="A1104">
        <v>85</v>
      </c>
      <c r="B1104" t="s">
        <v>1054</v>
      </c>
      <c r="C1104" t="s">
        <v>968</v>
      </c>
      <c r="D1104">
        <v>1.19</v>
      </c>
      <c r="E1104">
        <v>18.09</v>
      </c>
      <c r="F1104">
        <v>3.09</v>
      </c>
      <c r="G1104">
        <v>0</v>
      </c>
    </row>
    <row r="1105" spans="1:7" hidden="1">
      <c r="A1105">
        <v>85</v>
      </c>
      <c r="B1105" t="s">
        <v>1054</v>
      </c>
      <c r="C1105" t="s">
        <v>969</v>
      </c>
      <c r="D1105">
        <v>0.21</v>
      </c>
      <c r="E1105">
        <v>24.75</v>
      </c>
      <c r="F1105">
        <v>0.73</v>
      </c>
      <c r="G1105">
        <v>0</v>
      </c>
    </row>
    <row r="1106" spans="1:7" hidden="1">
      <c r="A1106">
        <v>85</v>
      </c>
      <c r="B1106" t="s">
        <v>1054</v>
      </c>
      <c r="C1106" t="s">
        <v>970</v>
      </c>
      <c r="D1106">
        <v>0.3</v>
      </c>
      <c r="E1106">
        <v>24.75</v>
      </c>
      <c r="F1106">
        <v>1.07</v>
      </c>
      <c r="G1106">
        <v>0</v>
      </c>
    </row>
    <row r="1107" spans="1:7" hidden="1">
      <c r="A1107">
        <v>86</v>
      </c>
      <c r="B1107" t="s">
        <v>1055</v>
      </c>
      <c r="C1107" t="s">
        <v>959</v>
      </c>
      <c r="D1107">
        <v>1.51</v>
      </c>
      <c r="E1107">
        <v>18.309999999999999</v>
      </c>
      <c r="F1107">
        <v>3.96</v>
      </c>
      <c r="G1107">
        <v>0</v>
      </c>
    </row>
    <row r="1108" spans="1:7" hidden="1">
      <c r="A1108">
        <v>86</v>
      </c>
      <c r="B1108" t="s">
        <v>1055</v>
      </c>
      <c r="C1108" t="s">
        <v>960</v>
      </c>
      <c r="D1108">
        <v>2.08</v>
      </c>
      <c r="E1108">
        <v>18.399999999999999</v>
      </c>
      <c r="F1108">
        <v>5.47</v>
      </c>
      <c r="G1108">
        <v>0</v>
      </c>
    </row>
    <row r="1109" spans="1:7" hidden="1">
      <c r="A1109">
        <v>86</v>
      </c>
      <c r="B1109" t="s">
        <v>1055</v>
      </c>
      <c r="C1109" t="s">
        <v>961</v>
      </c>
      <c r="D1109">
        <v>4.7300000000000004</v>
      </c>
      <c r="E1109">
        <v>20.059999999999999</v>
      </c>
      <c r="F1109">
        <v>13.56</v>
      </c>
      <c r="G1109">
        <v>0</v>
      </c>
    </row>
    <row r="1110" spans="1:7" hidden="1">
      <c r="A1110">
        <v>86</v>
      </c>
      <c r="B1110" t="s">
        <v>1055</v>
      </c>
      <c r="C1110" t="s">
        <v>962</v>
      </c>
      <c r="D1110">
        <v>1.03</v>
      </c>
      <c r="E1110">
        <v>24.72</v>
      </c>
      <c r="F1110">
        <v>3.63</v>
      </c>
      <c r="G1110">
        <v>0</v>
      </c>
    </row>
    <row r="1111" spans="1:7" hidden="1">
      <c r="A1111">
        <v>86</v>
      </c>
      <c r="B1111" t="s">
        <v>1055</v>
      </c>
      <c r="C1111" t="s">
        <v>963</v>
      </c>
      <c r="D1111">
        <v>1.91</v>
      </c>
      <c r="E1111">
        <v>18.13</v>
      </c>
      <c r="F1111">
        <v>4.96</v>
      </c>
      <c r="G1111">
        <v>0</v>
      </c>
    </row>
    <row r="1112" spans="1:7" hidden="1">
      <c r="A1112">
        <v>86</v>
      </c>
      <c r="B1112" t="s">
        <v>1055</v>
      </c>
      <c r="C1112" t="s">
        <v>964</v>
      </c>
      <c r="D1112">
        <v>0.08</v>
      </c>
      <c r="E1112">
        <v>21.87</v>
      </c>
      <c r="F1112">
        <v>0.25</v>
      </c>
      <c r="G1112">
        <v>0</v>
      </c>
    </row>
    <row r="1113" spans="1:7" hidden="1">
      <c r="A1113">
        <v>86</v>
      </c>
      <c r="B1113" t="s">
        <v>1055</v>
      </c>
      <c r="C1113" t="s">
        <v>965</v>
      </c>
      <c r="D1113">
        <v>1.55</v>
      </c>
      <c r="E1113">
        <v>24.75</v>
      </c>
      <c r="F1113">
        <v>5.47</v>
      </c>
      <c r="G1113">
        <v>0</v>
      </c>
    </row>
    <row r="1114" spans="1:7">
      <c r="A1114">
        <v>86</v>
      </c>
      <c r="B1114" t="s">
        <v>1055</v>
      </c>
      <c r="C1114" t="s">
        <v>24</v>
      </c>
      <c r="D1114">
        <v>12.9</v>
      </c>
      <c r="E1114">
        <v>20.239999999999998</v>
      </c>
      <c r="F1114">
        <v>37.299999999999997</v>
      </c>
      <c r="G1114">
        <v>0</v>
      </c>
    </row>
    <row r="1115" spans="1:7" hidden="1">
      <c r="A1115">
        <v>86</v>
      </c>
      <c r="B1115" t="s">
        <v>1055</v>
      </c>
      <c r="C1115" t="s">
        <v>966</v>
      </c>
      <c r="D1115">
        <v>0</v>
      </c>
      <c r="E1115">
        <v>18.05</v>
      </c>
      <c r="F1115">
        <v>0</v>
      </c>
      <c r="G1115">
        <v>0</v>
      </c>
    </row>
    <row r="1116" spans="1:7" hidden="1">
      <c r="A1116">
        <v>86</v>
      </c>
      <c r="B1116" t="s">
        <v>1055</v>
      </c>
      <c r="C1116" t="s">
        <v>967</v>
      </c>
      <c r="D1116">
        <v>0.85</v>
      </c>
      <c r="E1116">
        <v>17.91</v>
      </c>
      <c r="F1116">
        <v>2.17</v>
      </c>
      <c r="G1116">
        <v>0</v>
      </c>
    </row>
    <row r="1117" spans="1:7" hidden="1">
      <c r="A1117">
        <v>86</v>
      </c>
      <c r="B1117" t="s">
        <v>1055</v>
      </c>
      <c r="C1117" t="s">
        <v>968</v>
      </c>
      <c r="D1117">
        <v>1.03</v>
      </c>
      <c r="E1117">
        <v>18.09</v>
      </c>
      <c r="F1117">
        <v>2.66</v>
      </c>
      <c r="G1117">
        <v>0</v>
      </c>
    </row>
    <row r="1118" spans="1:7" hidden="1">
      <c r="A1118">
        <v>86</v>
      </c>
      <c r="B1118" t="s">
        <v>1055</v>
      </c>
      <c r="C1118" t="s">
        <v>969</v>
      </c>
      <c r="D1118">
        <v>0.22</v>
      </c>
      <c r="E1118">
        <v>24.75</v>
      </c>
      <c r="F1118">
        <v>0.78</v>
      </c>
      <c r="G1118">
        <v>0</v>
      </c>
    </row>
    <row r="1119" spans="1:7" hidden="1">
      <c r="A1119">
        <v>86</v>
      </c>
      <c r="B1119" t="s">
        <v>1055</v>
      </c>
      <c r="C1119" t="s">
        <v>970</v>
      </c>
      <c r="D1119">
        <v>0.24</v>
      </c>
      <c r="E1119">
        <v>24.75</v>
      </c>
      <c r="F1119">
        <v>0.85</v>
      </c>
      <c r="G1119">
        <v>0</v>
      </c>
    </row>
    <row r="1120" spans="1:7" hidden="1">
      <c r="A1120">
        <v>87</v>
      </c>
      <c r="B1120" t="s">
        <v>1056</v>
      </c>
      <c r="C1120" t="s">
        <v>959</v>
      </c>
      <c r="D1120">
        <v>1.75</v>
      </c>
      <c r="E1120">
        <v>18.309999999999999</v>
      </c>
      <c r="F1120">
        <v>4.59</v>
      </c>
      <c r="G1120">
        <v>0.02</v>
      </c>
    </row>
    <row r="1121" spans="1:7" hidden="1">
      <c r="A1121">
        <v>87</v>
      </c>
      <c r="B1121" t="s">
        <v>1056</v>
      </c>
      <c r="C1121" t="s">
        <v>960</v>
      </c>
      <c r="D1121">
        <v>2.06</v>
      </c>
      <c r="E1121">
        <v>18.399999999999999</v>
      </c>
      <c r="F1121">
        <v>5.41</v>
      </c>
      <c r="G1121">
        <v>0</v>
      </c>
    </row>
    <row r="1122" spans="1:7" hidden="1">
      <c r="A1122">
        <v>87</v>
      </c>
      <c r="B1122" t="s">
        <v>1056</v>
      </c>
      <c r="C1122" t="s">
        <v>961</v>
      </c>
      <c r="D1122">
        <v>4.5599999999999996</v>
      </c>
      <c r="E1122">
        <v>20.059999999999999</v>
      </c>
      <c r="F1122">
        <v>13.08</v>
      </c>
      <c r="G1122">
        <v>0</v>
      </c>
    </row>
    <row r="1123" spans="1:7" hidden="1">
      <c r="A1123">
        <v>87</v>
      </c>
      <c r="B1123" t="s">
        <v>1056</v>
      </c>
      <c r="C1123" t="s">
        <v>962</v>
      </c>
      <c r="D1123">
        <v>1.1499999999999999</v>
      </c>
      <c r="E1123">
        <v>24.72</v>
      </c>
      <c r="F1123">
        <v>4.08</v>
      </c>
      <c r="G1123">
        <v>0</v>
      </c>
    </row>
    <row r="1124" spans="1:7" hidden="1">
      <c r="A1124">
        <v>87</v>
      </c>
      <c r="B1124" t="s">
        <v>1056</v>
      </c>
      <c r="C1124" t="s">
        <v>963</v>
      </c>
      <c r="D1124">
        <v>1.63</v>
      </c>
      <c r="E1124">
        <v>18.13</v>
      </c>
      <c r="F1124">
        <v>4.2300000000000004</v>
      </c>
      <c r="G1124">
        <v>0</v>
      </c>
    </row>
    <row r="1125" spans="1:7" hidden="1">
      <c r="A1125">
        <v>87</v>
      </c>
      <c r="B1125" t="s">
        <v>1056</v>
      </c>
      <c r="C1125" t="s">
        <v>964</v>
      </c>
      <c r="D1125">
        <v>0.11</v>
      </c>
      <c r="E1125">
        <v>21.87</v>
      </c>
      <c r="F1125">
        <v>0.34</v>
      </c>
      <c r="G1125">
        <v>0</v>
      </c>
    </row>
    <row r="1126" spans="1:7" hidden="1">
      <c r="A1126">
        <v>87</v>
      </c>
      <c r="B1126" t="s">
        <v>1056</v>
      </c>
      <c r="C1126" t="s">
        <v>965</v>
      </c>
      <c r="D1126">
        <v>1.43</v>
      </c>
      <c r="E1126">
        <v>24.75</v>
      </c>
      <c r="F1126">
        <v>5.05</v>
      </c>
      <c r="G1126">
        <v>0</v>
      </c>
    </row>
    <row r="1127" spans="1:7">
      <c r="A1127">
        <v>87</v>
      </c>
      <c r="B1127" t="s">
        <v>1056</v>
      </c>
      <c r="C1127" t="s">
        <v>24</v>
      </c>
      <c r="D1127">
        <v>12.7</v>
      </c>
      <c r="E1127">
        <v>20.27</v>
      </c>
      <c r="F1127">
        <v>36.770000000000003</v>
      </c>
      <c r="G1127">
        <v>0.03</v>
      </c>
    </row>
    <row r="1128" spans="1:7" hidden="1">
      <c r="A1128">
        <v>87</v>
      </c>
      <c r="B1128" t="s">
        <v>1056</v>
      </c>
      <c r="C1128" t="s">
        <v>966</v>
      </c>
      <c r="D1128">
        <v>0.02</v>
      </c>
      <c r="E1128">
        <v>18.05</v>
      </c>
      <c r="F1128">
        <v>0.06</v>
      </c>
      <c r="G1128">
        <v>0.02</v>
      </c>
    </row>
    <row r="1129" spans="1:7" hidden="1">
      <c r="A1129">
        <v>87</v>
      </c>
      <c r="B1129" t="s">
        <v>1056</v>
      </c>
      <c r="C1129" t="s">
        <v>967</v>
      </c>
      <c r="D1129">
        <v>1.02</v>
      </c>
      <c r="E1129">
        <v>17.91</v>
      </c>
      <c r="F1129">
        <v>2.62</v>
      </c>
      <c r="G1129">
        <v>0</v>
      </c>
    </row>
    <row r="1130" spans="1:7" hidden="1">
      <c r="A1130">
        <v>87</v>
      </c>
      <c r="B1130" t="s">
        <v>1056</v>
      </c>
      <c r="C1130" t="s">
        <v>968</v>
      </c>
      <c r="D1130">
        <v>1.2</v>
      </c>
      <c r="E1130">
        <v>18.09</v>
      </c>
      <c r="F1130">
        <v>3.1</v>
      </c>
      <c r="G1130">
        <v>0</v>
      </c>
    </row>
    <row r="1131" spans="1:7" hidden="1">
      <c r="A1131">
        <v>87</v>
      </c>
      <c r="B1131" t="s">
        <v>1056</v>
      </c>
      <c r="C1131" t="s">
        <v>969</v>
      </c>
      <c r="D1131">
        <v>0.27</v>
      </c>
      <c r="E1131">
        <v>24.75</v>
      </c>
      <c r="F1131">
        <v>0.96</v>
      </c>
      <c r="G1131">
        <v>0</v>
      </c>
    </row>
    <row r="1132" spans="1:7" hidden="1">
      <c r="A1132">
        <v>87</v>
      </c>
      <c r="B1132" t="s">
        <v>1056</v>
      </c>
      <c r="C1132" t="s">
        <v>970</v>
      </c>
      <c r="D1132">
        <v>0.31</v>
      </c>
      <c r="E1132">
        <v>24.75</v>
      </c>
      <c r="F1132">
        <v>1.0900000000000001</v>
      </c>
      <c r="G1132">
        <v>0</v>
      </c>
    </row>
    <row r="1133" spans="1:7" hidden="1">
      <c r="A1133">
        <v>88</v>
      </c>
      <c r="B1133" t="s">
        <v>1057</v>
      </c>
      <c r="C1133" t="s">
        <v>959</v>
      </c>
      <c r="D1133">
        <v>1.69</v>
      </c>
      <c r="E1133">
        <v>18.309999999999999</v>
      </c>
      <c r="F1133">
        <v>4.42</v>
      </c>
      <c r="G1133">
        <v>0</v>
      </c>
    </row>
    <row r="1134" spans="1:7" hidden="1">
      <c r="A1134">
        <v>88</v>
      </c>
      <c r="B1134" t="s">
        <v>1057</v>
      </c>
      <c r="C1134" t="s">
        <v>960</v>
      </c>
      <c r="D1134">
        <v>1.91</v>
      </c>
      <c r="E1134">
        <v>18.399999999999999</v>
      </c>
      <c r="F1134">
        <v>5.03</v>
      </c>
      <c r="G1134">
        <v>0</v>
      </c>
    </row>
    <row r="1135" spans="1:7" hidden="1">
      <c r="A1135">
        <v>88</v>
      </c>
      <c r="B1135" t="s">
        <v>1057</v>
      </c>
      <c r="C1135" t="s">
        <v>961</v>
      </c>
      <c r="D1135">
        <v>4.66</v>
      </c>
      <c r="E1135">
        <v>20.059999999999999</v>
      </c>
      <c r="F1135">
        <v>13.36</v>
      </c>
      <c r="G1135">
        <v>0</v>
      </c>
    </row>
    <row r="1136" spans="1:7" hidden="1">
      <c r="A1136">
        <v>88</v>
      </c>
      <c r="B1136" t="s">
        <v>1057</v>
      </c>
      <c r="C1136" t="s">
        <v>962</v>
      </c>
      <c r="D1136">
        <v>1.03</v>
      </c>
      <c r="E1136">
        <v>24.72</v>
      </c>
      <c r="F1136">
        <v>3.62</v>
      </c>
      <c r="G1136">
        <v>0</v>
      </c>
    </row>
    <row r="1137" spans="1:7" hidden="1">
      <c r="A1137">
        <v>88</v>
      </c>
      <c r="B1137" t="s">
        <v>1057</v>
      </c>
      <c r="C1137" t="s">
        <v>963</v>
      </c>
      <c r="D1137">
        <v>1.75</v>
      </c>
      <c r="E1137">
        <v>18.13</v>
      </c>
      <c r="F1137">
        <v>4.53</v>
      </c>
      <c r="G1137">
        <v>0</v>
      </c>
    </row>
    <row r="1138" spans="1:7" hidden="1">
      <c r="A1138">
        <v>88</v>
      </c>
      <c r="B1138" t="s">
        <v>1057</v>
      </c>
      <c r="C1138" t="s">
        <v>964</v>
      </c>
      <c r="D1138">
        <v>0.09</v>
      </c>
      <c r="E1138">
        <v>21.87</v>
      </c>
      <c r="F1138">
        <v>0.27</v>
      </c>
      <c r="G1138">
        <v>0</v>
      </c>
    </row>
    <row r="1139" spans="1:7" hidden="1">
      <c r="A1139">
        <v>88</v>
      </c>
      <c r="B1139" t="s">
        <v>1057</v>
      </c>
      <c r="C1139" t="s">
        <v>965</v>
      </c>
      <c r="D1139">
        <v>1.45</v>
      </c>
      <c r="E1139">
        <v>24.75</v>
      </c>
      <c r="F1139">
        <v>5.14</v>
      </c>
      <c r="G1139">
        <v>0</v>
      </c>
    </row>
    <row r="1140" spans="1:7">
      <c r="A1140">
        <v>88</v>
      </c>
      <c r="B1140" t="s">
        <v>1057</v>
      </c>
      <c r="C1140" t="s">
        <v>24</v>
      </c>
      <c r="D1140">
        <v>12.58</v>
      </c>
      <c r="E1140">
        <v>20.239999999999998</v>
      </c>
      <c r="F1140">
        <v>36.380000000000003</v>
      </c>
      <c r="G1140">
        <v>0</v>
      </c>
    </row>
    <row r="1141" spans="1:7" hidden="1">
      <c r="A1141">
        <v>88</v>
      </c>
      <c r="B1141" t="s">
        <v>1057</v>
      </c>
      <c r="C1141" t="s">
        <v>966</v>
      </c>
      <c r="D1141">
        <v>0</v>
      </c>
      <c r="E1141">
        <v>18.05</v>
      </c>
      <c r="F1141">
        <v>0</v>
      </c>
      <c r="G1141">
        <v>0</v>
      </c>
    </row>
    <row r="1142" spans="1:7" hidden="1">
      <c r="A1142">
        <v>88</v>
      </c>
      <c r="B1142" t="s">
        <v>1057</v>
      </c>
      <c r="C1142" t="s">
        <v>967</v>
      </c>
      <c r="D1142">
        <v>0.78</v>
      </c>
      <c r="E1142">
        <v>17.91</v>
      </c>
      <c r="F1142">
        <v>2</v>
      </c>
      <c r="G1142">
        <v>0</v>
      </c>
    </row>
    <row r="1143" spans="1:7" hidden="1">
      <c r="A1143">
        <v>88</v>
      </c>
      <c r="B1143" t="s">
        <v>1057</v>
      </c>
      <c r="C1143" t="s">
        <v>968</v>
      </c>
      <c r="D1143">
        <v>1.1200000000000001</v>
      </c>
      <c r="E1143">
        <v>18.09</v>
      </c>
      <c r="F1143">
        <v>2.89</v>
      </c>
      <c r="G1143">
        <v>0</v>
      </c>
    </row>
    <row r="1144" spans="1:7" hidden="1">
      <c r="A1144">
        <v>88</v>
      </c>
      <c r="B1144" t="s">
        <v>1057</v>
      </c>
      <c r="C1144" t="s">
        <v>969</v>
      </c>
      <c r="D1144">
        <v>0.28000000000000003</v>
      </c>
      <c r="E1144">
        <v>24.75</v>
      </c>
      <c r="F1144">
        <v>0.98</v>
      </c>
      <c r="G1144">
        <v>0</v>
      </c>
    </row>
    <row r="1145" spans="1:7" hidden="1">
      <c r="A1145">
        <v>88</v>
      </c>
      <c r="B1145" t="s">
        <v>1057</v>
      </c>
      <c r="C1145" t="s">
        <v>970</v>
      </c>
      <c r="D1145">
        <v>0.2</v>
      </c>
      <c r="E1145">
        <v>24.75</v>
      </c>
      <c r="F1145">
        <v>0.71</v>
      </c>
      <c r="G1145">
        <v>0</v>
      </c>
    </row>
    <row r="1146" spans="1:7" hidden="1">
      <c r="A1146">
        <v>89</v>
      </c>
      <c r="B1146" t="s">
        <v>1058</v>
      </c>
      <c r="C1146" t="s">
        <v>959</v>
      </c>
      <c r="D1146">
        <v>5.45</v>
      </c>
      <c r="E1146">
        <v>18.309999999999999</v>
      </c>
      <c r="F1146">
        <v>14.26</v>
      </c>
      <c r="G1146">
        <v>2.87</v>
      </c>
    </row>
    <row r="1147" spans="1:7" hidden="1">
      <c r="A1147">
        <v>89</v>
      </c>
      <c r="B1147" t="s">
        <v>1058</v>
      </c>
      <c r="C1147" t="s">
        <v>960</v>
      </c>
      <c r="D1147">
        <v>6.66</v>
      </c>
      <c r="E1147">
        <v>18.399999999999999</v>
      </c>
      <c r="F1147">
        <v>17.5</v>
      </c>
      <c r="G1147">
        <v>4.41</v>
      </c>
    </row>
    <row r="1148" spans="1:7" hidden="1">
      <c r="A1148">
        <v>89</v>
      </c>
      <c r="B1148" t="s">
        <v>1058</v>
      </c>
      <c r="C1148" t="s">
        <v>961</v>
      </c>
      <c r="D1148">
        <v>5.04</v>
      </c>
      <c r="E1148">
        <v>20.059999999999999</v>
      </c>
      <c r="F1148">
        <v>14.43</v>
      </c>
      <c r="G1148">
        <v>1.99</v>
      </c>
    </row>
    <row r="1149" spans="1:7" hidden="1">
      <c r="A1149">
        <v>89</v>
      </c>
      <c r="B1149" t="s">
        <v>1058</v>
      </c>
      <c r="C1149" t="s">
        <v>962</v>
      </c>
      <c r="D1149">
        <v>0.7</v>
      </c>
      <c r="E1149">
        <v>24.72</v>
      </c>
      <c r="F1149">
        <v>2.46</v>
      </c>
      <c r="G1149">
        <v>0.36</v>
      </c>
    </row>
    <row r="1150" spans="1:7" hidden="1">
      <c r="A1150">
        <v>89</v>
      </c>
      <c r="B1150" t="s">
        <v>1058</v>
      </c>
      <c r="C1150" t="s">
        <v>963</v>
      </c>
      <c r="D1150">
        <v>2.97</v>
      </c>
      <c r="E1150">
        <v>18.13</v>
      </c>
      <c r="F1150">
        <v>7.69</v>
      </c>
      <c r="G1150">
        <v>1.2</v>
      </c>
    </row>
    <row r="1151" spans="1:7" hidden="1">
      <c r="A1151">
        <v>89</v>
      </c>
      <c r="B1151" t="s">
        <v>1058</v>
      </c>
      <c r="C1151" t="s">
        <v>964</v>
      </c>
      <c r="D1151">
        <v>0.11</v>
      </c>
      <c r="E1151">
        <v>21.87</v>
      </c>
      <c r="F1151">
        <v>0.34</v>
      </c>
      <c r="G1151">
        <v>7.0000000000000007E-2</v>
      </c>
    </row>
    <row r="1152" spans="1:7" hidden="1">
      <c r="A1152">
        <v>89</v>
      </c>
      <c r="B1152" t="s">
        <v>1058</v>
      </c>
      <c r="C1152" t="s">
        <v>965</v>
      </c>
      <c r="D1152">
        <v>2.11</v>
      </c>
      <c r="E1152">
        <v>24.75</v>
      </c>
      <c r="F1152">
        <v>7.48</v>
      </c>
      <c r="G1152">
        <v>0.72</v>
      </c>
    </row>
    <row r="1153" spans="1:7">
      <c r="A1153">
        <v>89</v>
      </c>
      <c r="B1153" t="s">
        <v>1058</v>
      </c>
      <c r="C1153" t="s">
        <v>24</v>
      </c>
      <c r="D1153">
        <v>23.04</v>
      </c>
      <c r="E1153">
        <v>19.5</v>
      </c>
      <c r="F1153">
        <v>64.16</v>
      </c>
      <c r="G1153">
        <v>11.63</v>
      </c>
    </row>
    <row r="1154" spans="1:7" hidden="1">
      <c r="A1154">
        <v>89</v>
      </c>
      <c r="B1154" t="s">
        <v>1058</v>
      </c>
      <c r="C1154" t="s">
        <v>966</v>
      </c>
      <c r="D1154">
        <v>14.76</v>
      </c>
      <c r="E1154">
        <v>18.05</v>
      </c>
      <c r="F1154">
        <v>38.06</v>
      </c>
      <c r="G1154">
        <v>13.99</v>
      </c>
    </row>
    <row r="1155" spans="1:7" hidden="1">
      <c r="A1155">
        <v>89</v>
      </c>
      <c r="B1155" t="s">
        <v>1058</v>
      </c>
      <c r="C1155" t="s">
        <v>967</v>
      </c>
      <c r="D1155">
        <v>0.42</v>
      </c>
      <c r="E1155">
        <v>17.91</v>
      </c>
      <c r="F1155">
        <v>1.08</v>
      </c>
      <c r="G1155">
        <v>0.35</v>
      </c>
    </row>
    <row r="1156" spans="1:7" hidden="1">
      <c r="A1156">
        <v>89</v>
      </c>
      <c r="B1156" t="s">
        <v>1058</v>
      </c>
      <c r="C1156" t="s">
        <v>968</v>
      </c>
      <c r="D1156">
        <v>0.71</v>
      </c>
      <c r="E1156">
        <v>18.09</v>
      </c>
      <c r="F1156">
        <v>1.83</v>
      </c>
      <c r="G1156">
        <v>0.3</v>
      </c>
    </row>
    <row r="1157" spans="1:7" hidden="1">
      <c r="A1157">
        <v>89</v>
      </c>
      <c r="B1157" t="s">
        <v>1058</v>
      </c>
      <c r="C1157" t="s">
        <v>969</v>
      </c>
      <c r="D1157">
        <v>2.37</v>
      </c>
      <c r="E1157">
        <v>24.75</v>
      </c>
      <c r="F1157">
        <v>8.3699999999999992</v>
      </c>
      <c r="G1157">
        <v>0.16</v>
      </c>
    </row>
    <row r="1158" spans="1:7" hidden="1">
      <c r="A1158">
        <v>89</v>
      </c>
      <c r="B1158" t="s">
        <v>1058</v>
      </c>
      <c r="C1158" t="s">
        <v>970</v>
      </c>
      <c r="D1158">
        <v>0.5</v>
      </c>
      <c r="E1158">
        <v>24.75</v>
      </c>
      <c r="F1158">
        <v>1.77</v>
      </c>
      <c r="G1158">
        <v>0.15</v>
      </c>
    </row>
    <row r="1159" spans="1:7" hidden="1">
      <c r="A1159">
        <v>90</v>
      </c>
      <c r="B1159" t="s">
        <v>1059</v>
      </c>
      <c r="C1159" t="s">
        <v>959</v>
      </c>
      <c r="D1159">
        <v>6.5</v>
      </c>
      <c r="E1159">
        <v>18.309999999999999</v>
      </c>
      <c r="F1159">
        <v>17.010000000000002</v>
      </c>
      <c r="G1159">
        <v>3.63</v>
      </c>
    </row>
    <row r="1160" spans="1:7" hidden="1">
      <c r="A1160">
        <v>90</v>
      </c>
      <c r="B1160" t="s">
        <v>1059</v>
      </c>
      <c r="C1160" t="s">
        <v>960</v>
      </c>
      <c r="D1160">
        <v>7.05</v>
      </c>
      <c r="E1160">
        <v>18.399999999999999</v>
      </c>
      <c r="F1160">
        <v>18.52</v>
      </c>
      <c r="G1160">
        <v>4.8099999999999996</v>
      </c>
    </row>
    <row r="1161" spans="1:7" hidden="1">
      <c r="A1161">
        <v>90</v>
      </c>
      <c r="B1161" t="s">
        <v>1059</v>
      </c>
      <c r="C1161" t="s">
        <v>961</v>
      </c>
      <c r="D1161">
        <v>5.85</v>
      </c>
      <c r="E1161">
        <v>20.059999999999999</v>
      </c>
      <c r="F1161">
        <v>16.760000000000002</v>
      </c>
      <c r="G1161">
        <v>2.21</v>
      </c>
    </row>
    <row r="1162" spans="1:7" hidden="1">
      <c r="A1162">
        <v>90</v>
      </c>
      <c r="B1162" t="s">
        <v>1059</v>
      </c>
      <c r="C1162" t="s">
        <v>962</v>
      </c>
      <c r="D1162">
        <v>0.81</v>
      </c>
      <c r="E1162">
        <v>24.72</v>
      </c>
      <c r="F1162">
        <v>2.86</v>
      </c>
      <c r="G1162">
        <v>0.41</v>
      </c>
    </row>
    <row r="1163" spans="1:7" hidden="1">
      <c r="A1163">
        <v>90</v>
      </c>
      <c r="B1163" t="s">
        <v>1059</v>
      </c>
      <c r="C1163" t="s">
        <v>963</v>
      </c>
      <c r="D1163">
        <v>3.44</v>
      </c>
      <c r="E1163">
        <v>18.13</v>
      </c>
      <c r="F1163">
        <v>8.92</v>
      </c>
      <c r="G1163">
        <v>1.44</v>
      </c>
    </row>
    <row r="1164" spans="1:7" hidden="1">
      <c r="A1164">
        <v>90</v>
      </c>
      <c r="B1164" t="s">
        <v>1059</v>
      </c>
      <c r="C1164" t="s">
        <v>964</v>
      </c>
      <c r="D1164">
        <v>0.15</v>
      </c>
      <c r="E1164">
        <v>21.87</v>
      </c>
      <c r="F1164">
        <v>0.46</v>
      </c>
      <c r="G1164">
        <v>0.1</v>
      </c>
    </row>
    <row r="1165" spans="1:7" hidden="1">
      <c r="A1165">
        <v>90</v>
      </c>
      <c r="B1165" t="s">
        <v>1059</v>
      </c>
      <c r="C1165" t="s">
        <v>965</v>
      </c>
      <c r="D1165">
        <v>2.29</v>
      </c>
      <c r="E1165">
        <v>24.75</v>
      </c>
      <c r="F1165">
        <v>8.1</v>
      </c>
      <c r="G1165">
        <v>0.85</v>
      </c>
    </row>
    <row r="1166" spans="1:7">
      <c r="A1166">
        <v>90</v>
      </c>
      <c r="B1166" t="s">
        <v>1059</v>
      </c>
      <c r="C1166" t="s">
        <v>24</v>
      </c>
      <c r="D1166">
        <v>26.09</v>
      </c>
      <c r="E1166">
        <v>19.489999999999998</v>
      </c>
      <c r="F1166">
        <v>72.64</v>
      </c>
      <c r="G1166">
        <v>13.46</v>
      </c>
    </row>
    <row r="1167" spans="1:7" hidden="1">
      <c r="A1167">
        <v>90</v>
      </c>
      <c r="B1167" t="s">
        <v>1059</v>
      </c>
      <c r="C1167" t="s">
        <v>966</v>
      </c>
      <c r="D1167">
        <v>15.2</v>
      </c>
      <c r="E1167">
        <v>18.05</v>
      </c>
      <c r="F1167">
        <v>39.19</v>
      </c>
      <c r="G1167">
        <v>14.3</v>
      </c>
    </row>
    <row r="1168" spans="1:7" hidden="1">
      <c r="A1168">
        <v>90</v>
      </c>
      <c r="B1168" t="s">
        <v>1059</v>
      </c>
      <c r="C1168" t="s">
        <v>967</v>
      </c>
      <c r="D1168">
        <v>0.17</v>
      </c>
      <c r="E1168">
        <v>17.91</v>
      </c>
      <c r="F1168">
        <v>0.43</v>
      </c>
      <c r="G1168">
        <v>0.1</v>
      </c>
    </row>
    <row r="1169" spans="1:7" hidden="1">
      <c r="A1169">
        <v>90</v>
      </c>
      <c r="B1169" t="s">
        <v>1059</v>
      </c>
      <c r="C1169" t="s">
        <v>968</v>
      </c>
      <c r="D1169">
        <v>0.6</v>
      </c>
      <c r="E1169">
        <v>18.09</v>
      </c>
      <c r="F1169">
        <v>1.54</v>
      </c>
      <c r="G1169">
        <v>0.28000000000000003</v>
      </c>
    </row>
    <row r="1170" spans="1:7" hidden="1">
      <c r="A1170">
        <v>90</v>
      </c>
      <c r="B1170" t="s">
        <v>1059</v>
      </c>
      <c r="C1170" t="s">
        <v>969</v>
      </c>
      <c r="D1170">
        <v>2.86</v>
      </c>
      <c r="E1170">
        <v>24.75</v>
      </c>
      <c r="F1170">
        <v>10.1</v>
      </c>
      <c r="G1170">
        <v>0.2</v>
      </c>
    </row>
    <row r="1171" spans="1:7" hidden="1">
      <c r="A1171">
        <v>90</v>
      </c>
      <c r="B1171" t="s">
        <v>1059</v>
      </c>
      <c r="C1171" t="s">
        <v>970</v>
      </c>
      <c r="D1171">
        <v>0.47</v>
      </c>
      <c r="E1171">
        <v>24.75</v>
      </c>
      <c r="F1171">
        <v>1.65</v>
      </c>
      <c r="G1171">
        <v>0.15</v>
      </c>
    </row>
    <row r="1172" spans="1:7" hidden="1">
      <c r="A1172">
        <v>91</v>
      </c>
      <c r="B1172" t="s">
        <v>1060</v>
      </c>
      <c r="C1172" t="s">
        <v>959</v>
      </c>
      <c r="D1172">
        <v>3.3</v>
      </c>
      <c r="E1172">
        <v>18.309999999999999</v>
      </c>
      <c r="F1172">
        <v>8.6300000000000008</v>
      </c>
      <c r="G1172">
        <v>0.8</v>
      </c>
    </row>
    <row r="1173" spans="1:7" hidden="1">
      <c r="A1173">
        <v>91</v>
      </c>
      <c r="B1173" t="s">
        <v>1060</v>
      </c>
      <c r="C1173" t="s">
        <v>960</v>
      </c>
      <c r="D1173">
        <v>4.51</v>
      </c>
      <c r="E1173">
        <v>18.399999999999999</v>
      </c>
      <c r="F1173">
        <v>11.86</v>
      </c>
      <c r="G1173">
        <v>1.31</v>
      </c>
    </row>
    <row r="1174" spans="1:7" hidden="1">
      <c r="A1174">
        <v>91</v>
      </c>
      <c r="B1174" t="s">
        <v>1060</v>
      </c>
      <c r="C1174" t="s">
        <v>961</v>
      </c>
      <c r="D1174">
        <v>8.2100000000000009</v>
      </c>
      <c r="E1174">
        <v>20.059999999999999</v>
      </c>
      <c r="F1174">
        <v>23.52</v>
      </c>
      <c r="G1174">
        <v>1.37</v>
      </c>
    </row>
    <row r="1175" spans="1:7" hidden="1">
      <c r="A1175">
        <v>91</v>
      </c>
      <c r="B1175" t="s">
        <v>1060</v>
      </c>
      <c r="C1175" t="s">
        <v>962</v>
      </c>
      <c r="D1175">
        <v>1.28</v>
      </c>
      <c r="E1175">
        <v>24.72</v>
      </c>
      <c r="F1175">
        <v>4.51</v>
      </c>
      <c r="G1175">
        <v>0.16</v>
      </c>
    </row>
    <row r="1176" spans="1:7" hidden="1">
      <c r="A1176">
        <v>91</v>
      </c>
      <c r="B1176" t="s">
        <v>1060</v>
      </c>
      <c r="C1176" t="s">
        <v>963</v>
      </c>
      <c r="D1176">
        <v>2.46</v>
      </c>
      <c r="E1176">
        <v>18.13</v>
      </c>
      <c r="F1176">
        <v>6.37</v>
      </c>
      <c r="G1176">
        <v>0.32</v>
      </c>
    </row>
    <row r="1177" spans="1:7" hidden="1">
      <c r="A1177">
        <v>91</v>
      </c>
      <c r="B1177" t="s">
        <v>1060</v>
      </c>
      <c r="C1177" t="s">
        <v>964</v>
      </c>
      <c r="D1177">
        <v>0.06</v>
      </c>
      <c r="E1177">
        <v>21.87</v>
      </c>
      <c r="F1177">
        <v>0.2</v>
      </c>
      <c r="G1177">
        <v>0</v>
      </c>
    </row>
    <row r="1178" spans="1:7" hidden="1">
      <c r="A1178">
        <v>91</v>
      </c>
      <c r="B1178" t="s">
        <v>1060</v>
      </c>
      <c r="C1178" t="s">
        <v>965</v>
      </c>
      <c r="D1178">
        <v>2.2799999999999998</v>
      </c>
      <c r="E1178">
        <v>24.75</v>
      </c>
      <c r="F1178">
        <v>8.06</v>
      </c>
      <c r="G1178">
        <v>0.28999999999999998</v>
      </c>
    </row>
    <row r="1179" spans="1:7">
      <c r="A1179">
        <v>91</v>
      </c>
      <c r="B1179" t="s">
        <v>1060</v>
      </c>
      <c r="C1179" t="s">
        <v>24</v>
      </c>
      <c r="D1179">
        <v>22.1</v>
      </c>
      <c r="E1179">
        <v>20</v>
      </c>
      <c r="F1179">
        <v>63.14</v>
      </c>
      <c r="G1179">
        <v>4.25</v>
      </c>
    </row>
    <row r="1180" spans="1:7" hidden="1">
      <c r="A1180">
        <v>91</v>
      </c>
      <c r="B1180" t="s">
        <v>1060</v>
      </c>
      <c r="C1180" t="s">
        <v>966</v>
      </c>
      <c r="D1180">
        <v>3.87</v>
      </c>
      <c r="E1180">
        <v>18.05</v>
      </c>
      <c r="F1180">
        <v>9.9700000000000006</v>
      </c>
      <c r="G1180">
        <v>3.52</v>
      </c>
    </row>
    <row r="1181" spans="1:7" hidden="1">
      <c r="A1181">
        <v>91</v>
      </c>
      <c r="B1181" t="s">
        <v>1060</v>
      </c>
      <c r="C1181" t="s">
        <v>967</v>
      </c>
      <c r="D1181">
        <v>0.42</v>
      </c>
      <c r="E1181">
        <v>17.91</v>
      </c>
      <c r="F1181">
        <v>1.07</v>
      </c>
      <c r="G1181">
        <v>0.01</v>
      </c>
    </row>
    <row r="1182" spans="1:7" hidden="1">
      <c r="A1182">
        <v>91</v>
      </c>
      <c r="B1182" t="s">
        <v>1060</v>
      </c>
      <c r="C1182" t="s">
        <v>968</v>
      </c>
      <c r="D1182">
        <v>1.35</v>
      </c>
      <c r="E1182">
        <v>18.09</v>
      </c>
      <c r="F1182">
        <v>3.49</v>
      </c>
      <c r="G1182">
        <v>0.12</v>
      </c>
    </row>
    <row r="1183" spans="1:7" hidden="1">
      <c r="A1183">
        <v>91</v>
      </c>
      <c r="B1183" t="s">
        <v>1060</v>
      </c>
      <c r="C1183" t="s">
        <v>969</v>
      </c>
      <c r="D1183">
        <v>1.17</v>
      </c>
      <c r="E1183">
        <v>24.75</v>
      </c>
      <c r="F1183">
        <v>4.1500000000000004</v>
      </c>
      <c r="G1183">
        <v>0.04</v>
      </c>
    </row>
    <row r="1184" spans="1:7" hidden="1">
      <c r="A1184">
        <v>91</v>
      </c>
      <c r="B1184" t="s">
        <v>1060</v>
      </c>
      <c r="C1184" t="s">
        <v>970</v>
      </c>
      <c r="D1184">
        <v>0.36</v>
      </c>
      <c r="E1184">
        <v>24.75</v>
      </c>
      <c r="F1184">
        <v>1.28</v>
      </c>
      <c r="G1184">
        <v>0.03</v>
      </c>
    </row>
    <row r="1185" spans="1:7" hidden="1">
      <c r="A1185">
        <v>92</v>
      </c>
      <c r="B1185" t="s">
        <v>1061</v>
      </c>
      <c r="C1185" t="s">
        <v>959</v>
      </c>
      <c r="D1185">
        <v>1.93</v>
      </c>
      <c r="E1185">
        <v>18.309999999999999</v>
      </c>
      <c r="F1185">
        <v>5.05</v>
      </c>
      <c r="G1185">
        <v>0</v>
      </c>
    </row>
    <row r="1186" spans="1:7" hidden="1">
      <c r="A1186">
        <v>92</v>
      </c>
      <c r="B1186" t="s">
        <v>1061</v>
      </c>
      <c r="C1186" t="s">
        <v>960</v>
      </c>
      <c r="D1186">
        <v>2.98</v>
      </c>
      <c r="E1186">
        <v>18.399999999999999</v>
      </c>
      <c r="F1186">
        <v>7.82</v>
      </c>
      <c r="G1186">
        <v>0</v>
      </c>
    </row>
    <row r="1187" spans="1:7" hidden="1">
      <c r="A1187">
        <v>92</v>
      </c>
      <c r="B1187" t="s">
        <v>1061</v>
      </c>
      <c r="C1187" t="s">
        <v>961</v>
      </c>
      <c r="D1187">
        <v>9.4600000000000009</v>
      </c>
      <c r="E1187">
        <v>20.059999999999999</v>
      </c>
      <c r="F1187">
        <v>27.11</v>
      </c>
      <c r="G1187">
        <v>0</v>
      </c>
    </row>
    <row r="1188" spans="1:7" hidden="1">
      <c r="A1188">
        <v>92</v>
      </c>
      <c r="B1188" t="s">
        <v>1061</v>
      </c>
      <c r="C1188" t="s">
        <v>962</v>
      </c>
      <c r="D1188">
        <v>1.9</v>
      </c>
      <c r="E1188">
        <v>24.72</v>
      </c>
      <c r="F1188">
        <v>6.72</v>
      </c>
      <c r="G1188">
        <v>0</v>
      </c>
    </row>
    <row r="1189" spans="1:7" hidden="1">
      <c r="A1189">
        <v>92</v>
      </c>
      <c r="B1189" t="s">
        <v>1061</v>
      </c>
      <c r="C1189" t="s">
        <v>963</v>
      </c>
      <c r="D1189">
        <v>2.67</v>
      </c>
      <c r="E1189">
        <v>18.13</v>
      </c>
      <c r="F1189">
        <v>6.91</v>
      </c>
      <c r="G1189">
        <v>0</v>
      </c>
    </row>
    <row r="1190" spans="1:7" hidden="1">
      <c r="A1190">
        <v>92</v>
      </c>
      <c r="B1190" t="s">
        <v>1061</v>
      </c>
      <c r="C1190" t="s">
        <v>964</v>
      </c>
      <c r="D1190">
        <v>0.37</v>
      </c>
      <c r="E1190">
        <v>21.87</v>
      </c>
      <c r="F1190">
        <v>1.17</v>
      </c>
      <c r="G1190">
        <v>0</v>
      </c>
    </row>
    <row r="1191" spans="1:7" hidden="1">
      <c r="A1191">
        <v>92</v>
      </c>
      <c r="B1191" t="s">
        <v>1061</v>
      </c>
      <c r="C1191" t="s">
        <v>965</v>
      </c>
      <c r="D1191">
        <v>2.36</v>
      </c>
      <c r="E1191">
        <v>24.75</v>
      </c>
      <c r="F1191">
        <v>8.34</v>
      </c>
      <c r="G1191">
        <v>0</v>
      </c>
    </row>
    <row r="1192" spans="1:7">
      <c r="A1192">
        <v>92</v>
      </c>
      <c r="B1192" t="s">
        <v>1061</v>
      </c>
      <c r="C1192" t="s">
        <v>24</v>
      </c>
      <c r="D1192">
        <v>21.67</v>
      </c>
      <c r="E1192">
        <v>20.39</v>
      </c>
      <c r="F1192">
        <v>63.13</v>
      </c>
      <c r="G1192">
        <v>0</v>
      </c>
    </row>
    <row r="1193" spans="1:7" hidden="1">
      <c r="A1193">
        <v>92</v>
      </c>
      <c r="B1193" t="s">
        <v>1061</v>
      </c>
      <c r="C1193" t="s">
        <v>966</v>
      </c>
      <c r="D1193">
        <v>0</v>
      </c>
      <c r="E1193">
        <v>18.05</v>
      </c>
      <c r="F1193">
        <v>0</v>
      </c>
      <c r="G1193">
        <v>0</v>
      </c>
    </row>
    <row r="1194" spans="1:7" hidden="1">
      <c r="A1194">
        <v>92</v>
      </c>
      <c r="B1194" t="s">
        <v>1061</v>
      </c>
      <c r="C1194" t="s">
        <v>967</v>
      </c>
      <c r="D1194">
        <v>0.56999999999999995</v>
      </c>
      <c r="E1194">
        <v>17.91</v>
      </c>
      <c r="F1194">
        <v>1.46</v>
      </c>
      <c r="G1194">
        <v>0</v>
      </c>
    </row>
    <row r="1195" spans="1:7" hidden="1">
      <c r="A1195">
        <v>92</v>
      </c>
      <c r="B1195" t="s">
        <v>1061</v>
      </c>
      <c r="C1195" t="s">
        <v>968</v>
      </c>
      <c r="D1195">
        <v>1.57</v>
      </c>
      <c r="E1195">
        <v>18.09</v>
      </c>
      <c r="F1195">
        <v>4.0599999999999996</v>
      </c>
      <c r="G1195">
        <v>0</v>
      </c>
    </row>
    <row r="1196" spans="1:7" hidden="1">
      <c r="A1196">
        <v>92</v>
      </c>
      <c r="B1196" t="s">
        <v>1061</v>
      </c>
      <c r="C1196" t="s">
        <v>969</v>
      </c>
      <c r="D1196">
        <v>0.19</v>
      </c>
      <c r="E1196">
        <v>24.75</v>
      </c>
      <c r="F1196">
        <v>0.67</v>
      </c>
      <c r="G1196">
        <v>0</v>
      </c>
    </row>
    <row r="1197" spans="1:7" hidden="1">
      <c r="A1197">
        <v>92</v>
      </c>
      <c r="B1197" t="s">
        <v>1061</v>
      </c>
      <c r="C1197" t="s">
        <v>970</v>
      </c>
      <c r="D1197">
        <v>0.43</v>
      </c>
      <c r="E1197">
        <v>24.75</v>
      </c>
      <c r="F1197">
        <v>1.51</v>
      </c>
      <c r="G1197">
        <v>0</v>
      </c>
    </row>
    <row r="1198" spans="1:7" hidden="1">
      <c r="A1198">
        <v>93</v>
      </c>
      <c r="B1198" t="s">
        <v>1062</v>
      </c>
      <c r="C1198" t="s">
        <v>959</v>
      </c>
      <c r="D1198">
        <v>2.76</v>
      </c>
      <c r="E1198">
        <v>18.309999999999999</v>
      </c>
      <c r="F1198">
        <v>7.22</v>
      </c>
      <c r="G1198">
        <v>0</v>
      </c>
    </row>
    <row r="1199" spans="1:7" hidden="1">
      <c r="A1199">
        <v>93</v>
      </c>
      <c r="B1199" t="s">
        <v>1062</v>
      </c>
      <c r="C1199" t="s">
        <v>960</v>
      </c>
      <c r="D1199">
        <v>3.13</v>
      </c>
      <c r="E1199">
        <v>18.399999999999999</v>
      </c>
      <c r="F1199">
        <v>8.23</v>
      </c>
      <c r="G1199">
        <v>0</v>
      </c>
    </row>
    <row r="1200" spans="1:7" hidden="1">
      <c r="A1200">
        <v>93</v>
      </c>
      <c r="B1200" t="s">
        <v>1062</v>
      </c>
      <c r="C1200" t="s">
        <v>961</v>
      </c>
      <c r="D1200">
        <v>10.199999999999999</v>
      </c>
      <c r="E1200">
        <v>20.059999999999999</v>
      </c>
      <c r="F1200">
        <v>29.22</v>
      </c>
      <c r="G1200">
        <v>0</v>
      </c>
    </row>
    <row r="1201" spans="1:7" hidden="1">
      <c r="A1201">
        <v>93</v>
      </c>
      <c r="B1201" t="s">
        <v>1062</v>
      </c>
      <c r="C1201" t="s">
        <v>962</v>
      </c>
      <c r="D1201">
        <v>2.13</v>
      </c>
      <c r="E1201">
        <v>24.72</v>
      </c>
      <c r="F1201">
        <v>7.52</v>
      </c>
      <c r="G1201">
        <v>0</v>
      </c>
    </row>
    <row r="1202" spans="1:7" hidden="1">
      <c r="A1202">
        <v>93</v>
      </c>
      <c r="B1202" t="s">
        <v>1062</v>
      </c>
      <c r="C1202" t="s">
        <v>963</v>
      </c>
      <c r="D1202">
        <v>3.16</v>
      </c>
      <c r="E1202">
        <v>18.13</v>
      </c>
      <c r="F1202">
        <v>8.18</v>
      </c>
      <c r="G1202">
        <v>0</v>
      </c>
    </row>
    <row r="1203" spans="1:7" hidden="1">
      <c r="A1203">
        <v>93</v>
      </c>
      <c r="B1203" t="s">
        <v>1062</v>
      </c>
      <c r="C1203" t="s">
        <v>964</v>
      </c>
      <c r="D1203">
        <v>0.47</v>
      </c>
      <c r="E1203">
        <v>21.87</v>
      </c>
      <c r="F1203">
        <v>1.46</v>
      </c>
      <c r="G1203">
        <v>0</v>
      </c>
    </row>
    <row r="1204" spans="1:7" hidden="1">
      <c r="A1204">
        <v>93</v>
      </c>
      <c r="B1204" t="s">
        <v>1062</v>
      </c>
      <c r="C1204" t="s">
        <v>965</v>
      </c>
      <c r="D1204">
        <v>2.74</v>
      </c>
      <c r="E1204">
        <v>24.75</v>
      </c>
      <c r="F1204">
        <v>9.7100000000000009</v>
      </c>
      <c r="G1204">
        <v>0</v>
      </c>
    </row>
    <row r="1205" spans="1:7">
      <c r="A1205">
        <v>93</v>
      </c>
      <c r="B1205" t="s">
        <v>1062</v>
      </c>
      <c r="C1205" t="s">
        <v>24</v>
      </c>
      <c r="D1205">
        <v>24.59</v>
      </c>
      <c r="E1205">
        <v>20.37</v>
      </c>
      <c r="F1205">
        <v>71.53</v>
      </c>
      <c r="G1205">
        <v>0</v>
      </c>
    </row>
    <row r="1206" spans="1:7" hidden="1">
      <c r="A1206">
        <v>93</v>
      </c>
      <c r="B1206" t="s">
        <v>1062</v>
      </c>
      <c r="C1206" t="s">
        <v>966</v>
      </c>
      <c r="D1206">
        <v>0</v>
      </c>
      <c r="E1206">
        <v>18.05</v>
      </c>
      <c r="F1206">
        <v>0</v>
      </c>
      <c r="G1206">
        <v>0</v>
      </c>
    </row>
    <row r="1207" spans="1:7" hidden="1">
      <c r="A1207">
        <v>93</v>
      </c>
      <c r="B1207" t="s">
        <v>1062</v>
      </c>
      <c r="C1207" t="s">
        <v>967</v>
      </c>
      <c r="D1207">
        <v>0.85</v>
      </c>
      <c r="E1207">
        <v>17.91</v>
      </c>
      <c r="F1207">
        <v>2.1800000000000002</v>
      </c>
      <c r="G1207">
        <v>0</v>
      </c>
    </row>
    <row r="1208" spans="1:7" hidden="1">
      <c r="A1208">
        <v>93</v>
      </c>
      <c r="B1208" t="s">
        <v>1062</v>
      </c>
      <c r="C1208" t="s">
        <v>968</v>
      </c>
      <c r="D1208">
        <v>2.36</v>
      </c>
      <c r="E1208">
        <v>18.09</v>
      </c>
      <c r="F1208">
        <v>6.1</v>
      </c>
      <c r="G1208">
        <v>0</v>
      </c>
    </row>
    <row r="1209" spans="1:7" hidden="1">
      <c r="A1209">
        <v>93</v>
      </c>
      <c r="B1209" t="s">
        <v>1062</v>
      </c>
      <c r="C1209" t="s">
        <v>969</v>
      </c>
      <c r="D1209">
        <v>0.25</v>
      </c>
      <c r="E1209">
        <v>24.75</v>
      </c>
      <c r="F1209">
        <v>0.89</v>
      </c>
      <c r="G1209">
        <v>0</v>
      </c>
    </row>
    <row r="1210" spans="1:7" hidden="1">
      <c r="A1210">
        <v>93</v>
      </c>
      <c r="B1210" t="s">
        <v>1062</v>
      </c>
      <c r="C1210" t="s">
        <v>970</v>
      </c>
      <c r="D1210">
        <v>0.56999999999999995</v>
      </c>
      <c r="E1210">
        <v>24.75</v>
      </c>
      <c r="F1210">
        <v>2.02</v>
      </c>
      <c r="G1210">
        <v>0</v>
      </c>
    </row>
    <row r="1211" spans="1:7" hidden="1">
      <c r="A1211">
        <v>94</v>
      </c>
      <c r="B1211" t="s">
        <v>1063</v>
      </c>
      <c r="C1211" t="s">
        <v>959</v>
      </c>
      <c r="D1211">
        <v>1.99</v>
      </c>
      <c r="E1211">
        <v>18.309999999999999</v>
      </c>
      <c r="F1211">
        <v>5.19</v>
      </c>
      <c r="G1211">
        <v>0</v>
      </c>
    </row>
    <row r="1212" spans="1:7" hidden="1">
      <c r="A1212">
        <v>94</v>
      </c>
      <c r="B1212" t="s">
        <v>1063</v>
      </c>
      <c r="C1212" t="s">
        <v>960</v>
      </c>
      <c r="D1212">
        <v>2.95</v>
      </c>
      <c r="E1212">
        <v>18.399999999999999</v>
      </c>
      <c r="F1212">
        <v>7.76</v>
      </c>
      <c r="G1212">
        <v>0</v>
      </c>
    </row>
    <row r="1213" spans="1:7" hidden="1">
      <c r="A1213">
        <v>94</v>
      </c>
      <c r="B1213" t="s">
        <v>1063</v>
      </c>
      <c r="C1213" t="s">
        <v>961</v>
      </c>
      <c r="D1213">
        <v>10.38</v>
      </c>
      <c r="E1213">
        <v>20.059999999999999</v>
      </c>
      <c r="F1213">
        <v>29.74</v>
      </c>
      <c r="G1213">
        <v>0</v>
      </c>
    </row>
    <row r="1214" spans="1:7" hidden="1">
      <c r="A1214">
        <v>94</v>
      </c>
      <c r="B1214" t="s">
        <v>1063</v>
      </c>
      <c r="C1214" t="s">
        <v>962</v>
      </c>
      <c r="D1214">
        <v>1.81</v>
      </c>
      <c r="E1214">
        <v>24.72</v>
      </c>
      <c r="F1214">
        <v>6.4</v>
      </c>
      <c r="G1214">
        <v>0</v>
      </c>
    </row>
    <row r="1215" spans="1:7" hidden="1">
      <c r="A1215">
        <v>94</v>
      </c>
      <c r="B1215" t="s">
        <v>1063</v>
      </c>
      <c r="C1215" t="s">
        <v>963</v>
      </c>
      <c r="D1215">
        <v>2.83</v>
      </c>
      <c r="E1215">
        <v>18.13</v>
      </c>
      <c r="F1215">
        <v>7.33</v>
      </c>
      <c r="G1215">
        <v>0</v>
      </c>
    </row>
    <row r="1216" spans="1:7" hidden="1">
      <c r="A1216">
        <v>94</v>
      </c>
      <c r="B1216" t="s">
        <v>1063</v>
      </c>
      <c r="C1216" t="s">
        <v>964</v>
      </c>
      <c r="D1216">
        <v>0.35</v>
      </c>
      <c r="E1216">
        <v>21.87</v>
      </c>
      <c r="F1216">
        <v>1.1000000000000001</v>
      </c>
      <c r="G1216">
        <v>0</v>
      </c>
    </row>
    <row r="1217" spans="1:7" hidden="1">
      <c r="A1217">
        <v>94</v>
      </c>
      <c r="B1217" t="s">
        <v>1063</v>
      </c>
      <c r="C1217" t="s">
        <v>965</v>
      </c>
      <c r="D1217">
        <v>2.48</v>
      </c>
      <c r="E1217">
        <v>24.75</v>
      </c>
      <c r="F1217">
        <v>8.77</v>
      </c>
      <c r="G1217">
        <v>0</v>
      </c>
    </row>
    <row r="1218" spans="1:7">
      <c r="A1218">
        <v>94</v>
      </c>
      <c r="B1218" t="s">
        <v>1063</v>
      </c>
      <c r="C1218" t="s">
        <v>24</v>
      </c>
      <c r="D1218">
        <v>22.79</v>
      </c>
      <c r="E1218">
        <v>20.36</v>
      </c>
      <c r="F1218">
        <v>66.290000000000006</v>
      </c>
      <c r="G1218">
        <v>0</v>
      </c>
    </row>
    <row r="1219" spans="1:7" hidden="1">
      <c r="A1219">
        <v>94</v>
      </c>
      <c r="B1219" t="s">
        <v>1063</v>
      </c>
      <c r="C1219" t="s">
        <v>966</v>
      </c>
      <c r="D1219">
        <v>0</v>
      </c>
      <c r="E1219">
        <v>18.05</v>
      </c>
      <c r="F1219">
        <v>0</v>
      </c>
      <c r="G1219">
        <v>0</v>
      </c>
    </row>
    <row r="1220" spans="1:7" hidden="1">
      <c r="A1220">
        <v>94</v>
      </c>
      <c r="B1220" t="s">
        <v>1063</v>
      </c>
      <c r="C1220" t="s">
        <v>967</v>
      </c>
      <c r="D1220">
        <v>0.48</v>
      </c>
      <c r="E1220">
        <v>17.91</v>
      </c>
      <c r="F1220">
        <v>1.23</v>
      </c>
      <c r="G1220">
        <v>0</v>
      </c>
    </row>
    <row r="1221" spans="1:7" hidden="1">
      <c r="A1221">
        <v>94</v>
      </c>
      <c r="B1221" t="s">
        <v>1063</v>
      </c>
      <c r="C1221" t="s">
        <v>968</v>
      </c>
      <c r="D1221">
        <v>1.97</v>
      </c>
      <c r="E1221">
        <v>18.09</v>
      </c>
      <c r="F1221">
        <v>5.0999999999999996</v>
      </c>
      <c r="G1221">
        <v>0</v>
      </c>
    </row>
    <row r="1222" spans="1:7" hidden="1">
      <c r="A1222">
        <v>94</v>
      </c>
      <c r="B1222" t="s">
        <v>1063</v>
      </c>
      <c r="C1222" t="s">
        <v>969</v>
      </c>
      <c r="D1222">
        <v>0.17</v>
      </c>
      <c r="E1222">
        <v>24.75</v>
      </c>
      <c r="F1222">
        <v>0.61</v>
      </c>
      <c r="G1222">
        <v>0</v>
      </c>
    </row>
    <row r="1223" spans="1:7" hidden="1">
      <c r="A1223">
        <v>94</v>
      </c>
      <c r="B1223" t="s">
        <v>1063</v>
      </c>
      <c r="C1223" t="s">
        <v>970</v>
      </c>
      <c r="D1223">
        <v>0.49</v>
      </c>
      <c r="E1223">
        <v>24.75</v>
      </c>
      <c r="F1223">
        <v>1.74</v>
      </c>
      <c r="G1223">
        <v>0</v>
      </c>
    </row>
    <row r="1224" spans="1:7" hidden="1">
      <c r="A1224">
        <v>95</v>
      </c>
      <c r="B1224" t="s">
        <v>1064</v>
      </c>
      <c r="C1224" t="s">
        <v>959</v>
      </c>
      <c r="D1224">
        <v>1.64</v>
      </c>
      <c r="E1224">
        <v>18.309999999999999</v>
      </c>
      <c r="F1224">
        <v>4.29</v>
      </c>
      <c r="G1224">
        <v>0</v>
      </c>
    </row>
    <row r="1225" spans="1:7" hidden="1">
      <c r="A1225">
        <v>95</v>
      </c>
      <c r="B1225" t="s">
        <v>1064</v>
      </c>
      <c r="C1225" t="s">
        <v>960</v>
      </c>
      <c r="D1225">
        <v>2.97</v>
      </c>
      <c r="E1225">
        <v>18.399999999999999</v>
      </c>
      <c r="F1225">
        <v>7.81</v>
      </c>
      <c r="G1225">
        <v>0</v>
      </c>
    </row>
    <row r="1226" spans="1:7" hidden="1">
      <c r="A1226">
        <v>95</v>
      </c>
      <c r="B1226" t="s">
        <v>1064</v>
      </c>
      <c r="C1226" t="s">
        <v>961</v>
      </c>
      <c r="D1226">
        <v>7.97</v>
      </c>
      <c r="E1226">
        <v>20.059999999999999</v>
      </c>
      <c r="F1226">
        <v>22.83</v>
      </c>
      <c r="G1226">
        <v>0</v>
      </c>
    </row>
    <row r="1227" spans="1:7" hidden="1">
      <c r="A1227">
        <v>95</v>
      </c>
      <c r="B1227" t="s">
        <v>1064</v>
      </c>
      <c r="C1227" t="s">
        <v>962</v>
      </c>
      <c r="D1227">
        <v>1.98</v>
      </c>
      <c r="E1227">
        <v>24.72</v>
      </c>
      <c r="F1227">
        <v>6.99</v>
      </c>
      <c r="G1227">
        <v>0</v>
      </c>
    </row>
    <row r="1228" spans="1:7" hidden="1">
      <c r="A1228">
        <v>95</v>
      </c>
      <c r="B1228" t="s">
        <v>1064</v>
      </c>
      <c r="C1228" t="s">
        <v>963</v>
      </c>
      <c r="D1228">
        <v>2.31</v>
      </c>
      <c r="E1228">
        <v>18.13</v>
      </c>
      <c r="F1228">
        <v>5.97</v>
      </c>
      <c r="G1228">
        <v>0</v>
      </c>
    </row>
    <row r="1229" spans="1:7" hidden="1">
      <c r="A1229">
        <v>95</v>
      </c>
      <c r="B1229" t="s">
        <v>1064</v>
      </c>
      <c r="C1229" t="s">
        <v>964</v>
      </c>
      <c r="D1229">
        <v>0.38</v>
      </c>
      <c r="E1229">
        <v>21.87</v>
      </c>
      <c r="F1229">
        <v>1.19</v>
      </c>
      <c r="G1229">
        <v>0</v>
      </c>
    </row>
    <row r="1230" spans="1:7" hidden="1">
      <c r="A1230">
        <v>95</v>
      </c>
      <c r="B1230" t="s">
        <v>1064</v>
      </c>
      <c r="C1230" t="s">
        <v>965</v>
      </c>
      <c r="D1230">
        <v>2.09</v>
      </c>
      <c r="E1230">
        <v>24.75</v>
      </c>
      <c r="F1230">
        <v>7.38</v>
      </c>
      <c r="G1230">
        <v>0</v>
      </c>
    </row>
    <row r="1231" spans="1:7">
      <c r="A1231">
        <v>95</v>
      </c>
      <c r="B1231" t="s">
        <v>1064</v>
      </c>
      <c r="C1231" t="s">
        <v>24</v>
      </c>
      <c r="D1231">
        <v>19.329999999999998</v>
      </c>
      <c r="E1231">
        <v>20.440000000000001</v>
      </c>
      <c r="F1231">
        <v>56.47</v>
      </c>
      <c r="G1231">
        <v>0</v>
      </c>
    </row>
    <row r="1232" spans="1:7" hidden="1">
      <c r="A1232">
        <v>95</v>
      </c>
      <c r="B1232" t="s">
        <v>1064</v>
      </c>
      <c r="C1232" t="s">
        <v>966</v>
      </c>
      <c r="D1232">
        <v>0</v>
      </c>
      <c r="E1232">
        <v>18.05</v>
      </c>
      <c r="F1232">
        <v>0</v>
      </c>
      <c r="G1232">
        <v>0</v>
      </c>
    </row>
    <row r="1233" spans="1:7" hidden="1">
      <c r="A1233">
        <v>95</v>
      </c>
      <c r="B1233" t="s">
        <v>1064</v>
      </c>
      <c r="C1233" t="s">
        <v>967</v>
      </c>
      <c r="D1233">
        <v>0.63</v>
      </c>
      <c r="E1233">
        <v>17.91</v>
      </c>
      <c r="F1233">
        <v>1.61</v>
      </c>
      <c r="G1233">
        <v>0</v>
      </c>
    </row>
    <row r="1234" spans="1:7" hidden="1">
      <c r="A1234">
        <v>95</v>
      </c>
      <c r="B1234" t="s">
        <v>1064</v>
      </c>
      <c r="C1234" t="s">
        <v>968</v>
      </c>
      <c r="D1234">
        <v>0.8</v>
      </c>
      <c r="E1234">
        <v>18.09</v>
      </c>
      <c r="F1234">
        <v>2.06</v>
      </c>
      <c r="G1234">
        <v>0</v>
      </c>
    </row>
    <row r="1235" spans="1:7" hidden="1">
      <c r="A1235">
        <v>95</v>
      </c>
      <c r="B1235" t="s">
        <v>1064</v>
      </c>
      <c r="C1235" t="s">
        <v>969</v>
      </c>
      <c r="D1235">
        <v>0.19</v>
      </c>
      <c r="E1235">
        <v>24.75</v>
      </c>
      <c r="F1235">
        <v>0.68</v>
      </c>
      <c r="G1235">
        <v>0</v>
      </c>
    </row>
    <row r="1236" spans="1:7" hidden="1">
      <c r="A1236">
        <v>95</v>
      </c>
      <c r="B1236" t="s">
        <v>1064</v>
      </c>
      <c r="C1236" t="s">
        <v>970</v>
      </c>
      <c r="D1236">
        <v>0.3</v>
      </c>
      <c r="E1236">
        <v>24.75</v>
      </c>
      <c r="F1236">
        <v>1.05</v>
      </c>
      <c r="G1236">
        <v>0</v>
      </c>
    </row>
    <row r="1237" spans="1:7" hidden="1">
      <c r="A1237">
        <v>96</v>
      </c>
      <c r="B1237" t="s">
        <v>1065</v>
      </c>
      <c r="C1237" t="s">
        <v>959</v>
      </c>
      <c r="D1237">
        <v>1.84</v>
      </c>
      <c r="E1237">
        <v>18.309999999999999</v>
      </c>
      <c r="F1237">
        <v>4.82</v>
      </c>
      <c r="G1237">
        <v>0</v>
      </c>
    </row>
    <row r="1238" spans="1:7" hidden="1">
      <c r="A1238">
        <v>96</v>
      </c>
      <c r="B1238" t="s">
        <v>1065</v>
      </c>
      <c r="C1238" t="s">
        <v>960</v>
      </c>
      <c r="D1238">
        <v>2.92</v>
      </c>
      <c r="E1238">
        <v>18.399999999999999</v>
      </c>
      <c r="F1238">
        <v>7.68</v>
      </c>
      <c r="G1238">
        <v>0.01</v>
      </c>
    </row>
    <row r="1239" spans="1:7" hidden="1">
      <c r="A1239">
        <v>96</v>
      </c>
      <c r="B1239" t="s">
        <v>1065</v>
      </c>
      <c r="C1239" t="s">
        <v>961</v>
      </c>
      <c r="D1239">
        <v>9.51</v>
      </c>
      <c r="E1239">
        <v>20.059999999999999</v>
      </c>
      <c r="F1239">
        <v>27.25</v>
      </c>
      <c r="G1239">
        <v>0</v>
      </c>
    </row>
    <row r="1240" spans="1:7" hidden="1">
      <c r="A1240">
        <v>96</v>
      </c>
      <c r="B1240" t="s">
        <v>1065</v>
      </c>
      <c r="C1240" t="s">
        <v>962</v>
      </c>
      <c r="D1240">
        <v>1.95</v>
      </c>
      <c r="E1240">
        <v>24.72</v>
      </c>
      <c r="F1240">
        <v>6.89</v>
      </c>
      <c r="G1240">
        <v>0</v>
      </c>
    </row>
    <row r="1241" spans="1:7" hidden="1">
      <c r="A1241">
        <v>96</v>
      </c>
      <c r="B1241" t="s">
        <v>1065</v>
      </c>
      <c r="C1241" t="s">
        <v>963</v>
      </c>
      <c r="D1241">
        <v>2.71</v>
      </c>
      <c r="E1241">
        <v>18.13</v>
      </c>
      <c r="F1241">
        <v>7.01</v>
      </c>
      <c r="G1241">
        <v>0</v>
      </c>
    </row>
    <row r="1242" spans="1:7" hidden="1">
      <c r="A1242">
        <v>96</v>
      </c>
      <c r="B1242" t="s">
        <v>1065</v>
      </c>
      <c r="C1242" t="s">
        <v>964</v>
      </c>
      <c r="D1242">
        <v>0.37</v>
      </c>
      <c r="E1242">
        <v>21.87</v>
      </c>
      <c r="F1242">
        <v>1.1399999999999999</v>
      </c>
      <c r="G1242">
        <v>0</v>
      </c>
    </row>
    <row r="1243" spans="1:7" hidden="1">
      <c r="A1243">
        <v>96</v>
      </c>
      <c r="B1243" t="s">
        <v>1065</v>
      </c>
      <c r="C1243" t="s">
        <v>965</v>
      </c>
      <c r="D1243">
        <v>2.39</v>
      </c>
      <c r="E1243">
        <v>24.75</v>
      </c>
      <c r="F1243">
        <v>8.4600000000000009</v>
      </c>
      <c r="G1243">
        <v>0</v>
      </c>
    </row>
    <row r="1244" spans="1:7">
      <c r="A1244">
        <v>96</v>
      </c>
      <c r="B1244" t="s">
        <v>1065</v>
      </c>
      <c r="C1244" t="s">
        <v>24</v>
      </c>
      <c r="D1244">
        <v>21.69</v>
      </c>
      <c r="E1244">
        <v>20.41</v>
      </c>
      <c r="F1244">
        <v>63.25</v>
      </c>
      <c r="G1244">
        <v>0.02</v>
      </c>
    </row>
    <row r="1245" spans="1:7" hidden="1">
      <c r="A1245">
        <v>96</v>
      </c>
      <c r="B1245" t="s">
        <v>1065</v>
      </c>
      <c r="C1245" t="s">
        <v>966</v>
      </c>
      <c r="D1245">
        <v>0.02</v>
      </c>
      <c r="E1245">
        <v>18.05</v>
      </c>
      <c r="F1245">
        <v>0.06</v>
      </c>
      <c r="G1245">
        <v>0.02</v>
      </c>
    </row>
    <row r="1246" spans="1:7" hidden="1">
      <c r="A1246">
        <v>96</v>
      </c>
      <c r="B1246" t="s">
        <v>1065</v>
      </c>
      <c r="C1246" t="s">
        <v>967</v>
      </c>
      <c r="D1246">
        <v>0.56999999999999995</v>
      </c>
      <c r="E1246">
        <v>17.91</v>
      </c>
      <c r="F1246">
        <v>1.45</v>
      </c>
      <c r="G1246">
        <v>0</v>
      </c>
    </row>
    <row r="1247" spans="1:7" hidden="1">
      <c r="A1247">
        <v>96</v>
      </c>
      <c r="B1247" t="s">
        <v>1065</v>
      </c>
      <c r="C1247" t="s">
        <v>968</v>
      </c>
      <c r="D1247">
        <v>1.58</v>
      </c>
      <c r="E1247">
        <v>18.09</v>
      </c>
      <c r="F1247">
        <v>4.09</v>
      </c>
      <c r="G1247">
        <v>0</v>
      </c>
    </row>
    <row r="1248" spans="1:7" hidden="1">
      <c r="A1248">
        <v>96</v>
      </c>
      <c r="B1248" t="s">
        <v>1065</v>
      </c>
      <c r="C1248" t="s">
        <v>969</v>
      </c>
      <c r="D1248">
        <v>0.18</v>
      </c>
      <c r="E1248">
        <v>24.75</v>
      </c>
      <c r="F1248">
        <v>0.65</v>
      </c>
      <c r="G1248">
        <v>0</v>
      </c>
    </row>
    <row r="1249" spans="1:7" hidden="1">
      <c r="A1249">
        <v>96</v>
      </c>
      <c r="B1249" t="s">
        <v>1065</v>
      </c>
      <c r="C1249" t="s">
        <v>970</v>
      </c>
      <c r="D1249">
        <v>0.42</v>
      </c>
      <c r="E1249">
        <v>24.75</v>
      </c>
      <c r="F1249">
        <v>1.5</v>
      </c>
      <c r="G1249">
        <v>0</v>
      </c>
    </row>
    <row r="1250" spans="1:7" hidden="1">
      <c r="A1250">
        <v>97</v>
      </c>
      <c r="B1250" t="s">
        <v>1066</v>
      </c>
      <c r="C1250" t="s">
        <v>959</v>
      </c>
      <c r="D1250">
        <v>2.57</v>
      </c>
      <c r="E1250">
        <v>18.309999999999999</v>
      </c>
      <c r="F1250">
        <v>6.72</v>
      </c>
      <c r="G1250">
        <v>0</v>
      </c>
    </row>
    <row r="1251" spans="1:7" hidden="1">
      <c r="A1251">
        <v>97</v>
      </c>
      <c r="B1251" t="s">
        <v>1066</v>
      </c>
      <c r="C1251" t="s">
        <v>960</v>
      </c>
      <c r="D1251">
        <v>2.97</v>
      </c>
      <c r="E1251">
        <v>18.399999999999999</v>
      </c>
      <c r="F1251">
        <v>7.79</v>
      </c>
      <c r="G1251">
        <v>0.06</v>
      </c>
    </row>
    <row r="1252" spans="1:7" hidden="1">
      <c r="A1252">
        <v>97</v>
      </c>
      <c r="B1252" t="s">
        <v>1066</v>
      </c>
      <c r="C1252" t="s">
        <v>961</v>
      </c>
      <c r="D1252">
        <v>10.81</v>
      </c>
      <c r="E1252">
        <v>20.059999999999999</v>
      </c>
      <c r="F1252">
        <v>30.98</v>
      </c>
      <c r="G1252">
        <v>0</v>
      </c>
    </row>
    <row r="1253" spans="1:7" hidden="1">
      <c r="A1253">
        <v>97</v>
      </c>
      <c r="B1253" t="s">
        <v>1066</v>
      </c>
      <c r="C1253" t="s">
        <v>962</v>
      </c>
      <c r="D1253">
        <v>2.13</v>
      </c>
      <c r="E1253">
        <v>24.72</v>
      </c>
      <c r="F1253">
        <v>7.54</v>
      </c>
      <c r="G1253">
        <v>0</v>
      </c>
    </row>
    <row r="1254" spans="1:7" hidden="1">
      <c r="A1254">
        <v>97</v>
      </c>
      <c r="B1254" t="s">
        <v>1066</v>
      </c>
      <c r="C1254" t="s">
        <v>963</v>
      </c>
      <c r="D1254">
        <v>3.24</v>
      </c>
      <c r="E1254">
        <v>18.13</v>
      </c>
      <c r="F1254">
        <v>8.4</v>
      </c>
      <c r="G1254">
        <v>0.01</v>
      </c>
    </row>
    <row r="1255" spans="1:7" hidden="1">
      <c r="A1255">
        <v>97</v>
      </c>
      <c r="B1255" t="s">
        <v>1066</v>
      </c>
      <c r="C1255" t="s">
        <v>964</v>
      </c>
      <c r="D1255">
        <v>0.36</v>
      </c>
      <c r="E1255">
        <v>21.87</v>
      </c>
      <c r="F1255">
        <v>1.1200000000000001</v>
      </c>
      <c r="G1255">
        <v>0</v>
      </c>
    </row>
    <row r="1256" spans="1:7" hidden="1">
      <c r="A1256">
        <v>97</v>
      </c>
      <c r="B1256" t="s">
        <v>1066</v>
      </c>
      <c r="C1256" t="s">
        <v>965</v>
      </c>
      <c r="D1256">
        <v>2.91</v>
      </c>
      <c r="E1256">
        <v>24.75</v>
      </c>
      <c r="F1256">
        <v>10.28</v>
      </c>
      <c r="G1256">
        <v>0.02</v>
      </c>
    </row>
    <row r="1257" spans="1:7">
      <c r="A1257">
        <v>97</v>
      </c>
      <c r="B1257" t="s">
        <v>1066</v>
      </c>
      <c r="C1257" t="s">
        <v>24</v>
      </c>
      <c r="D1257">
        <v>24.99</v>
      </c>
      <c r="E1257">
        <v>20.399999999999999</v>
      </c>
      <c r="F1257">
        <v>72.83</v>
      </c>
      <c r="G1257">
        <v>0.1</v>
      </c>
    </row>
    <row r="1258" spans="1:7" hidden="1">
      <c r="A1258">
        <v>97</v>
      </c>
      <c r="B1258" t="s">
        <v>1066</v>
      </c>
      <c r="C1258" t="s">
        <v>966</v>
      </c>
      <c r="D1258">
        <v>0.1</v>
      </c>
      <c r="E1258">
        <v>18.05</v>
      </c>
      <c r="F1258">
        <v>0.25</v>
      </c>
      <c r="G1258">
        <v>0.1</v>
      </c>
    </row>
    <row r="1259" spans="1:7" hidden="1">
      <c r="A1259">
        <v>97</v>
      </c>
      <c r="B1259" t="s">
        <v>1066</v>
      </c>
      <c r="C1259" t="s">
        <v>967</v>
      </c>
      <c r="D1259">
        <v>0.86</v>
      </c>
      <c r="E1259">
        <v>17.91</v>
      </c>
      <c r="F1259">
        <v>2.2000000000000002</v>
      </c>
      <c r="G1259">
        <v>0</v>
      </c>
    </row>
    <row r="1260" spans="1:7" hidden="1">
      <c r="A1260">
        <v>97</v>
      </c>
      <c r="B1260" t="s">
        <v>1066</v>
      </c>
      <c r="C1260" t="s">
        <v>968</v>
      </c>
      <c r="D1260">
        <v>2.5499999999999998</v>
      </c>
      <c r="E1260">
        <v>18.09</v>
      </c>
      <c r="F1260">
        <v>6.58</v>
      </c>
      <c r="G1260">
        <v>0</v>
      </c>
    </row>
    <row r="1261" spans="1:7" hidden="1">
      <c r="A1261">
        <v>97</v>
      </c>
      <c r="B1261" t="s">
        <v>1066</v>
      </c>
      <c r="C1261" t="s">
        <v>969</v>
      </c>
      <c r="D1261">
        <v>0.19</v>
      </c>
      <c r="E1261">
        <v>24.75</v>
      </c>
      <c r="F1261">
        <v>0.68</v>
      </c>
      <c r="G1261">
        <v>0</v>
      </c>
    </row>
    <row r="1262" spans="1:7" hidden="1">
      <c r="A1262">
        <v>97</v>
      </c>
      <c r="B1262" t="s">
        <v>1066</v>
      </c>
      <c r="C1262" t="s">
        <v>970</v>
      </c>
      <c r="D1262">
        <v>0.57999999999999996</v>
      </c>
      <c r="E1262">
        <v>24.75</v>
      </c>
      <c r="F1262">
        <v>2.04</v>
      </c>
      <c r="G1262">
        <v>0</v>
      </c>
    </row>
    <row r="1263" spans="1:7" hidden="1">
      <c r="A1263">
        <v>98</v>
      </c>
      <c r="B1263" t="s">
        <v>1067</v>
      </c>
      <c r="C1263" t="s">
        <v>959</v>
      </c>
      <c r="D1263">
        <v>1.92</v>
      </c>
      <c r="E1263">
        <v>18.309999999999999</v>
      </c>
      <c r="F1263">
        <v>5.01</v>
      </c>
      <c r="G1263">
        <v>0</v>
      </c>
    </row>
    <row r="1264" spans="1:7" hidden="1">
      <c r="A1264">
        <v>98</v>
      </c>
      <c r="B1264" t="s">
        <v>1067</v>
      </c>
      <c r="C1264" t="s">
        <v>960</v>
      </c>
      <c r="D1264">
        <v>2.93</v>
      </c>
      <c r="E1264">
        <v>18.399999999999999</v>
      </c>
      <c r="F1264">
        <v>7.69</v>
      </c>
      <c r="G1264">
        <v>0</v>
      </c>
    </row>
    <row r="1265" spans="1:7" hidden="1">
      <c r="A1265">
        <v>98</v>
      </c>
      <c r="B1265" t="s">
        <v>1067</v>
      </c>
      <c r="C1265" t="s">
        <v>961</v>
      </c>
      <c r="D1265">
        <v>10.49</v>
      </c>
      <c r="E1265">
        <v>20.059999999999999</v>
      </c>
      <c r="F1265">
        <v>30.06</v>
      </c>
      <c r="G1265">
        <v>0</v>
      </c>
    </row>
    <row r="1266" spans="1:7" hidden="1">
      <c r="A1266">
        <v>98</v>
      </c>
      <c r="B1266" t="s">
        <v>1067</v>
      </c>
      <c r="C1266" t="s">
        <v>962</v>
      </c>
      <c r="D1266">
        <v>1.83</v>
      </c>
      <c r="E1266">
        <v>24.72</v>
      </c>
      <c r="F1266">
        <v>6.45</v>
      </c>
      <c r="G1266">
        <v>0</v>
      </c>
    </row>
    <row r="1267" spans="1:7" hidden="1">
      <c r="A1267">
        <v>98</v>
      </c>
      <c r="B1267" t="s">
        <v>1067</v>
      </c>
      <c r="C1267" t="s">
        <v>963</v>
      </c>
      <c r="D1267">
        <v>2.86</v>
      </c>
      <c r="E1267">
        <v>18.13</v>
      </c>
      <c r="F1267">
        <v>7.42</v>
      </c>
      <c r="G1267">
        <v>0</v>
      </c>
    </row>
    <row r="1268" spans="1:7" hidden="1">
      <c r="A1268">
        <v>98</v>
      </c>
      <c r="B1268" t="s">
        <v>1067</v>
      </c>
      <c r="C1268" t="s">
        <v>964</v>
      </c>
      <c r="D1268">
        <v>0.37</v>
      </c>
      <c r="E1268">
        <v>21.87</v>
      </c>
      <c r="F1268">
        <v>1.1399999999999999</v>
      </c>
      <c r="G1268">
        <v>0</v>
      </c>
    </row>
    <row r="1269" spans="1:7" hidden="1">
      <c r="A1269">
        <v>98</v>
      </c>
      <c r="B1269" t="s">
        <v>1067</v>
      </c>
      <c r="C1269" t="s">
        <v>965</v>
      </c>
      <c r="D1269">
        <v>2.4900000000000002</v>
      </c>
      <c r="E1269">
        <v>24.75</v>
      </c>
      <c r="F1269">
        <v>8.82</v>
      </c>
      <c r="G1269">
        <v>0</v>
      </c>
    </row>
    <row r="1270" spans="1:7">
      <c r="A1270">
        <v>98</v>
      </c>
      <c r="B1270" t="s">
        <v>1067</v>
      </c>
      <c r="C1270" t="s">
        <v>24</v>
      </c>
      <c r="D1270">
        <v>22.88</v>
      </c>
      <c r="E1270">
        <v>20.37</v>
      </c>
      <c r="F1270">
        <v>66.58</v>
      </c>
      <c r="G1270">
        <v>0.01</v>
      </c>
    </row>
    <row r="1271" spans="1:7" hidden="1">
      <c r="A1271">
        <v>98</v>
      </c>
      <c r="B1271" t="s">
        <v>1067</v>
      </c>
      <c r="C1271" t="s">
        <v>966</v>
      </c>
      <c r="D1271">
        <v>0.02</v>
      </c>
      <c r="E1271">
        <v>18.05</v>
      </c>
      <c r="F1271">
        <v>0.05</v>
      </c>
      <c r="G1271">
        <v>0.02</v>
      </c>
    </row>
    <row r="1272" spans="1:7" hidden="1">
      <c r="A1272">
        <v>98</v>
      </c>
      <c r="B1272" t="s">
        <v>1067</v>
      </c>
      <c r="C1272" t="s">
        <v>967</v>
      </c>
      <c r="D1272">
        <v>0.45</v>
      </c>
      <c r="E1272">
        <v>17.91</v>
      </c>
      <c r="F1272">
        <v>1.1599999999999999</v>
      </c>
      <c r="G1272">
        <v>0</v>
      </c>
    </row>
    <row r="1273" spans="1:7" hidden="1">
      <c r="A1273">
        <v>98</v>
      </c>
      <c r="B1273" t="s">
        <v>1067</v>
      </c>
      <c r="C1273" t="s">
        <v>968</v>
      </c>
      <c r="D1273">
        <v>1.98</v>
      </c>
      <c r="E1273">
        <v>18.09</v>
      </c>
      <c r="F1273">
        <v>5.12</v>
      </c>
      <c r="G1273">
        <v>0</v>
      </c>
    </row>
    <row r="1274" spans="1:7" hidden="1">
      <c r="A1274">
        <v>98</v>
      </c>
      <c r="B1274" t="s">
        <v>1067</v>
      </c>
      <c r="C1274" t="s">
        <v>969</v>
      </c>
      <c r="D1274">
        <v>0.17</v>
      </c>
      <c r="E1274">
        <v>24.75</v>
      </c>
      <c r="F1274">
        <v>0.6</v>
      </c>
      <c r="G1274">
        <v>0</v>
      </c>
    </row>
    <row r="1275" spans="1:7" hidden="1">
      <c r="A1275">
        <v>98</v>
      </c>
      <c r="B1275" t="s">
        <v>1067</v>
      </c>
      <c r="C1275" t="s">
        <v>970</v>
      </c>
      <c r="D1275">
        <v>0.49</v>
      </c>
      <c r="E1275">
        <v>24.75</v>
      </c>
      <c r="F1275">
        <v>1.72</v>
      </c>
      <c r="G1275">
        <v>0</v>
      </c>
    </row>
    <row r="1276" spans="1:7" hidden="1">
      <c r="A1276">
        <v>99</v>
      </c>
      <c r="B1276" t="s">
        <v>1068</v>
      </c>
      <c r="C1276" t="s">
        <v>959</v>
      </c>
      <c r="D1276">
        <v>1.58</v>
      </c>
      <c r="E1276">
        <v>18.309999999999999</v>
      </c>
      <c r="F1276">
        <v>4.13</v>
      </c>
      <c r="G1276">
        <v>0</v>
      </c>
    </row>
    <row r="1277" spans="1:7" hidden="1">
      <c r="A1277">
        <v>99</v>
      </c>
      <c r="B1277" t="s">
        <v>1068</v>
      </c>
      <c r="C1277" t="s">
        <v>960</v>
      </c>
      <c r="D1277">
        <v>2.91</v>
      </c>
      <c r="E1277">
        <v>18.399999999999999</v>
      </c>
      <c r="F1277">
        <v>7.64</v>
      </c>
      <c r="G1277">
        <v>0</v>
      </c>
    </row>
    <row r="1278" spans="1:7" hidden="1">
      <c r="A1278">
        <v>99</v>
      </c>
      <c r="B1278" t="s">
        <v>1068</v>
      </c>
      <c r="C1278" t="s">
        <v>961</v>
      </c>
      <c r="D1278">
        <v>7.86</v>
      </c>
      <c r="E1278">
        <v>20.059999999999999</v>
      </c>
      <c r="F1278">
        <v>22.53</v>
      </c>
      <c r="G1278">
        <v>0.01</v>
      </c>
    </row>
    <row r="1279" spans="1:7" hidden="1">
      <c r="A1279">
        <v>99</v>
      </c>
      <c r="B1279" t="s">
        <v>1068</v>
      </c>
      <c r="C1279" t="s">
        <v>962</v>
      </c>
      <c r="D1279">
        <v>2.08</v>
      </c>
      <c r="E1279">
        <v>24.72</v>
      </c>
      <c r="F1279">
        <v>7.36</v>
      </c>
      <c r="G1279">
        <v>0</v>
      </c>
    </row>
    <row r="1280" spans="1:7" hidden="1">
      <c r="A1280">
        <v>99</v>
      </c>
      <c r="B1280" t="s">
        <v>1068</v>
      </c>
      <c r="C1280" t="s">
        <v>963</v>
      </c>
      <c r="D1280">
        <v>2.36</v>
      </c>
      <c r="E1280">
        <v>18.13</v>
      </c>
      <c r="F1280">
        <v>6.13</v>
      </c>
      <c r="G1280">
        <v>0</v>
      </c>
    </row>
    <row r="1281" spans="1:7" hidden="1">
      <c r="A1281">
        <v>99</v>
      </c>
      <c r="B1281" t="s">
        <v>1068</v>
      </c>
      <c r="C1281" t="s">
        <v>964</v>
      </c>
      <c r="D1281">
        <v>0.37</v>
      </c>
      <c r="E1281">
        <v>21.87</v>
      </c>
      <c r="F1281">
        <v>1.1499999999999999</v>
      </c>
      <c r="G1281">
        <v>0</v>
      </c>
    </row>
    <row r="1282" spans="1:7" hidden="1">
      <c r="A1282">
        <v>99</v>
      </c>
      <c r="B1282" t="s">
        <v>1068</v>
      </c>
      <c r="C1282" t="s">
        <v>965</v>
      </c>
      <c r="D1282">
        <v>2.14</v>
      </c>
      <c r="E1282">
        <v>24.75</v>
      </c>
      <c r="F1282">
        <v>7.55</v>
      </c>
      <c r="G1282">
        <v>0</v>
      </c>
    </row>
    <row r="1283" spans="1:7">
      <c r="A1283">
        <v>99</v>
      </c>
      <c r="B1283" t="s">
        <v>1068</v>
      </c>
      <c r="C1283" t="s">
        <v>24</v>
      </c>
      <c r="D1283">
        <v>19.3</v>
      </c>
      <c r="E1283">
        <v>20.49</v>
      </c>
      <c r="F1283">
        <v>56.49</v>
      </c>
      <c r="G1283">
        <v>0.01</v>
      </c>
    </row>
    <row r="1284" spans="1:7" hidden="1">
      <c r="A1284">
        <v>99</v>
      </c>
      <c r="B1284" t="s">
        <v>1068</v>
      </c>
      <c r="C1284" t="s">
        <v>966</v>
      </c>
      <c r="D1284">
        <v>0.01</v>
      </c>
      <c r="E1284">
        <v>18.05</v>
      </c>
      <c r="F1284">
        <v>0.02</v>
      </c>
      <c r="G1284">
        <v>0.01</v>
      </c>
    </row>
    <row r="1285" spans="1:7" hidden="1">
      <c r="A1285">
        <v>99</v>
      </c>
      <c r="B1285" t="s">
        <v>1068</v>
      </c>
      <c r="C1285" t="s">
        <v>967</v>
      </c>
      <c r="D1285">
        <v>0.66</v>
      </c>
      <c r="E1285">
        <v>17.91</v>
      </c>
      <c r="F1285">
        <v>1.68</v>
      </c>
      <c r="G1285">
        <v>0</v>
      </c>
    </row>
    <row r="1286" spans="1:7" hidden="1">
      <c r="A1286">
        <v>99</v>
      </c>
      <c r="B1286" t="s">
        <v>1068</v>
      </c>
      <c r="C1286" t="s">
        <v>968</v>
      </c>
      <c r="D1286">
        <v>0.81</v>
      </c>
      <c r="E1286">
        <v>18.09</v>
      </c>
      <c r="F1286">
        <v>2.1</v>
      </c>
      <c r="G1286">
        <v>0</v>
      </c>
    </row>
    <row r="1287" spans="1:7" hidden="1">
      <c r="A1287">
        <v>99</v>
      </c>
      <c r="B1287" t="s">
        <v>1068</v>
      </c>
      <c r="C1287" t="s">
        <v>969</v>
      </c>
      <c r="D1287">
        <v>0.2</v>
      </c>
      <c r="E1287">
        <v>24.75</v>
      </c>
      <c r="F1287">
        <v>0.71</v>
      </c>
      <c r="G1287">
        <v>0</v>
      </c>
    </row>
    <row r="1288" spans="1:7" hidden="1">
      <c r="A1288">
        <v>99</v>
      </c>
      <c r="B1288" t="s">
        <v>1068</v>
      </c>
      <c r="C1288" t="s">
        <v>970</v>
      </c>
      <c r="D1288">
        <v>0.3</v>
      </c>
      <c r="E1288">
        <v>24.75</v>
      </c>
      <c r="F1288">
        <v>1.08</v>
      </c>
      <c r="G1288">
        <v>0</v>
      </c>
    </row>
    <row r="1289" spans="1:7" hidden="1">
      <c r="A1289">
        <v>100</v>
      </c>
      <c r="B1289" t="s">
        <v>1069</v>
      </c>
      <c r="C1289" t="s">
        <v>959</v>
      </c>
      <c r="D1289">
        <v>2.57</v>
      </c>
      <c r="E1289">
        <v>18.309999999999999</v>
      </c>
      <c r="F1289">
        <v>6.71</v>
      </c>
      <c r="G1289">
        <v>0</v>
      </c>
    </row>
    <row r="1290" spans="1:7" hidden="1">
      <c r="A1290">
        <v>100</v>
      </c>
      <c r="B1290" t="s">
        <v>1069</v>
      </c>
      <c r="C1290" t="s">
        <v>960</v>
      </c>
      <c r="D1290">
        <v>3.59</v>
      </c>
      <c r="E1290">
        <v>18.399999999999999</v>
      </c>
      <c r="F1290">
        <v>9.44</v>
      </c>
      <c r="G1290">
        <v>0</v>
      </c>
    </row>
    <row r="1291" spans="1:7" hidden="1">
      <c r="A1291">
        <v>100</v>
      </c>
      <c r="B1291" t="s">
        <v>1069</v>
      </c>
      <c r="C1291" t="s">
        <v>961</v>
      </c>
      <c r="D1291">
        <v>11.51</v>
      </c>
      <c r="E1291">
        <v>20.059999999999999</v>
      </c>
      <c r="F1291">
        <v>32.99</v>
      </c>
      <c r="G1291">
        <v>0</v>
      </c>
    </row>
    <row r="1292" spans="1:7" hidden="1">
      <c r="A1292">
        <v>100</v>
      </c>
      <c r="B1292" t="s">
        <v>1069</v>
      </c>
      <c r="C1292" t="s">
        <v>962</v>
      </c>
      <c r="D1292">
        <v>1.76</v>
      </c>
      <c r="E1292">
        <v>24.72</v>
      </c>
      <c r="F1292">
        <v>6.22</v>
      </c>
      <c r="G1292">
        <v>0</v>
      </c>
    </row>
    <row r="1293" spans="1:7" hidden="1">
      <c r="A1293">
        <v>100</v>
      </c>
      <c r="B1293" t="s">
        <v>1069</v>
      </c>
      <c r="C1293" t="s">
        <v>963</v>
      </c>
      <c r="D1293">
        <v>2.66</v>
      </c>
      <c r="E1293">
        <v>18.13</v>
      </c>
      <c r="F1293">
        <v>6.88</v>
      </c>
      <c r="G1293">
        <v>0</v>
      </c>
    </row>
    <row r="1294" spans="1:7" hidden="1">
      <c r="A1294">
        <v>100</v>
      </c>
      <c r="B1294" t="s">
        <v>1069</v>
      </c>
      <c r="C1294" t="s">
        <v>964</v>
      </c>
      <c r="D1294">
        <v>0.53</v>
      </c>
      <c r="E1294">
        <v>21.87</v>
      </c>
      <c r="F1294">
        <v>1.66</v>
      </c>
      <c r="G1294">
        <v>0</v>
      </c>
    </row>
    <row r="1295" spans="1:7" hidden="1">
      <c r="A1295">
        <v>100</v>
      </c>
      <c r="B1295" t="s">
        <v>1069</v>
      </c>
      <c r="C1295" t="s">
        <v>965</v>
      </c>
      <c r="D1295">
        <v>2.35</v>
      </c>
      <c r="E1295">
        <v>24.75</v>
      </c>
      <c r="F1295">
        <v>8.3000000000000007</v>
      </c>
      <c r="G1295">
        <v>0</v>
      </c>
    </row>
    <row r="1296" spans="1:7">
      <c r="A1296">
        <v>100</v>
      </c>
      <c r="B1296" t="s">
        <v>1069</v>
      </c>
      <c r="C1296" t="s">
        <v>24</v>
      </c>
      <c r="D1296">
        <v>24.97</v>
      </c>
      <c r="E1296">
        <v>20.239999999999998</v>
      </c>
      <c r="F1296">
        <v>72.209999999999994</v>
      </c>
      <c r="G1296">
        <v>0</v>
      </c>
    </row>
    <row r="1297" spans="1:7" hidden="1">
      <c r="A1297">
        <v>100</v>
      </c>
      <c r="B1297" t="s">
        <v>1069</v>
      </c>
      <c r="C1297" t="s">
        <v>966</v>
      </c>
      <c r="D1297">
        <v>0</v>
      </c>
      <c r="E1297">
        <v>18.05</v>
      </c>
      <c r="F1297">
        <v>0</v>
      </c>
      <c r="G1297">
        <v>0</v>
      </c>
    </row>
    <row r="1298" spans="1:7" hidden="1">
      <c r="A1298">
        <v>100</v>
      </c>
      <c r="B1298" t="s">
        <v>1069</v>
      </c>
      <c r="C1298" t="s">
        <v>967</v>
      </c>
      <c r="D1298">
        <v>0.31</v>
      </c>
      <c r="E1298">
        <v>17.91</v>
      </c>
      <c r="F1298">
        <v>0.8</v>
      </c>
      <c r="G1298">
        <v>0</v>
      </c>
    </row>
    <row r="1299" spans="1:7" hidden="1">
      <c r="A1299">
        <v>100</v>
      </c>
      <c r="B1299" t="s">
        <v>1069</v>
      </c>
      <c r="C1299" t="s">
        <v>968</v>
      </c>
      <c r="D1299">
        <v>1.91</v>
      </c>
      <c r="E1299">
        <v>18.09</v>
      </c>
      <c r="F1299">
        <v>4.92</v>
      </c>
      <c r="G1299">
        <v>0</v>
      </c>
    </row>
    <row r="1300" spans="1:7" hidden="1">
      <c r="A1300">
        <v>100</v>
      </c>
      <c r="B1300" t="s">
        <v>1069</v>
      </c>
      <c r="C1300" t="s">
        <v>969</v>
      </c>
      <c r="D1300">
        <v>0.32</v>
      </c>
      <c r="E1300">
        <v>24.75</v>
      </c>
      <c r="F1300">
        <v>1.1200000000000001</v>
      </c>
      <c r="G1300">
        <v>0</v>
      </c>
    </row>
    <row r="1301" spans="1:7" hidden="1">
      <c r="A1301">
        <v>100</v>
      </c>
      <c r="B1301" t="s">
        <v>1069</v>
      </c>
      <c r="C1301" t="s">
        <v>970</v>
      </c>
      <c r="D1301">
        <v>0.48</v>
      </c>
      <c r="E1301">
        <v>24.75</v>
      </c>
      <c r="F1301">
        <v>1.7</v>
      </c>
      <c r="G1301">
        <v>0</v>
      </c>
    </row>
    <row r="1302" spans="1:7" hidden="1">
      <c r="A1302">
        <v>101</v>
      </c>
      <c r="B1302" t="s">
        <v>1070</v>
      </c>
      <c r="C1302" t="s">
        <v>959</v>
      </c>
      <c r="D1302">
        <v>2.82</v>
      </c>
      <c r="E1302">
        <v>18.309999999999999</v>
      </c>
      <c r="F1302">
        <v>7.38</v>
      </c>
      <c r="G1302">
        <v>0</v>
      </c>
    </row>
    <row r="1303" spans="1:7" hidden="1">
      <c r="A1303">
        <v>101</v>
      </c>
      <c r="B1303" t="s">
        <v>1070</v>
      </c>
      <c r="C1303" t="s">
        <v>960</v>
      </c>
      <c r="D1303">
        <v>3.64</v>
      </c>
      <c r="E1303">
        <v>18.399999999999999</v>
      </c>
      <c r="F1303">
        <v>9.57</v>
      </c>
      <c r="G1303">
        <v>0</v>
      </c>
    </row>
    <row r="1304" spans="1:7" hidden="1">
      <c r="A1304">
        <v>101</v>
      </c>
      <c r="B1304" t="s">
        <v>1070</v>
      </c>
      <c r="C1304" t="s">
        <v>961</v>
      </c>
      <c r="D1304">
        <v>11.14</v>
      </c>
      <c r="E1304">
        <v>20.059999999999999</v>
      </c>
      <c r="F1304">
        <v>31.93</v>
      </c>
      <c r="G1304">
        <v>0</v>
      </c>
    </row>
    <row r="1305" spans="1:7" hidden="1">
      <c r="A1305">
        <v>101</v>
      </c>
      <c r="B1305" t="s">
        <v>1070</v>
      </c>
      <c r="C1305" t="s">
        <v>962</v>
      </c>
      <c r="D1305">
        <v>2.27</v>
      </c>
      <c r="E1305">
        <v>24.72</v>
      </c>
      <c r="F1305">
        <v>8</v>
      </c>
      <c r="G1305">
        <v>0</v>
      </c>
    </row>
    <row r="1306" spans="1:7" hidden="1">
      <c r="A1306">
        <v>101</v>
      </c>
      <c r="B1306" t="s">
        <v>1070</v>
      </c>
      <c r="C1306" t="s">
        <v>963</v>
      </c>
      <c r="D1306">
        <v>3.16</v>
      </c>
      <c r="E1306">
        <v>18.13</v>
      </c>
      <c r="F1306">
        <v>8.19</v>
      </c>
      <c r="G1306">
        <v>0</v>
      </c>
    </row>
    <row r="1307" spans="1:7" hidden="1">
      <c r="A1307">
        <v>101</v>
      </c>
      <c r="B1307" t="s">
        <v>1070</v>
      </c>
      <c r="C1307" t="s">
        <v>964</v>
      </c>
      <c r="D1307">
        <v>0.82</v>
      </c>
      <c r="E1307">
        <v>21.87</v>
      </c>
      <c r="F1307">
        <v>2.5499999999999998</v>
      </c>
      <c r="G1307">
        <v>0</v>
      </c>
    </row>
    <row r="1308" spans="1:7" hidden="1">
      <c r="A1308">
        <v>101</v>
      </c>
      <c r="B1308" t="s">
        <v>1070</v>
      </c>
      <c r="C1308" t="s">
        <v>965</v>
      </c>
      <c r="D1308">
        <v>2.77</v>
      </c>
      <c r="E1308">
        <v>24.75</v>
      </c>
      <c r="F1308">
        <v>9.8000000000000007</v>
      </c>
      <c r="G1308">
        <v>0</v>
      </c>
    </row>
    <row r="1309" spans="1:7">
      <c r="A1309">
        <v>101</v>
      </c>
      <c r="B1309" t="s">
        <v>1070</v>
      </c>
      <c r="C1309" t="s">
        <v>24</v>
      </c>
      <c r="D1309">
        <v>26.62</v>
      </c>
      <c r="E1309">
        <v>20.36</v>
      </c>
      <c r="F1309">
        <v>77.42</v>
      </c>
      <c r="G1309">
        <v>0</v>
      </c>
    </row>
    <row r="1310" spans="1:7" hidden="1">
      <c r="A1310">
        <v>101</v>
      </c>
      <c r="B1310" t="s">
        <v>1070</v>
      </c>
      <c r="C1310" t="s">
        <v>966</v>
      </c>
      <c r="D1310">
        <v>0</v>
      </c>
      <c r="E1310">
        <v>18.05</v>
      </c>
      <c r="F1310">
        <v>0</v>
      </c>
      <c r="G1310">
        <v>0</v>
      </c>
    </row>
    <row r="1311" spans="1:7" hidden="1">
      <c r="A1311">
        <v>101</v>
      </c>
      <c r="B1311" t="s">
        <v>1070</v>
      </c>
      <c r="C1311" t="s">
        <v>967</v>
      </c>
      <c r="D1311">
        <v>0.28000000000000003</v>
      </c>
      <c r="E1311">
        <v>17.91</v>
      </c>
      <c r="F1311">
        <v>0.71</v>
      </c>
      <c r="G1311">
        <v>0</v>
      </c>
    </row>
    <row r="1312" spans="1:7" hidden="1">
      <c r="A1312">
        <v>101</v>
      </c>
      <c r="B1312" t="s">
        <v>1070</v>
      </c>
      <c r="C1312" t="s">
        <v>968</v>
      </c>
      <c r="D1312">
        <v>1.92</v>
      </c>
      <c r="E1312">
        <v>18.09</v>
      </c>
      <c r="F1312">
        <v>4.97</v>
      </c>
      <c r="G1312">
        <v>0</v>
      </c>
    </row>
    <row r="1313" spans="1:7" hidden="1">
      <c r="A1313">
        <v>101</v>
      </c>
      <c r="B1313" t="s">
        <v>1070</v>
      </c>
      <c r="C1313" t="s">
        <v>969</v>
      </c>
      <c r="D1313">
        <v>0.3</v>
      </c>
      <c r="E1313">
        <v>24.75</v>
      </c>
      <c r="F1313">
        <v>1.05</v>
      </c>
      <c r="G1313">
        <v>0</v>
      </c>
    </row>
    <row r="1314" spans="1:7" hidden="1">
      <c r="A1314">
        <v>101</v>
      </c>
      <c r="B1314" t="s">
        <v>1070</v>
      </c>
      <c r="C1314" t="s">
        <v>970</v>
      </c>
      <c r="D1314">
        <v>0.53</v>
      </c>
      <c r="E1314">
        <v>24.75</v>
      </c>
      <c r="F1314">
        <v>1.86</v>
      </c>
      <c r="G1314">
        <v>0</v>
      </c>
    </row>
    <row r="1315" spans="1:7" hidden="1">
      <c r="A1315">
        <v>102</v>
      </c>
      <c r="B1315" t="s">
        <v>1071</v>
      </c>
      <c r="C1315" t="s">
        <v>959</v>
      </c>
      <c r="D1315">
        <v>2.4500000000000002</v>
      </c>
      <c r="E1315">
        <v>18.309999999999999</v>
      </c>
      <c r="F1315">
        <v>6.4</v>
      </c>
      <c r="G1315">
        <v>0</v>
      </c>
    </row>
    <row r="1316" spans="1:7" hidden="1">
      <c r="A1316">
        <v>102</v>
      </c>
      <c r="B1316" t="s">
        <v>1071</v>
      </c>
      <c r="C1316" t="s">
        <v>960</v>
      </c>
      <c r="D1316">
        <v>3.61</v>
      </c>
      <c r="E1316">
        <v>18.399999999999999</v>
      </c>
      <c r="F1316">
        <v>9.5</v>
      </c>
      <c r="G1316">
        <v>0</v>
      </c>
    </row>
    <row r="1317" spans="1:7" hidden="1">
      <c r="A1317">
        <v>102</v>
      </c>
      <c r="B1317" t="s">
        <v>1071</v>
      </c>
      <c r="C1317" t="s">
        <v>961</v>
      </c>
      <c r="D1317">
        <v>12.31</v>
      </c>
      <c r="E1317">
        <v>20.059999999999999</v>
      </c>
      <c r="F1317">
        <v>35.28</v>
      </c>
      <c r="G1317">
        <v>0</v>
      </c>
    </row>
    <row r="1318" spans="1:7" hidden="1">
      <c r="A1318">
        <v>102</v>
      </c>
      <c r="B1318" t="s">
        <v>1071</v>
      </c>
      <c r="C1318" t="s">
        <v>962</v>
      </c>
      <c r="D1318">
        <v>1.63</v>
      </c>
      <c r="E1318">
        <v>24.72</v>
      </c>
      <c r="F1318">
        <v>5.77</v>
      </c>
      <c r="G1318">
        <v>0</v>
      </c>
    </row>
    <row r="1319" spans="1:7" hidden="1">
      <c r="A1319">
        <v>102</v>
      </c>
      <c r="B1319" t="s">
        <v>1071</v>
      </c>
      <c r="C1319" t="s">
        <v>963</v>
      </c>
      <c r="D1319">
        <v>2.71</v>
      </c>
      <c r="E1319">
        <v>18.13</v>
      </c>
      <c r="F1319">
        <v>7.01</v>
      </c>
      <c r="G1319">
        <v>0</v>
      </c>
    </row>
    <row r="1320" spans="1:7" hidden="1">
      <c r="A1320">
        <v>102</v>
      </c>
      <c r="B1320" t="s">
        <v>1071</v>
      </c>
      <c r="C1320" t="s">
        <v>964</v>
      </c>
      <c r="D1320">
        <v>0.42</v>
      </c>
      <c r="E1320">
        <v>21.87</v>
      </c>
      <c r="F1320">
        <v>1.3</v>
      </c>
      <c r="G1320">
        <v>0</v>
      </c>
    </row>
    <row r="1321" spans="1:7" hidden="1">
      <c r="A1321">
        <v>102</v>
      </c>
      <c r="B1321" t="s">
        <v>1071</v>
      </c>
      <c r="C1321" t="s">
        <v>965</v>
      </c>
      <c r="D1321">
        <v>2.4</v>
      </c>
      <c r="E1321">
        <v>24.75</v>
      </c>
      <c r="F1321">
        <v>8.49</v>
      </c>
      <c r="G1321">
        <v>0</v>
      </c>
    </row>
    <row r="1322" spans="1:7">
      <c r="A1322">
        <v>102</v>
      </c>
      <c r="B1322" t="s">
        <v>1071</v>
      </c>
      <c r="C1322" t="s">
        <v>24</v>
      </c>
      <c r="D1322">
        <v>25.53</v>
      </c>
      <c r="E1322">
        <v>20.22</v>
      </c>
      <c r="F1322">
        <v>73.760000000000005</v>
      </c>
      <c r="G1322">
        <v>0</v>
      </c>
    </row>
    <row r="1323" spans="1:7" hidden="1">
      <c r="A1323">
        <v>102</v>
      </c>
      <c r="B1323" t="s">
        <v>1071</v>
      </c>
      <c r="C1323" t="s">
        <v>966</v>
      </c>
      <c r="D1323">
        <v>0</v>
      </c>
      <c r="E1323">
        <v>18.05</v>
      </c>
      <c r="F1323">
        <v>0</v>
      </c>
      <c r="G1323">
        <v>0</v>
      </c>
    </row>
    <row r="1324" spans="1:7" hidden="1">
      <c r="A1324">
        <v>102</v>
      </c>
      <c r="B1324" t="s">
        <v>1071</v>
      </c>
      <c r="C1324" t="s">
        <v>967</v>
      </c>
      <c r="D1324">
        <v>0.3</v>
      </c>
      <c r="E1324">
        <v>17.91</v>
      </c>
      <c r="F1324">
        <v>0.77</v>
      </c>
      <c r="G1324">
        <v>0</v>
      </c>
    </row>
    <row r="1325" spans="1:7" hidden="1">
      <c r="A1325">
        <v>102</v>
      </c>
      <c r="B1325" t="s">
        <v>1071</v>
      </c>
      <c r="C1325" t="s">
        <v>968</v>
      </c>
      <c r="D1325">
        <v>2.15</v>
      </c>
      <c r="E1325">
        <v>18.09</v>
      </c>
      <c r="F1325">
        <v>5.56</v>
      </c>
      <c r="G1325">
        <v>0</v>
      </c>
    </row>
    <row r="1326" spans="1:7" hidden="1">
      <c r="A1326">
        <v>102</v>
      </c>
      <c r="B1326" t="s">
        <v>1071</v>
      </c>
      <c r="C1326" t="s">
        <v>969</v>
      </c>
      <c r="D1326">
        <v>0.28000000000000003</v>
      </c>
      <c r="E1326">
        <v>24.75</v>
      </c>
      <c r="F1326">
        <v>1</v>
      </c>
      <c r="G1326">
        <v>0</v>
      </c>
    </row>
    <row r="1327" spans="1:7" hidden="1">
      <c r="A1327">
        <v>102</v>
      </c>
      <c r="B1327" t="s">
        <v>1071</v>
      </c>
      <c r="C1327" t="s">
        <v>970</v>
      </c>
      <c r="D1327">
        <v>0.49</v>
      </c>
      <c r="E1327">
        <v>24.75</v>
      </c>
      <c r="F1327">
        <v>1.72</v>
      </c>
      <c r="G1327">
        <v>0</v>
      </c>
    </row>
    <row r="1328" spans="1:7" hidden="1">
      <c r="A1328">
        <v>103</v>
      </c>
      <c r="B1328" t="s">
        <v>1072</v>
      </c>
      <c r="C1328" t="s">
        <v>959</v>
      </c>
      <c r="D1328">
        <v>2.7</v>
      </c>
      <c r="E1328">
        <v>18.309999999999999</v>
      </c>
      <c r="F1328">
        <v>7.07</v>
      </c>
      <c r="G1328">
        <v>0</v>
      </c>
    </row>
    <row r="1329" spans="1:7" hidden="1">
      <c r="A1329">
        <v>103</v>
      </c>
      <c r="B1329" t="s">
        <v>1072</v>
      </c>
      <c r="C1329" t="s">
        <v>960</v>
      </c>
      <c r="D1329">
        <v>3.42</v>
      </c>
      <c r="E1329">
        <v>18.399999999999999</v>
      </c>
      <c r="F1329">
        <v>8.99</v>
      </c>
      <c r="G1329">
        <v>0</v>
      </c>
    </row>
    <row r="1330" spans="1:7" hidden="1">
      <c r="A1330">
        <v>103</v>
      </c>
      <c r="B1330" t="s">
        <v>1072</v>
      </c>
      <c r="C1330" t="s">
        <v>961</v>
      </c>
      <c r="D1330">
        <v>8.61</v>
      </c>
      <c r="E1330">
        <v>20.059999999999999</v>
      </c>
      <c r="F1330">
        <v>24.66</v>
      </c>
      <c r="G1330">
        <v>0</v>
      </c>
    </row>
    <row r="1331" spans="1:7" hidden="1">
      <c r="A1331">
        <v>103</v>
      </c>
      <c r="B1331" t="s">
        <v>1072</v>
      </c>
      <c r="C1331" t="s">
        <v>962</v>
      </c>
      <c r="D1331">
        <v>1.54</v>
      </c>
      <c r="E1331">
        <v>24.72</v>
      </c>
      <c r="F1331">
        <v>5.45</v>
      </c>
      <c r="G1331">
        <v>0</v>
      </c>
    </row>
    <row r="1332" spans="1:7" hidden="1">
      <c r="A1332">
        <v>103</v>
      </c>
      <c r="B1332" t="s">
        <v>1072</v>
      </c>
      <c r="C1332" t="s">
        <v>963</v>
      </c>
      <c r="D1332">
        <v>1.68</v>
      </c>
      <c r="E1332">
        <v>18.13</v>
      </c>
      <c r="F1332">
        <v>4.3499999999999996</v>
      </c>
      <c r="G1332">
        <v>0</v>
      </c>
    </row>
    <row r="1333" spans="1:7" hidden="1">
      <c r="A1333">
        <v>103</v>
      </c>
      <c r="B1333" t="s">
        <v>1072</v>
      </c>
      <c r="C1333" t="s">
        <v>964</v>
      </c>
      <c r="D1333">
        <v>0.6</v>
      </c>
      <c r="E1333">
        <v>21.87</v>
      </c>
      <c r="F1333">
        <v>1.89</v>
      </c>
      <c r="G1333">
        <v>0</v>
      </c>
    </row>
    <row r="1334" spans="1:7" hidden="1">
      <c r="A1334">
        <v>103</v>
      </c>
      <c r="B1334" t="s">
        <v>1072</v>
      </c>
      <c r="C1334" t="s">
        <v>965</v>
      </c>
      <c r="D1334">
        <v>1.47</v>
      </c>
      <c r="E1334">
        <v>24.75</v>
      </c>
      <c r="F1334">
        <v>5.21</v>
      </c>
      <c r="G1334">
        <v>0</v>
      </c>
    </row>
    <row r="1335" spans="1:7">
      <c r="A1335">
        <v>103</v>
      </c>
      <c r="B1335" t="s">
        <v>1072</v>
      </c>
      <c r="C1335" t="s">
        <v>24</v>
      </c>
      <c r="D1335">
        <v>20.03</v>
      </c>
      <c r="E1335">
        <v>20.14</v>
      </c>
      <c r="F1335">
        <v>57.62</v>
      </c>
      <c r="G1335">
        <v>0</v>
      </c>
    </row>
    <row r="1336" spans="1:7" hidden="1">
      <c r="A1336">
        <v>103</v>
      </c>
      <c r="B1336" t="s">
        <v>1072</v>
      </c>
      <c r="C1336" t="s">
        <v>966</v>
      </c>
      <c r="D1336">
        <v>0</v>
      </c>
      <c r="E1336">
        <v>18.05</v>
      </c>
      <c r="F1336">
        <v>0</v>
      </c>
      <c r="G1336">
        <v>0</v>
      </c>
    </row>
    <row r="1337" spans="1:7" hidden="1">
      <c r="A1337">
        <v>103</v>
      </c>
      <c r="B1337" t="s">
        <v>1072</v>
      </c>
      <c r="C1337" t="s">
        <v>967</v>
      </c>
      <c r="D1337">
        <v>0.4</v>
      </c>
      <c r="E1337">
        <v>17.91</v>
      </c>
      <c r="F1337">
        <v>1.01</v>
      </c>
      <c r="G1337">
        <v>0</v>
      </c>
    </row>
    <row r="1338" spans="1:7" hidden="1">
      <c r="A1338">
        <v>103</v>
      </c>
      <c r="B1338" t="s">
        <v>1072</v>
      </c>
      <c r="C1338" t="s">
        <v>968</v>
      </c>
      <c r="D1338">
        <v>0.81</v>
      </c>
      <c r="E1338">
        <v>18.09</v>
      </c>
      <c r="F1338">
        <v>2.09</v>
      </c>
      <c r="G1338">
        <v>0</v>
      </c>
    </row>
    <row r="1339" spans="1:7" hidden="1">
      <c r="A1339">
        <v>103</v>
      </c>
      <c r="B1339" t="s">
        <v>1072</v>
      </c>
      <c r="C1339" t="s">
        <v>969</v>
      </c>
      <c r="D1339">
        <v>0.5</v>
      </c>
      <c r="E1339">
        <v>24.75</v>
      </c>
      <c r="F1339">
        <v>1.78</v>
      </c>
      <c r="G1339">
        <v>0</v>
      </c>
    </row>
    <row r="1340" spans="1:7" hidden="1">
      <c r="A1340">
        <v>103</v>
      </c>
      <c r="B1340" t="s">
        <v>1072</v>
      </c>
      <c r="C1340" t="s">
        <v>970</v>
      </c>
      <c r="D1340">
        <v>0.39</v>
      </c>
      <c r="E1340">
        <v>24.75</v>
      </c>
      <c r="F1340">
        <v>1.38</v>
      </c>
      <c r="G1340">
        <v>0</v>
      </c>
    </row>
    <row r="1341" spans="1:7" hidden="1">
      <c r="A1341">
        <v>104</v>
      </c>
      <c r="B1341" t="s">
        <v>1073</v>
      </c>
      <c r="C1341" t="s">
        <v>959</v>
      </c>
      <c r="D1341">
        <v>2.54</v>
      </c>
      <c r="E1341">
        <v>18.309999999999999</v>
      </c>
      <c r="F1341">
        <v>6.65</v>
      </c>
      <c r="G1341">
        <v>0</v>
      </c>
    </row>
    <row r="1342" spans="1:7" hidden="1">
      <c r="A1342">
        <v>104</v>
      </c>
      <c r="B1342" t="s">
        <v>1073</v>
      </c>
      <c r="C1342" t="s">
        <v>960</v>
      </c>
      <c r="D1342">
        <v>3.55</v>
      </c>
      <c r="E1342">
        <v>18.399999999999999</v>
      </c>
      <c r="F1342">
        <v>9.34</v>
      </c>
      <c r="G1342">
        <v>0.01</v>
      </c>
    </row>
    <row r="1343" spans="1:7" hidden="1">
      <c r="A1343">
        <v>104</v>
      </c>
      <c r="B1343" t="s">
        <v>1073</v>
      </c>
      <c r="C1343" t="s">
        <v>961</v>
      </c>
      <c r="D1343">
        <v>11.83</v>
      </c>
      <c r="E1343">
        <v>20.059999999999999</v>
      </c>
      <c r="F1343">
        <v>33.9</v>
      </c>
      <c r="G1343">
        <v>0</v>
      </c>
    </row>
    <row r="1344" spans="1:7" hidden="1">
      <c r="A1344">
        <v>104</v>
      </c>
      <c r="B1344" t="s">
        <v>1073</v>
      </c>
      <c r="C1344" t="s">
        <v>962</v>
      </c>
      <c r="D1344">
        <v>1.91</v>
      </c>
      <c r="E1344">
        <v>24.72</v>
      </c>
      <c r="F1344">
        <v>6.73</v>
      </c>
      <c r="G1344">
        <v>0</v>
      </c>
    </row>
    <row r="1345" spans="1:7" hidden="1">
      <c r="A1345">
        <v>104</v>
      </c>
      <c r="B1345" t="s">
        <v>1073</v>
      </c>
      <c r="C1345" t="s">
        <v>963</v>
      </c>
      <c r="D1345">
        <v>2.76</v>
      </c>
      <c r="E1345">
        <v>18.13</v>
      </c>
      <c r="F1345">
        <v>7.15</v>
      </c>
      <c r="G1345">
        <v>0.01</v>
      </c>
    </row>
    <row r="1346" spans="1:7" hidden="1">
      <c r="A1346">
        <v>104</v>
      </c>
      <c r="B1346" t="s">
        <v>1073</v>
      </c>
      <c r="C1346" t="s">
        <v>964</v>
      </c>
      <c r="D1346">
        <v>0.46</v>
      </c>
      <c r="E1346">
        <v>21.87</v>
      </c>
      <c r="F1346">
        <v>1.43</v>
      </c>
      <c r="G1346">
        <v>0</v>
      </c>
    </row>
    <row r="1347" spans="1:7" hidden="1">
      <c r="A1347">
        <v>104</v>
      </c>
      <c r="B1347" t="s">
        <v>1073</v>
      </c>
      <c r="C1347" t="s">
        <v>965</v>
      </c>
      <c r="D1347">
        <v>2.4300000000000002</v>
      </c>
      <c r="E1347">
        <v>24.75</v>
      </c>
      <c r="F1347">
        <v>8.58</v>
      </c>
      <c r="G1347">
        <v>0.01</v>
      </c>
    </row>
    <row r="1348" spans="1:7">
      <c r="A1348">
        <v>104</v>
      </c>
      <c r="B1348" t="s">
        <v>1073</v>
      </c>
      <c r="C1348" t="s">
        <v>24</v>
      </c>
      <c r="D1348">
        <v>25.47</v>
      </c>
      <c r="E1348">
        <v>20.27</v>
      </c>
      <c r="F1348">
        <v>73.77</v>
      </c>
      <c r="G1348">
        <v>0.03</v>
      </c>
    </row>
    <row r="1349" spans="1:7" hidden="1">
      <c r="A1349">
        <v>104</v>
      </c>
      <c r="B1349" t="s">
        <v>1073</v>
      </c>
      <c r="C1349" t="s">
        <v>966</v>
      </c>
      <c r="D1349">
        <v>0.05</v>
      </c>
      <c r="E1349">
        <v>18.05</v>
      </c>
      <c r="F1349">
        <v>0.13</v>
      </c>
      <c r="G1349">
        <v>0.05</v>
      </c>
    </row>
    <row r="1350" spans="1:7" hidden="1">
      <c r="A1350">
        <v>104</v>
      </c>
      <c r="B1350" t="s">
        <v>1073</v>
      </c>
      <c r="C1350" t="s">
        <v>967</v>
      </c>
      <c r="D1350">
        <v>0.26</v>
      </c>
      <c r="E1350">
        <v>17.91</v>
      </c>
      <c r="F1350">
        <v>0.67</v>
      </c>
      <c r="G1350">
        <v>0</v>
      </c>
    </row>
    <row r="1351" spans="1:7" hidden="1">
      <c r="A1351">
        <v>104</v>
      </c>
      <c r="B1351" t="s">
        <v>1073</v>
      </c>
      <c r="C1351" t="s">
        <v>968</v>
      </c>
      <c r="D1351">
        <v>1.85</v>
      </c>
      <c r="E1351">
        <v>18.09</v>
      </c>
      <c r="F1351">
        <v>4.79</v>
      </c>
      <c r="G1351">
        <v>0</v>
      </c>
    </row>
    <row r="1352" spans="1:7" hidden="1">
      <c r="A1352">
        <v>104</v>
      </c>
      <c r="B1352" t="s">
        <v>1073</v>
      </c>
      <c r="C1352" t="s">
        <v>969</v>
      </c>
      <c r="D1352">
        <v>0.3</v>
      </c>
      <c r="E1352">
        <v>24.75</v>
      </c>
      <c r="F1352">
        <v>1.06</v>
      </c>
      <c r="G1352">
        <v>0</v>
      </c>
    </row>
    <row r="1353" spans="1:7" hidden="1">
      <c r="A1353">
        <v>104</v>
      </c>
      <c r="B1353" t="s">
        <v>1073</v>
      </c>
      <c r="C1353" t="s">
        <v>970</v>
      </c>
      <c r="D1353">
        <v>0.52</v>
      </c>
      <c r="E1353">
        <v>24.75</v>
      </c>
      <c r="F1353">
        <v>1.84</v>
      </c>
      <c r="G1353">
        <v>0</v>
      </c>
    </row>
    <row r="1354" spans="1:7" hidden="1">
      <c r="A1354">
        <v>105</v>
      </c>
      <c r="B1354" t="s">
        <v>1074</v>
      </c>
      <c r="C1354" t="s">
        <v>959</v>
      </c>
      <c r="D1354">
        <v>3.08</v>
      </c>
      <c r="E1354">
        <v>18.309999999999999</v>
      </c>
      <c r="F1354">
        <v>8.0399999999999991</v>
      </c>
      <c r="G1354">
        <v>0.01</v>
      </c>
    </row>
    <row r="1355" spans="1:7" hidden="1">
      <c r="A1355">
        <v>105</v>
      </c>
      <c r="B1355" t="s">
        <v>1074</v>
      </c>
      <c r="C1355" t="s">
        <v>960</v>
      </c>
      <c r="D1355">
        <v>3.26</v>
      </c>
      <c r="E1355">
        <v>18.399999999999999</v>
      </c>
      <c r="F1355">
        <v>8.58</v>
      </c>
      <c r="G1355">
        <v>0</v>
      </c>
    </row>
    <row r="1356" spans="1:7" hidden="1">
      <c r="A1356">
        <v>105</v>
      </c>
      <c r="B1356" t="s">
        <v>1074</v>
      </c>
      <c r="C1356" t="s">
        <v>961</v>
      </c>
      <c r="D1356">
        <v>12.19</v>
      </c>
      <c r="E1356">
        <v>20.059999999999999</v>
      </c>
      <c r="F1356">
        <v>34.909999999999997</v>
      </c>
      <c r="G1356">
        <v>0.01</v>
      </c>
    </row>
    <row r="1357" spans="1:7" hidden="1">
      <c r="A1357">
        <v>105</v>
      </c>
      <c r="B1357" t="s">
        <v>1074</v>
      </c>
      <c r="C1357" t="s">
        <v>962</v>
      </c>
      <c r="D1357">
        <v>2.23</v>
      </c>
      <c r="E1357">
        <v>24.72</v>
      </c>
      <c r="F1357">
        <v>7.89</v>
      </c>
      <c r="G1357">
        <v>0</v>
      </c>
    </row>
    <row r="1358" spans="1:7" hidden="1">
      <c r="A1358">
        <v>105</v>
      </c>
      <c r="B1358" t="s">
        <v>1074</v>
      </c>
      <c r="C1358" t="s">
        <v>963</v>
      </c>
      <c r="D1358">
        <v>3.28</v>
      </c>
      <c r="E1358">
        <v>18.13</v>
      </c>
      <c r="F1358">
        <v>8.48</v>
      </c>
      <c r="G1358">
        <v>0.01</v>
      </c>
    </row>
    <row r="1359" spans="1:7" hidden="1">
      <c r="A1359">
        <v>105</v>
      </c>
      <c r="B1359" t="s">
        <v>1074</v>
      </c>
      <c r="C1359" t="s">
        <v>964</v>
      </c>
      <c r="D1359">
        <v>0.56999999999999995</v>
      </c>
      <c r="E1359">
        <v>21.87</v>
      </c>
      <c r="F1359">
        <v>1.78</v>
      </c>
      <c r="G1359">
        <v>0</v>
      </c>
    </row>
    <row r="1360" spans="1:7" hidden="1">
      <c r="A1360">
        <v>105</v>
      </c>
      <c r="B1360" t="s">
        <v>1074</v>
      </c>
      <c r="C1360" t="s">
        <v>965</v>
      </c>
      <c r="D1360">
        <v>3.01</v>
      </c>
      <c r="E1360">
        <v>24.75</v>
      </c>
      <c r="F1360">
        <v>10.64</v>
      </c>
      <c r="G1360">
        <v>0.01</v>
      </c>
    </row>
    <row r="1361" spans="1:7">
      <c r="A1361">
        <v>105</v>
      </c>
      <c r="B1361" t="s">
        <v>1074</v>
      </c>
      <c r="C1361" t="s">
        <v>24</v>
      </c>
      <c r="D1361">
        <v>27.61</v>
      </c>
      <c r="E1361">
        <v>20.36</v>
      </c>
      <c r="F1361">
        <v>80.319999999999993</v>
      </c>
      <c r="G1361">
        <v>0.03</v>
      </c>
    </row>
    <row r="1362" spans="1:7" hidden="1">
      <c r="A1362">
        <v>105</v>
      </c>
      <c r="B1362" t="s">
        <v>1074</v>
      </c>
      <c r="C1362" t="s">
        <v>966</v>
      </c>
      <c r="D1362">
        <v>7.0000000000000007E-2</v>
      </c>
      <c r="E1362">
        <v>18.05</v>
      </c>
      <c r="F1362">
        <v>0.18</v>
      </c>
      <c r="G1362">
        <v>7.0000000000000007E-2</v>
      </c>
    </row>
    <row r="1363" spans="1:7" hidden="1">
      <c r="A1363">
        <v>105</v>
      </c>
      <c r="B1363" t="s">
        <v>1074</v>
      </c>
      <c r="C1363" t="s">
        <v>967</v>
      </c>
      <c r="D1363">
        <v>0.15</v>
      </c>
      <c r="E1363">
        <v>17.91</v>
      </c>
      <c r="F1363">
        <v>0.39</v>
      </c>
      <c r="G1363">
        <v>0</v>
      </c>
    </row>
    <row r="1364" spans="1:7" hidden="1">
      <c r="A1364">
        <v>105</v>
      </c>
      <c r="B1364" t="s">
        <v>1074</v>
      </c>
      <c r="C1364" t="s">
        <v>968</v>
      </c>
      <c r="D1364">
        <v>1.93</v>
      </c>
      <c r="E1364">
        <v>18.09</v>
      </c>
      <c r="F1364">
        <v>4.9800000000000004</v>
      </c>
      <c r="G1364">
        <v>0</v>
      </c>
    </row>
    <row r="1365" spans="1:7" hidden="1">
      <c r="A1365">
        <v>105</v>
      </c>
      <c r="B1365" t="s">
        <v>1074</v>
      </c>
      <c r="C1365" t="s">
        <v>969</v>
      </c>
      <c r="D1365">
        <v>0.14000000000000001</v>
      </c>
      <c r="E1365">
        <v>24.75</v>
      </c>
      <c r="F1365">
        <v>0.5</v>
      </c>
      <c r="G1365">
        <v>0</v>
      </c>
    </row>
    <row r="1366" spans="1:7" hidden="1">
      <c r="A1366">
        <v>105</v>
      </c>
      <c r="B1366" t="s">
        <v>1074</v>
      </c>
      <c r="C1366" t="s">
        <v>970</v>
      </c>
      <c r="D1366">
        <v>0.51</v>
      </c>
      <c r="E1366">
        <v>24.75</v>
      </c>
      <c r="F1366">
        <v>1.81</v>
      </c>
      <c r="G1366">
        <v>0</v>
      </c>
    </row>
    <row r="1367" spans="1:7" hidden="1">
      <c r="A1367">
        <v>106</v>
      </c>
      <c r="B1367" t="s">
        <v>1075</v>
      </c>
      <c r="C1367" t="s">
        <v>959</v>
      </c>
      <c r="D1367">
        <v>2.5</v>
      </c>
      <c r="E1367">
        <v>18.309999999999999</v>
      </c>
      <c r="F1367">
        <v>6.53</v>
      </c>
      <c r="G1367">
        <v>0</v>
      </c>
    </row>
    <row r="1368" spans="1:7" hidden="1">
      <c r="A1368">
        <v>106</v>
      </c>
      <c r="B1368" t="s">
        <v>1075</v>
      </c>
      <c r="C1368" t="s">
        <v>960</v>
      </c>
      <c r="D1368">
        <v>3.68</v>
      </c>
      <c r="E1368">
        <v>18.399999999999999</v>
      </c>
      <c r="F1368">
        <v>9.67</v>
      </c>
      <c r="G1368">
        <v>0.01</v>
      </c>
    </row>
    <row r="1369" spans="1:7" hidden="1">
      <c r="A1369">
        <v>106</v>
      </c>
      <c r="B1369" t="s">
        <v>1075</v>
      </c>
      <c r="C1369" t="s">
        <v>961</v>
      </c>
      <c r="D1369">
        <v>12.57</v>
      </c>
      <c r="E1369">
        <v>20.059999999999999</v>
      </c>
      <c r="F1369">
        <v>36.01</v>
      </c>
      <c r="G1369">
        <v>0</v>
      </c>
    </row>
    <row r="1370" spans="1:7" hidden="1">
      <c r="A1370">
        <v>106</v>
      </c>
      <c r="B1370" t="s">
        <v>1075</v>
      </c>
      <c r="C1370" t="s">
        <v>962</v>
      </c>
      <c r="D1370">
        <v>1.83</v>
      </c>
      <c r="E1370">
        <v>24.72</v>
      </c>
      <c r="F1370">
        <v>6.47</v>
      </c>
      <c r="G1370">
        <v>0</v>
      </c>
    </row>
    <row r="1371" spans="1:7" hidden="1">
      <c r="A1371">
        <v>106</v>
      </c>
      <c r="B1371" t="s">
        <v>1075</v>
      </c>
      <c r="C1371" t="s">
        <v>963</v>
      </c>
      <c r="D1371">
        <v>2.8</v>
      </c>
      <c r="E1371">
        <v>18.13</v>
      </c>
      <c r="F1371">
        <v>7.26</v>
      </c>
      <c r="G1371">
        <v>0.01</v>
      </c>
    </row>
    <row r="1372" spans="1:7" hidden="1">
      <c r="A1372">
        <v>106</v>
      </c>
      <c r="B1372" t="s">
        <v>1075</v>
      </c>
      <c r="C1372" t="s">
        <v>964</v>
      </c>
      <c r="D1372">
        <v>0.47</v>
      </c>
      <c r="E1372">
        <v>21.87</v>
      </c>
      <c r="F1372">
        <v>1.48</v>
      </c>
      <c r="G1372">
        <v>0</v>
      </c>
    </row>
    <row r="1373" spans="1:7" hidden="1">
      <c r="A1373">
        <v>106</v>
      </c>
      <c r="B1373" t="s">
        <v>1075</v>
      </c>
      <c r="C1373" t="s">
        <v>965</v>
      </c>
      <c r="D1373">
        <v>2.42</v>
      </c>
      <c r="E1373">
        <v>24.75</v>
      </c>
      <c r="F1373">
        <v>8.57</v>
      </c>
      <c r="G1373">
        <v>0.01</v>
      </c>
    </row>
    <row r="1374" spans="1:7">
      <c r="A1374">
        <v>106</v>
      </c>
      <c r="B1374" t="s">
        <v>1075</v>
      </c>
      <c r="C1374" t="s">
        <v>24</v>
      </c>
      <c r="D1374">
        <v>26.28</v>
      </c>
      <c r="E1374">
        <v>20.239999999999998</v>
      </c>
      <c r="F1374">
        <v>75.989999999999995</v>
      </c>
      <c r="G1374">
        <v>0.03</v>
      </c>
    </row>
    <row r="1375" spans="1:7" hidden="1">
      <c r="A1375">
        <v>106</v>
      </c>
      <c r="B1375" t="s">
        <v>1075</v>
      </c>
      <c r="C1375" t="s">
        <v>966</v>
      </c>
      <c r="D1375">
        <v>0.05</v>
      </c>
      <c r="E1375">
        <v>18.05</v>
      </c>
      <c r="F1375">
        <v>0.14000000000000001</v>
      </c>
      <c r="G1375">
        <v>0.05</v>
      </c>
    </row>
    <row r="1376" spans="1:7" hidden="1">
      <c r="A1376">
        <v>106</v>
      </c>
      <c r="B1376" t="s">
        <v>1075</v>
      </c>
      <c r="C1376" t="s">
        <v>967</v>
      </c>
      <c r="D1376">
        <v>0.26</v>
      </c>
      <c r="E1376">
        <v>17.91</v>
      </c>
      <c r="F1376">
        <v>0.68</v>
      </c>
      <c r="G1376">
        <v>0</v>
      </c>
    </row>
    <row r="1377" spans="1:7" hidden="1">
      <c r="A1377">
        <v>106</v>
      </c>
      <c r="B1377" t="s">
        <v>1075</v>
      </c>
      <c r="C1377" t="s">
        <v>968</v>
      </c>
      <c r="D1377">
        <v>2.04</v>
      </c>
      <c r="E1377">
        <v>18.09</v>
      </c>
      <c r="F1377">
        <v>5.26</v>
      </c>
      <c r="G1377">
        <v>0</v>
      </c>
    </row>
    <row r="1378" spans="1:7" hidden="1">
      <c r="A1378">
        <v>106</v>
      </c>
      <c r="B1378" t="s">
        <v>1075</v>
      </c>
      <c r="C1378" t="s">
        <v>969</v>
      </c>
      <c r="D1378">
        <v>0.28000000000000003</v>
      </c>
      <c r="E1378">
        <v>24.75</v>
      </c>
      <c r="F1378">
        <v>1.01</v>
      </c>
      <c r="G1378">
        <v>0</v>
      </c>
    </row>
    <row r="1379" spans="1:7" hidden="1">
      <c r="A1379">
        <v>106</v>
      </c>
      <c r="B1379" t="s">
        <v>1075</v>
      </c>
      <c r="C1379" t="s">
        <v>970</v>
      </c>
      <c r="D1379">
        <v>0.53</v>
      </c>
      <c r="E1379">
        <v>24.75</v>
      </c>
      <c r="F1379">
        <v>1.89</v>
      </c>
      <c r="G1379">
        <v>0</v>
      </c>
    </row>
    <row r="1380" spans="1:7" hidden="1">
      <c r="A1380">
        <v>107</v>
      </c>
      <c r="B1380" t="s">
        <v>1076</v>
      </c>
      <c r="C1380" t="s">
        <v>959</v>
      </c>
      <c r="D1380">
        <v>2.72</v>
      </c>
      <c r="E1380">
        <v>18.309999999999999</v>
      </c>
      <c r="F1380">
        <v>7.1</v>
      </c>
      <c r="G1380">
        <v>0.89</v>
      </c>
    </row>
    <row r="1381" spans="1:7" hidden="1">
      <c r="A1381">
        <v>107</v>
      </c>
      <c r="B1381" t="s">
        <v>1076</v>
      </c>
      <c r="C1381" t="s">
        <v>960</v>
      </c>
      <c r="D1381">
        <v>3.62</v>
      </c>
      <c r="E1381">
        <v>18.399999999999999</v>
      </c>
      <c r="F1381">
        <v>9.52</v>
      </c>
      <c r="G1381">
        <v>0.97</v>
      </c>
    </row>
    <row r="1382" spans="1:7" hidden="1">
      <c r="A1382">
        <v>107</v>
      </c>
      <c r="B1382" t="s">
        <v>1076</v>
      </c>
      <c r="C1382" t="s">
        <v>961</v>
      </c>
      <c r="D1382">
        <v>7.01</v>
      </c>
      <c r="E1382">
        <v>20.059999999999999</v>
      </c>
      <c r="F1382">
        <v>20.100000000000001</v>
      </c>
      <c r="G1382">
        <v>1.21</v>
      </c>
    </row>
    <row r="1383" spans="1:7" hidden="1">
      <c r="A1383">
        <v>107</v>
      </c>
      <c r="B1383" t="s">
        <v>1076</v>
      </c>
      <c r="C1383" t="s">
        <v>962</v>
      </c>
      <c r="D1383">
        <v>1.08</v>
      </c>
      <c r="E1383">
        <v>24.72</v>
      </c>
      <c r="F1383">
        <v>3.82</v>
      </c>
      <c r="G1383">
        <v>0.12</v>
      </c>
    </row>
    <row r="1384" spans="1:7" hidden="1">
      <c r="A1384">
        <v>107</v>
      </c>
      <c r="B1384" t="s">
        <v>1076</v>
      </c>
      <c r="C1384" t="s">
        <v>963</v>
      </c>
      <c r="D1384">
        <v>2.41</v>
      </c>
      <c r="E1384">
        <v>18.13</v>
      </c>
      <c r="F1384">
        <v>6.24</v>
      </c>
      <c r="G1384">
        <v>0.41</v>
      </c>
    </row>
    <row r="1385" spans="1:7" hidden="1">
      <c r="A1385">
        <v>107</v>
      </c>
      <c r="B1385" t="s">
        <v>1076</v>
      </c>
      <c r="C1385" t="s">
        <v>964</v>
      </c>
      <c r="D1385">
        <v>0.04</v>
      </c>
      <c r="E1385">
        <v>21.87</v>
      </c>
      <c r="F1385">
        <v>0.14000000000000001</v>
      </c>
      <c r="G1385">
        <v>0</v>
      </c>
    </row>
    <row r="1386" spans="1:7" hidden="1">
      <c r="A1386">
        <v>107</v>
      </c>
      <c r="B1386" t="s">
        <v>1076</v>
      </c>
      <c r="C1386" t="s">
        <v>965</v>
      </c>
      <c r="D1386">
        <v>2.06</v>
      </c>
      <c r="E1386">
        <v>24.75</v>
      </c>
      <c r="F1386">
        <v>7.3</v>
      </c>
      <c r="G1386">
        <v>0.3</v>
      </c>
    </row>
    <row r="1387" spans="1:7">
      <c r="A1387">
        <v>107</v>
      </c>
      <c r="B1387" t="s">
        <v>1076</v>
      </c>
      <c r="C1387" t="s">
        <v>24</v>
      </c>
      <c r="D1387">
        <v>18.95</v>
      </c>
      <c r="E1387">
        <v>20.03</v>
      </c>
      <c r="F1387">
        <v>54.22</v>
      </c>
      <c r="G1387">
        <v>3.91</v>
      </c>
    </row>
    <row r="1388" spans="1:7" hidden="1">
      <c r="A1388">
        <v>107</v>
      </c>
      <c r="B1388" t="s">
        <v>1076</v>
      </c>
      <c r="C1388" t="s">
        <v>966</v>
      </c>
      <c r="D1388">
        <v>3.04</v>
      </c>
      <c r="E1388">
        <v>18.05</v>
      </c>
      <c r="F1388">
        <v>7.84</v>
      </c>
      <c r="G1388">
        <v>2.88</v>
      </c>
    </row>
    <row r="1389" spans="1:7" hidden="1">
      <c r="A1389">
        <v>107</v>
      </c>
      <c r="B1389" t="s">
        <v>1076</v>
      </c>
      <c r="C1389" t="s">
        <v>967</v>
      </c>
      <c r="D1389">
        <v>0.28000000000000003</v>
      </c>
      <c r="E1389">
        <v>17.91</v>
      </c>
      <c r="F1389">
        <v>0.73</v>
      </c>
      <c r="G1389">
        <v>0</v>
      </c>
    </row>
    <row r="1390" spans="1:7" hidden="1">
      <c r="A1390">
        <v>107</v>
      </c>
      <c r="B1390" t="s">
        <v>1076</v>
      </c>
      <c r="C1390" t="s">
        <v>968</v>
      </c>
      <c r="D1390">
        <v>1.1100000000000001</v>
      </c>
      <c r="E1390">
        <v>18.09</v>
      </c>
      <c r="F1390">
        <v>2.87</v>
      </c>
      <c r="G1390">
        <v>0.18</v>
      </c>
    </row>
    <row r="1391" spans="1:7" hidden="1">
      <c r="A1391">
        <v>107</v>
      </c>
      <c r="B1391" t="s">
        <v>1076</v>
      </c>
      <c r="C1391" t="s">
        <v>969</v>
      </c>
      <c r="D1391">
        <v>0.85</v>
      </c>
      <c r="E1391">
        <v>24.75</v>
      </c>
      <c r="F1391">
        <v>2.99</v>
      </c>
      <c r="G1391">
        <v>0.02</v>
      </c>
    </row>
    <row r="1392" spans="1:7" hidden="1">
      <c r="A1392">
        <v>107</v>
      </c>
      <c r="B1392" t="s">
        <v>1076</v>
      </c>
      <c r="C1392" t="s">
        <v>970</v>
      </c>
      <c r="D1392">
        <v>0.28999999999999998</v>
      </c>
      <c r="E1392">
        <v>24.75</v>
      </c>
      <c r="F1392">
        <v>1.02</v>
      </c>
      <c r="G1392">
        <v>0.03</v>
      </c>
    </row>
    <row r="1393" spans="1:7" hidden="1">
      <c r="A1393">
        <v>108</v>
      </c>
      <c r="B1393" t="s">
        <v>1077</v>
      </c>
      <c r="C1393" t="s">
        <v>959</v>
      </c>
      <c r="D1393">
        <v>1.77</v>
      </c>
      <c r="E1393">
        <v>18.309999999999999</v>
      </c>
      <c r="F1393">
        <v>4.6399999999999997</v>
      </c>
      <c r="G1393">
        <v>0</v>
      </c>
    </row>
    <row r="1394" spans="1:7" hidden="1">
      <c r="A1394">
        <v>108</v>
      </c>
      <c r="B1394" t="s">
        <v>1077</v>
      </c>
      <c r="C1394" t="s">
        <v>960</v>
      </c>
      <c r="D1394">
        <v>2.82</v>
      </c>
      <c r="E1394">
        <v>18.399999999999999</v>
      </c>
      <c r="F1394">
        <v>7.42</v>
      </c>
      <c r="G1394">
        <v>0</v>
      </c>
    </row>
    <row r="1395" spans="1:7" hidden="1">
      <c r="A1395">
        <v>108</v>
      </c>
      <c r="B1395" t="s">
        <v>1077</v>
      </c>
      <c r="C1395" t="s">
        <v>961</v>
      </c>
      <c r="D1395">
        <v>8.9499999999999993</v>
      </c>
      <c r="E1395">
        <v>20.059999999999999</v>
      </c>
      <c r="F1395">
        <v>25.66</v>
      </c>
      <c r="G1395">
        <v>0</v>
      </c>
    </row>
    <row r="1396" spans="1:7" hidden="1">
      <c r="A1396">
        <v>108</v>
      </c>
      <c r="B1396" t="s">
        <v>1077</v>
      </c>
      <c r="C1396" t="s">
        <v>962</v>
      </c>
      <c r="D1396">
        <v>1.94</v>
      </c>
      <c r="E1396">
        <v>24.72</v>
      </c>
      <c r="F1396">
        <v>6.85</v>
      </c>
      <c r="G1396">
        <v>0</v>
      </c>
    </row>
    <row r="1397" spans="1:7" hidden="1">
      <c r="A1397">
        <v>108</v>
      </c>
      <c r="B1397" t="s">
        <v>1077</v>
      </c>
      <c r="C1397" t="s">
        <v>963</v>
      </c>
      <c r="D1397">
        <v>2.67</v>
      </c>
      <c r="E1397">
        <v>18.13</v>
      </c>
      <c r="F1397">
        <v>6.91</v>
      </c>
      <c r="G1397">
        <v>0</v>
      </c>
    </row>
    <row r="1398" spans="1:7" hidden="1">
      <c r="A1398">
        <v>108</v>
      </c>
      <c r="B1398" t="s">
        <v>1077</v>
      </c>
      <c r="C1398" t="s">
        <v>964</v>
      </c>
      <c r="D1398">
        <v>0.34</v>
      </c>
      <c r="E1398">
        <v>21.87</v>
      </c>
      <c r="F1398">
        <v>1.05</v>
      </c>
      <c r="G1398">
        <v>0</v>
      </c>
    </row>
    <row r="1399" spans="1:7" hidden="1">
      <c r="A1399">
        <v>108</v>
      </c>
      <c r="B1399" t="s">
        <v>1077</v>
      </c>
      <c r="C1399" t="s">
        <v>965</v>
      </c>
      <c r="D1399">
        <v>2.36</v>
      </c>
      <c r="E1399">
        <v>24.75</v>
      </c>
      <c r="F1399">
        <v>8.35</v>
      </c>
      <c r="G1399">
        <v>0</v>
      </c>
    </row>
    <row r="1400" spans="1:7">
      <c r="A1400">
        <v>108</v>
      </c>
      <c r="B1400" t="s">
        <v>1077</v>
      </c>
      <c r="C1400" t="s">
        <v>24</v>
      </c>
      <c r="D1400">
        <v>20.86</v>
      </c>
      <c r="E1400">
        <v>20.43</v>
      </c>
      <c r="F1400">
        <v>60.88</v>
      </c>
      <c r="G1400">
        <v>0</v>
      </c>
    </row>
    <row r="1401" spans="1:7" hidden="1">
      <c r="A1401">
        <v>108</v>
      </c>
      <c r="B1401" t="s">
        <v>1077</v>
      </c>
      <c r="C1401" t="s">
        <v>966</v>
      </c>
      <c r="D1401">
        <v>0</v>
      </c>
      <c r="E1401">
        <v>18.05</v>
      </c>
      <c r="F1401">
        <v>0</v>
      </c>
      <c r="G1401">
        <v>0</v>
      </c>
    </row>
    <row r="1402" spans="1:7" hidden="1">
      <c r="A1402">
        <v>108</v>
      </c>
      <c r="B1402" t="s">
        <v>1077</v>
      </c>
      <c r="C1402" t="s">
        <v>967</v>
      </c>
      <c r="D1402">
        <v>0.64</v>
      </c>
      <c r="E1402">
        <v>17.91</v>
      </c>
      <c r="F1402">
        <v>1.63</v>
      </c>
      <c r="G1402">
        <v>0</v>
      </c>
    </row>
    <row r="1403" spans="1:7" hidden="1">
      <c r="A1403">
        <v>108</v>
      </c>
      <c r="B1403" t="s">
        <v>1077</v>
      </c>
      <c r="C1403" t="s">
        <v>968</v>
      </c>
      <c r="D1403">
        <v>1.49</v>
      </c>
      <c r="E1403">
        <v>18.09</v>
      </c>
      <c r="F1403">
        <v>3.85</v>
      </c>
      <c r="G1403">
        <v>0</v>
      </c>
    </row>
    <row r="1404" spans="1:7" hidden="1">
      <c r="A1404">
        <v>108</v>
      </c>
      <c r="B1404" t="s">
        <v>1077</v>
      </c>
      <c r="C1404" t="s">
        <v>969</v>
      </c>
      <c r="D1404">
        <v>0.16</v>
      </c>
      <c r="E1404">
        <v>24.75</v>
      </c>
      <c r="F1404">
        <v>0.55000000000000004</v>
      </c>
      <c r="G1404">
        <v>0</v>
      </c>
    </row>
    <row r="1405" spans="1:7" hidden="1">
      <c r="A1405">
        <v>108</v>
      </c>
      <c r="B1405" t="s">
        <v>1077</v>
      </c>
      <c r="C1405" t="s">
        <v>970</v>
      </c>
      <c r="D1405">
        <v>0.41</v>
      </c>
      <c r="E1405">
        <v>24.75</v>
      </c>
      <c r="F1405">
        <v>1.46</v>
      </c>
      <c r="G1405">
        <v>0</v>
      </c>
    </row>
    <row r="1406" spans="1:7" hidden="1">
      <c r="A1406">
        <v>109</v>
      </c>
      <c r="B1406" t="s">
        <v>1078</v>
      </c>
      <c r="C1406" t="s">
        <v>959</v>
      </c>
      <c r="D1406">
        <v>2.71</v>
      </c>
      <c r="E1406">
        <v>18.309999999999999</v>
      </c>
      <c r="F1406">
        <v>7.09</v>
      </c>
      <c r="G1406">
        <v>0</v>
      </c>
    </row>
    <row r="1407" spans="1:7" hidden="1">
      <c r="A1407">
        <v>109</v>
      </c>
      <c r="B1407" t="s">
        <v>1078</v>
      </c>
      <c r="C1407" t="s">
        <v>960</v>
      </c>
      <c r="D1407">
        <v>2.7</v>
      </c>
      <c r="E1407">
        <v>18.399999999999999</v>
      </c>
      <c r="F1407">
        <v>7.08</v>
      </c>
      <c r="G1407">
        <v>0</v>
      </c>
    </row>
    <row r="1408" spans="1:7" hidden="1">
      <c r="A1408">
        <v>109</v>
      </c>
      <c r="B1408" t="s">
        <v>1078</v>
      </c>
      <c r="C1408" t="s">
        <v>961</v>
      </c>
      <c r="D1408">
        <v>9.39</v>
      </c>
      <c r="E1408">
        <v>20.059999999999999</v>
      </c>
      <c r="F1408">
        <v>26.91</v>
      </c>
      <c r="G1408">
        <v>0</v>
      </c>
    </row>
    <row r="1409" spans="1:7" hidden="1">
      <c r="A1409">
        <v>109</v>
      </c>
      <c r="B1409" t="s">
        <v>1078</v>
      </c>
      <c r="C1409" t="s">
        <v>962</v>
      </c>
      <c r="D1409">
        <v>2.0099999999999998</v>
      </c>
      <c r="E1409">
        <v>24.72</v>
      </c>
      <c r="F1409">
        <v>7.1</v>
      </c>
      <c r="G1409">
        <v>0</v>
      </c>
    </row>
    <row r="1410" spans="1:7" hidden="1">
      <c r="A1410">
        <v>109</v>
      </c>
      <c r="B1410" t="s">
        <v>1078</v>
      </c>
      <c r="C1410" t="s">
        <v>963</v>
      </c>
      <c r="D1410">
        <v>3.15</v>
      </c>
      <c r="E1410">
        <v>18.13</v>
      </c>
      <c r="F1410">
        <v>8.17</v>
      </c>
      <c r="G1410">
        <v>0</v>
      </c>
    </row>
    <row r="1411" spans="1:7" hidden="1">
      <c r="A1411">
        <v>109</v>
      </c>
      <c r="B1411" t="s">
        <v>1078</v>
      </c>
      <c r="C1411" t="s">
        <v>964</v>
      </c>
      <c r="D1411">
        <v>0.17</v>
      </c>
      <c r="E1411">
        <v>21.87</v>
      </c>
      <c r="F1411">
        <v>0.54</v>
      </c>
      <c r="G1411">
        <v>0</v>
      </c>
    </row>
    <row r="1412" spans="1:7" hidden="1">
      <c r="A1412">
        <v>109</v>
      </c>
      <c r="B1412" t="s">
        <v>1078</v>
      </c>
      <c r="C1412" t="s">
        <v>965</v>
      </c>
      <c r="D1412">
        <v>2.72</v>
      </c>
      <c r="E1412">
        <v>24.75</v>
      </c>
      <c r="F1412">
        <v>9.6199999999999992</v>
      </c>
      <c r="G1412">
        <v>0</v>
      </c>
    </row>
    <row r="1413" spans="1:7">
      <c r="A1413">
        <v>109</v>
      </c>
      <c r="B1413" t="s">
        <v>1078</v>
      </c>
      <c r="C1413" t="s">
        <v>24</v>
      </c>
      <c r="D1413">
        <v>22.86</v>
      </c>
      <c r="E1413">
        <v>20.37</v>
      </c>
      <c r="F1413">
        <v>66.52</v>
      </c>
      <c r="G1413">
        <v>0</v>
      </c>
    </row>
    <row r="1414" spans="1:7" hidden="1">
      <c r="A1414">
        <v>109</v>
      </c>
      <c r="B1414" t="s">
        <v>1078</v>
      </c>
      <c r="C1414" t="s">
        <v>966</v>
      </c>
      <c r="D1414">
        <v>0</v>
      </c>
      <c r="E1414">
        <v>18.05</v>
      </c>
      <c r="F1414">
        <v>0</v>
      </c>
      <c r="G1414">
        <v>0</v>
      </c>
    </row>
    <row r="1415" spans="1:7" hidden="1">
      <c r="A1415">
        <v>109</v>
      </c>
      <c r="B1415" t="s">
        <v>1078</v>
      </c>
      <c r="C1415" t="s">
        <v>967</v>
      </c>
      <c r="D1415">
        <v>1.34</v>
      </c>
      <c r="E1415">
        <v>17.91</v>
      </c>
      <c r="F1415">
        <v>3.43</v>
      </c>
      <c r="G1415">
        <v>0</v>
      </c>
    </row>
    <row r="1416" spans="1:7" hidden="1">
      <c r="A1416">
        <v>109</v>
      </c>
      <c r="B1416" t="s">
        <v>1078</v>
      </c>
      <c r="C1416" t="s">
        <v>968</v>
      </c>
      <c r="D1416">
        <v>2.73</v>
      </c>
      <c r="E1416">
        <v>18.09</v>
      </c>
      <c r="F1416">
        <v>7.06</v>
      </c>
      <c r="G1416">
        <v>0</v>
      </c>
    </row>
    <row r="1417" spans="1:7" hidden="1">
      <c r="A1417">
        <v>109</v>
      </c>
      <c r="B1417" t="s">
        <v>1078</v>
      </c>
      <c r="C1417" t="s">
        <v>969</v>
      </c>
      <c r="D1417">
        <v>0.21</v>
      </c>
      <c r="E1417">
        <v>24.75</v>
      </c>
      <c r="F1417">
        <v>0.76</v>
      </c>
      <c r="G1417">
        <v>0</v>
      </c>
    </row>
    <row r="1418" spans="1:7" hidden="1">
      <c r="A1418">
        <v>109</v>
      </c>
      <c r="B1418" t="s">
        <v>1078</v>
      </c>
      <c r="C1418" t="s">
        <v>970</v>
      </c>
      <c r="D1418">
        <v>0.61</v>
      </c>
      <c r="E1418">
        <v>24.75</v>
      </c>
      <c r="F1418">
        <v>2.16</v>
      </c>
      <c r="G1418">
        <v>0</v>
      </c>
    </row>
    <row r="1419" spans="1:7" hidden="1">
      <c r="A1419">
        <v>110</v>
      </c>
      <c r="B1419" t="s">
        <v>1079</v>
      </c>
      <c r="C1419" t="s">
        <v>959</v>
      </c>
      <c r="D1419">
        <v>1.84</v>
      </c>
      <c r="E1419">
        <v>18.309999999999999</v>
      </c>
      <c r="F1419">
        <v>4.82</v>
      </c>
      <c r="G1419">
        <v>0</v>
      </c>
    </row>
    <row r="1420" spans="1:7" hidden="1">
      <c r="A1420">
        <v>110</v>
      </c>
      <c r="B1420" t="s">
        <v>1079</v>
      </c>
      <c r="C1420" t="s">
        <v>960</v>
      </c>
      <c r="D1420">
        <v>2.75</v>
      </c>
      <c r="E1420">
        <v>18.399999999999999</v>
      </c>
      <c r="F1420">
        <v>7.22</v>
      </c>
      <c r="G1420">
        <v>0</v>
      </c>
    </row>
    <row r="1421" spans="1:7" hidden="1">
      <c r="A1421">
        <v>110</v>
      </c>
      <c r="B1421" t="s">
        <v>1079</v>
      </c>
      <c r="C1421" t="s">
        <v>961</v>
      </c>
      <c r="D1421">
        <v>9.7799999999999994</v>
      </c>
      <c r="E1421">
        <v>20.059999999999999</v>
      </c>
      <c r="F1421">
        <v>28.02</v>
      </c>
      <c r="G1421">
        <v>0</v>
      </c>
    </row>
    <row r="1422" spans="1:7" hidden="1">
      <c r="A1422">
        <v>110</v>
      </c>
      <c r="B1422" t="s">
        <v>1079</v>
      </c>
      <c r="C1422" t="s">
        <v>962</v>
      </c>
      <c r="D1422">
        <v>1.87</v>
      </c>
      <c r="E1422">
        <v>24.72</v>
      </c>
      <c r="F1422">
        <v>6.59</v>
      </c>
      <c r="G1422">
        <v>0</v>
      </c>
    </row>
    <row r="1423" spans="1:7" hidden="1">
      <c r="A1423">
        <v>110</v>
      </c>
      <c r="B1423" t="s">
        <v>1079</v>
      </c>
      <c r="C1423" t="s">
        <v>963</v>
      </c>
      <c r="D1423">
        <v>2.87</v>
      </c>
      <c r="E1423">
        <v>18.13</v>
      </c>
      <c r="F1423">
        <v>7.43</v>
      </c>
      <c r="G1423">
        <v>0</v>
      </c>
    </row>
    <row r="1424" spans="1:7" hidden="1">
      <c r="A1424">
        <v>110</v>
      </c>
      <c r="B1424" t="s">
        <v>1079</v>
      </c>
      <c r="C1424" t="s">
        <v>964</v>
      </c>
      <c r="D1424">
        <v>0.33</v>
      </c>
      <c r="E1424">
        <v>21.87</v>
      </c>
      <c r="F1424">
        <v>1.04</v>
      </c>
      <c r="G1424">
        <v>0</v>
      </c>
    </row>
    <row r="1425" spans="1:7" hidden="1">
      <c r="A1425">
        <v>110</v>
      </c>
      <c r="B1425" t="s">
        <v>1079</v>
      </c>
      <c r="C1425" t="s">
        <v>965</v>
      </c>
      <c r="D1425">
        <v>2.5</v>
      </c>
      <c r="E1425">
        <v>24.75</v>
      </c>
      <c r="F1425">
        <v>8.85</v>
      </c>
      <c r="G1425">
        <v>0</v>
      </c>
    </row>
    <row r="1426" spans="1:7">
      <c r="A1426">
        <v>110</v>
      </c>
      <c r="B1426" t="s">
        <v>1079</v>
      </c>
      <c r="C1426" t="s">
        <v>24</v>
      </c>
      <c r="D1426">
        <v>21.94</v>
      </c>
      <c r="E1426">
        <v>20.41</v>
      </c>
      <c r="F1426">
        <v>63.98</v>
      </c>
      <c r="G1426">
        <v>0</v>
      </c>
    </row>
    <row r="1427" spans="1:7" hidden="1">
      <c r="A1427">
        <v>110</v>
      </c>
      <c r="B1427" t="s">
        <v>1079</v>
      </c>
      <c r="C1427" t="s">
        <v>966</v>
      </c>
      <c r="D1427">
        <v>0</v>
      </c>
      <c r="E1427">
        <v>18.05</v>
      </c>
      <c r="F1427">
        <v>0</v>
      </c>
      <c r="G1427">
        <v>0</v>
      </c>
    </row>
    <row r="1428" spans="1:7" hidden="1">
      <c r="A1428">
        <v>110</v>
      </c>
      <c r="B1428" t="s">
        <v>1079</v>
      </c>
      <c r="C1428" t="s">
        <v>967</v>
      </c>
      <c r="D1428">
        <v>0.54</v>
      </c>
      <c r="E1428">
        <v>17.91</v>
      </c>
      <c r="F1428">
        <v>1.37</v>
      </c>
      <c r="G1428">
        <v>0</v>
      </c>
    </row>
    <row r="1429" spans="1:7" hidden="1">
      <c r="A1429">
        <v>110</v>
      </c>
      <c r="B1429" t="s">
        <v>1079</v>
      </c>
      <c r="C1429" t="s">
        <v>968</v>
      </c>
      <c r="D1429">
        <v>1.92</v>
      </c>
      <c r="E1429">
        <v>18.09</v>
      </c>
      <c r="F1429">
        <v>4.96</v>
      </c>
      <c r="G1429">
        <v>0</v>
      </c>
    </row>
    <row r="1430" spans="1:7" hidden="1">
      <c r="A1430">
        <v>110</v>
      </c>
      <c r="B1430" t="s">
        <v>1079</v>
      </c>
      <c r="C1430" t="s">
        <v>969</v>
      </c>
      <c r="D1430">
        <v>0.14000000000000001</v>
      </c>
      <c r="E1430">
        <v>24.75</v>
      </c>
      <c r="F1430">
        <v>0.49</v>
      </c>
      <c r="G1430">
        <v>0</v>
      </c>
    </row>
    <row r="1431" spans="1:7" hidden="1">
      <c r="A1431">
        <v>110</v>
      </c>
      <c r="B1431" t="s">
        <v>1079</v>
      </c>
      <c r="C1431" t="s">
        <v>970</v>
      </c>
      <c r="D1431">
        <v>0.49</v>
      </c>
      <c r="E1431">
        <v>24.75</v>
      </c>
      <c r="F1431">
        <v>1.75</v>
      </c>
      <c r="G1431">
        <v>0</v>
      </c>
    </row>
    <row r="1432" spans="1:7" hidden="1">
      <c r="A1432">
        <v>111</v>
      </c>
      <c r="B1432" t="s">
        <v>1080</v>
      </c>
      <c r="C1432" t="s">
        <v>959</v>
      </c>
      <c r="D1432">
        <v>1.55</v>
      </c>
      <c r="E1432">
        <v>18.309999999999999</v>
      </c>
      <c r="F1432">
        <v>4.0599999999999996</v>
      </c>
      <c r="G1432">
        <v>0</v>
      </c>
    </row>
    <row r="1433" spans="1:7" hidden="1">
      <c r="A1433">
        <v>111</v>
      </c>
      <c r="B1433" t="s">
        <v>1080</v>
      </c>
      <c r="C1433" t="s">
        <v>960</v>
      </c>
      <c r="D1433">
        <v>2.93</v>
      </c>
      <c r="E1433">
        <v>18.399999999999999</v>
      </c>
      <c r="F1433">
        <v>7.71</v>
      </c>
      <c r="G1433">
        <v>0</v>
      </c>
    </row>
    <row r="1434" spans="1:7" hidden="1">
      <c r="A1434">
        <v>111</v>
      </c>
      <c r="B1434" t="s">
        <v>1080</v>
      </c>
      <c r="C1434" t="s">
        <v>961</v>
      </c>
      <c r="D1434">
        <v>7.91</v>
      </c>
      <c r="E1434">
        <v>20.059999999999999</v>
      </c>
      <c r="F1434">
        <v>22.68</v>
      </c>
      <c r="G1434">
        <v>0</v>
      </c>
    </row>
    <row r="1435" spans="1:7" hidden="1">
      <c r="A1435">
        <v>111</v>
      </c>
      <c r="B1435" t="s">
        <v>1080</v>
      </c>
      <c r="C1435" t="s">
        <v>962</v>
      </c>
      <c r="D1435">
        <v>2.0099999999999998</v>
      </c>
      <c r="E1435">
        <v>24.72</v>
      </c>
      <c r="F1435">
        <v>7.11</v>
      </c>
      <c r="G1435">
        <v>0</v>
      </c>
    </row>
    <row r="1436" spans="1:7" hidden="1">
      <c r="A1436">
        <v>111</v>
      </c>
      <c r="B1436" t="s">
        <v>1080</v>
      </c>
      <c r="C1436" t="s">
        <v>963</v>
      </c>
      <c r="D1436">
        <v>2.36</v>
      </c>
      <c r="E1436">
        <v>18.13</v>
      </c>
      <c r="F1436">
        <v>6.11</v>
      </c>
      <c r="G1436">
        <v>0</v>
      </c>
    </row>
    <row r="1437" spans="1:7" hidden="1">
      <c r="A1437">
        <v>111</v>
      </c>
      <c r="B1437" t="s">
        <v>1080</v>
      </c>
      <c r="C1437" t="s">
        <v>964</v>
      </c>
      <c r="D1437">
        <v>0.36</v>
      </c>
      <c r="E1437">
        <v>21.87</v>
      </c>
      <c r="F1437">
        <v>1.1299999999999999</v>
      </c>
      <c r="G1437">
        <v>0</v>
      </c>
    </row>
    <row r="1438" spans="1:7" hidden="1">
      <c r="A1438">
        <v>111</v>
      </c>
      <c r="B1438" t="s">
        <v>1080</v>
      </c>
      <c r="C1438" t="s">
        <v>965</v>
      </c>
      <c r="D1438">
        <v>2.14</v>
      </c>
      <c r="E1438">
        <v>24.75</v>
      </c>
      <c r="F1438">
        <v>7.57</v>
      </c>
      <c r="G1438">
        <v>0</v>
      </c>
    </row>
    <row r="1439" spans="1:7">
      <c r="A1439">
        <v>111</v>
      </c>
      <c r="B1439" t="s">
        <v>1080</v>
      </c>
      <c r="C1439" t="s">
        <v>24</v>
      </c>
      <c r="D1439">
        <v>19.28</v>
      </c>
      <c r="E1439">
        <v>20.47</v>
      </c>
      <c r="F1439">
        <v>56.37</v>
      </c>
      <c r="G1439">
        <v>0</v>
      </c>
    </row>
    <row r="1440" spans="1:7" hidden="1">
      <c r="A1440">
        <v>111</v>
      </c>
      <c r="B1440" t="s">
        <v>1080</v>
      </c>
      <c r="C1440" t="s">
        <v>966</v>
      </c>
      <c r="D1440">
        <v>0</v>
      </c>
      <c r="E1440">
        <v>18.05</v>
      </c>
      <c r="F1440">
        <v>0</v>
      </c>
      <c r="G1440">
        <v>0</v>
      </c>
    </row>
    <row r="1441" spans="1:7" hidden="1">
      <c r="A1441">
        <v>111</v>
      </c>
      <c r="B1441" t="s">
        <v>1080</v>
      </c>
      <c r="C1441" t="s">
        <v>967</v>
      </c>
      <c r="D1441">
        <v>0.65</v>
      </c>
      <c r="E1441">
        <v>17.91</v>
      </c>
      <c r="F1441">
        <v>1.67</v>
      </c>
      <c r="G1441">
        <v>0</v>
      </c>
    </row>
    <row r="1442" spans="1:7" hidden="1">
      <c r="A1442">
        <v>111</v>
      </c>
      <c r="B1442" t="s">
        <v>1080</v>
      </c>
      <c r="C1442" t="s">
        <v>968</v>
      </c>
      <c r="D1442">
        <v>0.8</v>
      </c>
      <c r="E1442">
        <v>18.09</v>
      </c>
      <c r="F1442">
        <v>2.0499999999999998</v>
      </c>
      <c r="G1442">
        <v>0</v>
      </c>
    </row>
    <row r="1443" spans="1:7" hidden="1">
      <c r="A1443">
        <v>111</v>
      </c>
      <c r="B1443" t="s">
        <v>1080</v>
      </c>
      <c r="C1443" t="s">
        <v>969</v>
      </c>
      <c r="D1443">
        <v>0.17</v>
      </c>
      <c r="E1443">
        <v>24.75</v>
      </c>
      <c r="F1443">
        <v>0.59</v>
      </c>
      <c r="G1443">
        <v>0</v>
      </c>
    </row>
    <row r="1444" spans="1:7" hidden="1">
      <c r="A1444">
        <v>111</v>
      </c>
      <c r="B1444" t="s">
        <v>1080</v>
      </c>
      <c r="C1444" t="s">
        <v>970</v>
      </c>
      <c r="D1444">
        <v>0.28999999999999998</v>
      </c>
      <c r="E1444">
        <v>24.75</v>
      </c>
      <c r="F1444">
        <v>1.02</v>
      </c>
      <c r="G1444">
        <v>0</v>
      </c>
    </row>
    <row r="1445" spans="1:7" hidden="1">
      <c r="A1445">
        <v>112</v>
      </c>
      <c r="B1445" t="s">
        <v>1081</v>
      </c>
      <c r="C1445" t="s">
        <v>959</v>
      </c>
      <c r="D1445">
        <v>1.68</v>
      </c>
      <c r="E1445">
        <v>18.309999999999999</v>
      </c>
      <c r="F1445">
        <v>4.4000000000000004</v>
      </c>
      <c r="G1445">
        <v>0</v>
      </c>
    </row>
    <row r="1446" spans="1:7" hidden="1">
      <c r="A1446">
        <v>112</v>
      </c>
      <c r="B1446" t="s">
        <v>1081</v>
      </c>
      <c r="C1446" t="s">
        <v>960</v>
      </c>
      <c r="D1446">
        <v>2.78</v>
      </c>
      <c r="E1446">
        <v>18.399999999999999</v>
      </c>
      <c r="F1446">
        <v>7.31</v>
      </c>
      <c r="G1446">
        <v>0.01</v>
      </c>
    </row>
    <row r="1447" spans="1:7" hidden="1">
      <c r="A1447">
        <v>112</v>
      </c>
      <c r="B1447" t="s">
        <v>1081</v>
      </c>
      <c r="C1447" t="s">
        <v>961</v>
      </c>
      <c r="D1447">
        <v>8.99</v>
      </c>
      <c r="E1447">
        <v>20.059999999999999</v>
      </c>
      <c r="F1447">
        <v>25.75</v>
      </c>
      <c r="G1447">
        <v>0</v>
      </c>
    </row>
    <row r="1448" spans="1:7" hidden="1">
      <c r="A1448">
        <v>112</v>
      </c>
      <c r="B1448" t="s">
        <v>1081</v>
      </c>
      <c r="C1448" t="s">
        <v>962</v>
      </c>
      <c r="D1448">
        <v>1.96</v>
      </c>
      <c r="E1448">
        <v>24.72</v>
      </c>
      <c r="F1448">
        <v>6.93</v>
      </c>
      <c r="G1448">
        <v>0</v>
      </c>
    </row>
    <row r="1449" spans="1:7" hidden="1">
      <c r="A1449">
        <v>112</v>
      </c>
      <c r="B1449" t="s">
        <v>1081</v>
      </c>
      <c r="C1449" t="s">
        <v>963</v>
      </c>
      <c r="D1449">
        <v>2.69</v>
      </c>
      <c r="E1449">
        <v>18.13</v>
      </c>
      <c r="F1449">
        <v>6.98</v>
      </c>
      <c r="G1449">
        <v>0</v>
      </c>
    </row>
    <row r="1450" spans="1:7" hidden="1">
      <c r="A1450">
        <v>112</v>
      </c>
      <c r="B1450" t="s">
        <v>1081</v>
      </c>
      <c r="C1450" t="s">
        <v>964</v>
      </c>
      <c r="D1450">
        <v>0.35</v>
      </c>
      <c r="E1450">
        <v>21.87</v>
      </c>
      <c r="F1450">
        <v>1.08</v>
      </c>
      <c r="G1450">
        <v>0</v>
      </c>
    </row>
    <row r="1451" spans="1:7" hidden="1">
      <c r="A1451">
        <v>112</v>
      </c>
      <c r="B1451" t="s">
        <v>1081</v>
      </c>
      <c r="C1451" t="s">
        <v>965</v>
      </c>
      <c r="D1451">
        <v>2.38</v>
      </c>
      <c r="E1451">
        <v>24.75</v>
      </c>
      <c r="F1451">
        <v>8.43</v>
      </c>
      <c r="G1451">
        <v>0</v>
      </c>
    </row>
    <row r="1452" spans="1:7">
      <c r="A1452">
        <v>112</v>
      </c>
      <c r="B1452" t="s">
        <v>1081</v>
      </c>
      <c r="C1452" t="s">
        <v>24</v>
      </c>
      <c r="D1452">
        <v>20.83</v>
      </c>
      <c r="E1452">
        <v>20.45</v>
      </c>
      <c r="F1452">
        <v>60.87</v>
      </c>
      <c r="G1452">
        <v>0.02</v>
      </c>
    </row>
    <row r="1453" spans="1:7" hidden="1">
      <c r="A1453">
        <v>112</v>
      </c>
      <c r="B1453" t="s">
        <v>1081</v>
      </c>
      <c r="C1453" t="s">
        <v>966</v>
      </c>
      <c r="D1453">
        <v>0.02</v>
      </c>
      <c r="E1453">
        <v>18.05</v>
      </c>
      <c r="F1453">
        <v>0.04</v>
      </c>
      <c r="G1453">
        <v>0.02</v>
      </c>
    </row>
    <row r="1454" spans="1:7" hidden="1">
      <c r="A1454">
        <v>112</v>
      </c>
      <c r="B1454" t="s">
        <v>1081</v>
      </c>
      <c r="C1454" t="s">
        <v>967</v>
      </c>
      <c r="D1454">
        <v>0.63</v>
      </c>
      <c r="E1454">
        <v>17.91</v>
      </c>
      <c r="F1454">
        <v>1.62</v>
      </c>
      <c r="G1454">
        <v>0</v>
      </c>
    </row>
    <row r="1455" spans="1:7" hidden="1">
      <c r="A1455">
        <v>112</v>
      </c>
      <c r="B1455" t="s">
        <v>1081</v>
      </c>
      <c r="C1455" t="s">
        <v>968</v>
      </c>
      <c r="D1455">
        <v>1.52</v>
      </c>
      <c r="E1455">
        <v>18.09</v>
      </c>
      <c r="F1455">
        <v>3.93</v>
      </c>
      <c r="G1455">
        <v>0</v>
      </c>
    </row>
    <row r="1456" spans="1:7" hidden="1">
      <c r="A1456">
        <v>112</v>
      </c>
      <c r="B1456" t="s">
        <v>1081</v>
      </c>
      <c r="C1456" t="s">
        <v>969</v>
      </c>
      <c r="D1456">
        <v>0.16</v>
      </c>
      <c r="E1456">
        <v>24.75</v>
      </c>
      <c r="F1456">
        <v>0.55000000000000004</v>
      </c>
      <c r="G1456">
        <v>0</v>
      </c>
    </row>
    <row r="1457" spans="1:7" hidden="1">
      <c r="A1457">
        <v>112</v>
      </c>
      <c r="B1457" t="s">
        <v>1081</v>
      </c>
      <c r="C1457" t="s">
        <v>970</v>
      </c>
      <c r="D1457">
        <v>0.4</v>
      </c>
      <c r="E1457">
        <v>24.75</v>
      </c>
      <c r="F1457">
        <v>1.42</v>
      </c>
      <c r="G1457">
        <v>0</v>
      </c>
    </row>
    <row r="1458" spans="1:7" hidden="1">
      <c r="A1458">
        <v>113</v>
      </c>
      <c r="B1458" t="s">
        <v>1082</v>
      </c>
      <c r="C1458" t="s">
        <v>959</v>
      </c>
      <c r="D1458">
        <v>2.17</v>
      </c>
      <c r="E1458">
        <v>18.309999999999999</v>
      </c>
      <c r="F1458">
        <v>5.67</v>
      </c>
      <c r="G1458">
        <v>0</v>
      </c>
    </row>
    <row r="1459" spans="1:7" hidden="1">
      <c r="A1459">
        <v>113</v>
      </c>
      <c r="B1459" t="s">
        <v>1082</v>
      </c>
      <c r="C1459" t="s">
        <v>960</v>
      </c>
      <c r="D1459">
        <v>2.73</v>
      </c>
      <c r="E1459">
        <v>18.399999999999999</v>
      </c>
      <c r="F1459">
        <v>7.18</v>
      </c>
      <c r="G1459">
        <v>0.1</v>
      </c>
    </row>
    <row r="1460" spans="1:7" hidden="1">
      <c r="A1460">
        <v>113</v>
      </c>
      <c r="B1460" t="s">
        <v>1082</v>
      </c>
      <c r="C1460" t="s">
        <v>961</v>
      </c>
      <c r="D1460">
        <v>9.74</v>
      </c>
      <c r="E1460">
        <v>20.059999999999999</v>
      </c>
      <c r="F1460">
        <v>27.89</v>
      </c>
      <c r="G1460">
        <v>0</v>
      </c>
    </row>
    <row r="1461" spans="1:7" hidden="1">
      <c r="A1461">
        <v>113</v>
      </c>
      <c r="B1461" t="s">
        <v>1082</v>
      </c>
      <c r="C1461" t="s">
        <v>962</v>
      </c>
      <c r="D1461">
        <v>2.06</v>
      </c>
      <c r="E1461">
        <v>24.72</v>
      </c>
      <c r="F1461">
        <v>7.27</v>
      </c>
      <c r="G1461">
        <v>0</v>
      </c>
    </row>
    <row r="1462" spans="1:7" hidden="1">
      <c r="A1462">
        <v>113</v>
      </c>
      <c r="B1462" t="s">
        <v>1082</v>
      </c>
      <c r="C1462" t="s">
        <v>963</v>
      </c>
      <c r="D1462">
        <v>3.22</v>
      </c>
      <c r="E1462">
        <v>18.13</v>
      </c>
      <c r="F1462">
        <v>8.33</v>
      </c>
      <c r="G1462">
        <v>0.02</v>
      </c>
    </row>
    <row r="1463" spans="1:7" hidden="1">
      <c r="A1463">
        <v>113</v>
      </c>
      <c r="B1463" t="s">
        <v>1082</v>
      </c>
      <c r="C1463" t="s">
        <v>964</v>
      </c>
      <c r="D1463">
        <v>0.19</v>
      </c>
      <c r="E1463">
        <v>21.87</v>
      </c>
      <c r="F1463">
        <v>0.61</v>
      </c>
      <c r="G1463">
        <v>0</v>
      </c>
    </row>
    <row r="1464" spans="1:7" hidden="1">
      <c r="A1464">
        <v>113</v>
      </c>
      <c r="B1464" t="s">
        <v>1082</v>
      </c>
      <c r="C1464" t="s">
        <v>965</v>
      </c>
      <c r="D1464">
        <v>2.83</v>
      </c>
      <c r="E1464">
        <v>24.75</v>
      </c>
      <c r="F1464">
        <v>9.99</v>
      </c>
      <c r="G1464">
        <v>0.02</v>
      </c>
    </row>
    <row r="1465" spans="1:7">
      <c r="A1465">
        <v>113</v>
      </c>
      <c r="B1465" t="s">
        <v>1082</v>
      </c>
      <c r="C1465" t="s">
        <v>24</v>
      </c>
      <c r="D1465">
        <v>22.93</v>
      </c>
      <c r="E1465">
        <v>20.440000000000001</v>
      </c>
      <c r="F1465">
        <v>66.94</v>
      </c>
      <c r="G1465">
        <v>0.15</v>
      </c>
    </row>
    <row r="1466" spans="1:7" hidden="1">
      <c r="A1466">
        <v>113</v>
      </c>
      <c r="B1466" t="s">
        <v>1082</v>
      </c>
      <c r="C1466" t="s">
        <v>966</v>
      </c>
      <c r="D1466">
        <v>0.12</v>
      </c>
      <c r="E1466">
        <v>18.05</v>
      </c>
      <c r="F1466">
        <v>0.3</v>
      </c>
      <c r="G1466">
        <v>0.12</v>
      </c>
    </row>
    <row r="1467" spans="1:7" hidden="1">
      <c r="A1467">
        <v>113</v>
      </c>
      <c r="B1467" t="s">
        <v>1082</v>
      </c>
      <c r="C1467" t="s">
        <v>967</v>
      </c>
      <c r="D1467">
        <v>1.42</v>
      </c>
      <c r="E1467">
        <v>17.91</v>
      </c>
      <c r="F1467">
        <v>3.62</v>
      </c>
      <c r="G1467">
        <v>0</v>
      </c>
    </row>
    <row r="1468" spans="1:7" hidden="1">
      <c r="A1468">
        <v>113</v>
      </c>
      <c r="B1468" t="s">
        <v>1082</v>
      </c>
      <c r="C1468" t="s">
        <v>968</v>
      </c>
      <c r="D1468">
        <v>3.03</v>
      </c>
      <c r="E1468">
        <v>18.09</v>
      </c>
      <c r="F1468">
        <v>7.84</v>
      </c>
      <c r="G1468">
        <v>0</v>
      </c>
    </row>
    <row r="1469" spans="1:7" hidden="1">
      <c r="A1469">
        <v>113</v>
      </c>
      <c r="B1469" t="s">
        <v>1082</v>
      </c>
      <c r="C1469" t="s">
        <v>969</v>
      </c>
      <c r="D1469">
        <v>0.23</v>
      </c>
      <c r="E1469">
        <v>24.75</v>
      </c>
      <c r="F1469">
        <v>0.83</v>
      </c>
      <c r="G1469">
        <v>0</v>
      </c>
    </row>
    <row r="1470" spans="1:7" hidden="1">
      <c r="A1470">
        <v>113</v>
      </c>
      <c r="B1470" t="s">
        <v>1082</v>
      </c>
      <c r="C1470" t="s">
        <v>970</v>
      </c>
      <c r="D1470">
        <v>0.63</v>
      </c>
      <c r="E1470">
        <v>24.75</v>
      </c>
      <c r="F1470">
        <v>2.23</v>
      </c>
      <c r="G1470">
        <v>0</v>
      </c>
    </row>
    <row r="1471" spans="1:7" hidden="1">
      <c r="A1471">
        <v>114</v>
      </c>
      <c r="B1471" t="s">
        <v>1083</v>
      </c>
      <c r="C1471" t="s">
        <v>959</v>
      </c>
      <c r="D1471">
        <v>1.75</v>
      </c>
      <c r="E1471">
        <v>18.309999999999999</v>
      </c>
      <c r="F1471">
        <v>4.57</v>
      </c>
      <c r="G1471">
        <v>0</v>
      </c>
    </row>
    <row r="1472" spans="1:7" hidden="1">
      <c r="A1472">
        <v>114</v>
      </c>
      <c r="B1472" t="s">
        <v>1083</v>
      </c>
      <c r="C1472" t="s">
        <v>960</v>
      </c>
      <c r="D1472">
        <v>2.71</v>
      </c>
      <c r="E1472">
        <v>18.399999999999999</v>
      </c>
      <c r="F1472">
        <v>7.11</v>
      </c>
      <c r="G1472">
        <v>0</v>
      </c>
    </row>
    <row r="1473" spans="1:7" hidden="1">
      <c r="A1473">
        <v>114</v>
      </c>
      <c r="B1473" t="s">
        <v>1083</v>
      </c>
      <c r="C1473" t="s">
        <v>961</v>
      </c>
      <c r="D1473">
        <v>9.89</v>
      </c>
      <c r="E1473">
        <v>20.059999999999999</v>
      </c>
      <c r="F1473">
        <v>28.33</v>
      </c>
      <c r="G1473">
        <v>0</v>
      </c>
    </row>
    <row r="1474" spans="1:7" hidden="1">
      <c r="A1474">
        <v>114</v>
      </c>
      <c r="B1474" t="s">
        <v>1083</v>
      </c>
      <c r="C1474" t="s">
        <v>962</v>
      </c>
      <c r="D1474">
        <v>1.82</v>
      </c>
      <c r="E1474">
        <v>24.72</v>
      </c>
      <c r="F1474">
        <v>6.44</v>
      </c>
      <c r="G1474">
        <v>0</v>
      </c>
    </row>
    <row r="1475" spans="1:7" hidden="1">
      <c r="A1475">
        <v>114</v>
      </c>
      <c r="B1475" t="s">
        <v>1083</v>
      </c>
      <c r="C1475" t="s">
        <v>963</v>
      </c>
      <c r="D1475">
        <v>2.88</v>
      </c>
      <c r="E1475">
        <v>18.13</v>
      </c>
      <c r="F1475">
        <v>7.47</v>
      </c>
      <c r="G1475">
        <v>0</v>
      </c>
    </row>
    <row r="1476" spans="1:7" hidden="1">
      <c r="A1476">
        <v>114</v>
      </c>
      <c r="B1476" t="s">
        <v>1083</v>
      </c>
      <c r="C1476" t="s">
        <v>964</v>
      </c>
      <c r="D1476">
        <v>0.34</v>
      </c>
      <c r="E1476">
        <v>21.87</v>
      </c>
      <c r="F1476">
        <v>1.05</v>
      </c>
      <c r="G1476">
        <v>0</v>
      </c>
    </row>
    <row r="1477" spans="1:7" hidden="1">
      <c r="A1477">
        <v>114</v>
      </c>
      <c r="B1477" t="s">
        <v>1083</v>
      </c>
      <c r="C1477" t="s">
        <v>965</v>
      </c>
      <c r="D1477">
        <v>2.5099999999999998</v>
      </c>
      <c r="E1477">
        <v>24.75</v>
      </c>
      <c r="F1477">
        <v>8.89</v>
      </c>
      <c r="G1477">
        <v>0</v>
      </c>
    </row>
    <row r="1478" spans="1:7">
      <c r="A1478">
        <v>114</v>
      </c>
      <c r="B1478" t="s">
        <v>1083</v>
      </c>
      <c r="C1478" t="s">
        <v>24</v>
      </c>
      <c r="D1478">
        <v>21.89</v>
      </c>
      <c r="E1478">
        <v>20.41</v>
      </c>
      <c r="F1478">
        <v>63.85</v>
      </c>
      <c r="G1478">
        <v>0</v>
      </c>
    </row>
    <row r="1479" spans="1:7" hidden="1">
      <c r="A1479">
        <v>114</v>
      </c>
      <c r="B1479" t="s">
        <v>1083</v>
      </c>
      <c r="C1479" t="s">
        <v>966</v>
      </c>
      <c r="D1479">
        <v>0.01</v>
      </c>
      <c r="E1479">
        <v>18.05</v>
      </c>
      <c r="F1479">
        <v>0.03</v>
      </c>
      <c r="G1479">
        <v>0.01</v>
      </c>
    </row>
    <row r="1480" spans="1:7" hidden="1">
      <c r="A1480">
        <v>114</v>
      </c>
      <c r="B1480" t="s">
        <v>1083</v>
      </c>
      <c r="C1480" t="s">
        <v>967</v>
      </c>
      <c r="D1480">
        <v>0.51</v>
      </c>
      <c r="E1480">
        <v>17.91</v>
      </c>
      <c r="F1480">
        <v>1.3</v>
      </c>
      <c r="G1480">
        <v>0</v>
      </c>
    </row>
    <row r="1481" spans="1:7" hidden="1">
      <c r="A1481">
        <v>114</v>
      </c>
      <c r="B1481" t="s">
        <v>1083</v>
      </c>
      <c r="C1481" t="s">
        <v>968</v>
      </c>
      <c r="D1481">
        <v>1.96</v>
      </c>
      <c r="E1481">
        <v>18.09</v>
      </c>
      <c r="F1481">
        <v>5.08</v>
      </c>
      <c r="G1481">
        <v>0</v>
      </c>
    </row>
    <row r="1482" spans="1:7" hidden="1">
      <c r="A1482">
        <v>114</v>
      </c>
      <c r="B1482" t="s">
        <v>1083</v>
      </c>
      <c r="C1482" t="s">
        <v>969</v>
      </c>
      <c r="D1482">
        <v>0.13</v>
      </c>
      <c r="E1482">
        <v>24.75</v>
      </c>
      <c r="F1482">
        <v>0.48</v>
      </c>
      <c r="G1482">
        <v>0</v>
      </c>
    </row>
    <row r="1483" spans="1:7" hidden="1">
      <c r="A1483">
        <v>114</v>
      </c>
      <c r="B1483" t="s">
        <v>1083</v>
      </c>
      <c r="C1483" t="s">
        <v>970</v>
      </c>
      <c r="D1483">
        <v>0.47</v>
      </c>
      <c r="E1483">
        <v>24.75</v>
      </c>
      <c r="F1483">
        <v>1.67</v>
      </c>
      <c r="G1483">
        <v>0</v>
      </c>
    </row>
    <row r="1484" spans="1:7" hidden="1">
      <c r="A1484">
        <v>115</v>
      </c>
      <c r="B1484" t="s">
        <v>1084</v>
      </c>
      <c r="C1484" t="s">
        <v>959</v>
      </c>
      <c r="D1484">
        <v>1.54</v>
      </c>
      <c r="E1484">
        <v>18.309999999999999</v>
      </c>
      <c r="F1484">
        <v>4.04</v>
      </c>
      <c r="G1484">
        <v>0</v>
      </c>
    </row>
    <row r="1485" spans="1:7" hidden="1">
      <c r="A1485">
        <v>115</v>
      </c>
      <c r="B1485" t="s">
        <v>1084</v>
      </c>
      <c r="C1485" t="s">
        <v>960</v>
      </c>
      <c r="D1485">
        <v>2.87</v>
      </c>
      <c r="E1485">
        <v>18.399999999999999</v>
      </c>
      <c r="F1485">
        <v>7.55</v>
      </c>
      <c r="G1485">
        <v>0</v>
      </c>
    </row>
    <row r="1486" spans="1:7" hidden="1">
      <c r="A1486">
        <v>115</v>
      </c>
      <c r="B1486" t="s">
        <v>1084</v>
      </c>
      <c r="C1486" t="s">
        <v>961</v>
      </c>
      <c r="D1486">
        <v>7.84</v>
      </c>
      <c r="E1486">
        <v>20.059999999999999</v>
      </c>
      <c r="F1486">
        <v>22.47</v>
      </c>
      <c r="G1486">
        <v>0.01</v>
      </c>
    </row>
    <row r="1487" spans="1:7" hidden="1">
      <c r="A1487">
        <v>115</v>
      </c>
      <c r="B1487" t="s">
        <v>1084</v>
      </c>
      <c r="C1487" t="s">
        <v>962</v>
      </c>
      <c r="D1487">
        <v>2.11</v>
      </c>
      <c r="E1487">
        <v>24.72</v>
      </c>
      <c r="F1487">
        <v>7.45</v>
      </c>
      <c r="G1487">
        <v>0</v>
      </c>
    </row>
    <row r="1488" spans="1:7" hidden="1">
      <c r="A1488">
        <v>115</v>
      </c>
      <c r="B1488" t="s">
        <v>1084</v>
      </c>
      <c r="C1488" t="s">
        <v>963</v>
      </c>
      <c r="D1488">
        <v>2.4</v>
      </c>
      <c r="E1488">
        <v>18.13</v>
      </c>
      <c r="F1488">
        <v>6.23</v>
      </c>
      <c r="G1488">
        <v>0</v>
      </c>
    </row>
    <row r="1489" spans="1:7" hidden="1">
      <c r="A1489">
        <v>115</v>
      </c>
      <c r="B1489" t="s">
        <v>1084</v>
      </c>
      <c r="C1489" t="s">
        <v>964</v>
      </c>
      <c r="D1489">
        <v>0.38</v>
      </c>
      <c r="E1489">
        <v>21.87</v>
      </c>
      <c r="F1489">
        <v>1.18</v>
      </c>
      <c r="G1489">
        <v>0</v>
      </c>
    </row>
    <row r="1490" spans="1:7" hidden="1">
      <c r="A1490">
        <v>115</v>
      </c>
      <c r="B1490" t="s">
        <v>1084</v>
      </c>
      <c r="C1490" t="s">
        <v>965</v>
      </c>
      <c r="D1490">
        <v>2.17</v>
      </c>
      <c r="E1490">
        <v>24.75</v>
      </c>
      <c r="F1490">
        <v>7.69</v>
      </c>
      <c r="G1490">
        <v>0</v>
      </c>
    </row>
    <row r="1491" spans="1:7">
      <c r="A1491">
        <v>115</v>
      </c>
      <c r="B1491" t="s">
        <v>1084</v>
      </c>
      <c r="C1491" t="s">
        <v>24</v>
      </c>
      <c r="D1491">
        <v>19.32</v>
      </c>
      <c r="E1491">
        <v>20.5</v>
      </c>
      <c r="F1491">
        <v>56.6</v>
      </c>
      <c r="G1491">
        <v>0.01</v>
      </c>
    </row>
    <row r="1492" spans="1:7" hidden="1">
      <c r="A1492">
        <v>115</v>
      </c>
      <c r="B1492" t="s">
        <v>1084</v>
      </c>
      <c r="C1492" t="s">
        <v>966</v>
      </c>
      <c r="D1492">
        <v>0.01</v>
      </c>
      <c r="E1492">
        <v>18.05</v>
      </c>
      <c r="F1492">
        <v>0.02</v>
      </c>
      <c r="G1492">
        <v>0.01</v>
      </c>
    </row>
    <row r="1493" spans="1:7" hidden="1">
      <c r="A1493">
        <v>115</v>
      </c>
      <c r="B1493" t="s">
        <v>1084</v>
      </c>
      <c r="C1493" t="s">
        <v>967</v>
      </c>
      <c r="D1493">
        <v>0.68</v>
      </c>
      <c r="E1493">
        <v>17.91</v>
      </c>
      <c r="F1493">
        <v>1.73</v>
      </c>
      <c r="G1493">
        <v>0</v>
      </c>
    </row>
    <row r="1494" spans="1:7" hidden="1">
      <c r="A1494">
        <v>115</v>
      </c>
      <c r="B1494" t="s">
        <v>1084</v>
      </c>
      <c r="C1494" t="s">
        <v>968</v>
      </c>
      <c r="D1494">
        <v>0.8</v>
      </c>
      <c r="E1494">
        <v>18.09</v>
      </c>
      <c r="F1494">
        <v>2.0699999999999998</v>
      </c>
      <c r="G1494">
        <v>0</v>
      </c>
    </row>
    <row r="1495" spans="1:7" hidden="1">
      <c r="A1495">
        <v>115</v>
      </c>
      <c r="B1495" t="s">
        <v>1084</v>
      </c>
      <c r="C1495" t="s">
        <v>969</v>
      </c>
      <c r="D1495">
        <v>0.17</v>
      </c>
      <c r="E1495">
        <v>24.75</v>
      </c>
      <c r="F1495">
        <v>0.61</v>
      </c>
      <c r="G1495">
        <v>0</v>
      </c>
    </row>
    <row r="1496" spans="1:7" hidden="1">
      <c r="A1496">
        <v>115</v>
      </c>
      <c r="B1496" t="s">
        <v>1084</v>
      </c>
      <c r="C1496" t="s">
        <v>970</v>
      </c>
      <c r="D1496">
        <v>0.28999999999999998</v>
      </c>
      <c r="E1496">
        <v>24.75</v>
      </c>
      <c r="F1496">
        <v>1.03</v>
      </c>
      <c r="G1496">
        <v>0</v>
      </c>
    </row>
    <row r="1497" spans="1:7" hidden="1">
      <c r="A1497">
        <v>116</v>
      </c>
      <c r="B1497" t="s">
        <v>1085</v>
      </c>
      <c r="C1497" t="s">
        <v>959</v>
      </c>
      <c r="D1497">
        <v>4.8499999999999996</v>
      </c>
      <c r="E1497">
        <v>18.309999999999999</v>
      </c>
      <c r="F1497">
        <v>12.69</v>
      </c>
      <c r="G1497">
        <v>3.87</v>
      </c>
    </row>
    <row r="1498" spans="1:7" hidden="1">
      <c r="A1498">
        <v>116</v>
      </c>
      <c r="B1498" t="s">
        <v>1085</v>
      </c>
      <c r="C1498" t="s">
        <v>960</v>
      </c>
      <c r="D1498">
        <v>5.84</v>
      </c>
      <c r="E1498">
        <v>18.399999999999999</v>
      </c>
      <c r="F1498">
        <v>15.34</v>
      </c>
      <c r="G1498">
        <v>4.7300000000000004</v>
      </c>
    </row>
    <row r="1499" spans="1:7" hidden="1">
      <c r="A1499">
        <v>116</v>
      </c>
      <c r="B1499" t="s">
        <v>1085</v>
      </c>
      <c r="C1499" t="s">
        <v>961</v>
      </c>
      <c r="D1499">
        <v>1.02</v>
      </c>
      <c r="E1499">
        <v>20.059999999999999</v>
      </c>
      <c r="F1499">
        <v>2.93</v>
      </c>
      <c r="G1499">
        <v>0.79</v>
      </c>
    </row>
    <row r="1500" spans="1:7" hidden="1">
      <c r="A1500">
        <v>116</v>
      </c>
      <c r="B1500" t="s">
        <v>1085</v>
      </c>
      <c r="C1500" t="s">
        <v>962</v>
      </c>
      <c r="D1500">
        <v>1.06</v>
      </c>
      <c r="E1500">
        <v>24.72</v>
      </c>
      <c r="F1500">
        <v>3.74</v>
      </c>
      <c r="G1500">
        <v>0.71</v>
      </c>
    </row>
    <row r="1501" spans="1:7" hidden="1">
      <c r="A1501">
        <v>116</v>
      </c>
      <c r="B1501" t="s">
        <v>1085</v>
      </c>
      <c r="C1501" t="s">
        <v>963</v>
      </c>
      <c r="D1501">
        <v>2.72</v>
      </c>
      <c r="E1501">
        <v>18.13</v>
      </c>
      <c r="F1501">
        <v>7.05</v>
      </c>
      <c r="G1501">
        <v>1.86</v>
      </c>
    </row>
    <row r="1502" spans="1:7" hidden="1">
      <c r="A1502">
        <v>116</v>
      </c>
      <c r="B1502" t="s">
        <v>1085</v>
      </c>
      <c r="C1502" t="s">
        <v>964</v>
      </c>
      <c r="D1502">
        <v>0.11</v>
      </c>
      <c r="E1502">
        <v>21.87</v>
      </c>
      <c r="F1502">
        <v>0.35</v>
      </c>
      <c r="G1502">
        <v>0.09</v>
      </c>
    </row>
    <row r="1503" spans="1:7" hidden="1">
      <c r="A1503">
        <v>116</v>
      </c>
      <c r="B1503" t="s">
        <v>1085</v>
      </c>
      <c r="C1503" t="s">
        <v>965</v>
      </c>
      <c r="D1503">
        <v>1.9</v>
      </c>
      <c r="E1503">
        <v>24.75</v>
      </c>
      <c r="F1503">
        <v>6.74</v>
      </c>
      <c r="G1503">
        <v>1.24</v>
      </c>
    </row>
    <row r="1504" spans="1:7">
      <c r="A1504">
        <v>116</v>
      </c>
      <c r="B1504" t="s">
        <v>1085</v>
      </c>
      <c r="C1504" t="s">
        <v>24</v>
      </c>
      <c r="D1504">
        <v>17.510000000000002</v>
      </c>
      <c r="E1504">
        <v>19.53</v>
      </c>
      <c r="F1504">
        <v>48.83</v>
      </c>
      <c r="G1504">
        <v>13.3</v>
      </c>
    </row>
    <row r="1505" spans="1:7" hidden="1">
      <c r="A1505">
        <v>116</v>
      </c>
      <c r="B1505" t="s">
        <v>1085</v>
      </c>
      <c r="C1505" t="s">
        <v>966</v>
      </c>
      <c r="D1505">
        <v>20.39</v>
      </c>
      <c r="E1505">
        <v>18.05</v>
      </c>
      <c r="F1505">
        <v>52.58</v>
      </c>
      <c r="G1505">
        <v>19.89</v>
      </c>
    </row>
    <row r="1506" spans="1:7" hidden="1">
      <c r="A1506">
        <v>116</v>
      </c>
      <c r="B1506" t="s">
        <v>1085</v>
      </c>
      <c r="C1506" t="s">
        <v>967</v>
      </c>
      <c r="D1506">
        <v>0.13</v>
      </c>
      <c r="E1506">
        <v>17.91</v>
      </c>
      <c r="F1506">
        <v>0.34</v>
      </c>
      <c r="G1506">
        <v>0.08</v>
      </c>
    </row>
    <row r="1507" spans="1:7" hidden="1">
      <c r="A1507">
        <v>116</v>
      </c>
      <c r="B1507" t="s">
        <v>1085</v>
      </c>
      <c r="C1507" t="s">
        <v>968</v>
      </c>
      <c r="D1507">
        <v>0.32</v>
      </c>
      <c r="E1507">
        <v>18.09</v>
      </c>
      <c r="F1507">
        <v>0.84</v>
      </c>
      <c r="G1507">
        <v>0.17</v>
      </c>
    </row>
    <row r="1508" spans="1:7" hidden="1">
      <c r="A1508">
        <v>116</v>
      </c>
      <c r="B1508" t="s">
        <v>1085</v>
      </c>
      <c r="C1508" t="s">
        <v>969</v>
      </c>
      <c r="D1508">
        <v>1.83</v>
      </c>
      <c r="E1508">
        <v>24.75</v>
      </c>
      <c r="F1508">
        <v>6.48</v>
      </c>
      <c r="G1508">
        <v>0.08</v>
      </c>
    </row>
    <row r="1509" spans="1:7" hidden="1">
      <c r="A1509">
        <v>116</v>
      </c>
      <c r="B1509" t="s">
        <v>1085</v>
      </c>
      <c r="C1509" t="s">
        <v>970</v>
      </c>
      <c r="D1509">
        <v>0.19</v>
      </c>
      <c r="E1509">
        <v>24.75</v>
      </c>
      <c r="F1509">
        <v>0.69</v>
      </c>
      <c r="G1509">
        <v>0.12</v>
      </c>
    </row>
    <row r="1510" spans="1:7" hidden="1">
      <c r="A1510">
        <v>117</v>
      </c>
      <c r="B1510" t="s">
        <v>1086</v>
      </c>
      <c r="C1510" t="s">
        <v>959</v>
      </c>
      <c r="D1510">
        <v>5.87</v>
      </c>
      <c r="E1510">
        <v>18.309999999999999</v>
      </c>
      <c r="F1510">
        <v>15.36</v>
      </c>
      <c r="G1510">
        <v>4.38</v>
      </c>
    </row>
    <row r="1511" spans="1:7" hidden="1">
      <c r="A1511">
        <v>117</v>
      </c>
      <c r="B1511" t="s">
        <v>1086</v>
      </c>
      <c r="C1511" t="s">
        <v>960</v>
      </c>
      <c r="D1511">
        <v>5.9</v>
      </c>
      <c r="E1511">
        <v>18.399999999999999</v>
      </c>
      <c r="F1511">
        <v>15.51</v>
      </c>
      <c r="G1511">
        <v>4.6500000000000004</v>
      </c>
    </row>
    <row r="1512" spans="1:7" hidden="1">
      <c r="A1512">
        <v>117</v>
      </c>
      <c r="B1512" t="s">
        <v>1086</v>
      </c>
      <c r="C1512" t="s">
        <v>961</v>
      </c>
      <c r="D1512">
        <v>1.3</v>
      </c>
      <c r="E1512">
        <v>20.059999999999999</v>
      </c>
      <c r="F1512">
        <v>3.73</v>
      </c>
      <c r="G1512">
        <v>0.95</v>
      </c>
    </row>
    <row r="1513" spans="1:7" hidden="1">
      <c r="A1513">
        <v>117</v>
      </c>
      <c r="B1513" t="s">
        <v>1086</v>
      </c>
      <c r="C1513" t="s">
        <v>962</v>
      </c>
      <c r="D1513">
        <v>0.98</v>
      </c>
      <c r="E1513">
        <v>24.72</v>
      </c>
      <c r="F1513">
        <v>3.45</v>
      </c>
      <c r="G1513">
        <v>0.63</v>
      </c>
    </row>
    <row r="1514" spans="1:7" hidden="1">
      <c r="A1514">
        <v>117</v>
      </c>
      <c r="B1514" t="s">
        <v>1086</v>
      </c>
      <c r="C1514" t="s">
        <v>963</v>
      </c>
      <c r="D1514">
        <v>2.79</v>
      </c>
      <c r="E1514">
        <v>18.13</v>
      </c>
      <c r="F1514">
        <v>7.24</v>
      </c>
      <c r="G1514">
        <v>1.73</v>
      </c>
    </row>
    <row r="1515" spans="1:7" hidden="1">
      <c r="A1515">
        <v>117</v>
      </c>
      <c r="B1515" t="s">
        <v>1086</v>
      </c>
      <c r="C1515" t="s">
        <v>964</v>
      </c>
      <c r="D1515">
        <v>0.08</v>
      </c>
      <c r="E1515">
        <v>21.87</v>
      </c>
      <c r="F1515">
        <v>0.25</v>
      </c>
      <c r="G1515">
        <v>0.05</v>
      </c>
    </row>
    <row r="1516" spans="1:7" hidden="1">
      <c r="A1516">
        <v>117</v>
      </c>
      <c r="B1516" t="s">
        <v>1086</v>
      </c>
      <c r="C1516" t="s">
        <v>965</v>
      </c>
      <c r="D1516">
        <v>1.91</v>
      </c>
      <c r="E1516">
        <v>24.75</v>
      </c>
      <c r="F1516">
        <v>6.75</v>
      </c>
      <c r="G1516">
        <v>1.08</v>
      </c>
    </row>
    <row r="1517" spans="1:7">
      <c r="A1517">
        <v>117</v>
      </c>
      <c r="B1517" t="s">
        <v>1086</v>
      </c>
      <c r="C1517" t="s">
        <v>24</v>
      </c>
      <c r="D1517">
        <v>18.829999999999998</v>
      </c>
      <c r="E1517">
        <v>19.43</v>
      </c>
      <c r="F1517">
        <v>52.29</v>
      </c>
      <c r="G1517">
        <v>13.47</v>
      </c>
    </row>
    <row r="1518" spans="1:7" hidden="1">
      <c r="A1518">
        <v>117</v>
      </c>
      <c r="B1518" t="s">
        <v>1086</v>
      </c>
      <c r="C1518" t="s">
        <v>966</v>
      </c>
      <c r="D1518">
        <v>11.13</v>
      </c>
      <c r="E1518">
        <v>18.05</v>
      </c>
      <c r="F1518">
        <v>28.71</v>
      </c>
      <c r="G1518">
        <v>10.71</v>
      </c>
    </row>
    <row r="1519" spans="1:7" hidden="1">
      <c r="A1519">
        <v>117</v>
      </c>
      <c r="B1519" t="s">
        <v>1086</v>
      </c>
      <c r="C1519" t="s">
        <v>967</v>
      </c>
      <c r="D1519">
        <v>0.13</v>
      </c>
      <c r="E1519">
        <v>17.91</v>
      </c>
      <c r="F1519">
        <v>0.33</v>
      </c>
      <c r="G1519">
        <v>0.08</v>
      </c>
    </row>
    <row r="1520" spans="1:7" hidden="1">
      <c r="A1520">
        <v>117</v>
      </c>
      <c r="B1520" t="s">
        <v>1086</v>
      </c>
      <c r="C1520" t="s">
        <v>968</v>
      </c>
      <c r="D1520">
        <v>0.4</v>
      </c>
      <c r="E1520">
        <v>18.09</v>
      </c>
      <c r="F1520">
        <v>1.03</v>
      </c>
      <c r="G1520">
        <v>0.25</v>
      </c>
    </row>
    <row r="1521" spans="1:7" hidden="1">
      <c r="A1521">
        <v>117</v>
      </c>
      <c r="B1521" t="s">
        <v>1086</v>
      </c>
      <c r="C1521" t="s">
        <v>969</v>
      </c>
      <c r="D1521">
        <v>2.06</v>
      </c>
      <c r="E1521">
        <v>24.75</v>
      </c>
      <c r="F1521">
        <v>7.29</v>
      </c>
      <c r="G1521">
        <v>0.06</v>
      </c>
    </row>
    <row r="1522" spans="1:7" hidden="1">
      <c r="A1522">
        <v>117</v>
      </c>
      <c r="B1522" t="s">
        <v>1086</v>
      </c>
      <c r="C1522" t="s">
        <v>970</v>
      </c>
      <c r="D1522">
        <v>0.3</v>
      </c>
      <c r="E1522">
        <v>24.75</v>
      </c>
      <c r="F1522">
        <v>1.06</v>
      </c>
      <c r="G1522">
        <v>0.12</v>
      </c>
    </row>
    <row r="1523" spans="1:7" hidden="1">
      <c r="A1523">
        <v>118</v>
      </c>
      <c r="B1523" t="s">
        <v>1087</v>
      </c>
      <c r="C1523" t="s">
        <v>959</v>
      </c>
      <c r="D1523">
        <v>5.92</v>
      </c>
      <c r="E1523">
        <v>18.309999999999999</v>
      </c>
      <c r="F1523">
        <v>15.5</v>
      </c>
      <c r="G1523">
        <v>3.66</v>
      </c>
    </row>
    <row r="1524" spans="1:7" hidden="1">
      <c r="A1524">
        <v>118</v>
      </c>
      <c r="B1524" t="s">
        <v>1087</v>
      </c>
      <c r="C1524" t="s">
        <v>960</v>
      </c>
      <c r="D1524">
        <v>5.99</v>
      </c>
      <c r="E1524">
        <v>18.399999999999999</v>
      </c>
      <c r="F1524">
        <v>15.75</v>
      </c>
      <c r="G1524">
        <v>4.32</v>
      </c>
    </row>
    <row r="1525" spans="1:7" hidden="1">
      <c r="A1525">
        <v>118</v>
      </c>
      <c r="B1525" t="s">
        <v>1087</v>
      </c>
      <c r="C1525" t="s">
        <v>961</v>
      </c>
      <c r="D1525">
        <v>1.58</v>
      </c>
      <c r="E1525">
        <v>20.059999999999999</v>
      </c>
      <c r="F1525">
        <v>4.5199999999999996</v>
      </c>
      <c r="G1525">
        <v>1</v>
      </c>
    </row>
    <row r="1526" spans="1:7" hidden="1">
      <c r="A1526">
        <v>118</v>
      </c>
      <c r="B1526" t="s">
        <v>1087</v>
      </c>
      <c r="C1526" t="s">
        <v>962</v>
      </c>
      <c r="D1526">
        <v>1.07</v>
      </c>
      <c r="E1526">
        <v>24.72</v>
      </c>
      <c r="F1526">
        <v>3.78</v>
      </c>
      <c r="G1526">
        <v>0.61</v>
      </c>
    </row>
    <row r="1527" spans="1:7" hidden="1">
      <c r="A1527">
        <v>118</v>
      </c>
      <c r="B1527" t="s">
        <v>1087</v>
      </c>
      <c r="C1527" t="s">
        <v>963</v>
      </c>
      <c r="D1527">
        <v>3.16</v>
      </c>
      <c r="E1527">
        <v>18.13</v>
      </c>
      <c r="F1527">
        <v>8.19</v>
      </c>
      <c r="G1527">
        <v>1.56</v>
      </c>
    </row>
    <row r="1528" spans="1:7" hidden="1">
      <c r="A1528">
        <v>118</v>
      </c>
      <c r="B1528" t="s">
        <v>1087</v>
      </c>
      <c r="C1528" t="s">
        <v>964</v>
      </c>
      <c r="D1528">
        <v>0.1</v>
      </c>
      <c r="E1528">
        <v>21.87</v>
      </c>
      <c r="F1528">
        <v>0.33</v>
      </c>
      <c r="G1528">
        <v>0.02</v>
      </c>
    </row>
    <row r="1529" spans="1:7" hidden="1">
      <c r="A1529">
        <v>118</v>
      </c>
      <c r="B1529" t="s">
        <v>1087</v>
      </c>
      <c r="C1529" t="s">
        <v>965</v>
      </c>
      <c r="D1529">
        <v>2.17</v>
      </c>
      <c r="E1529">
        <v>24.75</v>
      </c>
      <c r="F1529">
        <v>7.66</v>
      </c>
      <c r="G1529">
        <v>0.98</v>
      </c>
    </row>
    <row r="1530" spans="1:7">
      <c r="A1530">
        <v>118</v>
      </c>
      <c r="B1530" t="s">
        <v>1087</v>
      </c>
      <c r="C1530" t="s">
        <v>24</v>
      </c>
      <c r="D1530">
        <v>20</v>
      </c>
      <c r="E1530">
        <v>19.510000000000002</v>
      </c>
      <c r="F1530">
        <v>55.72</v>
      </c>
      <c r="G1530">
        <v>12.15</v>
      </c>
    </row>
    <row r="1531" spans="1:7" hidden="1">
      <c r="A1531">
        <v>118</v>
      </c>
      <c r="B1531" t="s">
        <v>1087</v>
      </c>
      <c r="C1531" t="s">
        <v>966</v>
      </c>
      <c r="D1531">
        <v>6.88</v>
      </c>
      <c r="E1531">
        <v>18.05</v>
      </c>
      <c r="F1531">
        <v>17.73</v>
      </c>
      <c r="G1531">
        <v>6.41</v>
      </c>
    </row>
    <row r="1532" spans="1:7" hidden="1">
      <c r="A1532">
        <v>118</v>
      </c>
      <c r="B1532" t="s">
        <v>1087</v>
      </c>
      <c r="C1532" t="s">
        <v>967</v>
      </c>
      <c r="D1532">
        <v>0.16</v>
      </c>
      <c r="E1532">
        <v>17.91</v>
      </c>
      <c r="F1532">
        <v>0.42</v>
      </c>
      <c r="G1532">
        <v>0.1</v>
      </c>
    </row>
    <row r="1533" spans="1:7" hidden="1">
      <c r="A1533">
        <v>118</v>
      </c>
      <c r="B1533" t="s">
        <v>1087</v>
      </c>
      <c r="C1533" t="s">
        <v>968</v>
      </c>
      <c r="D1533">
        <v>0.47</v>
      </c>
      <c r="E1533">
        <v>18.09</v>
      </c>
      <c r="F1533">
        <v>1.21</v>
      </c>
      <c r="G1533">
        <v>0.19</v>
      </c>
    </row>
    <row r="1534" spans="1:7" hidden="1">
      <c r="A1534">
        <v>118</v>
      </c>
      <c r="B1534" t="s">
        <v>1087</v>
      </c>
      <c r="C1534" t="s">
        <v>969</v>
      </c>
      <c r="D1534">
        <v>1.78</v>
      </c>
      <c r="E1534">
        <v>24.75</v>
      </c>
      <c r="F1534">
        <v>6.28</v>
      </c>
      <c r="G1534">
        <v>0.05</v>
      </c>
    </row>
    <row r="1535" spans="1:7" hidden="1">
      <c r="A1535">
        <v>118</v>
      </c>
      <c r="B1535" t="s">
        <v>1087</v>
      </c>
      <c r="C1535" t="s">
        <v>970</v>
      </c>
      <c r="D1535">
        <v>0.28999999999999998</v>
      </c>
      <c r="E1535">
        <v>24.75</v>
      </c>
      <c r="F1535">
        <v>1.04</v>
      </c>
      <c r="G1535">
        <v>0.13</v>
      </c>
    </row>
    <row r="1536" spans="1:7" hidden="1">
      <c r="A1536">
        <v>119</v>
      </c>
      <c r="B1536" t="s">
        <v>1088</v>
      </c>
      <c r="C1536" t="s">
        <v>959</v>
      </c>
      <c r="D1536">
        <v>5.59</v>
      </c>
      <c r="E1536">
        <v>18.309999999999999</v>
      </c>
      <c r="F1536">
        <v>14.63</v>
      </c>
      <c r="G1536">
        <v>0</v>
      </c>
    </row>
    <row r="1537" spans="1:7" hidden="1">
      <c r="A1537">
        <v>119</v>
      </c>
      <c r="B1537" t="s">
        <v>1088</v>
      </c>
      <c r="C1537" t="s">
        <v>960</v>
      </c>
      <c r="D1537">
        <v>5.99</v>
      </c>
      <c r="E1537">
        <v>18.399999999999999</v>
      </c>
      <c r="F1537">
        <v>15.74</v>
      </c>
      <c r="G1537">
        <v>0</v>
      </c>
    </row>
    <row r="1538" spans="1:7" hidden="1">
      <c r="A1538">
        <v>119</v>
      </c>
      <c r="B1538" t="s">
        <v>1088</v>
      </c>
      <c r="C1538" t="s">
        <v>961</v>
      </c>
      <c r="D1538">
        <v>2.12</v>
      </c>
      <c r="E1538">
        <v>20.059999999999999</v>
      </c>
      <c r="F1538">
        <v>6.06</v>
      </c>
      <c r="G1538">
        <v>0</v>
      </c>
    </row>
    <row r="1539" spans="1:7" hidden="1">
      <c r="A1539">
        <v>119</v>
      </c>
      <c r="B1539" t="s">
        <v>1088</v>
      </c>
      <c r="C1539" t="s">
        <v>962</v>
      </c>
      <c r="D1539">
        <v>1.1499999999999999</v>
      </c>
      <c r="E1539">
        <v>24.72</v>
      </c>
      <c r="F1539">
        <v>4.08</v>
      </c>
      <c r="G1539">
        <v>0</v>
      </c>
    </row>
    <row r="1540" spans="1:7" hidden="1">
      <c r="A1540">
        <v>119</v>
      </c>
      <c r="B1540" t="s">
        <v>1088</v>
      </c>
      <c r="C1540" t="s">
        <v>963</v>
      </c>
      <c r="D1540">
        <v>3.24</v>
      </c>
      <c r="E1540">
        <v>18.13</v>
      </c>
      <c r="F1540">
        <v>8.4</v>
      </c>
      <c r="G1540">
        <v>0</v>
      </c>
    </row>
    <row r="1541" spans="1:7" hidden="1">
      <c r="A1541">
        <v>119</v>
      </c>
      <c r="B1541" t="s">
        <v>1088</v>
      </c>
      <c r="C1541" t="s">
        <v>964</v>
      </c>
      <c r="D1541">
        <v>0.08</v>
      </c>
      <c r="E1541">
        <v>21.87</v>
      </c>
      <c r="F1541">
        <v>0.25</v>
      </c>
      <c r="G1541">
        <v>0</v>
      </c>
    </row>
    <row r="1542" spans="1:7" hidden="1">
      <c r="A1542">
        <v>119</v>
      </c>
      <c r="B1542" t="s">
        <v>1088</v>
      </c>
      <c r="C1542" t="s">
        <v>965</v>
      </c>
      <c r="D1542">
        <v>2.5099999999999998</v>
      </c>
      <c r="E1542">
        <v>24.75</v>
      </c>
      <c r="F1542">
        <v>8.8800000000000008</v>
      </c>
      <c r="G1542">
        <v>0</v>
      </c>
    </row>
    <row r="1543" spans="1:7">
      <c r="A1543">
        <v>119</v>
      </c>
      <c r="B1543" t="s">
        <v>1088</v>
      </c>
      <c r="C1543" t="s">
        <v>24</v>
      </c>
      <c r="D1543">
        <v>20.69</v>
      </c>
      <c r="E1543">
        <v>19.64</v>
      </c>
      <c r="F1543">
        <v>58.04</v>
      </c>
      <c r="G1543">
        <v>0.01</v>
      </c>
    </row>
    <row r="1544" spans="1:7" hidden="1">
      <c r="A1544">
        <v>119</v>
      </c>
      <c r="B1544" t="s">
        <v>1088</v>
      </c>
      <c r="C1544" t="s">
        <v>966</v>
      </c>
      <c r="D1544">
        <v>2.4500000000000002</v>
      </c>
      <c r="E1544">
        <v>18.05</v>
      </c>
      <c r="F1544">
        <v>6.32</v>
      </c>
      <c r="G1544">
        <v>2.1800000000000002</v>
      </c>
    </row>
    <row r="1545" spans="1:7" hidden="1">
      <c r="A1545">
        <v>119</v>
      </c>
      <c r="B1545" t="s">
        <v>1088</v>
      </c>
      <c r="C1545" t="s">
        <v>967</v>
      </c>
      <c r="D1545">
        <v>0.26</v>
      </c>
      <c r="E1545">
        <v>17.91</v>
      </c>
      <c r="F1545">
        <v>0.67</v>
      </c>
      <c r="G1545">
        <v>0</v>
      </c>
    </row>
    <row r="1546" spans="1:7" hidden="1">
      <c r="A1546">
        <v>119</v>
      </c>
      <c r="B1546" t="s">
        <v>1088</v>
      </c>
      <c r="C1546" t="s">
        <v>968</v>
      </c>
      <c r="D1546">
        <v>0.75</v>
      </c>
      <c r="E1546">
        <v>18.09</v>
      </c>
      <c r="F1546">
        <v>1.94</v>
      </c>
      <c r="G1546">
        <v>0</v>
      </c>
    </row>
    <row r="1547" spans="1:7" hidden="1">
      <c r="A1547">
        <v>119</v>
      </c>
      <c r="B1547" t="s">
        <v>1088</v>
      </c>
      <c r="C1547" t="s">
        <v>969</v>
      </c>
      <c r="D1547">
        <v>1.18</v>
      </c>
      <c r="E1547">
        <v>24.75</v>
      </c>
      <c r="F1547">
        <v>4.17</v>
      </c>
      <c r="G1547">
        <v>0</v>
      </c>
    </row>
    <row r="1548" spans="1:7" hidden="1">
      <c r="A1548">
        <v>119</v>
      </c>
      <c r="B1548" t="s">
        <v>1088</v>
      </c>
      <c r="C1548" t="s">
        <v>970</v>
      </c>
      <c r="D1548">
        <v>0.33</v>
      </c>
      <c r="E1548">
        <v>24.75</v>
      </c>
      <c r="F1548">
        <v>1.1599999999999999</v>
      </c>
      <c r="G1548">
        <v>0</v>
      </c>
    </row>
    <row r="1549" spans="1:7" hidden="1">
      <c r="A1549">
        <v>120</v>
      </c>
      <c r="B1549" t="s">
        <v>1089</v>
      </c>
      <c r="C1549" t="s">
        <v>959</v>
      </c>
      <c r="D1549">
        <v>4.92</v>
      </c>
      <c r="E1549">
        <v>18.309999999999999</v>
      </c>
      <c r="F1549">
        <v>12.86</v>
      </c>
      <c r="G1549">
        <v>0</v>
      </c>
    </row>
    <row r="1550" spans="1:7" hidden="1">
      <c r="A1550">
        <v>120</v>
      </c>
      <c r="B1550" t="s">
        <v>1089</v>
      </c>
      <c r="C1550" t="s">
        <v>960</v>
      </c>
      <c r="D1550">
        <v>4.59</v>
      </c>
      <c r="E1550">
        <v>18.399999999999999</v>
      </c>
      <c r="F1550">
        <v>12.05</v>
      </c>
      <c r="G1550">
        <v>0</v>
      </c>
    </row>
    <row r="1551" spans="1:7" hidden="1">
      <c r="A1551">
        <v>120</v>
      </c>
      <c r="B1551" t="s">
        <v>1089</v>
      </c>
      <c r="C1551" t="s">
        <v>961</v>
      </c>
      <c r="D1551">
        <v>2.86</v>
      </c>
      <c r="E1551">
        <v>20.059999999999999</v>
      </c>
      <c r="F1551">
        <v>8.1999999999999993</v>
      </c>
      <c r="G1551">
        <v>0</v>
      </c>
    </row>
    <row r="1552" spans="1:7" hidden="1">
      <c r="A1552">
        <v>120</v>
      </c>
      <c r="B1552" t="s">
        <v>1089</v>
      </c>
      <c r="C1552" t="s">
        <v>962</v>
      </c>
      <c r="D1552">
        <v>1.23</v>
      </c>
      <c r="E1552">
        <v>24.72</v>
      </c>
      <c r="F1552">
        <v>4.34</v>
      </c>
      <c r="G1552">
        <v>0</v>
      </c>
    </row>
    <row r="1553" spans="1:7" hidden="1">
      <c r="A1553">
        <v>120</v>
      </c>
      <c r="B1553" t="s">
        <v>1089</v>
      </c>
      <c r="C1553" t="s">
        <v>963</v>
      </c>
      <c r="D1553">
        <v>2.99</v>
      </c>
      <c r="E1553">
        <v>18.13</v>
      </c>
      <c r="F1553">
        <v>7.74</v>
      </c>
      <c r="G1553">
        <v>0</v>
      </c>
    </row>
    <row r="1554" spans="1:7" hidden="1">
      <c r="A1554">
        <v>120</v>
      </c>
      <c r="B1554" t="s">
        <v>1089</v>
      </c>
      <c r="C1554" t="s">
        <v>964</v>
      </c>
      <c r="D1554">
        <v>0.12</v>
      </c>
      <c r="E1554">
        <v>21.87</v>
      </c>
      <c r="F1554">
        <v>0.38</v>
      </c>
      <c r="G1554">
        <v>0</v>
      </c>
    </row>
    <row r="1555" spans="1:7" hidden="1">
      <c r="A1555">
        <v>120</v>
      </c>
      <c r="B1555" t="s">
        <v>1089</v>
      </c>
      <c r="C1555" t="s">
        <v>965</v>
      </c>
      <c r="D1555">
        <v>2.3199999999999998</v>
      </c>
      <c r="E1555">
        <v>24.75</v>
      </c>
      <c r="F1555">
        <v>8.19</v>
      </c>
      <c r="G1555">
        <v>0</v>
      </c>
    </row>
    <row r="1556" spans="1:7">
      <c r="A1556">
        <v>120</v>
      </c>
      <c r="B1556" t="s">
        <v>1089</v>
      </c>
      <c r="C1556" t="s">
        <v>24</v>
      </c>
      <c r="D1556">
        <v>19.02</v>
      </c>
      <c r="E1556">
        <v>19.79</v>
      </c>
      <c r="F1556">
        <v>53.77</v>
      </c>
      <c r="G1556">
        <v>0.01</v>
      </c>
    </row>
    <row r="1557" spans="1:7" hidden="1">
      <c r="A1557">
        <v>120</v>
      </c>
      <c r="B1557" t="s">
        <v>1089</v>
      </c>
      <c r="C1557" t="s">
        <v>966</v>
      </c>
      <c r="D1557">
        <v>0.01</v>
      </c>
      <c r="E1557">
        <v>18.05</v>
      </c>
      <c r="F1557">
        <v>0.02</v>
      </c>
      <c r="G1557">
        <v>0.01</v>
      </c>
    </row>
    <row r="1558" spans="1:7" hidden="1">
      <c r="A1558">
        <v>120</v>
      </c>
      <c r="B1558" t="s">
        <v>1089</v>
      </c>
      <c r="C1558" t="s">
        <v>967</v>
      </c>
      <c r="D1558">
        <v>0.28999999999999998</v>
      </c>
      <c r="E1558">
        <v>17.91</v>
      </c>
      <c r="F1558">
        <v>0.74</v>
      </c>
      <c r="G1558">
        <v>0</v>
      </c>
    </row>
    <row r="1559" spans="1:7" hidden="1">
      <c r="A1559">
        <v>120</v>
      </c>
      <c r="B1559" t="s">
        <v>1089</v>
      </c>
      <c r="C1559" t="s">
        <v>968</v>
      </c>
      <c r="D1559">
        <v>1.1399999999999999</v>
      </c>
      <c r="E1559">
        <v>18.09</v>
      </c>
      <c r="F1559">
        <v>2.94</v>
      </c>
      <c r="G1559">
        <v>0</v>
      </c>
    </row>
    <row r="1560" spans="1:7" hidden="1">
      <c r="A1560">
        <v>120</v>
      </c>
      <c r="B1560" t="s">
        <v>1089</v>
      </c>
      <c r="C1560" t="s">
        <v>969</v>
      </c>
      <c r="D1560">
        <v>0.14000000000000001</v>
      </c>
      <c r="E1560">
        <v>24.75</v>
      </c>
      <c r="F1560">
        <v>0.51</v>
      </c>
      <c r="G1560">
        <v>0</v>
      </c>
    </row>
    <row r="1561" spans="1:7" hidden="1">
      <c r="A1561">
        <v>120</v>
      </c>
      <c r="B1561" t="s">
        <v>1089</v>
      </c>
      <c r="C1561" t="s">
        <v>970</v>
      </c>
      <c r="D1561">
        <v>0.45</v>
      </c>
      <c r="E1561">
        <v>24.75</v>
      </c>
      <c r="F1561">
        <v>1.6</v>
      </c>
      <c r="G1561">
        <v>0</v>
      </c>
    </row>
    <row r="1562" spans="1:7" hidden="1">
      <c r="A1562">
        <v>121</v>
      </c>
      <c r="B1562" t="s">
        <v>1090</v>
      </c>
      <c r="C1562" t="s">
        <v>959</v>
      </c>
      <c r="D1562">
        <v>3.94</v>
      </c>
      <c r="E1562">
        <v>18.309999999999999</v>
      </c>
      <c r="F1562">
        <v>10.32</v>
      </c>
      <c r="G1562">
        <v>0</v>
      </c>
    </row>
    <row r="1563" spans="1:7" hidden="1">
      <c r="A1563">
        <v>121</v>
      </c>
      <c r="B1563" t="s">
        <v>1090</v>
      </c>
      <c r="C1563" t="s">
        <v>960</v>
      </c>
      <c r="D1563">
        <v>3.72</v>
      </c>
      <c r="E1563">
        <v>18.399999999999999</v>
      </c>
      <c r="F1563">
        <v>9.77</v>
      </c>
      <c r="G1563">
        <v>0.01</v>
      </c>
    </row>
    <row r="1564" spans="1:7" hidden="1">
      <c r="A1564">
        <v>121</v>
      </c>
      <c r="B1564" t="s">
        <v>1090</v>
      </c>
      <c r="C1564" t="s">
        <v>961</v>
      </c>
      <c r="D1564">
        <v>2.63</v>
      </c>
      <c r="E1564">
        <v>20.059999999999999</v>
      </c>
      <c r="F1564">
        <v>7.55</v>
      </c>
      <c r="G1564">
        <v>0</v>
      </c>
    </row>
    <row r="1565" spans="1:7" hidden="1">
      <c r="A1565">
        <v>121</v>
      </c>
      <c r="B1565" t="s">
        <v>1090</v>
      </c>
      <c r="C1565" t="s">
        <v>962</v>
      </c>
      <c r="D1565">
        <v>1.1200000000000001</v>
      </c>
      <c r="E1565">
        <v>24.72</v>
      </c>
      <c r="F1565">
        <v>3.96</v>
      </c>
      <c r="G1565">
        <v>0</v>
      </c>
    </row>
    <row r="1566" spans="1:7" hidden="1">
      <c r="A1566">
        <v>121</v>
      </c>
      <c r="B1566" t="s">
        <v>1090</v>
      </c>
      <c r="C1566" t="s">
        <v>963</v>
      </c>
      <c r="D1566">
        <v>2.93</v>
      </c>
      <c r="E1566">
        <v>18.13</v>
      </c>
      <c r="F1566">
        <v>7.6</v>
      </c>
      <c r="G1566">
        <v>0</v>
      </c>
    </row>
    <row r="1567" spans="1:7" hidden="1">
      <c r="A1567">
        <v>121</v>
      </c>
      <c r="B1567" t="s">
        <v>1090</v>
      </c>
      <c r="C1567" t="s">
        <v>964</v>
      </c>
      <c r="D1567">
        <v>0.1</v>
      </c>
      <c r="E1567">
        <v>21.87</v>
      </c>
      <c r="F1567">
        <v>0.32</v>
      </c>
      <c r="G1567">
        <v>0</v>
      </c>
    </row>
    <row r="1568" spans="1:7" hidden="1">
      <c r="A1568">
        <v>121</v>
      </c>
      <c r="B1568" t="s">
        <v>1090</v>
      </c>
      <c r="C1568" t="s">
        <v>965</v>
      </c>
      <c r="D1568">
        <v>2.34</v>
      </c>
      <c r="E1568">
        <v>24.75</v>
      </c>
      <c r="F1568">
        <v>8.2899999999999991</v>
      </c>
      <c r="G1568">
        <v>0</v>
      </c>
    </row>
    <row r="1569" spans="1:7">
      <c r="A1569">
        <v>121</v>
      </c>
      <c r="B1569" t="s">
        <v>1090</v>
      </c>
      <c r="C1569" t="s">
        <v>24</v>
      </c>
      <c r="D1569">
        <v>16.8</v>
      </c>
      <c r="E1569">
        <v>19.920000000000002</v>
      </c>
      <c r="F1569">
        <v>47.8</v>
      </c>
      <c r="G1569">
        <v>0.02</v>
      </c>
    </row>
    <row r="1570" spans="1:7" hidden="1">
      <c r="A1570">
        <v>121</v>
      </c>
      <c r="B1570" t="s">
        <v>1090</v>
      </c>
      <c r="C1570" t="s">
        <v>966</v>
      </c>
      <c r="D1570">
        <v>0.02</v>
      </c>
      <c r="E1570">
        <v>18.05</v>
      </c>
      <c r="F1570">
        <v>0.05</v>
      </c>
      <c r="G1570">
        <v>0.02</v>
      </c>
    </row>
    <row r="1571" spans="1:7" hidden="1">
      <c r="A1571">
        <v>121</v>
      </c>
      <c r="B1571" t="s">
        <v>1090</v>
      </c>
      <c r="C1571" t="s">
        <v>967</v>
      </c>
      <c r="D1571">
        <v>0.17</v>
      </c>
      <c r="E1571">
        <v>17.91</v>
      </c>
      <c r="F1571">
        <v>0.43</v>
      </c>
      <c r="G1571">
        <v>0</v>
      </c>
    </row>
    <row r="1572" spans="1:7" hidden="1">
      <c r="A1572">
        <v>121</v>
      </c>
      <c r="B1572" t="s">
        <v>1090</v>
      </c>
      <c r="C1572" t="s">
        <v>968</v>
      </c>
      <c r="D1572">
        <v>0.59</v>
      </c>
      <c r="E1572">
        <v>18.09</v>
      </c>
      <c r="F1572">
        <v>1.51</v>
      </c>
      <c r="G1572">
        <v>0</v>
      </c>
    </row>
    <row r="1573" spans="1:7" hidden="1">
      <c r="A1573">
        <v>121</v>
      </c>
      <c r="B1573" t="s">
        <v>1090</v>
      </c>
      <c r="C1573" t="s">
        <v>969</v>
      </c>
      <c r="D1573">
        <v>0.11</v>
      </c>
      <c r="E1573">
        <v>24.75</v>
      </c>
      <c r="F1573">
        <v>0.41</v>
      </c>
      <c r="G1573">
        <v>0</v>
      </c>
    </row>
    <row r="1574" spans="1:7" hidden="1">
      <c r="A1574">
        <v>121</v>
      </c>
      <c r="B1574" t="s">
        <v>1090</v>
      </c>
      <c r="C1574" t="s">
        <v>970</v>
      </c>
      <c r="D1574">
        <v>0.37</v>
      </c>
      <c r="E1574">
        <v>24.75</v>
      </c>
      <c r="F1574">
        <v>1.31</v>
      </c>
      <c r="G1574">
        <v>0</v>
      </c>
    </row>
    <row r="1575" spans="1:7" hidden="1">
      <c r="A1575">
        <v>122</v>
      </c>
      <c r="B1575" t="s">
        <v>1091</v>
      </c>
      <c r="C1575" t="s">
        <v>959</v>
      </c>
      <c r="D1575">
        <v>5.5</v>
      </c>
      <c r="E1575">
        <v>18.309999999999999</v>
      </c>
      <c r="F1575">
        <v>14.39</v>
      </c>
      <c r="G1575">
        <v>0.01</v>
      </c>
    </row>
    <row r="1576" spans="1:7" hidden="1">
      <c r="A1576">
        <v>122</v>
      </c>
      <c r="B1576" t="s">
        <v>1091</v>
      </c>
      <c r="C1576" t="s">
        <v>960</v>
      </c>
      <c r="D1576">
        <v>4.79</v>
      </c>
      <c r="E1576">
        <v>18.399999999999999</v>
      </c>
      <c r="F1576">
        <v>12.58</v>
      </c>
      <c r="G1576">
        <v>0</v>
      </c>
    </row>
    <row r="1577" spans="1:7" hidden="1">
      <c r="A1577">
        <v>122</v>
      </c>
      <c r="B1577" t="s">
        <v>1091</v>
      </c>
      <c r="C1577" t="s">
        <v>961</v>
      </c>
      <c r="D1577">
        <v>2.96</v>
      </c>
      <c r="E1577">
        <v>20.059999999999999</v>
      </c>
      <c r="F1577">
        <v>8.49</v>
      </c>
      <c r="G1577">
        <v>0</v>
      </c>
    </row>
    <row r="1578" spans="1:7" hidden="1">
      <c r="A1578">
        <v>122</v>
      </c>
      <c r="B1578" t="s">
        <v>1091</v>
      </c>
      <c r="C1578" t="s">
        <v>962</v>
      </c>
      <c r="D1578">
        <v>1.29</v>
      </c>
      <c r="E1578">
        <v>24.72</v>
      </c>
      <c r="F1578">
        <v>4.55</v>
      </c>
      <c r="G1578">
        <v>0</v>
      </c>
    </row>
    <row r="1579" spans="1:7" hidden="1">
      <c r="A1579">
        <v>122</v>
      </c>
      <c r="B1579" t="s">
        <v>1091</v>
      </c>
      <c r="C1579" t="s">
        <v>963</v>
      </c>
      <c r="D1579">
        <v>3.01</v>
      </c>
      <c r="E1579">
        <v>18.13</v>
      </c>
      <c r="F1579">
        <v>7.79</v>
      </c>
      <c r="G1579">
        <v>0</v>
      </c>
    </row>
    <row r="1580" spans="1:7" hidden="1">
      <c r="A1580">
        <v>122</v>
      </c>
      <c r="B1580" t="s">
        <v>1091</v>
      </c>
      <c r="C1580" t="s">
        <v>964</v>
      </c>
      <c r="D1580">
        <v>0.11</v>
      </c>
      <c r="E1580">
        <v>21.87</v>
      </c>
      <c r="F1580">
        <v>0.34</v>
      </c>
      <c r="G1580">
        <v>0</v>
      </c>
    </row>
    <row r="1581" spans="1:7" hidden="1">
      <c r="A1581">
        <v>122</v>
      </c>
      <c r="B1581" t="s">
        <v>1091</v>
      </c>
      <c r="C1581" t="s">
        <v>965</v>
      </c>
      <c r="D1581">
        <v>2.31</v>
      </c>
      <c r="E1581">
        <v>24.75</v>
      </c>
      <c r="F1581">
        <v>8.18</v>
      </c>
      <c r="G1581">
        <v>0</v>
      </c>
    </row>
    <row r="1582" spans="1:7">
      <c r="A1582">
        <v>122</v>
      </c>
      <c r="B1582" t="s">
        <v>1091</v>
      </c>
      <c r="C1582" t="s">
        <v>24</v>
      </c>
      <c r="D1582">
        <v>19.96</v>
      </c>
      <c r="E1582">
        <v>19.739999999999998</v>
      </c>
      <c r="F1582">
        <v>56.31</v>
      </c>
      <c r="G1582">
        <v>0.01</v>
      </c>
    </row>
    <row r="1583" spans="1:7" hidden="1">
      <c r="A1583">
        <v>122</v>
      </c>
      <c r="B1583" t="s">
        <v>1091</v>
      </c>
      <c r="C1583" t="s">
        <v>966</v>
      </c>
      <c r="D1583">
        <v>0</v>
      </c>
      <c r="E1583">
        <v>18.05</v>
      </c>
      <c r="F1583">
        <v>0</v>
      </c>
      <c r="G1583">
        <v>0</v>
      </c>
    </row>
    <row r="1584" spans="1:7" hidden="1">
      <c r="A1584">
        <v>122</v>
      </c>
      <c r="B1584" t="s">
        <v>1091</v>
      </c>
      <c r="C1584" t="s">
        <v>967</v>
      </c>
      <c r="D1584">
        <v>0.33</v>
      </c>
      <c r="E1584">
        <v>17.91</v>
      </c>
      <c r="F1584">
        <v>0.83</v>
      </c>
      <c r="G1584">
        <v>0</v>
      </c>
    </row>
    <row r="1585" spans="1:7" hidden="1">
      <c r="A1585">
        <v>122</v>
      </c>
      <c r="B1585" t="s">
        <v>1091</v>
      </c>
      <c r="C1585" t="s">
        <v>968</v>
      </c>
      <c r="D1585">
        <v>1.33</v>
      </c>
      <c r="E1585">
        <v>18.09</v>
      </c>
      <c r="F1585">
        <v>3.44</v>
      </c>
      <c r="G1585">
        <v>0</v>
      </c>
    </row>
    <row r="1586" spans="1:7" hidden="1">
      <c r="A1586">
        <v>122</v>
      </c>
      <c r="B1586" t="s">
        <v>1091</v>
      </c>
      <c r="C1586" t="s">
        <v>969</v>
      </c>
      <c r="D1586">
        <v>0.18</v>
      </c>
      <c r="E1586">
        <v>24.75</v>
      </c>
      <c r="F1586">
        <v>0.64</v>
      </c>
      <c r="G1586">
        <v>0</v>
      </c>
    </row>
    <row r="1587" spans="1:7" hidden="1">
      <c r="A1587">
        <v>122</v>
      </c>
      <c r="B1587" t="s">
        <v>1091</v>
      </c>
      <c r="C1587" t="s">
        <v>970</v>
      </c>
      <c r="D1587">
        <v>0.47</v>
      </c>
      <c r="E1587">
        <v>24.75</v>
      </c>
      <c r="F1587">
        <v>1.65</v>
      </c>
      <c r="G1587">
        <v>0</v>
      </c>
    </row>
    <row r="1588" spans="1:7" hidden="1">
      <c r="A1588">
        <v>123</v>
      </c>
      <c r="B1588" t="s">
        <v>1092</v>
      </c>
      <c r="C1588" t="s">
        <v>959</v>
      </c>
      <c r="D1588">
        <v>5.38</v>
      </c>
      <c r="E1588">
        <v>18.309999999999999</v>
      </c>
      <c r="F1588">
        <v>14.08</v>
      </c>
      <c r="G1588">
        <v>0</v>
      </c>
    </row>
    <row r="1589" spans="1:7" hidden="1">
      <c r="A1589">
        <v>123</v>
      </c>
      <c r="B1589" t="s">
        <v>1092</v>
      </c>
      <c r="C1589" t="s">
        <v>960</v>
      </c>
      <c r="D1589">
        <v>5.3</v>
      </c>
      <c r="E1589">
        <v>18.399999999999999</v>
      </c>
      <c r="F1589">
        <v>13.92</v>
      </c>
      <c r="G1589">
        <v>0</v>
      </c>
    </row>
    <row r="1590" spans="1:7" hidden="1">
      <c r="A1590">
        <v>123</v>
      </c>
      <c r="B1590" t="s">
        <v>1092</v>
      </c>
      <c r="C1590" t="s">
        <v>961</v>
      </c>
      <c r="D1590">
        <v>3.01</v>
      </c>
      <c r="E1590">
        <v>20.059999999999999</v>
      </c>
      <c r="F1590">
        <v>8.6199999999999992</v>
      </c>
      <c r="G1590">
        <v>0</v>
      </c>
    </row>
    <row r="1591" spans="1:7" hidden="1">
      <c r="A1591">
        <v>123</v>
      </c>
      <c r="B1591" t="s">
        <v>1092</v>
      </c>
      <c r="C1591" t="s">
        <v>962</v>
      </c>
      <c r="D1591">
        <v>1.29</v>
      </c>
      <c r="E1591">
        <v>24.72</v>
      </c>
      <c r="F1591">
        <v>4.55</v>
      </c>
      <c r="G1591">
        <v>0</v>
      </c>
    </row>
    <row r="1592" spans="1:7" hidden="1">
      <c r="A1592">
        <v>123</v>
      </c>
      <c r="B1592" t="s">
        <v>1092</v>
      </c>
      <c r="C1592" t="s">
        <v>963</v>
      </c>
      <c r="D1592">
        <v>3.03</v>
      </c>
      <c r="E1592">
        <v>18.13</v>
      </c>
      <c r="F1592">
        <v>7.85</v>
      </c>
      <c r="G1592">
        <v>0</v>
      </c>
    </row>
    <row r="1593" spans="1:7" hidden="1">
      <c r="A1593">
        <v>123</v>
      </c>
      <c r="B1593" t="s">
        <v>1092</v>
      </c>
      <c r="C1593" t="s">
        <v>964</v>
      </c>
      <c r="D1593">
        <v>0.15</v>
      </c>
      <c r="E1593">
        <v>21.87</v>
      </c>
      <c r="F1593">
        <v>0.47</v>
      </c>
      <c r="G1593">
        <v>0</v>
      </c>
    </row>
    <row r="1594" spans="1:7" hidden="1">
      <c r="A1594">
        <v>123</v>
      </c>
      <c r="B1594" t="s">
        <v>1092</v>
      </c>
      <c r="C1594" t="s">
        <v>965</v>
      </c>
      <c r="D1594">
        <v>2.29</v>
      </c>
      <c r="E1594">
        <v>24.75</v>
      </c>
      <c r="F1594">
        <v>8.11</v>
      </c>
      <c r="G1594">
        <v>0</v>
      </c>
    </row>
    <row r="1595" spans="1:7">
      <c r="A1595">
        <v>123</v>
      </c>
      <c r="B1595" t="s">
        <v>1092</v>
      </c>
      <c r="C1595" t="s">
        <v>24</v>
      </c>
      <c r="D1595">
        <v>20.45</v>
      </c>
      <c r="E1595">
        <v>19.72</v>
      </c>
      <c r="F1595">
        <v>57.6</v>
      </c>
      <c r="G1595">
        <v>0</v>
      </c>
    </row>
    <row r="1596" spans="1:7" hidden="1">
      <c r="A1596">
        <v>123</v>
      </c>
      <c r="B1596" t="s">
        <v>1092</v>
      </c>
      <c r="C1596" t="s">
        <v>966</v>
      </c>
      <c r="D1596">
        <v>0</v>
      </c>
      <c r="E1596">
        <v>18.05</v>
      </c>
      <c r="F1596">
        <v>0</v>
      </c>
      <c r="G1596">
        <v>0</v>
      </c>
    </row>
    <row r="1597" spans="1:7" hidden="1">
      <c r="A1597">
        <v>123</v>
      </c>
      <c r="B1597" t="s">
        <v>1092</v>
      </c>
      <c r="C1597" t="s">
        <v>967</v>
      </c>
      <c r="D1597">
        <v>0.39</v>
      </c>
      <c r="E1597">
        <v>17.91</v>
      </c>
      <c r="F1597">
        <v>0.99</v>
      </c>
      <c r="G1597">
        <v>0</v>
      </c>
    </row>
    <row r="1598" spans="1:7" hidden="1">
      <c r="A1598">
        <v>123</v>
      </c>
      <c r="B1598" t="s">
        <v>1092</v>
      </c>
      <c r="C1598" t="s">
        <v>968</v>
      </c>
      <c r="D1598">
        <v>1.53</v>
      </c>
      <c r="E1598">
        <v>18.09</v>
      </c>
      <c r="F1598">
        <v>3.95</v>
      </c>
      <c r="G1598">
        <v>0</v>
      </c>
    </row>
    <row r="1599" spans="1:7" hidden="1">
      <c r="A1599">
        <v>123</v>
      </c>
      <c r="B1599" t="s">
        <v>1092</v>
      </c>
      <c r="C1599" t="s">
        <v>969</v>
      </c>
      <c r="D1599">
        <v>0.14000000000000001</v>
      </c>
      <c r="E1599">
        <v>24.75</v>
      </c>
      <c r="F1599">
        <v>0.5</v>
      </c>
      <c r="G1599">
        <v>0</v>
      </c>
    </row>
    <row r="1600" spans="1:7" hidden="1">
      <c r="A1600">
        <v>123</v>
      </c>
      <c r="B1600" t="s">
        <v>1092</v>
      </c>
      <c r="C1600" t="s">
        <v>970</v>
      </c>
      <c r="D1600">
        <v>0.53</v>
      </c>
      <c r="E1600">
        <v>24.75</v>
      </c>
      <c r="F1600">
        <v>1.86</v>
      </c>
      <c r="G1600">
        <v>0</v>
      </c>
    </row>
    <row r="1601" spans="1:7" hidden="1">
      <c r="A1601">
        <v>124</v>
      </c>
      <c r="B1601" t="s">
        <v>1093</v>
      </c>
      <c r="C1601" t="s">
        <v>959</v>
      </c>
      <c r="D1601">
        <v>4.7</v>
      </c>
      <c r="E1601">
        <v>18.309999999999999</v>
      </c>
      <c r="F1601">
        <v>12.31</v>
      </c>
      <c r="G1601">
        <v>0.12</v>
      </c>
    </row>
    <row r="1602" spans="1:7" hidden="1">
      <c r="A1602">
        <v>124</v>
      </c>
      <c r="B1602" t="s">
        <v>1093</v>
      </c>
      <c r="C1602" t="s">
        <v>960</v>
      </c>
      <c r="D1602">
        <v>4.3899999999999997</v>
      </c>
      <c r="E1602">
        <v>18.399999999999999</v>
      </c>
      <c r="F1602">
        <v>11.53</v>
      </c>
      <c r="G1602">
        <v>0.12</v>
      </c>
    </row>
    <row r="1603" spans="1:7" hidden="1">
      <c r="A1603">
        <v>124</v>
      </c>
      <c r="B1603" t="s">
        <v>1093</v>
      </c>
      <c r="C1603" t="s">
        <v>961</v>
      </c>
      <c r="D1603">
        <v>2.84</v>
      </c>
      <c r="E1603">
        <v>20.059999999999999</v>
      </c>
      <c r="F1603">
        <v>8.15</v>
      </c>
      <c r="G1603">
        <v>0.02</v>
      </c>
    </row>
    <row r="1604" spans="1:7" hidden="1">
      <c r="A1604">
        <v>124</v>
      </c>
      <c r="B1604" t="s">
        <v>1093</v>
      </c>
      <c r="C1604" t="s">
        <v>962</v>
      </c>
      <c r="D1604">
        <v>1.23</v>
      </c>
      <c r="E1604">
        <v>24.72</v>
      </c>
      <c r="F1604">
        <v>4.3600000000000003</v>
      </c>
      <c r="G1604">
        <v>0.02</v>
      </c>
    </row>
    <row r="1605" spans="1:7" hidden="1">
      <c r="A1605">
        <v>124</v>
      </c>
      <c r="B1605" t="s">
        <v>1093</v>
      </c>
      <c r="C1605" t="s">
        <v>963</v>
      </c>
      <c r="D1605">
        <v>2.93</v>
      </c>
      <c r="E1605">
        <v>18.13</v>
      </c>
      <c r="F1605">
        <v>7.6</v>
      </c>
      <c r="G1605">
        <v>0.05</v>
      </c>
    </row>
    <row r="1606" spans="1:7" hidden="1">
      <c r="A1606">
        <v>124</v>
      </c>
      <c r="B1606" t="s">
        <v>1093</v>
      </c>
      <c r="C1606" t="s">
        <v>964</v>
      </c>
      <c r="D1606">
        <v>0.12</v>
      </c>
      <c r="E1606">
        <v>21.87</v>
      </c>
      <c r="F1606">
        <v>0.38</v>
      </c>
      <c r="G1606">
        <v>0</v>
      </c>
    </row>
    <row r="1607" spans="1:7" hidden="1">
      <c r="A1607">
        <v>124</v>
      </c>
      <c r="B1607" t="s">
        <v>1093</v>
      </c>
      <c r="C1607" t="s">
        <v>965</v>
      </c>
      <c r="D1607">
        <v>2.27</v>
      </c>
      <c r="E1607">
        <v>24.75</v>
      </c>
      <c r="F1607">
        <v>8.01</v>
      </c>
      <c r="G1607">
        <v>0.03</v>
      </c>
    </row>
    <row r="1608" spans="1:7">
      <c r="A1608">
        <v>124</v>
      </c>
      <c r="B1608" t="s">
        <v>1093</v>
      </c>
      <c r="C1608" t="s">
        <v>24</v>
      </c>
      <c r="D1608">
        <v>18.489999999999998</v>
      </c>
      <c r="E1608">
        <v>19.809999999999999</v>
      </c>
      <c r="F1608">
        <v>52.34</v>
      </c>
      <c r="G1608">
        <v>0.36</v>
      </c>
    </row>
    <row r="1609" spans="1:7" hidden="1">
      <c r="A1609">
        <v>124</v>
      </c>
      <c r="B1609" t="s">
        <v>1093</v>
      </c>
      <c r="C1609" t="s">
        <v>966</v>
      </c>
      <c r="D1609">
        <v>0.61</v>
      </c>
      <c r="E1609">
        <v>18.05</v>
      </c>
      <c r="F1609">
        <v>1.57</v>
      </c>
      <c r="G1609">
        <v>0.59</v>
      </c>
    </row>
    <row r="1610" spans="1:7" hidden="1">
      <c r="A1610">
        <v>124</v>
      </c>
      <c r="B1610" t="s">
        <v>1093</v>
      </c>
      <c r="C1610" t="s">
        <v>967</v>
      </c>
      <c r="D1610">
        <v>0.21</v>
      </c>
      <c r="E1610">
        <v>17.91</v>
      </c>
      <c r="F1610">
        <v>0.54</v>
      </c>
      <c r="G1610">
        <v>0</v>
      </c>
    </row>
    <row r="1611" spans="1:7" hidden="1">
      <c r="A1611">
        <v>124</v>
      </c>
      <c r="B1611" t="s">
        <v>1093</v>
      </c>
      <c r="C1611" t="s">
        <v>968</v>
      </c>
      <c r="D1611">
        <v>1.1100000000000001</v>
      </c>
      <c r="E1611">
        <v>18.09</v>
      </c>
      <c r="F1611">
        <v>2.87</v>
      </c>
      <c r="G1611">
        <v>0.01</v>
      </c>
    </row>
    <row r="1612" spans="1:7" hidden="1">
      <c r="A1612">
        <v>124</v>
      </c>
      <c r="B1612" t="s">
        <v>1093</v>
      </c>
      <c r="C1612" t="s">
        <v>969</v>
      </c>
      <c r="D1612">
        <v>0.16</v>
      </c>
      <c r="E1612">
        <v>24.75</v>
      </c>
      <c r="F1612">
        <v>0.55000000000000004</v>
      </c>
      <c r="G1612">
        <v>0</v>
      </c>
    </row>
    <row r="1613" spans="1:7" hidden="1">
      <c r="A1613">
        <v>124</v>
      </c>
      <c r="B1613" t="s">
        <v>1093</v>
      </c>
      <c r="C1613" t="s">
        <v>970</v>
      </c>
      <c r="D1613">
        <v>0.46</v>
      </c>
      <c r="E1613">
        <v>24.75</v>
      </c>
      <c r="F1613">
        <v>1.61</v>
      </c>
      <c r="G1613">
        <v>0.01</v>
      </c>
    </row>
    <row r="1614" spans="1:7" hidden="1">
      <c r="A1614">
        <v>125</v>
      </c>
      <c r="B1614" t="s">
        <v>1094</v>
      </c>
      <c r="C1614" t="s">
        <v>959</v>
      </c>
      <c r="D1614">
        <v>3.92</v>
      </c>
      <c r="E1614">
        <v>18.309999999999999</v>
      </c>
      <c r="F1614">
        <v>10.26</v>
      </c>
      <c r="G1614">
        <v>0.25</v>
      </c>
    </row>
    <row r="1615" spans="1:7" hidden="1">
      <c r="A1615">
        <v>125</v>
      </c>
      <c r="B1615" t="s">
        <v>1094</v>
      </c>
      <c r="C1615" t="s">
        <v>960</v>
      </c>
      <c r="D1615">
        <v>3.65</v>
      </c>
      <c r="E1615">
        <v>18.399999999999999</v>
      </c>
      <c r="F1615">
        <v>9.58</v>
      </c>
      <c r="G1615">
        <v>0.25</v>
      </c>
    </row>
    <row r="1616" spans="1:7" hidden="1">
      <c r="A1616">
        <v>125</v>
      </c>
      <c r="B1616" t="s">
        <v>1094</v>
      </c>
      <c r="C1616" t="s">
        <v>961</v>
      </c>
      <c r="D1616">
        <v>2.52</v>
      </c>
      <c r="E1616">
        <v>20.059999999999999</v>
      </c>
      <c r="F1616">
        <v>7.21</v>
      </c>
      <c r="G1616">
        <v>0.05</v>
      </c>
    </row>
    <row r="1617" spans="1:7" hidden="1">
      <c r="A1617">
        <v>125</v>
      </c>
      <c r="B1617" t="s">
        <v>1094</v>
      </c>
      <c r="C1617" t="s">
        <v>962</v>
      </c>
      <c r="D1617">
        <v>1.1399999999999999</v>
      </c>
      <c r="E1617">
        <v>24.72</v>
      </c>
      <c r="F1617">
        <v>4.01</v>
      </c>
      <c r="G1617">
        <v>0.05</v>
      </c>
    </row>
    <row r="1618" spans="1:7" hidden="1">
      <c r="A1618">
        <v>125</v>
      </c>
      <c r="B1618" t="s">
        <v>1094</v>
      </c>
      <c r="C1618" t="s">
        <v>963</v>
      </c>
      <c r="D1618">
        <v>2.92</v>
      </c>
      <c r="E1618">
        <v>18.13</v>
      </c>
      <c r="F1618">
        <v>7.56</v>
      </c>
      <c r="G1618">
        <v>0.11</v>
      </c>
    </row>
    <row r="1619" spans="1:7" hidden="1">
      <c r="A1619">
        <v>125</v>
      </c>
      <c r="B1619" t="s">
        <v>1094</v>
      </c>
      <c r="C1619" t="s">
        <v>964</v>
      </c>
      <c r="D1619">
        <v>0.1</v>
      </c>
      <c r="E1619">
        <v>21.87</v>
      </c>
      <c r="F1619">
        <v>0.33</v>
      </c>
      <c r="G1619">
        <v>0</v>
      </c>
    </row>
    <row r="1620" spans="1:7" hidden="1">
      <c r="A1620">
        <v>125</v>
      </c>
      <c r="B1620" t="s">
        <v>1094</v>
      </c>
      <c r="C1620" t="s">
        <v>965</v>
      </c>
      <c r="D1620">
        <v>2.2799999999999998</v>
      </c>
      <c r="E1620">
        <v>24.75</v>
      </c>
      <c r="F1620">
        <v>8.0500000000000007</v>
      </c>
      <c r="G1620">
        <v>7.0000000000000007E-2</v>
      </c>
    </row>
    <row r="1621" spans="1:7">
      <c r="A1621">
        <v>125</v>
      </c>
      <c r="B1621" t="s">
        <v>1094</v>
      </c>
      <c r="C1621" t="s">
        <v>24</v>
      </c>
      <c r="D1621">
        <v>16.52</v>
      </c>
      <c r="E1621">
        <v>19.920000000000002</v>
      </c>
      <c r="F1621">
        <v>46.99</v>
      </c>
      <c r="G1621">
        <v>0.79</v>
      </c>
    </row>
    <row r="1622" spans="1:7" hidden="1">
      <c r="A1622">
        <v>125</v>
      </c>
      <c r="B1622" t="s">
        <v>1094</v>
      </c>
      <c r="C1622" t="s">
        <v>966</v>
      </c>
      <c r="D1622">
        <v>1.37</v>
      </c>
      <c r="E1622">
        <v>18.05</v>
      </c>
      <c r="F1622">
        <v>3.54</v>
      </c>
      <c r="G1622">
        <v>1.33</v>
      </c>
    </row>
    <row r="1623" spans="1:7" hidden="1">
      <c r="A1623">
        <v>125</v>
      </c>
      <c r="B1623" t="s">
        <v>1094</v>
      </c>
      <c r="C1623" t="s">
        <v>967</v>
      </c>
      <c r="D1623">
        <v>0.15</v>
      </c>
      <c r="E1623">
        <v>17.91</v>
      </c>
      <c r="F1623">
        <v>0.38</v>
      </c>
      <c r="G1623">
        <v>0</v>
      </c>
    </row>
    <row r="1624" spans="1:7" hidden="1">
      <c r="A1624">
        <v>125</v>
      </c>
      <c r="B1624" t="s">
        <v>1094</v>
      </c>
      <c r="C1624" t="s">
        <v>968</v>
      </c>
      <c r="D1624">
        <v>0.56000000000000005</v>
      </c>
      <c r="E1624">
        <v>18.09</v>
      </c>
      <c r="F1624">
        <v>1.46</v>
      </c>
      <c r="G1624">
        <v>0.01</v>
      </c>
    </row>
    <row r="1625" spans="1:7" hidden="1">
      <c r="A1625">
        <v>125</v>
      </c>
      <c r="B1625" t="s">
        <v>1094</v>
      </c>
      <c r="C1625" t="s">
        <v>969</v>
      </c>
      <c r="D1625">
        <v>0.2</v>
      </c>
      <c r="E1625">
        <v>24.75</v>
      </c>
      <c r="F1625">
        <v>0.71</v>
      </c>
      <c r="G1625">
        <v>0</v>
      </c>
    </row>
    <row r="1626" spans="1:7" hidden="1">
      <c r="A1626">
        <v>125</v>
      </c>
      <c r="B1626" t="s">
        <v>1094</v>
      </c>
      <c r="C1626" t="s">
        <v>970</v>
      </c>
      <c r="D1626">
        <v>0.37</v>
      </c>
      <c r="E1626">
        <v>24.75</v>
      </c>
      <c r="F1626">
        <v>1.29</v>
      </c>
      <c r="G1626">
        <v>0.01</v>
      </c>
    </row>
    <row r="1627" spans="1:7" hidden="1">
      <c r="A1627">
        <v>126</v>
      </c>
      <c r="B1627" t="s">
        <v>1095</v>
      </c>
      <c r="C1627" t="s">
        <v>959</v>
      </c>
      <c r="D1627">
        <v>5.05</v>
      </c>
      <c r="E1627">
        <v>18.309999999999999</v>
      </c>
      <c r="F1627">
        <v>13.22</v>
      </c>
      <c r="G1627">
        <v>0.06</v>
      </c>
    </row>
    <row r="1628" spans="1:7" hidden="1">
      <c r="A1628">
        <v>126</v>
      </c>
      <c r="B1628" t="s">
        <v>1095</v>
      </c>
      <c r="C1628" t="s">
        <v>960</v>
      </c>
      <c r="D1628">
        <v>4.57</v>
      </c>
      <c r="E1628">
        <v>18.399999999999999</v>
      </c>
      <c r="F1628">
        <v>12.02</v>
      </c>
      <c r="G1628">
        <v>0.02</v>
      </c>
    </row>
    <row r="1629" spans="1:7" hidden="1">
      <c r="A1629">
        <v>126</v>
      </c>
      <c r="B1629" t="s">
        <v>1095</v>
      </c>
      <c r="C1629" t="s">
        <v>961</v>
      </c>
      <c r="D1629">
        <v>3.18</v>
      </c>
      <c r="E1629">
        <v>20.059999999999999</v>
      </c>
      <c r="F1629">
        <v>9.1</v>
      </c>
      <c r="G1629">
        <v>0</v>
      </c>
    </row>
    <row r="1630" spans="1:7" hidden="1">
      <c r="A1630">
        <v>126</v>
      </c>
      <c r="B1630" t="s">
        <v>1095</v>
      </c>
      <c r="C1630" t="s">
        <v>962</v>
      </c>
      <c r="D1630">
        <v>1.2</v>
      </c>
      <c r="E1630">
        <v>24.72</v>
      </c>
      <c r="F1630">
        <v>4.24</v>
      </c>
      <c r="G1630">
        <v>0</v>
      </c>
    </row>
    <row r="1631" spans="1:7" hidden="1">
      <c r="A1631">
        <v>126</v>
      </c>
      <c r="B1631" t="s">
        <v>1095</v>
      </c>
      <c r="C1631" t="s">
        <v>963</v>
      </c>
      <c r="D1631">
        <v>2.99</v>
      </c>
      <c r="E1631">
        <v>18.13</v>
      </c>
      <c r="F1631">
        <v>7.73</v>
      </c>
      <c r="G1631">
        <v>0.01</v>
      </c>
    </row>
    <row r="1632" spans="1:7" hidden="1">
      <c r="A1632">
        <v>126</v>
      </c>
      <c r="B1632" t="s">
        <v>1095</v>
      </c>
      <c r="C1632" t="s">
        <v>964</v>
      </c>
      <c r="D1632">
        <v>0.12</v>
      </c>
      <c r="E1632">
        <v>21.87</v>
      </c>
      <c r="F1632">
        <v>0.37</v>
      </c>
      <c r="G1632">
        <v>0</v>
      </c>
    </row>
    <row r="1633" spans="1:7" hidden="1">
      <c r="A1633">
        <v>126</v>
      </c>
      <c r="B1633" t="s">
        <v>1095</v>
      </c>
      <c r="C1633" t="s">
        <v>965</v>
      </c>
      <c r="D1633">
        <v>2.27</v>
      </c>
      <c r="E1633">
        <v>24.75</v>
      </c>
      <c r="F1633">
        <v>8.0299999999999994</v>
      </c>
      <c r="G1633">
        <v>0.01</v>
      </c>
    </row>
    <row r="1634" spans="1:7">
      <c r="A1634">
        <v>126</v>
      </c>
      <c r="B1634" t="s">
        <v>1095</v>
      </c>
      <c r="C1634" t="s">
        <v>24</v>
      </c>
      <c r="D1634">
        <v>19.38</v>
      </c>
      <c r="E1634">
        <v>19.760000000000002</v>
      </c>
      <c r="F1634">
        <v>54.72</v>
      </c>
      <c r="G1634">
        <v>0.1</v>
      </c>
    </row>
    <row r="1635" spans="1:7" hidden="1">
      <c r="A1635">
        <v>126</v>
      </c>
      <c r="B1635" t="s">
        <v>1095</v>
      </c>
      <c r="C1635" t="s">
        <v>966</v>
      </c>
      <c r="D1635">
        <v>0.06</v>
      </c>
      <c r="E1635">
        <v>18.05</v>
      </c>
      <c r="F1635">
        <v>0.16</v>
      </c>
      <c r="G1635">
        <v>0.06</v>
      </c>
    </row>
    <row r="1636" spans="1:7" hidden="1">
      <c r="A1636">
        <v>126</v>
      </c>
      <c r="B1636" t="s">
        <v>1095</v>
      </c>
      <c r="C1636" t="s">
        <v>967</v>
      </c>
      <c r="D1636">
        <v>0.23</v>
      </c>
      <c r="E1636">
        <v>17.91</v>
      </c>
      <c r="F1636">
        <v>0.59</v>
      </c>
      <c r="G1636">
        <v>0</v>
      </c>
    </row>
    <row r="1637" spans="1:7" hidden="1">
      <c r="A1637">
        <v>126</v>
      </c>
      <c r="B1637" t="s">
        <v>1095</v>
      </c>
      <c r="C1637" t="s">
        <v>968</v>
      </c>
      <c r="D1637">
        <v>1.3</v>
      </c>
      <c r="E1637">
        <v>18.09</v>
      </c>
      <c r="F1637">
        <v>3.37</v>
      </c>
      <c r="G1637">
        <v>0</v>
      </c>
    </row>
    <row r="1638" spans="1:7" hidden="1">
      <c r="A1638">
        <v>126</v>
      </c>
      <c r="B1638" t="s">
        <v>1095</v>
      </c>
      <c r="C1638" t="s">
        <v>969</v>
      </c>
      <c r="D1638">
        <v>0.16</v>
      </c>
      <c r="E1638">
        <v>24.75</v>
      </c>
      <c r="F1638">
        <v>0.56000000000000005</v>
      </c>
      <c r="G1638">
        <v>0</v>
      </c>
    </row>
    <row r="1639" spans="1:7" hidden="1">
      <c r="A1639">
        <v>126</v>
      </c>
      <c r="B1639" t="s">
        <v>1095</v>
      </c>
      <c r="C1639" t="s">
        <v>970</v>
      </c>
      <c r="D1639">
        <v>0.5</v>
      </c>
      <c r="E1639">
        <v>24.75</v>
      </c>
      <c r="F1639">
        <v>1.78</v>
      </c>
      <c r="G1639">
        <v>0</v>
      </c>
    </row>
    <row r="1640" spans="1:7" hidden="1">
      <c r="A1640">
        <v>127</v>
      </c>
      <c r="B1640" t="s">
        <v>1096</v>
      </c>
      <c r="C1640" t="s">
        <v>959</v>
      </c>
      <c r="D1640">
        <v>5.43</v>
      </c>
      <c r="E1640">
        <v>18.309999999999999</v>
      </c>
      <c r="F1640">
        <v>14.21</v>
      </c>
      <c r="G1640">
        <v>0</v>
      </c>
    </row>
    <row r="1641" spans="1:7" hidden="1">
      <c r="A1641">
        <v>127</v>
      </c>
      <c r="B1641" t="s">
        <v>1096</v>
      </c>
      <c r="C1641" t="s">
        <v>960</v>
      </c>
      <c r="D1641">
        <v>5.19</v>
      </c>
      <c r="E1641">
        <v>18.399999999999999</v>
      </c>
      <c r="F1641">
        <v>13.63</v>
      </c>
      <c r="G1641">
        <v>0.01</v>
      </c>
    </row>
    <row r="1642" spans="1:7" hidden="1">
      <c r="A1642">
        <v>127</v>
      </c>
      <c r="B1642" t="s">
        <v>1096</v>
      </c>
      <c r="C1642" t="s">
        <v>961</v>
      </c>
      <c r="D1642">
        <v>3.01</v>
      </c>
      <c r="E1642">
        <v>20.059999999999999</v>
      </c>
      <c r="F1642">
        <v>8.6199999999999992</v>
      </c>
      <c r="G1642">
        <v>0</v>
      </c>
    </row>
    <row r="1643" spans="1:7" hidden="1">
      <c r="A1643">
        <v>127</v>
      </c>
      <c r="B1643" t="s">
        <v>1096</v>
      </c>
      <c r="C1643" t="s">
        <v>962</v>
      </c>
      <c r="D1643">
        <v>1.38</v>
      </c>
      <c r="E1643">
        <v>24.72</v>
      </c>
      <c r="F1643">
        <v>4.8899999999999997</v>
      </c>
      <c r="G1643">
        <v>0</v>
      </c>
    </row>
    <row r="1644" spans="1:7" hidden="1">
      <c r="A1644">
        <v>127</v>
      </c>
      <c r="B1644" t="s">
        <v>1096</v>
      </c>
      <c r="C1644" t="s">
        <v>963</v>
      </c>
      <c r="D1644">
        <v>2.92</v>
      </c>
      <c r="E1644">
        <v>18.13</v>
      </c>
      <c r="F1644">
        <v>7.55</v>
      </c>
      <c r="G1644">
        <v>0</v>
      </c>
    </row>
    <row r="1645" spans="1:7" hidden="1">
      <c r="A1645">
        <v>127</v>
      </c>
      <c r="B1645" t="s">
        <v>1096</v>
      </c>
      <c r="C1645" t="s">
        <v>964</v>
      </c>
      <c r="D1645">
        <v>0.15</v>
      </c>
      <c r="E1645">
        <v>21.87</v>
      </c>
      <c r="F1645">
        <v>0.46</v>
      </c>
      <c r="G1645">
        <v>0</v>
      </c>
    </row>
    <row r="1646" spans="1:7" hidden="1">
      <c r="A1646">
        <v>127</v>
      </c>
      <c r="B1646" t="s">
        <v>1096</v>
      </c>
      <c r="C1646" t="s">
        <v>965</v>
      </c>
      <c r="D1646">
        <v>2.25</v>
      </c>
      <c r="E1646">
        <v>24.75</v>
      </c>
      <c r="F1646">
        <v>7.96</v>
      </c>
      <c r="G1646">
        <v>0</v>
      </c>
    </row>
    <row r="1647" spans="1:7">
      <c r="A1647">
        <v>127</v>
      </c>
      <c r="B1647" t="s">
        <v>1096</v>
      </c>
      <c r="C1647" t="s">
        <v>24</v>
      </c>
      <c r="D1647">
        <v>20.329999999999998</v>
      </c>
      <c r="E1647">
        <v>19.739999999999998</v>
      </c>
      <c r="F1647">
        <v>57.32</v>
      </c>
      <c r="G1647">
        <v>0.02</v>
      </c>
    </row>
    <row r="1648" spans="1:7" hidden="1">
      <c r="A1648">
        <v>127</v>
      </c>
      <c r="B1648" t="s">
        <v>1096</v>
      </c>
      <c r="C1648" t="s">
        <v>966</v>
      </c>
      <c r="D1648">
        <v>0.05</v>
      </c>
      <c r="E1648">
        <v>18.05</v>
      </c>
      <c r="F1648">
        <v>0.13</v>
      </c>
      <c r="G1648">
        <v>0.05</v>
      </c>
    </row>
    <row r="1649" spans="1:7" hidden="1">
      <c r="A1649">
        <v>127</v>
      </c>
      <c r="B1649" t="s">
        <v>1096</v>
      </c>
      <c r="C1649" t="s">
        <v>967</v>
      </c>
      <c r="D1649">
        <v>0.28000000000000003</v>
      </c>
      <c r="E1649">
        <v>17.91</v>
      </c>
      <c r="F1649">
        <v>0.7</v>
      </c>
      <c r="G1649">
        <v>0</v>
      </c>
    </row>
    <row r="1650" spans="1:7" hidden="1">
      <c r="A1650">
        <v>127</v>
      </c>
      <c r="B1650" t="s">
        <v>1096</v>
      </c>
      <c r="C1650" t="s">
        <v>968</v>
      </c>
      <c r="D1650">
        <v>1.66</v>
      </c>
      <c r="E1650">
        <v>18.09</v>
      </c>
      <c r="F1650">
        <v>4.28</v>
      </c>
      <c r="G1650">
        <v>0</v>
      </c>
    </row>
    <row r="1651" spans="1:7" hidden="1">
      <c r="A1651">
        <v>127</v>
      </c>
      <c r="B1651" t="s">
        <v>1096</v>
      </c>
      <c r="C1651" t="s">
        <v>969</v>
      </c>
      <c r="D1651">
        <v>0.1</v>
      </c>
      <c r="E1651">
        <v>24.75</v>
      </c>
      <c r="F1651">
        <v>0.36</v>
      </c>
      <c r="G1651">
        <v>0</v>
      </c>
    </row>
    <row r="1652" spans="1:7" hidden="1">
      <c r="A1652">
        <v>127</v>
      </c>
      <c r="B1652" t="s">
        <v>1096</v>
      </c>
      <c r="C1652" t="s">
        <v>970</v>
      </c>
      <c r="D1652">
        <v>0.54</v>
      </c>
      <c r="E1652">
        <v>24.75</v>
      </c>
      <c r="F1652">
        <v>1.9</v>
      </c>
      <c r="G1652">
        <v>0</v>
      </c>
    </row>
    <row r="1653" spans="1:7" hidden="1">
      <c r="A1653">
        <v>128</v>
      </c>
      <c r="B1653" t="s">
        <v>1097</v>
      </c>
      <c r="C1653" t="s">
        <v>959</v>
      </c>
      <c r="D1653">
        <v>4.8600000000000003</v>
      </c>
      <c r="E1653">
        <v>18.309999999999999</v>
      </c>
      <c r="F1653">
        <v>12.72</v>
      </c>
      <c r="G1653">
        <v>3.91</v>
      </c>
    </row>
    <row r="1654" spans="1:7" hidden="1">
      <c r="A1654">
        <v>128</v>
      </c>
      <c r="B1654" t="s">
        <v>1097</v>
      </c>
      <c r="C1654" t="s">
        <v>960</v>
      </c>
      <c r="D1654">
        <v>5.73</v>
      </c>
      <c r="E1654">
        <v>18.399999999999999</v>
      </c>
      <c r="F1654">
        <v>15.05</v>
      </c>
      <c r="G1654">
        <v>4.68</v>
      </c>
    </row>
    <row r="1655" spans="1:7" hidden="1">
      <c r="A1655">
        <v>128</v>
      </c>
      <c r="B1655" t="s">
        <v>1097</v>
      </c>
      <c r="C1655" t="s">
        <v>961</v>
      </c>
      <c r="D1655">
        <v>0.99</v>
      </c>
      <c r="E1655">
        <v>20.059999999999999</v>
      </c>
      <c r="F1655">
        <v>2.85</v>
      </c>
      <c r="G1655">
        <v>0.78</v>
      </c>
    </row>
    <row r="1656" spans="1:7" hidden="1">
      <c r="A1656">
        <v>128</v>
      </c>
      <c r="B1656" t="s">
        <v>1097</v>
      </c>
      <c r="C1656" t="s">
        <v>962</v>
      </c>
      <c r="D1656">
        <v>1.1000000000000001</v>
      </c>
      <c r="E1656">
        <v>24.72</v>
      </c>
      <c r="F1656">
        <v>3.88</v>
      </c>
      <c r="G1656">
        <v>0.74</v>
      </c>
    </row>
    <row r="1657" spans="1:7" hidden="1">
      <c r="A1657">
        <v>128</v>
      </c>
      <c r="B1657" t="s">
        <v>1097</v>
      </c>
      <c r="C1657" t="s">
        <v>963</v>
      </c>
      <c r="D1657">
        <v>2.8</v>
      </c>
      <c r="E1657">
        <v>18.13</v>
      </c>
      <c r="F1657">
        <v>7.26</v>
      </c>
      <c r="G1657">
        <v>1.94</v>
      </c>
    </row>
    <row r="1658" spans="1:7" hidden="1">
      <c r="A1658">
        <v>128</v>
      </c>
      <c r="B1658" t="s">
        <v>1097</v>
      </c>
      <c r="C1658" t="s">
        <v>964</v>
      </c>
      <c r="D1658">
        <v>0.12</v>
      </c>
      <c r="E1658">
        <v>21.87</v>
      </c>
      <c r="F1658">
        <v>0.37</v>
      </c>
      <c r="G1658">
        <v>0.09</v>
      </c>
    </row>
    <row r="1659" spans="1:7" hidden="1">
      <c r="A1659">
        <v>128</v>
      </c>
      <c r="B1659" t="s">
        <v>1097</v>
      </c>
      <c r="C1659" t="s">
        <v>965</v>
      </c>
      <c r="D1659">
        <v>1.95</v>
      </c>
      <c r="E1659">
        <v>24.75</v>
      </c>
      <c r="F1659">
        <v>6.9</v>
      </c>
      <c r="G1659">
        <v>1.29</v>
      </c>
    </row>
    <row r="1660" spans="1:7">
      <c r="A1660">
        <v>128</v>
      </c>
      <c r="B1660" t="s">
        <v>1097</v>
      </c>
      <c r="C1660" t="s">
        <v>24</v>
      </c>
      <c r="D1660">
        <v>17.559999999999999</v>
      </c>
      <c r="E1660">
        <v>19.55</v>
      </c>
      <c r="F1660">
        <v>49.03</v>
      </c>
      <c r="G1660">
        <v>13.42</v>
      </c>
    </row>
    <row r="1661" spans="1:7" hidden="1">
      <c r="A1661">
        <v>128</v>
      </c>
      <c r="B1661" t="s">
        <v>1097</v>
      </c>
      <c r="C1661" t="s">
        <v>966</v>
      </c>
      <c r="D1661">
        <v>20.95</v>
      </c>
      <c r="E1661">
        <v>18.05</v>
      </c>
      <c r="F1661">
        <v>54.03</v>
      </c>
      <c r="G1661">
        <v>20.440000000000001</v>
      </c>
    </row>
    <row r="1662" spans="1:7" hidden="1">
      <c r="A1662">
        <v>128</v>
      </c>
      <c r="B1662" t="s">
        <v>1097</v>
      </c>
      <c r="C1662" t="s">
        <v>967</v>
      </c>
      <c r="D1662">
        <v>0.12</v>
      </c>
      <c r="E1662">
        <v>17.91</v>
      </c>
      <c r="F1662">
        <v>0.3</v>
      </c>
      <c r="G1662">
        <v>7.0000000000000007E-2</v>
      </c>
    </row>
    <row r="1663" spans="1:7" hidden="1">
      <c r="A1663">
        <v>128</v>
      </c>
      <c r="B1663" t="s">
        <v>1097</v>
      </c>
      <c r="C1663" t="s">
        <v>968</v>
      </c>
      <c r="D1663">
        <v>0.28999999999999998</v>
      </c>
      <c r="E1663">
        <v>18.09</v>
      </c>
      <c r="F1663">
        <v>0.76</v>
      </c>
      <c r="G1663">
        <v>0.16</v>
      </c>
    </row>
    <row r="1664" spans="1:7" hidden="1">
      <c r="A1664">
        <v>128</v>
      </c>
      <c r="B1664" t="s">
        <v>1097</v>
      </c>
      <c r="C1664" t="s">
        <v>969</v>
      </c>
      <c r="D1664">
        <v>1.91</v>
      </c>
      <c r="E1664">
        <v>24.75</v>
      </c>
      <c r="F1664">
        <v>6.75</v>
      </c>
      <c r="G1664">
        <v>0.08</v>
      </c>
    </row>
    <row r="1665" spans="1:7" hidden="1">
      <c r="A1665">
        <v>128</v>
      </c>
      <c r="B1665" t="s">
        <v>1097</v>
      </c>
      <c r="C1665" t="s">
        <v>970</v>
      </c>
      <c r="D1665">
        <v>0.19</v>
      </c>
      <c r="E1665">
        <v>24.75</v>
      </c>
      <c r="F1665">
        <v>0.67</v>
      </c>
      <c r="G1665">
        <v>0.12</v>
      </c>
    </row>
    <row r="1666" spans="1:7" hidden="1">
      <c r="A1666">
        <v>129</v>
      </c>
      <c r="B1666" t="s">
        <v>1098</v>
      </c>
      <c r="C1666" t="s">
        <v>959</v>
      </c>
      <c r="D1666">
        <v>5.89</v>
      </c>
      <c r="E1666">
        <v>18.309999999999999</v>
      </c>
      <c r="F1666">
        <v>15.42</v>
      </c>
      <c r="G1666">
        <v>4.4400000000000004</v>
      </c>
    </row>
    <row r="1667" spans="1:7" hidden="1">
      <c r="A1667">
        <v>129</v>
      </c>
      <c r="B1667" t="s">
        <v>1098</v>
      </c>
      <c r="C1667" t="s">
        <v>960</v>
      </c>
      <c r="D1667">
        <v>5.91</v>
      </c>
      <c r="E1667">
        <v>18.399999999999999</v>
      </c>
      <c r="F1667">
        <v>15.52</v>
      </c>
      <c r="G1667">
        <v>4.67</v>
      </c>
    </row>
    <row r="1668" spans="1:7" hidden="1">
      <c r="A1668">
        <v>129</v>
      </c>
      <c r="B1668" t="s">
        <v>1098</v>
      </c>
      <c r="C1668" t="s">
        <v>961</v>
      </c>
      <c r="D1668">
        <v>1.32</v>
      </c>
      <c r="E1668">
        <v>20.059999999999999</v>
      </c>
      <c r="F1668">
        <v>3.78</v>
      </c>
      <c r="G1668">
        <v>0.96</v>
      </c>
    </row>
    <row r="1669" spans="1:7" hidden="1">
      <c r="A1669">
        <v>129</v>
      </c>
      <c r="B1669" t="s">
        <v>1098</v>
      </c>
      <c r="C1669" t="s">
        <v>962</v>
      </c>
      <c r="D1669">
        <v>1.05</v>
      </c>
      <c r="E1669">
        <v>24.72</v>
      </c>
      <c r="F1669">
        <v>3.7</v>
      </c>
      <c r="G1669">
        <v>0.67</v>
      </c>
    </row>
    <row r="1670" spans="1:7" hidden="1">
      <c r="A1670">
        <v>129</v>
      </c>
      <c r="B1670" t="s">
        <v>1098</v>
      </c>
      <c r="C1670" t="s">
        <v>963</v>
      </c>
      <c r="D1670">
        <v>2.93</v>
      </c>
      <c r="E1670">
        <v>18.13</v>
      </c>
      <c r="F1670">
        <v>7.58</v>
      </c>
      <c r="G1670">
        <v>1.84</v>
      </c>
    </row>
    <row r="1671" spans="1:7" hidden="1">
      <c r="A1671">
        <v>129</v>
      </c>
      <c r="B1671" t="s">
        <v>1098</v>
      </c>
      <c r="C1671" t="s">
        <v>964</v>
      </c>
      <c r="D1671">
        <v>0.08</v>
      </c>
      <c r="E1671">
        <v>21.87</v>
      </c>
      <c r="F1671">
        <v>0.25</v>
      </c>
      <c r="G1671">
        <v>0.06</v>
      </c>
    </row>
    <row r="1672" spans="1:7" hidden="1">
      <c r="A1672">
        <v>129</v>
      </c>
      <c r="B1672" t="s">
        <v>1098</v>
      </c>
      <c r="C1672" t="s">
        <v>965</v>
      </c>
      <c r="D1672">
        <v>1.96</v>
      </c>
      <c r="E1672">
        <v>24.75</v>
      </c>
      <c r="F1672">
        <v>6.93</v>
      </c>
      <c r="G1672">
        <v>1.1299999999999999</v>
      </c>
    </row>
    <row r="1673" spans="1:7">
      <c r="A1673">
        <v>129</v>
      </c>
      <c r="B1673" t="s">
        <v>1098</v>
      </c>
      <c r="C1673" t="s">
        <v>24</v>
      </c>
      <c r="D1673">
        <v>19.13</v>
      </c>
      <c r="E1673">
        <v>19.46</v>
      </c>
      <c r="F1673">
        <v>53.18</v>
      </c>
      <c r="G1673">
        <v>13.76</v>
      </c>
    </row>
    <row r="1674" spans="1:7" hidden="1">
      <c r="A1674">
        <v>129</v>
      </c>
      <c r="B1674" t="s">
        <v>1098</v>
      </c>
      <c r="C1674" t="s">
        <v>966</v>
      </c>
      <c r="D1674">
        <v>11.46</v>
      </c>
      <c r="E1674">
        <v>18.05</v>
      </c>
      <c r="F1674">
        <v>29.56</v>
      </c>
      <c r="G1674">
        <v>11.04</v>
      </c>
    </row>
    <row r="1675" spans="1:7" hidden="1">
      <c r="A1675">
        <v>129</v>
      </c>
      <c r="B1675" t="s">
        <v>1098</v>
      </c>
      <c r="C1675" t="s">
        <v>967</v>
      </c>
      <c r="D1675">
        <v>0.11</v>
      </c>
      <c r="E1675">
        <v>17.91</v>
      </c>
      <c r="F1675">
        <v>0.28999999999999998</v>
      </c>
      <c r="G1675">
        <v>0.08</v>
      </c>
    </row>
    <row r="1676" spans="1:7" hidden="1">
      <c r="A1676">
        <v>129</v>
      </c>
      <c r="B1676" t="s">
        <v>1098</v>
      </c>
      <c r="C1676" t="s">
        <v>968</v>
      </c>
      <c r="D1676">
        <v>0.37</v>
      </c>
      <c r="E1676">
        <v>18.09</v>
      </c>
      <c r="F1676">
        <v>0.96</v>
      </c>
      <c r="G1676">
        <v>0.22</v>
      </c>
    </row>
    <row r="1677" spans="1:7" hidden="1">
      <c r="A1677">
        <v>129</v>
      </c>
      <c r="B1677" t="s">
        <v>1098</v>
      </c>
      <c r="C1677" t="s">
        <v>969</v>
      </c>
      <c r="D1677">
        <v>2.15</v>
      </c>
      <c r="E1677">
        <v>24.75</v>
      </c>
      <c r="F1677">
        <v>7.6</v>
      </c>
      <c r="G1677">
        <v>7.0000000000000007E-2</v>
      </c>
    </row>
    <row r="1678" spans="1:7" hidden="1">
      <c r="A1678">
        <v>129</v>
      </c>
      <c r="B1678" t="s">
        <v>1098</v>
      </c>
      <c r="C1678" t="s">
        <v>970</v>
      </c>
      <c r="D1678">
        <v>0.3</v>
      </c>
      <c r="E1678">
        <v>24.75</v>
      </c>
      <c r="F1678">
        <v>1.08</v>
      </c>
      <c r="G1678">
        <v>0.12</v>
      </c>
    </row>
    <row r="1679" spans="1:7" hidden="1">
      <c r="A1679">
        <v>130</v>
      </c>
      <c r="B1679" t="s">
        <v>1099</v>
      </c>
      <c r="C1679" t="s">
        <v>959</v>
      </c>
      <c r="D1679">
        <v>5.94</v>
      </c>
      <c r="E1679">
        <v>18.309999999999999</v>
      </c>
      <c r="F1679">
        <v>15.53</v>
      </c>
      <c r="G1679">
        <v>3.71</v>
      </c>
    </row>
    <row r="1680" spans="1:7" hidden="1">
      <c r="A1680">
        <v>130</v>
      </c>
      <c r="B1680" t="s">
        <v>1099</v>
      </c>
      <c r="C1680" t="s">
        <v>960</v>
      </c>
      <c r="D1680">
        <v>6.02</v>
      </c>
      <c r="E1680">
        <v>18.399999999999999</v>
      </c>
      <c r="F1680">
        <v>15.83</v>
      </c>
      <c r="G1680">
        <v>4.38</v>
      </c>
    </row>
    <row r="1681" spans="1:7" hidden="1">
      <c r="A1681">
        <v>130</v>
      </c>
      <c r="B1681" t="s">
        <v>1099</v>
      </c>
      <c r="C1681" t="s">
        <v>961</v>
      </c>
      <c r="D1681">
        <v>1.58</v>
      </c>
      <c r="E1681">
        <v>20.059999999999999</v>
      </c>
      <c r="F1681">
        <v>4.5199999999999996</v>
      </c>
      <c r="G1681">
        <v>0.99</v>
      </c>
    </row>
    <row r="1682" spans="1:7" hidden="1">
      <c r="A1682">
        <v>130</v>
      </c>
      <c r="B1682" t="s">
        <v>1099</v>
      </c>
      <c r="C1682" t="s">
        <v>962</v>
      </c>
      <c r="D1682">
        <v>1.07</v>
      </c>
      <c r="E1682">
        <v>24.72</v>
      </c>
      <c r="F1682">
        <v>3.79</v>
      </c>
      <c r="G1682">
        <v>0.62</v>
      </c>
    </row>
    <row r="1683" spans="1:7" hidden="1">
      <c r="A1683">
        <v>130</v>
      </c>
      <c r="B1683" t="s">
        <v>1099</v>
      </c>
      <c r="C1683" t="s">
        <v>963</v>
      </c>
      <c r="D1683">
        <v>3.25</v>
      </c>
      <c r="E1683">
        <v>18.13</v>
      </c>
      <c r="F1683">
        <v>8.43</v>
      </c>
      <c r="G1683">
        <v>1.61</v>
      </c>
    </row>
    <row r="1684" spans="1:7" hidden="1">
      <c r="A1684">
        <v>130</v>
      </c>
      <c r="B1684" t="s">
        <v>1099</v>
      </c>
      <c r="C1684" t="s">
        <v>964</v>
      </c>
      <c r="D1684">
        <v>0.11</v>
      </c>
      <c r="E1684">
        <v>21.87</v>
      </c>
      <c r="F1684">
        <v>0.34</v>
      </c>
      <c r="G1684">
        <v>0.03</v>
      </c>
    </row>
    <row r="1685" spans="1:7" hidden="1">
      <c r="A1685">
        <v>130</v>
      </c>
      <c r="B1685" t="s">
        <v>1099</v>
      </c>
      <c r="C1685" t="s">
        <v>965</v>
      </c>
      <c r="D1685">
        <v>2.21</v>
      </c>
      <c r="E1685">
        <v>24.75</v>
      </c>
      <c r="F1685">
        <v>7.8</v>
      </c>
      <c r="G1685">
        <v>1.01</v>
      </c>
    </row>
    <row r="1686" spans="1:7">
      <c r="A1686">
        <v>130</v>
      </c>
      <c r="B1686" t="s">
        <v>1099</v>
      </c>
      <c r="C1686" t="s">
        <v>24</v>
      </c>
      <c r="D1686">
        <v>20.18</v>
      </c>
      <c r="E1686">
        <v>19.510000000000002</v>
      </c>
      <c r="F1686">
        <v>56.25</v>
      </c>
      <c r="G1686">
        <v>12.36</v>
      </c>
    </row>
    <row r="1687" spans="1:7" hidden="1">
      <c r="A1687">
        <v>130</v>
      </c>
      <c r="B1687" t="s">
        <v>1099</v>
      </c>
      <c r="C1687" t="s">
        <v>966</v>
      </c>
      <c r="D1687">
        <v>7.07</v>
      </c>
      <c r="E1687">
        <v>18.05</v>
      </c>
      <c r="F1687">
        <v>18.22</v>
      </c>
      <c r="G1687">
        <v>6.58</v>
      </c>
    </row>
    <row r="1688" spans="1:7" hidden="1">
      <c r="A1688">
        <v>130</v>
      </c>
      <c r="B1688" t="s">
        <v>1099</v>
      </c>
      <c r="C1688" t="s">
        <v>967</v>
      </c>
      <c r="D1688">
        <v>0.17</v>
      </c>
      <c r="E1688">
        <v>17.91</v>
      </c>
      <c r="F1688">
        <v>0.42</v>
      </c>
      <c r="G1688">
        <v>0.1</v>
      </c>
    </row>
    <row r="1689" spans="1:7" hidden="1">
      <c r="A1689">
        <v>130</v>
      </c>
      <c r="B1689" t="s">
        <v>1099</v>
      </c>
      <c r="C1689" t="s">
        <v>968</v>
      </c>
      <c r="D1689">
        <v>0.48</v>
      </c>
      <c r="E1689">
        <v>18.09</v>
      </c>
      <c r="F1689">
        <v>1.24</v>
      </c>
      <c r="G1689">
        <v>0.19</v>
      </c>
    </row>
    <row r="1690" spans="1:7" hidden="1">
      <c r="A1690">
        <v>130</v>
      </c>
      <c r="B1690" t="s">
        <v>1099</v>
      </c>
      <c r="C1690" t="s">
        <v>969</v>
      </c>
      <c r="D1690">
        <v>1.85</v>
      </c>
      <c r="E1690">
        <v>24.75</v>
      </c>
      <c r="F1690">
        <v>6.55</v>
      </c>
      <c r="G1690">
        <v>0.05</v>
      </c>
    </row>
    <row r="1691" spans="1:7" hidden="1">
      <c r="A1691">
        <v>130</v>
      </c>
      <c r="B1691" t="s">
        <v>1099</v>
      </c>
      <c r="C1691" t="s">
        <v>970</v>
      </c>
      <c r="D1691">
        <v>0.28999999999999998</v>
      </c>
      <c r="E1691">
        <v>24.75</v>
      </c>
      <c r="F1691">
        <v>1.02</v>
      </c>
      <c r="G1691">
        <v>0.13</v>
      </c>
    </row>
    <row r="1692" spans="1:7" hidden="1">
      <c r="A1692">
        <v>131</v>
      </c>
      <c r="B1692" t="s">
        <v>1100</v>
      </c>
      <c r="C1692" t="s">
        <v>959</v>
      </c>
      <c r="D1692">
        <v>5.61</v>
      </c>
      <c r="E1692">
        <v>18.309999999999999</v>
      </c>
      <c r="F1692">
        <v>14.67</v>
      </c>
      <c r="G1692">
        <v>0</v>
      </c>
    </row>
    <row r="1693" spans="1:7" hidden="1">
      <c r="A1693">
        <v>131</v>
      </c>
      <c r="B1693" t="s">
        <v>1100</v>
      </c>
      <c r="C1693" t="s">
        <v>960</v>
      </c>
      <c r="D1693">
        <v>5.9</v>
      </c>
      <c r="E1693">
        <v>18.399999999999999</v>
      </c>
      <c r="F1693">
        <v>15.52</v>
      </c>
      <c r="G1693">
        <v>0</v>
      </c>
    </row>
    <row r="1694" spans="1:7" hidden="1">
      <c r="A1694">
        <v>131</v>
      </c>
      <c r="B1694" t="s">
        <v>1100</v>
      </c>
      <c r="C1694" t="s">
        <v>961</v>
      </c>
      <c r="D1694">
        <v>2.15</v>
      </c>
      <c r="E1694">
        <v>20.059999999999999</v>
      </c>
      <c r="F1694">
        <v>6.15</v>
      </c>
      <c r="G1694">
        <v>0</v>
      </c>
    </row>
    <row r="1695" spans="1:7" hidden="1">
      <c r="A1695">
        <v>131</v>
      </c>
      <c r="B1695" t="s">
        <v>1100</v>
      </c>
      <c r="C1695" t="s">
        <v>962</v>
      </c>
      <c r="D1695">
        <v>1.17</v>
      </c>
      <c r="E1695">
        <v>24.72</v>
      </c>
      <c r="F1695">
        <v>4.13</v>
      </c>
      <c r="G1695">
        <v>0</v>
      </c>
    </row>
    <row r="1696" spans="1:7" hidden="1">
      <c r="A1696">
        <v>131</v>
      </c>
      <c r="B1696" t="s">
        <v>1100</v>
      </c>
      <c r="C1696" t="s">
        <v>963</v>
      </c>
      <c r="D1696">
        <v>3.14</v>
      </c>
      <c r="E1696">
        <v>18.13</v>
      </c>
      <c r="F1696">
        <v>8.1199999999999992</v>
      </c>
      <c r="G1696">
        <v>0</v>
      </c>
    </row>
    <row r="1697" spans="1:7" hidden="1">
      <c r="A1697">
        <v>131</v>
      </c>
      <c r="B1697" t="s">
        <v>1100</v>
      </c>
      <c r="C1697" t="s">
        <v>964</v>
      </c>
      <c r="D1697">
        <v>0.08</v>
      </c>
      <c r="E1697">
        <v>21.87</v>
      </c>
      <c r="F1697">
        <v>0.26</v>
      </c>
      <c r="G1697">
        <v>0</v>
      </c>
    </row>
    <row r="1698" spans="1:7" hidden="1">
      <c r="A1698">
        <v>131</v>
      </c>
      <c r="B1698" t="s">
        <v>1100</v>
      </c>
      <c r="C1698" t="s">
        <v>965</v>
      </c>
      <c r="D1698">
        <v>2.4900000000000002</v>
      </c>
      <c r="E1698">
        <v>24.75</v>
      </c>
      <c r="F1698">
        <v>8.81</v>
      </c>
      <c r="G1698">
        <v>0</v>
      </c>
    </row>
    <row r="1699" spans="1:7">
      <c r="A1699">
        <v>131</v>
      </c>
      <c r="B1699" t="s">
        <v>1100</v>
      </c>
      <c r="C1699" t="s">
        <v>24</v>
      </c>
      <c r="D1699">
        <v>20.54</v>
      </c>
      <c r="E1699">
        <v>19.649999999999999</v>
      </c>
      <c r="F1699">
        <v>57.66</v>
      </c>
      <c r="G1699">
        <v>0</v>
      </c>
    </row>
    <row r="1700" spans="1:7" hidden="1">
      <c r="A1700">
        <v>131</v>
      </c>
      <c r="B1700" t="s">
        <v>1100</v>
      </c>
      <c r="C1700" t="s">
        <v>966</v>
      </c>
      <c r="D1700">
        <v>2.5099999999999998</v>
      </c>
      <c r="E1700">
        <v>18.05</v>
      </c>
      <c r="F1700">
        <v>6.47</v>
      </c>
      <c r="G1700">
        <v>2.2400000000000002</v>
      </c>
    </row>
    <row r="1701" spans="1:7" hidden="1">
      <c r="A1701">
        <v>131</v>
      </c>
      <c r="B1701" t="s">
        <v>1100</v>
      </c>
      <c r="C1701" t="s">
        <v>967</v>
      </c>
      <c r="D1701">
        <v>0.26</v>
      </c>
      <c r="E1701">
        <v>17.91</v>
      </c>
      <c r="F1701">
        <v>0.67</v>
      </c>
      <c r="G1701">
        <v>0</v>
      </c>
    </row>
    <row r="1702" spans="1:7" hidden="1">
      <c r="A1702">
        <v>131</v>
      </c>
      <c r="B1702" t="s">
        <v>1100</v>
      </c>
      <c r="C1702" t="s">
        <v>968</v>
      </c>
      <c r="D1702">
        <v>0.67</v>
      </c>
      <c r="E1702">
        <v>18.09</v>
      </c>
      <c r="F1702">
        <v>1.72</v>
      </c>
      <c r="G1702">
        <v>0</v>
      </c>
    </row>
    <row r="1703" spans="1:7" hidden="1">
      <c r="A1703">
        <v>131</v>
      </c>
      <c r="B1703" t="s">
        <v>1100</v>
      </c>
      <c r="C1703" t="s">
        <v>969</v>
      </c>
      <c r="D1703">
        <v>1.2</v>
      </c>
      <c r="E1703">
        <v>24.75</v>
      </c>
      <c r="F1703">
        <v>4.24</v>
      </c>
      <c r="G1703">
        <v>0</v>
      </c>
    </row>
    <row r="1704" spans="1:7" hidden="1">
      <c r="A1704">
        <v>131</v>
      </c>
      <c r="B1704" t="s">
        <v>1100</v>
      </c>
      <c r="C1704" t="s">
        <v>970</v>
      </c>
      <c r="D1704">
        <v>0.32</v>
      </c>
      <c r="E1704">
        <v>24.75</v>
      </c>
      <c r="F1704">
        <v>1.1399999999999999</v>
      </c>
      <c r="G1704">
        <v>0</v>
      </c>
    </row>
    <row r="1705" spans="1:7" hidden="1">
      <c r="A1705">
        <v>132</v>
      </c>
      <c r="B1705" t="s">
        <v>1101</v>
      </c>
      <c r="C1705" t="s">
        <v>959</v>
      </c>
      <c r="D1705">
        <v>4.96</v>
      </c>
      <c r="E1705">
        <v>18.309999999999999</v>
      </c>
      <c r="F1705">
        <v>12.97</v>
      </c>
      <c r="G1705">
        <v>0</v>
      </c>
    </row>
    <row r="1706" spans="1:7" hidden="1">
      <c r="A1706">
        <v>132</v>
      </c>
      <c r="B1706" t="s">
        <v>1101</v>
      </c>
      <c r="C1706" t="s">
        <v>960</v>
      </c>
      <c r="D1706">
        <v>4.5</v>
      </c>
      <c r="E1706">
        <v>18.399999999999999</v>
      </c>
      <c r="F1706">
        <v>11.82</v>
      </c>
      <c r="G1706">
        <v>0</v>
      </c>
    </row>
    <row r="1707" spans="1:7" hidden="1">
      <c r="A1707">
        <v>132</v>
      </c>
      <c r="B1707" t="s">
        <v>1101</v>
      </c>
      <c r="C1707" t="s">
        <v>961</v>
      </c>
      <c r="D1707">
        <v>2.9</v>
      </c>
      <c r="E1707">
        <v>20.059999999999999</v>
      </c>
      <c r="F1707">
        <v>8.32</v>
      </c>
      <c r="G1707">
        <v>0</v>
      </c>
    </row>
    <row r="1708" spans="1:7" hidden="1">
      <c r="A1708">
        <v>132</v>
      </c>
      <c r="B1708" t="s">
        <v>1101</v>
      </c>
      <c r="C1708" t="s">
        <v>962</v>
      </c>
      <c r="D1708">
        <v>1.22</v>
      </c>
      <c r="E1708">
        <v>24.72</v>
      </c>
      <c r="F1708">
        <v>4.3</v>
      </c>
      <c r="G1708">
        <v>0</v>
      </c>
    </row>
    <row r="1709" spans="1:7" hidden="1">
      <c r="A1709">
        <v>132</v>
      </c>
      <c r="B1709" t="s">
        <v>1101</v>
      </c>
      <c r="C1709" t="s">
        <v>963</v>
      </c>
      <c r="D1709">
        <v>3.04</v>
      </c>
      <c r="E1709">
        <v>18.13</v>
      </c>
      <c r="F1709">
        <v>7.87</v>
      </c>
      <c r="G1709">
        <v>0</v>
      </c>
    </row>
    <row r="1710" spans="1:7" hidden="1">
      <c r="A1710">
        <v>132</v>
      </c>
      <c r="B1710" t="s">
        <v>1101</v>
      </c>
      <c r="C1710" t="s">
        <v>964</v>
      </c>
      <c r="D1710">
        <v>0.12</v>
      </c>
      <c r="E1710">
        <v>21.87</v>
      </c>
      <c r="F1710">
        <v>0.39</v>
      </c>
      <c r="G1710">
        <v>0</v>
      </c>
    </row>
    <row r="1711" spans="1:7" hidden="1">
      <c r="A1711">
        <v>132</v>
      </c>
      <c r="B1711" t="s">
        <v>1101</v>
      </c>
      <c r="C1711" t="s">
        <v>965</v>
      </c>
      <c r="D1711">
        <v>2.37</v>
      </c>
      <c r="E1711">
        <v>24.75</v>
      </c>
      <c r="F1711">
        <v>8.3699999999999992</v>
      </c>
      <c r="G1711">
        <v>0</v>
      </c>
    </row>
    <row r="1712" spans="1:7">
      <c r="A1712">
        <v>132</v>
      </c>
      <c r="B1712" t="s">
        <v>1101</v>
      </c>
      <c r="C1712" t="s">
        <v>24</v>
      </c>
      <c r="D1712">
        <v>19.11</v>
      </c>
      <c r="E1712">
        <v>19.8</v>
      </c>
      <c r="F1712">
        <v>54.05</v>
      </c>
      <c r="G1712">
        <v>0.01</v>
      </c>
    </row>
    <row r="1713" spans="1:7" hidden="1">
      <c r="A1713">
        <v>132</v>
      </c>
      <c r="B1713" t="s">
        <v>1101</v>
      </c>
      <c r="C1713" t="s">
        <v>966</v>
      </c>
      <c r="D1713">
        <v>0</v>
      </c>
      <c r="E1713">
        <v>18.05</v>
      </c>
      <c r="F1713">
        <v>0.01</v>
      </c>
      <c r="G1713">
        <v>0</v>
      </c>
    </row>
    <row r="1714" spans="1:7" hidden="1">
      <c r="A1714">
        <v>132</v>
      </c>
      <c r="B1714" t="s">
        <v>1101</v>
      </c>
      <c r="C1714" t="s">
        <v>967</v>
      </c>
      <c r="D1714">
        <v>0.23</v>
      </c>
      <c r="E1714">
        <v>17.91</v>
      </c>
      <c r="F1714">
        <v>0.59</v>
      </c>
      <c r="G1714">
        <v>0</v>
      </c>
    </row>
    <row r="1715" spans="1:7" hidden="1">
      <c r="A1715">
        <v>132</v>
      </c>
      <c r="B1715" t="s">
        <v>1101</v>
      </c>
      <c r="C1715" t="s">
        <v>968</v>
      </c>
      <c r="D1715">
        <v>1.1100000000000001</v>
      </c>
      <c r="E1715">
        <v>18.09</v>
      </c>
      <c r="F1715">
        <v>2.87</v>
      </c>
      <c r="G1715">
        <v>0</v>
      </c>
    </row>
    <row r="1716" spans="1:7" hidden="1">
      <c r="A1716">
        <v>132</v>
      </c>
      <c r="B1716" t="s">
        <v>1101</v>
      </c>
      <c r="C1716" t="s">
        <v>969</v>
      </c>
      <c r="D1716">
        <v>0.14000000000000001</v>
      </c>
      <c r="E1716">
        <v>24.75</v>
      </c>
      <c r="F1716">
        <v>0.5</v>
      </c>
      <c r="G1716">
        <v>0</v>
      </c>
    </row>
    <row r="1717" spans="1:7" hidden="1">
      <c r="A1717">
        <v>132</v>
      </c>
      <c r="B1717" t="s">
        <v>1101</v>
      </c>
      <c r="C1717" t="s">
        <v>970</v>
      </c>
      <c r="D1717">
        <v>0.45</v>
      </c>
      <c r="E1717">
        <v>24.75</v>
      </c>
      <c r="F1717">
        <v>1.59</v>
      </c>
      <c r="G1717">
        <v>0</v>
      </c>
    </row>
    <row r="1718" spans="1:7" hidden="1">
      <c r="A1718">
        <v>133</v>
      </c>
      <c r="B1718" t="s">
        <v>1102</v>
      </c>
      <c r="C1718" t="s">
        <v>959</v>
      </c>
      <c r="D1718">
        <v>3.96</v>
      </c>
      <c r="E1718">
        <v>18.309999999999999</v>
      </c>
      <c r="F1718">
        <v>10.35</v>
      </c>
      <c r="G1718">
        <v>0</v>
      </c>
    </row>
    <row r="1719" spans="1:7" hidden="1">
      <c r="A1719">
        <v>133</v>
      </c>
      <c r="B1719" t="s">
        <v>1102</v>
      </c>
      <c r="C1719" t="s">
        <v>960</v>
      </c>
      <c r="D1719">
        <v>3.68</v>
      </c>
      <c r="E1719">
        <v>18.399999999999999</v>
      </c>
      <c r="F1719">
        <v>9.68</v>
      </c>
      <c r="G1719">
        <v>0</v>
      </c>
    </row>
    <row r="1720" spans="1:7" hidden="1">
      <c r="A1720">
        <v>133</v>
      </c>
      <c r="B1720" t="s">
        <v>1102</v>
      </c>
      <c r="C1720" t="s">
        <v>961</v>
      </c>
      <c r="D1720">
        <v>2.72</v>
      </c>
      <c r="E1720">
        <v>20.059999999999999</v>
      </c>
      <c r="F1720">
        <v>7.78</v>
      </c>
      <c r="G1720">
        <v>0</v>
      </c>
    </row>
    <row r="1721" spans="1:7" hidden="1">
      <c r="A1721">
        <v>133</v>
      </c>
      <c r="B1721" t="s">
        <v>1102</v>
      </c>
      <c r="C1721" t="s">
        <v>962</v>
      </c>
      <c r="D1721">
        <v>1.1299999999999999</v>
      </c>
      <c r="E1721">
        <v>24.72</v>
      </c>
      <c r="F1721">
        <v>4</v>
      </c>
      <c r="G1721">
        <v>0</v>
      </c>
    </row>
    <row r="1722" spans="1:7" hidden="1">
      <c r="A1722">
        <v>133</v>
      </c>
      <c r="B1722" t="s">
        <v>1102</v>
      </c>
      <c r="C1722" t="s">
        <v>963</v>
      </c>
      <c r="D1722">
        <v>2.95</v>
      </c>
      <c r="E1722">
        <v>18.13</v>
      </c>
      <c r="F1722">
        <v>7.64</v>
      </c>
      <c r="G1722">
        <v>0</v>
      </c>
    </row>
    <row r="1723" spans="1:7" hidden="1">
      <c r="A1723">
        <v>133</v>
      </c>
      <c r="B1723" t="s">
        <v>1102</v>
      </c>
      <c r="C1723" t="s">
        <v>964</v>
      </c>
      <c r="D1723">
        <v>0.11</v>
      </c>
      <c r="E1723">
        <v>21.87</v>
      </c>
      <c r="F1723">
        <v>0.34</v>
      </c>
      <c r="G1723">
        <v>0</v>
      </c>
    </row>
    <row r="1724" spans="1:7" hidden="1">
      <c r="A1724">
        <v>133</v>
      </c>
      <c r="B1724" t="s">
        <v>1102</v>
      </c>
      <c r="C1724" t="s">
        <v>965</v>
      </c>
      <c r="D1724">
        <v>2.37</v>
      </c>
      <c r="E1724">
        <v>24.75</v>
      </c>
      <c r="F1724">
        <v>8.3800000000000008</v>
      </c>
      <c r="G1724">
        <v>0</v>
      </c>
    </row>
    <row r="1725" spans="1:7">
      <c r="A1725">
        <v>133</v>
      </c>
      <c r="B1725" t="s">
        <v>1102</v>
      </c>
      <c r="C1725" t="s">
        <v>24</v>
      </c>
      <c r="D1725">
        <v>16.920000000000002</v>
      </c>
      <c r="E1725">
        <v>19.93</v>
      </c>
      <c r="F1725">
        <v>48.19</v>
      </c>
      <c r="G1725">
        <v>0.01</v>
      </c>
    </row>
    <row r="1726" spans="1:7" hidden="1">
      <c r="A1726">
        <v>133</v>
      </c>
      <c r="B1726" t="s">
        <v>1102</v>
      </c>
      <c r="C1726" t="s">
        <v>966</v>
      </c>
      <c r="D1726">
        <v>0.01</v>
      </c>
      <c r="E1726">
        <v>18.05</v>
      </c>
      <c r="F1726">
        <v>0.02</v>
      </c>
      <c r="G1726">
        <v>0.01</v>
      </c>
    </row>
    <row r="1727" spans="1:7" hidden="1">
      <c r="A1727">
        <v>133</v>
      </c>
      <c r="B1727" t="s">
        <v>1102</v>
      </c>
      <c r="C1727" t="s">
        <v>967</v>
      </c>
      <c r="D1727">
        <v>0.12</v>
      </c>
      <c r="E1727">
        <v>17.91</v>
      </c>
      <c r="F1727">
        <v>0.3</v>
      </c>
      <c r="G1727">
        <v>0</v>
      </c>
    </row>
    <row r="1728" spans="1:7" hidden="1">
      <c r="A1728">
        <v>133</v>
      </c>
      <c r="B1728" t="s">
        <v>1102</v>
      </c>
      <c r="C1728" t="s">
        <v>968</v>
      </c>
      <c r="D1728">
        <v>0.55000000000000004</v>
      </c>
      <c r="E1728">
        <v>18.09</v>
      </c>
      <c r="F1728">
        <v>1.42</v>
      </c>
      <c r="G1728">
        <v>0</v>
      </c>
    </row>
    <row r="1729" spans="1:7" hidden="1">
      <c r="A1729">
        <v>133</v>
      </c>
      <c r="B1729" t="s">
        <v>1102</v>
      </c>
      <c r="C1729" t="s">
        <v>969</v>
      </c>
      <c r="D1729">
        <v>0.11</v>
      </c>
      <c r="E1729">
        <v>24.75</v>
      </c>
      <c r="F1729">
        <v>0.4</v>
      </c>
      <c r="G1729">
        <v>0</v>
      </c>
    </row>
    <row r="1730" spans="1:7" hidden="1">
      <c r="A1730">
        <v>133</v>
      </c>
      <c r="B1730" t="s">
        <v>1102</v>
      </c>
      <c r="C1730" t="s">
        <v>970</v>
      </c>
      <c r="D1730">
        <v>0.36</v>
      </c>
      <c r="E1730">
        <v>24.75</v>
      </c>
      <c r="F1730">
        <v>1.27</v>
      </c>
      <c r="G1730">
        <v>0</v>
      </c>
    </row>
    <row r="1731" spans="1:7" hidden="1">
      <c r="A1731">
        <v>134</v>
      </c>
      <c r="B1731" t="s">
        <v>1103</v>
      </c>
      <c r="C1731" t="s">
        <v>959</v>
      </c>
      <c r="D1731">
        <v>5.7</v>
      </c>
      <c r="E1731">
        <v>18.309999999999999</v>
      </c>
      <c r="F1731">
        <v>14.9</v>
      </c>
      <c r="G1731">
        <v>0.01</v>
      </c>
    </row>
    <row r="1732" spans="1:7" hidden="1">
      <c r="A1732">
        <v>134</v>
      </c>
      <c r="B1732" t="s">
        <v>1103</v>
      </c>
      <c r="C1732" t="s">
        <v>960</v>
      </c>
      <c r="D1732">
        <v>4.7699999999999996</v>
      </c>
      <c r="E1732">
        <v>18.399999999999999</v>
      </c>
      <c r="F1732">
        <v>12.53</v>
      </c>
      <c r="G1732">
        <v>0</v>
      </c>
    </row>
    <row r="1733" spans="1:7" hidden="1">
      <c r="A1733">
        <v>134</v>
      </c>
      <c r="B1733" t="s">
        <v>1103</v>
      </c>
      <c r="C1733" t="s">
        <v>961</v>
      </c>
      <c r="D1733">
        <v>3.05</v>
      </c>
      <c r="E1733">
        <v>20.059999999999999</v>
      </c>
      <c r="F1733">
        <v>8.74</v>
      </c>
      <c r="G1733">
        <v>0</v>
      </c>
    </row>
    <row r="1734" spans="1:7" hidden="1">
      <c r="A1734">
        <v>134</v>
      </c>
      <c r="B1734" t="s">
        <v>1103</v>
      </c>
      <c r="C1734" t="s">
        <v>962</v>
      </c>
      <c r="D1734">
        <v>1.31</v>
      </c>
      <c r="E1734">
        <v>24.72</v>
      </c>
      <c r="F1734">
        <v>4.62</v>
      </c>
      <c r="G1734">
        <v>0</v>
      </c>
    </row>
    <row r="1735" spans="1:7" hidden="1">
      <c r="A1735">
        <v>134</v>
      </c>
      <c r="B1735" t="s">
        <v>1103</v>
      </c>
      <c r="C1735" t="s">
        <v>963</v>
      </c>
      <c r="D1735">
        <v>3.14</v>
      </c>
      <c r="E1735">
        <v>18.13</v>
      </c>
      <c r="F1735">
        <v>8.1199999999999992</v>
      </c>
      <c r="G1735">
        <v>0</v>
      </c>
    </row>
    <row r="1736" spans="1:7" hidden="1">
      <c r="A1736">
        <v>134</v>
      </c>
      <c r="B1736" t="s">
        <v>1103</v>
      </c>
      <c r="C1736" t="s">
        <v>964</v>
      </c>
      <c r="D1736">
        <v>0.11</v>
      </c>
      <c r="E1736">
        <v>21.87</v>
      </c>
      <c r="F1736">
        <v>0.35</v>
      </c>
      <c r="G1736">
        <v>0</v>
      </c>
    </row>
    <row r="1737" spans="1:7" hidden="1">
      <c r="A1737">
        <v>134</v>
      </c>
      <c r="B1737" t="s">
        <v>1103</v>
      </c>
      <c r="C1737" t="s">
        <v>965</v>
      </c>
      <c r="D1737">
        <v>2.39</v>
      </c>
      <c r="E1737">
        <v>24.75</v>
      </c>
      <c r="F1737">
        <v>8.4600000000000009</v>
      </c>
      <c r="G1737">
        <v>0</v>
      </c>
    </row>
    <row r="1738" spans="1:7">
      <c r="A1738">
        <v>134</v>
      </c>
      <c r="B1738" t="s">
        <v>1103</v>
      </c>
      <c r="C1738" t="s">
        <v>24</v>
      </c>
      <c r="D1738">
        <v>20.46</v>
      </c>
      <c r="E1738">
        <v>19.75</v>
      </c>
      <c r="F1738">
        <v>57.73</v>
      </c>
      <c r="G1738">
        <v>0.01</v>
      </c>
    </row>
    <row r="1739" spans="1:7" hidden="1">
      <c r="A1739">
        <v>134</v>
      </c>
      <c r="B1739" t="s">
        <v>1103</v>
      </c>
      <c r="C1739" t="s">
        <v>966</v>
      </c>
      <c r="D1739">
        <v>0</v>
      </c>
      <c r="E1739">
        <v>18.05</v>
      </c>
      <c r="F1739">
        <v>0</v>
      </c>
      <c r="G1739">
        <v>0</v>
      </c>
    </row>
    <row r="1740" spans="1:7" hidden="1">
      <c r="A1740">
        <v>134</v>
      </c>
      <c r="B1740" t="s">
        <v>1103</v>
      </c>
      <c r="C1740" t="s">
        <v>967</v>
      </c>
      <c r="D1740">
        <v>0.33</v>
      </c>
      <c r="E1740">
        <v>17.91</v>
      </c>
      <c r="F1740">
        <v>0.84</v>
      </c>
      <c r="G1740">
        <v>0</v>
      </c>
    </row>
    <row r="1741" spans="1:7" hidden="1">
      <c r="A1741">
        <v>134</v>
      </c>
      <c r="B1741" t="s">
        <v>1103</v>
      </c>
      <c r="C1741" t="s">
        <v>968</v>
      </c>
      <c r="D1741">
        <v>1.34</v>
      </c>
      <c r="E1741">
        <v>18.09</v>
      </c>
      <c r="F1741">
        <v>3.46</v>
      </c>
      <c r="G1741">
        <v>0</v>
      </c>
    </row>
    <row r="1742" spans="1:7" hidden="1">
      <c r="A1742">
        <v>134</v>
      </c>
      <c r="B1742" t="s">
        <v>1103</v>
      </c>
      <c r="C1742" t="s">
        <v>969</v>
      </c>
      <c r="D1742">
        <v>0.19</v>
      </c>
      <c r="E1742">
        <v>24.75</v>
      </c>
      <c r="F1742">
        <v>0.67</v>
      </c>
      <c r="G1742">
        <v>0</v>
      </c>
    </row>
    <row r="1743" spans="1:7" hidden="1">
      <c r="A1743">
        <v>134</v>
      </c>
      <c r="B1743" t="s">
        <v>1103</v>
      </c>
      <c r="C1743" t="s">
        <v>970</v>
      </c>
      <c r="D1743">
        <v>0.46</v>
      </c>
      <c r="E1743">
        <v>24.75</v>
      </c>
      <c r="F1743">
        <v>1.64</v>
      </c>
      <c r="G1743">
        <v>0</v>
      </c>
    </row>
    <row r="1744" spans="1:7" hidden="1">
      <c r="A1744">
        <v>135</v>
      </c>
      <c r="B1744" t="s">
        <v>1104</v>
      </c>
      <c r="C1744" t="s">
        <v>959</v>
      </c>
      <c r="D1744">
        <v>5.51</v>
      </c>
      <c r="E1744">
        <v>18.309999999999999</v>
      </c>
      <c r="F1744">
        <v>14.42</v>
      </c>
      <c r="G1744">
        <v>0</v>
      </c>
    </row>
    <row r="1745" spans="1:7" hidden="1">
      <c r="A1745">
        <v>135</v>
      </c>
      <c r="B1745" t="s">
        <v>1104</v>
      </c>
      <c r="C1745" t="s">
        <v>960</v>
      </c>
      <c r="D1745">
        <v>5.34</v>
      </c>
      <c r="E1745">
        <v>18.399999999999999</v>
      </c>
      <c r="F1745">
        <v>14.03</v>
      </c>
      <c r="G1745">
        <v>0</v>
      </c>
    </row>
    <row r="1746" spans="1:7" hidden="1">
      <c r="A1746">
        <v>135</v>
      </c>
      <c r="B1746" t="s">
        <v>1104</v>
      </c>
      <c r="C1746" t="s">
        <v>961</v>
      </c>
      <c r="D1746">
        <v>3</v>
      </c>
      <c r="E1746">
        <v>20.059999999999999</v>
      </c>
      <c r="F1746">
        <v>8.59</v>
      </c>
      <c r="G1746">
        <v>0</v>
      </c>
    </row>
    <row r="1747" spans="1:7" hidden="1">
      <c r="A1747">
        <v>135</v>
      </c>
      <c r="B1747" t="s">
        <v>1104</v>
      </c>
      <c r="C1747" t="s">
        <v>962</v>
      </c>
      <c r="D1747">
        <v>1.23</v>
      </c>
      <c r="E1747">
        <v>24.72</v>
      </c>
      <c r="F1747">
        <v>4.3600000000000003</v>
      </c>
      <c r="G1747">
        <v>0</v>
      </c>
    </row>
    <row r="1748" spans="1:7" hidden="1">
      <c r="A1748">
        <v>135</v>
      </c>
      <c r="B1748" t="s">
        <v>1104</v>
      </c>
      <c r="C1748" t="s">
        <v>963</v>
      </c>
      <c r="D1748">
        <v>3.05</v>
      </c>
      <c r="E1748">
        <v>18.13</v>
      </c>
      <c r="F1748">
        <v>7.89</v>
      </c>
      <c r="G1748">
        <v>0</v>
      </c>
    </row>
    <row r="1749" spans="1:7" hidden="1">
      <c r="A1749">
        <v>135</v>
      </c>
      <c r="B1749" t="s">
        <v>1104</v>
      </c>
      <c r="C1749" t="s">
        <v>964</v>
      </c>
      <c r="D1749">
        <v>0.16</v>
      </c>
      <c r="E1749">
        <v>21.87</v>
      </c>
      <c r="F1749">
        <v>0.51</v>
      </c>
      <c r="G1749">
        <v>0</v>
      </c>
    </row>
    <row r="1750" spans="1:7" hidden="1">
      <c r="A1750">
        <v>135</v>
      </c>
      <c r="B1750" t="s">
        <v>1104</v>
      </c>
      <c r="C1750" t="s">
        <v>965</v>
      </c>
      <c r="D1750">
        <v>2.33</v>
      </c>
      <c r="E1750">
        <v>24.75</v>
      </c>
      <c r="F1750">
        <v>8.24</v>
      </c>
      <c r="G1750">
        <v>0</v>
      </c>
    </row>
    <row r="1751" spans="1:7">
      <c r="A1751">
        <v>135</v>
      </c>
      <c r="B1751" t="s">
        <v>1104</v>
      </c>
      <c r="C1751" t="s">
        <v>24</v>
      </c>
      <c r="D1751">
        <v>20.61</v>
      </c>
      <c r="E1751">
        <v>19.7</v>
      </c>
      <c r="F1751">
        <v>58.02</v>
      </c>
      <c r="G1751">
        <v>0</v>
      </c>
    </row>
    <row r="1752" spans="1:7" hidden="1">
      <c r="A1752">
        <v>135</v>
      </c>
      <c r="B1752" t="s">
        <v>1104</v>
      </c>
      <c r="C1752" t="s">
        <v>966</v>
      </c>
      <c r="D1752">
        <v>0</v>
      </c>
      <c r="E1752">
        <v>18.05</v>
      </c>
      <c r="F1752">
        <v>0</v>
      </c>
      <c r="G1752">
        <v>0</v>
      </c>
    </row>
    <row r="1753" spans="1:7" hidden="1">
      <c r="A1753">
        <v>135</v>
      </c>
      <c r="B1753" t="s">
        <v>1104</v>
      </c>
      <c r="C1753" t="s">
        <v>967</v>
      </c>
      <c r="D1753">
        <v>0.27</v>
      </c>
      <c r="E1753">
        <v>17.91</v>
      </c>
      <c r="F1753">
        <v>0.7</v>
      </c>
      <c r="G1753">
        <v>0</v>
      </c>
    </row>
    <row r="1754" spans="1:7" hidden="1">
      <c r="A1754">
        <v>135</v>
      </c>
      <c r="B1754" t="s">
        <v>1104</v>
      </c>
      <c r="C1754" t="s">
        <v>968</v>
      </c>
      <c r="D1754">
        <v>1.64</v>
      </c>
      <c r="E1754">
        <v>18.09</v>
      </c>
      <c r="F1754">
        <v>4.2300000000000004</v>
      </c>
      <c r="G1754">
        <v>0</v>
      </c>
    </row>
    <row r="1755" spans="1:7" hidden="1">
      <c r="A1755">
        <v>135</v>
      </c>
      <c r="B1755" t="s">
        <v>1104</v>
      </c>
      <c r="C1755" t="s">
        <v>969</v>
      </c>
      <c r="D1755">
        <v>0.13</v>
      </c>
      <c r="E1755">
        <v>24.75</v>
      </c>
      <c r="F1755">
        <v>0.45</v>
      </c>
      <c r="G1755">
        <v>0</v>
      </c>
    </row>
    <row r="1756" spans="1:7" hidden="1">
      <c r="A1756">
        <v>135</v>
      </c>
      <c r="B1756" t="s">
        <v>1104</v>
      </c>
      <c r="C1756" t="s">
        <v>970</v>
      </c>
      <c r="D1756">
        <v>0.56000000000000005</v>
      </c>
      <c r="E1756">
        <v>24.75</v>
      </c>
      <c r="F1756">
        <v>1.99</v>
      </c>
      <c r="G1756">
        <v>0</v>
      </c>
    </row>
    <row r="1757" spans="1:7" hidden="1">
      <c r="A1757">
        <v>136</v>
      </c>
      <c r="B1757" t="s">
        <v>1105</v>
      </c>
      <c r="C1757" t="s">
        <v>959</v>
      </c>
      <c r="D1757">
        <v>4.72</v>
      </c>
      <c r="E1757">
        <v>18.309999999999999</v>
      </c>
      <c r="F1757">
        <v>12.36</v>
      </c>
      <c r="G1757">
        <v>0.13</v>
      </c>
    </row>
    <row r="1758" spans="1:7" hidden="1">
      <c r="A1758">
        <v>136</v>
      </c>
      <c r="B1758" t="s">
        <v>1105</v>
      </c>
      <c r="C1758" t="s">
        <v>960</v>
      </c>
      <c r="D1758">
        <v>4.29</v>
      </c>
      <c r="E1758">
        <v>18.399999999999999</v>
      </c>
      <c r="F1758">
        <v>11.27</v>
      </c>
      <c r="G1758">
        <v>0.13</v>
      </c>
    </row>
    <row r="1759" spans="1:7" hidden="1">
      <c r="A1759">
        <v>136</v>
      </c>
      <c r="B1759" t="s">
        <v>1105</v>
      </c>
      <c r="C1759" t="s">
        <v>961</v>
      </c>
      <c r="D1759">
        <v>2.84</v>
      </c>
      <c r="E1759">
        <v>20.059999999999999</v>
      </c>
      <c r="F1759">
        <v>8.1300000000000008</v>
      </c>
      <c r="G1759">
        <v>0.02</v>
      </c>
    </row>
    <row r="1760" spans="1:7" hidden="1">
      <c r="A1760">
        <v>136</v>
      </c>
      <c r="B1760" t="s">
        <v>1105</v>
      </c>
      <c r="C1760" t="s">
        <v>962</v>
      </c>
      <c r="D1760">
        <v>1.21</v>
      </c>
      <c r="E1760">
        <v>24.72</v>
      </c>
      <c r="F1760">
        <v>4.29</v>
      </c>
      <c r="G1760">
        <v>0.02</v>
      </c>
    </row>
    <row r="1761" spans="1:7" hidden="1">
      <c r="A1761">
        <v>136</v>
      </c>
      <c r="B1761" t="s">
        <v>1105</v>
      </c>
      <c r="C1761" t="s">
        <v>963</v>
      </c>
      <c r="D1761">
        <v>2.97</v>
      </c>
      <c r="E1761">
        <v>18.13</v>
      </c>
      <c r="F1761">
        <v>7.7</v>
      </c>
      <c r="G1761">
        <v>0.06</v>
      </c>
    </row>
    <row r="1762" spans="1:7" hidden="1">
      <c r="A1762">
        <v>136</v>
      </c>
      <c r="B1762" t="s">
        <v>1105</v>
      </c>
      <c r="C1762" t="s">
        <v>964</v>
      </c>
      <c r="D1762">
        <v>0.12</v>
      </c>
      <c r="E1762">
        <v>21.87</v>
      </c>
      <c r="F1762">
        <v>0.38</v>
      </c>
      <c r="G1762">
        <v>0</v>
      </c>
    </row>
    <row r="1763" spans="1:7" hidden="1">
      <c r="A1763">
        <v>136</v>
      </c>
      <c r="B1763" t="s">
        <v>1105</v>
      </c>
      <c r="C1763" t="s">
        <v>965</v>
      </c>
      <c r="D1763">
        <v>2.31</v>
      </c>
      <c r="E1763">
        <v>24.75</v>
      </c>
      <c r="F1763">
        <v>8.16</v>
      </c>
      <c r="G1763">
        <v>0.04</v>
      </c>
    </row>
    <row r="1764" spans="1:7">
      <c r="A1764">
        <v>136</v>
      </c>
      <c r="B1764" t="s">
        <v>1105</v>
      </c>
      <c r="C1764" t="s">
        <v>24</v>
      </c>
      <c r="D1764">
        <v>18.46</v>
      </c>
      <c r="E1764">
        <v>19.82</v>
      </c>
      <c r="F1764">
        <v>52.28</v>
      </c>
      <c r="G1764">
        <v>0.4</v>
      </c>
    </row>
    <row r="1765" spans="1:7" hidden="1">
      <c r="A1765">
        <v>136</v>
      </c>
      <c r="B1765" t="s">
        <v>1105</v>
      </c>
      <c r="C1765" t="s">
        <v>966</v>
      </c>
      <c r="D1765">
        <v>0.7</v>
      </c>
      <c r="E1765">
        <v>18.05</v>
      </c>
      <c r="F1765">
        <v>1.82</v>
      </c>
      <c r="G1765">
        <v>0.68</v>
      </c>
    </row>
    <row r="1766" spans="1:7" hidden="1">
      <c r="A1766">
        <v>136</v>
      </c>
      <c r="B1766" t="s">
        <v>1105</v>
      </c>
      <c r="C1766" t="s">
        <v>967</v>
      </c>
      <c r="D1766">
        <v>0.16</v>
      </c>
      <c r="E1766">
        <v>17.91</v>
      </c>
      <c r="F1766">
        <v>0.41</v>
      </c>
      <c r="G1766">
        <v>0</v>
      </c>
    </row>
    <row r="1767" spans="1:7" hidden="1">
      <c r="A1767">
        <v>136</v>
      </c>
      <c r="B1767" t="s">
        <v>1105</v>
      </c>
      <c r="C1767" t="s">
        <v>968</v>
      </c>
      <c r="D1767">
        <v>1.06</v>
      </c>
      <c r="E1767">
        <v>18.09</v>
      </c>
      <c r="F1767">
        <v>2.74</v>
      </c>
      <c r="G1767">
        <v>0.01</v>
      </c>
    </row>
    <row r="1768" spans="1:7" hidden="1">
      <c r="A1768">
        <v>136</v>
      </c>
      <c r="B1768" t="s">
        <v>1105</v>
      </c>
      <c r="C1768" t="s">
        <v>969</v>
      </c>
      <c r="D1768">
        <v>0.16</v>
      </c>
      <c r="E1768">
        <v>24.75</v>
      </c>
      <c r="F1768">
        <v>0.55000000000000004</v>
      </c>
      <c r="G1768">
        <v>0</v>
      </c>
    </row>
    <row r="1769" spans="1:7" hidden="1">
      <c r="A1769">
        <v>136</v>
      </c>
      <c r="B1769" t="s">
        <v>1105</v>
      </c>
      <c r="C1769" t="s">
        <v>970</v>
      </c>
      <c r="D1769">
        <v>0.45</v>
      </c>
      <c r="E1769">
        <v>24.75</v>
      </c>
      <c r="F1769">
        <v>1.57</v>
      </c>
      <c r="G1769">
        <v>0.01</v>
      </c>
    </row>
    <row r="1770" spans="1:7" hidden="1">
      <c r="A1770">
        <v>137</v>
      </c>
      <c r="B1770" t="s">
        <v>1106</v>
      </c>
      <c r="C1770" t="s">
        <v>959</v>
      </c>
      <c r="D1770">
        <v>3.96</v>
      </c>
      <c r="E1770">
        <v>18.309999999999999</v>
      </c>
      <c r="F1770">
        <v>10.36</v>
      </c>
      <c r="G1770">
        <v>0.24</v>
      </c>
    </row>
    <row r="1771" spans="1:7" hidden="1">
      <c r="A1771">
        <v>137</v>
      </c>
      <c r="B1771" t="s">
        <v>1106</v>
      </c>
      <c r="C1771" t="s">
        <v>960</v>
      </c>
      <c r="D1771">
        <v>3.61</v>
      </c>
      <c r="E1771">
        <v>18.399999999999999</v>
      </c>
      <c r="F1771">
        <v>9.5</v>
      </c>
      <c r="G1771">
        <v>0.25</v>
      </c>
    </row>
    <row r="1772" spans="1:7" hidden="1">
      <c r="A1772">
        <v>137</v>
      </c>
      <c r="B1772" t="s">
        <v>1106</v>
      </c>
      <c r="C1772" t="s">
        <v>961</v>
      </c>
      <c r="D1772">
        <v>2.56</v>
      </c>
      <c r="E1772">
        <v>20.059999999999999</v>
      </c>
      <c r="F1772">
        <v>7.34</v>
      </c>
      <c r="G1772">
        <v>0.05</v>
      </c>
    </row>
    <row r="1773" spans="1:7" hidden="1">
      <c r="A1773">
        <v>137</v>
      </c>
      <c r="B1773" t="s">
        <v>1106</v>
      </c>
      <c r="C1773" t="s">
        <v>962</v>
      </c>
      <c r="D1773">
        <v>1.1399999999999999</v>
      </c>
      <c r="E1773">
        <v>24.72</v>
      </c>
      <c r="F1773">
        <v>4.04</v>
      </c>
      <c r="G1773">
        <v>0.04</v>
      </c>
    </row>
    <row r="1774" spans="1:7" hidden="1">
      <c r="A1774">
        <v>137</v>
      </c>
      <c r="B1774" t="s">
        <v>1106</v>
      </c>
      <c r="C1774" t="s">
        <v>963</v>
      </c>
      <c r="D1774">
        <v>2.94</v>
      </c>
      <c r="E1774">
        <v>18.13</v>
      </c>
      <c r="F1774">
        <v>7.62</v>
      </c>
      <c r="G1774">
        <v>0.12</v>
      </c>
    </row>
    <row r="1775" spans="1:7" hidden="1">
      <c r="A1775">
        <v>137</v>
      </c>
      <c r="B1775" t="s">
        <v>1106</v>
      </c>
      <c r="C1775" t="s">
        <v>964</v>
      </c>
      <c r="D1775">
        <v>0.11</v>
      </c>
      <c r="E1775">
        <v>21.87</v>
      </c>
      <c r="F1775">
        <v>0.34</v>
      </c>
      <c r="G1775">
        <v>0</v>
      </c>
    </row>
    <row r="1776" spans="1:7" hidden="1">
      <c r="A1776">
        <v>137</v>
      </c>
      <c r="B1776" t="s">
        <v>1106</v>
      </c>
      <c r="C1776" t="s">
        <v>965</v>
      </c>
      <c r="D1776">
        <v>2.2999999999999998</v>
      </c>
      <c r="E1776">
        <v>24.75</v>
      </c>
      <c r="F1776">
        <v>8.1300000000000008</v>
      </c>
      <c r="G1776">
        <v>7.0000000000000007E-2</v>
      </c>
    </row>
    <row r="1777" spans="1:7">
      <c r="A1777">
        <v>137</v>
      </c>
      <c r="B1777" t="s">
        <v>1106</v>
      </c>
      <c r="C1777" t="s">
        <v>24</v>
      </c>
      <c r="D1777">
        <v>16.63</v>
      </c>
      <c r="E1777">
        <v>19.920000000000002</v>
      </c>
      <c r="F1777">
        <v>47.33</v>
      </c>
      <c r="G1777">
        <v>0.77</v>
      </c>
    </row>
    <row r="1778" spans="1:7" hidden="1">
      <c r="A1778">
        <v>137</v>
      </c>
      <c r="B1778" t="s">
        <v>1106</v>
      </c>
      <c r="C1778" t="s">
        <v>966</v>
      </c>
      <c r="D1778">
        <v>1.41</v>
      </c>
      <c r="E1778">
        <v>18.05</v>
      </c>
      <c r="F1778">
        <v>3.63</v>
      </c>
      <c r="G1778">
        <v>1.37</v>
      </c>
    </row>
    <row r="1779" spans="1:7" hidden="1">
      <c r="A1779">
        <v>137</v>
      </c>
      <c r="B1779" t="s">
        <v>1106</v>
      </c>
      <c r="C1779" t="s">
        <v>967</v>
      </c>
      <c r="D1779">
        <v>0.1</v>
      </c>
      <c r="E1779">
        <v>17.91</v>
      </c>
      <c r="F1779">
        <v>0.25</v>
      </c>
      <c r="G1779">
        <v>0</v>
      </c>
    </row>
    <row r="1780" spans="1:7" hidden="1">
      <c r="A1780">
        <v>137</v>
      </c>
      <c r="B1780" t="s">
        <v>1106</v>
      </c>
      <c r="C1780" t="s">
        <v>968</v>
      </c>
      <c r="D1780">
        <v>0.53</v>
      </c>
      <c r="E1780">
        <v>18.09</v>
      </c>
      <c r="F1780">
        <v>1.37</v>
      </c>
      <c r="G1780">
        <v>0.01</v>
      </c>
    </row>
    <row r="1781" spans="1:7" hidden="1">
      <c r="A1781">
        <v>137</v>
      </c>
      <c r="B1781" t="s">
        <v>1106</v>
      </c>
      <c r="C1781" t="s">
        <v>969</v>
      </c>
      <c r="D1781">
        <v>0.2</v>
      </c>
      <c r="E1781">
        <v>24.75</v>
      </c>
      <c r="F1781">
        <v>0.72</v>
      </c>
      <c r="G1781">
        <v>0</v>
      </c>
    </row>
    <row r="1782" spans="1:7" hidden="1">
      <c r="A1782">
        <v>137</v>
      </c>
      <c r="B1782" t="s">
        <v>1106</v>
      </c>
      <c r="C1782" t="s">
        <v>970</v>
      </c>
      <c r="D1782">
        <v>0.35</v>
      </c>
      <c r="E1782">
        <v>24.75</v>
      </c>
      <c r="F1782">
        <v>1.24</v>
      </c>
      <c r="G1782">
        <v>0.02</v>
      </c>
    </row>
    <row r="1783" spans="1:7" hidden="1">
      <c r="A1783">
        <v>138</v>
      </c>
      <c r="B1783" t="s">
        <v>1107</v>
      </c>
      <c r="C1783" t="s">
        <v>959</v>
      </c>
      <c r="D1783">
        <v>5.1100000000000003</v>
      </c>
      <c r="E1783">
        <v>18.309999999999999</v>
      </c>
      <c r="F1783">
        <v>13.37</v>
      </c>
      <c r="G1783">
        <v>7.0000000000000007E-2</v>
      </c>
    </row>
    <row r="1784" spans="1:7" hidden="1">
      <c r="A1784">
        <v>138</v>
      </c>
      <c r="B1784" t="s">
        <v>1107</v>
      </c>
      <c r="C1784" t="s">
        <v>960</v>
      </c>
      <c r="D1784">
        <v>4.5599999999999996</v>
      </c>
      <c r="E1784">
        <v>18.399999999999999</v>
      </c>
      <c r="F1784">
        <v>11.98</v>
      </c>
      <c r="G1784">
        <v>0.02</v>
      </c>
    </row>
    <row r="1785" spans="1:7" hidden="1">
      <c r="A1785">
        <v>138</v>
      </c>
      <c r="B1785" t="s">
        <v>1107</v>
      </c>
      <c r="C1785" t="s">
        <v>961</v>
      </c>
      <c r="D1785">
        <v>3.25</v>
      </c>
      <c r="E1785">
        <v>20.059999999999999</v>
      </c>
      <c r="F1785">
        <v>9.31</v>
      </c>
      <c r="G1785">
        <v>0</v>
      </c>
    </row>
    <row r="1786" spans="1:7" hidden="1">
      <c r="A1786">
        <v>138</v>
      </c>
      <c r="B1786" t="s">
        <v>1107</v>
      </c>
      <c r="C1786" t="s">
        <v>962</v>
      </c>
      <c r="D1786">
        <v>1.2</v>
      </c>
      <c r="E1786">
        <v>24.72</v>
      </c>
      <c r="F1786">
        <v>4.24</v>
      </c>
      <c r="G1786">
        <v>0</v>
      </c>
    </row>
    <row r="1787" spans="1:7" hidden="1">
      <c r="A1787">
        <v>138</v>
      </c>
      <c r="B1787" t="s">
        <v>1107</v>
      </c>
      <c r="C1787" t="s">
        <v>963</v>
      </c>
      <c r="D1787">
        <v>3.07</v>
      </c>
      <c r="E1787">
        <v>18.13</v>
      </c>
      <c r="F1787">
        <v>7.96</v>
      </c>
      <c r="G1787">
        <v>0.01</v>
      </c>
    </row>
    <row r="1788" spans="1:7" hidden="1">
      <c r="A1788">
        <v>138</v>
      </c>
      <c r="B1788" t="s">
        <v>1107</v>
      </c>
      <c r="C1788" t="s">
        <v>964</v>
      </c>
      <c r="D1788">
        <v>0.12</v>
      </c>
      <c r="E1788">
        <v>21.87</v>
      </c>
      <c r="F1788">
        <v>0.36</v>
      </c>
      <c r="G1788">
        <v>0</v>
      </c>
    </row>
    <row r="1789" spans="1:7" hidden="1">
      <c r="A1789">
        <v>138</v>
      </c>
      <c r="B1789" t="s">
        <v>1107</v>
      </c>
      <c r="C1789" t="s">
        <v>965</v>
      </c>
      <c r="D1789">
        <v>2.33</v>
      </c>
      <c r="E1789">
        <v>24.75</v>
      </c>
      <c r="F1789">
        <v>8.25</v>
      </c>
      <c r="G1789">
        <v>0.01</v>
      </c>
    </row>
    <row r="1790" spans="1:7">
      <c r="A1790">
        <v>138</v>
      </c>
      <c r="B1790" t="s">
        <v>1107</v>
      </c>
      <c r="C1790" t="s">
        <v>24</v>
      </c>
      <c r="D1790">
        <v>19.64</v>
      </c>
      <c r="E1790">
        <v>19.77</v>
      </c>
      <c r="F1790">
        <v>55.46</v>
      </c>
      <c r="G1790">
        <v>0.12</v>
      </c>
    </row>
    <row r="1791" spans="1:7" hidden="1">
      <c r="A1791">
        <v>138</v>
      </c>
      <c r="B1791" t="s">
        <v>1107</v>
      </c>
      <c r="C1791" t="s">
        <v>966</v>
      </c>
      <c r="D1791">
        <v>0.06</v>
      </c>
      <c r="E1791">
        <v>18.05</v>
      </c>
      <c r="F1791">
        <v>0.17</v>
      </c>
      <c r="G1791">
        <v>0.06</v>
      </c>
    </row>
    <row r="1792" spans="1:7" hidden="1">
      <c r="A1792">
        <v>138</v>
      </c>
      <c r="B1792" t="s">
        <v>1107</v>
      </c>
      <c r="C1792" t="s">
        <v>967</v>
      </c>
      <c r="D1792">
        <v>0.24</v>
      </c>
      <c r="E1792">
        <v>17.91</v>
      </c>
      <c r="F1792">
        <v>0.61</v>
      </c>
      <c r="G1792">
        <v>0</v>
      </c>
    </row>
    <row r="1793" spans="1:7" hidden="1">
      <c r="A1793">
        <v>138</v>
      </c>
      <c r="B1793" t="s">
        <v>1107</v>
      </c>
      <c r="C1793" t="s">
        <v>968</v>
      </c>
      <c r="D1793">
        <v>1.28</v>
      </c>
      <c r="E1793">
        <v>18.09</v>
      </c>
      <c r="F1793">
        <v>3.32</v>
      </c>
      <c r="G1793">
        <v>0</v>
      </c>
    </row>
    <row r="1794" spans="1:7" hidden="1">
      <c r="A1794">
        <v>138</v>
      </c>
      <c r="B1794" t="s">
        <v>1107</v>
      </c>
      <c r="C1794" t="s">
        <v>969</v>
      </c>
      <c r="D1794">
        <v>0.15</v>
      </c>
      <c r="E1794">
        <v>24.75</v>
      </c>
      <c r="F1794">
        <v>0.54</v>
      </c>
      <c r="G1794">
        <v>0</v>
      </c>
    </row>
    <row r="1795" spans="1:7" hidden="1">
      <c r="A1795">
        <v>138</v>
      </c>
      <c r="B1795" t="s">
        <v>1107</v>
      </c>
      <c r="C1795" t="s">
        <v>970</v>
      </c>
      <c r="D1795">
        <v>0.5</v>
      </c>
      <c r="E1795">
        <v>24.75</v>
      </c>
      <c r="F1795">
        <v>1.78</v>
      </c>
      <c r="G1795">
        <v>0</v>
      </c>
    </row>
    <row r="1796" spans="1:7" hidden="1">
      <c r="A1796">
        <v>139</v>
      </c>
      <c r="B1796" t="s">
        <v>1108</v>
      </c>
      <c r="C1796" t="s">
        <v>959</v>
      </c>
      <c r="D1796">
        <v>5.71</v>
      </c>
      <c r="E1796">
        <v>18.309999999999999</v>
      </c>
      <c r="F1796">
        <v>14.94</v>
      </c>
      <c r="G1796">
        <v>0</v>
      </c>
    </row>
    <row r="1797" spans="1:7" hidden="1">
      <c r="A1797">
        <v>139</v>
      </c>
      <c r="B1797" t="s">
        <v>1108</v>
      </c>
      <c r="C1797" t="s">
        <v>960</v>
      </c>
      <c r="D1797">
        <v>5.22</v>
      </c>
      <c r="E1797">
        <v>18.399999999999999</v>
      </c>
      <c r="F1797">
        <v>13.73</v>
      </c>
      <c r="G1797">
        <v>0.01</v>
      </c>
    </row>
    <row r="1798" spans="1:7" hidden="1">
      <c r="A1798">
        <v>139</v>
      </c>
      <c r="B1798" t="s">
        <v>1108</v>
      </c>
      <c r="C1798" t="s">
        <v>961</v>
      </c>
      <c r="D1798">
        <v>2.93</v>
      </c>
      <c r="E1798">
        <v>20.059999999999999</v>
      </c>
      <c r="F1798">
        <v>8.4</v>
      </c>
      <c r="G1798">
        <v>0</v>
      </c>
    </row>
    <row r="1799" spans="1:7" hidden="1">
      <c r="A1799">
        <v>139</v>
      </c>
      <c r="B1799" t="s">
        <v>1108</v>
      </c>
      <c r="C1799" t="s">
        <v>962</v>
      </c>
      <c r="D1799">
        <v>1.35</v>
      </c>
      <c r="E1799">
        <v>24.72</v>
      </c>
      <c r="F1799">
        <v>4.76</v>
      </c>
      <c r="G1799">
        <v>0</v>
      </c>
    </row>
    <row r="1800" spans="1:7" hidden="1">
      <c r="A1800">
        <v>139</v>
      </c>
      <c r="B1800" t="s">
        <v>1108</v>
      </c>
      <c r="C1800" t="s">
        <v>963</v>
      </c>
      <c r="D1800">
        <v>2.93</v>
      </c>
      <c r="E1800">
        <v>18.13</v>
      </c>
      <c r="F1800">
        <v>7.59</v>
      </c>
      <c r="G1800">
        <v>0</v>
      </c>
    </row>
    <row r="1801" spans="1:7" hidden="1">
      <c r="A1801">
        <v>139</v>
      </c>
      <c r="B1801" t="s">
        <v>1108</v>
      </c>
      <c r="C1801" t="s">
        <v>964</v>
      </c>
      <c r="D1801">
        <v>0.15</v>
      </c>
      <c r="E1801">
        <v>21.87</v>
      </c>
      <c r="F1801">
        <v>0.48</v>
      </c>
      <c r="G1801">
        <v>0</v>
      </c>
    </row>
    <row r="1802" spans="1:7" hidden="1">
      <c r="A1802">
        <v>139</v>
      </c>
      <c r="B1802" t="s">
        <v>1108</v>
      </c>
      <c r="C1802" t="s">
        <v>965</v>
      </c>
      <c r="D1802">
        <v>2.29</v>
      </c>
      <c r="E1802">
        <v>24.75</v>
      </c>
      <c r="F1802">
        <v>8.11</v>
      </c>
      <c r="G1802">
        <v>0</v>
      </c>
    </row>
    <row r="1803" spans="1:7">
      <c r="A1803">
        <v>139</v>
      </c>
      <c r="B1803" t="s">
        <v>1108</v>
      </c>
      <c r="C1803" t="s">
        <v>24</v>
      </c>
      <c r="D1803">
        <v>20.59</v>
      </c>
      <c r="E1803">
        <v>19.72</v>
      </c>
      <c r="F1803">
        <v>58.01</v>
      </c>
      <c r="G1803">
        <v>0.02</v>
      </c>
    </row>
    <row r="1804" spans="1:7" hidden="1">
      <c r="A1804">
        <v>139</v>
      </c>
      <c r="B1804" t="s">
        <v>1108</v>
      </c>
      <c r="C1804" t="s">
        <v>966</v>
      </c>
      <c r="D1804">
        <v>7.0000000000000007E-2</v>
      </c>
      <c r="E1804">
        <v>18.05</v>
      </c>
      <c r="F1804">
        <v>0.19</v>
      </c>
      <c r="G1804">
        <v>7.0000000000000007E-2</v>
      </c>
    </row>
    <row r="1805" spans="1:7" hidden="1">
      <c r="A1805">
        <v>139</v>
      </c>
      <c r="B1805" t="s">
        <v>1108</v>
      </c>
      <c r="C1805" t="s">
        <v>967</v>
      </c>
      <c r="D1805">
        <v>0.19</v>
      </c>
      <c r="E1805">
        <v>17.91</v>
      </c>
      <c r="F1805">
        <v>0.48</v>
      </c>
      <c r="G1805">
        <v>0</v>
      </c>
    </row>
    <row r="1806" spans="1:7" hidden="1">
      <c r="A1806">
        <v>139</v>
      </c>
      <c r="B1806" t="s">
        <v>1108</v>
      </c>
      <c r="C1806" t="s">
        <v>968</v>
      </c>
      <c r="D1806">
        <v>1.79</v>
      </c>
      <c r="E1806">
        <v>18.09</v>
      </c>
      <c r="F1806">
        <v>4.63</v>
      </c>
      <c r="G1806">
        <v>0</v>
      </c>
    </row>
    <row r="1807" spans="1:7" hidden="1">
      <c r="A1807">
        <v>139</v>
      </c>
      <c r="B1807" t="s">
        <v>1108</v>
      </c>
      <c r="C1807" t="s">
        <v>969</v>
      </c>
      <c r="D1807">
        <v>0.08</v>
      </c>
      <c r="E1807">
        <v>24.75</v>
      </c>
      <c r="F1807">
        <v>0.27</v>
      </c>
      <c r="G1807">
        <v>0</v>
      </c>
    </row>
    <row r="1808" spans="1:7" hidden="1">
      <c r="A1808">
        <v>139</v>
      </c>
      <c r="B1808" t="s">
        <v>1108</v>
      </c>
      <c r="C1808" t="s">
        <v>970</v>
      </c>
      <c r="D1808">
        <v>0.56000000000000005</v>
      </c>
      <c r="E1808">
        <v>24.75</v>
      </c>
      <c r="F1808">
        <v>1.98</v>
      </c>
      <c r="G1808">
        <v>0</v>
      </c>
    </row>
    <row r="1809" spans="1:7" hidden="1">
      <c r="A1809">
        <v>140</v>
      </c>
      <c r="B1809" t="s">
        <v>1109</v>
      </c>
      <c r="C1809" t="s">
        <v>959</v>
      </c>
      <c r="D1809">
        <v>5.73</v>
      </c>
      <c r="E1809">
        <v>18.309999999999999</v>
      </c>
      <c r="F1809">
        <v>14.98</v>
      </c>
      <c r="G1809">
        <v>3.95</v>
      </c>
    </row>
    <row r="1810" spans="1:7" hidden="1">
      <c r="A1810">
        <v>140</v>
      </c>
      <c r="B1810" t="s">
        <v>1109</v>
      </c>
      <c r="C1810" t="s">
        <v>960</v>
      </c>
      <c r="D1810">
        <v>5.88</v>
      </c>
      <c r="E1810">
        <v>18.399999999999999</v>
      </c>
      <c r="F1810">
        <v>15.44</v>
      </c>
      <c r="G1810">
        <v>4.46</v>
      </c>
    </row>
    <row r="1811" spans="1:7" hidden="1">
      <c r="A1811">
        <v>140</v>
      </c>
      <c r="B1811" t="s">
        <v>1109</v>
      </c>
      <c r="C1811" t="s">
        <v>961</v>
      </c>
      <c r="D1811">
        <v>1.17</v>
      </c>
      <c r="E1811">
        <v>20.059999999999999</v>
      </c>
      <c r="F1811">
        <v>3.36</v>
      </c>
      <c r="G1811">
        <v>0.87</v>
      </c>
    </row>
    <row r="1812" spans="1:7" hidden="1">
      <c r="A1812">
        <v>140</v>
      </c>
      <c r="B1812" t="s">
        <v>1109</v>
      </c>
      <c r="C1812" t="s">
        <v>962</v>
      </c>
      <c r="D1812">
        <v>0.49</v>
      </c>
      <c r="E1812">
        <v>24.72</v>
      </c>
      <c r="F1812">
        <v>1.72</v>
      </c>
      <c r="G1812">
        <v>0.33</v>
      </c>
    </row>
    <row r="1813" spans="1:7" hidden="1">
      <c r="A1813">
        <v>140</v>
      </c>
      <c r="B1813" t="s">
        <v>1109</v>
      </c>
      <c r="C1813" t="s">
        <v>963</v>
      </c>
      <c r="D1813">
        <v>1.86</v>
      </c>
      <c r="E1813">
        <v>18.13</v>
      </c>
      <c r="F1813">
        <v>4.83</v>
      </c>
      <c r="G1813">
        <v>0.95</v>
      </c>
    </row>
    <row r="1814" spans="1:7" hidden="1">
      <c r="A1814">
        <v>140</v>
      </c>
      <c r="B1814" t="s">
        <v>1109</v>
      </c>
      <c r="C1814" t="s">
        <v>964</v>
      </c>
      <c r="D1814">
        <v>0.06</v>
      </c>
      <c r="E1814">
        <v>21.87</v>
      </c>
      <c r="F1814">
        <v>0.18</v>
      </c>
      <c r="G1814">
        <v>0.04</v>
      </c>
    </row>
    <row r="1815" spans="1:7" hidden="1">
      <c r="A1815">
        <v>140</v>
      </c>
      <c r="B1815" t="s">
        <v>1109</v>
      </c>
      <c r="C1815" t="s">
        <v>965</v>
      </c>
      <c r="D1815">
        <v>1.55</v>
      </c>
      <c r="E1815">
        <v>24.75</v>
      </c>
      <c r="F1815">
        <v>5.49</v>
      </c>
      <c r="G1815">
        <v>0.76</v>
      </c>
    </row>
    <row r="1816" spans="1:7">
      <c r="A1816">
        <v>140</v>
      </c>
      <c r="B1816" t="s">
        <v>1109</v>
      </c>
      <c r="C1816" t="s">
        <v>24</v>
      </c>
      <c r="D1816">
        <v>16.739999999999998</v>
      </c>
      <c r="E1816">
        <v>19.239999999999998</v>
      </c>
      <c r="F1816">
        <v>46.01</v>
      </c>
      <c r="G1816">
        <v>11.37</v>
      </c>
    </row>
    <row r="1817" spans="1:7" hidden="1">
      <c r="A1817">
        <v>140</v>
      </c>
      <c r="B1817" t="s">
        <v>1109</v>
      </c>
      <c r="C1817" t="s">
        <v>966</v>
      </c>
      <c r="D1817">
        <v>8.83</v>
      </c>
      <c r="E1817">
        <v>18.05</v>
      </c>
      <c r="F1817">
        <v>22.76</v>
      </c>
      <c r="G1817">
        <v>8.42</v>
      </c>
    </row>
    <row r="1818" spans="1:7" hidden="1">
      <c r="A1818">
        <v>140</v>
      </c>
      <c r="B1818" t="s">
        <v>1109</v>
      </c>
      <c r="C1818" t="s">
        <v>967</v>
      </c>
      <c r="D1818">
        <v>0.24</v>
      </c>
      <c r="E1818">
        <v>17.91</v>
      </c>
      <c r="F1818">
        <v>0.61</v>
      </c>
      <c r="G1818">
        <v>7.0000000000000007E-2</v>
      </c>
    </row>
    <row r="1819" spans="1:7" hidden="1">
      <c r="A1819">
        <v>140</v>
      </c>
      <c r="B1819" t="s">
        <v>1109</v>
      </c>
      <c r="C1819" t="s">
        <v>968</v>
      </c>
      <c r="D1819">
        <v>0.56999999999999995</v>
      </c>
      <c r="E1819">
        <v>18.09</v>
      </c>
      <c r="F1819">
        <v>1.49</v>
      </c>
      <c r="G1819">
        <v>0.48</v>
      </c>
    </row>
    <row r="1820" spans="1:7" hidden="1">
      <c r="A1820">
        <v>140</v>
      </c>
      <c r="B1820" t="s">
        <v>1109</v>
      </c>
      <c r="C1820" t="s">
        <v>969</v>
      </c>
      <c r="D1820">
        <v>1.44</v>
      </c>
      <c r="E1820">
        <v>24.75</v>
      </c>
      <c r="F1820">
        <v>5.09</v>
      </c>
      <c r="G1820">
        <v>0.03</v>
      </c>
    </row>
    <row r="1821" spans="1:7" hidden="1">
      <c r="A1821">
        <v>140</v>
      </c>
      <c r="B1821" t="s">
        <v>1109</v>
      </c>
      <c r="C1821" t="s">
        <v>970</v>
      </c>
      <c r="D1821">
        <v>0.27</v>
      </c>
      <c r="E1821">
        <v>24.75</v>
      </c>
      <c r="F1821">
        <v>0.94</v>
      </c>
      <c r="G1821">
        <v>0.12</v>
      </c>
    </row>
    <row r="1822" spans="1:7" hidden="1">
      <c r="A1822">
        <v>141</v>
      </c>
      <c r="B1822" t="s">
        <v>1110</v>
      </c>
      <c r="C1822" t="s">
        <v>959</v>
      </c>
      <c r="D1822">
        <v>5.8</v>
      </c>
      <c r="E1822">
        <v>18.309999999999999</v>
      </c>
      <c r="F1822">
        <v>15.18</v>
      </c>
      <c r="G1822">
        <v>3.16</v>
      </c>
    </row>
    <row r="1823" spans="1:7" hidden="1">
      <c r="A1823">
        <v>141</v>
      </c>
      <c r="B1823" t="s">
        <v>1110</v>
      </c>
      <c r="C1823" t="s">
        <v>960</v>
      </c>
      <c r="D1823">
        <v>5.74</v>
      </c>
      <c r="E1823">
        <v>18.399999999999999</v>
      </c>
      <c r="F1823">
        <v>15.08</v>
      </c>
      <c r="G1823">
        <v>3.82</v>
      </c>
    </row>
    <row r="1824" spans="1:7" hidden="1">
      <c r="A1824">
        <v>141</v>
      </c>
      <c r="B1824" t="s">
        <v>1110</v>
      </c>
      <c r="C1824" t="s">
        <v>961</v>
      </c>
      <c r="D1824">
        <v>1.58</v>
      </c>
      <c r="E1824">
        <v>20.059999999999999</v>
      </c>
      <c r="F1824">
        <v>4.51</v>
      </c>
      <c r="G1824">
        <v>1.0900000000000001</v>
      </c>
    </row>
    <row r="1825" spans="1:7" hidden="1">
      <c r="A1825">
        <v>141</v>
      </c>
      <c r="B1825" t="s">
        <v>1110</v>
      </c>
      <c r="C1825" t="s">
        <v>962</v>
      </c>
      <c r="D1825">
        <v>1.03</v>
      </c>
      <c r="E1825">
        <v>24.72</v>
      </c>
      <c r="F1825">
        <v>3.63</v>
      </c>
      <c r="G1825">
        <v>0.47</v>
      </c>
    </row>
    <row r="1826" spans="1:7" hidden="1">
      <c r="A1826">
        <v>141</v>
      </c>
      <c r="B1826" t="s">
        <v>1110</v>
      </c>
      <c r="C1826" t="s">
        <v>963</v>
      </c>
      <c r="D1826">
        <v>2.34</v>
      </c>
      <c r="E1826">
        <v>18.13</v>
      </c>
      <c r="F1826">
        <v>6.05</v>
      </c>
      <c r="G1826">
        <v>1.06</v>
      </c>
    </row>
    <row r="1827" spans="1:7" hidden="1">
      <c r="A1827">
        <v>141</v>
      </c>
      <c r="B1827" t="s">
        <v>1110</v>
      </c>
      <c r="C1827" t="s">
        <v>964</v>
      </c>
      <c r="D1827">
        <v>0.06</v>
      </c>
      <c r="E1827">
        <v>21.87</v>
      </c>
      <c r="F1827">
        <v>0.18</v>
      </c>
      <c r="G1827">
        <v>0</v>
      </c>
    </row>
    <row r="1828" spans="1:7" hidden="1">
      <c r="A1828">
        <v>141</v>
      </c>
      <c r="B1828" t="s">
        <v>1110</v>
      </c>
      <c r="C1828" t="s">
        <v>965</v>
      </c>
      <c r="D1828">
        <v>1.81</v>
      </c>
      <c r="E1828">
        <v>24.75</v>
      </c>
      <c r="F1828">
        <v>6.41</v>
      </c>
      <c r="G1828">
        <v>0.71</v>
      </c>
    </row>
    <row r="1829" spans="1:7">
      <c r="A1829">
        <v>141</v>
      </c>
      <c r="B1829" t="s">
        <v>1110</v>
      </c>
      <c r="C1829" t="s">
        <v>24</v>
      </c>
      <c r="D1829">
        <v>18.350000000000001</v>
      </c>
      <c r="E1829">
        <v>19.47</v>
      </c>
      <c r="F1829">
        <v>51.05</v>
      </c>
      <c r="G1829">
        <v>10.31</v>
      </c>
    </row>
    <row r="1830" spans="1:7" hidden="1">
      <c r="A1830">
        <v>141</v>
      </c>
      <c r="B1830" t="s">
        <v>1110</v>
      </c>
      <c r="C1830" t="s">
        <v>966</v>
      </c>
      <c r="D1830">
        <v>5.22</v>
      </c>
      <c r="E1830">
        <v>18.05</v>
      </c>
      <c r="F1830">
        <v>13.47</v>
      </c>
      <c r="G1830">
        <v>4.96</v>
      </c>
    </row>
    <row r="1831" spans="1:7" hidden="1">
      <c r="A1831">
        <v>141</v>
      </c>
      <c r="B1831" t="s">
        <v>1110</v>
      </c>
      <c r="C1831" t="s">
        <v>967</v>
      </c>
      <c r="D1831">
        <v>0.14000000000000001</v>
      </c>
      <c r="E1831">
        <v>17.91</v>
      </c>
      <c r="F1831">
        <v>0.35</v>
      </c>
      <c r="G1831">
        <v>0.04</v>
      </c>
    </row>
    <row r="1832" spans="1:7" hidden="1">
      <c r="A1832">
        <v>141</v>
      </c>
      <c r="B1832" t="s">
        <v>1110</v>
      </c>
      <c r="C1832" t="s">
        <v>968</v>
      </c>
      <c r="D1832">
        <v>0.35</v>
      </c>
      <c r="E1832">
        <v>18.09</v>
      </c>
      <c r="F1832">
        <v>0.91</v>
      </c>
      <c r="G1832">
        <v>0.15</v>
      </c>
    </row>
    <row r="1833" spans="1:7" hidden="1">
      <c r="A1833">
        <v>141</v>
      </c>
      <c r="B1833" t="s">
        <v>1110</v>
      </c>
      <c r="C1833" t="s">
        <v>969</v>
      </c>
      <c r="D1833">
        <v>1.1100000000000001</v>
      </c>
      <c r="E1833">
        <v>24.75</v>
      </c>
      <c r="F1833">
        <v>3.92</v>
      </c>
      <c r="G1833">
        <v>0.01</v>
      </c>
    </row>
    <row r="1834" spans="1:7" hidden="1">
      <c r="A1834">
        <v>141</v>
      </c>
      <c r="B1834" t="s">
        <v>1110</v>
      </c>
      <c r="C1834" t="s">
        <v>970</v>
      </c>
      <c r="D1834">
        <v>0.35</v>
      </c>
      <c r="E1834">
        <v>24.75</v>
      </c>
      <c r="F1834">
        <v>1.23</v>
      </c>
      <c r="G1834">
        <v>0.14000000000000001</v>
      </c>
    </row>
    <row r="1835" spans="1:7" hidden="1">
      <c r="A1835">
        <v>142</v>
      </c>
      <c r="B1835" t="s">
        <v>1111</v>
      </c>
      <c r="C1835" t="s">
        <v>959</v>
      </c>
      <c r="D1835">
        <v>5.5</v>
      </c>
      <c r="E1835">
        <v>18.309999999999999</v>
      </c>
      <c r="F1835">
        <v>14.38</v>
      </c>
      <c r="G1835">
        <v>0.01</v>
      </c>
    </row>
    <row r="1836" spans="1:7" hidden="1">
      <c r="A1836">
        <v>142</v>
      </c>
      <c r="B1836" t="s">
        <v>1111</v>
      </c>
      <c r="C1836" t="s">
        <v>960</v>
      </c>
      <c r="D1836">
        <v>6.58</v>
      </c>
      <c r="E1836">
        <v>18.399999999999999</v>
      </c>
      <c r="F1836">
        <v>17.29</v>
      </c>
      <c r="G1836">
        <v>0.03</v>
      </c>
    </row>
    <row r="1837" spans="1:7" hidden="1">
      <c r="A1837">
        <v>142</v>
      </c>
      <c r="B1837" t="s">
        <v>1111</v>
      </c>
      <c r="C1837" t="s">
        <v>961</v>
      </c>
      <c r="D1837">
        <v>1.9</v>
      </c>
      <c r="E1837">
        <v>20.059999999999999</v>
      </c>
      <c r="F1837">
        <v>5.45</v>
      </c>
      <c r="G1837">
        <v>0</v>
      </c>
    </row>
    <row r="1838" spans="1:7" hidden="1">
      <c r="A1838">
        <v>142</v>
      </c>
      <c r="B1838" t="s">
        <v>1111</v>
      </c>
      <c r="C1838" t="s">
        <v>962</v>
      </c>
      <c r="D1838">
        <v>1.04</v>
      </c>
      <c r="E1838">
        <v>24.72</v>
      </c>
      <c r="F1838">
        <v>3.69</v>
      </c>
      <c r="G1838">
        <v>0</v>
      </c>
    </row>
    <row r="1839" spans="1:7" hidden="1">
      <c r="A1839">
        <v>142</v>
      </c>
      <c r="B1839" t="s">
        <v>1111</v>
      </c>
      <c r="C1839" t="s">
        <v>963</v>
      </c>
      <c r="D1839">
        <v>3.99</v>
      </c>
      <c r="E1839">
        <v>18.13</v>
      </c>
      <c r="F1839">
        <v>10.34</v>
      </c>
      <c r="G1839">
        <v>0</v>
      </c>
    </row>
    <row r="1840" spans="1:7" hidden="1">
      <c r="A1840">
        <v>142</v>
      </c>
      <c r="B1840" t="s">
        <v>1111</v>
      </c>
      <c r="C1840" t="s">
        <v>964</v>
      </c>
      <c r="D1840">
        <v>0.06</v>
      </c>
      <c r="E1840">
        <v>21.87</v>
      </c>
      <c r="F1840">
        <v>0.18</v>
      </c>
      <c r="G1840">
        <v>0</v>
      </c>
    </row>
    <row r="1841" spans="1:7" hidden="1">
      <c r="A1841">
        <v>142</v>
      </c>
      <c r="B1841" t="s">
        <v>1111</v>
      </c>
      <c r="C1841" t="s">
        <v>965</v>
      </c>
      <c r="D1841">
        <v>2.65</v>
      </c>
      <c r="E1841">
        <v>24.75</v>
      </c>
      <c r="F1841">
        <v>9.3800000000000008</v>
      </c>
      <c r="G1841">
        <v>0</v>
      </c>
    </row>
    <row r="1842" spans="1:7">
      <c r="A1842">
        <v>142</v>
      </c>
      <c r="B1842" t="s">
        <v>1111</v>
      </c>
      <c r="C1842" t="s">
        <v>24</v>
      </c>
      <c r="D1842">
        <v>21.72</v>
      </c>
      <c r="E1842">
        <v>19.559999999999999</v>
      </c>
      <c r="F1842">
        <v>60.71</v>
      </c>
      <c r="G1842">
        <v>0.04</v>
      </c>
    </row>
    <row r="1843" spans="1:7" hidden="1">
      <c r="A1843">
        <v>142</v>
      </c>
      <c r="B1843" t="s">
        <v>1111</v>
      </c>
      <c r="C1843" t="s">
        <v>966</v>
      </c>
      <c r="D1843">
        <v>2.0499999999999998</v>
      </c>
      <c r="E1843">
        <v>18.05</v>
      </c>
      <c r="F1843">
        <v>5.29</v>
      </c>
      <c r="G1843">
        <v>1.75</v>
      </c>
    </row>
    <row r="1844" spans="1:7" hidden="1">
      <c r="A1844">
        <v>142</v>
      </c>
      <c r="B1844" t="s">
        <v>1111</v>
      </c>
      <c r="C1844" t="s">
        <v>967</v>
      </c>
      <c r="D1844">
        <v>0.26</v>
      </c>
      <c r="E1844">
        <v>17.91</v>
      </c>
      <c r="F1844">
        <v>0.66</v>
      </c>
      <c r="G1844">
        <v>0</v>
      </c>
    </row>
    <row r="1845" spans="1:7" hidden="1">
      <c r="A1845">
        <v>142</v>
      </c>
      <c r="B1845" t="s">
        <v>1111</v>
      </c>
      <c r="C1845" t="s">
        <v>968</v>
      </c>
      <c r="D1845">
        <v>1.35</v>
      </c>
      <c r="E1845">
        <v>18.09</v>
      </c>
      <c r="F1845">
        <v>3.48</v>
      </c>
      <c r="G1845">
        <v>0</v>
      </c>
    </row>
    <row r="1846" spans="1:7" hidden="1">
      <c r="A1846">
        <v>142</v>
      </c>
      <c r="B1846" t="s">
        <v>1111</v>
      </c>
      <c r="C1846" t="s">
        <v>969</v>
      </c>
      <c r="D1846">
        <v>1.04</v>
      </c>
      <c r="E1846">
        <v>24.75</v>
      </c>
      <c r="F1846">
        <v>3.69</v>
      </c>
      <c r="G1846">
        <v>0</v>
      </c>
    </row>
    <row r="1847" spans="1:7" hidden="1">
      <c r="A1847">
        <v>142</v>
      </c>
      <c r="B1847" t="s">
        <v>1111</v>
      </c>
      <c r="C1847" t="s">
        <v>970</v>
      </c>
      <c r="D1847">
        <v>0.38</v>
      </c>
      <c r="E1847">
        <v>24.75</v>
      </c>
      <c r="F1847">
        <v>1.34</v>
      </c>
      <c r="G1847">
        <v>0</v>
      </c>
    </row>
    <row r="1848" spans="1:7" hidden="1">
      <c r="A1848">
        <v>143</v>
      </c>
      <c r="B1848" t="s">
        <v>1112</v>
      </c>
      <c r="C1848" t="s">
        <v>959</v>
      </c>
      <c r="D1848">
        <v>4.7300000000000004</v>
      </c>
      <c r="E1848">
        <v>18.309999999999999</v>
      </c>
      <c r="F1848">
        <v>12.39</v>
      </c>
      <c r="G1848">
        <v>0</v>
      </c>
    </row>
    <row r="1849" spans="1:7" hidden="1">
      <c r="A1849">
        <v>143</v>
      </c>
      <c r="B1849" t="s">
        <v>1112</v>
      </c>
      <c r="C1849" t="s">
        <v>960</v>
      </c>
      <c r="D1849">
        <v>4.95</v>
      </c>
      <c r="E1849">
        <v>18.399999999999999</v>
      </c>
      <c r="F1849">
        <v>13.01</v>
      </c>
      <c r="G1849">
        <v>0.01</v>
      </c>
    </row>
    <row r="1850" spans="1:7" hidden="1">
      <c r="A1850">
        <v>143</v>
      </c>
      <c r="B1850" t="s">
        <v>1112</v>
      </c>
      <c r="C1850" t="s">
        <v>961</v>
      </c>
      <c r="D1850">
        <v>2.69</v>
      </c>
      <c r="E1850">
        <v>20.059999999999999</v>
      </c>
      <c r="F1850">
        <v>7.71</v>
      </c>
      <c r="G1850">
        <v>0</v>
      </c>
    </row>
    <row r="1851" spans="1:7" hidden="1">
      <c r="A1851">
        <v>143</v>
      </c>
      <c r="B1851" t="s">
        <v>1112</v>
      </c>
      <c r="C1851" t="s">
        <v>962</v>
      </c>
      <c r="D1851">
        <v>1.27</v>
      </c>
      <c r="E1851">
        <v>24.72</v>
      </c>
      <c r="F1851">
        <v>4.49</v>
      </c>
      <c r="G1851">
        <v>0</v>
      </c>
    </row>
    <row r="1852" spans="1:7" hidden="1">
      <c r="A1852">
        <v>143</v>
      </c>
      <c r="B1852" t="s">
        <v>1112</v>
      </c>
      <c r="C1852" t="s">
        <v>963</v>
      </c>
      <c r="D1852">
        <v>2.79</v>
      </c>
      <c r="E1852">
        <v>18.13</v>
      </c>
      <c r="F1852">
        <v>7.22</v>
      </c>
      <c r="G1852">
        <v>0</v>
      </c>
    </row>
    <row r="1853" spans="1:7" hidden="1">
      <c r="A1853">
        <v>143</v>
      </c>
      <c r="B1853" t="s">
        <v>1112</v>
      </c>
      <c r="C1853" t="s">
        <v>964</v>
      </c>
      <c r="D1853">
        <v>0.1</v>
      </c>
      <c r="E1853">
        <v>21.87</v>
      </c>
      <c r="F1853">
        <v>0.32</v>
      </c>
      <c r="G1853">
        <v>0</v>
      </c>
    </row>
    <row r="1854" spans="1:7" hidden="1">
      <c r="A1854">
        <v>143</v>
      </c>
      <c r="B1854" t="s">
        <v>1112</v>
      </c>
      <c r="C1854" t="s">
        <v>965</v>
      </c>
      <c r="D1854">
        <v>2.11</v>
      </c>
      <c r="E1854">
        <v>24.75</v>
      </c>
      <c r="F1854">
        <v>7.46</v>
      </c>
      <c r="G1854">
        <v>0</v>
      </c>
    </row>
    <row r="1855" spans="1:7">
      <c r="A1855">
        <v>143</v>
      </c>
      <c r="B1855" t="s">
        <v>1112</v>
      </c>
      <c r="C1855" t="s">
        <v>24</v>
      </c>
      <c r="D1855">
        <v>18.649999999999999</v>
      </c>
      <c r="E1855">
        <v>19.739999999999998</v>
      </c>
      <c r="F1855">
        <v>52.6</v>
      </c>
      <c r="G1855">
        <v>0.01</v>
      </c>
    </row>
    <row r="1856" spans="1:7" hidden="1">
      <c r="A1856">
        <v>143</v>
      </c>
      <c r="B1856" t="s">
        <v>1112</v>
      </c>
      <c r="C1856" t="s">
        <v>966</v>
      </c>
      <c r="D1856">
        <v>0.03</v>
      </c>
      <c r="E1856">
        <v>18.05</v>
      </c>
      <c r="F1856">
        <v>7.0000000000000007E-2</v>
      </c>
      <c r="G1856">
        <v>0.03</v>
      </c>
    </row>
    <row r="1857" spans="1:7" hidden="1">
      <c r="A1857">
        <v>143</v>
      </c>
      <c r="B1857" t="s">
        <v>1112</v>
      </c>
      <c r="C1857" t="s">
        <v>967</v>
      </c>
      <c r="D1857">
        <v>0.55000000000000004</v>
      </c>
      <c r="E1857">
        <v>17.91</v>
      </c>
      <c r="F1857">
        <v>1.39</v>
      </c>
      <c r="G1857">
        <v>0</v>
      </c>
    </row>
    <row r="1858" spans="1:7" hidden="1">
      <c r="A1858">
        <v>143</v>
      </c>
      <c r="B1858" t="s">
        <v>1112</v>
      </c>
      <c r="C1858" t="s">
        <v>968</v>
      </c>
      <c r="D1858">
        <v>1.25</v>
      </c>
      <c r="E1858">
        <v>18.09</v>
      </c>
      <c r="F1858">
        <v>3.23</v>
      </c>
      <c r="G1858">
        <v>0</v>
      </c>
    </row>
    <row r="1859" spans="1:7" hidden="1">
      <c r="A1859">
        <v>143</v>
      </c>
      <c r="B1859" t="s">
        <v>1112</v>
      </c>
      <c r="C1859" t="s">
        <v>969</v>
      </c>
      <c r="D1859">
        <v>0.16</v>
      </c>
      <c r="E1859">
        <v>24.75</v>
      </c>
      <c r="F1859">
        <v>0.56000000000000005</v>
      </c>
      <c r="G1859">
        <v>0</v>
      </c>
    </row>
    <row r="1860" spans="1:7" hidden="1">
      <c r="A1860">
        <v>143</v>
      </c>
      <c r="B1860" t="s">
        <v>1112</v>
      </c>
      <c r="C1860" t="s">
        <v>970</v>
      </c>
      <c r="D1860">
        <v>0.47</v>
      </c>
      <c r="E1860">
        <v>24.75</v>
      </c>
      <c r="F1860">
        <v>1.65</v>
      </c>
      <c r="G1860">
        <v>0</v>
      </c>
    </row>
    <row r="1861" spans="1:7" hidden="1">
      <c r="A1861">
        <v>144</v>
      </c>
      <c r="B1861" t="s">
        <v>1113</v>
      </c>
      <c r="C1861" t="s">
        <v>959</v>
      </c>
      <c r="D1861">
        <v>3.8</v>
      </c>
      <c r="E1861">
        <v>18.309999999999999</v>
      </c>
      <c r="F1861">
        <v>9.94</v>
      </c>
      <c r="G1861">
        <v>0</v>
      </c>
    </row>
    <row r="1862" spans="1:7" hidden="1">
      <c r="A1862">
        <v>144</v>
      </c>
      <c r="B1862" t="s">
        <v>1113</v>
      </c>
      <c r="C1862" t="s">
        <v>960</v>
      </c>
      <c r="D1862">
        <v>4.05</v>
      </c>
      <c r="E1862">
        <v>18.399999999999999</v>
      </c>
      <c r="F1862">
        <v>10.64</v>
      </c>
      <c r="G1862">
        <v>0.05</v>
      </c>
    </row>
    <row r="1863" spans="1:7" hidden="1">
      <c r="A1863">
        <v>144</v>
      </c>
      <c r="B1863" t="s">
        <v>1113</v>
      </c>
      <c r="C1863" t="s">
        <v>961</v>
      </c>
      <c r="D1863">
        <v>1.76</v>
      </c>
      <c r="E1863">
        <v>20.059999999999999</v>
      </c>
      <c r="F1863">
        <v>5.04</v>
      </c>
      <c r="G1863">
        <v>0</v>
      </c>
    </row>
    <row r="1864" spans="1:7" hidden="1">
      <c r="A1864">
        <v>144</v>
      </c>
      <c r="B1864" t="s">
        <v>1113</v>
      </c>
      <c r="C1864" t="s">
        <v>962</v>
      </c>
      <c r="D1864">
        <v>0.98</v>
      </c>
      <c r="E1864">
        <v>24.72</v>
      </c>
      <c r="F1864">
        <v>3.45</v>
      </c>
      <c r="G1864">
        <v>0</v>
      </c>
    </row>
    <row r="1865" spans="1:7" hidden="1">
      <c r="A1865">
        <v>144</v>
      </c>
      <c r="B1865" t="s">
        <v>1113</v>
      </c>
      <c r="C1865" t="s">
        <v>963</v>
      </c>
      <c r="D1865">
        <v>2.79</v>
      </c>
      <c r="E1865">
        <v>18.13</v>
      </c>
      <c r="F1865">
        <v>7.22</v>
      </c>
      <c r="G1865">
        <v>0</v>
      </c>
    </row>
    <row r="1866" spans="1:7" hidden="1">
      <c r="A1866">
        <v>144</v>
      </c>
      <c r="B1866" t="s">
        <v>1113</v>
      </c>
      <c r="C1866" t="s">
        <v>964</v>
      </c>
      <c r="D1866">
        <v>0.03</v>
      </c>
      <c r="E1866">
        <v>21.87</v>
      </c>
      <c r="F1866">
        <v>0.1</v>
      </c>
      <c r="G1866">
        <v>0</v>
      </c>
    </row>
    <row r="1867" spans="1:7" hidden="1">
      <c r="A1867">
        <v>144</v>
      </c>
      <c r="B1867" t="s">
        <v>1113</v>
      </c>
      <c r="C1867" t="s">
        <v>965</v>
      </c>
      <c r="D1867">
        <v>2.0699999999999998</v>
      </c>
      <c r="E1867">
        <v>24.75</v>
      </c>
      <c r="F1867">
        <v>7.33</v>
      </c>
      <c r="G1867">
        <v>0</v>
      </c>
    </row>
    <row r="1868" spans="1:7">
      <c r="A1868">
        <v>144</v>
      </c>
      <c r="B1868" t="s">
        <v>1113</v>
      </c>
      <c r="C1868" t="s">
        <v>24</v>
      </c>
      <c r="D1868">
        <v>15.48</v>
      </c>
      <c r="E1868">
        <v>19.77</v>
      </c>
      <c r="F1868">
        <v>43.73</v>
      </c>
      <c r="G1868">
        <v>0.05</v>
      </c>
    </row>
    <row r="1869" spans="1:7" hidden="1">
      <c r="A1869">
        <v>144</v>
      </c>
      <c r="B1869" t="s">
        <v>1113</v>
      </c>
      <c r="C1869" t="s">
        <v>966</v>
      </c>
      <c r="D1869">
        <v>0.17</v>
      </c>
      <c r="E1869">
        <v>18.05</v>
      </c>
      <c r="F1869">
        <v>0.43</v>
      </c>
      <c r="G1869">
        <v>0.17</v>
      </c>
    </row>
    <row r="1870" spans="1:7" hidden="1">
      <c r="A1870">
        <v>144</v>
      </c>
      <c r="B1870" t="s">
        <v>1113</v>
      </c>
      <c r="C1870" t="s">
        <v>967</v>
      </c>
      <c r="D1870">
        <v>0.69</v>
      </c>
      <c r="E1870">
        <v>17.91</v>
      </c>
      <c r="F1870">
        <v>1.77</v>
      </c>
      <c r="G1870">
        <v>0</v>
      </c>
    </row>
    <row r="1871" spans="1:7" hidden="1">
      <c r="A1871">
        <v>144</v>
      </c>
      <c r="B1871" t="s">
        <v>1113</v>
      </c>
      <c r="C1871" t="s">
        <v>968</v>
      </c>
      <c r="D1871">
        <v>0.95</v>
      </c>
      <c r="E1871">
        <v>18.09</v>
      </c>
      <c r="F1871">
        <v>2.4500000000000002</v>
      </c>
      <c r="G1871">
        <v>0</v>
      </c>
    </row>
    <row r="1872" spans="1:7" hidden="1">
      <c r="A1872">
        <v>144</v>
      </c>
      <c r="B1872" t="s">
        <v>1113</v>
      </c>
      <c r="C1872" t="s">
        <v>969</v>
      </c>
      <c r="D1872">
        <v>0.14000000000000001</v>
      </c>
      <c r="E1872">
        <v>24.75</v>
      </c>
      <c r="F1872">
        <v>0.49</v>
      </c>
      <c r="G1872">
        <v>0</v>
      </c>
    </row>
    <row r="1873" spans="1:9" hidden="1">
      <c r="A1873">
        <v>144</v>
      </c>
      <c r="B1873" t="s">
        <v>1113</v>
      </c>
      <c r="C1873" t="s">
        <v>970</v>
      </c>
      <c r="D1873">
        <v>0.48</v>
      </c>
      <c r="E1873">
        <v>24.75</v>
      </c>
      <c r="F1873">
        <v>1.69</v>
      </c>
      <c r="G1873">
        <v>0</v>
      </c>
    </row>
    <row r="1874" spans="1:9" hidden="1">
      <c r="A1874">
        <v>145</v>
      </c>
      <c r="B1874" t="s">
        <v>1114</v>
      </c>
      <c r="C1874" t="s">
        <v>959</v>
      </c>
      <c r="D1874">
        <v>4.4400000000000004</v>
      </c>
      <c r="E1874">
        <v>18.309999999999999</v>
      </c>
      <c r="F1874">
        <v>11.61</v>
      </c>
      <c r="G1874">
        <v>0.01</v>
      </c>
    </row>
    <row r="1875" spans="1:9" hidden="1">
      <c r="A1875">
        <v>145</v>
      </c>
      <c r="B1875" t="s">
        <v>1114</v>
      </c>
      <c r="C1875" t="s">
        <v>960</v>
      </c>
      <c r="D1875">
        <v>4.9000000000000004</v>
      </c>
      <c r="E1875">
        <v>18.399999999999999</v>
      </c>
      <c r="F1875">
        <v>12.88</v>
      </c>
      <c r="G1875">
        <v>0</v>
      </c>
    </row>
    <row r="1876" spans="1:9" hidden="1">
      <c r="A1876">
        <v>145</v>
      </c>
      <c r="B1876" t="s">
        <v>1114</v>
      </c>
      <c r="C1876" t="s">
        <v>961</v>
      </c>
      <c r="D1876">
        <v>2.48</v>
      </c>
      <c r="E1876">
        <v>20.059999999999999</v>
      </c>
      <c r="F1876">
        <v>7.12</v>
      </c>
      <c r="G1876">
        <v>0</v>
      </c>
    </row>
    <row r="1877" spans="1:9" hidden="1">
      <c r="A1877">
        <v>145</v>
      </c>
      <c r="B1877" t="s">
        <v>1114</v>
      </c>
      <c r="C1877" t="s">
        <v>962</v>
      </c>
      <c r="D1877">
        <v>1.17</v>
      </c>
      <c r="E1877">
        <v>24.72</v>
      </c>
      <c r="F1877">
        <v>4.13</v>
      </c>
      <c r="G1877">
        <v>0</v>
      </c>
    </row>
    <row r="1878" spans="1:9" hidden="1">
      <c r="A1878">
        <v>145</v>
      </c>
      <c r="B1878" t="s">
        <v>1114</v>
      </c>
      <c r="C1878" t="s">
        <v>963</v>
      </c>
      <c r="D1878">
        <v>2.3199999999999998</v>
      </c>
      <c r="E1878">
        <v>18.13</v>
      </c>
      <c r="F1878">
        <v>6</v>
      </c>
      <c r="G1878">
        <v>0</v>
      </c>
    </row>
    <row r="1879" spans="1:9" hidden="1">
      <c r="A1879">
        <v>145</v>
      </c>
      <c r="B1879" t="s">
        <v>1114</v>
      </c>
      <c r="C1879" t="s">
        <v>964</v>
      </c>
      <c r="D1879">
        <v>0.09</v>
      </c>
      <c r="E1879">
        <v>21.87</v>
      </c>
      <c r="F1879">
        <v>0.28999999999999998</v>
      </c>
      <c r="G1879">
        <v>0</v>
      </c>
    </row>
    <row r="1880" spans="1:9" hidden="1">
      <c r="A1880">
        <v>145</v>
      </c>
      <c r="B1880" t="s">
        <v>1114</v>
      </c>
      <c r="C1880" t="s">
        <v>965</v>
      </c>
      <c r="D1880">
        <v>1.88</v>
      </c>
      <c r="E1880">
        <v>24.75</v>
      </c>
      <c r="F1880">
        <v>6.64</v>
      </c>
      <c r="G1880">
        <v>0</v>
      </c>
    </row>
    <row r="1881" spans="1:9">
      <c r="A1881">
        <v>145</v>
      </c>
      <c r="B1881" t="s">
        <v>1114</v>
      </c>
      <c r="C1881" t="s">
        <v>24</v>
      </c>
      <c r="D1881">
        <v>17.28</v>
      </c>
      <c r="E1881">
        <v>19.72</v>
      </c>
      <c r="F1881">
        <v>48.66</v>
      </c>
      <c r="G1881">
        <v>0.01</v>
      </c>
    </row>
    <row r="1882" spans="1:9" hidden="1">
      <c r="A1882">
        <v>145</v>
      </c>
      <c r="B1882" t="s">
        <v>1114</v>
      </c>
      <c r="C1882" t="s">
        <v>966</v>
      </c>
      <c r="D1882">
        <v>0</v>
      </c>
      <c r="E1882">
        <v>18.05</v>
      </c>
      <c r="F1882">
        <v>0</v>
      </c>
      <c r="G1882">
        <v>0</v>
      </c>
    </row>
    <row r="1883" spans="1:9" hidden="1">
      <c r="A1883">
        <v>145</v>
      </c>
      <c r="B1883" t="s">
        <v>1114</v>
      </c>
      <c r="C1883" t="s">
        <v>967</v>
      </c>
      <c r="D1883">
        <v>0.3</v>
      </c>
      <c r="E1883">
        <v>17.91</v>
      </c>
      <c r="F1883">
        <v>0.78</v>
      </c>
      <c r="G1883">
        <v>0</v>
      </c>
    </row>
    <row r="1884" spans="1:9" hidden="1">
      <c r="A1884">
        <v>145</v>
      </c>
      <c r="B1884" t="s">
        <v>1114</v>
      </c>
      <c r="C1884" t="s">
        <v>968</v>
      </c>
      <c r="D1884">
        <v>1.29</v>
      </c>
      <c r="E1884">
        <v>18.09</v>
      </c>
      <c r="F1884">
        <v>3.34</v>
      </c>
      <c r="G1884">
        <v>0</v>
      </c>
    </row>
    <row r="1885" spans="1:9" hidden="1">
      <c r="A1885">
        <v>145</v>
      </c>
      <c r="B1885" t="s">
        <v>1114</v>
      </c>
      <c r="C1885" t="s">
        <v>969</v>
      </c>
      <c r="D1885">
        <v>0.14000000000000001</v>
      </c>
      <c r="E1885">
        <v>24.75</v>
      </c>
      <c r="F1885">
        <v>0.51</v>
      </c>
      <c r="G1885">
        <v>0</v>
      </c>
    </row>
    <row r="1886" spans="1:9" hidden="1">
      <c r="A1886">
        <v>145</v>
      </c>
      <c r="B1886" t="s">
        <v>1114</v>
      </c>
      <c r="C1886" t="s">
        <v>970</v>
      </c>
      <c r="D1886">
        <v>0.48</v>
      </c>
      <c r="E1886">
        <v>24.75</v>
      </c>
      <c r="F1886">
        <v>1.71</v>
      </c>
      <c r="G1886">
        <v>0</v>
      </c>
    </row>
    <row r="1887" spans="1:9" hidden="1">
      <c r="A1887">
        <v>146</v>
      </c>
      <c r="B1887" t="s">
        <v>23</v>
      </c>
      <c r="C1887" t="s">
        <v>959</v>
      </c>
      <c r="D1887">
        <v>5.12</v>
      </c>
      <c r="E1887">
        <v>18.309999999999999</v>
      </c>
      <c r="F1887">
        <v>13.39</v>
      </c>
      <c r="G1887">
        <v>0</v>
      </c>
      <c r="I1887">
        <f>13.39*365.25</f>
        <v>4890.6975000000002</v>
      </c>
    </row>
    <row r="1888" spans="1:9" hidden="1">
      <c r="A1888">
        <v>146</v>
      </c>
      <c r="B1888" t="s">
        <v>23</v>
      </c>
      <c r="C1888" t="s">
        <v>960</v>
      </c>
      <c r="D1888">
        <v>5.22</v>
      </c>
      <c r="E1888">
        <v>18.399999999999999</v>
      </c>
      <c r="F1888">
        <v>13.72</v>
      </c>
      <c r="G1888">
        <v>0</v>
      </c>
    </row>
    <row r="1889" spans="1:7" hidden="1">
      <c r="A1889">
        <v>146</v>
      </c>
      <c r="B1889" t="s">
        <v>23</v>
      </c>
      <c r="C1889" t="s">
        <v>961</v>
      </c>
      <c r="D1889">
        <v>3.04</v>
      </c>
      <c r="E1889">
        <v>20.059999999999999</v>
      </c>
      <c r="F1889">
        <v>8.6999999999999993</v>
      </c>
      <c r="G1889">
        <v>0</v>
      </c>
    </row>
    <row r="1890" spans="1:7" hidden="1">
      <c r="A1890">
        <v>146</v>
      </c>
      <c r="B1890" t="s">
        <v>23</v>
      </c>
      <c r="C1890" t="s">
        <v>962</v>
      </c>
      <c r="D1890">
        <v>1.4</v>
      </c>
      <c r="E1890">
        <v>24.72</v>
      </c>
      <c r="F1890">
        <v>4.93</v>
      </c>
      <c r="G1890">
        <v>0</v>
      </c>
    </row>
    <row r="1891" spans="1:7" hidden="1">
      <c r="A1891">
        <v>146</v>
      </c>
      <c r="B1891" t="s">
        <v>23</v>
      </c>
      <c r="C1891" t="s">
        <v>963</v>
      </c>
      <c r="D1891">
        <v>3</v>
      </c>
      <c r="E1891">
        <v>18.13</v>
      </c>
      <c r="F1891">
        <v>7.76</v>
      </c>
      <c r="G1891">
        <v>0</v>
      </c>
    </row>
    <row r="1892" spans="1:7" hidden="1">
      <c r="A1892">
        <v>146</v>
      </c>
      <c r="B1892" t="s">
        <v>23</v>
      </c>
      <c r="C1892" t="s">
        <v>964</v>
      </c>
      <c r="D1892">
        <v>0.12</v>
      </c>
      <c r="E1892">
        <v>21.87</v>
      </c>
      <c r="F1892">
        <v>0.39</v>
      </c>
      <c r="G1892">
        <v>0</v>
      </c>
    </row>
    <row r="1893" spans="1:7" hidden="1">
      <c r="A1893">
        <v>146</v>
      </c>
      <c r="B1893" t="s">
        <v>23</v>
      </c>
      <c r="C1893" t="s">
        <v>965</v>
      </c>
      <c r="D1893">
        <v>2.2200000000000002</v>
      </c>
      <c r="E1893">
        <v>24.75</v>
      </c>
      <c r="F1893">
        <v>7.86</v>
      </c>
      <c r="G1893">
        <v>0</v>
      </c>
    </row>
    <row r="1894" spans="1:7">
      <c r="A1894">
        <v>146</v>
      </c>
      <c r="B1894" t="s">
        <v>23</v>
      </c>
      <c r="C1894" t="s">
        <v>24</v>
      </c>
      <c r="D1894">
        <v>20.12</v>
      </c>
      <c r="E1894">
        <v>19.75</v>
      </c>
      <c r="F1894">
        <v>56.76</v>
      </c>
      <c r="G1894">
        <v>0</v>
      </c>
    </row>
    <row r="1895" spans="1:7" hidden="1">
      <c r="A1895">
        <v>146</v>
      </c>
      <c r="B1895" t="s">
        <v>23</v>
      </c>
      <c r="C1895" t="s">
        <v>966</v>
      </c>
      <c r="D1895">
        <v>0</v>
      </c>
      <c r="E1895">
        <v>18.05</v>
      </c>
      <c r="F1895">
        <v>0</v>
      </c>
      <c r="G1895">
        <v>0</v>
      </c>
    </row>
    <row r="1896" spans="1:7" hidden="1">
      <c r="A1896">
        <v>146</v>
      </c>
      <c r="B1896" t="s">
        <v>23</v>
      </c>
      <c r="C1896" t="s">
        <v>967</v>
      </c>
      <c r="D1896">
        <v>0.61</v>
      </c>
      <c r="E1896">
        <v>17.91</v>
      </c>
      <c r="F1896">
        <v>1.57</v>
      </c>
      <c r="G1896">
        <v>0</v>
      </c>
    </row>
    <row r="1897" spans="1:7" hidden="1">
      <c r="A1897">
        <v>146</v>
      </c>
      <c r="B1897" t="s">
        <v>23</v>
      </c>
      <c r="C1897" t="s">
        <v>968</v>
      </c>
      <c r="D1897">
        <v>1.31</v>
      </c>
      <c r="E1897">
        <v>18.09</v>
      </c>
      <c r="F1897">
        <v>3.39</v>
      </c>
      <c r="G1897">
        <v>0</v>
      </c>
    </row>
    <row r="1898" spans="1:7" hidden="1">
      <c r="A1898">
        <v>146</v>
      </c>
      <c r="B1898" t="s">
        <v>23</v>
      </c>
      <c r="C1898" t="s">
        <v>969</v>
      </c>
      <c r="D1898">
        <v>0.17</v>
      </c>
      <c r="E1898">
        <v>24.75</v>
      </c>
      <c r="F1898">
        <v>0.61</v>
      </c>
      <c r="G1898">
        <v>0</v>
      </c>
    </row>
    <row r="1899" spans="1:7" hidden="1">
      <c r="A1899">
        <v>146</v>
      </c>
      <c r="B1899" t="s">
        <v>23</v>
      </c>
      <c r="C1899" t="s">
        <v>970</v>
      </c>
      <c r="D1899">
        <v>0.46</v>
      </c>
      <c r="E1899">
        <v>24.75</v>
      </c>
      <c r="F1899">
        <v>1.62</v>
      </c>
      <c r="G1899">
        <v>0</v>
      </c>
    </row>
    <row r="1900" spans="1:7" hidden="1">
      <c r="A1900">
        <v>147</v>
      </c>
      <c r="B1900" t="s">
        <v>1115</v>
      </c>
      <c r="C1900" t="s">
        <v>959</v>
      </c>
      <c r="D1900">
        <v>4.62</v>
      </c>
      <c r="E1900">
        <v>18.309999999999999</v>
      </c>
      <c r="F1900">
        <v>12.09</v>
      </c>
      <c r="G1900">
        <v>7.0000000000000007E-2</v>
      </c>
    </row>
    <row r="1901" spans="1:7" hidden="1">
      <c r="A1901">
        <v>147</v>
      </c>
      <c r="B1901" t="s">
        <v>1115</v>
      </c>
      <c r="C1901" t="s">
        <v>960</v>
      </c>
      <c r="D1901">
        <v>4.8099999999999996</v>
      </c>
      <c r="E1901">
        <v>18.399999999999999</v>
      </c>
      <c r="F1901">
        <v>12.64</v>
      </c>
      <c r="G1901">
        <v>0.06</v>
      </c>
    </row>
    <row r="1902" spans="1:7" hidden="1">
      <c r="A1902">
        <v>147</v>
      </c>
      <c r="B1902" t="s">
        <v>1115</v>
      </c>
      <c r="C1902" t="s">
        <v>961</v>
      </c>
      <c r="D1902">
        <v>2.88</v>
      </c>
      <c r="E1902">
        <v>20.059999999999999</v>
      </c>
      <c r="F1902">
        <v>8.24</v>
      </c>
      <c r="G1902">
        <v>0.01</v>
      </c>
    </row>
    <row r="1903" spans="1:7" hidden="1">
      <c r="A1903">
        <v>147</v>
      </c>
      <c r="B1903" t="s">
        <v>1115</v>
      </c>
      <c r="C1903" t="s">
        <v>962</v>
      </c>
      <c r="D1903">
        <v>1.32</v>
      </c>
      <c r="E1903">
        <v>24.72</v>
      </c>
      <c r="F1903">
        <v>4.66</v>
      </c>
      <c r="G1903">
        <v>0.02</v>
      </c>
    </row>
    <row r="1904" spans="1:7" hidden="1">
      <c r="A1904">
        <v>147</v>
      </c>
      <c r="B1904" t="s">
        <v>1115</v>
      </c>
      <c r="C1904" t="s">
        <v>963</v>
      </c>
      <c r="D1904">
        <v>2.77</v>
      </c>
      <c r="E1904">
        <v>18.13</v>
      </c>
      <c r="F1904">
        <v>7.17</v>
      </c>
      <c r="G1904">
        <v>0</v>
      </c>
    </row>
    <row r="1905" spans="1:7" hidden="1">
      <c r="A1905">
        <v>147</v>
      </c>
      <c r="B1905" t="s">
        <v>1115</v>
      </c>
      <c r="C1905" t="s">
        <v>964</v>
      </c>
      <c r="D1905">
        <v>0.12</v>
      </c>
      <c r="E1905">
        <v>21.87</v>
      </c>
      <c r="F1905">
        <v>0.38</v>
      </c>
      <c r="G1905">
        <v>0</v>
      </c>
    </row>
    <row r="1906" spans="1:7" hidden="1">
      <c r="A1906">
        <v>147</v>
      </c>
      <c r="B1906" t="s">
        <v>1115</v>
      </c>
      <c r="C1906" t="s">
        <v>965</v>
      </c>
      <c r="D1906">
        <v>2.09</v>
      </c>
      <c r="E1906">
        <v>24.75</v>
      </c>
      <c r="F1906">
        <v>7.4</v>
      </c>
      <c r="G1906">
        <v>0.02</v>
      </c>
    </row>
    <row r="1907" spans="1:7">
      <c r="A1907">
        <v>147</v>
      </c>
      <c r="B1907" t="s">
        <v>1115</v>
      </c>
      <c r="C1907" t="s">
        <v>24</v>
      </c>
      <c r="D1907">
        <v>18.61</v>
      </c>
      <c r="E1907">
        <v>19.78</v>
      </c>
      <c r="F1907">
        <v>52.59</v>
      </c>
      <c r="G1907">
        <v>0.19</v>
      </c>
    </row>
    <row r="1908" spans="1:7" hidden="1">
      <c r="A1908">
        <v>147</v>
      </c>
      <c r="B1908" t="s">
        <v>1115</v>
      </c>
      <c r="C1908" t="s">
        <v>966</v>
      </c>
      <c r="D1908">
        <v>0.2</v>
      </c>
      <c r="E1908">
        <v>18.05</v>
      </c>
      <c r="F1908">
        <v>0.51</v>
      </c>
      <c r="G1908">
        <v>0.19</v>
      </c>
    </row>
    <row r="1909" spans="1:7" hidden="1">
      <c r="A1909">
        <v>147</v>
      </c>
      <c r="B1909" t="s">
        <v>1115</v>
      </c>
      <c r="C1909" t="s">
        <v>967</v>
      </c>
      <c r="D1909">
        <v>0.43</v>
      </c>
      <c r="E1909">
        <v>17.91</v>
      </c>
      <c r="F1909">
        <v>1.1100000000000001</v>
      </c>
      <c r="G1909">
        <v>0</v>
      </c>
    </row>
    <row r="1910" spans="1:7" hidden="1">
      <c r="A1910">
        <v>147</v>
      </c>
      <c r="B1910" t="s">
        <v>1115</v>
      </c>
      <c r="C1910" t="s">
        <v>968</v>
      </c>
      <c r="D1910">
        <v>1.31</v>
      </c>
      <c r="E1910">
        <v>18.09</v>
      </c>
      <c r="F1910">
        <v>3.38</v>
      </c>
      <c r="G1910">
        <v>0</v>
      </c>
    </row>
    <row r="1911" spans="1:7" hidden="1">
      <c r="A1911">
        <v>147</v>
      </c>
      <c r="B1911" t="s">
        <v>1115</v>
      </c>
      <c r="C1911" t="s">
        <v>969</v>
      </c>
      <c r="D1911">
        <v>0.16</v>
      </c>
      <c r="E1911">
        <v>24.75</v>
      </c>
      <c r="F1911">
        <v>0.56000000000000005</v>
      </c>
      <c r="G1911">
        <v>0</v>
      </c>
    </row>
    <row r="1912" spans="1:7" hidden="1">
      <c r="A1912">
        <v>147</v>
      </c>
      <c r="B1912" t="s">
        <v>1115</v>
      </c>
      <c r="C1912" t="s">
        <v>970</v>
      </c>
      <c r="D1912">
        <v>0.51</v>
      </c>
      <c r="E1912">
        <v>24.75</v>
      </c>
      <c r="F1912">
        <v>1.79</v>
      </c>
      <c r="G1912">
        <v>0</v>
      </c>
    </row>
    <row r="1913" spans="1:7" hidden="1">
      <c r="A1913">
        <v>148</v>
      </c>
      <c r="B1913" t="s">
        <v>1116</v>
      </c>
      <c r="C1913" t="s">
        <v>959</v>
      </c>
      <c r="D1913">
        <v>3.51</v>
      </c>
      <c r="E1913">
        <v>18.309999999999999</v>
      </c>
      <c r="F1913">
        <v>9.19</v>
      </c>
      <c r="G1913">
        <v>0.37</v>
      </c>
    </row>
    <row r="1914" spans="1:7" hidden="1">
      <c r="A1914">
        <v>148</v>
      </c>
      <c r="B1914" t="s">
        <v>1116</v>
      </c>
      <c r="C1914" t="s">
        <v>960</v>
      </c>
      <c r="D1914">
        <v>4.01</v>
      </c>
      <c r="E1914">
        <v>18.399999999999999</v>
      </c>
      <c r="F1914">
        <v>10.54</v>
      </c>
      <c r="G1914">
        <v>0.35</v>
      </c>
    </row>
    <row r="1915" spans="1:7" hidden="1">
      <c r="A1915">
        <v>148</v>
      </c>
      <c r="B1915" t="s">
        <v>1116</v>
      </c>
      <c r="C1915" t="s">
        <v>961</v>
      </c>
      <c r="D1915">
        <v>2.02</v>
      </c>
      <c r="E1915">
        <v>20.059999999999999</v>
      </c>
      <c r="F1915">
        <v>5.78</v>
      </c>
      <c r="G1915">
        <v>0.06</v>
      </c>
    </row>
    <row r="1916" spans="1:7" hidden="1">
      <c r="A1916">
        <v>148</v>
      </c>
      <c r="B1916" t="s">
        <v>1116</v>
      </c>
      <c r="C1916" t="s">
        <v>962</v>
      </c>
      <c r="D1916">
        <v>1.03</v>
      </c>
      <c r="E1916">
        <v>24.72</v>
      </c>
      <c r="F1916">
        <v>3.65</v>
      </c>
      <c r="G1916">
        <v>0.08</v>
      </c>
    </row>
    <row r="1917" spans="1:7" hidden="1">
      <c r="A1917">
        <v>148</v>
      </c>
      <c r="B1917" t="s">
        <v>1116</v>
      </c>
      <c r="C1917" t="s">
        <v>963</v>
      </c>
      <c r="D1917">
        <v>2.63</v>
      </c>
      <c r="E1917">
        <v>18.13</v>
      </c>
      <c r="F1917">
        <v>6.82</v>
      </c>
      <c r="G1917">
        <v>0.01</v>
      </c>
    </row>
    <row r="1918" spans="1:7" hidden="1">
      <c r="A1918">
        <v>148</v>
      </c>
      <c r="B1918" t="s">
        <v>1116</v>
      </c>
      <c r="C1918" t="s">
        <v>964</v>
      </c>
      <c r="D1918">
        <v>0.05</v>
      </c>
      <c r="E1918">
        <v>21.87</v>
      </c>
      <c r="F1918">
        <v>0.15</v>
      </c>
      <c r="G1918">
        <v>0</v>
      </c>
    </row>
    <row r="1919" spans="1:7" hidden="1">
      <c r="A1919">
        <v>148</v>
      </c>
      <c r="B1919" t="s">
        <v>1116</v>
      </c>
      <c r="C1919" t="s">
        <v>965</v>
      </c>
      <c r="D1919">
        <v>2.02</v>
      </c>
      <c r="E1919">
        <v>24.75</v>
      </c>
      <c r="F1919">
        <v>7.12</v>
      </c>
      <c r="G1919">
        <v>0.1</v>
      </c>
    </row>
    <row r="1920" spans="1:7">
      <c r="A1920">
        <v>148</v>
      </c>
      <c r="B1920" t="s">
        <v>1116</v>
      </c>
      <c r="C1920" t="s">
        <v>24</v>
      </c>
      <c r="D1920">
        <v>15.26</v>
      </c>
      <c r="E1920">
        <v>19.829999999999998</v>
      </c>
      <c r="F1920">
        <v>43.24</v>
      </c>
      <c r="G1920">
        <v>0.97</v>
      </c>
    </row>
    <row r="1921" spans="1:7" hidden="1">
      <c r="A1921">
        <v>148</v>
      </c>
      <c r="B1921" t="s">
        <v>1116</v>
      </c>
      <c r="C1921" t="s">
        <v>966</v>
      </c>
      <c r="D1921">
        <v>1.01</v>
      </c>
      <c r="E1921">
        <v>18.05</v>
      </c>
      <c r="F1921">
        <v>2.6</v>
      </c>
      <c r="G1921">
        <v>0.96</v>
      </c>
    </row>
    <row r="1922" spans="1:7" hidden="1">
      <c r="A1922">
        <v>148</v>
      </c>
      <c r="B1922" t="s">
        <v>1116</v>
      </c>
      <c r="C1922" t="s">
        <v>967</v>
      </c>
      <c r="D1922">
        <v>0.72</v>
      </c>
      <c r="E1922">
        <v>17.91</v>
      </c>
      <c r="F1922">
        <v>1.85</v>
      </c>
      <c r="G1922">
        <v>0.02</v>
      </c>
    </row>
    <row r="1923" spans="1:7" hidden="1">
      <c r="A1923">
        <v>148</v>
      </c>
      <c r="B1923" t="s">
        <v>1116</v>
      </c>
      <c r="C1923" t="s">
        <v>968</v>
      </c>
      <c r="D1923">
        <v>0.92</v>
      </c>
      <c r="E1923">
        <v>18.09</v>
      </c>
      <c r="F1923">
        <v>2.37</v>
      </c>
      <c r="G1923">
        <v>0.01</v>
      </c>
    </row>
    <row r="1924" spans="1:7" hidden="1">
      <c r="A1924">
        <v>148</v>
      </c>
      <c r="B1924" t="s">
        <v>1116</v>
      </c>
      <c r="C1924" t="s">
        <v>969</v>
      </c>
      <c r="D1924">
        <v>0.16</v>
      </c>
      <c r="E1924">
        <v>24.75</v>
      </c>
      <c r="F1924">
        <v>0.56000000000000005</v>
      </c>
      <c r="G1924">
        <v>0.02</v>
      </c>
    </row>
    <row r="1925" spans="1:7" hidden="1">
      <c r="A1925">
        <v>148</v>
      </c>
      <c r="B1925" t="s">
        <v>1116</v>
      </c>
      <c r="C1925" t="s">
        <v>970</v>
      </c>
      <c r="D1925">
        <v>0.55000000000000004</v>
      </c>
      <c r="E1925">
        <v>24.75</v>
      </c>
      <c r="F1925">
        <v>1.93</v>
      </c>
      <c r="G1925">
        <v>0</v>
      </c>
    </row>
    <row r="1926" spans="1:7" hidden="1">
      <c r="A1926">
        <v>149</v>
      </c>
      <c r="B1926" t="s">
        <v>1117</v>
      </c>
      <c r="C1926" t="s">
        <v>959</v>
      </c>
      <c r="D1926">
        <v>4.78</v>
      </c>
      <c r="E1926">
        <v>18.309999999999999</v>
      </c>
      <c r="F1926">
        <v>12.5</v>
      </c>
      <c r="G1926">
        <v>0.02</v>
      </c>
    </row>
    <row r="1927" spans="1:7" hidden="1">
      <c r="A1927">
        <v>149</v>
      </c>
      <c r="B1927" t="s">
        <v>1117</v>
      </c>
      <c r="C1927" t="s">
        <v>960</v>
      </c>
      <c r="D1927">
        <v>4.6500000000000004</v>
      </c>
      <c r="E1927">
        <v>18.399999999999999</v>
      </c>
      <c r="F1927">
        <v>12.22</v>
      </c>
      <c r="G1927">
        <v>0</v>
      </c>
    </row>
    <row r="1928" spans="1:7" hidden="1">
      <c r="A1928">
        <v>149</v>
      </c>
      <c r="B1928" t="s">
        <v>1117</v>
      </c>
      <c r="C1928" t="s">
        <v>961</v>
      </c>
      <c r="D1928">
        <v>2.84</v>
      </c>
      <c r="E1928">
        <v>20.059999999999999</v>
      </c>
      <c r="F1928">
        <v>8.1199999999999992</v>
      </c>
      <c r="G1928">
        <v>0.01</v>
      </c>
    </row>
    <row r="1929" spans="1:7" hidden="1">
      <c r="A1929">
        <v>149</v>
      </c>
      <c r="B1929" t="s">
        <v>1117</v>
      </c>
      <c r="C1929" t="s">
        <v>962</v>
      </c>
      <c r="D1929">
        <v>1.21</v>
      </c>
      <c r="E1929">
        <v>24.72</v>
      </c>
      <c r="F1929">
        <v>4.2699999999999996</v>
      </c>
      <c r="G1929">
        <v>0</v>
      </c>
    </row>
    <row r="1930" spans="1:7" hidden="1">
      <c r="A1930">
        <v>149</v>
      </c>
      <c r="B1930" t="s">
        <v>1117</v>
      </c>
      <c r="C1930" t="s">
        <v>963</v>
      </c>
      <c r="D1930">
        <v>2.57</v>
      </c>
      <c r="E1930">
        <v>18.13</v>
      </c>
      <c r="F1930">
        <v>6.67</v>
      </c>
      <c r="G1930">
        <v>0</v>
      </c>
    </row>
    <row r="1931" spans="1:7" hidden="1">
      <c r="A1931">
        <v>149</v>
      </c>
      <c r="B1931" t="s">
        <v>1117</v>
      </c>
      <c r="C1931" t="s">
        <v>964</v>
      </c>
      <c r="D1931">
        <v>0.13</v>
      </c>
      <c r="E1931">
        <v>21.87</v>
      </c>
      <c r="F1931">
        <v>0.42</v>
      </c>
      <c r="G1931">
        <v>0</v>
      </c>
    </row>
    <row r="1932" spans="1:7" hidden="1">
      <c r="A1932">
        <v>149</v>
      </c>
      <c r="B1932" t="s">
        <v>1117</v>
      </c>
      <c r="C1932" t="s">
        <v>965</v>
      </c>
      <c r="D1932">
        <v>1.98</v>
      </c>
      <c r="E1932">
        <v>24.75</v>
      </c>
      <c r="F1932">
        <v>6.99</v>
      </c>
      <c r="G1932">
        <v>0.01</v>
      </c>
    </row>
    <row r="1933" spans="1:7">
      <c r="A1933">
        <v>149</v>
      </c>
      <c r="B1933" t="s">
        <v>1117</v>
      </c>
      <c r="C1933" t="s">
        <v>24</v>
      </c>
      <c r="D1933">
        <v>18.16</v>
      </c>
      <c r="E1933">
        <v>19.739999999999998</v>
      </c>
      <c r="F1933">
        <v>51.19</v>
      </c>
      <c r="G1933">
        <v>0.05</v>
      </c>
    </row>
    <row r="1934" spans="1:7" hidden="1">
      <c r="A1934">
        <v>149</v>
      </c>
      <c r="B1934" t="s">
        <v>1117</v>
      </c>
      <c r="C1934" t="s">
        <v>966</v>
      </c>
      <c r="D1934">
        <v>0.06</v>
      </c>
      <c r="E1934">
        <v>18.05</v>
      </c>
      <c r="F1934">
        <v>0.15</v>
      </c>
      <c r="G1934">
        <v>0.06</v>
      </c>
    </row>
    <row r="1935" spans="1:7" hidden="1">
      <c r="A1935">
        <v>149</v>
      </c>
      <c r="B1935" t="s">
        <v>1117</v>
      </c>
      <c r="C1935" t="s">
        <v>967</v>
      </c>
      <c r="D1935">
        <v>0.18</v>
      </c>
      <c r="E1935">
        <v>17.91</v>
      </c>
      <c r="F1935">
        <v>0.47</v>
      </c>
      <c r="G1935">
        <v>0</v>
      </c>
    </row>
    <row r="1936" spans="1:7" hidden="1">
      <c r="A1936">
        <v>149</v>
      </c>
      <c r="B1936" t="s">
        <v>1117</v>
      </c>
      <c r="C1936" t="s">
        <v>968</v>
      </c>
      <c r="D1936">
        <v>1.41</v>
      </c>
      <c r="E1936">
        <v>18.09</v>
      </c>
      <c r="F1936">
        <v>3.64</v>
      </c>
      <c r="G1936">
        <v>0</v>
      </c>
    </row>
    <row r="1937" spans="1:7" hidden="1">
      <c r="A1937">
        <v>149</v>
      </c>
      <c r="B1937" t="s">
        <v>1117</v>
      </c>
      <c r="C1937" t="s">
        <v>969</v>
      </c>
      <c r="D1937">
        <v>0.18</v>
      </c>
      <c r="E1937">
        <v>24.75</v>
      </c>
      <c r="F1937">
        <v>0.62</v>
      </c>
      <c r="G1937">
        <v>0</v>
      </c>
    </row>
    <row r="1938" spans="1:7" hidden="1">
      <c r="A1938">
        <v>149</v>
      </c>
      <c r="B1938" t="s">
        <v>1117</v>
      </c>
      <c r="C1938" t="s">
        <v>970</v>
      </c>
      <c r="D1938">
        <v>0.5</v>
      </c>
      <c r="E1938">
        <v>24.75</v>
      </c>
      <c r="F1938">
        <v>1.76</v>
      </c>
      <c r="G1938">
        <v>0</v>
      </c>
    </row>
    <row r="1939" spans="1:7" hidden="1">
      <c r="A1939">
        <v>150</v>
      </c>
      <c r="B1939" t="s">
        <v>1118</v>
      </c>
      <c r="C1939" t="s">
        <v>959</v>
      </c>
      <c r="D1939">
        <v>4.9000000000000004</v>
      </c>
      <c r="E1939">
        <v>18.309999999999999</v>
      </c>
      <c r="F1939">
        <v>12.81</v>
      </c>
      <c r="G1939">
        <v>0</v>
      </c>
    </row>
    <row r="1940" spans="1:7" hidden="1">
      <c r="A1940">
        <v>150</v>
      </c>
      <c r="B1940" t="s">
        <v>1118</v>
      </c>
      <c r="C1940" t="s">
        <v>960</v>
      </c>
      <c r="D1940">
        <v>5.12</v>
      </c>
      <c r="E1940">
        <v>18.399999999999999</v>
      </c>
      <c r="F1940">
        <v>13.45</v>
      </c>
      <c r="G1940">
        <v>0</v>
      </c>
    </row>
    <row r="1941" spans="1:7" hidden="1">
      <c r="A1941">
        <v>150</v>
      </c>
      <c r="B1941" t="s">
        <v>1118</v>
      </c>
      <c r="C1941" t="s">
        <v>961</v>
      </c>
      <c r="D1941">
        <v>3.15</v>
      </c>
      <c r="E1941">
        <v>20.059999999999999</v>
      </c>
      <c r="F1941">
        <v>9.0399999999999991</v>
      </c>
      <c r="G1941">
        <v>0</v>
      </c>
    </row>
    <row r="1942" spans="1:7" hidden="1">
      <c r="A1942">
        <v>150</v>
      </c>
      <c r="B1942" t="s">
        <v>1118</v>
      </c>
      <c r="C1942" t="s">
        <v>962</v>
      </c>
      <c r="D1942">
        <v>1.45</v>
      </c>
      <c r="E1942">
        <v>24.72</v>
      </c>
      <c r="F1942">
        <v>5.12</v>
      </c>
      <c r="G1942">
        <v>0</v>
      </c>
    </row>
    <row r="1943" spans="1:7" hidden="1">
      <c r="A1943">
        <v>150</v>
      </c>
      <c r="B1943" t="s">
        <v>1118</v>
      </c>
      <c r="C1943" t="s">
        <v>963</v>
      </c>
      <c r="D1943">
        <v>2.89</v>
      </c>
      <c r="E1943">
        <v>18.13</v>
      </c>
      <c r="F1943">
        <v>7.48</v>
      </c>
      <c r="G1943">
        <v>0</v>
      </c>
    </row>
    <row r="1944" spans="1:7" hidden="1">
      <c r="A1944">
        <v>150</v>
      </c>
      <c r="B1944" t="s">
        <v>1118</v>
      </c>
      <c r="C1944" t="s">
        <v>964</v>
      </c>
      <c r="D1944">
        <v>0.14000000000000001</v>
      </c>
      <c r="E1944">
        <v>21.87</v>
      </c>
      <c r="F1944">
        <v>0.43</v>
      </c>
      <c r="G1944">
        <v>0</v>
      </c>
    </row>
    <row r="1945" spans="1:7" hidden="1">
      <c r="A1945">
        <v>150</v>
      </c>
      <c r="B1945" t="s">
        <v>1118</v>
      </c>
      <c r="C1945" t="s">
        <v>965</v>
      </c>
      <c r="D1945">
        <v>2.16</v>
      </c>
      <c r="E1945">
        <v>24.75</v>
      </c>
      <c r="F1945">
        <v>7.65</v>
      </c>
      <c r="G1945">
        <v>0</v>
      </c>
    </row>
    <row r="1946" spans="1:7">
      <c r="A1946">
        <v>150</v>
      </c>
      <c r="B1946" t="s">
        <v>1118</v>
      </c>
      <c r="C1946" t="s">
        <v>24</v>
      </c>
      <c r="D1946">
        <v>19.809999999999999</v>
      </c>
      <c r="E1946">
        <v>19.78</v>
      </c>
      <c r="F1946">
        <v>55.98</v>
      </c>
      <c r="G1946">
        <v>0</v>
      </c>
    </row>
    <row r="1947" spans="1:7" hidden="1">
      <c r="A1947">
        <v>150</v>
      </c>
      <c r="B1947" t="s">
        <v>1118</v>
      </c>
      <c r="C1947" t="s">
        <v>966</v>
      </c>
      <c r="D1947">
        <v>0</v>
      </c>
      <c r="E1947">
        <v>18.05</v>
      </c>
      <c r="F1947">
        <v>0.01</v>
      </c>
      <c r="G1947">
        <v>0</v>
      </c>
    </row>
    <row r="1948" spans="1:7" hidden="1">
      <c r="A1948">
        <v>150</v>
      </c>
      <c r="B1948" t="s">
        <v>1118</v>
      </c>
      <c r="C1948" t="s">
        <v>967</v>
      </c>
      <c r="D1948">
        <v>0.44</v>
      </c>
      <c r="E1948">
        <v>17.91</v>
      </c>
      <c r="F1948">
        <v>1.1299999999999999</v>
      </c>
      <c r="G1948">
        <v>0</v>
      </c>
    </row>
    <row r="1949" spans="1:7" hidden="1">
      <c r="A1949">
        <v>150</v>
      </c>
      <c r="B1949" t="s">
        <v>1118</v>
      </c>
      <c r="C1949" t="s">
        <v>968</v>
      </c>
      <c r="D1949">
        <v>1.39</v>
      </c>
      <c r="E1949">
        <v>18.09</v>
      </c>
      <c r="F1949">
        <v>3.59</v>
      </c>
      <c r="G1949">
        <v>0</v>
      </c>
    </row>
    <row r="1950" spans="1:7" hidden="1">
      <c r="A1950">
        <v>150</v>
      </c>
      <c r="B1950" t="s">
        <v>1118</v>
      </c>
      <c r="C1950" t="s">
        <v>969</v>
      </c>
      <c r="D1950">
        <v>0.15</v>
      </c>
      <c r="E1950">
        <v>24.75</v>
      </c>
      <c r="F1950">
        <v>0.54</v>
      </c>
      <c r="G1950">
        <v>0</v>
      </c>
    </row>
    <row r="1951" spans="1:7" hidden="1">
      <c r="A1951">
        <v>150</v>
      </c>
      <c r="B1951" t="s">
        <v>1118</v>
      </c>
      <c r="C1951" t="s">
        <v>970</v>
      </c>
      <c r="D1951">
        <v>0.5</v>
      </c>
      <c r="E1951">
        <v>24.75</v>
      </c>
      <c r="F1951">
        <v>1.75</v>
      </c>
      <c r="G1951">
        <v>0</v>
      </c>
    </row>
    <row r="1952" spans="1:7" hidden="1">
      <c r="A1952">
        <v>151</v>
      </c>
      <c r="B1952" t="s">
        <v>1119</v>
      </c>
      <c r="C1952" t="s">
        <v>959</v>
      </c>
      <c r="D1952">
        <v>6.66</v>
      </c>
      <c r="E1952">
        <v>18.309999999999999</v>
      </c>
      <c r="F1952">
        <v>17.420000000000002</v>
      </c>
      <c r="G1952">
        <v>5.5</v>
      </c>
    </row>
    <row r="1953" spans="1:7" hidden="1">
      <c r="A1953">
        <v>151</v>
      </c>
      <c r="B1953" t="s">
        <v>1119</v>
      </c>
      <c r="C1953" t="s">
        <v>960</v>
      </c>
      <c r="D1953">
        <v>7.35</v>
      </c>
      <c r="E1953">
        <v>18.399999999999999</v>
      </c>
      <c r="F1953">
        <v>19.329999999999998</v>
      </c>
      <c r="G1953">
        <v>6.16</v>
      </c>
    </row>
    <row r="1954" spans="1:7" hidden="1">
      <c r="A1954">
        <v>151</v>
      </c>
      <c r="B1954" t="s">
        <v>1119</v>
      </c>
      <c r="C1954" t="s">
        <v>961</v>
      </c>
      <c r="D1954">
        <v>1.32</v>
      </c>
      <c r="E1954">
        <v>20.059999999999999</v>
      </c>
      <c r="F1954">
        <v>3.79</v>
      </c>
      <c r="G1954">
        <v>1.05</v>
      </c>
    </row>
    <row r="1955" spans="1:7" hidden="1">
      <c r="A1955">
        <v>151</v>
      </c>
      <c r="B1955" t="s">
        <v>1119</v>
      </c>
      <c r="C1955" t="s">
        <v>962</v>
      </c>
      <c r="D1955">
        <v>1.03</v>
      </c>
      <c r="E1955">
        <v>24.72</v>
      </c>
      <c r="F1955">
        <v>3.65</v>
      </c>
      <c r="G1955">
        <v>0.78</v>
      </c>
    </row>
    <row r="1956" spans="1:7" hidden="1">
      <c r="A1956">
        <v>151</v>
      </c>
      <c r="B1956" t="s">
        <v>1119</v>
      </c>
      <c r="C1956" t="s">
        <v>963</v>
      </c>
      <c r="D1956">
        <v>2.88</v>
      </c>
      <c r="E1956">
        <v>18.13</v>
      </c>
      <c r="F1956">
        <v>7.45</v>
      </c>
      <c r="G1956">
        <v>2.2200000000000002</v>
      </c>
    </row>
    <row r="1957" spans="1:7" hidden="1">
      <c r="A1957">
        <v>151</v>
      </c>
      <c r="B1957" t="s">
        <v>1119</v>
      </c>
      <c r="C1957" t="s">
        <v>964</v>
      </c>
      <c r="D1957">
        <v>0.16</v>
      </c>
      <c r="E1957">
        <v>21.87</v>
      </c>
      <c r="F1957">
        <v>0.51</v>
      </c>
      <c r="G1957">
        <v>0.08</v>
      </c>
    </row>
    <row r="1958" spans="1:7" hidden="1">
      <c r="A1958">
        <v>151</v>
      </c>
      <c r="B1958" t="s">
        <v>1119</v>
      </c>
      <c r="C1958" t="s">
        <v>965</v>
      </c>
      <c r="D1958">
        <v>1.92</v>
      </c>
      <c r="E1958">
        <v>24.75</v>
      </c>
      <c r="F1958">
        <v>6.79</v>
      </c>
      <c r="G1958">
        <v>1.36</v>
      </c>
    </row>
    <row r="1959" spans="1:7">
      <c r="A1959">
        <v>151</v>
      </c>
      <c r="B1959" t="s">
        <v>1119</v>
      </c>
      <c r="C1959" t="s">
        <v>24</v>
      </c>
      <c r="D1959">
        <v>21.33</v>
      </c>
      <c r="E1959">
        <v>19.34</v>
      </c>
      <c r="F1959">
        <v>58.93</v>
      </c>
      <c r="G1959">
        <v>17.13</v>
      </c>
    </row>
    <row r="1960" spans="1:7" hidden="1">
      <c r="A1960">
        <v>151</v>
      </c>
      <c r="B1960" t="s">
        <v>1119</v>
      </c>
      <c r="C1960" t="s">
        <v>966</v>
      </c>
      <c r="D1960">
        <v>23.15</v>
      </c>
      <c r="E1960">
        <v>18.05</v>
      </c>
      <c r="F1960">
        <v>59.71</v>
      </c>
      <c r="G1960">
        <v>22.74</v>
      </c>
    </row>
    <row r="1961" spans="1:7" hidden="1">
      <c r="A1961">
        <v>151</v>
      </c>
      <c r="B1961" t="s">
        <v>1119</v>
      </c>
      <c r="C1961" t="s">
        <v>967</v>
      </c>
      <c r="D1961">
        <v>0.15</v>
      </c>
      <c r="E1961">
        <v>17.91</v>
      </c>
      <c r="F1961">
        <v>0.38</v>
      </c>
      <c r="G1961">
        <v>0.09</v>
      </c>
    </row>
    <row r="1962" spans="1:7" hidden="1">
      <c r="A1962">
        <v>151</v>
      </c>
      <c r="B1962" t="s">
        <v>1119</v>
      </c>
      <c r="C1962" t="s">
        <v>968</v>
      </c>
      <c r="D1962">
        <v>0.37</v>
      </c>
      <c r="E1962">
        <v>18.09</v>
      </c>
      <c r="F1962">
        <v>0.97</v>
      </c>
      <c r="G1962">
        <v>0.28999999999999998</v>
      </c>
    </row>
    <row r="1963" spans="1:7" hidden="1">
      <c r="A1963">
        <v>151</v>
      </c>
      <c r="B1963" t="s">
        <v>1119</v>
      </c>
      <c r="C1963" t="s">
        <v>969</v>
      </c>
      <c r="D1963">
        <v>1.58</v>
      </c>
      <c r="E1963">
        <v>24.75</v>
      </c>
      <c r="F1963">
        <v>5.57</v>
      </c>
      <c r="G1963">
        <v>0.11</v>
      </c>
    </row>
    <row r="1964" spans="1:7" hidden="1">
      <c r="A1964">
        <v>151</v>
      </c>
      <c r="B1964" t="s">
        <v>1119</v>
      </c>
      <c r="C1964" t="s">
        <v>970</v>
      </c>
      <c r="D1964">
        <v>0.18</v>
      </c>
      <c r="E1964">
        <v>24.75</v>
      </c>
      <c r="F1964">
        <v>0.65</v>
      </c>
      <c r="G1964">
        <v>0.11</v>
      </c>
    </row>
    <row r="1965" spans="1:7" hidden="1">
      <c r="A1965">
        <v>152</v>
      </c>
      <c r="B1965" t="s">
        <v>1120</v>
      </c>
      <c r="C1965" t="s">
        <v>959</v>
      </c>
      <c r="D1965">
        <v>7.28</v>
      </c>
      <c r="E1965">
        <v>18.309999999999999</v>
      </c>
      <c r="F1965">
        <v>19.04</v>
      </c>
      <c r="G1965">
        <v>5.0599999999999996</v>
      </c>
    </row>
    <row r="1966" spans="1:7" hidden="1">
      <c r="A1966">
        <v>152</v>
      </c>
      <c r="B1966" t="s">
        <v>1120</v>
      </c>
      <c r="C1966" t="s">
        <v>960</v>
      </c>
      <c r="D1966">
        <v>7.39</v>
      </c>
      <c r="E1966">
        <v>18.399999999999999</v>
      </c>
      <c r="F1966">
        <v>19.43</v>
      </c>
      <c r="G1966">
        <v>5.65</v>
      </c>
    </row>
    <row r="1967" spans="1:7" hidden="1">
      <c r="A1967">
        <v>152</v>
      </c>
      <c r="B1967" t="s">
        <v>1120</v>
      </c>
      <c r="C1967" t="s">
        <v>961</v>
      </c>
      <c r="D1967">
        <v>1.4</v>
      </c>
      <c r="E1967">
        <v>20.059999999999999</v>
      </c>
      <c r="F1967">
        <v>4</v>
      </c>
      <c r="G1967">
        <v>1.01</v>
      </c>
    </row>
    <row r="1968" spans="1:7" hidden="1">
      <c r="A1968">
        <v>152</v>
      </c>
      <c r="B1968" t="s">
        <v>1120</v>
      </c>
      <c r="C1968" t="s">
        <v>962</v>
      </c>
      <c r="D1968">
        <v>1.31</v>
      </c>
      <c r="E1968">
        <v>24.72</v>
      </c>
      <c r="F1968">
        <v>4.6399999999999997</v>
      </c>
      <c r="G1968">
        <v>0.81</v>
      </c>
    </row>
    <row r="1969" spans="1:7" hidden="1">
      <c r="A1969">
        <v>152</v>
      </c>
      <c r="B1969" t="s">
        <v>1120</v>
      </c>
      <c r="C1969" t="s">
        <v>963</v>
      </c>
      <c r="D1969">
        <v>3.44</v>
      </c>
      <c r="E1969">
        <v>18.13</v>
      </c>
      <c r="F1969">
        <v>8.92</v>
      </c>
      <c r="G1969">
        <v>2.0699999999999998</v>
      </c>
    </row>
    <row r="1970" spans="1:7" hidden="1">
      <c r="A1970">
        <v>152</v>
      </c>
      <c r="B1970" t="s">
        <v>1120</v>
      </c>
      <c r="C1970" t="s">
        <v>964</v>
      </c>
      <c r="D1970">
        <v>0.14000000000000001</v>
      </c>
      <c r="E1970">
        <v>21.87</v>
      </c>
      <c r="F1970">
        <v>0.43</v>
      </c>
      <c r="G1970">
        <v>0.1</v>
      </c>
    </row>
    <row r="1971" spans="1:7" hidden="1">
      <c r="A1971">
        <v>152</v>
      </c>
      <c r="B1971" t="s">
        <v>1120</v>
      </c>
      <c r="C1971" t="s">
        <v>965</v>
      </c>
      <c r="D1971">
        <v>2.2000000000000002</v>
      </c>
      <c r="E1971">
        <v>24.75</v>
      </c>
      <c r="F1971">
        <v>7.78</v>
      </c>
      <c r="G1971">
        <v>1.41</v>
      </c>
    </row>
    <row r="1972" spans="1:7">
      <c r="A1972">
        <v>152</v>
      </c>
      <c r="B1972" t="s">
        <v>1120</v>
      </c>
      <c r="C1972" t="s">
        <v>24</v>
      </c>
      <c r="D1972">
        <v>23.16</v>
      </c>
      <c r="E1972">
        <v>19.41</v>
      </c>
      <c r="F1972">
        <v>64.239999999999995</v>
      </c>
      <c r="G1972">
        <v>16.11</v>
      </c>
    </row>
    <row r="1973" spans="1:7" hidden="1">
      <c r="A1973">
        <v>152</v>
      </c>
      <c r="B1973" t="s">
        <v>1120</v>
      </c>
      <c r="C1973" t="s">
        <v>966</v>
      </c>
      <c r="D1973">
        <v>14.56</v>
      </c>
      <c r="E1973">
        <v>18.05</v>
      </c>
      <c r="F1973">
        <v>37.56</v>
      </c>
      <c r="G1973">
        <v>14.12</v>
      </c>
    </row>
    <row r="1974" spans="1:7" hidden="1">
      <c r="A1974">
        <v>152</v>
      </c>
      <c r="B1974" t="s">
        <v>1120</v>
      </c>
      <c r="C1974" t="s">
        <v>967</v>
      </c>
      <c r="D1974">
        <v>0.16</v>
      </c>
      <c r="E1974">
        <v>17.91</v>
      </c>
      <c r="F1974">
        <v>0.41</v>
      </c>
      <c r="G1974">
        <v>0.11</v>
      </c>
    </row>
    <row r="1975" spans="1:7" hidden="1">
      <c r="A1975">
        <v>152</v>
      </c>
      <c r="B1975" t="s">
        <v>1120</v>
      </c>
      <c r="C1975" t="s">
        <v>968</v>
      </c>
      <c r="D1975">
        <v>0.54</v>
      </c>
      <c r="E1975">
        <v>18.09</v>
      </c>
      <c r="F1975">
        <v>1.39</v>
      </c>
      <c r="G1975">
        <v>0.35</v>
      </c>
    </row>
    <row r="1976" spans="1:7" hidden="1">
      <c r="A1976">
        <v>152</v>
      </c>
      <c r="B1976" t="s">
        <v>1120</v>
      </c>
      <c r="C1976" t="s">
        <v>969</v>
      </c>
      <c r="D1976">
        <v>2.23</v>
      </c>
      <c r="E1976">
        <v>24.75</v>
      </c>
      <c r="F1976">
        <v>7.87</v>
      </c>
      <c r="G1976">
        <v>0.08</v>
      </c>
    </row>
    <row r="1977" spans="1:7" hidden="1">
      <c r="A1977">
        <v>152</v>
      </c>
      <c r="B1977" t="s">
        <v>1120</v>
      </c>
      <c r="C1977" t="s">
        <v>970</v>
      </c>
      <c r="D1977">
        <v>0.27</v>
      </c>
      <c r="E1977">
        <v>24.75</v>
      </c>
      <c r="F1977">
        <v>0.97</v>
      </c>
      <c r="G1977">
        <v>0.13</v>
      </c>
    </row>
    <row r="1978" spans="1:7" hidden="1">
      <c r="A1978">
        <v>153</v>
      </c>
      <c r="B1978" t="s">
        <v>1121</v>
      </c>
      <c r="C1978" t="s">
        <v>959</v>
      </c>
      <c r="D1978">
        <v>8.02</v>
      </c>
      <c r="E1978">
        <v>18.309999999999999</v>
      </c>
      <c r="F1978">
        <v>20.98</v>
      </c>
      <c r="G1978">
        <v>4.62</v>
      </c>
    </row>
    <row r="1979" spans="1:7" hidden="1">
      <c r="A1979">
        <v>153</v>
      </c>
      <c r="B1979" t="s">
        <v>1121</v>
      </c>
      <c r="C1979" t="s">
        <v>960</v>
      </c>
      <c r="D1979">
        <v>7.76</v>
      </c>
      <c r="E1979">
        <v>18.399999999999999</v>
      </c>
      <c r="F1979">
        <v>20.399999999999999</v>
      </c>
      <c r="G1979">
        <v>5.6</v>
      </c>
    </row>
    <row r="1980" spans="1:7" hidden="1">
      <c r="A1980">
        <v>153</v>
      </c>
      <c r="B1980" t="s">
        <v>1121</v>
      </c>
      <c r="C1980" t="s">
        <v>961</v>
      </c>
      <c r="D1980">
        <v>2.29</v>
      </c>
      <c r="E1980">
        <v>20.059999999999999</v>
      </c>
      <c r="F1980">
        <v>6.56</v>
      </c>
      <c r="G1980">
        <v>1.48</v>
      </c>
    </row>
    <row r="1981" spans="1:7" hidden="1">
      <c r="A1981">
        <v>153</v>
      </c>
      <c r="B1981" t="s">
        <v>1121</v>
      </c>
      <c r="C1981" t="s">
        <v>962</v>
      </c>
      <c r="D1981">
        <v>1.45</v>
      </c>
      <c r="E1981">
        <v>24.72</v>
      </c>
      <c r="F1981">
        <v>5.12</v>
      </c>
      <c r="G1981">
        <v>0.81</v>
      </c>
    </row>
    <row r="1982" spans="1:7" hidden="1">
      <c r="A1982">
        <v>153</v>
      </c>
      <c r="B1982" t="s">
        <v>1121</v>
      </c>
      <c r="C1982" t="s">
        <v>963</v>
      </c>
      <c r="D1982">
        <v>3.87</v>
      </c>
      <c r="E1982">
        <v>18.13</v>
      </c>
      <c r="F1982">
        <v>10.01</v>
      </c>
      <c r="G1982">
        <v>1.77</v>
      </c>
    </row>
    <row r="1983" spans="1:7" hidden="1">
      <c r="A1983">
        <v>153</v>
      </c>
      <c r="B1983" t="s">
        <v>1121</v>
      </c>
      <c r="C1983" t="s">
        <v>964</v>
      </c>
      <c r="D1983">
        <v>0.13</v>
      </c>
      <c r="E1983">
        <v>21.87</v>
      </c>
      <c r="F1983">
        <v>0.41</v>
      </c>
      <c r="G1983">
        <v>0.03</v>
      </c>
    </row>
    <row r="1984" spans="1:7" hidden="1">
      <c r="A1984">
        <v>153</v>
      </c>
      <c r="B1984" t="s">
        <v>1121</v>
      </c>
      <c r="C1984" t="s">
        <v>965</v>
      </c>
      <c r="D1984">
        <v>2.4700000000000002</v>
      </c>
      <c r="E1984">
        <v>24.75</v>
      </c>
      <c r="F1984">
        <v>8.73</v>
      </c>
      <c r="G1984">
        <v>1.21</v>
      </c>
    </row>
    <row r="1985" spans="1:7">
      <c r="A1985">
        <v>153</v>
      </c>
      <c r="B1985" t="s">
        <v>1121</v>
      </c>
      <c r="C1985" t="s">
        <v>24</v>
      </c>
      <c r="D1985">
        <v>25.99</v>
      </c>
      <c r="E1985">
        <v>19.45</v>
      </c>
      <c r="F1985">
        <v>72.22</v>
      </c>
      <c r="G1985">
        <v>15.53</v>
      </c>
    </row>
    <row r="1986" spans="1:7" hidden="1">
      <c r="A1986">
        <v>153</v>
      </c>
      <c r="B1986" t="s">
        <v>1121</v>
      </c>
      <c r="C1986" t="s">
        <v>966</v>
      </c>
      <c r="D1986">
        <v>9.76</v>
      </c>
      <c r="E1986">
        <v>18.05</v>
      </c>
      <c r="F1986">
        <v>25.16</v>
      </c>
      <c r="G1986">
        <v>9.08</v>
      </c>
    </row>
    <row r="1987" spans="1:7" hidden="1">
      <c r="A1987">
        <v>153</v>
      </c>
      <c r="B1987" t="s">
        <v>1121</v>
      </c>
      <c r="C1987" t="s">
        <v>967</v>
      </c>
      <c r="D1987">
        <v>0.19</v>
      </c>
      <c r="E1987">
        <v>17.91</v>
      </c>
      <c r="F1987">
        <v>0.49</v>
      </c>
      <c r="G1987">
        <v>0.09</v>
      </c>
    </row>
    <row r="1988" spans="1:7" hidden="1">
      <c r="A1988">
        <v>153</v>
      </c>
      <c r="B1988" t="s">
        <v>1121</v>
      </c>
      <c r="C1988" t="s">
        <v>968</v>
      </c>
      <c r="D1988">
        <v>0.5</v>
      </c>
      <c r="E1988">
        <v>18.09</v>
      </c>
      <c r="F1988">
        <v>1.29</v>
      </c>
      <c r="G1988">
        <v>0.24</v>
      </c>
    </row>
    <row r="1989" spans="1:7" hidden="1">
      <c r="A1989">
        <v>153</v>
      </c>
      <c r="B1989" t="s">
        <v>1121</v>
      </c>
      <c r="C1989" t="s">
        <v>969</v>
      </c>
      <c r="D1989">
        <v>2.29</v>
      </c>
      <c r="E1989">
        <v>24.75</v>
      </c>
      <c r="F1989">
        <v>8.1</v>
      </c>
      <c r="G1989">
        <v>0.06</v>
      </c>
    </row>
    <row r="1990" spans="1:7" hidden="1">
      <c r="A1990">
        <v>153</v>
      </c>
      <c r="B1990" t="s">
        <v>1121</v>
      </c>
      <c r="C1990" t="s">
        <v>970</v>
      </c>
      <c r="D1990">
        <v>0.32</v>
      </c>
      <c r="E1990">
        <v>24.75</v>
      </c>
      <c r="F1990">
        <v>1.1200000000000001</v>
      </c>
      <c r="G1990">
        <v>0.15</v>
      </c>
    </row>
    <row r="1991" spans="1:7" hidden="1">
      <c r="A1991">
        <v>154</v>
      </c>
      <c r="B1991" t="s">
        <v>1122</v>
      </c>
      <c r="C1991" t="s">
        <v>959</v>
      </c>
      <c r="D1991">
        <v>8.48</v>
      </c>
      <c r="E1991">
        <v>18.309999999999999</v>
      </c>
      <c r="F1991">
        <v>22.19</v>
      </c>
      <c r="G1991">
        <v>0</v>
      </c>
    </row>
    <row r="1992" spans="1:7" hidden="1">
      <c r="A1992">
        <v>154</v>
      </c>
      <c r="B1992" t="s">
        <v>1122</v>
      </c>
      <c r="C1992" t="s">
        <v>960</v>
      </c>
      <c r="D1992">
        <v>7.82</v>
      </c>
      <c r="E1992">
        <v>18.399999999999999</v>
      </c>
      <c r="F1992">
        <v>20.56</v>
      </c>
      <c r="G1992">
        <v>0</v>
      </c>
    </row>
    <row r="1993" spans="1:7" hidden="1">
      <c r="A1993">
        <v>154</v>
      </c>
      <c r="B1993" t="s">
        <v>1122</v>
      </c>
      <c r="C1993" t="s">
        <v>961</v>
      </c>
      <c r="D1993">
        <v>2.81</v>
      </c>
      <c r="E1993">
        <v>20.059999999999999</v>
      </c>
      <c r="F1993">
        <v>8.0500000000000007</v>
      </c>
      <c r="G1993">
        <v>0</v>
      </c>
    </row>
    <row r="1994" spans="1:7" hidden="1">
      <c r="A1994">
        <v>154</v>
      </c>
      <c r="B1994" t="s">
        <v>1122</v>
      </c>
      <c r="C1994" t="s">
        <v>962</v>
      </c>
      <c r="D1994">
        <v>1.56</v>
      </c>
      <c r="E1994">
        <v>24.72</v>
      </c>
      <c r="F1994">
        <v>5.52</v>
      </c>
      <c r="G1994">
        <v>0</v>
      </c>
    </row>
    <row r="1995" spans="1:7" hidden="1">
      <c r="A1995">
        <v>154</v>
      </c>
      <c r="B1995" t="s">
        <v>1122</v>
      </c>
      <c r="C1995" t="s">
        <v>963</v>
      </c>
      <c r="D1995">
        <v>4.3</v>
      </c>
      <c r="E1995">
        <v>18.13</v>
      </c>
      <c r="F1995">
        <v>11.14</v>
      </c>
      <c r="G1995">
        <v>0</v>
      </c>
    </row>
    <row r="1996" spans="1:7" hidden="1">
      <c r="A1996">
        <v>154</v>
      </c>
      <c r="B1996" t="s">
        <v>1122</v>
      </c>
      <c r="C1996" t="s">
        <v>964</v>
      </c>
      <c r="D1996">
        <v>0.16</v>
      </c>
      <c r="E1996">
        <v>21.87</v>
      </c>
      <c r="F1996">
        <v>0.49</v>
      </c>
      <c r="G1996">
        <v>0</v>
      </c>
    </row>
    <row r="1997" spans="1:7" hidden="1">
      <c r="A1997">
        <v>154</v>
      </c>
      <c r="B1997" t="s">
        <v>1122</v>
      </c>
      <c r="C1997" t="s">
        <v>965</v>
      </c>
      <c r="D1997">
        <v>2.91</v>
      </c>
      <c r="E1997">
        <v>24.75</v>
      </c>
      <c r="F1997">
        <v>10.29</v>
      </c>
      <c r="G1997">
        <v>0</v>
      </c>
    </row>
    <row r="1998" spans="1:7">
      <c r="A1998">
        <v>154</v>
      </c>
      <c r="B1998" t="s">
        <v>1122</v>
      </c>
      <c r="C1998" t="s">
        <v>24</v>
      </c>
      <c r="D1998">
        <v>28.05</v>
      </c>
      <c r="E1998">
        <v>19.53</v>
      </c>
      <c r="F1998">
        <v>78.239999999999995</v>
      </c>
      <c r="G1998">
        <v>0</v>
      </c>
    </row>
    <row r="1999" spans="1:7" hidden="1">
      <c r="A1999">
        <v>154</v>
      </c>
      <c r="B1999" t="s">
        <v>1122</v>
      </c>
      <c r="C1999" t="s">
        <v>966</v>
      </c>
      <c r="D1999">
        <v>3.48</v>
      </c>
      <c r="E1999">
        <v>18.05</v>
      </c>
      <c r="F1999">
        <v>8.9600000000000009</v>
      </c>
      <c r="G1999">
        <v>3.1</v>
      </c>
    </row>
    <row r="2000" spans="1:7" hidden="1">
      <c r="A2000">
        <v>154</v>
      </c>
      <c r="B2000" t="s">
        <v>1122</v>
      </c>
      <c r="C2000" t="s">
        <v>967</v>
      </c>
      <c r="D2000">
        <v>0.15</v>
      </c>
      <c r="E2000">
        <v>17.91</v>
      </c>
      <c r="F2000">
        <v>0.4</v>
      </c>
      <c r="G2000">
        <v>0</v>
      </c>
    </row>
    <row r="2001" spans="1:7" hidden="1">
      <c r="A2001">
        <v>154</v>
      </c>
      <c r="B2001" t="s">
        <v>1122</v>
      </c>
      <c r="C2001" t="s">
        <v>968</v>
      </c>
      <c r="D2001">
        <v>0.9</v>
      </c>
      <c r="E2001">
        <v>18.09</v>
      </c>
      <c r="F2001">
        <v>2.33</v>
      </c>
      <c r="G2001">
        <v>0</v>
      </c>
    </row>
    <row r="2002" spans="1:7" hidden="1">
      <c r="A2002">
        <v>154</v>
      </c>
      <c r="B2002" t="s">
        <v>1122</v>
      </c>
      <c r="C2002" t="s">
        <v>969</v>
      </c>
      <c r="D2002">
        <v>1.68</v>
      </c>
      <c r="E2002">
        <v>24.75</v>
      </c>
      <c r="F2002">
        <v>5.92</v>
      </c>
      <c r="G2002">
        <v>0</v>
      </c>
    </row>
    <row r="2003" spans="1:7" hidden="1">
      <c r="A2003">
        <v>154</v>
      </c>
      <c r="B2003" t="s">
        <v>1122</v>
      </c>
      <c r="C2003" t="s">
        <v>970</v>
      </c>
      <c r="D2003">
        <v>0.39</v>
      </c>
      <c r="E2003">
        <v>24.75</v>
      </c>
      <c r="F2003">
        <v>1.38</v>
      </c>
      <c r="G2003">
        <v>0</v>
      </c>
    </row>
    <row r="2004" spans="1:7" hidden="1">
      <c r="A2004">
        <v>155</v>
      </c>
      <c r="B2004" t="s">
        <v>1123</v>
      </c>
      <c r="C2004" t="s">
        <v>959</v>
      </c>
      <c r="D2004">
        <v>6.82</v>
      </c>
      <c r="E2004">
        <v>18.309999999999999</v>
      </c>
      <c r="F2004">
        <v>17.850000000000001</v>
      </c>
      <c r="G2004">
        <v>0</v>
      </c>
    </row>
    <row r="2005" spans="1:7" hidden="1">
      <c r="A2005">
        <v>155</v>
      </c>
      <c r="B2005" t="s">
        <v>1123</v>
      </c>
      <c r="C2005" t="s">
        <v>960</v>
      </c>
      <c r="D2005">
        <v>5.86</v>
      </c>
      <c r="E2005">
        <v>18.399999999999999</v>
      </c>
      <c r="F2005">
        <v>15.4</v>
      </c>
      <c r="G2005">
        <v>0</v>
      </c>
    </row>
    <row r="2006" spans="1:7" hidden="1">
      <c r="A2006">
        <v>155</v>
      </c>
      <c r="B2006" t="s">
        <v>1123</v>
      </c>
      <c r="C2006" t="s">
        <v>961</v>
      </c>
      <c r="D2006">
        <v>3.71</v>
      </c>
      <c r="E2006">
        <v>20.059999999999999</v>
      </c>
      <c r="F2006">
        <v>10.62</v>
      </c>
      <c r="G2006">
        <v>0</v>
      </c>
    </row>
    <row r="2007" spans="1:7" hidden="1">
      <c r="A2007">
        <v>155</v>
      </c>
      <c r="B2007" t="s">
        <v>1123</v>
      </c>
      <c r="C2007" t="s">
        <v>962</v>
      </c>
      <c r="D2007">
        <v>1.84</v>
      </c>
      <c r="E2007">
        <v>24.72</v>
      </c>
      <c r="F2007">
        <v>6.48</v>
      </c>
      <c r="G2007">
        <v>0</v>
      </c>
    </row>
    <row r="2008" spans="1:7" hidden="1">
      <c r="A2008">
        <v>155</v>
      </c>
      <c r="B2008" t="s">
        <v>1123</v>
      </c>
      <c r="C2008" t="s">
        <v>963</v>
      </c>
      <c r="D2008">
        <v>3.34</v>
      </c>
      <c r="E2008">
        <v>18.13</v>
      </c>
      <c r="F2008">
        <v>8.66</v>
      </c>
      <c r="G2008">
        <v>0</v>
      </c>
    </row>
    <row r="2009" spans="1:7" hidden="1">
      <c r="A2009">
        <v>155</v>
      </c>
      <c r="B2009" t="s">
        <v>1123</v>
      </c>
      <c r="C2009" t="s">
        <v>964</v>
      </c>
      <c r="D2009">
        <v>0.27</v>
      </c>
      <c r="E2009">
        <v>21.87</v>
      </c>
      <c r="F2009">
        <v>0.83</v>
      </c>
      <c r="G2009">
        <v>0</v>
      </c>
    </row>
    <row r="2010" spans="1:7" hidden="1">
      <c r="A2010">
        <v>155</v>
      </c>
      <c r="B2010" t="s">
        <v>1123</v>
      </c>
      <c r="C2010" t="s">
        <v>965</v>
      </c>
      <c r="D2010">
        <v>2.41</v>
      </c>
      <c r="E2010">
        <v>24.75</v>
      </c>
      <c r="F2010">
        <v>8.52</v>
      </c>
      <c r="G2010">
        <v>0</v>
      </c>
    </row>
    <row r="2011" spans="1:7">
      <c r="A2011">
        <v>155</v>
      </c>
      <c r="B2011" t="s">
        <v>1123</v>
      </c>
      <c r="C2011" t="s">
        <v>24</v>
      </c>
      <c r="D2011">
        <v>24.25</v>
      </c>
      <c r="E2011">
        <v>19.739999999999998</v>
      </c>
      <c r="F2011">
        <v>68.37</v>
      </c>
      <c r="G2011">
        <v>0</v>
      </c>
    </row>
    <row r="2012" spans="1:7" hidden="1">
      <c r="A2012">
        <v>155</v>
      </c>
      <c r="B2012" t="s">
        <v>1123</v>
      </c>
      <c r="C2012" t="s">
        <v>966</v>
      </c>
      <c r="D2012">
        <v>0</v>
      </c>
      <c r="E2012">
        <v>18.05</v>
      </c>
      <c r="F2012">
        <v>0</v>
      </c>
      <c r="G2012">
        <v>0</v>
      </c>
    </row>
    <row r="2013" spans="1:7" hidden="1">
      <c r="A2013">
        <v>155</v>
      </c>
      <c r="B2013" t="s">
        <v>1123</v>
      </c>
      <c r="C2013" t="s">
        <v>967</v>
      </c>
      <c r="D2013">
        <v>0.56999999999999995</v>
      </c>
      <c r="E2013">
        <v>17.91</v>
      </c>
      <c r="F2013">
        <v>1.47</v>
      </c>
      <c r="G2013">
        <v>0</v>
      </c>
    </row>
    <row r="2014" spans="1:7" hidden="1">
      <c r="A2014">
        <v>155</v>
      </c>
      <c r="B2014" t="s">
        <v>1123</v>
      </c>
      <c r="C2014" t="s">
        <v>968</v>
      </c>
      <c r="D2014">
        <v>2.14</v>
      </c>
      <c r="E2014">
        <v>18.09</v>
      </c>
      <c r="F2014">
        <v>5.53</v>
      </c>
      <c r="G2014">
        <v>0</v>
      </c>
    </row>
    <row r="2015" spans="1:7" hidden="1">
      <c r="A2015">
        <v>155</v>
      </c>
      <c r="B2015" t="s">
        <v>1123</v>
      </c>
      <c r="C2015" t="s">
        <v>969</v>
      </c>
      <c r="D2015">
        <v>0.25</v>
      </c>
      <c r="E2015">
        <v>24.75</v>
      </c>
      <c r="F2015">
        <v>0.88</v>
      </c>
      <c r="G2015">
        <v>0</v>
      </c>
    </row>
    <row r="2016" spans="1:7" hidden="1">
      <c r="A2016">
        <v>155</v>
      </c>
      <c r="B2016" t="s">
        <v>1123</v>
      </c>
      <c r="C2016" t="s">
        <v>970</v>
      </c>
      <c r="D2016">
        <v>0.61</v>
      </c>
      <c r="E2016">
        <v>24.75</v>
      </c>
      <c r="F2016">
        <v>2.17</v>
      </c>
      <c r="G2016">
        <v>0</v>
      </c>
    </row>
    <row r="2017" spans="1:7" hidden="1">
      <c r="A2017">
        <v>156</v>
      </c>
      <c r="B2017" t="s">
        <v>1124</v>
      </c>
      <c r="C2017" t="s">
        <v>959</v>
      </c>
      <c r="D2017">
        <v>4.7</v>
      </c>
      <c r="E2017">
        <v>18.309999999999999</v>
      </c>
      <c r="F2017">
        <v>12.3</v>
      </c>
      <c r="G2017">
        <v>0</v>
      </c>
    </row>
    <row r="2018" spans="1:7" hidden="1">
      <c r="A2018">
        <v>156</v>
      </c>
      <c r="B2018" t="s">
        <v>1124</v>
      </c>
      <c r="C2018" t="s">
        <v>960</v>
      </c>
      <c r="D2018">
        <v>4.17</v>
      </c>
      <c r="E2018">
        <v>18.399999999999999</v>
      </c>
      <c r="F2018">
        <v>10.96</v>
      </c>
      <c r="G2018">
        <v>0</v>
      </c>
    </row>
    <row r="2019" spans="1:7" hidden="1">
      <c r="A2019">
        <v>156</v>
      </c>
      <c r="B2019" t="s">
        <v>1124</v>
      </c>
      <c r="C2019" t="s">
        <v>961</v>
      </c>
      <c r="D2019">
        <v>2.5099999999999998</v>
      </c>
      <c r="E2019">
        <v>20.059999999999999</v>
      </c>
      <c r="F2019">
        <v>7.2</v>
      </c>
      <c r="G2019">
        <v>0</v>
      </c>
    </row>
    <row r="2020" spans="1:7" hidden="1">
      <c r="A2020">
        <v>156</v>
      </c>
      <c r="B2020" t="s">
        <v>1124</v>
      </c>
      <c r="C2020" t="s">
        <v>962</v>
      </c>
      <c r="D2020">
        <v>1.28</v>
      </c>
      <c r="E2020">
        <v>24.72</v>
      </c>
      <c r="F2020">
        <v>4.5199999999999996</v>
      </c>
      <c r="G2020">
        <v>0</v>
      </c>
    </row>
    <row r="2021" spans="1:7" hidden="1">
      <c r="A2021">
        <v>156</v>
      </c>
      <c r="B2021" t="s">
        <v>1124</v>
      </c>
      <c r="C2021" t="s">
        <v>963</v>
      </c>
      <c r="D2021">
        <v>3.2</v>
      </c>
      <c r="E2021">
        <v>18.13</v>
      </c>
      <c r="F2021">
        <v>8.3000000000000007</v>
      </c>
      <c r="G2021">
        <v>0</v>
      </c>
    </row>
    <row r="2022" spans="1:7" hidden="1">
      <c r="A2022">
        <v>156</v>
      </c>
      <c r="B2022" t="s">
        <v>1124</v>
      </c>
      <c r="C2022" t="s">
        <v>964</v>
      </c>
      <c r="D2022">
        <v>0.24</v>
      </c>
      <c r="E2022">
        <v>21.87</v>
      </c>
      <c r="F2022">
        <v>0.76</v>
      </c>
      <c r="G2022">
        <v>0</v>
      </c>
    </row>
    <row r="2023" spans="1:7" hidden="1">
      <c r="A2023">
        <v>156</v>
      </c>
      <c r="B2023" t="s">
        <v>1124</v>
      </c>
      <c r="C2023" t="s">
        <v>965</v>
      </c>
      <c r="D2023">
        <v>2.25</v>
      </c>
      <c r="E2023">
        <v>24.75</v>
      </c>
      <c r="F2023">
        <v>7.96</v>
      </c>
      <c r="G2023">
        <v>0</v>
      </c>
    </row>
    <row r="2024" spans="1:7">
      <c r="A2024">
        <v>156</v>
      </c>
      <c r="B2024" t="s">
        <v>1124</v>
      </c>
      <c r="C2024" t="s">
        <v>24</v>
      </c>
      <c r="D2024">
        <v>18.36</v>
      </c>
      <c r="E2024">
        <v>19.82</v>
      </c>
      <c r="F2024">
        <v>51.99</v>
      </c>
      <c r="G2024">
        <v>0</v>
      </c>
    </row>
    <row r="2025" spans="1:7" hidden="1">
      <c r="A2025">
        <v>156</v>
      </c>
      <c r="B2025" t="s">
        <v>1124</v>
      </c>
      <c r="C2025" t="s">
        <v>966</v>
      </c>
      <c r="D2025">
        <v>0</v>
      </c>
      <c r="E2025">
        <v>18.05</v>
      </c>
      <c r="F2025">
        <v>0</v>
      </c>
      <c r="G2025">
        <v>0</v>
      </c>
    </row>
    <row r="2026" spans="1:7" hidden="1">
      <c r="A2026">
        <v>156</v>
      </c>
      <c r="B2026" t="s">
        <v>1124</v>
      </c>
      <c r="C2026" t="s">
        <v>967</v>
      </c>
      <c r="D2026">
        <v>0.23</v>
      </c>
      <c r="E2026">
        <v>17.91</v>
      </c>
      <c r="F2026">
        <v>0.6</v>
      </c>
      <c r="G2026">
        <v>0</v>
      </c>
    </row>
    <row r="2027" spans="1:7" hidden="1">
      <c r="A2027">
        <v>156</v>
      </c>
      <c r="B2027" t="s">
        <v>1124</v>
      </c>
      <c r="C2027" t="s">
        <v>968</v>
      </c>
      <c r="D2027">
        <v>1.27</v>
      </c>
      <c r="E2027">
        <v>18.09</v>
      </c>
      <c r="F2027">
        <v>3.28</v>
      </c>
      <c r="G2027">
        <v>0</v>
      </c>
    </row>
    <row r="2028" spans="1:7" hidden="1">
      <c r="A2028">
        <v>156</v>
      </c>
      <c r="B2028" t="s">
        <v>1124</v>
      </c>
      <c r="C2028" t="s">
        <v>969</v>
      </c>
      <c r="D2028">
        <v>0.34</v>
      </c>
      <c r="E2028">
        <v>24.75</v>
      </c>
      <c r="F2028">
        <v>1.2</v>
      </c>
      <c r="G2028">
        <v>0</v>
      </c>
    </row>
    <row r="2029" spans="1:7" hidden="1">
      <c r="A2029">
        <v>156</v>
      </c>
      <c r="B2029" t="s">
        <v>1124</v>
      </c>
      <c r="C2029" t="s">
        <v>970</v>
      </c>
      <c r="D2029">
        <v>0.36</v>
      </c>
      <c r="E2029">
        <v>24.75</v>
      </c>
      <c r="F2029">
        <v>1.28</v>
      </c>
      <c r="G2029">
        <v>0</v>
      </c>
    </row>
    <row r="2030" spans="1:7" hidden="1">
      <c r="A2030">
        <v>157</v>
      </c>
      <c r="B2030" t="s">
        <v>1125</v>
      </c>
      <c r="C2030" t="s">
        <v>959</v>
      </c>
      <c r="D2030">
        <v>7.83</v>
      </c>
      <c r="E2030">
        <v>18.309999999999999</v>
      </c>
      <c r="F2030">
        <v>20.49</v>
      </c>
      <c r="G2030">
        <v>0</v>
      </c>
    </row>
    <row r="2031" spans="1:7" hidden="1">
      <c r="A2031">
        <v>157</v>
      </c>
      <c r="B2031" t="s">
        <v>1125</v>
      </c>
      <c r="C2031" t="s">
        <v>960</v>
      </c>
      <c r="D2031">
        <v>6.13</v>
      </c>
      <c r="E2031">
        <v>18.399999999999999</v>
      </c>
      <c r="F2031">
        <v>16.12</v>
      </c>
      <c r="G2031">
        <v>0</v>
      </c>
    </row>
    <row r="2032" spans="1:7" hidden="1">
      <c r="A2032">
        <v>157</v>
      </c>
      <c r="B2032" t="s">
        <v>1125</v>
      </c>
      <c r="C2032" t="s">
        <v>961</v>
      </c>
      <c r="D2032">
        <v>3.52</v>
      </c>
      <c r="E2032">
        <v>20.059999999999999</v>
      </c>
      <c r="F2032">
        <v>10.08</v>
      </c>
      <c r="G2032">
        <v>0</v>
      </c>
    </row>
    <row r="2033" spans="1:7" hidden="1">
      <c r="A2033">
        <v>157</v>
      </c>
      <c r="B2033" t="s">
        <v>1125</v>
      </c>
      <c r="C2033" t="s">
        <v>962</v>
      </c>
      <c r="D2033">
        <v>2.21</v>
      </c>
      <c r="E2033">
        <v>24.72</v>
      </c>
      <c r="F2033">
        <v>7.8</v>
      </c>
      <c r="G2033">
        <v>0</v>
      </c>
    </row>
    <row r="2034" spans="1:7" hidden="1">
      <c r="A2034">
        <v>157</v>
      </c>
      <c r="B2034" t="s">
        <v>1125</v>
      </c>
      <c r="C2034" t="s">
        <v>963</v>
      </c>
      <c r="D2034">
        <v>3.4</v>
      </c>
      <c r="E2034">
        <v>18.13</v>
      </c>
      <c r="F2034">
        <v>8.8000000000000007</v>
      </c>
      <c r="G2034">
        <v>0</v>
      </c>
    </row>
    <row r="2035" spans="1:7" hidden="1">
      <c r="A2035">
        <v>157</v>
      </c>
      <c r="B2035" t="s">
        <v>1125</v>
      </c>
      <c r="C2035" t="s">
        <v>964</v>
      </c>
      <c r="D2035">
        <v>0.32</v>
      </c>
      <c r="E2035">
        <v>21.87</v>
      </c>
      <c r="F2035">
        <v>1</v>
      </c>
      <c r="G2035">
        <v>0</v>
      </c>
    </row>
    <row r="2036" spans="1:7" hidden="1">
      <c r="A2036">
        <v>157</v>
      </c>
      <c r="B2036" t="s">
        <v>1125</v>
      </c>
      <c r="C2036" t="s">
        <v>965</v>
      </c>
      <c r="D2036">
        <v>2.41</v>
      </c>
      <c r="E2036">
        <v>24.75</v>
      </c>
      <c r="F2036">
        <v>8.52</v>
      </c>
      <c r="G2036">
        <v>0</v>
      </c>
    </row>
    <row r="2037" spans="1:7">
      <c r="A2037">
        <v>157</v>
      </c>
      <c r="B2037" t="s">
        <v>1125</v>
      </c>
      <c r="C2037" t="s">
        <v>24</v>
      </c>
      <c r="D2037">
        <v>25.82</v>
      </c>
      <c r="E2037">
        <v>19.739999999999998</v>
      </c>
      <c r="F2037">
        <v>72.81</v>
      </c>
      <c r="G2037">
        <v>0</v>
      </c>
    </row>
    <row r="2038" spans="1:7" hidden="1">
      <c r="A2038">
        <v>157</v>
      </c>
      <c r="B2038" t="s">
        <v>1125</v>
      </c>
      <c r="C2038" t="s">
        <v>966</v>
      </c>
      <c r="D2038">
        <v>0</v>
      </c>
      <c r="E2038">
        <v>18.05</v>
      </c>
      <c r="F2038">
        <v>0</v>
      </c>
      <c r="G2038">
        <v>0</v>
      </c>
    </row>
    <row r="2039" spans="1:7" hidden="1">
      <c r="A2039">
        <v>157</v>
      </c>
      <c r="B2039" t="s">
        <v>1125</v>
      </c>
      <c r="C2039" t="s">
        <v>967</v>
      </c>
      <c r="D2039">
        <v>0.56999999999999995</v>
      </c>
      <c r="E2039">
        <v>17.91</v>
      </c>
      <c r="F2039">
        <v>1.47</v>
      </c>
      <c r="G2039">
        <v>0</v>
      </c>
    </row>
    <row r="2040" spans="1:7" hidden="1">
      <c r="A2040">
        <v>157</v>
      </c>
      <c r="B2040" t="s">
        <v>1125</v>
      </c>
      <c r="C2040" t="s">
        <v>968</v>
      </c>
      <c r="D2040">
        <v>2.0299999999999998</v>
      </c>
      <c r="E2040">
        <v>18.09</v>
      </c>
      <c r="F2040">
        <v>5.25</v>
      </c>
      <c r="G2040">
        <v>0</v>
      </c>
    </row>
    <row r="2041" spans="1:7" hidden="1">
      <c r="A2041">
        <v>157</v>
      </c>
      <c r="B2041" t="s">
        <v>1125</v>
      </c>
      <c r="C2041" t="s">
        <v>969</v>
      </c>
      <c r="D2041">
        <v>0.18</v>
      </c>
      <c r="E2041">
        <v>24.75</v>
      </c>
      <c r="F2041">
        <v>0.65</v>
      </c>
      <c r="G2041">
        <v>0</v>
      </c>
    </row>
    <row r="2042" spans="1:7" hidden="1">
      <c r="A2042">
        <v>157</v>
      </c>
      <c r="B2042" t="s">
        <v>1125</v>
      </c>
      <c r="C2042" t="s">
        <v>970</v>
      </c>
      <c r="D2042">
        <v>0.61</v>
      </c>
      <c r="E2042">
        <v>24.75</v>
      </c>
      <c r="F2042">
        <v>2.15</v>
      </c>
      <c r="G2042">
        <v>0</v>
      </c>
    </row>
    <row r="2043" spans="1:7" hidden="1">
      <c r="A2043">
        <v>158</v>
      </c>
      <c r="B2043" t="s">
        <v>1126</v>
      </c>
      <c r="C2043" t="s">
        <v>959</v>
      </c>
      <c r="D2043">
        <v>7.25</v>
      </c>
      <c r="E2043">
        <v>18.309999999999999</v>
      </c>
      <c r="F2043">
        <v>18.96</v>
      </c>
      <c r="G2043">
        <v>0</v>
      </c>
    </row>
    <row r="2044" spans="1:7" hidden="1">
      <c r="A2044">
        <v>158</v>
      </c>
      <c r="B2044" t="s">
        <v>1126</v>
      </c>
      <c r="C2044" t="s">
        <v>960</v>
      </c>
      <c r="D2044">
        <v>6.45</v>
      </c>
      <c r="E2044">
        <v>18.399999999999999</v>
      </c>
      <c r="F2044">
        <v>16.95</v>
      </c>
      <c r="G2044">
        <v>0</v>
      </c>
    </row>
    <row r="2045" spans="1:7" hidden="1">
      <c r="A2045">
        <v>158</v>
      </c>
      <c r="B2045" t="s">
        <v>1126</v>
      </c>
      <c r="C2045" t="s">
        <v>961</v>
      </c>
      <c r="D2045">
        <v>4.3</v>
      </c>
      <c r="E2045">
        <v>20.059999999999999</v>
      </c>
      <c r="F2045">
        <v>12.33</v>
      </c>
      <c r="G2045">
        <v>0</v>
      </c>
    </row>
    <row r="2046" spans="1:7" hidden="1">
      <c r="A2046">
        <v>158</v>
      </c>
      <c r="B2046" t="s">
        <v>1126</v>
      </c>
      <c r="C2046" t="s">
        <v>962</v>
      </c>
      <c r="D2046">
        <v>1.89</v>
      </c>
      <c r="E2046">
        <v>24.72</v>
      </c>
      <c r="F2046">
        <v>6.68</v>
      </c>
      <c r="G2046">
        <v>0</v>
      </c>
    </row>
    <row r="2047" spans="1:7" hidden="1">
      <c r="A2047">
        <v>158</v>
      </c>
      <c r="B2047" t="s">
        <v>1126</v>
      </c>
      <c r="C2047" t="s">
        <v>963</v>
      </c>
      <c r="D2047">
        <v>3.38</v>
      </c>
      <c r="E2047">
        <v>18.13</v>
      </c>
      <c r="F2047">
        <v>8.74</v>
      </c>
      <c r="G2047">
        <v>0</v>
      </c>
    </row>
    <row r="2048" spans="1:7" hidden="1">
      <c r="A2048">
        <v>158</v>
      </c>
      <c r="B2048" t="s">
        <v>1126</v>
      </c>
      <c r="C2048" t="s">
        <v>964</v>
      </c>
      <c r="D2048">
        <v>0.25</v>
      </c>
      <c r="E2048">
        <v>21.87</v>
      </c>
      <c r="F2048">
        <v>0.78</v>
      </c>
      <c r="G2048">
        <v>0</v>
      </c>
    </row>
    <row r="2049" spans="1:7" hidden="1">
      <c r="A2049">
        <v>158</v>
      </c>
      <c r="B2049" t="s">
        <v>1126</v>
      </c>
      <c r="C2049" t="s">
        <v>965</v>
      </c>
      <c r="D2049">
        <v>2.48</v>
      </c>
      <c r="E2049">
        <v>24.75</v>
      </c>
      <c r="F2049">
        <v>8.76</v>
      </c>
      <c r="G2049">
        <v>0</v>
      </c>
    </row>
    <row r="2050" spans="1:7">
      <c r="A2050">
        <v>158</v>
      </c>
      <c r="B2050" t="s">
        <v>1126</v>
      </c>
      <c r="C2050" t="s">
        <v>24</v>
      </c>
      <c r="D2050">
        <v>25.99</v>
      </c>
      <c r="E2050">
        <v>19.71</v>
      </c>
      <c r="F2050">
        <v>73.2</v>
      </c>
      <c r="G2050">
        <v>0</v>
      </c>
    </row>
    <row r="2051" spans="1:7" hidden="1">
      <c r="A2051">
        <v>158</v>
      </c>
      <c r="B2051" t="s">
        <v>1126</v>
      </c>
      <c r="C2051" t="s">
        <v>966</v>
      </c>
      <c r="D2051">
        <v>0</v>
      </c>
      <c r="E2051">
        <v>18.05</v>
      </c>
      <c r="F2051">
        <v>0</v>
      </c>
      <c r="G2051">
        <v>0</v>
      </c>
    </row>
    <row r="2052" spans="1:7" hidden="1">
      <c r="A2052">
        <v>158</v>
      </c>
      <c r="B2052" t="s">
        <v>1126</v>
      </c>
      <c r="C2052" t="s">
        <v>967</v>
      </c>
      <c r="D2052">
        <v>0.72</v>
      </c>
      <c r="E2052">
        <v>17.91</v>
      </c>
      <c r="F2052">
        <v>1.84</v>
      </c>
      <c r="G2052">
        <v>0</v>
      </c>
    </row>
    <row r="2053" spans="1:7" hidden="1">
      <c r="A2053">
        <v>158</v>
      </c>
      <c r="B2053" t="s">
        <v>1126</v>
      </c>
      <c r="C2053" t="s">
        <v>968</v>
      </c>
      <c r="D2053">
        <v>2.56</v>
      </c>
      <c r="E2053">
        <v>18.09</v>
      </c>
      <c r="F2053">
        <v>6.62</v>
      </c>
      <c r="G2053">
        <v>0</v>
      </c>
    </row>
    <row r="2054" spans="1:7" hidden="1">
      <c r="A2054">
        <v>158</v>
      </c>
      <c r="B2054" t="s">
        <v>1126</v>
      </c>
      <c r="C2054" t="s">
        <v>969</v>
      </c>
      <c r="D2054">
        <v>0.24</v>
      </c>
      <c r="E2054">
        <v>24.75</v>
      </c>
      <c r="F2054">
        <v>0.86</v>
      </c>
      <c r="G2054">
        <v>0</v>
      </c>
    </row>
    <row r="2055" spans="1:7" hidden="1">
      <c r="A2055">
        <v>158</v>
      </c>
      <c r="B2055" t="s">
        <v>1126</v>
      </c>
      <c r="C2055" t="s">
        <v>970</v>
      </c>
      <c r="D2055">
        <v>0.72</v>
      </c>
      <c r="E2055">
        <v>24.75</v>
      </c>
      <c r="F2055">
        <v>2.5499999999999998</v>
      </c>
      <c r="G2055">
        <v>0</v>
      </c>
    </row>
    <row r="2056" spans="1:7" hidden="1">
      <c r="A2056">
        <v>159</v>
      </c>
      <c r="B2056" t="s">
        <v>1127</v>
      </c>
      <c r="C2056" t="s">
        <v>959</v>
      </c>
      <c r="D2056">
        <v>6.51</v>
      </c>
      <c r="E2056">
        <v>18.309999999999999</v>
      </c>
      <c r="F2056">
        <v>17.04</v>
      </c>
      <c r="G2056">
        <v>7.0000000000000007E-2</v>
      </c>
    </row>
    <row r="2057" spans="1:7" hidden="1">
      <c r="A2057">
        <v>159</v>
      </c>
      <c r="B2057" t="s">
        <v>1127</v>
      </c>
      <c r="C2057" t="s">
        <v>960</v>
      </c>
      <c r="D2057">
        <v>5.6</v>
      </c>
      <c r="E2057">
        <v>18.399999999999999</v>
      </c>
      <c r="F2057">
        <v>14.71</v>
      </c>
      <c r="G2057">
        <v>0.04</v>
      </c>
    </row>
    <row r="2058" spans="1:7" hidden="1">
      <c r="A2058">
        <v>159</v>
      </c>
      <c r="B2058" t="s">
        <v>1127</v>
      </c>
      <c r="C2058" t="s">
        <v>961</v>
      </c>
      <c r="D2058">
        <v>3.97</v>
      </c>
      <c r="E2058">
        <v>20.059999999999999</v>
      </c>
      <c r="F2058">
        <v>11.37</v>
      </c>
      <c r="G2058">
        <v>0.02</v>
      </c>
    </row>
    <row r="2059" spans="1:7" hidden="1">
      <c r="A2059">
        <v>159</v>
      </c>
      <c r="B2059" t="s">
        <v>1127</v>
      </c>
      <c r="C2059" t="s">
        <v>962</v>
      </c>
      <c r="D2059">
        <v>1.75</v>
      </c>
      <c r="E2059">
        <v>24.72</v>
      </c>
      <c r="F2059">
        <v>6.18</v>
      </c>
      <c r="G2059">
        <v>0.01</v>
      </c>
    </row>
    <row r="2060" spans="1:7" hidden="1">
      <c r="A2060">
        <v>159</v>
      </c>
      <c r="B2060" t="s">
        <v>1127</v>
      </c>
      <c r="C2060" t="s">
        <v>963</v>
      </c>
      <c r="D2060">
        <v>3.41</v>
      </c>
      <c r="E2060">
        <v>18.13</v>
      </c>
      <c r="F2060">
        <v>8.83</v>
      </c>
      <c r="G2060">
        <v>0.02</v>
      </c>
    </row>
    <row r="2061" spans="1:7" hidden="1">
      <c r="A2061">
        <v>159</v>
      </c>
      <c r="B2061" t="s">
        <v>1127</v>
      </c>
      <c r="C2061" t="s">
        <v>964</v>
      </c>
      <c r="D2061">
        <v>0.26</v>
      </c>
      <c r="E2061">
        <v>21.87</v>
      </c>
      <c r="F2061">
        <v>0.82</v>
      </c>
      <c r="G2061">
        <v>0.01</v>
      </c>
    </row>
    <row r="2062" spans="1:7" hidden="1">
      <c r="A2062">
        <v>159</v>
      </c>
      <c r="B2062" t="s">
        <v>1127</v>
      </c>
      <c r="C2062" t="s">
        <v>965</v>
      </c>
      <c r="D2062">
        <v>2.4500000000000002</v>
      </c>
      <c r="E2062">
        <v>24.75</v>
      </c>
      <c r="F2062">
        <v>8.68</v>
      </c>
      <c r="G2062">
        <v>0.01</v>
      </c>
    </row>
    <row r="2063" spans="1:7">
      <c r="A2063">
        <v>159</v>
      </c>
      <c r="B2063" t="s">
        <v>1127</v>
      </c>
      <c r="C2063" t="s">
        <v>24</v>
      </c>
      <c r="D2063">
        <v>23.95</v>
      </c>
      <c r="E2063">
        <v>19.760000000000002</v>
      </c>
      <c r="F2063">
        <v>67.62</v>
      </c>
      <c r="G2063">
        <v>0.19</v>
      </c>
    </row>
    <row r="2064" spans="1:7" hidden="1">
      <c r="A2064">
        <v>159</v>
      </c>
      <c r="B2064" t="s">
        <v>1127</v>
      </c>
      <c r="C2064" t="s">
        <v>966</v>
      </c>
      <c r="D2064">
        <v>0.28999999999999998</v>
      </c>
      <c r="E2064">
        <v>18.05</v>
      </c>
      <c r="F2064">
        <v>0.74</v>
      </c>
      <c r="G2064">
        <v>0.27</v>
      </c>
    </row>
    <row r="2065" spans="1:7" hidden="1">
      <c r="A2065">
        <v>159</v>
      </c>
      <c r="B2065" t="s">
        <v>1127</v>
      </c>
      <c r="C2065" t="s">
        <v>967</v>
      </c>
      <c r="D2065">
        <v>0.56000000000000005</v>
      </c>
      <c r="E2065">
        <v>17.91</v>
      </c>
      <c r="F2065">
        <v>1.43</v>
      </c>
      <c r="G2065">
        <v>0</v>
      </c>
    </row>
    <row r="2066" spans="1:7" hidden="1">
      <c r="A2066">
        <v>159</v>
      </c>
      <c r="B2066" t="s">
        <v>1127</v>
      </c>
      <c r="C2066" t="s">
        <v>968</v>
      </c>
      <c r="D2066">
        <v>2.31</v>
      </c>
      <c r="E2066">
        <v>18.09</v>
      </c>
      <c r="F2066">
        <v>5.98</v>
      </c>
      <c r="G2066">
        <v>0</v>
      </c>
    </row>
    <row r="2067" spans="1:7" hidden="1">
      <c r="A2067">
        <v>159</v>
      </c>
      <c r="B2067" t="s">
        <v>1127</v>
      </c>
      <c r="C2067" t="s">
        <v>969</v>
      </c>
      <c r="D2067">
        <v>0.25</v>
      </c>
      <c r="E2067">
        <v>24.75</v>
      </c>
      <c r="F2067">
        <v>0.88</v>
      </c>
      <c r="G2067">
        <v>0</v>
      </c>
    </row>
    <row r="2068" spans="1:7" hidden="1">
      <c r="A2068">
        <v>159</v>
      </c>
      <c r="B2068" t="s">
        <v>1127</v>
      </c>
      <c r="C2068" t="s">
        <v>970</v>
      </c>
      <c r="D2068">
        <v>0.59</v>
      </c>
      <c r="E2068">
        <v>24.75</v>
      </c>
      <c r="F2068">
        <v>2.09</v>
      </c>
      <c r="G2068">
        <v>0</v>
      </c>
    </row>
    <row r="2069" spans="1:7" hidden="1">
      <c r="A2069">
        <v>160</v>
      </c>
      <c r="B2069" t="s">
        <v>1128</v>
      </c>
      <c r="C2069" t="s">
        <v>959</v>
      </c>
      <c r="D2069">
        <v>4.68</v>
      </c>
      <c r="E2069">
        <v>18.309999999999999</v>
      </c>
      <c r="F2069">
        <v>12.25</v>
      </c>
      <c r="G2069">
        <v>0.18</v>
      </c>
    </row>
    <row r="2070" spans="1:7" hidden="1">
      <c r="A2070">
        <v>160</v>
      </c>
      <c r="B2070" t="s">
        <v>1128</v>
      </c>
      <c r="C2070" t="s">
        <v>960</v>
      </c>
      <c r="D2070">
        <v>4.12</v>
      </c>
      <c r="E2070">
        <v>18.399999999999999</v>
      </c>
      <c r="F2070">
        <v>10.84</v>
      </c>
      <c r="G2070">
        <v>0.13</v>
      </c>
    </row>
    <row r="2071" spans="1:7" hidden="1">
      <c r="A2071">
        <v>160</v>
      </c>
      <c r="B2071" t="s">
        <v>1128</v>
      </c>
      <c r="C2071" t="s">
        <v>961</v>
      </c>
      <c r="D2071">
        <v>2.66</v>
      </c>
      <c r="E2071">
        <v>20.059999999999999</v>
      </c>
      <c r="F2071">
        <v>7.63</v>
      </c>
      <c r="G2071">
        <v>0.08</v>
      </c>
    </row>
    <row r="2072" spans="1:7" hidden="1">
      <c r="A2072">
        <v>160</v>
      </c>
      <c r="B2072" t="s">
        <v>1128</v>
      </c>
      <c r="C2072" t="s">
        <v>962</v>
      </c>
      <c r="D2072">
        <v>1.24</v>
      </c>
      <c r="E2072">
        <v>24.72</v>
      </c>
      <c r="F2072">
        <v>4.3600000000000003</v>
      </c>
      <c r="G2072">
        <v>0.05</v>
      </c>
    </row>
    <row r="2073" spans="1:7" hidden="1">
      <c r="A2073">
        <v>160</v>
      </c>
      <c r="B2073" t="s">
        <v>1128</v>
      </c>
      <c r="C2073" t="s">
        <v>963</v>
      </c>
      <c r="D2073">
        <v>3.18</v>
      </c>
      <c r="E2073">
        <v>18.13</v>
      </c>
      <c r="F2073">
        <v>8.24</v>
      </c>
      <c r="G2073">
        <v>0.08</v>
      </c>
    </row>
    <row r="2074" spans="1:7" hidden="1">
      <c r="A2074">
        <v>160</v>
      </c>
      <c r="B2074" t="s">
        <v>1128</v>
      </c>
      <c r="C2074" t="s">
        <v>964</v>
      </c>
      <c r="D2074">
        <v>0.31</v>
      </c>
      <c r="E2074">
        <v>21.87</v>
      </c>
      <c r="F2074">
        <v>0.97</v>
      </c>
      <c r="G2074">
        <v>0.02</v>
      </c>
    </row>
    <row r="2075" spans="1:7" hidden="1">
      <c r="A2075">
        <v>160</v>
      </c>
      <c r="B2075" t="s">
        <v>1128</v>
      </c>
      <c r="C2075" t="s">
        <v>965</v>
      </c>
      <c r="D2075">
        <v>2.2799999999999998</v>
      </c>
      <c r="E2075">
        <v>24.75</v>
      </c>
      <c r="F2075">
        <v>8.0500000000000007</v>
      </c>
      <c r="G2075">
        <v>0.04</v>
      </c>
    </row>
    <row r="2076" spans="1:7">
      <c r="A2076">
        <v>160</v>
      </c>
      <c r="B2076" t="s">
        <v>1128</v>
      </c>
      <c r="C2076" t="s">
        <v>24</v>
      </c>
      <c r="D2076">
        <v>18.48</v>
      </c>
      <c r="E2076">
        <v>19.829999999999998</v>
      </c>
      <c r="F2076">
        <v>52.35</v>
      </c>
      <c r="G2076">
        <v>0.56999999999999995</v>
      </c>
    </row>
    <row r="2077" spans="1:7" hidden="1">
      <c r="A2077">
        <v>160</v>
      </c>
      <c r="B2077" t="s">
        <v>1128</v>
      </c>
      <c r="C2077" t="s">
        <v>966</v>
      </c>
      <c r="D2077">
        <v>0.97</v>
      </c>
      <c r="E2077">
        <v>18.05</v>
      </c>
      <c r="F2077">
        <v>2.4900000000000002</v>
      </c>
      <c r="G2077">
        <v>0.91</v>
      </c>
    </row>
    <row r="2078" spans="1:7" hidden="1">
      <c r="A2078">
        <v>160</v>
      </c>
      <c r="B2078" t="s">
        <v>1128</v>
      </c>
      <c r="C2078" t="s">
        <v>967</v>
      </c>
      <c r="D2078">
        <v>0.16</v>
      </c>
      <c r="E2078">
        <v>17.91</v>
      </c>
      <c r="F2078">
        <v>0.42</v>
      </c>
      <c r="G2078">
        <v>0</v>
      </c>
    </row>
    <row r="2079" spans="1:7" hidden="1">
      <c r="A2079">
        <v>160</v>
      </c>
      <c r="B2079" t="s">
        <v>1128</v>
      </c>
      <c r="C2079" t="s">
        <v>968</v>
      </c>
      <c r="D2079">
        <v>1.1299999999999999</v>
      </c>
      <c r="E2079">
        <v>18.09</v>
      </c>
      <c r="F2079">
        <v>2.91</v>
      </c>
      <c r="G2079">
        <v>0</v>
      </c>
    </row>
    <row r="2080" spans="1:7" hidden="1">
      <c r="A2080">
        <v>160</v>
      </c>
      <c r="B2080" t="s">
        <v>1128</v>
      </c>
      <c r="C2080" t="s">
        <v>969</v>
      </c>
      <c r="D2080">
        <v>0.35</v>
      </c>
      <c r="E2080">
        <v>24.75</v>
      </c>
      <c r="F2080">
        <v>1.24</v>
      </c>
      <c r="G2080">
        <v>0</v>
      </c>
    </row>
    <row r="2081" spans="1:7" hidden="1">
      <c r="A2081">
        <v>160</v>
      </c>
      <c r="B2081" t="s">
        <v>1128</v>
      </c>
      <c r="C2081" t="s">
        <v>970</v>
      </c>
      <c r="D2081">
        <v>0.31</v>
      </c>
      <c r="E2081">
        <v>24.75</v>
      </c>
      <c r="F2081">
        <v>1.1100000000000001</v>
      </c>
      <c r="G2081">
        <v>0</v>
      </c>
    </row>
    <row r="2082" spans="1:7" hidden="1">
      <c r="A2082">
        <v>161</v>
      </c>
      <c r="B2082" t="s">
        <v>1129</v>
      </c>
      <c r="C2082" t="s">
        <v>959</v>
      </c>
      <c r="D2082">
        <v>6.91</v>
      </c>
      <c r="E2082">
        <v>18.309999999999999</v>
      </c>
      <c r="F2082">
        <v>18.07</v>
      </c>
      <c r="G2082">
        <v>0.04</v>
      </c>
    </row>
    <row r="2083" spans="1:7" hidden="1">
      <c r="A2083">
        <v>161</v>
      </c>
      <c r="B2083" t="s">
        <v>1129</v>
      </c>
      <c r="C2083" t="s">
        <v>960</v>
      </c>
      <c r="D2083">
        <v>5.27</v>
      </c>
      <c r="E2083">
        <v>18.399999999999999</v>
      </c>
      <c r="F2083">
        <v>13.85</v>
      </c>
      <c r="G2083">
        <v>0.05</v>
      </c>
    </row>
    <row r="2084" spans="1:7" hidden="1">
      <c r="A2084">
        <v>161</v>
      </c>
      <c r="B2084" t="s">
        <v>1129</v>
      </c>
      <c r="C2084" t="s">
        <v>961</v>
      </c>
      <c r="D2084">
        <v>4.03</v>
      </c>
      <c r="E2084">
        <v>20.059999999999999</v>
      </c>
      <c r="F2084">
        <v>11.54</v>
      </c>
      <c r="G2084">
        <v>0</v>
      </c>
    </row>
    <row r="2085" spans="1:7" hidden="1">
      <c r="A2085">
        <v>161</v>
      </c>
      <c r="B2085" t="s">
        <v>1129</v>
      </c>
      <c r="C2085" t="s">
        <v>962</v>
      </c>
      <c r="D2085">
        <v>1.88</v>
      </c>
      <c r="E2085">
        <v>24.72</v>
      </c>
      <c r="F2085">
        <v>6.65</v>
      </c>
      <c r="G2085">
        <v>0</v>
      </c>
    </row>
    <row r="2086" spans="1:7" hidden="1">
      <c r="A2086">
        <v>161</v>
      </c>
      <c r="B2086" t="s">
        <v>1129</v>
      </c>
      <c r="C2086" t="s">
        <v>963</v>
      </c>
      <c r="D2086">
        <v>3.61</v>
      </c>
      <c r="E2086">
        <v>18.13</v>
      </c>
      <c r="F2086">
        <v>9.35</v>
      </c>
      <c r="G2086">
        <v>0</v>
      </c>
    </row>
    <row r="2087" spans="1:7" hidden="1">
      <c r="A2087">
        <v>161</v>
      </c>
      <c r="B2087" t="s">
        <v>1129</v>
      </c>
      <c r="C2087" t="s">
        <v>964</v>
      </c>
      <c r="D2087">
        <v>0.38</v>
      </c>
      <c r="E2087">
        <v>21.87</v>
      </c>
      <c r="F2087">
        <v>1.2</v>
      </c>
      <c r="G2087">
        <v>0</v>
      </c>
    </row>
    <row r="2088" spans="1:7" hidden="1">
      <c r="A2088">
        <v>161</v>
      </c>
      <c r="B2088" t="s">
        <v>1129</v>
      </c>
      <c r="C2088" t="s">
        <v>965</v>
      </c>
      <c r="D2088">
        <v>2.38</v>
      </c>
      <c r="E2088">
        <v>24.75</v>
      </c>
      <c r="F2088">
        <v>8.42</v>
      </c>
      <c r="G2088">
        <v>0.01</v>
      </c>
    </row>
    <row r="2089" spans="1:7">
      <c r="A2089">
        <v>161</v>
      </c>
      <c r="B2089" t="s">
        <v>1129</v>
      </c>
      <c r="C2089" t="s">
        <v>24</v>
      </c>
      <c r="D2089">
        <v>24.47</v>
      </c>
      <c r="E2089">
        <v>19.77</v>
      </c>
      <c r="F2089">
        <v>69.09</v>
      </c>
      <c r="G2089">
        <v>0.11</v>
      </c>
    </row>
    <row r="2090" spans="1:7" hidden="1">
      <c r="A2090">
        <v>161</v>
      </c>
      <c r="B2090" t="s">
        <v>1129</v>
      </c>
      <c r="C2090" t="s">
        <v>966</v>
      </c>
      <c r="D2090">
        <v>0.1</v>
      </c>
      <c r="E2090">
        <v>18.05</v>
      </c>
      <c r="F2090">
        <v>0.25</v>
      </c>
      <c r="G2090">
        <v>0.09</v>
      </c>
    </row>
    <row r="2091" spans="1:7" hidden="1">
      <c r="A2091">
        <v>161</v>
      </c>
      <c r="B2091" t="s">
        <v>1129</v>
      </c>
      <c r="C2091" t="s">
        <v>967</v>
      </c>
      <c r="D2091">
        <v>0.56999999999999995</v>
      </c>
      <c r="E2091">
        <v>17.91</v>
      </c>
      <c r="F2091">
        <v>1.46</v>
      </c>
      <c r="G2091">
        <v>0.01</v>
      </c>
    </row>
    <row r="2092" spans="1:7" hidden="1">
      <c r="A2092">
        <v>161</v>
      </c>
      <c r="B2092" t="s">
        <v>1129</v>
      </c>
      <c r="C2092" t="s">
        <v>968</v>
      </c>
      <c r="D2092">
        <v>2.36</v>
      </c>
      <c r="E2092">
        <v>18.09</v>
      </c>
      <c r="F2092">
        <v>6.11</v>
      </c>
      <c r="G2092">
        <v>0</v>
      </c>
    </row>
    <row r="2093" spans="1:7" hidden="1">
      <c r="A2093">
        <v>161</v>
      </c>
      <c r="B2093" t="s">
        <v>1129</v>
      </c>
      <c r="C2093" t="s">
        <v>969</v>
      </c>
      <c r="D2093">
        <v>0.17</v>
      </c>
      <c r="E2093">
        <v>24.75</v>
      </c>
      <c r="F2093">
        <v>0.61</v>
      </c>
      <c r="G2093">
        <v>0</v>
      </c>
    </row>
    <row r="2094" spans="1:7" hidden="1">
      <c r="A2094">
        <v>161</v>
      </c>
      <c r="B2094" t="s">
        <v>1129</v>
      </c>
      <c r="C2094" t="s">
        <v>970</v>
      </c>
      <c r="D2094">
        <v>0.49</v>
      </c>
      <c r="E2094">
        <v>24.75</v>
      </c>
      <c r="F2094">
        <v>1.75</v>
      </c>
      <c r="G2094">
        <v>0</v>
      </c>
    </row>
    <row r="2095" spans="1:7" hidden="1">
      <c r="A2095">
        <v>162</v>
      </c>
      <c r="B2095" t="s">
        <v>1130</v>
      </c>
      <c r="C2095" t="s">
        <v>959</v>
      </c>
      <c r="D2095">
        <v>7.21</v>
      </c>
      <c r="E2095">
        <v>18.309999999999999</v>
      </c>
      <c r="F2095">
        <v>18.86</v>
      </c>
      <c r="G2095">
        <v>0.03</v>
      </c>
    </row>
    <row r="2096" spans="1:7" hidden="1">
      <c r="A2096">
        <v>162</v>
      </c>
      <c r="B2096" t="s">
        <v>1130</v>
      </c>
      <c r="C2096" t="s">
        <v>960</v>
      </c>
      <c r="D2096">
        <v>6.37</v>
      </c>
      <c r="E2096">
        <v>18.399999999999999</v>
      </c>
      <c r="F2096">
        <v>16.739999999999998</v>
      </c>
      <c r="G2096">
        <v>0</v>
      </c>
    </row>
    <row r="2097" spans="1:7" hidden="1">
      <c r="A2097">
        <v>162</v>
      </c>
      <c r="B2097" t="s">
        <v>1130</v>
      </c>
      <c r="C2097" t="s">
        <v>961</v>
      </c>
      <c r="D2097">
        <v>4.54</v>
      </c>
      <c r="E2097">
        <v>20.059999999999999</v>
      </c>
      <c r="F2097">
        <v>13.01</v>
      </c>
      <c r="G2097">
        <v>0.01</v>
      </c>
    </row>
    <row r="2098" spans="1:7" hidden="1">
      <c r="A2098">
        <v>162</v>
      </c>
      <c r="B2098" t="s">
        <v>1130</v>
      </c>
      <c r="C2098" t="s">
        <v>962</v>
      </c>
      <c r="D2098">
        <v>1.94</v>
      </c>
      <c r="E2098">
        <v>24.72</v>
      </c>
      <c r="F2098">
        <v>6.84</v>
      </c>
      <c r="G2098">
        <v>0.01</v>
      </c>
    </row>
    <row r="2099" spans="1:7" hidden="1">
      <c r="A2099">
        <v>162</v>
      </c>
      <c r="B2099" t="s">
        <v>1130</v>
      </c>
      <c r="C2099" t="s">
        <v>963</v>
      </c>
      <c r="D2099">
        <v>3.44</v>
      </c>
      <c r="E2099">
        <v>18.13</v>
      </c>
      <c r="F2099">
        <v>8.92</v>
      </c>
      <c r="G2099">
        <v>0</v>
      </c>
    </row>
    <row r="2100" spans="1:7" hidden="1">
      <c r="A2100">
        <v>162</v>
      </c>
      <c r="B2100" t="s">
        <v>1130</v>
      </c>
      <c r="C2100" t="s">
        <v>964</v>
      </c>
      <c r="D2100">
        <v>0.2</v>
      </c>
      <c r="E2100">
        <v>21.87</v>
      </c>
      <c r="F2100">
        <v>0.63</v>
      </c>
      <c r="G2100">
        <v>0</v>
      </c>
    </row>
    <row r="2101" spans="1:7" hidden="1">
      <c r="A2101">
        <v>162</v>
      </c>
      <c r="B2101" t="s">
        <v>1130</v>
      </c>
      <c r="C2101" t="s">
        <v>965</v>
      </c>
      <c r="D2101">
        <v>2.56</v>
      </c>
      <c r="E2101">
        <v>24.75</v>
      </c>
      <c r="F2101">
        <v>9.0500000000000007</v>
      </c>
      <c r="G2101">
        <v>0</v>
      </c>
    </row>
    <row r="2102" spans="1:7">
      <c r="A2102">
        <v>162</v>
      </c>
      <c r="B2102" t="s">
        <v>1130</v>
      </c>
      <c r="C2102" t="s">
        <v>24</v>
      </c>
      <c r="D2102">
        <v>26.26</v>
      </c>
      <c r="E2102">
        <v>19.739999999999998</v>
      </c>
      <c r="F2102">
        <v>74.05</v>
      </c>
      <c r="G2102">
        <v>0.05</v>
      </c>
    </row>
    <row r="2103" spans="1:7" hidden="1">
      <c r="A2103">
        <v>162</v>
      </c>
      <c r="B2103" t="s">
        <v>1130</v>
      </c>
      <c r="C2103" t="s">
        <v>966</v>
      </c>
      <c r="D2103">
        <v>0.05</v>
      </c>
      <c r="E2103">
        <v>18.05</v>
      </c>
      <c r="F2103">
        <v>0.12</v>
      </c>
      <c r="G2103">
        <v>0.04</v>
      </c>
    </row>
    <row r="2104" spans="1:7" hidden="1">
      <c r="A2104">
        <v>162</v>
      </c>
      <c r="B2104" t="s">
        <v>1130</v>
      </c>
      <c r="C2104" t="s">
        <v>967</v>
      </c>
      <c r="D2104">
        <v>0.73</v>
      </c>
      <c r="E2104">
        <v>17.91</v>
      </c>
      <c r="F2104">
        <v>1.88</v>
      </c>
      <c r="G2104">
        <v>0</v>
      </c>
    </row>
    <row r="2105" spans="1:7" hidden="1">
      <c r="A2105">
        <v>162</v>
      </c>
      <c r="B2105" t="s">
        <v>1130</v>
      </c>
      <c r="C2105" t="s">
        <v>968</v>
      </c>
      <c r="D2105">
        <v>2.84</v>
      </c>
      <c r="E2105">
        <v>18.09</v>
      </c>
      <c r="F2105">
        <v>7.33</v>
      </c>
      <c r="G2105">
        <v>0</v>
      </c>
    </row>
    <row r="2106" spans="1:7" hidden="1">
      <c r="A2106">
        <v>162</v>
      </c>
      <c r="B2106" t="s">
        <v>1130</v>
      </c>
      <c r="C2106" t="s">
        <v>969</v>
      </c>
      <c r="D2106">
        <v>0.23</v>
      </c>
      <c r="E2106">
        <v>24.75</v>
      </c>
      <c r="F2106">
        <v>0.8</v>
      </c>
      <c r="G2106">
        <v>0</v>
      </c>
    </row>
    <row r="2107" spans="1:7" hidden="1">
      <c r="A2107">
        <v>162</v>
      </c>
      <c r="B2107" t="s">
        <v>1130</v>
      </c>
      <c r="C2107" t="s">
        <v>970</v>
      </c>
      <c r="D2107">
        <v>0.75</v>
      </c>
      <c r="E2107">
        <v>24.75</v>
      </c>
      <c r="F2107">
        <v>2.66</v>
      </c>
      <c r="G2107">
        <v>0</v>
      </c>
    </row>
    <row r="2108" spans="1:7" hidden="1">
      <c r="A2108">
        <v>163</v>
      </c>
      <c r="B2108" t="s">
        <v>1131</v>
      </c>
      <c r="C2108" t="s">
        <v>959</v>
      </c>
      <c r="D2108">
        <v>6.74</v>
      </c>
      <c r="E2108">
        <v>18.309999999999999</v>
      </c>
      <c r="F2108">
        <v>17.64</v>
      </c>
      <c r="G2108">
        <v>5.6</v>
      </c>
    </row>
    <row r="2109" spans="1:7" hidden="1">
      <c r="A2109">
        <v>163</v>
      </c>
      <c r="B2109" t="s">
        <v>1131</v>
      </c>
      <c r="C2109" t="s">
        <v>960</v>
      </c>
      <c r="D2109">
        <v>7.52</v>
      </c>
      <c r="E2109">
        <v>18.399999999999999</v>
      </c>
      <c r="F2109">
        <v>19.760000000000002</v>
      </c>
      <c r="G2109">
        <v>6.3</v>
      </c>
    </row>
    <row r="2110" spans="1:7" hidden="1">
      <c r="A2110">
        <v>163</v>
      </c>
      <c r="B2110" t="s">
        <v>1131</v>
      </c>
      <c r="C2110" t="s">
        <v>961</v>
      </c>
      <c r="D2110">
        <v>1.26</v>
      </c>
      <c r="E2110">
        <v>20.059999999999999</v>
      </c>
      <c r="F2110">
        <v>3.62</v>
      </c>
      <c r="G2110">
        <v>0.97</v>
      </c>
    </row>
    <row r="2111" spans="1:7" hidden="1">
      <c r="A2111">
        <v>163</v>
      </c>
      <c r="B2111" t="s">
        <v>1131</v>
      </c>
      <c r="C2111" t="s">
        <v>962</v>
      </c>
      <c r="D2111">
        <v>1</v>
      </c>
      <c r="E2111">
        <v>24.72</v>
      </c>
      <c r="F2111">
        <v>3.53</v>
      </c>
      <c r="G2111">
        <v>0.74</v>
      </c>
    </row>
    <row r="2112" spans="1:7" hidden="1">
      <c r="A2112">
        <v>163</v>
      </c>
      <c r="B2112" t="s">
        <v>1131</v>
      </c>
      <c r="C2112" t="s">
        <v>963</v>
      </c>
      <c r="D2112">
        <v>2.96</v>
      </c>
      <c r="E2112">
        <v>18.13</v>
      </c>
      <c r="F2112">
        <v>7.66</v>
      </c>
      <c r="G2112">
        <v>2.2999999999999998</v>
      </c>
    </row>
    <row r="2113" spans="1:7" hidden="1">
      <c r="A2113">
        <v>163</v>
      </c>
      <c r="B2113" t="s">
        <v>1131</v>
      </c>
      <c r="C2113" t="s">
        <v>964</v>
      </c>
      <c r="D2113">
        <v>0.16</v>
      </c>
      <c r="E2113">
        <v>21.87</v>
      </c>
      <c r="F2113">
        <v>0.51</v>
      </c>
      <c r="G2113">
        <v>7.0000000000000007E-2</v>
      </c>
    </row>
    <row r="2114" spans="1:7" hidden="1">
      <c r="A2114">
        <v>163</v>
      </c>
      <c r="B2114" t="s">
        <v>1131</v>
      </c>
      <c r="C2114" t="s">
        <v>965</v>
      </c>
      <c r="D2114">
        <v>1.91</v>
      </c>
      <c r="E2114">
        <v>24.75</v>
      </c>
      <c r="F2114">
        <v>6.75</v>
      </c>
      <c r="G2114">
        <v>1.35</v>
      </c>
    </row>
    <row r="2115" spans="1:7">
      <c r="A2115">
        <v>163</v>
      </c>
      <c r="B2115" t="s">
        <v>1131</v>
      </c>
      <c r="C2115" t="s">
        <v>24</v>
      </c>
      <c r="D2115">
        <v>21.56</v>
      </c>
      <c r="E2115">
        <v>19.309999999999999</v>
      </c>
      <c r="F2115">
        <v>59.48</v>
      </c>
      <c r="G2115">
        <v>17.329999999999998</v>
      </c>
    </row>
    <row r="2116" spans="1:7" hidden="1">
      <c r="A2116">
        <v>163</v>
      </c>
      <c r="B2116" t="s">
        <v>1131</v>
      </c>
      <c r="C2116" t="s">
        <v>966</v>
      </c>
      <c r="D2116">
        <v>23.47</v>
      </c>
      <c r="E2116">
        <v>18.05</v>
      </c>
      <c r="F2116">
        <v>60.53</v>
      </c>
      <c r="G2116">
        <v>23.15</v>
      </c>
    </row>
    <row r="2117" spans="1:7" hidden="1">
      <c r="A2117">
        <v>163</v>
      </c>
      <c r="B2117" t="s">
        <v>1131</v>
      </c>
      <c r="C2117" t="s">
        <v>967</v>
      </c>
      <c r="D2117">
        <v>0.14000000000000001</v>
      </c>
      <c r="E2117">
        <v>17.91</v>
      </c>
      <c r="F2117">
        <v>0.35</v>
      </c>
      <c r="G2117">
        <v>0.08</v>
      </c>
    </row>
    <row r="2118" spans="1:7" hidden="1">
      <c r="A2118">
        <v>163</v>
      </c>
      <c r="B2118" t="s">
        <v>1131</v>
      </c>
      <c r="C2118" t="s">
        <v>968</v>
      </c>
      <c r="D2118">
        <v>0.39</v>
      </c>
      <c r="E2118">
        <v>18.09</v>
      </c>
      <c r="F2118">
        <v>1.02</v>
      </c>
      <c r="G2118">
        <v>0.32</v>
      </c>
    </row>
    <row r="2119" spans="1:7" hidden="1">
      <c r="A2119">
        <v>163</v>
      </c>
      <c r="B2119" t="s">
        <v>1131</v>
      </c>
      <c r="C2119" t="s">
        <v>969</v>
      </c>
      <c r="D2119">
        <v>1.61</v>
      </c>
      <c r="E2119">
        <v>24.75</v>
      </c>
      <c r="F2119">
        <v>5.69</v>
      </c>
      <c r="G2119">
        <v>0.11</v>
      </c>
    </row>
    <row r="2120" spans="1:7" hidden="1">
      <c r="A2120">
        <v>163</v>
      </c>
      <c r="B2120" t="s">
        <v>1131</v>
      </c>
      <c r="C2120" t="s">
        <v>970</v>
      </c>
      <c r="D2120">
        <v>0.19</v>
      </c>
      <c r="E2120">
        <v>24.75</v>
      </c>
      <c r="F2120">
        <v>0.66</v>
      </c>
      <c r="G2120">
        <v>0.12</v>
      </c>
    </row>
    <row r="2121" spans="1:7" hidden="1">
      <c r="A2121">
        <v>164</v>
      </c>
      <c r="B2121" t="s">
        <v>1132</v>
      </c>
      <c r="C2121" t="s">
        <v>959</v>
      </c>
      <c r="D2121">
        <v>7.38</v>
      </c>
      <c r="E2121">
        <v>18.309999999999999</v>
      </c>
      <c r="F2121">
        <v>19.32</v>
      </c>
      <c r="G2121">
        <v>5.19</v>
      </c>
    </row>
    <row r="2122" spans="1:7" hidden="1">
      <c r="A2122">
        <v>164</v>
      </c>
      <c r="B2122" t="s">
        <v>1132</v>
      </c>
      <c r="C2122" t="s">
        <v>960</v>
      </c>
      <c r="D2122">
        <v>7.5</v>
      </c>
      <c r="E2122">
        <v>18.399999999999999</v>
      </c>
      <c r="F2122">
        <v>19.7</v>
      </c>
      <c r="G2122">
        <v>5.77</v>
      </c>
    </row>
    <row r="2123" spans="1:7" hidden="1">
      <c r="A2123">
        <v>164</v>
      </c>
      <c r="B2123" t="s">
        <v>1132</v>
      </c>
      <c r="C2123" t="s">
        <v>961</v>
      </c>
      <c r="D2123">
        <v>1.4</v>
      </c>
      <c r="E2123">
        <v>20.059999999999999</v>
      </c>
      <c r="F2123">
        <v>4.0199999999999996</v>
      </c>
      <c r="G2123">
        <v>1.03</v>
      </c>
    </row>
    <row r="2124" spans="1:7" hidden="1">
      <c r="A2124">
        <v>164</v>
      </c>
      <c r="B2124" t="s">
        <v>1132</v>
      </c>
      <c r="C2124" t="s">
        <v>962</v>
      </c>
      <c r="D2124">
        <v>1.35</v>
      </c>
      <c r="E2124">
        <v>24.72</v>
      </c>
      <c r="F2124">
        <v>4.76</v>
      </c>
      <c r="G2124">
        <v>0.82</v>
      </c>
    </row>
    <row r="2125" spans="1:7" hidden="1">
      <c r="A2125">
        <v>164</v>
      </c>
      <c r="B2125" t="s">
        <v>1132</v>
      </c>
      <c r="C2125" t="s">
        <v>963</v>
      </c>
      <c r="D2125">
        <v>3.43</v>
      </c>
      <c r="E2125">
        <v>18.13</v>
      </c>
      <c r="F2125">
        <v>8.89</v>
      </c>
      <c r="G2125">
        <v>2.08</v>
      </c>
    </row>
    <row r="2126" spans="1:7" hidden="1">
      <c r="A2126">
        <v>164</v>
      </c>
      <c r="B2126" t="s">
        <v>1132</v>
      </c>
      <c r="C2126" t="s">
        <v>964</v>
      </c>
      <c r="D2126">
        <v>0.15</v>
      </c>
      <c r="E2126">
        <v>21.87</v>
      </c>
      <c r="F2126">
        <v>0.46</v>
      </c>
      <c r="G2126">
        <v>0.1</v>
      </c>
    </row>
    <row r="2127" spans="1:7" hidden="1">
      <c r="A2127">
        <v>164</v>
      </c>
      <c r="B2127" t="s">
        <v>1132</v>
      </c>
      <c r="C2127" t="s">
        <v>965</v>
      </c>
      <c r="D2127">
        <v>2.2200000000000002</v>
      </c>
      <c r="E2127">
        <v>24.75</v>
      </c>
      <c r="F2127">
        <v>7.83</v>
      </c>
      <c r="G2127">
        <v>1.44</v>
      </c>
    </row>
    <row r="2128" spans="1:7">
      <c r="A2128">
        <v>164</v>
      </c>
      <c r="B2128" t="s">
        <v>1132</v>
      </c>
      <c r="C2128" t="s">
        <v>24</v>
      </c>
      <c r="D2128">
        <v>23.43</v>
      </c>
      <c r="E2128">
        <v>19.420000000000002</v>
      </c>
      <c r="F2128">
        <v>64.98</v>
      </c>
      <c r="G2128">
        <v>16.43</v>
      </c>
    </row>
    <row r="2129" spans="1:7" hidden="1">
      <c r="A2129">
        <v>164</v>
      </c>
      <c r="B2129" t="s">
        <v>1132</v>
      </c>
      <c r="C2129" t="s">
        <v>966</v>
      </c>
      <c r="D2129">
        <v>15.11</v>
      </c>
      <c r="E2129">
        <v>18.05</v>
      </c>
      <c r="F2129">
        <v>38.97</v>
      </c>
      <c r="G2129">
        <v>14.65</v>
      </c>
    </row>
    <row r="2130" spans="1:7" hidden="1">
      <c r="A2130">
        <v>164</v>
      </c>
      <c r="B2130" t="s">
        <v>1132</v>
      </c>
      <c r="C2130" t="s">
        <v>967</v>
      </c>
      <c r="D2130">
        <v>0.15</v>
      </c>
      <c r="E2130">
        <v>17.91</v>
      </c>
      <c r="F2130">
        <v>0.4</v>
      </c>
      <c r="G2130">
        <v>0.11</v>
      </c>
    </row>
    <row r="2131" spans="1:7" hidden="1">
      <c r="A2131">
        <v>164</v>
      </c>
      <c r="B2131" t="s">
        <v>1132</v>
      </c>
      <c r="C2131" t="s">
        <v>968</v>
      </c>
      <c r="D2131">
        <v>0.54</v>
      </c>
      <c r="E2131">
        <v>18.09</v>
      </c>
      <c r="F2131">
        <v>1.38</v>
      </c>
      <c r="G2131">
        <v>0.34</v>
      </c>
    </row>
    <row r="2132" spans="1:7" hidden="1">
      <c r="A2132">
        <v>164</v>
      </c>
      <c r="B2132" t="s">
        <v>1132</v>
      </c>
      <c r="C2132" t="s">
        <v>969</v>
      </c>
      <c r="D2132">
        <v>2.2599999999999998</v>
      </c>
      <c r="E2132">
        <v>24.75</v>
      </c>
      <c r="F2132">
        <v>7.99</v>
      </c>
      <c r="G2132">
        <v>0.08</v>
      </c>
    </row>
    <row r="2133" spans="1:7" hidden="1">
      <c r="A2133">
        <v>164</v>
      </c>
      <c r="B2133" t="s">
        <v>1132</v>
      </c>
      <c r="C2133" t="s">
        <v>970</v>
      </c>
      <c r="D2133">
        <v>0.28999999999999998</v>
      </c>
      <c r="E2133">
        <v>24.75</v>
      </c>
      <c r="F2133">
        <v>1.03</v>
      </c>
      <c r="G2133">
        <v>0.14000000000000001</v>
      </c>
    </row>
    <row r="2134" spans="1:7" hidden="1">
      <c r="A2134">
        <v>165</v>
      </c>
      <c r="B2134" t="s">
        <v>1133</v>
      </c>
      <c r="C2134" t="s">
        <v>959</v>
      </c>
      <c r="D2134">
        <v>8.24</v>
      </c>
      <c r="E2134">
        <v>18.309999999999999</v>
      </c>
      <c r="F2134">
        <v>21.55</v>
      </c>
      <c r="G2134">
        <v>4.78</v>
      </c>
    </row>
    <row r="2135" spans="1:7" hidden="1">
      <c r="A2135">
        <v>165</v>
      </c>
      <c r="B2135" t="s">
        <v>1133</v>
      </c>
      <c r="C2135" t="s">
        <v>960</v>
      </c>
      <c r="D2135">
        <v>7.71</v>
      </c>
      <c r="E2135">
        <v>18.399999999999999</v>
      </c>
      <c r="F2135">
        <v>20.27</v>
      </c>
      <c r="G2135">
        <v>5.63</v>
      </c>
    </row>
    <row r="2136" spans="1:7" hidden="1">
      <c r="A2136">
        <v>165</v>
      </c>
      <c r="B2136" t="s">
        <v>1133</v>
      </c>
      <c r="C2136" t="s">
        <v>961</v>
      </c>
      <c r="D2136">
        <v>2.4</v>
      </c>
      <c r="E2136">
        <v>20.059999999999999</v>
      </c>
      <c r="F2136">
        <v>6.87</v>
      </c>
      <c r="G2136">
        <v>1.56</v>
      </c>
    </row>
    <row r="2137" spans="1:7" hidden="1">
      <c r="A2137">
        <v>165</v>
      </c>
      <c r="B2137" t="s">
        <v>1133</v>
      </c>
      <c r="C2137" t="s">
        <v>962</v>
      </c>
      <c r="D2137">
        <v>1.53</v>
      </c>
      <c r="E2137">
        <v>24.72</v>
      </c>
      <c r="F2137">
        <v>5.4</v>
      </c>
      <c r="G2137">
        <v>0.86</v>
      </c>
    </row>
    <row r="2138" spans="1:7" hidden="1">
      <c r="A2138">
        <v>165</v>
      </c>
      <c r="B2138" t="s">
        <v>1133</v>
      </c>
      <c r="C2138" t="s">
        <v>963</v>
      </c>
      <c r="D2138">
        <v>3.95</v>
      </c>
      <c r="E2138">
        <v>18.13</v>
      </c>
      <c r="F2138">
        <v>10.24</v>
      </c>
      <c r="G2138">
        <v>1.81</v>
      </c>
    </row>
    <row r="2139" spans="1:7" hidden="1">
      <c r="A2139">
        <v>165</v>
      </c>
      <c r="B2139" t="s">
        <v>1133</v>
      </c>
      <c r="C2139" t="s">
        <v>964</v>
      </c>
      <c r="D2139">
        <v>0.14000000000000001</v>
      </c>
      <c r="E2139">
        <v>21.87</v>
      </c>
      <c r="F2139">
        <v>0.44</v>
      </c>
      <c r="G2139">
        <v>0.04</v>
      </c>
    </row>
    <row r="2140" spans="1:7" hidden="1">
      <c r="A2140">
        <v>165</v>
      </c>
      <c r="B2140" t="s">
        <v>1133</v>
      </c>
      <c r="C2140" t="s">
        <v>965</v>
      </c>
      <c r="D2140">
        <v>2.4900000000000002</v>
      </c>
      <c r="E2140">
        <v>24.75</v>
      </c>
      <c r="F2140">
        <v>8.8000000000000007</v>
      </c>
      <c r="G2140">
        <v>1.21</v>
      </c>
    </row>
    <row r="2141" spans="1:7">
      <c r="A2141">
        <v>165</v>
      </c>
      <c r="B2141" t="s">
        <v>1133</v>
      </c>
      <c r="C2141" t="s">
        <v>24</v>
      </c>
      <c r="D2141">
        <v>26.46</v>
      </c>
      <c r="E2141">
        <v>19.46</v>
      </c>
      <c r="F2141">
        <v>73.58</v>
      </c>
      <c r="G2141">
        <v>15.88</v>
      </c>
    </row>
    <row r="2142" spans="1:7" hidden="1">
      <c r="A2142">
        <v>165</v>
      </c>
      <c r="B2142" t="s">
        <v>1133</v>
      </c>
      <c r="C2142" t="s">
        <v>966</v>
      </c>
      <c r="D2142">
        <v>9.8699999999999992</v>
      </c>
      <c r="E2142">
        <v>18.05</v>
      </c>
      <c r="F2142">
        <v>25.46</v>
      </c>
      <c r="G2142">
        <v>9.2100000000000009</v>
      </c>
    </row>
    <row r="2143" spans="1:7" hidden="1">
      <c r="A2143">
        <v>165</v>
      </c>
      <c r="B2143" t="s">
        <v>1133</v>
      </c>
      <c r="C2143" t="s">
        <v>967</v>
      </c>
      <c r="D2143">
        <v>0.2</v>
      </c>
      <c r="E2143">
        <v>17.91</v>
      </c>
      <c r="F2143">
        <v>0.52</v>
      </c>
      <c r="G2143">
        <v>0.09</v>
      </c>
    </row>
    <row r="2144" spans="1:7" hidden="1">
      <c r="A2144">
        <v>165</v>
      </c>
      <c r="B2144" t="s">
        <v>1133</v>
      </c>
      <c r="C2144" t="s">
        <v>968</v>
      </c>
      <c r="D2144">
        <v>0.45</v>
      </c>
      <c r="E2144">
        <v>18.09</v>
      </c>
      <c r="F2144">
        <v>1.1599999999999999</v>
      </c>
      <c r="G2144">
        <v>0.21</v>
      </c>
    </row>
    <row r="2145" spans="1:7" hidden="1">
      <c r="A2145">
        <v>165</v>
      </c>
      <c r="B2145" t="s">
        <v>1133</v>
      </c>
      <c r="C2145" t="s">
        <v>969</v>
      </c>
      <c r="D2145">
        <v>2.3199999999999998</v>
      </c>
      <c r="E2145">
        <v>24.75</v>
      </c>
      <c r="F2145">
        <v>8.19</v>
      </c>
      <c r="G2145">
        <v>0.06</v>
      </c>
    </row>
    <row r="2146" spans="1:7" hidden="1">
      <c r="A2146">
        <v>165</v>
      </c>
      <c r="B2146" t="s">
        <v>1133</v>
      </c>
      <c r="C2146" t="s">
        <v>970</v>
      </c>
      <c r="D2146">
        <v>0.3</v>
      </c>
      <c r="E2146">
        <v>24.75</v>
      </c>
      <c r="F2146">
        <v>1.06</v>
      </c>
      <c r="G2146">
        <v>0.13</v>
      </c>
    </row>
    <row r="2147" spans="1:7" hidden="1">
      <c r="A2147">
        <v>166</v>
      </c>
      <c r="B2147" t="s">
        <v>1134</v>
      </c>
      <c r="C2147" t="s">
        <v>959</v>
      </c>
      <c r="D2147">
        <v>8.4499999999999993</v>
      </c>
      <c r="E2147">
        <v>18.309999999999999</v>
      </c>
      <c r="F2147">
        <v>22.12</v>
      </c>
      <c r="G2147">
        <v>0</v>
      </c>
    </row>
    <row r="2148" spans="1:7" hidden="1">
      <c r="A2148">
        <v>166</v>
      </c>
      <c r="B2148" t="s">
        <v>1134</v>
      </c>
      <c r="C2148" t="s">
        <v>960</v>
      </c>
      <c r="D2148">
        <v>7.93</v>
      </c>
      <c r="E2148">
        <v>18.399999999999999</v>
      </c>
      <c r="F2148">
        <v>20.83</v>
      </c>
      <c r="G2148">
        <v>0</v>
      </c>
    </row>
    <row r="2149" spans="1:7" hidden="1">
      <c r="A2149">
        <v>166</v>
      </c>
      <c r="B2149" t="s">
        <v>1134</v>
      </c>
      <c r="C2149" t="s">
        <v>961</v>
      </c>
      <c r="D2149">
        <v>2.76</v>
      </c>
      <c r="E2149">
        <v>20.059999999999999</v>
      </c>
      <c r="F2149">
        <v>7.91</v>
      </c>
      <c r="G2149">
        <v>0</v>
      </c>
    </row>
    <row r="2150" spans="1:7" hidden="1">
      <c r="A2150">
        <v>166</v>
      </c>
      <c r="B2150" t="s">
        <v>1134</v>
      </c>
      <c r="C2150" t="s">
        <v>962</v>
      </c>
      <c r="D2150">
        <v>1.6</v>
      </c>
      <c r="E2150">
        <v>24.72</v>
      </c>
      <c r="F2150">
        <v>5.63</v>
      </c>
      <c r="G2150">
        <v>0</v>
      </c>
    </row>
    <row r="2151" spans="1:7" hidden="1">
      <c r="A2151">
        <v>166</v>
      </c>
      <c r="B2151" t="s">
        <v>1134</v>
      </c>
      <c r="C2151" t="s">
        <v>963</v>
      </c>
      <c r="D2151">
        <v>4.34</v>
      </c>
      <c r="E2151">
        <v>18.13</v>
      </c>
      <c r="F2151">
        <v>11.24</v>
      </c>
      <c r="G2151">
        <v>0</v>
      </c>
    </row>
    <row r="2152" spans="1:7" hidden="1">
      <c r="A2152">
        <v>166</v>
      </c>
      <c r="B2152" t="s">
        <v>1134</v>
      </c>
      <c r="C2152" t="s">
        <v>964</v>
      </c>
      <c r="D2152">
        <v>0.17</v>
      </c>
      <c r="E2152">
        <v>21.87</v>
      </c>
      <c r="F2152">
        <v>0.54</v>
      </c>
      <c r="G2152">
        <v>0</v>
      </c>
    </row>
    <row r="2153" spans="1:7" hidden="1">
      <c r="A2153">
        <v>166</v>
      </c>
      <c r="B2153" t="s">
        <v>1134</v>
      </c>
      <c r="C2153" t="s">
        <v>965</v>
      </c>
      <c r="D2153">
        <v>3.01</v>
      </c>
      <c r="E2153">
        <v>24.75</v>
      </c>
      <c r="F2153">
        <v>10.64</v>
      </c>
      <c r="G2153">
        <v>0</v>
      </c>
    </row>
    <row r="2154" spans="1:7">
      <c r="A2154">
        <v>166</v>
      </c>
      <c r="B2154" t="s">
        <v>1134</v>
      </c>
      <c r="C2154" t="s">
        <v>24</v>
      </c>
      <c r="D2154">
        <v>28.26</v>
      </c>
      <c r="E2154">
        <v>19.55</v>
      </c>
      <c r="F2154">
        <v>78.91</v>
      </c>
      <c r="G2154">
        <v>0</v>
      </c>
    </row>
    <row r="2155" spans="1:7" hidden="1">
      <c r="A2155">
        <v>166</v>
      </c>
      <c r="B2155" t="s">
        <v>1134</v>
      </c>
      <c r="C2155" t="s">
        <v>966</v>
      </c>
      <c r="D2155">
        <v>3.46</v>
      </c>
      <c r="E2155">
        <v>18.05</v>
      </c>
      <c r="F2155">
        <v>8.92</v>
      </c>
      <c r="G2155">
        <v>3.06</v>
      </c>
    </row>
    <row r="2156" spans="1:7" hidden="1">
      <c r="A2156">
        <v>166</v>
      </c>
      <c r="B2156" t="s">
        <v>1134</v>
      </c>
      <c r="C2156" t="s">
        <v>967</v>
      </c>
      <c r="D2156">
        <v>0.16</v>
      </c>
      <c r="E2156">
        <v>17.91</v>
      </c>
      <c r="F2156">
        <v>0.4</v>
      </c>
      <c r="G2156">
        <v>0</v>
      </c>
    </row>
    <row r="2157" spans="1:7" hidden="1">
      <c r="A2157">
        <v>166</v>
      </c>
      <c r="B2157" t="s">
        <v>1134</v>
      </c>
      <c r="C2157" t="s">
        <v>968</v>
      </c>
      <c r="D2157">
        <v>0.92</v>
      </c>
      <c r="E2157">
        <v>18.09</v>
      </c>
      <c r="F2157">
        <v>2.39</v>
      </c>
      <c r="G2157">
        <v>0</v>
      </c>
    </row>
    <row r="2158" spans="1:7" hidden="1">
      <c r="A2158">
        <v>166</v>
      </c>
      <c r="B2158" t="s">
        <v>1134</v>
      </c>
      <c r="C2158" t="s">
        <v>969</v>
      </c>
      <c r="D2158">
        <v>1.72</v>
      </c>
      <c r="E2158">
        <v>24.75</v>
      </c>
      <c r="F2158">
        <v>6.1</v>
      </c>
      <c r="G2158">
        <v>0</v>
      </c>
    </row>
    <row r="2159" spans="1:7" hidden="1">
      <c r="A2159">
        <v>166</v>
      </c>
      <c r="B2159" t="s">
        <v>1134</v>
      </c>
      <c r="C2159" t="s">
        <v>970</v>
      </c>
      <c r="D2159">
        <v>0.37</v>
      </c>
      <c r="E2159">
        <v>24.75</v>
      </c>
      <c r="F2159">
        <v>1.32</v>
      </c>
      <c r="G2159">
        <v>0</v>
      </c>
    </row>
    <row r="2160" spans="1:7" hidden="1">
      <c r="A2160">
        <v>167</v>
      </c>
      <c r="B2160" t="s">
        <v>1135</v>
      </c>
      <c r="C2160" t="s">
        <v>959</v>
      </c>
      <c r="D2160">
        <v>6.88</v>
      </c>
      <c r="E2160">
        <v>18.309999999999999</v>
      </c>
      <c r="F2160">
        <v>17.989999999999998</v>
      </c>
      <c r="G2160">
        <v>0</v>
      </c>
    </row>
    <row r="2161" spans="1:7" hidden="1">
      <c r="A2161">
        <v>167</v>
      </c>
      <c r="B2161" t="s">
        <v>1135</v>
      </c>
      <c r="C2161" t="s">
        <v>960</v>
      </c>
      <c r="D2161">
        <v>5.77</v>
      </c>
      <c r="E2161">
        <v>18.399999999999999</v>
      </c>
      <c r="F2161">
        <v>15.16</v>
      </c>
      <c r="G2161">
        <v>0</v>
      </c>
    </row>
    <row r="2162" spans="1:7" hidden="1">
      <c r="A2162">
        <v>167</v>
      </c>
      <c r="B2162" t="s">
        <v>1135</v>
      </c>
      <c r="C2162" t="s">
        <v>961</v>
      </c>
      <c r="D2162">
        <v>3.75</v>
      </c>
      <c r="E2162">
        <v>20.059999999999999</v>
      </c>
      <c r="F2162">
        <v>10.75</v>
      </c>
      <c r="G2162">
        <v>0</v>
      </c>
    </row>
    <row r="2163" spans="1:7" hidden="1">
      <c r="A2163">
        <v>167</v>
      </c>
      <c r="B2163" t="s">
        <v>1135</v>
      </c>
      <c r="C2163" t="s">
        <v>962</v>
      </c>
      <c r="D2163">
        <v>1.91</v>
      </c>
      <c r="E2163">
        <v>24.72</v>
      </c>
      <c r="F2163">
        <v>6.76</v>
      </c>
      <c r="G2163">
        <v>0</v>
      </c>
    </row>
    <row r="2164" spans="1:7" hidden="1">
      <c r="A2164">
        <v>167</v>
      </c>
      <c r="B2164" t="s">
        <v>1135</v>
      </c>
      <c r="C2164" t="s">
        <v>963</v>
      </c>
      <c r="D2164">
        <v>3.43</v>
      </c>
      <c r="E2164">
        <v>18.13</v>
      </c>
      <c r="F2164">
        <v>8.8800000000000008</v>
      </c>
      <c r="G2164">
        <v>0</v>
      </c>
    </row>
    <row r="2165" spans="1:7" hidden="1">
      <c r="A2165">
        <v>167</v>
      </c>
      <c r="B2165" t="s">
        <v>1135</v>
      </c>
      <c r="C2165" t="s">
        <v>964</v>
      </c>
      <c r="D2165">
        <v>0.31</v>
      </c>
      <c r="E2165">
        <v>21.87</v>
      </c>
      <c r="F2165">
        <v>0.98</v>
      </c>
      <c r="G2165">
        <v>0</v>
      </c>
    </row>
    <row r="2166" spans="1:7" hidden="1">
      <c r="A2166">
        <v>167</v>
      </c>
      <c r="B2166" t="s">
        <v>1135</v>
      </c>
      <c r="C2166" t="s">
        <v>965</v>
      </c>
      <c r="D2166">
        <v>2.34</v>
      </c>
      <c r="E2166">
        <v>24.75</v>
      </c>
      <c r="F2166">
        <v>8.27</v>
      </c>
      <c r="G2166">
        <v>0</v>
      </c>
    </row>
    <row r="2167" spans="1:7">
      <c r="A2167">
        <v>167</v>
      </c>
      <c r="B2167" t="s">
        <v>1135</v>
      </c>
      <c r="C2167" t="s">
        <v>24</v>
      </c>
      <c r="D2167">
        <v>24.39</v>
      </c>
      <c r="E2167">
        <v>19.739999999999998</v>
      </c>
      <c r="F2167">
        <v>68.78</v>
      </c>
      <c r="G2167">
        <v>0</v>
      </c>
    </row>
    <row r="2168" spans="1:7" hidden="1">
      <c r="A2168">
        <v>167</v>
      </c>
      <c r="B2168" t="s">
        <v>1135</v>
      </c>
      <c r="C2168" t="s">
        <v>966</v>
      </c>
      <c r="D2168">
        <v>0</v>
      </c>
      <c r="E2168">
        <v>18.05</v>
      </c>
      <c r="F2168">
        <v>0</v>
      </c>
      <c r="G2168">
        <v>0</v>
      </c>
    </row>
    <row r="2169" spans="1:7" hidden="1">
      <c r="A2169">
        <v>167</v>
      </c>
      <c r="B2169" t="s">
        <v>1135</v>
      </c>
      <c r="C2169" t="s">
        <v>967</v>
      </c>
      <c r="D2169">
        <v>0.42</v>
      </c>
      <c r="E2169">
        <v>17.91</v>
      </c>
      <c r="F2169">
        <v>1.08</v>
      </c>
      <c r="G2169">
        <v>0</v>
      </c>
    </row>
    <row r="2170" spans="1:7" hidden="1">
      <c r="A2170">
        <v>167</v>
      </c>
      <c r="B2170" t="s">
        <v>1135</v>
      </c>
      <c r="C2170" t="s">
        <v>968</v>
      </c>
      <c r="D2170">
        <v>2.16</v>
      </c>
      <c r="E2170">
        <v>18.09</v>
      </c>
      <c r="F2170">
        <v>5.57</v>
      </c>
      <c r="G2170">
        <v>0</v>
      </c>
    </row>
    <row r="2171" spans="1:7" hidden="1">
      <c r="A2171">
        <v>167</v>
      </c>
      <c r="B2171" t="s">
        <v>1135</v>
      </c>
      <c r="C2171" t="s">
        <v>969</v>
      </c>
      <c r="D2171">
        <v>0.27</v>
      </c>
      <c r="E2171">
        <v>24.75</v>
      </c>
      <c r="F2171">
        <v>0.96</v>
      </c>
      <c r="G2171">
        <v>0</v>
      </c>
    </row>
    <row r="2172" spans="1:7" hidden="1">
      <c r="A2172">
        <v>167</v>
      </c>
      <c r="B2172" t="s">
        <v>1135</v>
      </c>
      <c r="C2172" t="s">
        <v>970</v>
      </c>
      <c r="D2172">
        <v>0.63</v>
      </c>
      <c r="E2172">
        <v>24.75</v>
      </c>
      <c r="F2172">
        <v>2.2200000000000002</v>
      </c>
      <c r="G2172">
        <v>0</v>
      </c>
    </row>
    <row r="2173" spans="1:7" hidden="1">
      <c r="A2173">
        <v>168</v>
      </c>
      <c r="B2173" t="s">
        <v>1136</v>
      </c>
      <c r="C2173" t="s">
        <v>959</v>
      </c>
      <c r="D2173">
        <v>4.71</v>
      </c>
      <c r="E2173">
        <v>18.309999999999999</v>
      </c>
      <c r="F2173">
        <v>12.33</v>
      </c>
      <c r="G2173">
        <v>0</v>
      </c>
    </row>
    <row r="2174" spans="1:7" hidden="1">
      <c r="A2174">
        <v>168</v>
      </c>
      <c r="B2174" t="s">
        <v>1136</v>
      </c>
      <c r="C2174" t="s">
        <v>960</v>
      </c>
      <c r="D2174">
        <v>4.28</v>
      </c>
      <c r="E2174">
        <v>18.399999999999999</v>
      </c>
      <c r="F2174">
        <v>11.24</v>
      </c>
      <c r="G2174">
        <v>0</v>
      </c>
    </row>
    <row r="2175" spans="1:7" hidden="1">
      <c r="A2175">
        <v>168</v>
      </c>
      <c r="B2175" t="s">
        <v>1136</v>
      </c>
      <c r="C2175" t="s">
        <v>961</v>
      </c>
      <c r="D2175">
        <v>2.5099999999999998</v>
      </c>
      <c r="E2175">
        <v>20.059999999999999</v>
      </c>
      <c r="F2175">
        <v>7.19</v>
      </c>
      <c r="G2175">
        <v>0</v>
      </c>
    </row>
    <row r="2176" spans="1:7" hidden="1">
      <c r="A2176">
        <v>168</v>
      </c>
      <c r="B2176" t="s">
        <v>1136</v>
      </c>
      <c r="C2176" t="s">
        <v>962</v>
      </c>
      <c r="D2176">
        <v>1.35</v>
      </c>
      <c r="E2176">
        <v>24.72</v>
      </c>
      <c r="F2176">
        <v>4.7699999999999996</v>
      </c>
      <c r="G2176">
        <v>0</v>
      </c>
    </row>
    <row r="2177" spans="1:7" hidden="1">
      <c r="A2177">
        <v>168</v>
      </c>
      <c r="B2177" t="s">
        <v>1136</v>
      </c>
      <c r="C2177" t="s">
        <v>963</v>
      </c>
      <c r="D2177">
        <v>3.2</v>
      </c>
      <c r="E2177">
        <v>18.13</v>
      </c>
      <c r="F2177">
        <v>8.2899999999999991</v>
      </c>
      <c r="G2177">
        <v>0</v>
      </c>
    </row>
    <row r="2178" spans="1:7" hidden="1">
      <c r="A2178">
        <v>168</v>
      </c>
      <c r="B2178" t="s">
        <v>1136</v>
      </c>
      <c r="C2178" t="s">
        <v>964</v>
      </c>
      <c r="D2178">
        <v>0.27</v>
      </c>
      <c r="E2178">
        <v>21.87</v>
      </c>
      <c r="F2178">
        <v>0.84</v>
      </c>
      <c r="G2178">
        <v>0</v>
      </c>
    </row>
    <row r="2179" spans="1:7" hidden="1">
      <c r="A2179">
        <v>168</v>
      </c>
      <c r="B2179" t="s">
        <v>1136</v>
      </c>
      <c r="C2179" t="s">
        <v>965</v>
      </c>
      <c r="D2179">
        <v>2.25</v>
      </c>
      <c r="E2179">
        <v>24.75</v>
      </c>
      <c r="F2179">
        <v>7.97</v>
      </c>
      <c r="G2179">
        <v>0</v>
      </c>
    </row>
    <row r="2180" spans="1:7">
      <c r="A2180">
        <v>168</v>
      </c>
      <c r="B2180" t="s">
        <v>1136</v>
      </c>
      <c r="C2180" t="s">
        <v>24</v>
      </c>
      <c r="D2180">
        <v>18.57</v>
      </c>
      <c r="E2180">
        <v>19.84</v>
      </c>
      <c r="F2180">
        <v>52.63</v>
      </c>
      <c r="G2180">
        <v>0</v>
      </c>
    </row>
    <row r="2181" spans="1:7" hidden="1">
      <c r="A2181">
        <v>168</v>
      </c>
      <c r="B2181" t="s">
        <v>1136</v>
      </c>
      <c r="C2181" t="s">
        <v>966</v>
      </c>
      <c r="D2181">
        <v>0</v>
      </c>
      <c r="E2181">
        <v>18.05</v>
      </c>
      <c r="F2181">
        <v>0</v>
      </c>
      <c r="G2181">
        <v>0</v>
      </c>
    </row>
    <row r="2182" spans="1:7" hidden="1">
      <c r="A2182">
        <v>168</v>
      </c>
      <c r="B2182" t="s">
        <v>1136</v>
      </c>
      <c r="C2182" t="s">
        <v>967</v>
      </c>
      <c r="D2182">
        <v>0.25</v>
      </c>
      <c r="E2182">
        <v>17.91</v>
      </c>
      <c r="F2182">
        <v>0.64</v>
      </c>
      <c r="G2182">
        <v>0</v>
      </c>
    </row>
    <row r="2183" spans="1:7" hidden="1">
      <c r="A2183">
        <v>168</v>
      </c>
      <c r="B2183" t="s">
        <v>1136</v>
      </c>
      <c r="C2183" t="s">
        <v>968</v>
      </c>
      <c r="D2183">
        <v>1.27</v>
      </c>
      <c r="E2183">
        <v>18.09</v>
      </c>
      <c r="F2183">
        <v>3.29</v>
      </c>
      <c r="G2183">
        <v>0</v>
      </c>
    </row>
    <row r="2184" spans="1:7" hidden="1">
      <c r="A2184">
        <v>168</v>
      </c>
      <c r="B2184" t="s">
        <v>1136</v>
      </c>
      <c r="C2184" t="s">
        <v>969</v>
      </c>
      <c r="D2184">
        <v>0.38</v>
      </c>
      <c r="E2184">
        <v>24.75</v>
      </c>
      <c r="F2184">
        <v>1.33</v>
      </c>
      <c r="G2184">
        <v>0</v>
      </c>
    </row>
    <row r="2185" spans="1:7" hidden="1">
      <c r="A2185">
        <v>168</v>
      </c>
      <c r="B2185" t="s">
        <v>1136</v>
      </c>
      <c r="C2185" t="s">
        <v>970</v>
      </c>
      <c r="D2185">
        <v>0.39</v>
      </c>
      <c r="E2185">
        <v>24.75</v>
      </c>
      <c r="F2185">
        <v>1.36</v>
      </c>
      <c r="G2185">
        <v>0</v>
      </c>
    </row>
    <row r="2186" spans="1:7" hidden="1">
      <c r="A2186">
        <v>169</v>
      </c>
      <c r="B2186" t="s">
        <v>1137</v>
      </c>
      <c r="C2186" t="s">
        <v>959</v>
      </c>
      <c r="D2186">
        <v>7.86</v>
      </c>
      <c r="E2186">
        <v>18.309999999999999</v>
      </c>
      <c r="F2186">
        <v>20.57</v>
      </c>
      <c r="G2186">
        <v>0</v>
      </c>
    </row>
    <row r="2187" spans="1:7" hidden="1">
      <c r="A2187">
        <v>169</v>
      </c>
      <c r="B2187" t="s">
        <v>1137</v>
      </c>
      <c r="C2187" t="s">
        <v>960</v>
      </c>
      <c r="D2187">
        <v>6.06</v>
      </c>
      <c r="E2187">
        <v>18.399999999999999</v>
      </c>
      <c r="F2187">
        <v>15.91</v>
      </c>
      <c r="G2187">
        <v>0</v>
      </c>
    </row>
    <row r="2188" spans="1:7" hidden="1">
      <c r="A2188">
        <v>169</v>
      </c>
      <c r="B2188" t="s">
        <v>1137</v>
      </c>
      <c r="C2188" t="s">
        <v>961</v>
      </c>
      <c r="D2188">
        <v>3.53</v>
      </c>
      <c r="E2188">
        <v>20.059999999999999</v>
      </c>
      <c r="F2188">
        <v>10.119999999999999</v>
      </c>
      <c r="G2188">
        <v>0</v>
      </c>
    </row>
    <row r="2189" spans="1:7" hidden="1">
      <c r="A2189">
        <v>169</v>
      </c>
      <c r="B2189" t="s">
        <v>1137</v>
      </c>
      <c r="C2189" t="s">
        <v>962</v>
      </c>
      <c r="D2189">
        <v>2.42</v>
      </c>
      <c r="E2189">
        <v>24.72</v>
      </c>
      <c r="F2189">
        <v>8.5500000000000007</v>
      </c>
      <c r="G2189">
        <v>0</v>
      </c>
    </row>
    <row r="2190" spans="1:7" hidden="1">
      <c r="A2190">
        <v>169</v>
      </c>
      <c r="B2190" t="s">
        <v>1137</v>
      </c>
      <c r="C2190" t="s">
        <v>963</v>
      </c>
      <c r="D2190">
        <v>3.66</v>
      </c>
      <c r="E2190">
        <v>18.13</v>
      </c>
      <c r="F2190">
        <v>9.49</v>
      </c>
      <c r="G2190">
        <v>0</v>
      </c>
    </row>
    <row r="2191" spans="1:7" hidden="1">
      <c r="A2191">
        <v>169</v>
      </c>
      <c r="B2191" t="s">
        <v>1137</v>
      </c>
      <c r="C2191" t="s">
        <v>964</v>
      </c>
      <c r="D2191">
        <v>0.36</v>
      </c>
      <c r="E2191">
        <v>21.87</v>
      </c>
      <c r="F2191">
        <v>1.1100000000000001</v>
      </c>
      <c r="G2191">
        <v>0</v>
      </c>
    </row>
    <row r="2192" spans="1:7" hidden="1">
      <c r="A2192">
        <v>169</v>
      </c>
      <c r="B2192" t="s">
        <v>1137</v>
      </c>
      <c r="C2192" t="s">
        <v>965</v>
      </c>
      <c r="D2192">
        <v>2.5</v>
      </c>
      <c r="E2192">
        <v>24.75</v>
      </c>
      <c r="F2192">
        <v>8.84</v>
      </c>
      <c r="G2192">
        <v>0</v>
      </c>
    </row>
    <row r="2193" spans="1:7">
      <c r="A2193">
        <v>169</v>
      </c>
      <c r="B2193" t="s">
        <v>1137</v>
      </c>
      <c r="C2193" t="s">
        <v>24</v>
      </c>
      <c r="D2193">
        <v>26.39</v>
      </c>
      <c r="E2193">
        <v>19.79</v>
      </c>
      <c r="F2193">
        <v>74.61</v>
      </c>
      <c r="G2193">
        <v>0</v>
      </c>
    </row>
    <row r="2194" spans="1:7" hidden="1">
      <c r="A2194">
        <v>169</v>
      </c>
      <c r="B2194" t="s">
        <v>1137</v>
      </c>
      <c r="C2194" t="s">
        <v>966</v>
      </c>
      <c r="D2194">
        <v>0</v>
      </c>
      <c r="E2194">
        <v>18.05</v>
      </c>
      <c r="F2194">
        <v>0</v>
      </c>
      <c r="G2194">
        <v>0</v>
      </c>
    </row>
    <row r="2195" spans="1:7" hidden="1">
      <c r="A2195">
        <v>169</v>
      </c>
      <c r="B2195" t="s">
        <v>1137</v>
      </c>
      <c r="C2195" t="s">
        <v>967</v>
      </c>
      <c r="D2195">
        <v>0.53</v>
      </c>
      <c r="E2195">
        <v>17.91</v>
      </c>
      <c r="F2195">
        <v>1.37</v>
      </c>
      <c r="G2195">
        <v>0</v>
      </c>
    </row>
    <row r="2196" spans="1:7" hidden="1">
      <c r="A2196">
        <v>169</v>
      </c>
      <c r="B2196" t="s">
        <v>1137</v>
      </c>
      <c r="C2196" t="s">
        <v>968</v>
      </c>
      <c r="D2196">
        <v>2.15</v>
      </c>
      <c r="E2196">
        <v>18.09</v>
      </c>
      <c r="F2196">
        <v>5.56</v>
      </c>
      <c r="G2196">
        <v>0</v>
      </c>
    </row>
    <row r="2197" spans="1:7" hidden="1">
      <c r="A2197">
        <v>169</v>
      </c>
      <c r="B2197" t="s">
        <v>1137</v>
      </c>
      <c r="C2197" t="s">
        <v>969</v>
      </c>
      <c r="D2197">
        <v>0.2</v>
      </c>
      <c r="E2197">
        <v>24.75</v>
      </c>
      <c r="F2197">
        <v>0.69</v>
      </c>
      <c r="G2197">
        <v>0</v>
      </c>
    </row>
    <row r="2198" spans="1:7" hidden="1">
      <c r="A2198">
        <v>169</v>
      </c>
      <c r="B2198" t="s">
        <v>1137</v>
      </c>
      <c r="C2198" t="s">
        <v>970</v>
      </c>
      <c r="D2198">
        <v>0.68</v>
      </c>
      <c r="E2198">
        <v>24.75</v>
      </c>
      <c r="F2198">
        <v>2.42</v>
      </c>
      <c r="G2198">
        <v>0</v>
      </c>
    </row>
    <row r="2199" spans="1:7" hidden="1">
      <c r="A2199">
        <v>170</v>
      </c>
      <c r="B2199" t="s">
        <v>1138</v>
      </c>
      <c r="C2199" t="s">
        <v>959</v>
      </c>
      <c r="D2199">
        <v>7.59</v>
      </c>
      <c r="E2199">
        <v>18.309999999999999</v>
      </c>
      <c r="F2199">
        <v>19.84</v>
      </c>
      <c r="G2199">
        <v>0</v>
      </c>
    </row>
    <row r="2200" spans="1:7" hidden="1">
      <c r="A2200">
        <v>170</v>
      </c>
      <c r="B2200" t="s">
        <v>1138</v>
      </c>
      <c r="C2200" t="s">
        <v>960</v>
      </c>
      <c r="D2200">
        <v>6.53</v>
      </c>
      <c r="E2200">
        <v>18.399999999999999</v>
      </c>
      <c r="F2200">
        <v>17.170000000000002</v>
      </c>
      <c r="G2200">
        <v>0</v>
      </c>
    </row>
    <row r="2201" spans="1:7" hidden="1">
      <c r="A2201">
        <v>170</v>
      </c>
      <c r="B2201" t="s">
        <v>1138</v>
      </c>
      <c r="C2201" t="s">
        <v>961</v>
      </c>
      <c r="D2201">
        <v>4.71</v>
      </c>
      <c r="E2201">
        <v>20.059999999999999</v>
      </c>
      <c r="F2201">
        <v>13.49</v>
      </c>
      <c r="G2201">
        <v>0</v>
      </c>
    </row>
    <row r="2202" spans="1:7" hidden="1">
      <c r="A2202">
        <v>170</v>
      </c>
      <c r="B2202" t="s">
        <v>1138</v>
      </c>
      <c r="C2202" t="s">
        <v>962</v>
      </c>
      <c r="D2202">
        <v>1.92</v>
      </c>
      <c r="E2202">
        <v>24.72</v>
      </c>
      <c r="F2202">
        <v>6.8</v>
      </c>
      <c r="G2202">
        <v>0</v>
      </c>
    </row>
    <row r="2203" spans="1:7" hidden="1">
      <c r="A2203">
        <v>170</v>
      </c>
      <c r="B2203" t="s">
        <v>1138</v>
      </c>
      <c r="C2203" t="s">
        <v>963</v>
      </c>
      <c r="D2203">
        <v>3.41</v>
      </c>
      <c r="E2203">
        <v>18.13</v>
      </c>
      <c r="F2203">
        <v>8.83</v>
      </c>
      <c r="G2203">
        <v>0</v>
      </c>
    </row>
    <row r="2204" spans="1:7" hidden="1">
      <c r="A2204">
        <v>170</v>
      </c>
      <c r="B2204" t="s">
        <v>1138</v>
      </c>
      <c r="C2204" t="s">
        <v>964</v>
      </c>
      <c r="D2204">
        <v>0.31</v>
      </c>
      <c r="E2204">
        <v>21.87</v>
      </c>
      <c r="F2204">
        <v>0.97</v>
      </c>
      <c r="G2204">
        <v>0</v>
      </c>
    </row>
    <row r="2205" spans="1:7" hidden="1">
      <c r="A2205">
        <v>170</v>
      </c>
      <c r="B2205" t="s">
        <v>1138</v>
      </c>
      <c r="C2205" t="s">
        <v>965</v>
      </c>
      <c r="D2205">
        <v>2.2799999999999998</v>
      </c>
      <c r="E2205">
        <v>24.75</v>
      </c>
      <c r="F2205">
        <v>8.08</v>
      </c>
      <c r="G2205">
        <v>0</v>
      </c>
    </row>
    <row r="2206" spans="1:7">
      <c r="A2206">
        <v>170</v>
      </c>
      <c r="B2206" t="s">
        <v>1138</v>
      </c>
      <c r="C2206" t="s">
        <v>24</v>
      </c>
      <c r="D2206">
        <v>26.76</v>
      </c>
      <c r="E2206">
        <v>19.670000000000002</v>
      </c>
      <c r="F2206">
        <v>75.180000000000007</v>
      </c>
      <c r="G2206">
        <v>0</v>
      </c>
    </row>
    <row r="2207" spans="1:7" hidden="1">
      <c r="A2207">
        <v>170</v>
      </c>
      <c r="B2207" t="s">
        <v>1138</v>
      </c>
      <c r="C2207" t="s">
        <v>966</v>
      </c>
      <c r="D2207">
        <v>0</v>
      </c>
      <c r="E2207">
        <v>18.05</v>
      </c>
      <c r="F2207">
        <v>0</v>
      </c>
      <c r="G2207">
        <v>0</v>
      </c>
    </row>
    <row r="2208" spans="1:7" hidden="1">
      <c r="A2208">
        <v>170</v>
      </c>
      <c r="B2208" t="s">
        <v>1138</v>
      </c>
      <c r="C2208" t="s">
        <v>967</v>
      </c>
      <c r="D2208">
        <v>0.45</v>
      </c>
      <c r="E2208">
        <v>17.91</v>
      </c>
      <c r="F2208">
        <v>1.1499999999999999</v>
      </c>
      <c r="G2208">
        <v>0</v>
      </c>
    </row>
    <row r="2209" spans="1:7" hidden="1">
      <c r="A2209">
        <v>170</v>
      </c>
      <c r="B2209" t="s">
        <v>1138</v>
      </c>
      <c r="C2209" t="s">
        <v>968</v>
      </c>
      <c r="D2209">
        <v>2.73</v>
      </c>
      <c r="E2209">
        <v>18.09</v>
      </c>
      <c r="F2209">
        <v>7.07</v>
      </c>
      <c r="G2209">
        <v>0</v>
      </c>
    </row>
    <row r="2210" spans="1:7" hidden="1">
      <c r="A2210">
        <v>170</v>
      </c>
      <c r="B2210" t="s">
        <v>1138</v>
      </c>
      <c r="C2210" t="s">
        <v>969</v>
      </c>
      <c r="D2210">
        <v>0.25</v>
      </c>
      <c r="E2210">
        <v>24.75</v>
      </c>
      <c r="F2210">
        <v>0.9</v>
      </c>
      <c r="G2210">
        <v>0</v>
      </c>
    </row>
    <row r="2211" spans="1:7" hidden="1">
      <c r="A2211">
        <v>170</v>
      </c>
      <c r="B2211" t="s">
        <v>1138</v>
      </c>
      <c r="C2211" t="s">
        <v>970</v>
      </c>
      <c r="D2211">
        <v>0.74</v>
      </c>
      <c r="E2211">
        <v>24.75</v>
      </c>
      <c r="F2211">
        <v>2.62</v>
      </c>
      <c r="G2211">
        <v>0</v>
      </c>
    </row>
    <row r="2212" spans="1:7" hidden="1">
      <c r="A2212">
        <v>171</v>
      </c>
      <c r="B2212" t="s">
        <v>1139</v>
      </c>
      <c r="C2212" t="s">
        <v>959</v>
      </c>
      <c r="D2212">
        <v>6.65</v>
      </c>
      <c r="E2212">
        <v>18.309999999999999</v>
      </c>
      <c r="F2212">
        <v>17.39</v>
      </c>
      <c r="G2212">
        <v>0.08</v>
      </c>
    </row>
    <row r="2213" spans="1:7" hidden="1">
      <c r="A2213">
        <v>171</v>
      </c>
      <c r="B2213" t="s">
        <v>1139</v>
      </c>
      <c r="C2213" t="s">
        <v>960</v>
      </c>
      <c r="D2213">
        <v>5.45</v>
      </c>
      <c r="E2213">
        <v>18.399999999999999</v>
      </c>
      <c r="F2213">
        <v>14.31</v>
      </c>
      <c r="G2213">
        <v>0.05</v>
      </c>
    </row>
    <row r="2214" spans="1:7" hidden="1">
      <c r="A2214">
        <v>171</v>
      </c>
      <c r="B2214" t="s">
        <v>1139</v>
      </c>
      <c r="C2214" t="s">
        <v>961</v>
      </c>
      <c r="D2214">
        <v>4.0199999999999996</v>
      </c>
      <c r="E2214">
        <v>20.059999999999999</v>
      </c>
      <c r="F2214">
        <v>11.52</v>
      </c>
      <c r="G2214">
        <v>0.03</v>
      </c>
    </row>
    <row r="2215" spans="1:7" hidden="1">
      <c r="A2215">
        <v>171</v>
      </c>
      <c r="B2215" t="s">
        <v>1139</v>
      </c>
      <c r="C2215" t="s">
        <v>962</v>
      </c>
      <c r="D2215">
        <v>1.78</v>
      </c>
      <c r="E2215">
        <v>24.72</v>
      </c>
      <c r="F2215">
        <v>6.3</v>
      </c>
      <c r="G2215">
        <v>0.02</v>
      </c>
    </row>
    <row r="2216" spans="1:7" hidden="1">
      <c r="A2216">
        <v>171</v>
      </c>
      <c r="B2216" t="s">
        <v>1139</v>
      </c>
      <c r="C2216" t="s">
        <v>963</v>
      </c>
      <c r="D2216">
        <v>3.48</v>
      </c>
      <c r="E2216">
        <v>18.13</v>
      </c>
      <c r="F2216">
        <v>9.01</v>
      </c>
      <c r="G2216">
        <v>0.03</v>
      </c>
    </row>
    <row r="2217" spans="1:7" hidden="1">
      <c r="A2217">
        <v>171</v>
      </c>
      <c r="B2217" t="s">
        <v>1139</v>
      </c>
      <c r="C2217" t="s">
        <v>964</v>
      </c>
      <c r="D2217">
        <v>0.33</v>
      </c>
      <c r="E2217">
        <v>21.87</v>
      </c>
      <c r="F2217">
        <v>1.04</v>
      </c>
      <c r="G2217">
        <v>0.01</v>
      </c>
    </row>
    <row r="2218" spans="1:7" hidden="1">
      <c r="A2218">
        <v>171</v>
      </c>
      <c r="B2218" t="s">
        <v>1139</v>
      </c>
      <c r="C2218" t="s">
        <v>965</v>
      </c>
      <c r="D2218">
        <v>2.35</v>
      </c>
      <c r="E2218">
        <v>24.75</v>
      </c>
      <c r="F2218">
        <v>8.33</v>
      </c>
      <c r="G2218">
        <v>0.01</v>
      </c>
    </row>
    <row r="2219" spans="1:7">
      <c r="A2219">
        <v>171</v>
      </c>
      <c r="B2219" t="s">
        <v>1139</v>
      </c>
      <c r="C2219" t="s">
        <v>24</v>
      </c>
      <c r="D2219">
        <v>24.06</v>
      </c>
      <c r="E2219">
        <v>19.75</v>
      </c>
      <c r="F2219">
        <v>67.900000000000006</v>
      </c>
      <c r="G2219">
        <v>0.22</v>
      </c>
    </row>
    <row r="2220" spans="1:7" hidden="1">
      <c r="A2220">
        <v>171</v>
      </c>
      <c r="B2220" t="s">
        <v>1139</v>
      </c>
      <c r="C2220" t="s">
        <v>966</v>
      </c>
      <c r="D2220">
        <v>0.38</v>
      </c>
      <c r="E2220">
        <v>18.05</v>
      </c>
      <c r="F2220">
        <v>0.99</v>
      </c>
      <c r="G2220">
        <v>0.36</v>
      </c>
    </row>
    <row r="2221" spans="1:7" hidden="1">
      <c r="A2221">
        <v>171</v>
      </c>
      <c r="B2221" t="s">
        <v>1139</v>
      </c>
      <c r="C2221" t="s">
        <v>967</v>
      </c>
      <c r="D2221">
        <v>0.32</v>
      </c>
      <c r="E2221">
        <v>17.91</v>
      </c>
      <c r="F2221">
        <v>0.81</v>
      </c>
      <c r="G2221">
        <v>0</v>
      </c>
    </row>
    <row r="2222" spans="1:7" hidden="1">
      <c r="A2222">
        <v>171</v>
      </c>
      <c r="B2222" t="s">
        <v>1139</v>
      </c>
      <c r="C2222" t="s">
        <v>968</v>
      </c>
      <c r="D2222">
        <v>2.34</v>
      </c>
      <c r="E2222">
        <v>18.09</v>
      </c>
      <c r="F2222">
        <v>6.05</v>
      </c>
      <c r="G2222">
        <v>0</v>
      </c>
    </row>
    <row r="2223" spans="1:7" hidden="1">
      <c r="A2223">
        <v>171</v>
      </c>
      <c r="B2223" t="s">
        <v>1139</v>
      </c>
      <c r="C2223" t="s">
        <v>969</v>
      </c>
      <c r="D2223">
        <v>0.26</v>
      </c>
      <c r="E2223">
        <v>24.75</v>
      </c>
      <c r="F2223">
        <v>0.91</v>
      </c>
      <c r="G2223">
        <v>0</v>
      </c>
    </row>
    <row r="2224" spans="1:7" hidden="1">
      <c r="A2224">
        <v>171</v>
      </c>
      <c r="B2224" t="s">
        <v>1139</v>
      </c>
      <c r="C2224" t="s">
        <v>970</v>
      </c>
      <c r="D2224">
        <v>0.6</v>
      </c>
      <c r="E2224">
        <v>24.75</v>
      </c>
      <c r="F2224">
        <v>2.13</v>
      </c>
      <c r="G2224">
        <v>0</v>
      </c>
    </row>
    <row r="2225" spans="1:7" hidden="1">
      <c r="A2225">
        <v>172</v>
      </c>
      <c r="B2225" t="s">
        <v>1140</v>
      </c>
      <c r="C2225" t="s">
        <v>959</v>
      </c>
      <c r="D2225">
        <v>4.8099999999999996</v>
      </c>
      <c r="E2225">
        <v>18.309999999999999</v>
      </c>
      <c r="F2225">
        <v>12.59</v>
      </c>
      <c r="G2225">
        <v>0.16</v>
      </c>
    </row>
    <row r="2226" spans="1:7" hidden="1">
      <c r="A2226">
        <v>172</v>
      </c>
      <c r="B2226" t="s">
        <v>1140</v>
      </c>
      <c r="C2226" t="s">
        <v>960</v>
      </c>
      <c r="D2226">
        <v>4.29</v>
      </c>
      <c r="E2226">
        <v>18.399999999999999</v>
      </c>
      <c r="F2226">
        <v>11.29</v>
      </c>
      <c r="G2226">
        <v>0.13</v>
      </c>
    </row>
    <row r="2227" spans="1:7" hidden="1">
      <c r="A2227">
        <v>172</v>
      </c>
      <c r="B2227" t="s">
        <v>1140</v>
      </c>
      <c r="C2227" t="s">
        <v>961</v>
      </c>
      <c r="D2227">
        <v>2.65</v>
      </c>
      <c r="E2227">
        <v>20.059999999999999</v>
      </c>
      <c r="F2227">
        <v>7.6</v>
      </c>
      <c r="G2227">
        <v>7.0000000000000007E-2</v>
      </c>
    </row>
    <row r="2228" spans="1:7" hidden="1">
      <c r="A2228">
        <v>172</v>
      </c>
      <c r="B2228" t="s">
        <v>1140</v>
      </c>
      <c r="C2228" t="s">
        <v>962</v>
      </c>
      <c r="D2228">
        <v>1.29</v>
      </c>
      <c r="E2228">
        <v>24.72</v>
      </c>
      <c r="F2228">
        <v>4.5599999999999996</v>
      </c>
      <c r="G2228">
        <v>0.05</v>
      </c>
    </row>
    <row r="2229" spans="1:7" hidden="1">
      <c r="A2229">
        <v>172</v>
      </c>
      <c r="B2229" t="s">
        <v>1140</v>
      </c>
      <c r="C2229" t="s">
        <v>963</v>
      </c>
      <c r="D2229">
        <v>3.37</v>
      </c>
      <c r="E2229">
        <v>18.13</v>
      </c>
      <c r="F2229">
        <v>8.74</v>
      </c>
      <c r="G2229">
        <v>0.08</v>
      </c>
    </row>
    <row r="2230" spans="1:7" hidden="1">
      <c r="A2230">
        <v>172</v>
      </c>
      <c r="B2230" t="s">
        <v>1140</v>
      </c>
      <c r="C2230" t="s">
        <v>964</v>
      </c>
      <c r="D2230">
        <v>0.34</v>
      </c>
      <c r="E2230">
        <v>21.87</v>
      </c>
      <c r="F2230">
        <v>1.07</v>
      </c>
      <c r="G2230">
        <v>0.03</v>
      </c>
    </row>
    <row r="2231" spans="1:7" hidden="1">
      <c r="A2231">
        <v>172</v>
      </c>
      <c r="B2231" t="s">
        <v>1140</v>
      </c>
      <c r="C2231" t="s">
        <v>965</v>
      </c>
      <c r="D2231">
        <v>2.37</v>
      </c>
      <c r="E2231">
        <v>24.75</v>
      </c>
      <c r="F2231">
        <v>8.3699999999999992</v>
      </c>
      <c r="G2231">
        <v>0.04</v>
      </c>
    </row>
    <row r="2232" spans="1:7">
      <c r="A2232">
        <v>172</v>
      </c>
      <c r="B2232" t="s">
        <v>1140</v>
      </c>
      <c r="C2232" t="s">
        <v>24</v>
      </c>
      <c r="D2232">
        <v>19.13</v>
      </c>
      <c r="E2232">
        <v>19.829999999999998</v>
      </c>
      <c r="F2232">
        <v>54.21</v>
      </c>
      <c r="G2232">
        <v>0.55000000000000004</v>
      </c>
    </row>
    <row r="2233" spans="1:7" hidden="1">
      <c r="A2233">
        <v>172</v>
      </c>
      <c r="B2233" t="s">
        <v>1140</v>
      </c>
      <c r="C2233" t="s">
        <v>966</v>
      </c>
      <c r="D2233">
        <v>1.01</v>
      </c>
      <c r="E2233">
        <v>18.05</v>
      </c>
      <c r="F2233">
        <v>2.62</v>
      </c>
      <c r="G2233">
        <v>0.96</v>
      </c>
    </row>
    <row r="2234" spans="1:7" hidden="1">
      <c r="A2234">
        <v>172</v>
      </c>
      <c r="B2234" t="s">
        <v>1140</v>
      </c>
      <c r="C2234" t="s">
        <v>967</v>
      </c>
      <c r="D2234">
        <v>0.18</v>
      </c>
      <c r="E2234">
        <v>17.91</v>
      </c>
      <c r="F2234">
        <v>0.46</v>
      </c>
      <c r="G2234">
        <v>0</v>
      </c>
    </row>
    <row r="2235" spans="1:7" hidden="1">
      <c r="A2235">
        <v>172</v>
      </c>
      <c r="B2235" t="s">
        <v>1140</v>
      </c>
      <c r="C2235" t="s">
        <v>968</v>
      </c>
      <c r="D2235">
        <v>1.19</v>
      </c>
      <c r="E2235">
        <v>18.09</v>
      </c>
      <c r="F2235">
        <v>3.07</v>
      </c>
      <c r="G2235">
        <v>0</v>
      </c>
    </row>
    <row r="2236" spans="1:7" hidden="1">
      <c r="A2236">
        <v>172</v>
      </c>
      <c r="B2236" t="s">
        <v>1140</v>
      </c>
      <c r="C2236" t="s">
        <v>969</v>
      </c>
      <c r="D2236">
        <v>0.39</v>
      </c>
      <c r="E2236">
        <v>24.75</v>
      </c>
      <c r="F2236">
        <v>1.36</v>
      </c>
      <c r="G2236">
        <v>0</v>
      </c>
    </row>
    <row r="2237" spans="1:7" hidden="1">
      <c r="A2237">
        <v>172</v>
      </c>
      <c r="B2237" t="s">
        <v>1140</v>
      </c>
      <c r="C2237" t="s">
        <v>970</v>
      </c>
      <c r="D2237">
        <v>0.33</v>
      </c>
      <c r="E2237">
        <v>24.75</v>
      </c>
      <c r="F2237">
        <v>1.18</v>
      </c>
      <c r="G2237">
        <v>0</v>
      </c>
    </row>
    <row r="2238" spans="1:7" hidden="1">
      <c r="A2238">
        <v>173</v>
      </c>
      <c r="B2238" t="s">
        <v>1141</v>
      </c>
      <c r="C2238" t="s">
        <v>959</v>
      </c>
      <c r="D2238">
        <v>6.99</v>
      </c>
      <c r="E2238">
        <v>18.309999999999999</v>
      </c>
      <c r="F2238">
        <v>18.29</v>
      </c>
      <c r="G2238">
        <v>0.05</v>
      </c>
    </row>
    <row r="2239" spans="1:7" hidden="1">
      <c r="A2239">
        <v>173</v>
      </c>
      <c r="B2239" t="s">
        <v>1141</v>
      </c>
      <c r="C2239" t="s">
        <v>960</v>
      </c>
      <c r="D2239">
        <v>5.12</v>
      </c>
      <c r="E2239">
        <v>18.399999999999999</v>
      </c>
      <c r="F2239">
        <v>13.44</v>
      </c>
      <c r="G2239">
        <v>0.03</v>
      </c>
    </row>
    <row r="2240" spans="1:7" hidden="1">
      <c r="A2240">
        <v>173</v>
      </c>
      <c r="B2240" t="s">
        <v>1141</v>
      </c>
      <c r="C2240" t="s">
        <v>961</v>
      </c>
      <c r="D2240">
        <v>3.92</v>
      </c>
      <c r="E2240">
        <v>20.059999999999999</v>
      </c>
      <c r="F2240">
        <v>11.24</v>
      </c>
      <c r="G2240">
        <v>0</v>
      </c>
    </row>
    <row r="2241" spans="1:7" hidden="1">
      <c r="A2241">
        <v>173</v>
      </c>
      <c r="B2241" t="s">
        <v>1141</v>
      </c>
      <c r="C2241" t="s">
        <v>962</v>
      </c>
      <c r="D2241">
        <v>2.0699999999999998</v>
      </c>
      <c r="E2241">
        <v>24.72</v>
      </c>
      <c r="F2241">
        <v>7.31</v>
      </c>
      <c r="G2241">
        <v>0</v>
      </c>
    </row>
    <row r="2242" spans="1:7" hidden="1">
      <c r="A2242">
        <v>173</v>
      </c>
      <c r="B2242" t="s">
        <v>1141</v>
      </c>
      <c r="C2242" t="s">
        <v>963</v>
      </c>
      <c r="D2242">
        <v>3.83</v>
      </c>
      <c r="E2242">
        <v>18.13</v>
      </c>
      <c r="F2242">
        <v>9.93</v>
      </c>
      <c r="G2242">
        <v>0</v>
      </c>
    </row>
    <row r="2243" spans="1:7" hidden="1">
      <c r="A2243">
        <v>173</v>
      </c>
      <c r="B2243" t="s">
        <v>1141</v>
      </c>
      <c r="C2243" t="s">
        <v>964</v>
      </c>
      <c r="D2243">
        <v>0.43</v>
      </c>
      <c r="E2243">
        <v>21.87</v>
      </c>
      <c r="F2243">
        <v>1.36</v>
      </c>
      <c r="G2243">
        <v>0</v>
      </c>
    </row>
    <row r="2244" spans="1:7" hidden="1">
      <c r="A2244">
        <v>173</v>
      </c>
      <c r="B2244" t="s">
        <v>1141</v>
      </c>
      <c r="C2244" t="s">
        <v>965</v>
      </c>
      <c r="D2244">
        <v>2.38</v>
      </c>
      <c r="E2244">
        <v>24.75</v>
      </c>
      <c r="F2244">
        <v>8.4</v>
      </c>
      <c r="G2244">
        <v>0</v>
      </c>
    </row>
    <row r="2245" spans="1:7">
      <c r="A2245">
        <v>173</v>
      </c>
      <c r="B2245" t="s">
        <v>1141</v>
      </c>
      <c r="C2245" t="s">
        <v>24</v>
      </c>
      <c r="D2245">
        <v>24.74</v>
      </c>
      <c r="E2245">
        <v>19.8</v>
      </c>
      <c r="F2245">
        <v>69.98</v>
      </c>
      <c r="G2245">
        <v>0.08</v>
      </c>
    </row>
    <row r="2246" spans="1:7" hidden="1">
      <c r="A2246">
        <v>173</v>
      </c>
      <c r="B2246" t="s">
        <v>1141</v>
      </c>
      <c r="C2246" t="s">
        <v>966</v>
      </c>
      <c r="D2246">
        <v>0.11</v>
      </c>
      <c r="E2246">
        <v>18.05</v>
      </c>
      <c r="F2246">
        <v>0.3</v>
      </c>
      <c r="G2246">
        <v>0.1</v>
      </c>
    </row>
    <row r="2247" spans="1:7" hidden="1">
      <c r="A2247">
        <v>173</v>
      </c>
      <c r="B2247" t="s">
        <v>1141</v>
      </c>
      <c r="C2247" t="s">
        <v>967</v>
      </c>
      <c r="D2247">
        <v>0.45</v>
      </c>
      <c r="E2247">
        <v>17.91</v>
      </c>
      <c r="F2247">
        <v>1.1599999999999999</v>
      </c>
      <c r="G2247">
        <v>0.01</v>
      </c>
    </row>
    <row r="2248" spans="1:7" hidden="1">
      <c r="A2248">
        <v>173</v>
      </c>
      <c r="B2248" t="s">
        <v>1141</v>
      </c>
      <c r="C2248" t="s">
        <v>968</v>
      </c>
      <c r="D2248">
        <v>2.56</v>
      </c>
      <c r="E2248">
        <v>18.09</v>
      </c>
      <c r="F2248">
        <v>6.61</v>
      </c>
      <c r="G2248">
        <v>0</v>
      </c>
    </row>
    <row r="2249" spans="1:7" hidden="1">
      <c r="A2249">
        <v>173</v>
      </c>
      <c r="B2249" t="s">
        <v>1141</v>
      </c>
      <c r="C2249" t="s">
        <v>969</v>
      </c>
      <c r="D2249">
        <v>0.17</v>
      </c>
      <c r="E2249">
        <v>24.75</v>
      </c>
      <c r="F2249">
        <v>0.62</v>
      </c>
      <c r="G2249">
        <v>0</v>
      </c>
    </row>
    <row r="2250" spans="1:7" hidden="1">
      <c r="A2250">
        <v>173</v>
      </c>
      <c r="B2250" t="s">
        <v>1141</v>
      </c>
      <c r="C2250" t="s">
        <v>970</v>
      </c>
      <c r="D2250">
        <v>0.56000000000000005</v>
      </c>
      <c r="E2250">
        <v>24.75</v>
      </c>
      <c r="F2250">
        <v>1.99</v>
      </c>
      <c r="G2250">
        <v>0</v>
      </c>
    </row>
    <row r="2251" spans="1:7" hidden="1">
      <c r="A2251">
        <v>174</v>
      </c>
      <c r="B2251" t="s">
        <v>1142</v>
      </c>
      <c r="C2251" t="s">
        <v>959</v>
      </c>
      <c r="D2251">
        <v>7.78</v>
      </c>
      <c r="E2251">
        <v>18.309999999999999</v>
      </c>
      <c r="F2251">
        <v>20.36</v>
      </c>
      <c r="G2251">
        <v>0.04</v>
      </c>
    </row>
    <row r="2252" spans="1:7" hidden="1">
      <c r="A2252">
        <v>174</v>
      </c>
      <c r="B2252" t="s">
        <v>1142</v>
      </c>
      <c r="C2252" t="s">
        <v>960</v>
      </c>
      <c r="D2252">
        <v>6.42</v>
      </c>
      <c r="E2252">
        <v>18.399999999999999</v>
      </c>
      <c r="F2252">
        <v>16.88</v>
      </c>
      <c r="G2252">
        <v>0.01</v>
      </c>
    </row>
    <row r="2253" spans="1:7" hidden="1">
      <c r="A2253">
        <v>174</v>
      </c>
      <c r="B2253" t="s">
        <v>1142</v>
      </c>
      <c r="C2253" t="s">
        <v>961</v>
      </c>
      <c r="D2253">
        <v>5.05</v>
      </c>
      <c r="E2253">
        <v>20.059999999999999</v>
      </c>
      <c r="F2253">
        <v>14.46</v>
      </c>
      <c r="G2253">
        <v>0.02</v>
      </c>
    </row>
    <row r="2254" spans="1:7" hidden="1">
      <c r="A2254">
        <v>174</v>
      </c>
      <c r="B2254" t="s">
        <v>1142</v>
      </c>
      <c r="C2254" t="s">
        <v>962</v>
      </c>
      <c r="D2254">
        <v>2</v>
      </c>
      <c r="E2254">
        <v>24.72</v>
      </c>
      <c r="F2254">
        <v>7.05</v>
      </c>
      <c r="G2254">
        <v>0.01</v>
      </c>
    </row>
    <row r="2255" spans="1:7" hidden="1">
      <c r="A2255">
        <v>174</v>
      </c>
      <c r="B2255" t="s">
        <v>1142</v>
      </c>
      <c r="C2255" t="s">
        <v>963</v>
      </c>
      <c r="D2255">
        <v>3.38</v>
      </c>
      <c r="E2255">
        <v>18.13</v>
      </c>
      <c r="F2255">
        <v>8.76</v>
      </c>
      <c r="G2255">
        <v>0</v>
      </c>
    </row>
    <row r="2256" spans="1:7" hidden="1">
      <c r="A2256">
        <v>174</v>
      </c>
      <c r="B2256" t="s">
        <v>1142</v>
      </c>
      <c r="C2256" t="s">
        <v>964</v>
      </c>
      <c r="D2256">
        <v>0.28000000000000003</v>
      </c>
      <c r="E2256">
        <v>21.87</v>
      </c>
      <c r="F2256">
        <v>0.86</v>
      </c>
      <c r="G2256">
        <v>0</v>
      </c>
    </row>
    <row r="2257" spans="1:7" hidden="1">
      <c r="A2257">
        <v>174</v>
      </c>
      <c r="B2257" t="s">
        <v>1142</v>
      </c>
      <c r="C2257" t="s">
        <v>965</v>
      </c>
      <c r="D2257">
        <v>2.34</v>
      </c>
      <c r="E2257">
        <v>24.75</v>
      </c>
      <c r="F2257">
        <v>8.26</v>
      </c>
      <c r="G2257">
        <v>0</v>
      </c>
    </row>
    <row r="2258" spans="1:7">
      <c r="A2258">
        <v>174</v>
      </c>
      <c r="B2258" t="s">
        <v>1142</v>
      </c>
      <c r="C2258" t="s">
        <v>24</v>
      </c>
      <c r="D2258">
        <v>27.24</v>
      </c>
      <c r="E2258">
        <v>19.690000000000001</v>
      </c>
      <c r="F2258">
        <v>76.63</v>
      </c>
      <c r="G2258">
        <v>7.0000000000000007E-2</v>
      </c>
    </row>
    <row r="2259" spans="1:7" hidden="1">
      <c r="A2259">
        <v>174</v>
      </c>
      <c r="B2259" t="s">
        <v>1142</v>
      </c>
      <c r="C2259" t="s">
        <v>966</v>
      </c>
      <c r="D2259">
        <v>7.0000000000000007E-2</v>
      </c>
      <c r="E2259">
        <v>18.05</v>
      </c>
      <c r="F2259">
        <v>0.17</v>
      </c>
      <c r="G2259">
        <v>0.06</v>
      </c>
    </row>
    <row r="2260" spans="1:7" hidden="1">
      <c r="A2260">
        <v>174</v>
      </c>
      <c r="B2260" t="s">
        <v>1142</v>
      </c>
      <c r="C2260" t="s">
        <v>967</v>
      </c>
      <c r="D2260">
        <v>0.35</v>
      </c>
      <c r="E2260">
        <v>17.91</v>
      </c>
      <c r="F2260">
        <v>0.9</v>
      </c>
      <c r="G2260">
        <v>0</v>
      </c>
    </row>
    <row r="2261" spans="1:7" hidden="1">
      <c r="A2261">
        <v>174</v>
      </c>
      <c r="B2261" t="s">
        <v>1142</v>
      </c>
      <c r="C2261" t="s">
        <v>968</v>
      </c>
      <c r="D2261">
        <v>3.05</v>
      </c>
      <c r="E2261">
        <v>18.09</v>
      </c>
      <c r="F2261">
        <v>7.89</v>
      </c>
      <c r="G2261">
        <v>0</v>
      </c>
    </row>
    <row r="2262" spans="1:7" hidden="1">
      <c r="A2262">
        <v>174</v>
      </c>
      <c r="B2262" t="s">
        <v>1142</v>
      </c>
      <c r="C2262" t="s">
        <v>969</v>
      </c>
      <c r="D2262">
        <v>0.21</v>
      </c>
      <c r="E2262">
        <v>24.75</v>
      </c>
      <c r="F2262">
        <v>0.74</v>
      </c>
      <c r="G2262">
        <v>0</v>
      </c>
    </row>
    <row r="2263" spans="1:7" hidden="1">
      <c r="A2263">
        <v>174</v>
      </c>
      <c r="B2263" t="s">
        <v>1142</v>
      </c>
      <c r="C2263" t="s">
        <v>970</v>
      </c>
      <c r="D2263">
        <v>0.81</v>
      </c>
      <c r="E2263">
        <v>24.75</v>
      </c>
      <c r="F2263">
        <v>2.88</v>
      </c>
      <c r="G2263">
        <v>0</v>
      </c>
    </row>
    <row r="2264" spans="1:7" hidden="1">
      <c r="A2264">
        <v>175</v>
      </c>
      <c r="B2264" t="s">
        <v>1143</v>
      </c>
      <c r="C2264" t="s">
        <v>959</v>
      </c>
      <c r="D2264">
        <v>6.69</v>
      </c>
      <c r="E2264">
        <v>18.309999999999999</v>
      </c>
      <c r="F2264">
        <v>17.489999999999998</v>
      </c>
      <c r="G2264">
        <v>0</v>
      </c>
    </row>
    <row r="2265" spans="1:7" hidden="1">
      <c r="A2265">
        <v>175</v>
      </c>
      <c r="B2265" t="s">
        <v>1143</v>
      </c>
      <c r="C2265" t="s">
        <v>960</v>
      </c>
      <c r="D2265">
        <v>6.11</v>
      </c>
      <c r="E2265">
        <v>18.399999999999999</v>
      </c>
      <c r="F2265">
        <v>16.07</v>
      </c>
      <c r="G2265">
        <v>0</v>
      </c>
    </row>
    <row r="2266" spans="1:7" hidden="1">
      <c r="A2266">
        <v>175</v>
      </c>
      <c r="B2266" t="s">
        <v>1143</v>
      </c>
      <c r="C2266" t="s">
        <v>961</v>
      </c>
      <c r="D2266">
        <v>3.59</v>
      </c>
      <c r="E2266">
        <v>20.059999999999999</v>
      </c>
      <c r="F2266">
        <v>10.28</v>
      </c>
      <c r="G2266">
        <v>0</v>
      </c>
    </row>
    <row r="2267" spans="1:7" hidden="1">
      <c r="A2267">
        <v>175</v>
      </c>
      <c r="B2267" t="s">
        <v>1143</v>
      </c>
      <c r="C2267" t="s">
        <v>962</v>
      </c>
      <c r="D2267">
        <v>1.62</v>
      </c>
      <c r="E2267">
        <v>24.72</v>
      </c>
      <c r="F2267">
        <v>5.72</v>
      </c>
      <c r="G2267">
        <v>0</v>
      </c>
    </row>
    <row r="2268" spans="1:7" hidden="1">
      <c r="A2268">
        <v>175</v>
      </c>
      <c r="B2268" t="s">
        <v>1143</v>
      </c>
      <c r="C2268" t="s">
        <v>963</v>
      </c>
      <c r="D2268">
        <v>3.11</v>
      </c>
      <c r="E2268">
        <v>18.13</v>
      </c>
      <c r="F2268">
        <v>8.07</v>
      </c>
      <c r="G2268">
        <v>0</v>
      </c>
    </row>
    <row r="2269" spans="1:7" hidden="1">
      <c r="A2269">
        <v>175</v>
      </c>
      <c r="B2269" t="s">
        <v>1143</v>
      </c>
      <c r="C2269" t="s">
        <v>964</v>
      </c>
      <c r="D2269">
        <v>0.14000000000000001</v>
      </c>
      <c r="E2269">
        <v>21.87</v>
      </c>
      <c r="F2269">
        <v>0.43</v>
      </c>
      <c r="G2269">
        <v>0</v>
      </c>
    </row>
    <row r="2270" spans="1:7" hidden="1">
      <c r="A2270">
        <v>175</v>
      </c>
      <c r="B2270" t="s">
        <v>1143</v>
      </c>
      <c r="C2270" t="s">
        <v>965</v>
      </c>
      <c r="D2270">
        <v>2.6</v>
      </c>
      <c r="E2270">
        <v>24.75</v>
      </c>
      <c r="F2270">
        <v>9.1999999999999993</v>
      </c>
      <c r="G2270">
        <v>0</v>
      </c>
    </row>
    <row r="2271" spans="1:7">
      <c r="A2271">
        <v>175</v>
      </c>
      <c r="B2271" t="s">
        <v>1143</v>
      </c>
      <c r="C2271" t="s">
        <v>24</v>
      </c>
      <c r="D2271">
        <v>23.86</v>
      </c>
      <c r="E2271">
        <v>19.73</v>
      </c>
      <c r="F2271">
        <v>67.25</v>
      </c>
      <c r="G2271">
        <v>0</v>
      </c>
    </row>
    <row r="2272" spans="1:7" hidden="1">
      <c r="A2272">
        <v>175</v>
      </c>
      <c r="B2272" t="s">
        <v>1143</v>
      </c>
      <c r="C2272" t="s">
        <v>966</v>
      </c>
      <c r="D2272">
        <v>0</v>
      </c>
      <c r="E2272">
        <v>18.05</v>
      </c>
      <c r="F2272">
        <v>0</v>
      </c>
      <c r="G2272">
        <v>0</v>
      </c>
    </row>
    <row r="2273" spans="1:7" hidden="1">
      <c r="A2273">
        <v>175</v>
      </c>
      <c r="B2273" t="s">
        <v>1143</v>
      </c>
      <c r="C2273" t="s">
        <v>967</v>
      </c>
      <c r="D2273">
        <v>0.99</v>
      </c>
      <c r="E2273">
        <v>17.91</v>
      </c>
      <c r="F2273">
        <v>2.5299999999999998</v>
      </c>
      <c r="G2273">
        <v>0</v>
      </c>
    </row>
    <row r="2274" spans="1:7" hidden="1">
      <c r="A2274">
        <v>175</v>
      </c>
      <c r="B2274" t="s">
        <v>1143</v>
      </c>
      <c r="C2274" t="s">
        <v>968</v>
      </c>
      <c r="D2274">
        <v>2.1</v>
      </c>
      <c r="E2274">
        <v>18.09</v>
      </c>
      <c r="F2274">
        <v>5.43</v>
      </c>
      <c r="G2274">
        <v>0</v>
      </c>
    </row>
    <row r="2275" spans="1:7" hidden="1">
      <c r="A2275">
        <v>175</v>
      </c>
      <c r="B2275" t="s">
        <v>1143</v>
      </c>
      <c r="C2275" t="s">
        <v>969</v>
      </c>
      <c r="D2275">
        <v>0.19</v>
      </c>
      <c r="E2275">
        <v>24.75</v>
      </c>
      <c r="F2275">
        <v>0.69</v>
      </c>
      <c r="G2275">
        <v>0</v>
      </c>
    </row>
    <row r="2276" spans="1:7" hidden="1">
      <c r="A2276">
        <v>175</v>
      </c>
      <c r="B2276" t="s">
        <v>1143</v>
      </c>
      <c r="C2276" t="s">
        <v>970</v>
      </c>
      <c r="D2276">
        <v>0.57999999999999996</v>
      </c>
      <c r="E2276">
        <v>24.75</v>
      </c>
      <c r="F2276">
        <v>2.04</v>
      </c>
      <c r="G2276">
        <v>0</v>
      </c>
    </row>
    <row r="2277" spans="1:7" hidden="1">
      <c r="A2277">
        <v>176</v>
      </c>
      <c r="B2277" t="s">
        <v>1144</v>
      </c>
      <c r="C2277" t="s">
        <v>959</v>
      </c>
      <c r="D2277">
        <v>6.75</v>
      </c>
      <c r="E2277">
        <v>18.309999999999999</v>
      </c>
      <c r="F2277">
        <v>17.670000000000002</v>
      </c>
      <c r="G2277">
        <v>0</v>
      </c>
    </row>
    <row r="2278" spans="1:7" hidden="1">
      <c r="A2278">
        <v>176</v>
      </c>
      <c r="B2278" t="s">
        <v>1144</v>
      </c>
      <c r="C2278" t="s">
        <v>960</v>
      </c>
      <c r="D2278">
        <v>6.32</v>
      </c>
      <c r="E2278">
        <v>18.399999999999999</v>
      </c>
      <c r="F2278">
        <v>16.62</v>
      </c>
      <c r="G2278">
        <v>0</v>
      </c>
    </row>
    <row r="2279" spans="1:7" hidden="1">
      <c r="A2279">
        <v>176</v>
      </c>
      <c r="B2279" t="s">
        <v>1144</v>
      </c>
      <c r="C2279" t="s">
        <v>961</v>
      </c>
      <c r="D2279">
        <v>3.72</v>
      </c>
      <c r="E2279">
        <v>20.059999999999999</v>
      </c>
      <c r="F2279">
        <v>10.65</v>
      </c>
      <c r="G2279">
        <v>0</v>
      </c>
    </row>
    <row r="2280" spans="1:7" hidden="1">
      <c r="A2280">
        <v>176</v>
      </c>
      <c r="B2280" t="s">
        <v>1144</v>
      </c>
      <c r="C2280" t="s">
        <v>962</v>
      </c>
      <c r="D2280">
        <v>1.85</v>
      </c>
      <c r="E2280">
        <v>24.72</v>
      </c>
      <c r="F2280">
        <v>6.52</v>
      </c>
      <c r="G2280">
        <v>0</v>
      </c>
    </row>
    <row r="2281" spans="1:7" hidden="1">
      <c r="A2281">
        <v>176</v>
      </c>
      <c r="B2281" t="s">
        <v>1144</v>
      </c>
      <c r="C2281" t="s">
        <v>963</v>
      </c>
      <c r="D2281">
        <v>3.33</v>
      </c>
      <c r="E2281">
        <v>18.13</v>
      </c>
      <c r="F2281">
        <v>8.6199999999999992</v>
      </c>
      <c r="G2281">
        <v>0</v>
      </c>
    </row>
    <row r="2282" spans="1:7" hidden="1">
      <c r="A2282">
        <v>176</v>
      </c>
      <c r="B2282" t="s">
        <v>1144</v>
      </c>
      <c r="C2282" t="s">
        <v>964</v>
      </c>
      <c r="D2282">
        <v>0.16</v>
      </c>
      <c r="E2282">
        <v>21.87</v>
      </c>
      <c r="F2282">
        <v>0.5</v>
      </c>
      <c r="G2282">
        <v>0</v>
      </c>
    </row>
    <row r="2283" spans="1:7" hidden="1">
      <c r="A2283">
        <v>176</v>
      </c>
      <c r="B2283" t="s">
        <v>1144</v>
      </c>
      <c r="C2283" t="s">
        <v>965</v>
      </c>
      <c r="D2283">
        <v>2.76</v>
      </c>
      <c r="E2283">
        <v>24.75</v>
      </c>
      <c r="F2283">
        <v>9.76</v>
      </c>
      <c r="G2283">
        <v>0</v>
      </c>
    </row>
    <row r="2284" spans="1:7">
      <c r="A2284">
        <v>176</v>
      </c>
      <c r="B2284" t="s">
        <v>1144</v>
      </c>
      <c r="C2284" t="s">
        <v>24</v>
      </c>
      <c r="D2284">
        <v>24.89</v>
      </c>
      <c r="E2284">
        <v>19.78</v>
      </c>
      <c r="F2284">
        <v>70.34</v>
      </c>
      <c r="G2284">
        <v>0</v>
      </c>
    </row>
    <row r="2285" spans="1:7" hidden="1">
      <c r="A2285">
        <v>176</v>
      </c>
      <c r="B2285" t="s">
        <v>1144</v>
      </c>
      <c r="C2285" t="s">
        <v>966</v>
      </c>
      <c r="D2285">
        <v>0</v>
      </c>
      <c r="E2285">
        <v>18.05</v>
      </c>
      <c r="F2285">
        <v>0</v>
      </c>
      <c r="G2285">
        <v>0</v>
      </c>
    </row>
    <row r="2286" spans="1:7" hidden="1">
      <c r="A2286">
        <v>176</v>
      </c>
      <c r="B2286" t="s">
        <v>1144</v>
      </c>
      <c r="C2286" t="s">
        <v>967</v>
      </c>
      <c r="D2286">
        <v>1.1000000000000001</v>
      </c>
      <c r="E2286">
        <v>17.91</v>
      </c>
      <c r="F2286">
        <v>2.83</v>
      </c>
      <c r="G2286">
        <v>0</v>
      </c>
    </row>
    <row r="2287" spans="1:7" hidden="1">
      <c r="A2287">
        <v>176</v>
      </c>
      <c r="B2287" t="s">
        <v>1144</v>
      </c>
      <c r="C2287" t="s">
        <v>968</v>
      </c>
      <c r="D2287">
        <v>2.31</v>
      </c>
      <c r="E2287">
        <v>18.09</v>
      </c>
      <c r="F2287">
        <v>5.97</v>
      </c>
      <c r="G2287">
        <v>0</v>
      </c>
    </row>
    <row r="2288" spans="1:7" hidden="1">
      <c r="A2288">
        <v>176</v>
      </c>
      <c r="B2288" t="s">
        <v>1144</v>
      </c>
      <c r="C2288" t="s">
        <v>969</v>
      </c>
      <c r="D2288">
        <v>0.23</v>
      </c>
      <c r="E2288">
        <v>24.75</v>
      </c>
      <c r="F2288">
        <v>0.8</v>
      </c>
      <c r="G2288">
        <v>0</v>
      </c>
    </row>
    <row r="2289" spans="1:7" hidden="1">
      <c r="A2289">
        <v>176</v>
      </c>
      <c r="B2289" t="s">
        <v>1144</v>
      </c>
      <c r="C2289" t="s">
        <v>970</v>
      </c>
      <c r="D2289">
        <v>0.69</v>
      </c>
      <c r="E2289">
        <v>24.75</v>
      </c>
      <c r="F2289">
        <v>2.44</v>
      </c>
      <c r="G2289">
        <v>0</v>
      </c>
    </row>
    <row r="2290" spans="1:7" hidden="1">
      <c r="A2290">
        <v>177</v>
      </c>
      <c r="B2290" t="s">
        <v>1145</v>
      </c>
      <c r="C2290" t="s">
        <v>959</v>
      </c>
      <c r="D2290">
        <v>6.18</v>
      </c>
      <c r="E2290">
        <v>18.309999999999999</v>
      </c>
      <c r="F2290">
        <v>16.170000000000002</v>
      </c>
      <c r="G2290">
        <v>0.05</v>
      </c>
    </row>
    <row r="2291" spans="1:7" hidden="1">
      <c r="A2291">
        <v>177</v>
      </c>
      <c r="B2291" t="s">
        <v>1145</v>
      </c>
      <c r="C2291" t="s">
        <v>960</v>
      </c>
      <c r="D2291">
        <v>5.97</v>
      </c>
      <c r="E2291">
        <v>18.399999999999999</v>
      </c>
      <c r="F2291">
        <v>15.69</v>
      </c>
      <c r="G2291">
        <v>0.03</v>
      </c>
    </row>
    <row r="2292" spans="1:7" hidden="1">
      <c r="A2292">
        <v>177</v>
      </c>
      <c r="B2292" t="s">
        <v>1145</v>
      </c>
      <c r="C2292" t="s">
        <v>961</v>
      </c>
      <c r="D2292">
        <v>3.84</v>
      </c>
      <c r="E2292">
        <v>20.059999999999999</v>
      </c>
      <c r="F2292">
        <v>10.99</v>
      </c>
      <c r="G2292">
        <v>0.01</v>
      </c>
    </row>
    <row r="2293" spans="1:7" hidden="1">
      <c r="A2293">
        <v>177</v>
      </c>
      <c r="B2293" t="s">
        <v>1145</v>
      </c>
      <c r="C2293" t="s">
        <v>962</v>
      </c>
      <c r="D2293">
        <v>1.66</v>
      </c>
      <c r="E2293">
        <v>24.72</v>
      </c>
      <c r="F2293">
        <v>5.87</v>
      </c>
      <c r="G2293">
        <v>0</v>
      </c>
    </row>
    <row r="2294" spans="1:7" hidden="1">
      <c r="A2294">
        <v>177</v>
      </c>
      <c r="B2294" t="s">
        <v>1145</v>
      </c>
      <c r="C2294" t="s">
        <v>963</v>
      </c>
      <c r="D2294">
        <v>3.23</v>
      </c>
      <c r="E2294">
        <v>18.13</v>
      </c>
      <c r="F2294">
        <v>8.3699999999999992</v>
      </c>
      <c r="G2294">
        <v>0.01</v>
      </c>
    </row>
    <row r="2295" spans="1:7" hidden="1">
      <c r="A2295">
        <v>177</v>
      </c>
      <c r="B2295" t="s">
        <v>1145</v>
      </c>
      <c r="C2295" t="s">
        <v>964</v>
      </c>
      <c r="D2295">
        <v>0.09</v>
      </c>
      <c r="E2295">
        <v>21.87</v>
      </c>
      <c r="F2295">
        <v>0.27</v>
      </c>
      <c r="G2295">
        <v>0</v>
      </c>
    </row>
    <row r="2296" spans="1:7" hidden="1">
      <c r="A2296">
        <v>177</v>
      </c>
      <c r="B2296" t="s">
        <v>1145</v>
      </c>
      <c r="C2296" t="s">
        <v>965</v>
      </c>
      <c r="D2296">
        <v>2.7</v>
      </c>
      <c r="E2296">
        <v>24.75</v>
      </c>
      <c r="F2296">
        <v>9.5500000000000007</v>
      </c>
      <c r="G2296">
        <v>0.01</v>
      </c>
    </row>
    <row r="2297" spans="1:7">
      <c r="A2297">
        <v>177</v>
      </c>
      <c r="B2297" t="s">
        <v>1145</v>
      </c>
      <c r="C2297" t="s">
        <v>24</v>
      </c>
      <c r="D2297">
        <v>23.67</v>
      </c>
      <c r="E2297">
        <v>19.79</v>
      </c>
      <c r="F2297">
        <v>66.930000000000007</v>
      </c>
      <c r="G2297">
        <v>0.11</v>
      </c>
    </row>
    <row r="2298" spans="1:7" hidden="1">
      <c r="A2298">
        <v>177</v>
      </c>
      <c r="B2298" t="s">
        <v>1145</v>
      </c>
      <c r="C2298" t="s">
        <v>966</v>
      </c>
      <c r="D2298">
        <v>0.05</v>
      </c>
      <c r="E2298">
        <v>18.05</v>
      </c>
      <c r="F2298">
        <v>0.14000000000000001</v>
      </c>
      <c r="G2298">
        <v>0.05</v>
      </c>
    </row>
    <row r="2299" spans="1:7" hidden="1">
      <c r="A2299">
        <v>177</v>
      </c>
      <c r="B2299" t="s">
        <v>1145</v>
      </c>
      <c r="C2299" t="s">
        <v>967</v>
      </c>
      <c r="D2299">
        <v>1.1499999999999999</v>
      </c>
      <c r="E2299">
        <v>17.91</v>
      </c>
      <c r="F2299">
        <v>2.95</v>
      </c>
      <c r="G2299">
        <v>0</v>
      </c>
    </row>
    <row r="2300" spans="1:7" hidden="1">
      <c r="A2300">
        <v>177</v>
      </c>
      <c r="B2300" t="s">
        <v>1145</v>
      </c>
      <c r="C2300" t="s">
        <v>968</v>
      </c>
      <c r="D2300">
        <v>2.25</v>
      </c>
      <c r="E2300">
        <v>18.09</v>
      </c>
      <c r="F2300">
        <v>5.82</v>
      </c>
      <c r="G2300">
        <v>0</v>
      </c>
    </row>
    <row r="2301" spans="1:7" hidden="1">
      <c r="A2301">
        <v>177</v>
      </c>
      <c r="B2301" t="s">
        <v>1145</v>
      </c>
      <c r="C2301" t="s">
        <v>969</v>
      </c>
      <c r="D2301">
        <v>0.22</v>
      </c>
      <c r="E2301">
        <v>24.75</v>
      </c>
      <c r="F2301">
        <v>0.79</v>
      </c>
      <c r="G2301">
        <v>0</v>
      </c>
    </row>
    <row r="2302" spans="1:7" hidden="1">
      <c r="A2302">
        <v>177</v>
      </c>
      <c r="B2302" t="s">
        <v>1145</v>
      </c>
      <c r="C2302" t="s">
        <v>970</v>
      </c>
      <c r="D2302">
        <v>0.56000000000000005</v>
      </c>
      <c r="E2302">
        <v>24.75</v>
      </c>
      <c r="F2302">
        <v>1.99</v>
      </c>
      <c r="G2302">
        <v>0</v>
      </c>
    </row>
    <row r="2303" spans="1:7" hidden="1">
      <c r="A2303">
        <v>178</v>
      </c>
      <c r="B2303" t="s">
        <v>1146</v>
      </c>
      <c r="C2303" t="s">
        <v>959</v>
      </c>
      <c r="D2303">
        <v>6.43</v>
      </c>
      <c r="E2303">
        <v>18.309999999999999</v>
      </c>
      <c r="F2303">
        <v>16.82</v>
      </c>
      <c r="G2303">
        <v>0.02</v>
      </c>
    </row>
    <row r="2304" spans="1:7" hidden="1">
      <c r="A2304">
        <v>178</v>
      </c>
      <c r="B2304" t="s">
        <v>1146</v>
      </c>
      <c r="C2304" t="s">
        <v>960</v>
      </c>
      <c r="D2304">
        <v>6.3</v>
      </c>
      <c r="E2304">
        <v>18.399999999999999</v>
      </c>
      <c r="F2304">
        <v>16.54</v>
      </c>
      <c r="G2304">
        <v>0</v>
      </c>
    </row>
    <row r="2305" spans="1:7" hidden="1">
      <c r="A2305">
        <v>178</v>
      </c>
      <c r="B2305" t="s">
        <v>1146</v>
      </c>
      <c r="C2305" t="s">
        <v>961</v>
      </c>
      <c r="D2305">
        <v>3.85</v>
      </c>
      <c r="E2305">
        <v>20.059999999999999</v>
      </c>
      <c r="F2305">
        <v>11.03</v>
      </c>
      <c r="G2305">
        <v>0</v>
      </c>
    </row>
    <row r="2306" spans="1:7" hidden="1">
      <c r="A2306">
        <v>178</v>
      </c>
      <c r="B2306" t="s">
        <v>1146</v>
      </c>
      <c r="C2306" t="s">
        <v>962</v>
      </c>
      <c r="D2306">
        <v>1.86</v>
      </c>
      <c r="E2306">
        <v>24.72</v>
      </c>
      <c r="F2306">
        <v>6.56</v>
      </c>
      <c r="G2306">
        <v>0</v>
      </c>
    </row>
    <row r="2307" spans="1:7" hidden="1">
      <c r="A2307">
        <v>178</v>
      </c>
      <c r="B2307" t="s">
        <v>1146</v>
      </c>
      <c r="C2307" t="s">
        <v>963</v>
      </c>
      <c r="D2307">
        <v>3.53</v>
      </c>
      <c r="E2307">
        <v>18.13</v>
      </c>
      <c r="F2307">
        <v>9.14</v>
      </c>
      <c r="G2307">
        <v>0</v>
      </c>
    </row>
    <row r="2308" spans="1:7" hidden="1">
      <c r="A2308">
        <v>178</v>
      </c>
      <c r="B2308" t="s">
        <v>1146</v>
      </c>
      <c r="C2308" t="s">
        <v>964</v>
      </c>
      <c r="D2308">
        <v>0.1</v>
      </c>
      <c r="E2308">
        <v>21.87</v>
      </c>
      <c r="F2308">
        <v>0.3</v>
      </c>
      <c r="G2308">
        <v>0</v>
      </c>
    </row>
    <row r="2309" spans="1:7" hidden="1">
      <c r="A2309">
        <v>178</v>
      </c>
      <c r="B2309" t="s">
        <v>1146</v>
      </c>
      <c r="C2309" t="s">
        <v>965</v>
      </c>
      <c r="D2309">
        <v>2.87</v>
      </c>
      <c r="E2309">
        <v>24.75</v>
      </c>
      <c r="F2309">
        <v>10.14</v>
      </c>
      <c r="G2309">
        <v>0</v>
      </c>
    </row>
    <row r="2310" spans="1:7">
      <c r="A2310">
        <v>178</v>
      </c>
      <c r="B2310" t="s">
        <v>1146</v>
      </c>
      <c r="C2310" t="s">
        <v>24</v>
      </c>
      <c r="D2310">
        <v>24.92</v>
      </c>
      <c r="E2310">
        <v>19.809999999999999</v>
      </c>
      <c r="F2310">
        <v>70.53</v>
      </c>
      <c r="G2310">
        <v>0.02</v>
      </c>
    </row>
    <row r="2311" spans="1:7" hidden="1">
      <c r="A2311">
        <v>178</v>
      </c>
      <c r="B2311" t="s">
        <v>1146</v>
      </c>
      <c r="C2311" t="s">
        <v>966</v>
      </c>
      <c r="D2311">
        <v>0.02</v>
      </c>
      <c r="E2311">
        <v>18.05</v>
      </c>
      <c r="F2311">
        <v>0.05</v>
      </c>
      <c r="G2311">
        <v>0.02</v>
      </c>
    </row>
    <row r="2312" spans="1:7" hidden="1">
      <c r="A2312">
        <v>178</v>
      </c>
      <c r="B2312" t="s">
        <v>1146</v>
      </c>
      <c r="C2312" t="s">
        <v>967</v>
      </c>
      <c r="D2312">
        <v>1.26</v>
      </c>
      <c r="E2312">
        <v>17.91</v>
      </c>
      <c r="F2312">
        <v>3.21</v>
      </c>
      <c r="G2312">
        <v>0</v>
      </c>
    </row>
    <row r="2313" spans="1:7" hidden="1">
      <c r="A2313">
        <v>178</v>
      </c>
      <c r="B2313" t="s">
        <v>1146</v>
      </c>
      <c r="C2313" t="s">
        <v>968</v>
      </c>
      <c r="D2313">
        <v>2.54</v>
      </c>
      <c r="E2313">
        <v>18.09</v>
      </c>
      <c r="F2313">
        <v>6.57</v>
      </c>
      <c r="G2313">
        <v>0</v>
      </c>
    </row>
    <row r="2314" spans="1:7" hidden="1">
      <c r="A2314">
        <v>178</v>
      </c>
      <c r="B2314" t="s">
        <v>1146</v>
      </c>
      <c r="C2314" t="s">
        <v>969</v>
      </c>
      <c r="D2314">
        <v>0.25</v>
      </c>
      <c r="E2314">
        <v>24.75</v>
      </c>
      <c r="F2314">
        <v>0.89</v>
      </c>
      <c r="G2314">
        <v>0</v>
      </c>
    </row>
    <row r="2315" spans="1:7" hidden="1">
      <c r="A2315">
        <v>178</v>
      </c>
      <c r="B2315" t="s">
        <v>1146</v>
      </c>
      <c r="C2315" t="s">
        <v>970</v>
      </c>
      <c r="D2315">
        <v>0.66</v>
      </c>
      <c r="E2315">
        <v>24.75</v>
      </c>
      <c r="F2315">
        <v>2.35</v>
      </c>
      <c r="G2315">
        <v>0</v>
      </c>
    </row>
    <row r="2316" spans="1:7" hidden="1">
      <c r="A2316">
        <v>179</v>
      </c>
      <c r="B2316" t="s">
        <v>1147</v>
      </c>
      <c r="C2316" t="s">
        <v>959</v>
      </c>
      <c r="D2316">
        <v>9.27</v>
      </c>
      <c r="E2316">
        <v>18.309999999999999</v>
      </c>
      <c r="F2316">
        <v>24.26</v>
      </c>
      <c r="G2316">
        <v>5.04</v>
      </c>
    </row>
    <row r="2317" spans="1:7" hidden="1">
      <c r="A2317">
        <v>179</v>
      </c>
      <c r="B2317" t="s">
        <v>1147</v>
      </c>
      <c r="C2317" t="s">
        <v>960</v>
      </c>
      <c r="D2317">
        <v>9.31</v>
      </c>
      <c r="E2317">
        <v>18.399999999999999</v>
      </c>
      <c r="F2317">
        <v>24.46</v>
      </c>
      <c r="G2317">
        <v>6.02</v>
      </c>
    </row>
    <row r="2318" spans="1:7" hidden="1">
      <c r="A2318">
        <v>179</v>
      </c>
      <c r="B2318" t="s">
        <v>1147</v>
      </c>
      <c r="C2318" t="s">
        <v>961</v>
      </c>
      <c r="D2318">
        <v>1.73</v>
      </c>
      <c r="E2318">
        <v>20.059999999999999</v>
      </c>
      <c r="F2318">
        <v>4.96</v>
      </c>
      <c r="G2318">
        <v>0.9</v>
      </c>
    </row>
    <row r="2319" spans="1:7" hidden="1">
      <c r="A2319">
        <v>179</v>
      </c>
      <c r="B2319" t="s">
        <v>1147</v>
      </c>
      <c r="C2319" t="s">
        <v>962</v>
      </c>
      <c r="D2319">
        <v>0.99</v>
      </c>
      <c r="E2319">
        <v>24.72</v>
      </c>
      <c r="F2319">
        <v>3.48</v>
      </c>
      <c r="G2319">
        <v>0.46</v>
      </c>
    </row>
    <row r="2320" spans="1:7" hidden="1">
      <c r="A2320">
        <v>179</v>
      </c>
      <c r="B2320" t="s">
        <v>1147</v>
      </c>
      <c r="C2320" t="s">
        <v>963</v>
      </c>
      <c r="D2320">
        <v>3.41</v>
      </c>
      <c r="E2320">
        <v>18.13</v>
      </c>
      <c r="F2320">
        <v>8.83</v>
      </c>
      <c r="G2320">
        <v>1.66</v>
      </c>
    </row>
    <row r="2321" spans="1:7" hidden="1">
      <c r="A2321">
        <v>179</v>
      </c>
      <c r="B2321" t="s">
        <v>1147</v>
      </c>
      <c r="C2321" t="s">
        <v>964</v>
      </c>
      <c r="D2321">
        <v>0.09</v>
      </c>
      <c r="E2321">
        <v>21.87</v>
      </c>
      <c r="F2321">
        <v>0.3</v>
      </c>
      <c r="G2321">
        <v>0.01</v>
      </c>
    </row>
    <row r="2322" spans="1:7" hidden="1">
      <c r="A2322">
        <v>179</v>
      </c>
      <c r="B2322" t="s">
        <v>1147</v>
      </c>
      <c r="C2322" t="s">
        <v>965</v>
      </c>
      <c r="D2322">
        <v>2.31</v>
      </c>
      <c r="E2322">
        <v>24.75</v>
      </c>
      <c r="F2322">
        <v>8.17</v>
      </c>
      <c r="G2322">
        <v>1.1200000000000001</v>
      </c>
    </row>
    <row r="2323" spans="1:7">
      <c r="A2323">
        <v>179</v>
      </c>
      <c r="B2323" t="s">
        <v>1147</v>
      </c>
      <c r="C2323" t="s">
        <v>24</v>
      </c>
      <c r="D2323">
        <v>27.11</v>
      </c>
      <c r="E2323">
        <v>19.22</v>
      </c>
      <c r="F2323">
        <v>74.47</v>
      </c>
      <c r="G2323">
        <v>15.21</v>
      </c>
    </row>
    <row r="2324" spans="1:7" hidden="1">
      <c r="A2324">
        <v>179</v>
      </c>
      <c r="B2324" t="s">
        <v>1147</v>
      </c>
      <c r="C2324" t="s">
        <v>966</v>
      </c>
      <c r="D2324">
        <v>11.42</v>
      </c>
      <c r="E2324">
        <v>18.05</v>
      </c>
      <c r="F2324">
        <v>29.45</v>
      </c>
      <c r="G2324">
        <v>10.95</v>
      </c>
    </row>
    <row r="2325" spans="1:7" hidden="1">
      <c r="A2325">
        <v>179</v>
      </c>
      <c r="B2325" t="s">
        <v>1147</v>
      </c>
      <c r="C2325" t="s">
        <v>967</v>
      </c>
      <c r="D2325">
        <v>0.26</v>
      </c>
      <c r="E2325">
        <v>17.91</v>
      </c>
      <c r="F2325">
        <v>0.67</v>
      </c>
      <c r="G2325">
        <v>0.08</v>
      </c>
    </row>
    <row r="2326" spans="1:7" hidden="1">
      <c r="A2326">
        <v>179</v>
      </c>
      <c r="B2326" t="s">
        <v>1147</v>
      </c>
      <c r="C2326" t="s">
        <v>968</v>
      </c>
      <c r="D2326">
        <v>0.65</v>
      </c>
      <c r="E2326">
        <v>18.09</v>
      </c>
      <c r="F2326">
        <v>1.69</v>
      </c>
      <c r="G2326">
        <v>0.21</v>
      </c>
    </row>
    <row r="2327" spans="1:7" hidden="1">
      <c r="A2327">
        <v>179</v>
      </c>
      <c r="B2327" t="s">
        <v>1147</v>
      </c>
      <c r="C2327" t="s">
        <v>969</v>
      </c>
      <c r="D2327">
        <v>1.53</v>
      </c>
      <c r="E2327">
        <v>24.75</v>
      </c>
      <c r="F2327">
        <v>5.41</v>
      </c>
      <c r="G2327">
        <v>0.08</v>
      </c>
    </row>
    <row r="2328" spans="1:7" hidden="1">
      <c r="A2328">
        <v>179</v>
      </c>
      <c r="B2328" t="s">
        <v>1147</v>
      </c>
      <c r="C2328" t="s">
        <v>970</v>
      </c>
      <c r="D2328">
        <v>0.26</v>
      </c>
      <c r="E2328">
        <v>24.75</v>
      </c>
      <c r="F2328">
        <v>0.92</v>
      </c>
      <c r="G2328">
        <v>7.0000000000000007E-2</v>
      </c>
    </row>
    <row r="2329" spans="1:7" hidden="1">
      <c r="A2329">
        <v>180</v>
      </c>
      <c r="B2329" t="s">
        <v>1148</v>
      </c>
      <c r="C2329" t="s">
        <v>959</v>
      </c>
      <c r="D2329">
        <v>9.7799999999999994</v>
      </c>
      <c r="E2329">
        <v>18.309999999999999</v>
      </c>
      <c r="F2329">
        <v>25.59</v>
      </c>
      <c r="G2329">
        <v>0</v>
      </c>
    </row>
    <row r="2330" spans="1:7" hidden="1">
      <c r="A2330">
        <v>180</v>
      </c>
      <c r="B2330" t="s">
        <v>1148</v>
      </c>
      <c r="C2330" t="s">
        <v>960</v>
      </c>
      <c r="D2330">
        <v>7.22</v>
      </c>
      <c r="E2330">
        <v>18.399999999999999</v>
      </c>
      <c r="F2330">
        <v>18.97</v>
      </c>
      <c r="G2330">
        <v>7.0000000000000007E-2</v>
      </c>
    </row>
    <row r="2331" spans="1:7" hidden="1">
      <c r="A2331">
        <v>180</v>
      </c>
      <c r="B2331" t="s">
        <v>1148</v>
      </c>
      <c r="C2331" t="s">
        <v>961</v>
      </c>
      <c r="D2331">
        <v>3.88</v>
      </c>
      <c r="E2331">
        <v>20.059999999999999</v>
      </c>
      <c r="F2331">
        <v>11.11</v>
      </c>
      <c r="G2331">
        <v>0</v>
      </c>
    </row>
    <row r="2332" spans="1:7" hidden="1">
      <c r="A2332">
        <v>180</v>
      </c>
      <c r="B2332" t="s">
        <v>1148</v>
      </c>
      <c r="C2332" t="s">
        <v>962</v>
      </c>
      <c r="D2332">
        <v>2.09</v>
      </c>
      <c r="E2332">
        <v>24.72</v>
      </c>
      <c r="F2332">
        <v>7.38</v>
      </c>
      <c r="G2332">
        <v>0</v>
      </c>
    </row>
    <row r="2333" spans="1:7" hidden="1">
      <c r="A2333">
        <v>180</v>
      </c>
      <c r="B2333" t="s">
        <v>1148</v>
      </c>
      <c r="C2333" t="s">
        <v>963</v>
      </c>
      <c r="D2333">
        <v>4.01</v>
      </c>
      <c r="E2333">
        <v>18.13</v>
      </c>
      <c r="F2333">
        <v>10.38</v>
      </c>
      <c r="G2333">
        <v>0.06</v>
      </c>
    </row>
    <row r="2334" spans="1:7" hidden="1">
      <c r="A2334">
        <v>180</v>
      </c>
      <c r="B2334" t="s">
        <v>1148</v>
      </c>
      <c r="C2334" t="s">
        <v>964</v>
      </c>
      <c r="D2334">
        <v>0.19</v>
      </c>
      <c r="E2334">
        <v>21.87</v>
      </c>
      <c r="F2334">
        <v>0.57999999999999996</v>
      </c>
      <c r="G2334">
        <v>0</v>
      </c>
    </row>
    <row r="2335" spans="1:7" hidden="1">
      <c r="A2335">
        <v>180</v>
      </c>
      <c r="B2335" t="s">
        <v>1148</v>
      </c>
      <c r="C2335" t="s">
        <v>965</v>
      </c>
      <c r="D2335">
        <v>2.96</v>
      </c>
      <c r="E2335">
        <v>24.75</v>
      </c>
      <c r="F2335">
        <v>10.47</v>
      </c>
      <c r="G2335">
        <v>0.06</v>
      </c>
    </row>
    <row r="2336" spans="1:7">
      <c r="A2336">
        <v>180</v>
      </c>
      <c r="B2336" t="s">
        <v>1148</v>
      </c>
      <c r="C2336" t="s">
        <v>24</v>
      </c>
      <c r="D2336">
        <v>30.12</v>
      </c>
      <c r="E2336">
        <v>19.63</v>
      </c>
      <c r="F2336">
        <v>84.48</v>
      </c>
      <c r="G2336">
        <v>0.18</v>
      </c>
    </row>
    <row r="2337" spans="1:7" hidden="1">
      <c r="A2337">
        <v>180</v>
      </c>
      <c r="B2337" t="s">
        <v>1148</v>
      </c>
      <c r="C2337" t="s">
        <v>966</v>
      </c>
      <c r="D2337">
        <v>0</v>
      </c>
      <c r="E2337">
        <v>18.05</v>
      </c>
      <c r="F2337">
        <v>0</v>
      </c>
      <c r="G2337">
        <v>0</v>
      </c>
    </row>
    <row r="2338" spans="1:7" hidden="1">
      <c r="A2338">
        <v>180</v>
      </c>
      <c r="B2338" t="s">
        <v>1148</v>
      </c>
      <c r="C2338" t="s">
        <v>967</v>
      </c>
      <c r="D2338">
        <v>0.26</v>
      </c>
      <c r="E2338">
        <v>17.91</v>
      </c>
      <c r="F2338">
        <v>0.68</v>
      </c>
      <c r="G2338">
        <v>0</v>
      </c>
    </row>
    <row r="2339" spans="1:7" hidden="1">
      <c r="A2339">
        <v>180</v>
      </c>
      <c r="B2339" t="s">
        <v>1148</v>
      </c>
      <c r="C2339" t="s">
        <v>968</v>
      </c>
      <c r="D2339">
        <v>2.5099999999999998</v>
      </c>
      <c r="E2339">
        <v>18.09</v>
      </c>
      <c r="F2339">
        <v>6.48</v>
      </c>
      <c r="G2339">
        <v>0</v>
      </c>
    </row>
    <row r="2340" spans="1:7" hidden="1">
      <c r="A2340">
        <v>180</v>
      </c>
      <c r="B2340" t="s">
        <v>1148</v>
      </c>
      <c r="C2340" t="s">
        <v>969</v>
      </c>
      <c r="D2340">
        <v>0.09</v>
      </c>
      <c r="E2340">
        <v>24.75</v>
      </c>
      <c r="F2340">
        <v>0.34</v>
      </c>
      <c r="G2340">
        <v>0</v>
      </c>
    </row>
    <row r="2341" spans="1:7" hidden="1">
      <c r="A2341">
        <v>180</v>
      </c>
      <c r="B2341" t="s">
        <v>1148</v>
      </c>
      <c r="C2341" t="s">
        <v>970</v>
      </c>
      <c r="D2341">
        <v>0.63</v>
      </c>
      <c r="E2341">
        <v>24.75</v>
      </c>
      <c r="F2341">
        <v>2.21</v>
      </c>
      <c r="G2341">
        <v>0</v>
      </c>
    </row>
    <row r="2342" spans="1:7" hidden="1">
      <c r="A2342">
        <v>181</v>
      </c>
      <c r="B2342" t="s">
        <v>1149</v>
      </c>
      <c r="C2342" t="s">
        <v>959</v>
      </c>
      <c r="D2342">
        <v>9.11</v>
      </c>
      <c r="E2342">
        <v>18.309999999999999</v>
      </c>
      <c r="F2342">
        <v>23.84</v>
      </c>
      <c r="G2342">
        <v>0.25</v>
      </c>
    </row>
    <row r="2343" spans="1:7" hidden="1">
      <c r="A2343">
        <v>181</v>
      </c>
      <c r="B2343" t="s">
        <v>1149</v>
      </c>
      <c r="C2343" t="s">
        <v>960</v>
      </c>
      <c r="D2343">
        <v>6.53</v>
      </c>
      <c r="E2343">
        <v>18.399999999999999</v>
      </c>
      <c r="F2343">
        <v>17.16</v>
      </c>
      <c r="G2343">
        <v>0.33</v>
      </c>
    </row>
    <row r="2344" spans="1:7" hidden="1">
      <c r="A2344">
        <v>181</v>
      </c>
      <c r="B2344" t="s">
        <v>1149</v>
      </c>
      <c r="C2344" t="s">
        <v>961</v>
      </c>
      <c r="D2344">
        <v>3.87</v>
      </c>
      <c r="E2344">
        <v>20.059999999999999</v>
      </c>
      <c r="F2344">
        <v>11.09</v>
      </c>
      <c r="G2344">
        <v>0</v>
      </c>
    </row>
    <row r="2345" spans="1:7" hidden="1">
      <c r="A2345">
        <v>181</v>
      </c>
      <c r="B2345" t="s">
        <v>1149</v>
      </c>
      <c r="C2345" t="s">
        <v>962</v>
      </c>
      <c r="D2345">
        <v>2.1800000000000002</v>
      </c>
      <c r="E2345">
        <v>24.72</v>
      </c>
      <c r="F2345">
        <v>7.7</v>
      </c>
      <c r="G2345">
        <v>0.03</v>
      </c>
    </row>
    <row r="2346" spans="1:7" hidden="1">
      <c r="A2346">
        <v>181</v>
      </c>
      <c r="B2346" t="s">
        <v>1149</v>
      </c>
      <c r="C2346" t="s">
        <v>963</v>
      </c>
      <c r="D2346">
        <v>3.92</v>
      </c>
      <c r="E2346">
        <v>18.13</v>
      </c>
      <c r="F2346">
        <v>10.16</v>
      </c>
      <c r="G2346">
        <v>0.24</v>
      </c>
    </row>
    <row r="2347" spans="1:7" hidden="1">
      <c r="A2347">
        <v>181</v>
      </c>
      <c r="B2347" t="s">
        <v>1149</v>
      </c>
      <c r="C2347" t="s">
        <v>964</v>
      </c>
      <c r="D2347">
        <v>0.2</v>
      </c>
      <c r="E2347">
        <v>21.87</v>
      </c>
      <c r="F2347">
        <v>0.64</v>
      </c>
      <c r="G2347">
        <v>0</v>
      </c>
    </row>
    <row r="2348" spans="1:7" hidden="1">
      <c r="A2348">
        <v>181</v>
      </c>
      <c r="B2348" t="s">
        <v>1149</v>
      </c>
      <c r="C2348" t="s">
        <v>965</v>
      </c>
      <c r="D2348">
        <v>2.93</v>
      </c>
      <c r="E2348">
        <v>24.75</v>
      </c>
      <c r="F2348">
        <v>10.38</v>
      </c>
      <c r="G2348">
        <v>0.14000000000000001</v>
      </c>
    </row>
    <row r="2349" spans="1:7">
      <c r="A2349">
        <v>181</v>
      </c>
      <c r="B2349" t="s">
        <v>1149</v>
      </c>
      <c r="C2349" t="s">
        <v>24</v>
      </c>
      <c r="D2349">
        <v>28.76</v>
      </c>
      <c r="E2349">
        <v>19.71</v>
      </c>
      <c r="F2349">
        <v>80.98</v>
      </c>
      <c r="G2349">
        <v>0.99</v>
      </c>
    </row>
    <row r="2350" spans="1:7" hidden="1">
      <c r="A2350">
        <v>181</v>
      </c>
      <c r="B2350" t="s">
        <v>1149</v>
      </c>
      <c r="C2350" t="s">
        <v>966</v>
      </c>
      <c r="D2350">
        <v>0.82</v>
      </c>
      <c r="E2350">
        <v>18.05</v>
      </c>
      <c r="F2350">
        <v>2.1</v>
      </c>
      <c r="G2350">
        <v>0.8</v>
      </c>
    </row>
    <row r="2351" spans="1:7" hidden="1">
      <c r="A2351">
        <v>181</v>
      </c>
      <c r="B2351" t="s">
        <v>1149</v>
      </c>
      <c r="C2351" t="s">
        <v>967</v>
      </c>
      <c r="D2351">
        <v>0.1</v>
      </c>
      <c r="E2351">
        <v>17.91</v>
      </c>
      <c r="F2351">
        <v>0.27</v>
      </c>
      <c r="G2351">
        <v>0</v>
      </c>
    </row>
    <row r="2352" spans="1:7" hidden="1">
      <c r="A2352">
        <v>181</v>
      </c>
      <c r="B2352" t="s">
        <v>1149</v>
      </c>
      <c r="C2352" t="s">
        <v>968</v>
      </c>
      <c r="D2352">
        <v>2.69</v>
      </c>
      <c r="E2352">
        <v>18.09</v>
      </c>
      <c r="F2352">
        <v>6.96</v>
      </c>
      <c r="G2352">
        <v>0.06</v>
      </c>
    </row>
    <row r="2353" spans="1:7" hidden="1">
      <c r="A2353">
        <v>181</v>
      </c>
      <c r="B2353" t="s">
        <v>1149</v>
      </c>
      <c r="C2353" t="s">
        <v>969</v>
      </c>
      <c r="D2353">
        <v>0.12</v>
      </c>
      <c r="E2353">
        <v>24.75</v>
      </c>
      <c r="F2353">
        <v>0.41</v>
      </c>
      <c r="G2353">
        <v>0</v>
      </c>
    </row>
    <row r="2354" spans="1:7" hidden="1">
      <c r="A2354">
        <v>181</v>
      </c>
      <c r="B2354" t="s">
        <v>1149</v>
      </c>
      <c r="C2354" t="s">
        <v>970</v>
      </c>
      <c r="D2354">
        <v>0.68</v>
      </c>
      <c r="E2354">
        <v>24.75</v>
      </c>
      <c r="F2354">
        <v>2.4</v>
      </c>
      <c r="G2354">
        <v>0</v>
      </c>
    </row>
    <row r="2355" spans="1:7" hidden="1">
      <c r="A2355">
        <v>182</v>
      </c>
      <c r="B2355" t="s">
        <v>1150</v>
      </c>
      <c r="C2355" t="s">
        <v>959</v>
      </c>
      <c r="D2355">
        <v>9.8000000000000007</v>
      </c>
      <c r="E2355">
        <v>18.309999999999999</v>
      </c>
      <c r="F2355">
        <v>25.63</v>
      </c>
      <c r="G2355">
        <v>5.4</v>
      </c>
    </row>
    <row r="2356" spans="1:7" hidden="1">
      <c r="A2356">
        <v>182</v>
      </c>
      <c r="B2356" t="s">
        <v>1150</v>
      </c>
      <c r="C2356" t="s">
        <v>960</v>
      </c>
      <c r="D2356">
        <v>9.5399999999999991</v>
      </c>
      <c r="E2356">
        <v>18.399999999999999</v>
      </c>
      <c r="F2356">
        <v>25.07</v>
      </c>
      <c r="G2356">
        <v>6.2</v>
      </c>
    </row>
    <row r="2357" spans="1:7" hidden="1">
      <c r="A2357">
        <v>182</v>
      </c>
      <c r="B2357" t="s">
        <v>1150</v>
      </c>
      <c r="C2357" t="s">
        <v>961</v>
      </c>
      <c r="D2357">
        <v>1.73</v>
      </c>
      <c r="E2357">
        <v>20.059999999999999</v>
      </c>
      <c r="F2357">
        <v>4.97</v>
      </c>
      <c r="G2357">
        <v>0.93</v>
      </c>
    </row>
    <row r="2358" spans="1:7" hidden="1">
      <c r="A2358">
        <v>182</v>
      </c>
      <c r="B2358" t="s">
        <v>1150</v>
      </c>
      <c r="C2358" t="s">
        <v>962</v>
      </c>
      <c r="D2358">
        <v>1.0900000000000001</v>
      </c>
      <c r="E2358">
        <v>24.72</v>
      </c>
      <c r="F2358">
        <v>3.85</v>
      </c>
      <c r="G2358">
        <v>0.54</v>
      </c>
    </row>
    <row r="2359" spans="1:7" hidden="1">
      <c r="A2359">
        <v>182</v>
      </c>
      <c r="B2359" t="s">
        <v>1150</v>
      </c>
      <c r="C2359" t="s">
        <v>963</v>
      </c>
      <c r="D2359">
        <v>3.66</v>
      </c>
      <c r="E2359">
        <v>18.13</v>
      </c>
      <c r="F2359">
        <v>9.48</v>
      </c>
      <c r="G2359">
        <v>1.75</v>
      </c>
    </row>
    <row r="2360" spans="1:7" hidden="1">
      <c r="A2360">
        <v>182</v>
      </c>
      <c r="B2360" t="s">
        <v>1150</v>
      </c>
      <c r="C2360" t="s">
        <v>964</v>
      </c>
      <c r="D2360">
        <v>0.11</v>
      </c>
      <c r="E2360">
        <v>21.87</v>
      </c>
      <c r="F2360">
        <v>0.34</v>
      </c>
      <c r="G2360">
        <v>0.01</v>
      </c>
    </row>
    <row r="2361" spans="1:7" hidden="1">
      <c r="A2361">
        <v>182</v>
      </c>
      <c r="B2361" t="s">
        <v>1150</v>
      </c>
      <c r="C2361" t="s">
        <v>965</v>
      </c>
      <c r="D2361">
        <v>2.4500000000000002</v>
      </c>
      <c r="E2361">
        <v>24.75</v>
      </c>
      <c r="F2361">
        <v>8.65</v>
      </c>
      <c r="G2361">
        <v>1.2</v>
      </c>
    </row>
    <row r="2362" spans="1:7">
      <c r="A2362">
        <v>182</v>
      </c>
      <c r="B2362" t="s">
        <v>1150</v>
      </c>
      <c r="C2362" t="s">
        <v>24</v>
      </c>
      <c r="D2362">
        <v>28.38</v>
      </c>
      <c r="E2362">
        <v>19.239999999999998</v>
      </c>
      <c r="F2362">
        <v>78</v>
      </c>
      <c r="G2362">
        <v>16.03</v>
      </c>
    </row>
    <row r="2363" spans="1:7" hidden="1">
      <c r="A2363">
        <v>182</v>
      </c>
      <c r="B2363" t="s">
        <v>1150</v>
      </c>
      <c r="C2363" t="s">
        <v>966</v>
      </c>
      <c r="D2363">
        <v>11.99</v>
      </c>
      <c r="E2363">
        <v>18.05</v>
      </c>
      <c r="F2363">
        <v>30.92</v>
      </c>
      <c r="G2363">
        <v>11.47</v>
      </c>
    </row>
    <row r="2364" spans="1:7" hidden="1">
      <c r="A2364">
        <v>182</v>
      </c>
      <c r="B2364" t="s">
        <v>1150</v>
      </c>
      <c r="C2364" t="s">
        <v>967</v>
      </c>
      <c r="D2364">
        <v>0.19</v>
      </c>
      <c r="E2364">
        <v>17.91</v>
      </c>
      <c r="F2364">
        <v>0.48</v>
      </c>
      <c r="G2364">
        <v>0.06</v>
      </c>
    </row>
    <row r="2365" spans="1:7" hidden="1">
      <c r="A2365">
        <v>182</v>
      </c>
      <c r="B2365" t="s">
        <v>1150</v>
      </c>
      <c r="C2365" t="s">
        <v>968</v>
      </c>
      <c r="D2365">
        <v>0.66</v>
      </c>
      <c r="E2365">
        <v>18.09</v>
      </c>
      <c r="F2365">
        <v>1.71</v>
      </c>
      <c r="G2365">
        <v>0.24</v>
      </c>
    </row>
    <row r="2366" spans="1:7" hidden="1">
      <c r="A2366">
        <v>182</v>
      </c>
      <c r="B2366" t="s">
        <v>1150</v>
      </c>
      <c r="C2366" t="s">
        <v>969</v>
      </c>
      <c r="D2366">
        <v>1.71</v>
      </c>
      <c r="E2366">
        <v>24.75</v>
      </c>
      <c r="F2366">
        <v>6.05</v>
      </c>
      <c r="G2366">
        <v>0.09</v>
      </c>
    </row>
    <row r="2367" spans="1:7" hidden="1">
      <c r="A2367">
        <v>182</v>
      </c>
      <c r="B2367" t="s">
        <v>1150</v>
      </c>
      <c r="C2367" t="s">
        <v>970</v>
      </c>
      <c r="D2367">
        <v>0.26</v>
      </c>
      <c r="E2367">
        <v>24.75</v>
      </c>
      <c r="F2367">
        <v>0.9</v>
      </c>
      <c r="G2367">
        <v>7.0000000000000007E-2</v>
      </c>
    </row>
    <row r="2368" spans="1:7" hidden="1">
      <c r="A2368">
        <v>183</v>
      </c>
      <c r="B2368" t="s">
        <v>1151</v>
      </c>
      <c r="C2368" t="s">
        <v>959</v>
      </c>
      <c r="D2368">
        <v>9.5500000000000007</v>
      </c>
      <c r="E2368">
        <v>18.309999999999999</v>
      </c>
      <c r="F2368">
        <v>25</v>
      </c>
      <c r="G2368">
        <v>0</v>
      </c>
    </row>
    <row r="2369" spans="1:7" hidden="1">
      <c r="A2369">
        <v>183</v>
      </c>
      <c r="B2369" t="s">
        <v>1151</v>
      </c>
      <c r="C2369" t="s">
        <v>960</v>
      </c>
      <c r="D2369">
        <v>6.91</v>
      </c>
      <c r="E2369">
        <v>18.399999999999999</v>
      </c>
      <c r="F2369">
        <v>18.16</v>
      </c>
      <c r="G2369">
        <v>7.0000000000000007E-2</v>
      </c>
    </row>
    <row r="2370" spans="1:7" hidden="1">
      <c r="A2370">
        <v>183</v>
      </c>
      <c r="B2370" t="s">
        <v>1151</v>
      </c>
      <c r="C2370" t="s">
        <v>961</v>
      </c>
      <c r="D2370">
        <v>3.27</v>
      </c>
      <c r="E2370">
        <v>20.059999999999999</v>
      </c>
      <c r="F2370">
        <v>9.3800000000000008</v>
      </c>
      <c r="G2370">
        <v>0</v>
      </c>
    </row>
    <row r="2371" spans="1:7" hidden="1">
      <c r="A2371">
        <v>183</v>
      </c>
      <c r="B2371" t="s">
        <v>1151</v>
      </c>
      <c r="C2371" t="s">
        <v>962</v>
      </c>
      <c r="D2371">
        <v>2.08</v>
      </c>
      <c r="E2371">
        <v>24.72</v>
      </c>
      <c r="F2371">
        <v>7.35</v>
      </c>
      <c r="G2371">
        <v>0</v>
      </c>
    </row>
    <row r="2372" spans="1:7" hidden="1">
      <c r="A2372">
        <v>183</v>
      </c>
      <c r="B2372" t="s">
        <v>1151</v>
      </c>
      <c r="C2372" t="s">
        <v>963</v>
      </c>
      <c r="D2372">
        <v>4.42</v>
      </c>
      <c r="E2372">
        <v>18.13</v>
      </c>
      <c r="F2372">
        <v>11.46</v>
      </c>
      <c r="G2372">
        <v>0</v>
      </c>
    </row>
    <row r="2373" spans="1:7" hidden="1">
      <c r="A2373">
        <v>183</v>
      </c>
      <c r="B2373" t="s">
        <v>1151</v>
      </c>
      <c r="C2373" t="s">
        <v>964</v>
      </c>
      <c r="D2373">
        <v>0.23</v>
      </c>
      <c r="E2373">
        <v>21.87</v>
      </c>
      <c r="F2373">
        <v>0.73</v>
      </c>
      <c r="G2373">
        <v>0</v>
      </c>
    </row>
    <row r="2374" spans="1:7" hidden="1">
      <c r="A2374">
        <v>183</v>
      </c>
      <c r="B2374" t="s">
        <v>1151</v>
      </c>
      <c r="C2374" t="s">
        <v>965</v>
      </c>
      <c r="D2374">
        <v>3.27</v>
      </c>
      <c r="E2374">
        <v>24.75</v>
      </c>
      <c r="F2374">
        <v>11.57</v>
      </c>
      <c r="G2374">
        <v>0</v>
      </c>
    </row>
    <row r="2375" spans="1:7">
      <c r="A2375">
        <v>183</v>
      </c>
      <c r="B2375" t="s">
        <v>1151</v>
      </c>
      <c r="C2375" t="s">
        <v>24</v>
      </c>
      <c r="D2375">
        <v>29.75</v>
      </c>
      <c r="E2375">
        <v>19.68</v>
      </c>
      <c r="F2375">
        <v>83.64</v>
      </c>
      <c r="G2375">
        <v>7.0000000000000007E-2</v>
      </c>
    </row>
    <row r="2376" spans="1:7" hidden="1">
      <c r="A2376">
        <v>183</v>
      </c>
      <c r="B2376" t="s">
        <v>1151</v>
      </c>
      <c r="C2376" t="s">
        <v>966</v>
      </c>
      <c r="D2376">
        <v>0</v>
      </c>
      <c r="E2376">
        <v>18.05</v>
      </c>
      <c r="F2376">
        <v>0</v>
      </c>
      <c r="G2376">
        <v>0</v>
      </c>
    </row>
    <row r="2377" spans="1:7" hidden="1">
      <c r="A2377">
        <v>183</v>
      </c>
      <c r="B2377" t="s">
        <v>1151</v>
      </c>
      <c r="C2377" t="s">
        <v>967</v>
      </c>
      <c r="D2377">
        <v>0.22</v>
      </c>
      <c r="E2377">
        <v>17.91</v>
      </c>
      <c r="F2377">
        <v>0.56000000000000005</v>
      </c>
      <c r="G2377">
        <v>0</v>
      </c>
    </row>
    <row r="2378" spans="1:7" hidden="1">
      <c r="A2378">
        <v>183</v>
      </c>
      <c r="B2378" t="s">
        <v>1151</v>
      </c>
      <c r="C2378" t="s">
        <v>968</v>
      </c>
      <c r="D2378">
        <v>2.72</v>
      </c>
      <c r="E2378">
        <v>18.09</v>
      </c>
      <c r="F2378">
        <v>7.03</v>
      </c>
      <c r="G2378">
        <v>0</v>
      </c>
    </row>
    <row r="2379" spans="1:7" hidden="1">
      <c r="A2379">
        <v>183</v>
      </c>
      <c r="B2379" t="s">
        <v>1151</v>
      </c>
      <c r="C2379" t="s">
        <v>969</v>
      </c>
      <c r="D2379">
        <v>0.1</v>
      </c>
      <c r="E2379">
        <v>24.75</v>
      </c>
      <c r="F2379">
        <v>0.35</v>
      </c>
      <c r="G2379">
        <v>0</v>
      </c>
    </row>
    <row r="2380" spans="1:7" hidden="1">
      <c r="A2380">
        <v>183</v>
      </c>
      <c r="B2380" t="s">
        <v>1151</v>
      </c>
      <c r="C2380" t="s">
        <v>970</v>
      </c>
      <c r="D2380">
        <v>0.65</v>
      </c>
      <c r="E2380">
        <v>24.75</v>
      </c>
      <c r="F2380">
        <v>2.2999999999999998</v>
      </c>
      <c r="G2380">
        <v>0</v>
      </c>
    </row>
    <row r="2381" spans="1:7" hidden="1">
      <c r="A2381">
        <v>184</v>
      </c>
      <c r="B2381" t="s">
        <v>1152</v>
      </c>
      <c r="C2381" t="s">
        <v>959</v>
      </c>
      <c r="D2381">
        <v>8.6</v>
      </c>
      <c r="E2381">
        <v>18.309999999999999</v>
      </c>
      <c r="F2381">
        <v>22.5</v>
      </c>
      <c r="G2381">
        <v>0.28000000000000003</v>
      </c>
    </row>
    <row r="2382" spans="1:7" hidden="1">
      <c r="A2382">
        <v>184</v>
      </c>
      <c r="B2382" t="s">
        <v>1152</v>
      </c>
      <c r="C2382" t="s">
        <v>960</v>
      </c>
      <c r="D2382">
        <v>6.43</v>
      </c>
      <c r="E2382">
        <v>18.399999999999999</v>
      </c>
      <c r="F2382">
        <v>16.91</v>
      </c>
      <c r="G2382">
        <v>0.36</v>
      </c>
    </row>
    <row r="2383" spans="1:7" hidden="1">
      <c r="A2383">
        <v>184</v>
      </c>
      <c r="B2383" t="s">
        <v>1152</v>
      </c>
      <c r="C2383" t="s">
        <v>961</v>
      </c>
      <c r="D2383">
        <v>3.28</v>
      </c>
      <c r="E2383">
        <v>20.059999999999999</v>
      </c>
      <c r="F2383">
        <v>9.39</v>
      </c>
      <c r="G2383">
        <v>0.01</v>
      </c>
    </row>
    <row r="2384" spans="1:7" hidden="1">
      <c r="A2384">
        <v>184</v>
      </c>
      <c r="B2384" t="s">
        <v>1152</v>
      </c>
      <c r="C2384" t="s">
        <v>962</v>
      </c>
      <c r="D2384">
        <v>2.0699999999999998</v>
      </c>
      <c r="E2384">
        <v>24.72</v>
      </c>
      <c r="F2384">
        <v>7.29</v>
      </c>
      <c r="G2384">
        <v>0.04</v>
      </c>
    </row>
    <row r="2385" spans="1:7" hidden="1">
      <c r="A2385">
        <v>184</v>
      </c>
      <c r="B2385" t="s">
        <v>1152</v>
      </c>
      <c r="C2385" t="s">
        <v>963</v>
      </c>
      <c r="D2385">
        <v>4.18</v>
      </c>
      <c r="E2385">
        <v>18.13</v>
      </c>
      <c r="F2385">
        <v>10.83</v>
      </c>
      <c r="G2385">
        <v>0.21</v>
      </c>
    </row>
    <row r="2386" spans="1:7" hidden="1">
      <c r="A2386">
        <v>184</v>
      </c>
      <c r="B2386" t="s">
        <v>1152</v>
      </c>
      <c r="C2386" t="s">
        <v>964</v>
      </c>
      <c r="D2386">
        <v>0.25</v>
      </c>
      <c r="E2386">
        <v>21.87</v>
      </c>
      <c r="F2386">
        <v>0.78</v>
      </c>
      <c r="G2386">
        <v>0</v>
      </c>
    </row>
    <row r="2387" spans="1:7" hidden="1">
      <c r="A2387">
        <v>184</v>
      </c>
      <c r="B2387" t="s">
        <v>1152</v>
      </c>
      <c r="C2387" t="s">
        <v>965</v>
      </c>
      <c r="D2387">
        <v>3.11</v>
      </c>
      <c r="E2387">
        <v>24.75</v>
      </c>
      <c r="F2387">
        <v>10.99</v>
      </c>
      <c r="G2387">
        <v>0.08</v>
      </c>
    </row>
    <row r="2388" spans="1:7">
      <c r="A2388">
        <v>184</v>
      </c>
      <c r="B2388" t="s">
        <v>1152</v>
      </c>
      <c r="C2388" t="s">
        <v>24</v>
      </c>
      <c r="D2388">
        <v>27.92</v>
      </c>
      <c r="E2388">
        <v>19.73</v>
      </c>
      <c r="F2388">
        <v>78.7</v>
      </c>
      <c r="G2388">
        <v>0.97</v>
      </c>
    </row>
    <row r="2389" spans="1:7" hidden="1">
      <c r="A2389">
        <v>184</v>
      </c>
      <c r="B2389" t="s">
        <v>1152</v>
      </c>
      <c r="C2389" t="s">
        <v>966</v>
      </c>
      <c r="D2389">
        <v>0.97</v>
      </c>
      <c r="E2389">
        <v>18.05</v>
      </c>
      <c r="F2389">
        <v>2.5099999999999998</v>
      </c>
      <c r="G2389">
        <v>0.96</v>
      </c>
    </row>
    <row r="2390" spans="1:7" hidden="1">
      <c r="A2390">
        <v>184</v>
      </c>
      <c r="B2390" t="s">
        <v>1152</v>
      </c>
      <c r="C2390" t="s">
        <v>967</v>
      </c>
      <c r="D2390">
        <v>0.09</v>
      </c>
      <c r="E2390">
        <v>17.91</v>
      </c>
      <c r="F2390">
        <v>0.24</v>
      </c>
      <c r="G2390">
        <v>0</v>
      </c>
    </row>
    <row r="2391" spans="1:7" hidden="1">
      <c r="A2391">
        <v>184</v>
      </c>
      <c r="B2391" t="s">
        <v>1152</v>
      </c>
      <c r="C2391" t="s">
        <v>968</v>
      </c>
      <c r="D2391">
        <v>3.07</v>
      </c>
      <c r="E2391">
        <v>18.09</v>
      </c>
      <c r="F2391">
        <v>7.93</v>
      </c>
      <c r="G2391">
        <v>7.0000000000000007E-2</v>
      </c>
    </row>
    <row r="2392" spans="1:7" hidden="1">
      <c r="A2392">
        <v>184</v>
      </c>
      <c r="B2392" t="s">
        <v>1152</v>
      </c>
      <c r="C2392" t="s">
        <v>969</v>
      </c>
      <c r="D2392">
        <v>0.14000000000000001</v>
      </c>
      <c r="E2392">
        <v>24.75</v>
      </c>
      <c r="F2392">
        <v>0.48</v>
      </c>
      <c r="G2392">
        <v>0</v>
      </c>
    </row>
    <row r="2393" spans="1:7" hidden="1">
      <c r="A2393">
        <v>184</v>
      </c>
      <c r="B2393" t="s">
        <v>1152</v>
      </c>
      <c r="C2393" t="s">
        <v>970</v>
      </c>
      <c r="D2393">
        <v>0.7</v>
      </c>
      <c r="E2393">
        <v>24.75</v>
      </c>
      <c r="F2393">
        <v>2.48</v>
      </c>
      <c r="G2393">
        <v>0.01</v>
      </c>
    </row>
    <row r="2394" spans="1:7" hidden="1">
      <c r="A2394">
        <v>185</v>
      </c>
      <c r="B2394" t="s">
        <v>1153</v>
      </c>
      <c r="C2394" t="s">
        <v>959</v>
      </c>
      <c r="D2394">
        <v>8.5299999999999994</v>
      </c>
      <c r="E2394">
        <v>18.309999999999999</v>
      </c>
      <c r="F2394">
        <v>22.31</v>
      </c>
      <c r="G2394">
        <v>3.07</v>
      </c>
    </row>
    <row r="2395" spans="1:7" hidden="1">
      <c r="A2395">
        <v>185</v>
      </c>
      <c r="B2395" t="s">
        <v>1153</v>
      </c>
      <c r="C2395" t="s">
        <v>960</v>
      </c>
      <c r="D2395">
        <v>8.4700000000000006</v>
      </c>
      <c r="E2395">
        <v>18.399999999999999</v>
      </c>
      <c r="F2395">
        <v>22.26</v>
      </c>
      <c r="G2395">
        <v>3.86</v>
      </c>
    </row>
    <row r="2396" spans="1:7" hidden="1">
      <c r="A2396">
        <v>185</v>
      </c>
      <c r="B2396" t="s">
        <v>1153</v>
      </c>
      <c r="C2396" t="s">
        <v>961</v>
      </c>
      <c r="D2396">
        <v>1.38</v>
      </c>
      <c r="E2396">
        <v>20.059999999999999</v>
      </c>
      <c r="F2396">
        <v>3.95</v>
      </c>
      <c r="G2396">
        <v>0.43</v>
      </c>
    </row>
    <row r="2397" spans="1:7" hidden="1">
      <c r="A2397">
        <v>185</v>
      </c>
      <c r="B2397" t="s">
        <v>1153</v>
      </c>
      <c r="C2397" t="s">
        <v>962</v>
      </c>
      <c r="D2397">
        <v>1.1100000000000001</v>
      </c>
      <c r="E2397">
        <v>24.72</v>
      </c>
      <c r="F2397">
        <v>3.92</v>
      </c>
      <c r="G2397">
        <v>0.35</v>
      </c>
    </row>
    <row r="2398" spans="1:7" hidden="1">
      <c r="A2398">
        <v>185</v>
      </c>
      <c r="B2398" t="s">
        <v>1153</v>
      </c>
      <c r="C2398" t="s">
        <v>963</v>
      </c>
      <c r="D2398">
        <v>2.75</v>
      </c>
      <c r="E2398">
        <v>18.13</v>
      </c>
      <c r="F2398">
        <v>7.12</v>
      </c>
      <c r="G2398">
        <v>0.88</v>
      </c>
    </row>
    <row r="2399" spans="1:7" hidden="1">
      <c r="A2399">
        <v>185</v>
      </c>
      <c r="B2399" t="s">
        <v>1153</v>
      </c>
      <c r="C2399" t="s">
        <v>964</v>
      </c>
      <c r="D2399">
        <v>0.1</v>
      </c>
      <c r="E2399">
        <v>21.87</v>
      </c>
      <c r="F2399">
        <v>0.31</v>
      </c>
      <c r="G2399">
        <v>0.02</v>
      </c>
    </row>
    <row r="2400" spans="1:7" hidden="1">
      <c r="A2400">
        <v>185</v>
      </c>
      <c r="B2400" t="s">
        <v>1153</v>
      </c>
      <c r="C2400" t="s">
        <v>965</v>
      </c>
      <c r="D2400">
        <v>1.84</v>
      </c>
      <c r="E2400">
        <v>24.75</v>
      </c>
      <c r="F2400">
        <v>6.5</v>
      </c>
      <c r="G2400">
        <v>0.65</v>
      </c>
    </row>
    <row r="2401" spans="1:7">
      <c r="A2401">
        <v>185</v>
      </c>
      <c r="B2401" t="s">
        <v>1153</v>
      </c>
      <c r="C2401" t="s">
        <v>24</v>
      </c>
      <c r="D2401">
        <v>24.18</v>
      </c>
      <c r="E2401">
        <v>19.22</v>
      </c>
      <c r="F2401">
        <v>66.38</v>
      </c>
      <c r="G2401">
        <v>9.26</v>
      </c>
    </row>
    <row r="2402" spans="1:7" hidden="1">
      <c r="A2402">
        <v>185</v>
      </c>
      <c r="B2402" t="s">
        <v>1153</v>
      </c>
      <c r="C2402" t="s">
        <v>966</v>
      </c>
      <c r="D2402">
        <v>10.27</v>
      </c>
      <c r="E2402">
        <v>18.05</v>
      </c>
      <c r="F2402">
        <v>26.47</v>
      </c>
      <c r="G2402">
        <v>9.75</v>
      </c>
    </row>
    <row r="2403" spans="1:7" hidden="1">
      <c r="A2403">
        <v>185</v>
      </c>
      <c r="B2403" t="s">
        <v>1153</v>
      </c>
      <c r="C2403" t="s">
        <v>967</v>
      </c>
      <c r="D2403">
        <v>0.41</v>
      </c>
      <c r="E2403">
        <v>17.91</v>
      </c>
      <c r="F2403">
        <v>1.04</v>
      </c>
      <c r="G2403">
        <v>7.0000000000000007E-2</v>
      </c>
    </row>
    <row r="2404" spans="1:7" hidden="1">
      <c r="A2404">
        <v>185</v>
      </c>
      <c r="B2404" t="s">
        <v>1153</v>
      </c>
      <c r="C2404" t="s">
        <v>968</v>
      </c>
      <c r="D2404">
        <v>1.29</v>
      </c>
      <c r="E2404">
        <v>18.09</v>
      </c>
      <c r="F2404">
        <v>3.34</v>
      </c>
      <c r="G2404">
        <v>0.2</v>
      </c>
    </row>
    <row r="2405" spans="1:7" hidden="1">
      <c r="A2405">
        <v>185</v>
      </c>
      <c r="B2405" t="s">
        <v>1153</v>
      </c>
      <c r="C2405" t="s">
        <v>969</v>
      </c>
      <c r="D2405">
        <v>1.47</v>
      </c>
      <c r="E2405">
        <v>24.75</v>
      </c>
      <c r="F2405">
        <v>5.21</v>
      </c>
      <c r="G2405">
        <v>0.08</v>
      </c>
    </row>
    <row r="2406" spans="1:7" hidden="1">
      <c r="A2406">
        <v>185</v>
      </c>
      <c r="B2406" t="s">
        <v>1153</v>
      </c>
      <c r="C2406" t="s">
        <v>970</v>
      </c>
      <c r="D2406">
        <v>0.35</v>
      </c>
      <c r="E2406">
        <v>24.75</v>
      </c>
      <c r="F2406">
        <v>1.23</v>
      </c>
      <c r="G2406">
        <v>7.0000000000000007E-2</v>
      </c>
    </row>
    <row r="2407" spans="1:7" hidden="1">
      <c r="A2407">
        <v>186</v>
      </c>
      <c r="B2407" t="s">
        <v>1154</v>
      </c>
      <c r="C2407" t="s">
        <v>959</v>
      </c>
      <c r="D2407">
        <v>8.56</v>
      </c>
      <c r="E2407">
        <v>18.309999999999999</v>
      </c>
      <c r="F2407">
        <v>22.4</v>
      </c>
      <c r="G2407">
        <v>3.97</v>
      </c>
    </row>
    <row r="2408" spans="1:7" hidden="1">
      <c r="A2408">
        <v>186</v>
      </c>
      <c r="B2408" t="s">
        <v>1154</v>
      </c>
      <c r="C2408" t="s">
        <v>960</v>
      </c>
      <c r="D2408">
        <v>8.7100000000000009</v>
      </c>
      <c r="E2408">
        <v>18.399999999999999</v>
      </c>
      <c r="F2408">
        <v>22.9</v>
      </c>
      <c r="G2408">
        <v>5</v>
      </c>
    </row>
    <row r="2409" spans="1:7" hidden="1">
      <c r="A2409">
        <v>186</v>
      </c>
      <c r="B2409" t="s">
        <v>1154</v>
      </c>
      <c r="C2409" t="s">
        <v>961</v>
      </c>
      <c r="D2409">
        <v>1.36</v>
      </c>
      <c r="E2409">
        <v>20.059999999999999</v>
      </c>
      <c r="F2409">
        <v>3.91</v>
      </c>
      <c r="G2409">
        <v>0.57999999999999996</v>
      </c>
    </row>
    <row r="2410" spans="1:7" hidden="1">
      <c r="A2410">
        <v>186</v>
      </c>
      <c r="B2410" t="s">
        <v>1154</v>
      </c>
      <c r="C2410" t="s">
        <v>962</v>
      </c>
      <c r="D2410">
        <v>1.05</v>
      </c>
      <c r="E2410">
        <v>24.72</v>
      </c>
      <c r="F2410">
        <v>3.72</v>
      </c>
      <c r="G2410">
        <v>0.5</v>
      </c>
    </row>
    <row r="2411" spans="1:7" hidden="1">
      <c r="A2411">
        <v>186</v>
      </c>
      <c r="B2411" t="s">
        <v>1154</v>
      </c>
      <c r="C2411" t="s">
        <v>963</v>
      </c>
      <c r="D2411">
        <v>2.83</v>
      </c>
      <c r="E2411">
        <v>18.13</v>
      </c>
      <c r="F2411">
        <v>7.33</v>
      </c>
      <c r="G2411">
        <v>1.39</v>
      </c>
    </row>
    <row r="2412" spans="1:7" hidden="1">
      <c r="A2412">
        <v>186</v>
      </c>
      <c r="B2412" t="s">
        <v>1154</v>
      </c>
      <c r="C2412" t="s">
        <v>964</v>
      </c>
      <c r="D2412">
        <v>0.08</v>
      </c>
      <c r="E2412">
        <v>21.87</v>
      </c>
      <c r="F2412">
        <v>0.24</v>
      </c>
      <c r="G2412">
        <v>0.02</v>
      </c>
    </row>
    <row r="2413" spans="1:7" hidden="1">
      <c r="A2413">
        <v>186</v>
      </c>
      <c r="B2413" t="s">
        <v>1154</v>
      </c>
      <c r="C2413" t="s">
        <v>965</v>
      </c>
      <c r="D2413">
        <v>1.92</v>
      </c>
      <c r="E2413">
        <v>24.75</v>
      </c>
      <c r="F2413">
        <v>6.79</v>
      </c>
      <c r="G2413">
        <v>0.85</v>
      </c>
    </row>
    <row r="2414" spans="1:7">
      <c r="A2414">
        <v>186</v>
      </c>
      <c r="B2414" t="s">
        <v>1154</v>
      </c>
      <c r="C2414" t="s">
        <v>24</v>
      </c>
      <c r="D2414">
        <v>24.52</v>
      </c>
      <c r="E2414">
        <v>19.21</v>
      </c>
      <c r="F2414">
        <v>67.28</v>
      </c>
      <c r="G2414">
        <v>12.32</v>
      </c>
    </row>
    <row r="2415" spans="1:7" hidden="1">
      <c r="A2415">
        <v>186</v>
      </c>
      <c r="B2415" t="s">
        <v>1154</v>
      </c>
      <c r="C2415" t="s">
        <v>966</v>
      </c>
      <c r="D2415">
        <v>14.23</v>
      </c>
      <c r="E2415">
        <v>18.05</v>
      </c>
      <c r="F2415">
        <v>36.69</v>
      </c>
      <c r="G2415">
        <v>13.52</v>
      </c>
    </row>
    <row r="2416" spans="1:7" hidden="1">
      <c r="A2416">
        <v>186</v>
      </c>
      <c r="B2416" t="s">
        <v>1154</v>
      </c>
      <c r="C2416" t="s">
        <v>967</v>
      </c>
      <c r="D2416">
        <v>0.26</v>
      </c>
      <c r="E2416">
        <v>17.91</v>
      </c>
      <c r="F2416">
        <v>0.68</v>
      </c>
      <c r="G2416">
        <v>0.05</v>
      </c>
    </row>
    <row r="2417" spans="1:7" hidden="1">
      <c r="A2417">
        <v>186</v>
      </c>
      <c r="B2417" t="s">
        <v>1154</v>
      </c>
      <c r="C2417" t="s">
        <v>968</v>
      </c>
      <c r="D2417">
        <v>0.85</v>
      </c>
      <c r="E2417">
        <v>18.09</v>
      </c>
      <c r="F2417">
        <v>2.2000000000000002</v>
      </c>
      <c r="G2417">
        <v>0.18</v>
      </c>
    </row>
    <row r="2418" spans="1:7" hidden="1">
      <c r="A2418">
        <v>186</v>
      </c>
      <c r="B2418" t="s">
        <v>1154</v>
      </c>
      <c r="C2418" t="s">
        <v>969</v>
      </c>
      <c r="D2418">
        <v>1.59</v>
      </c>
      <c r="E2418">
        <v>24.75</v>
      </c>
      <c r="F2418">
        <v>5.62</v>
      </c>
      <c r="G2418">
        <v>0.05</v>
      </c>
    </row>
    <row r="2419" spans="1:7" hidden="1">
      <c r="A2419">
        <v>186</v>
      </c>
      <c r="B2419" t="s">
        <v>1154</v>
      </c>
      <c r="C2419" t="s">
        <v>970</v>
      </c>
      <c r="D2419">
        <v>0.33</v>
      </c>
      <c r="E2419">
        <v>24.75</v>
      </c>
      <c r="F2419">
        <v>1.18</v>
      </c>
      <c r="G2419">
        <v>7.0000000000000007E-2</v>
      </c>
    </row>
    <row r="2420" spans="1:7" hidden="1">
      <c r="A2420">
        <v>187</v>
      </c>
      <c r="B2420" t="s">
        <v>1155</v>
      </c>
      <c r="C2420" t="s">
        <v>959</v>
      </c>
      <c r="D2420">
        <v>7.3</v>
      </c>
      <c r="E2420">
        <v>18.309999999999999</v>
      </c>
      <c r="F2420">
        <v>19.09</v>
      </c>
      <c r="G2420">
        <v>0.01</v>
      </c>
    </row>
    <row r="2421" spans="1:7" hidden="1">
      <c r="A2421">
        <v>187</v>
      </c>
      <c r="B2421" t="s">
        <v>1155</v>
      </c>
      <c r="C2421" t="s">
        <v>960</v>
      </c>
      <c r="D2421">
        <v>6.6</v>
      </c>
      <c r="E2421">
        <v>18.399999999999999</v>
      </c>
      <c r="F2421">
        <v>17.350000000000001</v>
      </c>
      <c r="G2421">
        <v>0.02</v>
      </c>
    </row>
    <row r="2422" spans="1:7" hidden="1">
      <c r="A2422">
        <v>187</v>
      </c>
      <c r="B2422" t="s">
        <v>1155</v>
      </c>
      <c r="C2422" t="s">
        <v>961</v>
      </c>
      <c r="D2422">
        <v>2.61</v>
      </c>
      <c r="E2422">
        <v>20.059999999999999</v>
      </c>
      <c r="F2422">
        <v>7.47</v>
      </c>
      <c r="G2422">
        <v>0</v>
      </c>
    </row>
    <row r="2423" spans="1:7" hidden="1">
      <c r="A2423">
        <v>187</v>
      </c>
      <c r="B2423" t="s">
        <v>1155</v>
      </c>
      <c r="C2423" t="s">
        <v>962</v>
      </c>
      <c r="D2423">
        <v>1.33</v>
      </c>
      <c r="E2423">
        <v>24.72</v>
      </c>
      <c r="F2423">
        <v>4.71</v>
      </c>
      <c r="G2423">
        <v>0</v>
      </c>
    </row>
    <row r="2424" spans="1:7" hidden="1">
      <c r="A2424">
        <v>187</v>
      </c>
      <c r="B2424" t="s">
        <v>1155</v>
      </c>
      <c r="C2424" t="s">
        <v>963</v>
      </c>
      <c r="D2424">
        <v>2.54</v>
      </c>
      <c r="E2424">
        <v>18.13</v>
      </c>
      <c r="F2424">
        <v>6.58</v>
      </c>
      <c r="G2424">
        <v>0</v>
      </c>
    </row>
    <row r="2425" spans="1:7" hidden="1">
      <c r="A2425">
        <v>187</v>
      </c>
      <c r="B2425" t="s">
        <v>1155</v>
      </c>
      <c r="C2425" t="s">
        <v>964</v>
      </c>
      <c r="D2425">
        <v>0.17</v>
      </c>
      <c r="E2425">
        <v>21.87</v>
      </c>
      <c r="F2425">
        <v>0.52</v>
      </c>
      <c r="G2425">
        <v>0</v>
      </c>
    </row>
    <row r="2426" spans="1:7" hidden="1">
      <c r="A2426">
        <v>187</v>
      </c>
      <c r="B2426" t="s">
        <v>1155</v>
      </c>
      <c r="C2426" t="s">
        <v>965</v>
      </c>
      <c r="D2426">
        <v>1.88</v>
      </c>
      <c r="E2426">
        <v>24.75</v>
      </c>
      <c r="F2426">
        <v>6.63</v>
      </c>
      <c r="G2426">
        <v>0</v>
      </c>
    </row>
    <row r="2427" spans="1:7">
      <c r="A2427">
        <v>187</v>
      </c>
      <c r="B2427" t="s">
        <v>1155</v>
      </c>
      <c r="C2427" t="s">
        <v>24</v>
      </c>
      <c r="D2427">
        <v>22.42</v>
      </c>
      <c r="E2427">
        <v>19.47</v>
      </c>
      <c r="F2427">
        <v>62.36</v>
      </c>
      <c r="G2427">
        <v>0.03</v>
      </c>
    </row>
    <row r="2428" spans="1:7" hidden="1">
      <c r="A2428">
        <v>187</v>
      </c>
      <c r="B2428" t="s">
        <v>1155</v>
      </c>
      <c r="C2428" t="s">
        <v>966</v>
      </c>
      <c r="D2428">
        <v>0</v>
      </c>
      <c r="E2428">
        <v>18.05</v>
      </c>
      <c r="F2428">
        <v>0</v>
      </c>
      <c r="G2428">
        <v>0</v>
      </c>
    </row>
    <row r="2429" spans="1:7" hidden="1">
      <c r="A2429">
        <v>187</v>
      </c>
      <c r="B2429" t="s">
        <v>1155</v>
      </c>
      <c r="C2429" t="s">
        <v>967</v>
      </c>
      <c r="D2429">
        <v>0.52</v>
      </c>
      <c r="E2429">
        <v>17.91</v>
      </c>
      <c r="F2429">
        <v>1.32</v>
      </c>
      <c r="G2429">
        <v>0</v>
      </c>
    </row>
    <row r="2430" spans="1:7" hidden="1">
      <c r="A2430">
        <v>187</v>
      </c>
      <c r="B2430" t="s">
        <v>1155</v>
      </c>
      <c r="C2430" t="s">
        <v>968</v>
      </c>
      <c r="D2430">
        <v>2.0099999999999998</v>
      </c>
      <c r="E2430">
        <v>18.09</v>
      </c>
      <c r="F2430">
        <v>5.21</v>
      </c>
      <c r="G2430">
        <v>0</v>
      </c>
    </row>
    <row r="2431" spans="1:7" hidden="1">
      <c r="A2431">
        <v>187</v>
      </c>
      <c r="B2431" t="s">
        <v>1155</v>
      </c>
      <c r="C2431" t="s">
        <v>969</v>
      </c>
      <c r="D2431">
        <v>0.27</v>
      </c>
      <c r="E2431">
        <v>24.75</v>
      </c>
      <c r="F2431">
        <v>0.97</v>
      </c>
      <c r="G2431">
        <v>0</v>
      </c>
    </row>
    <row r="2432" spans="1:7" hidden="1">
      <c r="A2432">
        <v>187</v>
      </c>
      <c r="B2432" t="s">
        <v>1155</v>
      </c>
      <c r="C2432" t="s">
        <v>970</v>
      </c>
      <c r="D2432">
        <v>0.5</v>
      </c>
      <c r="E2432">
        <v>24.75</v>
      </c>
      <c r="F2432">
        <v>1.76</v>
      </c>
      <c r="G2432">
        <v>0</v>
      </c>
    </row>
    <row r="2433" spans="1:7" hidden="1">
      <c r="A2433">
        <v>188</v>
      </c>
      <c r="B2433" t="s">
        <v>1156</v>
      </c>
      <c r="C2433" t="s">
        <v>959</v>
      </c>
      <c r="D2433">
        <v>6.29</v>
      </c>
      <c r="E2433">
        <v>18.309999999999999</v>
      </c>
      <c r="F2433">
        <v>16.440000000000001</v>
      </c>
      <c r="G2433">
        <v>0</v>
      </c>
    </row>
    <row r="2434" spans="1:7" hidden="1">
      <c r="A2434">
        <v>188</v>
      </c>
      <c r="B2434" t="s">
        <v>1156</v>
      </c>
      <c r="C2434" t="s">
        <v>960</v>
      </c>
      <c r="D2434">
        <v>5.65</v>
      </c>
      <c r="E2434">
        <v>18.399999999999999</v>
      </c>
      <c r="F2434">
        <v>14.84</v>
      </c>
      <c r="G2434">
        <v>0</v>
      </c>
    </row>
    <row r="2435" spans="1:7" hidden="1">
      <c r="A2435">
        <v>188</v>
      </c>
      <c r="B2435" t="s">
        <v>1156</v>
      </c>
      <c r="C2435" t="s">
        <v>961</v>
      </c>
      <c r="D2435">
        <v>2.23</v>
      </c>
      <c r="E2435">
        <v>20.059999999999999</v>
      </c>
      <c r="F2435">
        <v>6.39</v>
      </c>
      <c r="G2435">
        <v>0</v>
      </c>
    </row>
    <row r="2436" spans="1:7" hidden="1">
      <c r="A2436">
        <v>188</v>
      </c>
      <c r="B2436" t="s">
        <v>1156</v>
      </c>
      <c r="C2436" t="s">
        <v>962</v>
      </c>
      <c r="D2436">
        <v>1.52</v>
      </c>
      <c r="E2436">
        <v>24.72</v>
      </c>
      <c r="F2436">
        <v>5.37</v>
      </c>
      <c r="G2436">
        <v>0</v>
      </c>
    </row>
    <row r="2437" spans="1:7" hidden="1">
      <c r="A2437">
        <v>188</v>
      </c>
      <c r="B2437" t="s">
        <v>1156</v>
      </c>
      <c r="C2437" t="s">
        <v>963</v>
      </c>
      <c r="D2437">
        <v>3.04</v>
      </c>
      <c r="E2437">
        <v>18.13</v>
      </c>
      <c r="F2437">
        <v>7.87</v>
      </c>
      <c r="G2437">
        <v>0</v>
      </c>
    </row>
    <row r="2438" spans="1:7" hidden="1">
      <c r="A2438">
        <v>188</v>
      </c>
      <c r="B2438" t="s">
        <v>1156</v>
      </c>
      <c r="C2438" t="s">
        <v>964</v>
      </c>
      <c r="D2438">
        <v>0.28999999999999998</v>
      </c>
      <c r="E2438">
        <v>21.87</v>
      </c>
      <c r="F2438">
        <v>0.91</v>
      </c>
      <c r="G2438">
        <v>0</v>
      </c>
    </row>
    <row r="2439" spans="1:7" hidden="1">
      <c r="A2439">
        <v>188</v>
      </c>
      <c r="B2439" t="s">
        <v>1156</v>
      </c>
      <c r="C2439" t="s">
        <v>965</v>
      </c>
      <c r="D2439">
        <v>2.29</v>
      </c>
      <c r="E2439">
        <v>24.75</v>
      </c>
      <c r="F2439">
        <v>8.1</v>
      </c>
      <c r="G2439">
        <v>0</v>
      </c>
    </row>
    <row r="2440" spans="1:7">
      <c r="A2440">
        <v>188</v>
      </c>
      <c r="B2440" t="s">
        <v>1156</v>
      </c>
      <c r="C2440" t="s">
        <v>24</v>
      </c>
      <c r="D2440">
        <v>21.3</v>
      </c>
      <c r="E2440">
        <v>19.690000000000001</v>
      </c>
      <c r="F2440">
        <v>59.92</v>
      </c>
      <c r="G2440">
        <v>0</v>
      </c>
    </row>
    <row r="2441" spans="1:7" hidden="1">
      <c r="A2441">
        <v>188</v>
      </c>
      <c r="B2441" t="s">
        <v>1156</v>
      </c>
      <c r="C2441" t="s">
        <v>966</v>
      </c>
      <c r="D2441">
        <v>0</v>
      </c>
      <c r="E2441">
        <v>18.05</v>
      </c>
      <c r="F2441">
        <v>0</v>
      </c>
      <c r="G2441">
        <v>0</v>
      </c>
    </row>
    <row r="2442" spans="1:7" hidden="1">
      <c r="A2442">
        <v>188</v>
      </c>
      <c r="B2442" t="s">
        <v>1156</v>
      </c>
      <c r="C2442" t="s">
        <v>967</v>
      </c>
      <c r="D2442">
        <v>0.49</v>
      </c>
      <c r="E2442">
        <v>17.91</v>
      </c>
      <c r="F2442">
        <v>1.26</v>
      </c>
      <c r="G2442">
        <v>0</v>
      </c>
    </row>
    <row r="2443" spans="1:7" hidden="1">
      <c r="A2443">
        <v>188</v>
      </c>
      <c r="B2443" t="s">
        <v>1156</v>
      </c>
      <c r="C2443" t="s">
        <v>968</v>
      </c>
      <c r="D2443">
        <v>2.57</v>
      </c>
      <c r="E2443">
        <v>18.09</v>
      </c>
      <c r="F2443">
        <v>6.65</v>
      </c>
      <c r="G2443">
        <v>0</v>
      </c>
    </row>
    <row r="2444" spans="1:7" hidden="1">
      <c r="A2444">
        <v>188</v>
      </c>
      <c r="B2444" t="s">
        <v>1156</v>
      </c>
      <c r="C2444" t="s">
        <v>969</v>
      </c>
      <c r="D2444">
        <v>0.45</v>
      </c>
      <c r="E2444">
        <v>24.75</v>
      </c>
      <c r="F2444">
        <v>1.61</v>
      </c>
      <c r="G2444">
        <v>0</v>
      </c>
    </row>
    <row r="2445" spans="1:7" hidden="1">
      <c r="A2445">
        <v>188</v>
      </c>
      <c r="B2445" t="s">
        <v>1156</v>
      </c>
      <c r="C2445" t="s">
        <v>970</v>
      </c>
      <c r="D2445">
        <v>0.46</v>
      </c>
      <c r="E2445">
        <v>24.75</v>
      </c>
      <c r="F2445">
        <v>1.63</v>
      </c>
      <c r="G2445">
        <v>0</v>
      </c>
    </row>
    <row r="2446" spans="1:7" hidden="1">
      <c r="A2446">
        <v>189</v>
      </c>
      <c r="B2446" t="s">
        <v>1157</v>
      </c>
      <c r="C2446" t="s">
        <v>959</v>
      </c>
      <c r="D2446">
        <v>7.72</v>
      </c>
      <c r="E2446">
        <v>18.309999999999999</v>
      </c>
      <c r="F2446">
        <v>20.18</v>
      </c>
      <c r="G2446">
        <v>0.02</v>
      </c>
    </row>
    <row r="2447" spans="1:7" hidden="1">
      <c r="A2447">
        <v>189</v>
      </c>
      <c r="B2447" t="s">
        <v>1157</v>
      </c>
      <c r="C2447" t="s">
        <v>960</v>
      </c>
      <c r="D2447">
        <v>7.41</v>
      </c>
      <c r="E2447">
        <v>18.399999999999999</v>
      </c>
      <c r="F2447">
        <v>19.489999999999998</v>
      </c>
      <c r="G2447">
        <v>0.04</v>
      </c>
    </row>
    <row r="2448" spans="1:7" hidden="1">
      <c r="A2448">
        <v>189</v>
      </c>
      <c r="B2448" t="s">
        <v>1157</v>
      </c>
      <c r="C2448" t="s">
        <v>961</v>
      </c>
      <c r="D2448">
        <v>2.87</v>
      </c>
      <c r="E2448">
        <v>20.059999999999999</v>
      </c>
      <c r="F2448">
        <v>8.2200000000000006</v>
      </c>
      <c r="G2448">
        <v>0</v>
      </c>
    </row>
    <row r="2449" spans="1:7" hidden="1">
      <c r="A2449">
        <v>189</v>
      </c>
      <c r="B2449" t="s">
        <v>1157</v>
      </c>
      <c r="C2449" t="s">
        <v>962</v>
      </c>
      <c r="D2449">
        <v>1.26</v>
      </c>
      <c r="E2449">
        <v>24.72</v>
      </c>
      <c r="F2449">
        <v>4.4400000000000004</v>
      </c>
      <c r="G2449">
        <v>0</v>
      </c>
    </row>
    <row r="2450" spans="1:7" hidden="1">
      <c r="A2450">
        <v>189</v>
      </c>
      <c r="B2450" t="s">
        <v>1157</v>
      </c>
      <c r="C2450" t="s">
        <v>963</v>
      </c>
      <c r="D2450">
        <v>2.21</v>
      </c>
      <c r="E2450">
        <v>18.13</v>
      </c>
      <c r="F2450">
        <v>5.72</v>
      </c>
      <c r="G2450">
        <v>0</v>
      </c>
    </row>
    <row r="2451" spans="1:7" hidden="1">
      <c r="A2451">
        <v>189</v>
      </c>
      <c r="B2451" t="s">
        <v>1157</v>
      </c>
      <c r="C2451" t="s">
        <v>964</v>
      </c>
      <c r="D2451">
        <v>7.0000000000000007E-2</v>
      </c>
      <c r="E2451">
        <v>21.87</v>
      </c>
      <c r="F2451">
        <v>0.23</v>
      </c>
      <c r="G2451">
        <v>0</v>
      </c>
    </row>
    <row r="2452" spans="1:7" hidden="1">
      <c r="A2452">
        <v>189</v>
      </c>
      <c r="B2452" t="s">
        <v>1157</v>
      </c>
      <c r="C2452" t="s">
        <v>965</v>
      </c>
      <c r="D2452">
        <v>1.56</v>
      </c>
      <c r="E2452">
        <v>24.75</v>
      </c>
      <c r="F2452">
        <v>5.52</v>
      </c>
      <c r="G2452">
        <v>0</v>
      </c>
    </row>
    <row r="2453" spans="1:7">
      <c r="A2453">
        <v>189</v>
      </c>
      <c r="B2453" t="s">
        <v>1157</v>
      </c>
      <c r="C2453" t="s">
        <v>24</v>
      </c>
      <c r="D2453">
        <v>23.1</v>
      </c>
      <c r="E2453">
        <v>19.329999999999998</v>
      </c>
      <c r="F2453">
        <v>63.8</v>
      </c>
      <c r="G2453">
        <v>0.06</v>
      </c>
    </row>
    <row r="2454" spans="1:7" hidden="1">
      <c r="A2454">
        <v>189</v>
      </c>
      <c r="B2454" t="s">
        <v>1157</v>
      </c>
      <c r="C2454" t="s">
        <v>966</v>
      </c>
      <c r="D2454">
        <v>0</v>
      </c>
      <c r="E2454">
        <v>18.05</v>
      </c>
      <c r="F2454">
        <v>0</v>
      </c>
      <c r="G2454">
        <v>0</v>
      </c>
    </row>
    <row r="2455" spans="1:7" hidden="1">
      <c r="A2455">
        <v>189</v>
      </c>
      <c r="B2455" t="s">
        <v>1157</v>
      </c>
      <c r="C2455" t="s">
        <v>967</v>
      </c>
      <c r="D2455">
        <v>0.55000000000000004</v>
      </c>
      <c r="E2455">
        <v>17.91</v>
      </c>
      <c r="F2455">
        <v>1.42</v>
      </c>
      <c r="G2455">
        <v>0</v>
      </c>
    </row>
    <row r="2456" spans="1:7" hidden="1">
      <c r="A2456">
        <v>189</v>
      </c>
      <c r="B2456" t="s">
        <v>1157</v>
      </c>
      <c r="C2456" t="s">
        <v>968</v>
      </c>
      <c r="D2456">
        <v>1.7</v>
      </c>
      <c r="E2456">
        <v>18.09</v>
      </c>
      <c r="F2456">
        <v>4.3899999999999997</v>
      </c>
      <c r="G2456">
        <v>0</v>
      </c>
    </row>
    <row r="2457" spans="1:7" hidden="1">
      <c r="A2457">
        <v>189</v>
      </c>
      <c r="B2457" t="s">
        <v>1157</v>
      </c>
      <c r="C2457" t="s">
        <v>969</v>
      </c>
      <c r="D2457">
        <v>0.17</v>
      </c>
      <c r="E2457">
        <v>24.75</v>
      </c>
      <c r="F2457">
        <v>0.61</v>
      </c>
      <c r="G2457">
        <v>0</v>
      </c>
    </row>
    <row r="2458" spans="1:7" hidden="1">
      <c r="A2458">
        <v>189</v>
      </c>
      <c r="B2458" t="s">
        <v>1157</v>
      </c>
      <c r="C2458" t="s">
        <v>970</v>
      </c>
      <c r="D2458">
        <v>0.46</v>
      </c>
      <c r="E2458">
        <v>24.75</v>
      </c>
      <c r="F2458">
        <v>1.61</v>
      </c>
      <c r="G2458">
        <v>0</v>
      </c>
    </row>
    <row r="2459" spans="1:7" hidden="1">
      <c r="A2459">
        <v>190</v>
      </c>
      <c r="B2459" t="s">
        <v>1158</v>
      </c>
      <c r="C2459" t="s">
        <v>959</v>
      </c>
      <c r="D2459">
        <v>7.33</v>
      </c>
      <c r="E2459">
        <v>18.309999999999999</v>
      </c>
      <c r="F2459">
        <v>19.18</v>
      </c>
      <c r="G2459">
        <v>0.08</v>
      </c>
    </row>
    <row r="2460" spans="1:7" hidden="1">
      <c r="A2460">
        <v>190</v>
      </c>
      <c r="B2460" t="s">
        <v>1158</v>
      </c>
      <c r="C2460" t="s">
        <v>960</v>
      </c>
      <c r="D2460">
        <v>6.42</v>
      </c>
      <c r="E2460">
        <v>18.399999999999999</v>
      </c>
      <c r="F2460">
        <v>16.88</v>
      </c>
      <c r="G2460">
        <v>0.14000000000000001</v>
      </c>
    </row>
    <row r="2461" spans="1:7" hidden="1">
      <c r="A2461">
        <v>190</v>
      </c>
      <c r="B2461" t="s">
        <v>1158</v>
      </c>
      <c r="C2461" t="s">
        <v>961</v>
      </c>
      <c r="D2461">
        <v>2.5</v>
      </c>
      <c r="E2461">
        <v>20.059999999999999</v>
      </c>
      <c r="F2461">
        <v>7.16</v>
      </c>
      <c r="G2461">
        <v>0</v>
      </c>
    </row>
    <row r="2462" spans="1:7" hidden="1">
      <c r="A2462">
        <v>190</v>
      </c>
      <c r="B2462" t="s">
        <v>1158</v>
      </c>
      <c r="C2462" t="s">
        <v>962</v>
      </c>
      <c r="D2462">
        <v>1</v>
      </c>
      <c r="E2462">
        <v>24.72</v>
      </c>
      <c r="F2462">
        <v>3.54</v>
      </c>
      <c r="G2462">
        <v>0</v>
      </c>
    </row>
    <row r="2463" spans="1:7" hidden="1">
      <c r="A2463">
        <v>190</v>
      </c>
      <c r="B2463" t="s">
        <v>1158</v>
      </c>
      <c r="C2463" t="s">
        <v>963</v>
      </c>
      <c r="D2463">
        <v>2.52</v>
      </c>
      <c r="E2463">
        <v>18.13</v>
      </c>
      <c r="F2463">
        <v>6.53</v>
      </c>
      <c r="G2463">
        <v>0.01</v>
      </c>
    </row>
    <row r="2464" spans="1:7" hidden="1">
      <c r="A2464">
        <v>190</v>
      </c>
      <c r="B2464" t="s">
        <v>1158</v>
      </c>
      <c r="C2464" t="s">
        <v>964</v>
      </c>
      <c r="D2464">
        <v>0.14000000000000001</v>
      </c>
      <c r="E2464">
        <v>21.87</v>
      </c>
      <c r="F2464">
        <v>0.44</v>
      </c>
      <c r="G2464">
        <v>0</v>
      </c>
    </row>
    <row r="2465" spans="1:7" hidden="1">
      <c r="A2465">
        <v>190</v>
      </c>
      <c r="B2465" t="s">
        <v>1158</v>
      </c>
      <c r="C2465" t="s">
        <v>965</v>
      </c>
      <c r="D2465">
        <v>1.79</v>
      </c>
      <c r="E2465">
        <v>24.75</v>
      </c>
      <c r="F2465">
        <v>6.33</v>
      </c>
      <c r="G2465">
        <v>0</v>
      </c>
    </row>
    <row r="2466" spans="1:7">
      <c r="A2466">
        <v>190</v>
      </c>
      <c r="B2466" t="s">
        <v>1158</v>
      </c>
      <c r="C2466" t="s">
        <v>24</v>
      </c>
      <c r="D2466">
        <v>21.71</v>
      </c>
      <c r="E2466">
        <v>19.37</v>
      </c>
      <c r="F2466">
        <v>60.06</v>
      </c>
      <c r="G2466">
        <v>0.23</v>
      </c>
    </row>
    <row r="2467" spans="1:7" hidden="1">
      <c r="A2467">
        <v>190</v>
      </c>
      <c r="B2467" t="s">
        <v>1158</v>
      </c>
      <c r="C2467" t="s">
        <v>966</v>
      </c>
      <c r="D2467">
        <v>0.24</v>
      </c>
      <c r="E2467">
        <v>18.05</v>
      </c>
      <c r="F2467">
        <v>0.63</v>
      </c>
      <c r="G2467">
        <v>0.23</v>
      </c>
    </row>
    <row r="2468" spans="1:7" hidden="1">
      <c r="A2468">
        <v>190</v>
      </c>
      <c r="B2468" t="s">
        <v>1158</v>
      </c>
      <c r="C2468" t="s">
        <v>967</v>
      </c>
      <c r="D2468">
        <v>0.42</v>
      </c>
      <c r="E2468">
        <v>17.91</v>
      </c>
      <c r="F2468">
        <v>1.08</v>
      </c>
      <c r="G2468">
        <v>0</v>
      </c>
    </row>
    <row r="2469" spans="1:7" hidden="1">
      <c r="A2469">
        <v>190</v>
      </c>
      <c r="B2469" t="s">
        <v>1158</v>
      </c>
      <c r="C2469" t="s">
        <v>968</v>
      </c>
      <c r="D2469">
        <v>2.23</v>
      </c>
      <c r="E2469">
        <v>18.09</v>
      </c>
      <c r="F2469">
        <v>5.77</v>
      </c>
      <c r="G2469">
        <v>0.01</v>
      </c>
    </row>
    <row r="2470" spans="1:7" hidden="1">
      <c r="A2470">
        <v>190</v>
      </c>
      <c r="B2470" t="s">
        <v>1158</v>
      </c>
      <c r="C2470" t="s">
        <v>969</v>
      </c>
      <c r="D2470">
        <v>0.24</v>
      </c>
      <c r="E2470">
        <v>24.75</v>
      </c>
      <c r="F2470">
        <v>0.83</v>
      </c>
      <c r="G2470">
        <v>0</v>
      </c>
    </row>
    <row r="2471" spans="1:7" hidden="1">
      <c r="A2471">
        <v>190</v>
      </c>
      <c r="B2471" t="s">
        <v>1158</v>
      </c>
      <c r="C2471" t="s">
        <v>970</v>
      </c>
      <c r="D2471">
        <v>0.54</v>
      </c>
      <c r="E2471">
        <v>24.75</v>
      </c>
      <c r="F2471">
        <v>1.91</v>
      </c>
      <c r="G2471">
        <v>0.01</v>
      </c>
    </row>
    <row r="2472" spans="1:7" hidden="1">
      <c r="A2472">
        <v>191</v>
      </c>
      <c r="B2472" t="s">
        <v>1159</v>
      </c>
      <c r="C2472" t="s">
        <v>959</v>
      </c>
      <c r="D2472">
        <v>6.53</v>
      </c>
      <c r="E2472">
        <v>18.309999999999999</v>
      </c>
      <c r="F2472">
        <v>17.100000000000001</v>
      </c>
      <c r="G2472">
        <v>0.08</v>
      </c>
    </row>
    <row r="2473" spans="1:7" hidden="1">
      <c r="A2473">
        <v>191</v>
      </c>
      <c r="B2473" t="s">
        <v>1159</v>
      </c>
      <c r="C2473" t="s">
        <v>960</v>
      </c>
      <c r="D2473">
        <v>5.75</v>
      </c>
      <c r="E2473">
        <v>18.399999999999999</v>
      </c>
      <c r="F2473">
        <v>15.12</v>
      </c>
      <c r="G2473">
        <v>0.22</v>
      </c>
    </row>
    <row r="2474" spans="1:7" hidden="1">
      <c r="A2474">
        <v>191</v>
      </c>
      <c r="B2474" t="s">
        <v>1159</v>
      </c>
      <c r="C2474" t="s">
        <v>961</v>
      </c>
      <c r="D2474">
        <v>2.27</v>
      </c>
      <c r="E2474">
        <v>20.059999999999999</v>
      </c>
      <c r="F2474">
        <v>6.51</v>
      </c>
      <c r="G2474">
        <v>0</v>
      </c>
    </row>
    <row r="2475" spans="1:7" hidden="1">
      <c r="A2475">
        <v>191</v>
      </c>
      <c r="B2475" t="s">
        <v>1159</v>
      </c>
      <c r="C2475" t="s">
        <v>962</v>
      </c>
      <c r="D2475">
        <v>0.81</v>
      </c>
      <c r="E2475">
        <v>24.72</v>
      </c>
      <c r="F2475">
        <v>2.86</v>
      </c>
      <c r="G2475">
        <v>0.01</v>
      </c>
    </row>
    <row r="2476" spans="1:7" hidden="1">
      <c r="A2476">
        <v>191</v>
      </c>
      <c r="B2476" t="s">
        <v>1159</v>
      </c>
      <c r="C2476" t="s">
        <v>963</v>
      </c>
      <c r="D2476">
        <v>2.48</v>
      </c>
      <c r="E2476">
        <v>18.13</v>
      </c>
      <c r="F2476">
        <v>6.42</v>
      </c>
      <c r="G2476">
        <v>0</v>
      </c>
    </row>
    <row r="2477" spans="1:7" hidden="1">
      <c r="A2477">
        <v>191</v>
      </c>
      <c r="B2477" t="s">
        <v>1159</v>
      </c>
      <c r="C2477" t="s">
        <v>964</v>
      </c>
      <c r="D2477">
        <v>0.21</v>
      </c>
      <c r="E2477">
        <v>21.87</v>
      </c>
      <c r="F2477">
        <v>0.66</v>
      </c>
      <c r="G2477">
        <v>0</v>
      </c>
    </row>
    <row r="2478" spans="1:7" hidden="1">
      <c r="A2478">
        <v>191</v>
      </c>
      <c r="B2478" t="s">
        <v>1159</v>
      </c>
      <c r="C2478" t="s">
        <v>965</v>
      </c>
      <c r="D2478">
        <v>1.83</v>
      </c>
      <c r="E2478">
        <v>24.75</v>
      </c>
      <c r="F2478">
        <v>6.47</v>
      </c>
      <c r="G2478">
        <v>0</v>
      </c>
    </row>
    <row r="2479" spans="1:7">
      <c r="A2479">
        <v>191</v>
      </c>
      <c r="B2479" t="s">
        <v>1159</v>
      </c>
      <c r="C2479" t="s">
        <v>24</v>
      </c>
      <c r="D2479">
        <v>19.89</v>
      </c>
      <c r="E2479">
        <v>19.399999999999999</v>
      </c>
      <c r="F2479">
        <v>55.13</v>
      </c>
      <c r="G2479">
        <v>0.31</v>
      </c>
    </row>
    <row r="2480" spans="1:7" hidden="1">
      <c r="A2480">
        <v>191</v>
      </c>
      <c r="B2480" t="s">
        <v>1159</v>
      </c>
      <c r="C2480" t="s">
        <v>966</v>
      </c>
      <c r="D2480">
        <v>0.11</v>
      </c>
      <c r="E2480">
        <v>18.05</v>
      </c>
      <c r="F2480">
        <v>0.28000000000000003</v>
      </c>
      <c r="G2480">
        <v>0.08</v>
      </c>
    </row>
    <row r="2481" spans="1:7" hidden="1">
      <c r="A2481">
        <v>191</v>
      </c>
      <c r="B2481" t="s">
        <v>1159</v>
      </c>
      <c r="C2481" t="s">
        <v>967</v>
      </c>
      <c r="D2481">
        <v>0.47</v>
      </c>
      <c r="E2481">
        <v>17.91</v>
      </c>
      <c r="F2481">
        <v>1.2</v>
      </c>
      <c r="G2481">
        <v>0</v>
      </c>
    </row>
    <row r="2482" spans="1:7" hidden="1">
      <c r="A2482">
        <v>191</v>
      </c>
      <c r="B2482" t="s">
        <v>1159</v>
      </c>
      <c r="C2482" t="s">
        <v>968</v>
      </c>
      <c r="D2482">
        <v>2.63</v>
      </c>
      <c r="E2482">
        <v>18.09</v>
      </c>
      <c r="F2482">
        <v>6.8</v>
      </c>
      <c r="G2482">
        <v>0</v>
      </c>
    </row>
    <row r="2483" spans="1:7" hidden="1">
      <c r="A2483">
        <v>191</v>
      </c>
      <c r="B2483" t="s">
        <v>1159</v>
      </c>
      <c r="C2483" t="s">
        <v>969</v>
      </c>
      <c r="D2483">
        <v>0.47</v>
      </c>
      <c r="E2483">
        <v>24.75</v>
      </c>
      <c r="F2483">
        <v>1.65</v>
      </c>
      <c r="G2483">
        <v>0</v>
      </c>
    </row>
    <row r="2484" spans="1:7" hidden="1">
      <c r="A2484">
        <v>191</v>
      </c>
      <c r="B2484" t="s">
        <v>1159</v>
      </c>
      <c r="C2484" t="s">
        <v>970</v>
      </c>
      <c r="D2484">
        <v>0.52</v>
      </c>
      <c r="E2484">
        <v>24.75</v>
      </c>
      <c r="F2484">
        <v>1.83</v>
      </c>
      <c r="G2484">
        <v>0</v>
      </c>
    </row>
    <row r="2485" spans="1:7" hidden="1">
      <c r="A2485">
        <v>192</v>
      </c>
      <c r="B2485" t="s">
        <v>1160</v>
      </c>
      <c r="C2485" t="s">
        <v>959</v>
      </c>
      <c r="D2485">
        <v>7.55</v>
      </c>
      <c r="E2485">
        <v>18.309999999999999</v>
      </c>
      <c r="F2485">
        <v>19.75</v>
      </c>
      <c r="G2485">
        <v>0.02</v>
      </c>
    </row>
    <row r="2486" spans="1:7" hidden="1">
      <c r="A2486">
        <v>192</v>
      </c>
      <c r="B2486" t="s">
        <v>1160</v>
      </c>
      <c r="C2486" t="s">
        <v>960</v>
      </c>
      <c r="D2486">
        <v>7.15</v>
      </c>
      <c r="E2486">
        <v>18.399999999999999</v>
      </c>
      <c r="F2486">
        <v>18.78</v>
      </c>
      <c r="G2486">
        <v>0.03</v>
      </c>
    </row>
    <row r="2487" spans="1:7" hidden="1">
      <c r="A2487">
        <v>192</v>
      </c>
      <c r="B2487" t="s">
        <v>1160</v>
      </c>
      <c r="C2487" t="s">
        <v>961</v>
      </c>
      <c r="D2487">
        <v>2.68</v>
      </c>
      <c r="E2487">
        <v>20.059999999999999</v>
      </c>
      <c r="F2487">
        <v>7.67</v>
      </c>
      <c r="G2487">
        <v>0</v>
      </c>
    </row>
    <row r="2488" spans="1:7" hidden="1">
      <c r="A2488">
        <v>192</v>
      </c>
      <c r="B2488" t="s">
        <v>1160</v>
      </c>
      <c r="C2488" t="s">
        <v>962</v>
      </c>
      <c r="D2488">
        <v>1.25</v>
      </c>
      <c r="E2488">
        <v>24.72</v>
      </c>
      <c r="F2488">
        <v>4.42</v>
      </c>
      <c r="G2488">
        <v>0</v>
      </c>
    </row>
    <row r="2489" spans="1:7" hidden="1">
      <c r="A2489">
        <v>192</v>
      </c>
      <c r="B2489" t="s">
        <v>1160</v>
      </c>
      <c r="C2489" t="s">
        <v>963</v>
      </c>
      <c r="D2489">
        <v>2.5</v>
      </c>
      <c r="E2489">
        <v>18.13</v>
      </c>
      <c r="F2489">
        <v>6.48</v>
      </c>
      <c r="G2489">
        <v>0.01</v>
      </c>
    </row>
    <row r="2490" spans="1:7" hidden="1">
      <c r="A2490">
        <v>192</v>
      </c>
      <c r="B2490" t="s">
        <v>1160</v>
      </c>
      <c r="C2490" t="s">
        <v>964</v>
      </c>
      <c r="D2490">
        <v>0.12</v>
      </c>
      <c r="E2490">
        <v>21.87</v>
      </c>
      <c r="F2490">
        <v>0.36</v>
      </c>
      <c r="G2490">
        <v>0</v>
      </c>
    </row>
    <row r="2491" spans="1:7" hidden="1">
      <c r="A2491">
        <v>192</v>
      </c>
      <c r="B2491" t="s">
        <v>1160</v>
      </c>
      <c r="C2491" t="s">
        <v>965</v>
      </c>
      <c r="D2491">
        <v>1.72</v>
      </c>
      <c r="E2491">
        <v>24.75</v>
      </c>
      <c r="F2491">
        <v>6.08</v>
      </c>
      <c r="G2491">
        <v>0</v>
      </c>
    </row>
    <row r="2492" spans="1:7">
      <c r="A2492">
        <v>192</v>
      </c>
      <c r="B2492" t="s">
        <v>1160</v>
      </c>
      <c r="C2492" t="s">
        <v>24</v>
      </c>
      <c r="D2492">
        <v>22.96</v>
      </c>
      <c r="E2492">
        <v>19.37</v>
      </c>
      <c r="F2492">
        <v>63.55</v>
      </c>
      <c r="G2492">
        <v>0.06</v>
      </c>
    </row>
    <row r="2493" spans="1:7" hidden="1">
      <c r="A2493">
        <v>192</v>
      </c>
      <c r="B2493" t="s">
        <v>1160</v>
      </c>
      <c r="C2493" t="s">
        <v>966</v>
      </c>
      <c r="D2493">
        <v>0.14000000000000001</v>
      </c>
      <c r="E2493">
        <v>18.05</v>
      </c>
      <c r="F2493">
        <v>0.37</v>
      </c>
      <c r="G2493">
        <v>0.14000000000000001</v>
      </c>
    </row>
    <row r="2494" spans="1:7" hidden="1">
      <c r="A2494">
        <v>192</v>
      </c>
      <c r="B2494" t="s">
        <v>1160</v>
      </c>
      <c r="C2494" t="s">
        <v>967</v>
      </c>
      <c r="D2494">
        <v>0.39</v>
      </c>
      <c r="E2494">
        <v>17.91</v>
      </c>
      <c r="F2494">
        <v>1.01</v>
      </c>
      <c r="G2494">
        <v>0</v>
      </c>
    </row>
    <row r="2495" spans="1:7" hidden="1">
      <c r="A2495">
        <v>192</v>
      </c>
      <c r="B2495" t="s">
        <v>1160</v>
      </c>
      <c r="C2495" t="s">
        <v>968</v>
      </c>
      <c r="D2495">
        <v>2.0099999999999998</v>
      </c>
      <c r="E2495">
        <v>18.09</v>
      </c>
      <c r="F2495">
        <v>5.19</v>
      </c>
      <c r="G2495">
        <v>0.02</v>
      </c>
    </row>
    <row r="2496" spans="1:7" hidden="1">
      <c r="A2496">
        <v>192</v>
      </c>
      <c r="B2496" t="s">
        <v>1160</v>
      </c>
      <c r="C2496" t="s">
        <v>969</v>
      </c>
      <c r="D2496">
        <v>0.11</v>
      </c>
      <c r="E2496">
        <v>24.75</v>
      </c>
      <c r="F2496">
        <v>0.38</v>
      </c>
      <c r="G2496">
        <v>0</v>
      </c>
    </row>
    <row r="2497" spans="1:7" hidden="1">
      <c r="A2497">
        <v>192</v>
      </c>
      <c r="B2497" t="s">
        <v>1160</v>
      </c>
      <c r="C2497" t="s">
        <v>970</v>
      </c>
      <c r="D2497">
        <v>0.5</v>
      </c>
      <c r="E2497">
        <v>24.75</v>
      </c>
      <c r="F2497">
        <v>1.77</v>
      </c>
      <c r="G2497">
        <v>0.02</v>
      </c>
    </row>
    <row r="2498" spans="1:7" hidden="1">
      <c r="A2498">
        <v>193</v>
      </c>
      <c r="B2498" t="s">
        <v>1161</v>
      </c>
      <c r="C2498" t="s">
        <v>959</v>
      </c>
      <c r="D2498">
        <v>9.25</v>
      </c>
      <c r="E2498">
        <v>18.309999999999999</v>
      </c>
      <c r="F2498">
        <v>24.2</v>
      </c>
      <c r="G2498">
        <v>2.88</v>
      </c>
    </row>
    <row r="2499" spans="1:7" hidden="1">
      <c r="A2499">
        <v>193</v>
      </c>
      <c r="B2499" t="s">
        <v>1161</v>
      </c>
      <c r="C2499" t="s">
        <v>960</v>
      </c>
      <c r="D2499">
        <v>9.1199999999999992</v>
      </c>
      <c r="E2499">
        <v>18.399999999999999</v>
      </c>
      <c r="F2499">
        <v>23.97</v>
      </c>
      <c r="G2499">
        <v>4.0199999999999996</v>
      </c>
    </row>
    <row r="2500" spans="1:7" hidden="1">
      <c r="A2500">
        <v>193</v>
      </c>
      <c r="B2500" t="s">
        <v>1161</v>
      </c>
      <c r="C2500" t="s">
        <v>961</v>
      </c>
      <c r="D2500">
        <v>1.45</v>
      </c>
      <c r="E2500">
        <v>20.059999999999999</v>
      </c>
      <c r="F2500">
        <v>4.16</v>
      </c>
      <c r="G2500">
        <v>0.5</v>
      </c>
    </row>
    <row r="2501" spans="1:7" hidden="1">
      <c r="A2501">
        <v>193</v>
      </c>
      <c r="B2501" t="s">
        <v>1161</v>
      </c>
      <c r="C2501" t="s">
        <v>962</v>
      </c>
      <c r="D2501">
        <v>1.36</v>
      </c>
      <c r="E2501">
        <v>24.72</v>
      </c>
      <c r="F2501">
        <v>4.8099999999999996</v>
      </c>
      <c r="G2501">
        <v>0.41</v>
      </c>
    </row>
    <row r="2502" spans="1:7" hidden="1">
      <c r="A2502">
        <v>193</v>
      </c>
      <c r="B2502" t="s">
        <v>1161</v>
      </c>
      <c r="C2502" t="s">
        <v>963</v>
      </c>
      <c r="D2502">
        <v>3.16</v>
      </c>
      <c r="E2502">
        <v>18.13</v>
      </c>
      <c r="F2502">
        <v>8.19</v>
      </c>
      <c r="G2502">
        <v>1.03</v>
      </c>
    </row>
    <row r="2503" spans="1:7" hidden="1">
      <c r="A2503">
        <v>193</v>
      </c>
      <c r="B2503" t="s">
        <v>1161</v>
      </c>
      <c r="C2503" t="s">
        <v>964</v>
      </c>
      <c r="D2503">
        <v>0.08</v>
      </c>
      <c r="E2503">
        <v>21.87</v>
      </c>
      <c r="F2503">
        <v>0.24</v>
      </c>
      <c r="G2503">
        <v>0.02</v>
      </c>
    </row>
    <row r="2504" spans="1:7" hidden="1">
      <c r="A2504">
        <v>193</v>
      </c>
      <c r="B2504" t="s">
        <v>1161</v>
      </c>
      <c r="C2504" t="s">
        <v>965</v>
      </c>
      <c r="D2504">
        <v>2.08</v>
      </c>
      <c r="E2504">
        <v>24.75</v>
      </c>
      <c r="F2504">
        <v>7.35</v>
      </c>
      <c r="G2504">
        <v>0.74</v>
      </c>
    </row>
    <row r="2505" spans="1:7">
      <c r="A2505">
        <v>193</v>
      </c>
      <c r="B2505" t="s">
        <v>1161</v>
      </c>
      <c r="C2505" t="s">
        <v>24</v>
      </c>
      <c r="D2505">
        <v>26.5</v>
      </c>
      <c r="E2505">
        <v>19.260000000000002</v>
      </c>
      <c r="F2505">
        <v>72.92</v>
      </c>
      <c r="G2505">
        <v>9.61</v>
      </c>
    </row>
    <row r="2506" spans="1:7" hidden="1">
      <c r="A2506">
        <v>193</v>
      </c>
      <c r="B2506" t="s">
        <v>1161</v>
      </c>
      <c r="C2506" t="s">
        <v>966</v>
      </c>
      <c r="D2506">
        <v>11.08</v>
      </c>
      <c r="E2506">
        <v>18.05</v>
      </c>
      <c r="F2506">
        <v>28.57</v>
      </c>
      <c r="G2506">
        <v>10.49</v>
      </c>
    </row>
    <row r="2507" spans="1:7" hidden="1">
      <c r="A2507">
        <v>193</v>
      </c>
      <c r="B2507" t="s">
        <v>1161</v>
      </c>
      <c r="C2507" t="s">
        <v>967</v>
      </c>
      <c r="D2507">
        <v>0.37</v>
      </c>
      <c r="E2507">
        <v>17.91</v>
      </c>
      <c r="F2507">
        <v>0.95</v>
      </c>
      <c r="G2507">
        <v>0.06</v>
      </c>
    </row>
    <row r="2508" spans="1:7" hidden="1">
      <c r="A2508">
        <v>193</v>
      </c>
      <c r="B2508" t="s">
        <v>1161</v>
      </c>
      <c r="C2508" t="s">
        <v>968</v>
      </c>
      <c r="D2508">
        <v>1.37</v>
      </c>
      <c r="E2508">
        <v>18.09</v>
      </c>
      <c r="F2508">
        <v>3.53</v>
      </c>
      <c r="G2508">
        <v>0.22</v>
      </c>
    </row>
    <row r="2509" spans="1:7" hidden="1">
      <c r="A2509">
        <v>193</v>
      </c>
      <c r="B2509" t="s">
        <v>1161</v>
      </c>
      <c r="C2509" t="s">
        <v>969</v>
      </c>
      <c r="D2509">
        <v>1.66</v>
      </c>
      <c r="E2509">
        <v>24.75</v>
      </c>
      <c r="F2509">
        <v>5.87</v>
      </c>
      <c r="G2509">
        <v>0.11</v>
      </c>
    </row>
    <row r="2510" spans="1:7" hidden="1">
      <c r="A2510">
        <v>193</v>
      </c>
      <c r="B2510" t="s">
        <v>1161</v>
      </c>
      <c r="C2510" t="s">
        <v>970</v>
      </c>
      <c r="D2510">
        <v>0.36</v>
      </c>
      <c r="E2510">
        <v>24.75</v>
      </c>
      <c r="F2510">
        <v>1.28</v>
      </c>
      <c r="G2510">
        <v>7.0000000000000007E-2</v>
      </c>
    </row>
    <row r="2511" spans="1:7" hidden="1">
      <c r="A2511">
        <v>194</v>
      </c>
      <c r="B2511" t="s">
        <v>1162</v>
      </c>
      <c r="C2511" t="s">
        <v>959</v>
      </c>
      <c r="D2511">
        <v>8.31</v>
      </c>
      <c r="E2511">
        <v>18.309999999999999</v>
      </c>
      <c r="F2511">
        <v>21.73</v>
      </c>
      <c r="G2511">
        <v>0.02</v>
      </c>
    </row>
    <row r="2512" spans="1:7" hidden="1">
      <c r="A2512">
        <v>194</v>
      </c>
      <c r="B2512" t="s">
        <v>1162</v>
      </c>
      <c r="C2512" t="s">
        <v>960</v>
      </c>
      <c r="D2512">
        <v>6.18</v>
      </c>
      <c r="E2512">
        <v>18.399999999999999</v>
      </c>
      <c r="F2512">
        <v>16.23</v>
      </c>
      <c r="G2512">
        <v>0.04</v>
      </c>
    </row>
    <row r="2513" spans="1:7" hidden="1">
      <c r="A2513">
        <v>194</v>
      </c>
      <c r="B2513" t="s">
        <v>1162</v>
      </c>
      <c r="C2513" t="s">
        <v>961</v>
      </c>
      <c r="D2513">
        <v>2.56</v>
      </c>
      <c r="E2513">
        <v>20.059999999999999</v>
      </c>
      <c r="F2513">
        <v>7.34</v>
      </c>
      <c r="G2513">
        <v>0</v>
      </c>
    </row>
    <row r="2514" spans="1:7" hidden="1">
      <c r="A2514">
        <v>194</v>
      </c>
      <c r="B2514" t="s">
        <v>1162</v>
      </c>
      <c r="C2514" t="s">
        <v>962</v>
      </c>
      <c r="D2514">
        <v>1.58</v>
      </c>
      <c r="E2514">
        <v>24.72</v>
      </c>
      <c r="F2514">
        <v>5.58</v>
      </c>
      <c r="G2514">
        <v>0</v>
      </c>
    </row>
    <row r="2515" spans="1:7" hidden="1">
      <c r="A2515">
        <v>194</v>
      </c>
      <c r="B2515" t="s">
        <v>1162</v>
      </c>
      <c r="C2515" t="s">
        <v>963</v>
      </c>
      <c r="D2515">
        <v>2.83</v>
      </c>
      <c r="E2515">
        <v>18.13</v>
      </c>
      <c r="F2515">
        <v>7.33</v>
      </c>
      <c r="G2515">
        <v>0</v>
      </c>
    </row>
    <row r="2516" spans="1:7" hidden="1">
      <c r="A2516">
        <v>194</v>
      </c>
      <c r="B2516" t="s">
        <v>1162</v>
      </c>
      <c r="C2516" t="s">
        <v>964</v>
      </c>
      <c r="D2516">
        <v>0.26</v>
      </c>
      <c r="E2516">
        <v>21.87</v>
      </c>
      <c r="F2516">
        <v>0.8</v>
      </c>
      <c r="G2516">
        <v>0</v>
      </c>
    </row>
    <row r="2517" spans="1:7" hidden="1">
      <c r="A2517">
        <v>194</v>
      </c>
      <c r="B2517" t="s">
        <v>1162</v>
      </c>
      <c r="C2517" t="s">
        <v>965</v>
      </c>
      <c r="D2517">
        <v>2.12</v>
      </c>
      <c r="E2517">
        <v>24.75</v>
      </c>
      <c r="F2517">
        <v>7.48</v>
      </c>
      <c r="G2517">
        <v>0</v>
      </c>
    </row>
    <row r="2518" spans="1:7">
      <c r="A2518">
        <v>194</v>
      </c>
      <c r="B2518" t="s">
        <v>1162</v>
      </c>
      <c r="C2518" t="s">
        <v>24</v>
      </c>
      <c r="D2518">
        <v>23.82</v>
      </c>
      <c r="E2518">
        <v>19.54</v>
      </c>
      <c r="F2518">
        <v>66.489999999999995</v>
      </c>
      <c r="G2518">
        <v>0.06</v>
      </c>
    </row>
    <row r="2519" spans="1:7" hidden="1">
      <c r="A2519">
        <v>194</v>
      </c>
      <c r="B2519" t="s">
        <v>1162</v>
      </c>
      <c r="C2519" t="s">
        <v>966</v>
      </c>
      <c r="D2519">
        <v>0</v>
      </c>
      <c r="E2519">
        <v>18.05</v>
      </c>
      <c r="F2519">
        <v>0</v>
      </c>
      <c r="G2519">
        <v>0</v>
      </c>
    </row>
    <row r="2520" spans="1:7" hidden="1">
      <c r="A2520">
        <v>194</v>
      </c>
      <c r="B2520" t="s">
        <v>1162</v>
      </c>
      <c r="C2520" t="s">
        <v>967</v>
      </c>
      <c r="D2520">
        <v>0.38</v>
      </c>
      <c r="E2520">
        <v>17.91</v>
      </c>
      <c r="F2520">
        <v>0.97</v>
      </c>
      <c r="G2520">
        <v>0</v>
      </c>
    </row>
    <row r="2521" spans="1:7" hidden="1">
      <c r="A2521">
        <v>194</v>
      </c>
      <c r="B2521" t="s">
        <v>1162</v>
      </c>
      <c r="C2521" t="s">
        <v>968</v>
      </c>
      <c r="D2521">
        <v>2.39</v>
      </c>
      <c r="E2521">
        <v>18.09</v>
      </c>
      <c r="F2521">
        <v>6.19</v>
      </c>
      <c r="G2521">
        <v>0</v>
      </c>
    </row>
    <row r="2522" spans="1:7" hidden="1">
      <c r="A2522">
        <v>194</v>
      </c>
      <c r="B2522" t="s">
        <v>1162</v>
      </c>
      <c r="C2522" t="s">
        <v>969</v>
      </c>
      <c r="D2522">
        <v>0.35</v>
      </c>
      <c r="E2522">
        <v>24.75</v>
      </c>
      <c r="F2522">
        <v>1.22</v>
      </c>
      <c r="G2522">
        <v>0</v>
      </c>
    </row>
    <row r="2523" spans="1:7" hidden="1">
      <c r="A2523">
        <v>194</v>
      </c>
      <c r="B2523" t="s">
        <v>1162</v>
      </c>
      <c r="C2523" t="s">
        <v>970</v>
      </c>
      <c r="D2523">
        <v>0.57999999999999996</v>
      </c>
      <c r="E2523">
        <v>24.75</v>
      </c>
      <c r="F2523">
        <v>2.06</v>
      </c>
      <c r="G2523">
        <v>0</v>
      </c>
    </row>
    <row r="2524" spans="1:7" hidden="1">
      <c r="A2524">
        <v>195</v>
      </c>
      <c r="B2524" t="s">
        <v>1163</v>
      </c>
      <c r="C2524" t="s">
        <v>959</v>
      </c>
      <c r="D2524">
        <v>7.03</v>
      </c>
      <c r="E2524">
        <v>18.309999999999999</v>
      </c>
      <c r="F2524">
        <v>18.38</v>
      </c>
      <c r="G2524">
        <v>0</v>
      </c>
    </row>
    <row r="2525" spans="1:7" hidden="1">
      <c r="A2525">
        <v>195</v>
      </c>
      <c r="B2525" t="s">
        <v>1163</v>
      </c>
      <c r="C2525" t="s">
        <v>960</v>
      </c>
      <c r="D2525">
        <v>5.21</v>
      </c>
      <c r="E2525">
        <v>18.399999999999999</v>
      </c>
      <c r="F2525">
        <v>13.68</v>
      </c>
      <c r="G2525">
        <v>0</v>
      </c>
    </row>
    <row r="2526" spans="1:7" hidden="1">
      <c r="A2526">
        <v>195</v>
      </c>
      <c r="B2526" t="s">
        <v>1163</v>
      </c>
      <c r="C2526" t="s">
        <v>961</v>
      </c>
      <c r="D2526">
        <v>2.2799999999999998</v>
      </c>
      <c r="E2526">
        <v>20.059999999999999</v>
      </c>
      <c r="F2526">
        <v>6.54</v>
      </c>
      <c r="G2526">
        <v>0</v>
      </c>
    </row>
    <row r="2527" spans="1:7" hidden="1">
      <c r="A2527">
        <v>195</v>
      </c>
      <c r="B2527" t="s">
        <v>1163</v>
      </c>
      <c r="C2527" t="s">
        <v>962</v>
      </c>
      <c r="D2527">
        <v>1.85</v>
      </c>
      <c r="E2527">
        <v>24.72</v>
      </c>
      <c r="F2527">
        <v>6.54</v>
      </c>
      <c r="G2527">
        <v>0</v>
      </c>
    </row>
    <row r="2528" spans="1:7" hidden="1">
      <c r="A2528">
        <v>195</v>
      </c>
      <c r="B2528" t="s">
        <v>1163</v>
      </c>
      <c r="C2528" t="s">
        <v>963</v>
      </c>
      <c r="D2528">
        <v>3.41</v>
      </c>
      <c r="E2528">
        <v>18.13</v>
      </c>
      <c r="F2528">
        <v>8.83</v>
      </c>
      <c r="G2528">
        <v>0</v>
      </c>
    </row>
    <row r="2529" spans="1:7" hidden="1">
      <c r="A2529">
        <v>195</v>
      </c>
      <c r="B2529" t="s">
        <v>1163</v>
      </c>
      <c r="C2529" t="s">
        <v>964</v>
      </c>
      <c r="D2529">
        <v>0.44</v>
      </c>
      <c r="E2529">
        <v>21.87</v>
      </c>
      <c r="F2529">
        <v>1.38</v>
      </c>
      <c r="G2529">
        <v>0</v>
      </c>
    </row>
    <row r="2530" spans="1:7" hidden="1">
      <c r="A2530">
        <v>195</v>
      </c>
      <c r="B2530" t="s">
        <v>1163</v>
      </c>
      <c r="C2530" t="s">
        <v>965</v>
      </c>
      <c r="D2530">
        <v>2.5</v>
      </c>
      <c r="E2530">
        <v>24.75</v>
      </c>
      <c r="F2530">
        <v>8.85</v>
      </c>
      <c r="G2530">
        <v>0</v>
      </c>
    </row>
    <row r="2531" spans="1:7">
      <c r="A2531">
        <v>195</v>
      </c>
      <c r="B2531" t="s">
        <v>1163</v>
      </c>
      <c r="C2531" t="s">
        <v>24</v>
      </c>
      <c r="D2531">
        <v>22.72</v>
      </c>
      <c r="E2531">
        <v>19.78</v>
      </c>
      <c r="F2531">
        <v>64.2</v>
      </c>
      <c r="G2531">
        <v>0</v>
      </c>
    </row>
    <row r="2532" spans="1:7" hidden="1">
      <c r="A2532">
        <v>195</v>
      </c>
      <c r="B2532" t="s">
        <v>1163</v>
      </c>
      <c r="C2532" t="s">
        <v>966</v>
      </c>
      <c r="D2532">
        <v>0</v>
      </c>
      <c r="E2532">
        <v>18.05</v>
      </c>
      <c r="F2532">
        <v>0</v>
      </c>
      <c r="G2532">
        <v>0</v>
      </c>
    </row>
    <row r="2533" spans="1:7" hidden="1">
      <c r="A2533">
        <v>195</v>
      </c>
      <c r="B2533" t="s">
        <v>1163</v>
      </c>
      <c r="C2533" t="s">
        <v>967</v>
      </c>
      <c r="D2533">
        <v>0.6</v>
      </c>
      <c r="E2533">
        <v>17.91</v>
      </c>
      <c r="F2533">
        <v>1.52</v>
      </c>
      <c r="G2533">
        <v>0</v>
      </c>
    </row>
    <row r="2534" spans="1:7" hidden="1">
      <c r="A2534">
        <v>195</v>
      </c>
      <c r="B2534" t="s">
        <v>1163</v>
      </c>
      <c r="C2534" t="s">
        <v>968</v>
      </c>
      <c r="D2534">
        <v>2.2200000000000002</v>
      </c>
      <c r="E2534">
        <v>18.09</v>
      </c>
      <c r="F2534">
        <v>5.74</v>
      </c>
      <c r="G2534">
        <v>0</v>
      </c>
    </row>
    <row r="2535" spans="1:7" hidden="1">
      <c r="A2535">
        <v>195</v>
      </c>
      <c r="B2535" t="s">
        <v>1163</v>
      </c>
      <c r="C2535" t="s">
        <v>969</v>
      </c>
      <c r="D2535">
        <v>0.63</v>
      </c>
      <c r="E2535">
        <v>24.75</v>
      </c>
      <c r="F2535">
        <v>2.23</v>
      </c>
      <c r="G2535">
        <v>0</v>
      </c>
    </row>
    <row r="2536" spans="1:7" hidden="1">
      <c r="A2536">
        <v>195</v>
      </c>
      <c r="B2536" t="s">
        <v>1163</v>
      </c>
      <c r="C2536" t="s">
        <v>970</v>
      </c>
      <c r="D2536">
        <v>0.41</v>
      </c>
      <c r="E2536">
        <v>24.75</v>
      </c>
      <c r="F2536">
        <v>1.45</v>
      </c>
      <c r="G2536">
        <v>0</v>
      </c>
    </row>
    <row r="2537" spans="1:7" hidden="1">
      <c r="A2537">
        <v>196</v>
      </c>
      <c r="B2537" t="s">
        <v>1164</v>
      </c>
      <c r="C2537" t="s">
        <v>959</v>
      </c>
      <c r="D2537">
        <v>9.25</v>
      </c>
      <c r="E2537">
        <v>18.309999999999999</v>
      </c>
      <c r="F2537">
        <v>24.2</v>
      </c>
      <c r="G2537">
        <v>0.05</v>
      </c>
    </row>
    <row r="2538" spans="1:7" hidden="1">
      <c r="A2538">
        <v>196</v>
      </c>
      <c r="B2538" t="s">
        <v>1164</v>
      </c>
      <c r="C2538" t="s">
        <v>960</v>
      </c>
      <c r="D2538">
        <v>7.12</v>
      </c>
      <c r="E2538">
        <v>18.399999999999999</v>
      </c>
      <c r="F2538">
        <v>18.7</v>
      </c>
      <c r="G2538">
        <v>0.08</v>
      </c>
    </row>
    <row r="2539" spans="1:7" hidden="1">
      <c r="A2539">
        <v>196</v>
      </c>
      <c r="B2539" t="s">
        <v>1164</v>
      </c>
      <c r="C2539" t="s">
        <v>961</v>
      </c>
      <c r="D2539">
        <v>2.69</v>
      </c>
      <c r="E2539">
        <v>20.059999999999999</v>
      </c>
      <c r="F2539">
        <v>7.71</v>
      </c>
      <c r="G2539">
        <v>0</v>
      </c>
    </row>
    <row r="2540" spans="1:7" hidden="1">
      <c r="A2540">
        <v>196</v>
      </c>
      <c r="B2540" t="s">
        <v>1164</v>
      </c>
      <c r="C2540" t="s">
        <v>962</v>
      </c>
      <c r="D2540">
        <v>1.36</v>
      </c>
      <c r="E2540">
        <v>24.72</v>
      </c>
      <c r="F2540">
        <v>4.8099999999999996</v>
      </c>
      <c r="G2540">
        <v>0</v>
      </c>
    </row>
    <row r="2541" spans="1:7" hidden="1">
      <c r="A2541">
        <v>196</v>
      </c>
      <c r="B2541" t="s">
        <v>1164</v>
      </c>
      <c r="C2541" t="s">
        <v>963</v>
      </c>
      <c r="D2541">
        <v>2.34</v>
      </c>
      <c r="E2541">
        <v>18.13</v>
      </c>
      <c r="F2541">
        <v>6.07</v>
      </c>
      <c r="G2541">
        <v>0</v>
      </c>
    </row>
    <row r="2542" spans="1:7" hidden="1">
      <c r="A2542">
        <v>196</v>
      </c>
      <c r="B2542" t="s">
        <v>1164</v>
      </c>
      <c r="C2542" t="s">
        <v>964</v>
      </c>
      <c r="D2542">
        <v>0.08</v>
      </c>
      <c r="E2542">
        <v>21.87</v>
      </c>
      <c r="F2542">
        <v>0.25</v>
      </c>
      <c r="G2542">
        <v>0</v>
      </c>
    </row>
    <row r="2543" spans="1:7" hidden="1">
      <c r="A2543">
        <v>196</v>
      </c>
      <c r="B2543" t="s">
        <v>1164</v>
      </c>
      <c r="C2543" t="s">
        <v>965</v>
      </c>
      <c r="D2543">
        <v>1.73</v>
      </c>
      <c r="E2543">
        <v>24.75</v>
      </c>
      <c r="F2543">
        <v>6.12</v>
      </c>
      <c r="G2543">
        <v>0</v>
      </c>
    </row>
    <row r="2544" spans="1:7">
      <c r="A2544">
        <v>196</v>
      </c>
      <c r="B2544" t="s">
        <v>1164</v>
      </c>
      <c r="C2544" t="s">
        <v>24</v>
      </c>
      <c r="D2544">
        <v>24.57</v>
      </c>
      <c r="E2544">
        <v>19.329999999999998</v>
      </c>
      <c r="F2544">
        <v>67.86</v>
      </c>
      <c r="G2544">
        <v>0.13</v>
      </c>
    </row>
    <row r="2545" spans="1:7" hidden="1">
      <c r="A2545">
        <v>196</v>
      </c>
      <c r="B2545" t="s">
        <v>1164</v>
      </c>
      <c r="C2545" t="s">
        <v>966</v>
      </c>
      <c r="D2545">
        <v>0</v>
      </c>
      <c r="E2545">
        <v>18.05</v>
      </c>
      <c r="F2545">
        <v>0</v>
      </c>
      <c r="G2545">
        <v>0</v>
      </c>
    </row>
    <row r="2546" spans="1:7" hidden="1">
      <c r="A2546">
        <v>196</v>
      </c>
      <c r="B2546" t="s">
        <v>1164</v>
      </c>
      <c r="C2546" t="s">
        <v>967</v>
      </c>
      <c r="D2546">
        <v>0.22</v>
      </c>
      <c r="E2546">
        <v>17.91</v>
      </c>
      <c r="F2546">
        <v>0.56999999999999995</v>
      </c>
      <c r="G2546">
        <v>0</v>
      </c>
    </row>
    <row r="2547" spans="1:7" hidden="1">
      <c r="A2547">
        <v>196</v>
      </c>
      <c r="B2547" t="s">
        <v>1164</v>
      </c>
      <c r="C2547" t="s">
        <v>968</v>
      </c>
      <c r="D2547">
        <v>2.31</v>
      </c>
      <c r="E2547">
        <v>18.09</v>
      </c>
      <c r="F2547">
        <v>5.97</v>
      </c>
      <c r="G2547">
        <v>0</v>
      </c>
    </row>
    <row r="2548" spans="1:7" hidden="1">
      <c r="A2548">
        <v>196</v>
      </c>
      <c r="B2548" t="s">
        <v>1164</v>
      </c>
      <c r="C2548" t="s">
        <v>969</v>
      </c>
      <c r="D2548">
        <v>0.14000000000000001</v>
      </c>
      <c r="E2548">
        <v>24.75</v>
      </c>
      <c r="F2548">
        <v>0.48</v>
      </c>
      <c r="G2548">
        <v>0</v>
      </c>
    </row>
    <row r="2549" spans="1:7" hidden="1">
      <c r="A2549">
        <v>196</v>
      </c>
      <c r="B2549" t="s">
        <v>1164</v>
      </c>
      <c r="C2549" t="s">
        <v>970</v>
      </c>
      <c r="D2549">
        <v>0.52</v>
      </c>
      <c r="E2549">
        <v>24.75</v>
      </c>
      <c r="F2549">
        <v>1.84</v>
      </c>
      <c r="G2549">
        <v>0</v>
      </c>
    </row>
    <row r="2550" spans="1:7" hidden="1">
      <c r="A2550">
        <v>197</v>
      </c>
      <c r="B2550" t="s">
        <v>1165</v>
      </c>
      <c r="C2550" t="s">
        <v>959</v>
      </c>
      <c r="D2550">
        <v>8.65</v>
      </c>
      <c r="E2550">
        <v>18.309999999999999</v>
      </c>
      <c r="F2550">
        <v>22.62</v>
      </c>
      <c r="G2550">
        <v>0.12</v>
      </c>
    </row>
    <row r="2551" spans="1:7" hidden="1">
      <c r="A2551">
        <v>197</v>
      </c>
      <c r="B2551" t="s">
        <v>1165</v>
      </c>
      <c r="C2551" t="s">
        <v>960</v>
      </c>
      <c r="D2551">
        <v>6.24</v>
      </c>
      <c r="E2551">
        <v>18.399999999999999</v>
      </c>
      <c r="F2551">
        <v>16.39</v>
      </c>
      <c r="G2551">
        <v>0.22</v>
      </c>
    </row>
    <row r="2552" spans="1:7" hidden="1">
      <c r="A2552">
        <v>197</v>
      </c>
      <c r="B2552" t="s">
        <v>1165</v>
      </c>
      <c r="C2552" t="s">
        <v>961</v>
      </c>
      <c r="D2552">
        <v>2.65</v>
      </c>
      <c r="E2552">
        <v>20.059999999999999</v>
      </c>
      <c r="F2552">
        <v>7.59</v>
      </c>
      <c r="G2552">
        <v>0</v>
      </c>
    </row>
    <row r="2553" spans="1:7" hidden="1">
      <c r="A2553">
        <v>197</v>
      </c>
      <c r="B2553" t="s">
        <v>1165</v>
      </c>
      <c r="C2553" t="s">
        <v>962</v>
      </c>
      <c r="D2553">
        <v>0.97</v>
      </c>
      <c r="E2553">
        <v>24.72</v>
      </c>
      <c r="F2553">
        <v>3.42</v>
      </c>
      <c r="G2553">
        <v>0</v>
      </c>
    </row>
    <row r="2554" spans="1:7" hidden="1">
      <c r="A2554">
        <v>197</v>
      </c>
      <c r="B2554" t="s">
        <v>1165</v>
      </c>
      <c r="C2554" t="s">
        <v>963</v>
      </c>
      <c r="D2554">
        <v>2.58</v>
      </c>
      <c r="E2554">
        <v>18.13</v>
      </c>
      <c r="F2554">
        <v>6.68</v>
      </c>
      <c r="G2554">
        <v>0.01</v>
      </c>
    </row>
    <row r="2555" spans="1:7" hidden="1">
      <c r="A2555">
        <v>197</v>
      </c>
      <c r="B2555" t="s">
        <v>1165</v>
      </c>
      <c r="C2555" t="s">
        <v>964</v>
      </c>
      <c r="D2555">
        <v>0.18</v>
      </c>
      <c r="E2555">
        <v>21.87</v>
      </c>
      <c r="F2555">
        <v>0.55000000000000004</v>
      </c>
      <c r="G2555">
        <v>0</v>
      </c>
    </row>
    <row r="2556" spans="1:7" hidden="1">
      <c r="A2556">
        <v>197</v>
      </c>
      <c r="B2556" t="s">
        <v>1165</v>
      </c>
      <c r="C2556" t="s">
        <v>965</v>
      </c>
      <c r="D2556">
        <v>2</v>
      </c>
      <c r="E2556">
        <v>24.75</v>
      </c>
      <c r="F2556">
        <v>7.06</v>
      </c>
      <c r="G2556">
        <v>0</v>
      </c>
    </row>
    <row r="2557" spans="1:7">
      <c r="A2557">
        <v>197</v>
      </c>
      <c r="B2557" t="s">
        <v>1165</v>
      </c>
      <c r="C2557" t="s">
        <v>24</v>
      </c>
      <c r="D2557">
        <v>23.25</v>
      </c>
      <c r="E2557">
        <v>19.36</v>
      </c>
      <c r="F2557">
        <v>64.3</v>
      </c>
      <c r="G2557">
        <v>0.35</v>
      </c>
    </row>
    <row r="2558" spans="1:7" hidden="1">
      <c r="A2558">
        <v>197</v>
      </c>
      <c r="B2558" t="s">
        <v>1165</v>
      </c>
      <c r="C2558" t="s">
        <v>966</v>
      </c>
      <c r="D2558">
        <v>0.36</v>
      </c>
      <c r="E2558">
        <v>18.05</v>
      </c>
      <c r="F2558">
        <v>0.93</v>
      </c>
      <c r="G2558">
        <v>0.35</v>
      </c>
    </row>
    <row r="2559" spans="1:7" hidden="1">
      <c r="A2559">
        <v>197</v>
      </c>
      <c r="B2559" t="s">
        <v>1165</v>
      </c>
      <c r="C2559" t="s">
        <v>967</v>
      </c>
      <c r="D2559">
        <v>0.32</v>
      </c>
      <c r="E2559">
        <v>17.91</v>
      </c>
      <c r="F2559">
        <v>0.82</v>
      </c>
      <c r="G2559">
        <v>0.01</v>
      </c>
    </row>
    <row r="2560" spans="1:7" hidden="1">
      <c r="A2560">
        <v>197</v>
      </c>
      <c r="B2560" t="s">
        <v>1165</v>
      </c>
      <c r="C2560" t="s">
        <v>968</v>
      </c>
      <c r="D2560">
        <v>2.62</v>
      </c>
      <c r="E2560">
        <v>18.09</v>
      </c>
      <c r="F2560">
        <v>6.77</v>
      </c>
      <c r="G2560">
        <v>0</v>
      </c>
    </row>
    <row r="2561" spans="1:7" hidden="1">
      <c r="A2561">
        <v>197</v>
      </c>
      <c r="B2561" t="s">
        <v>1165</v>
      </c>
      <c r="C2561" t="s">
        <v>969</v>
      </c>
      <c r="D2561">
        <v>0.28000000000000003</v>
      </c>
      <c r="E2561">
        <v>24.75</v>
      </c>
      <c r="F2561">
        <v>1.01</v>
      </c>
      <c r="G2561">
        <v>0</v>
      </c>
    </row>
    <row r="2562" spans="1:7" hidden="1">
      <c r="A2562">
        <v>197</v>
      </c>
      <c r="B2562" t="s">
        <v>1165</v>
      </c>
      <c r="C2562" t="s">
        <v>970</v>
      </c>
      <c r="D2562">
        <v>0.64</v>
      </c>
      <c r="E2562">
        <v>24.75</v>
      </c>
      <c r="F2562">
        <v>2.27</v>
      </c>
      <c r="G2562">
        <v>0</v>
      </c>
    </row>
    <row r="2563" spans="1:7" hidden="1">
      <c r="A2563">
        <v>198</v>
      </c>
      <c r="B2563" t="s">
        <v>1166</v>
      </c>
      <c r="C2563" t="s">
        <v>959</v>
      </c>
      <c r="D2563">
        <v>7.77</v>
      </c>
      <c r="E2563">
        <v>18.309999999999999</v>
      </c>
      <c r="F2563">
        <v>20.32</v>
      </c>
      <c r="G2563">
        <v>0.1</v>
      </c>
    </row>
    <row r="2564" spans="1:7" hidden="1">
      <c r="A2564">
        <v>198</v>
      </c>
      <c r="B2564" t="s">
        <v>1166</v>
      </c>
      <c r="C2564" t="s">
        <v>960</v>
      </c>
      <c r="D2564">
        <v>5.51</v>
      </c>
      <c r="E2564">
        <v>18.399999999999999</v>
      </c>
      <c r="F2564">
        <v>14.49</v>
      </c>
      <c r="G2564">
        <v>0.31</v>
      </c>
    </row>
    <row r="2565" spans="1:7" hidden="1">
      <c r="A2565">
        <v>198</v>
      </c>
      <c r="B2565" t="s">
        <v>1166</v>
      </c>
      <c r="C2565" t="s">
        <v>961</v>
      </c>
      <c r="D2565">
        <v>2.4</v>
      </c>
      <c r="E2565">
        <v>20.059999999999999</v>
      </c>
      <c r="F2565">
        <v>6.88</v>
      </c>
      <c r="G2565">
        <v>0</v>
      </c>
    </row>
    <row r="2566" spans="1:7" hidden="1">
      <c r="A2566">
        <v>198</v>
      </c>
      <c r="B2566" t="s">
        <v>1166</v>
      </c>
      <c r="C2566" t="s">
        <v>962</v>
      </c>
      <c r="D2566">
        <v>0.82</v>
      </c>
      <c r="E2566">
        <v>24.72</v>
      </c>
      <c r="F2566">
        <v>2.9</v>
      </c>
      <c r="G2566">
        <v>0</v>
      </c>
    </row>
    <row r="2567" spans="1:7" hidden="1">
      <c r="A2567">
        <v>198</v>
      </c>
      <c r="B2567" t="s">
        <v>1166</v>
      </c>
      <c r="C2567" t="s">
        <v>963</v>
      </c>
      <c r="D2567">
        <v>2.56</v>
      </c>
      <c r="E2567">
        <v>18.13</v>
      </c>
      <c r="F2567">
        <v>6.62</v>
      </c>
      <c r="G2567">
        <v>0</v>
      </c>
    </row>
    <row r="2568" spans="1:7" hidden="1">
      <c r="A2568">
        <v>198</v>
      </c>
      <c r="B2568" t="s">
        <v>1166</v>
      </c>
      <c r="C2568" t="s">
        <v>964</v>
      </c>
      <c r="D2568">
        <v>0.33</v>
      </c>
      <c r="E2568">
        <v>21.87</v>
      </c>
      <c r="F2568">
        <v>1.02</v>
      </c>
      <c r="G2568">
        <v>0</v>
      </c>
    </row>
    <row r="2569" spans="1:7" hidden="1">
      <c r="A2569">
        <v>198</v>
      </c>
      <c r="B2569" t="s">
        <v>1166</v>
      </c>
      <c r="C2569" t="s">
        <v>965</v>
      </c>
      <c r="D2569">
        <v>2.19</v>
      </c>
      <c r="E2569">
        <v>24.75</v>
      </c>
      <c r="F2569">
        <v>7.75</v>
      </c>
      <c r="G2569">
        <v>0</v>
      </c>
    </row>
    <row r="2570" spans="1:7">
      <c r="A2570">
        <v>198</v>
      </c>
      <c r="B2570" t="s">
        <v>1166</v>
      </c>
      <c r="C2570" t="s">
        <v>24</v>
      </c>
      <c r="D2570">
        <v>21.58</v>
      </c>
      <c r="E2570">
        <v>19.46</v>
      </c>
      <c r="F2570">
        <v>59.98</v>
      </c>
      <c r="G2570">
        <v>0.41</v>
      </c>
    </row>
    <row r="2571" spans="1:7" hidden="1">
      <c r="A2571">
        <v>198</v>
      </c>
      <c r="B2571" t="s">
        <v>1166</v>
      </c>
      <c r="C2571" t="s">
        <v>966</v>
      </c>
      <c r="D2571">
        <v>0.14000000000000001</v>
      </c>
      <c r="E2571">
        <v>18.05</v>
      </c>
      <c r="F2571">
        <v>0.35</v>
      </c>
      <c r="G2571">
        <v>0.13</v>
      </c>
    </row>
    <row r="2572" spans="1:7" hidden="1">
      <c r="A2572">
        <v>198</v>
      </c>
      <c r="B2572" t="s">
        <v>1166</v>
      </c>
      <c r="C2572" t="s">
        <v>967</v>
      </c>
      <c r="D2572">
        <v>0.54</v>
      </c>
      <c r="E2572">
        <v>17.91</v>
      </c>
      <c r="F2572">
        <v>1.38</v>
      </c>
      <c r="G2572">
        <v>0</v>
      </c>
    </row>
    <row r="2573" spans="1:7" hidden="1">
      <c r="A2573">
        <v>198</v>
      </c>
      <c r="B2573" t="s">
        <v>1166</v>
      </c>
      <c r="C2573" t="s">
        <v>968</v>
      </c>
      <c r="D2573">
        <v>1.92</v>
      </c>
      <c r="E2573">
        <v>18.09</v>
      </c>
      <c r="F2573">
        <v>4.96</v>
      </c>
      <c r="G2573">
        <v>0</v>
      </c>
    </row>
    <row r="2574" spans="1:7" hidden="1">
      <c r="A2574">
        <v>198</v>
      </c>
      <c r="B2574" t="s">
        <v>1166</v>
      </c>
      <c r="C2574" t="s">
        <v>969</v>
      </c>
      <c r="D2574">
        <v>0.64</v>
      </c>
      <c r="E2574">
        <v>24.75</v>
      </c>
      <c r="F2574">
        <v>2.27</v>
      </c>
      <c r="G2574">
        <v>0</v>
      </c>
    </row>
    <row r="2575" spans="1:7" hidden="1">
      <c r="A2575">
        <v>198</v>
      </c>
      <c r="B2575" t="s">
        <v>1166</v>
      </c>
      <c r="C2575" t="s">
        <v>970</v>
      </c>
      <c r="D2575">
        <v>0.54</v>
      </c>
      <c r="E2575">
        <v>24.75</v>
      </c>
      <c r="F2575">
        <v>1.9</v>
      </c>
      <c r="G2575">
        <v>0</v>
      </c>
    </row>
    <row r="2576" spans="1:7" hidden="1">
      <c r="A2576">
        <v>199</v>
      </c>
      <c r="B2576" t="s">
        <v>1167</v>
      </c>
      <c r="C2576" t="s">
        <v>959</v>
      </c>
      <c r="D2576">
        <v>8.99</v>
      </c>
      <c r="E2576">
        <v>18.309999999999999</v>
      </c>
      <c r="F2576">
        <v>23.51</v>
      </c>
      <c r="G2576">
        <v>0</v>
      </c>
    </row>
    <row r="2577" spans="1:7" hidden="1">
      <c r="A2577">
        <v>199</v>
      </c>
      <c r="B2577" t="s">
        <v>1167</v>
      </c>
      <c r="C2577" t="s">
        <v>960</v>
      </c>
      <c r="D2577">
        <v>7.2</v>
      </c>
      <c r="E2577">
        <v>18.399999999999999</v>
      </c>
      <c r="F2577">
        <v>18.91</v>
      </c>
      <c r="G2577">
        <v>0.02</v>
      </c>
    </row>
    <row r="2578" spans="1:7" hidden="1">
      <c r="A2578">
        <v>199</v>
      </c>
      <c r="B2578" t="s">
        <v>1167</v>
      </c>
      <c r="C2578" t="s">
        <v>961</v>
      </c>
      <c r="D2578">
        <v>2.92</v>
      </c>
      <c r="E2578">
        <v>20.059999999999999</v>
      </c>
      <c r="F2578">
        <v>8.36</v>
      </c>
      <c r="G2578">
        <v>0</v>
      </c>
    </row>
    <row r="2579" spans="1:7" hidden="1">
      <c r="A2579">
        <v>199</v>
      </c>
      <c r="B2579" t="s">
        <v>1167</v>
      </c>
      <c r="C2579" t="s">
        <v>962</v>
      </c>
      <c r="D2579">
        <v>1.33</v>
      </c>
      <c r="E2579">
        <v>24.72</v>
      </c>
      <c r="F2579">
        <v>4.6900000000000004</v>
      </c>
      <c r="G2579">
        <v>0</v>
      </c>
    </row>
    <row r="2580" spans="1:7" hidden="1">
      <c r="A2580">
        <v>199</v>
      </c>
      <c r="B2580" t="s">
        <v>1167</v>
      </c>
      <c r="C2580" t="s">
        <v>963</v>
      </c>
      <c r="D2580">
        <v>2.61</v>
      </c>
      <c r="E2580">
        <v>18.13</v>
      </c>
      <c r="F2580">
        <v>6.77</v>
      </c>
      <c r="G2580">
        <v>0</v>
      </c>
    </row>
    <row r="2581" spans="1:7" hidden="1">
      <c r="A2581">
        <v>199</v>
      </c>
      <c r="B2581" t="s">
        <v>1167</v>
      </c>
      <c r="C2581" t="s">
        <v>964</v>
      </c>
      <c r="D2581">
        <v>0.1</v>
      </c>
      <c r="E2581">
        <v>21.87</v>
      </c>
      <c r="F2581">
        <v>0.3</v>
      </c>
      <c r="G2581">
        <v>0</v>
      </c>
    </row>
    <row r="2582" spans="1:7" hidden="1">
      <c r="A2582">
        <v>199</v>
      </c>
      <c r="B2582" t="s">
        <v>1167</v>
      </c>
      <c r="C2582" t="s">
        <v>965</v>
      </c>
      <c r="D2582">
        <v>1.9</v>
      </c>
      <c r="E2582">
        <v>24.75</v>
      </c>
      <c r="F2582">
        <v>6.71</v>
      </c>
      <c r="G2582">
        <v>0</v>
      </c>
    </row>
    <row r="2583" spans="1:7">
      <c r="A2583">
        <v>199</v>
      </c>
      <c r="B2583" t="s">
        <v>1167</v>
      </c>
      <c r="C2583" t="s">
        <v>24</v>
      </c>
      <c r="D2583">
        <v>25.04</v>
      </c>
      <c r="E2583">
        <v>19.36</v>
      </c>
      <c r="F2583">
        <v>69.260000000000005</v>
      </c>
      <c r="G2583">
        <v>0.02</v>
      </c>
    </row>
    <row r="2584" spans="1:7" hidden="1">
      <c r="A2584">
        <v>199</v>
      </c>
      <c r="B2584" t="s">
        <v>1167</v>
      </c>
      <c r="C2584" t="s">
        <v>966</v>
      </c>
      <c r="D2584">
        <v>0.2</v>
      </c>
      <c r="E2584">
        <v>18.05</v>
      </c>
      <c r="F2584">
        <v>0.51</v>
      </c>
      <c r="G2584">
        <v>0.2</v>
      </c>
    </row>
    <row r="2585" spans="1:7" hidden="1">
      <c r="A2585">
        <v>199</v>
      </c>
      <c r="B2585" t="s">
        <v>1167</v>
      </c>
      <c r="C2585" t="s">
        <v>967</v>
      </c>
      <c r="D2585">
        <v>0.2</v>
      </c>
      <c r="E2585">
        <v>17.91</v>
      </c>
      <c r="F2585">
        <v>0.51</v>
      </c>
      <c r="G2585">
        <v>0</v>
      </c>
    </row>
    <row r="2586" spans="1:7" hidden="1">
      <c r="A2586">
        <v>199</v>
      </c>
      <c r="B2586" t="s">
        <v>1167</v>
      </c>
      <c r="C2586" t="s">
        <v>968</v>
      </c>
      <c r="D2586">
        <v>2.77</v>
      </c>
      <c r="E2586">
        <v>18.09</v>
      </c>
      <c r="F2586">
        <v>7.16</v>
      </c>
      <c r="G2586">
        <v>0</v>
      </c>
    </row>
    <row r="2587" spans="1:7" hidden="1">
      <c r="A2587">
        <v>199</v>
      </c>
      <c r="B2587" t="s">
        <v>1167</v>
      </c>
      <c r="C2587" t="s">
        <v>969</v>
      </c>
      <c r="D2587">
        <v>0.05</v>
      </c>
      <c r="E2587">
        <v>24.75</v>
      </c>
      <c r="F2587">
        <v>0.16</v>
      </c>
      <c r="G2587">
        <v>0</v>
      </c>
    </row>
    <row r="2588" spans="1:7" hidden="1">
      <c r="A2588">
        <v>199</v>
      </c>
      <c r="B2588" t="s">
        <v>1167</v>
      </c>
      <c r="C2588" t="s">
        <v>970</v>
      </c>
      <c r="D2588">
        <v>0.53</v>
      </c>
      <c r="E2588">
        <v>24.75</v>
      </c>
      <c r="F2588">
        <v>1.88</v>
      </c>
      <c r="G2588">
        <v>0</v>
      </c>
    </row>
    <row r="2589" spans="1:7" hidden="1">
      <c r="A2589">
        <v>200</v>
      </c>
      <c r="B2589" t="s">
        <v>1168</v>
      </c>
      <c r="C2589" t="s">
        <v>959</v>
      </c>
      <c r="D2589">
        <v>6.11</v>
      </c>
      <c r="E2589">
        <v>18.309999999999999</v>
      </c>
      <c r="F2589">
        <v>15.97</v>
      </c>
      <c r="G2589">
        <v>0</v>
      </c>
    </row>
    <row r="2590" spans="1:7" hidden="1">
      <c r="A2590">
        <v>200</v>
      </c>
      <c r="B2590" t="s">
        <v>1168</v>
      </c>
      <c r="C2590" t="s">
        <v>960</v>
      </c>
      <c r="D2590">
        <v>7.11</v>
      </c>
      <c r="E2590">
        <v>18.399999999999999</v>
      </c>
      <c r="F2590">
        <v>18.68</v>
      </c>
      <c r="G2590">
        <v>0</v>
      </c>
    </row>
    <row r="2591" spans="1:7" hidden="1">
      <c r="A2591">
        <v>200</v>
      </c>
      <c r="B2591" t="s">
        <v>1168</v>
      </c>
      <c r="C2591" t="s">
        <v>961</v>
      </c>
      <c r="D2591">
        <v>2.66</v>
      </c>
      <c r="E2591">
        <v>20.059999999999999</v>
      </c>
      <c r="F2591">
        <v>7.62</v>
      </c>
      <c r="G2591">
        <v>0</v>
      </c>
    </row>
    <row r="2592" spans="1:7" hidden="1">
      <c r="A2592">
        <v>200</v>
      </c>
      <c r="B2592" t="s">
        <v>1168</v>
      </c>
      <c r="C2592" t="s">
        <v>962</v>
      </c>
      <c r="D2592">
        <v>1.04</v>
      </c>
      <c r="E2592">
        <v>24.72</v>
      </c>
      <c r="F2592">
        <v>3.69</v>
      </c>
      <c r="G2592">
        <v>0</v>
      </c>
    </row>
    <row r="2593" spans="1:7" hidden="1">
      <c r="A2593">
        <v>200</v>
      </c>
      <c r="B2593" t="s">
        <v>1168</v>
      </c>
      <c r="C2593" t="s">
        <v>963</v>
      </c>
      <c r="D2593">
        <v>2.2000000000000002</v>
      </c>
      <c r="E2593">
        <v>18.13</v>
      </c>
      <c r="F2593">
        <v>5.71</v>
      </c>
      <c r="G2593">
        <v>0</v>
      </c>
    </row>
    <row r="2594" spans="1:7" hidden="1">
      <c r="A2594">
        <v>200</v>
      </c>
      <c r="B2594" t="s">
        <v>1168</v>
      </c>
      <c r="C2594" t="s">
        <v>964</v>
      </c>
      <c r="D2594">
        <v>0.06</v>
      </c>
      <c r="E2594">
        <v>21.87</v>
      </c>
      <c r="F2594">
        <v>0.18</v>
      </c>
      <c r="G2594">
        <v>0</v>
      </c>
    </row>
    <row r="2595" spans="1:7" hidden="1">
      <c r="A2595">
        <v>200</v>
      </c>
      <c r="B2595" t="s">
        <v>1168</v>
      </c>
      <c r="C2595" t="s">
        <v>965</v>
      </c>
      <c r="D2595">
        <v>1.59</v>
      </c>
      <c r="E2595">
        <v>24.75</v>
      </c>
      <c r="F2595">
        <v>5.64</v>
      </c>
      <c r="G2595">
        <v>0</v>
      </c>
    </row>
    <row r="2596" spans="1:7">
      <c r="A2596">
        <v>200</v>
      </c>
      <c r="B2596" t="s">
        <v>1168</v>
      </c>
      <c r="C2596" t="s">
        <v>24</v>
      </c>
      <c r="D2596">
        <v>20.77</v>
      </c>
      <c r="E2596">
        <v>19.37</v>
      </c>
      <c r="F2596">
        <v>57.49</v>
      </c>
      <c r="G2596">
        <v>0</v>
      </c>
    </row>
    <row r="2597" spans="1:7" hidden="1">
      <c r="A2597">
        <v>200</v>
      </c>
      <c r="B2597" t="s">
        <v>1168</v>
      </c>
      <c r="C2597" t="s">
        <v>966</v>
      </c>
      <c r="D2597">
        <v>0</v>
      </c>
      <c r="E2597">
        <v>18.05</v>
      </c>
      <c r="F2597">
        <v>0</v>
      </c>
      <c r="G2597">
        <v>0</v>
      </c>
    </row>
    <row r="2598" spans="1:7" hidden="1">
      <c r="A2598">
        <v>200</v>
      </c>
      <c r="B2598" t="s">
        <v>1168</v>
      </c>
      <c r="C2598" t="s">
        <v>967</v>
      </c>
      <c r="D2598">
        <v>0.68</v>
      </c>
      <c r="E2598">
        <v>17.91</v>
      </c>
      <c r="F2598">
        <v>1.74</v>
      </c>
      <c r="G2598">
        <v>0</v>
      </c>
    </row>
    <row r="2599" spans="1:7" hidden="1">
      <c r="A2599">
        <v>200</v>
      </c>
      <c r="B2599" t="s">
        <v>1168</v>
      </c>
      <c r="C2599" t="s">
        <v>968</v>
      </c>
      <c r="D2599">
        <v>1.57</v>
      </c>
      <c r="E2599">
        <v>18.09</v>
      </c>
      <c r="F2599">
        <v>4.05</v>
      </c>
      <c r="G2599">
        <v>0</v>
      </c>
    </row>
    <row r="2600" spans="1:7" hidden="1">
      <c r="A2600">
        <v>200</v>
      </c>
      <c r="B2600" t="s">
        <v>1168</v>
      </c>
      <c r="C2600" t="s">
        <v>969</v>
      </c>
      <c r="D2600">
        <v>0.19</v>
      </c>
      <c r="E2600">
        <v>24.75</v>
      </c>
      <c r="F2600">
        <v>0.67</v>
      </c>
      <c r="G2600">
        <v>0</v>
      </c>
    </row>
    <row r="2601" spans="1:7" hidden="1">
      <c r="A2601">
        <v>200</v>
      </c>
      <c r="B2601" t="s">
        <v>1168</v>
      </c>
      <c r="C2601" t="s">
        <v>970</v>
      </c>
      <c r="D2601">
        <v>0.4</v>
      </c>
      <c r="E2601">
        <v>24.75</v>
      </c>
      <c r="F2601">
        <v>1.4</v>
      </c>
      <c r="G2601">
        <v>0</v>
      </c>
    </row>
    <row r="2602" spans="1:7" hidden="1">
      <c r="A2602">
        <v>201</v>
      </c>
      <c r="B2602" t="s">
        <v>1169</v>
      </c>
      <c r="C2602" t="s">
        <v>959</v>
      </c>
      <c r="D2602">
        <v>6.36</v>
      </c>
      <c r="E2602">
        <v>18.309999999999999</v>
      </c>
      <c r="F2602">
        <v>16.649999999999999</v>
      </c>
      <c r="G2602">
        <v>0</v>
      </c>
    </row>
    <row r="2603" spans="1:7" hidden="1">
      <c r="A2603">
        <v>201</v>
      </c>
      <c r="B2603" t="s">
        <v>1169</v>
      </c>
      <c r="C2603" t="s">
        <v>960</v>
      </c>
      <c r="D2603">
        <v>7.68</v>
      </c>
      <c r="E2603">
        <v>18.399999999999999</v>
      </c>
      <c r="F2603">
        <v>20.18</v>
      </c>
      <c r="G2603">
        <v>0</v>
      </c>
    </row>
    <row r="2604" spans="1:7" hidden="1">
      <c r="A2604">
        <v>201</v>
      </c>
      <c r="B2604" t="s">
        <v>1169</v>
      </c>
      <c r="C2604" t="s">
        <v>961</v>
      </c>
      <c r="D2604">
        <v>3.02</v>
      </c>
      <c r="E2604">
        <v>20.059999999999999</v>
      </c>
      <c r="F2604">
        <v>8.66</v>
      </c>
      <c r="G2604">
        <v>0</v>
      </c>
    </row>
    <row r="2605" spans="1:7" hidden="1">
      <c r="A2605">
        <v>201</v>
      </c>
      <c r="B2605" t="s">
        <v>1169</v>
      </c>
      <c r="C2605" t="s">
        <v>962</v>
      </c>
      <c r="D2605">
        <v>1.17</v>
      </c>
      <c r="E2605">
        <v>24.72</v>
      </c>
      <c r="F2605">
        <v>4.12</v>
      </c>
      <c r="G2605">
        <v>0</v>
      </c>
    </row>
    <row r="2606" spans="1:7" hidden="1">
      <c r="A2606">
        <v>201</v>
      </c>
      <c r="B2606" t="s">
        <v>1169</v>
      </c>
      <c r="C2606" t="s">
        <v>963</v>
      </c>
      <c r="D2606">
        <v>2.09</v>
      </c>
      <c r="E2606">
        <v>18.13</v>
      </c>
      <c r="F2606">
        <v>5.41</v>
      </c>
      <c r="G2606">
        <v>0</v>
      </c>
    </row>
    <row r="2607" spans="1:7" hidden="1">
      <c r="A2607">
        <v>201</v>
      </c>
      <c r="B2607" t="s">
        <v>1169</v>
      </c>
      <c r="C2607" t="s">
        <v>964</v>
      </c>
      <c r="D2607">
        <v>7.0000000000000007E-2</v>
      </c>
      <c r="E2607">
        <v>21.87</v>
      </c>
      <c r="F2607">
        <v>0.21</v>
      </c>
      <c r="G2607">
        <v>0</v>
      </c>
    </row>
    <row r="2608" spans="1:7" hidden="1">
      <c r="A2608">
        <v>201</v>
      </c>
      <c r="B2608" t="s">
        <v>1169</v>
      </c>
      <c r="C2608" t="s">
        <v>965</v>
      </c>
      <c r="D2608">
        <v>1.41</v>
      </c>
      <c r="E2608">
        <v>24.75</v>
      </c>
      <c r="F2608">
        <v>4.99</v>
      </c>
      <c r="G2608">
        <v>0</v>
      </c>
    </row>
    <row r="2609" spans="1:7">
      <c r="A2609">
        <v>201</v>
      </c>
      <c r="B2609" t="s">
        <v>1169</v>
      </c>
      <c r="C2609" t="s">
        <v>24</v>
      </c>
      <c r="D2609">
        <v>21.8</v>
      </c>
      <c r="E2609">
        <v>19.34</v>
      </c>
      <c r="F2609">
        <v>60.22</v>
      </c>
      <c r="G2609">
        <v>0</v>
      </c>
    </row>
    <row r="2610" spans="1:7" hidden="1">
      <c r="A2610">
        <v>201</v>
      </c>
      <c r="B2610" t="s">
        <v>1169</v>
      </c>
      <c r="C2610" t="s">
        <v>966</v>
      </c>
      <c r="D2610">
        <v>0</v>
      </c>
      <c r="E2610">
        <v>18.05</v>
      </c>
      <c r="F2610">
        <v>0</v>
      </c>
      <c r="G2610">
        <v>0</v>
      </c>
    </row>
    <row r="2611" spans="1:7" hidden="1">
      <c r="A2611">
        <v>201</v>
      </c>
      <c r="B2611" t="s">
        <v>1169</v>
      </c>
      <c r="C2611" t="s">
        <v>967</v>
      </c>
      <c r="D2611">
        <v>0.84</v>
      </c>
      <c r="E2611">
        <v>17.91</v>
      </c>
      <c r="F2611">
        <v>2.16</v>
      </c>
      <c r="G2611">
        <v>0</v>
      </c>
    </row>
    <row r="2612" spans="1:7" hidden="1">
      <c r="A2612">
        <v>201</v>
      </c>
      <c r="B2612" t="s">
        <v>1169</v>
      </c>
      <c r="C2612" t="s">
        <v>968</v>
      </c>
      <c r="D2612">
        <v>1.1599999999999999</v>
      </c>
      <c r="E2612">
        <v>18.09</v>
      </c>
      <c r="F2612">
        <v>3</v>
      </c>
      <c r="G2612">
        <v>0</v>
      </c>
    </row>
    <row r="2613" spans="1:7" hidden="1">
      <c r="A2613">
        <v>201</v>
      </c>
      <c r="B2613" t="s">
        <v>1169</v>
      </c>
      <c r="C2613" t="s">
        <v>969</v>
      </c>
      <c r="D2613">
        <v>0.2</v>
      </c>
      <c r="E2613">
        <v>24.75</v>
      </c>
      <c r="F2613">
        <v>0.72</v>
      </c>
      <c r="G2613">
        <v>0</v>
      </c>
    </row>
    <row r="2614" spans="1:7" hidden="1">
      <c r="A2614">
        <v>201</v>
      </c>
      <c r="B2614" t="s">
        <v>1169</v>
      </c>
      <c r="C2614" t="s">
        <v>970</v>
      </c>
      <c r="D2614">
        <v>0.4</v>
      </c>
      <c r="E2614">
        <v>24.75</v>
      </c>
      <c r="F2614">
        <v>1.41</v>
      </c>
      <c r="G2614">
        <v>0</v>
      </c>
    </row>
    <row r="2615" spans="1:7" hidden="1">
      <c r="A2615">
        <v>202</v>
      </c>
      <c r="B2615" t="s">
        <v>1170</v>
      </c>
      <c r="C2615" t="s">
        <v>959</v>
      </c>
      <c r="D2615">
        <v>5.87</v>
      </c>
      <c r="E2615">
        <v>18.309999999999999</v>
      </c>
      <c r="F2615">
        <v>15.35</v>
      </c>
      <c r="G2615">
        <v>0.03</v>
      </c>
    </row>
    <row r="2616" spans="1:7" hidden="1">
      <c r="A2616">
        <v>202</v>
      </c>
      <c r="B2616" t="s">
        <v>1170</v>
      </c>
      <c r="C2616" t="s">
        <v>960</v>
      </c>
      <c r="D2616">
        <v>6.63</v>
      </c>
      <c r="E2616">
        <v>18.399999999999999</v>
      </c>
      <c r="F2616">
        <v>17.43</v>
      </c>
      <c r="G2616">
        <v>0.05</v>
      </c>
    </row>
    <row r="2617" spans="1:7" hidden="1">
      <c r="A2617">
        <v>202</v>
      </c>
      <c r="B2617" t="s">
        <v>1170</v>
      </c>
      <c r="C2617" t="s">
        <v>961</v>
      </c>
      <c r="D2617">
        <v>2.33</v>
      </c>
      <c r="E2617">
        <v>20.059999999999999</v>
      </c>
      <c r="F2617">
        <v>6.68</v>
      </c>
      <c r="G2617">
        <v>0</v>
      </c>
    </row>
    <row r="2618" spans="1:7" hidden="1">
      <c r="A2618">
        <v>202</v>
      </c>
      <c r="B2618" t="s">
        <v>1170</v>
      </c>
      <c r="C2618" t="s">
        <v>962</v>
      </c>
      <c r="D2618">
        <v>1.04</v>
      </c>
      <c r="E2618">
        <v>24.72</v>
      </c>
      <c r="F2618">
        <v>3.67</v>
      </c>
      <c r="G2618">
        <v>0.01</v>
      </c>
    </row>
    <row r="2619" spans="1:7" hidden="1">
      <c r="A2619">
        <v>202</v>
      </c>
      <c r="B2619" t="s">
        <v>1170</v>
      </c>
      <c r="C2619" t="s">
        <v>963</v>
      </c>
      <c r="D2619">
        <v>2.46</v>
      </c>
      <c r="E2619">
        <v>18.13</v>
      </c>
      <c r="F2619">
        <v>6.37</v>
      </c>
      <c r="G2619">
        <v>0.01</v>
      </c>
    </row>
    <row r="2620" spans="1:7" hidden="1">
      <c r="A2620">
        <v>202</v>
      </c>
      <c r="B2620" t="s">
        <v>1170</v>
      </c>
      <c r="C2620" t="s">
        <v>964</v>
      </c>
      <c r="D2620">
        <v>0.1</v>
      </c>
      <c r="E2620">
        <v>21.87</v>
      </c>
      <c r="F2620">
        <v>0.32</v>
      </c>
      <c r="G2620">
        <v>0</v>
      </c>
    </row>
    <row r="2621" spans="1:7" hidden="1">
      <c r="A2621">
        <v>202</v>
      </c>
      <c r="B2621" t="s">
        <v>1170</v>
      </c>
      <c r="C2621" t="s">
        <v>965</v>
      </c>
      <c r="D2621">
        <v>1.56</v>
      </c>
      <c r="E2621">
        <v>24.75</v>
      </c>
      <c r="F2621">
        <v>5.52</v>
      </c>
      <c r="G2621">
        <v>0</v>
      </c>
    </row>
    <row r="2622" spans="1:7">
      <c r="A2622">
        <v>202</v>
      </c>
      <c r="B2622" t="s">
        <v>1170</v>
      </c>
      <c r="C2622" t="s">
        <v>24</v>
      </c>
      <c r="D2622">
        <v>19.989999999999998</v>
      </c>
      <c r="E2622">
        <v>19.38</v>
      </c>
      <c r="F2622">
        <v>55.33</v>
      </c>
      <c r="G2622">
        <v>0.1</v>
      </c>
    </row>
    <row r="2623" spans="1:7" hidden="1">
      <c r="A2623">
        <v>202</v>
      </c>
      <c r="B2623" t="s">
        <v>1170</v>
      </c>
      <c r="C2623" t="s">
        <v>966</v>
      </c>
      <c r="D2623">
        <v>0.11</v>
      </c>
      <c r="E2623">
        <v>18.05</v>
      </c>
      <c r="F2623">
        <v>0.28999999999999998</v>
      </c>
      <c r="G2623">
        <v>0.09</v>
      </c>
    </row>
    <row r="2624" spans="1:7" hidden="1">
      <c r="A2624">
        <v>202</v>
      </c>
      <c r="B2624" t="s">
        <v>1170</v>
      </c>
      <c r="C2624" t="s">
        <v>967</v>
      </c>
      <c r="D2624">
        <v>0.54</v>
      </c>
      <c r="E2624">
        <v>17.91</v>
      </c>
      <c r="F2624">
        <v>1.37</v>
      </c>
      <c r="G2624">
        <v>0</v>
      </c>
    </row>
    <row r="2625" spans="1:7" hidden="1">
      <c r="A2625">
        <v>202</v>
      </c>
      <c r="B2625" t="s">
        <v>1170</v>
      </c>
      <c r="C2625" t="s">
        <v>968</v>
      </c>
      <c r="D2625">
        <v>1.8</v>
      </c>
      <c r="E2625">
        <v>18.09</v>
      </c>
      <c r="F2625">
        <v>4.66</v>
      </c>
      <c r="G2625">
        <v>0.03</v>
      </c>
    </row>
    <row r="2626" spans="1:7" hidden="1">
      <c r="A2626">
        <v>202</v>
      </c>
      <c r="B2626" t="s">
        <v>1170</v>
      </c>
      <c r="C2626" t="s">
        <v>969</v>
      </c>
      <c r="D2626">
        <v>0.18</v>
      </c>
      <c r="E2626">
        <v>24.75</v>
      </c>
      <c r="F2626">
        <v>0.64</v>
      </c>
      <c r="G2626">
        <v>0</v>
      </c>
    </row>
    <row r="2627" spans="1:7" hidden="1">
      <c r="A2627">
        <v>202</v>
      </c>
      <c r="B2627" t="s">
        <v>1170</v>
      </c>
      <c r="C2627" t="s">
        <v>970</v>
      </c>
      <c r="D2627">
        <v>0.43</v>
      </c>
      <c r="E2627">
        <v>24.75</v>
      </c>
      <c r="F2627">
        <v>1.5</v>
      </c>
      <c r="G2627">
        <v>0.02</v>
      </c>
    </row>
    <row r="2628" spans="1:7" hidden="1">
      <c r="A2628">
        <v>203</v>
      </c>
      <c r="B2628" t="s">
        <v>1171</v>
      </c>
      <c r="C2628" t="s">
        <v>959</v>
      </c>
      <c r="D2628">
        <v>6.3</v>
      </c>
      <c r="E2628">
        <v>18.309999999999999</v>
      </c>
      <c r="F2628">
        <v>16.489999999999998</v>
      </c>
      <c r="G2628">
        <v>0.03</v>
      </c>
    </row>
    <row r="2629" spans="1:7" hidden="1">
      <c r="A2629">
        <v>203</v>
      </c>
      <c r="B2629" t="s">
        <v>1171</v>
      </c>
      <c r="C2629" t="s">
        <v>960</v>
      </c>
      <c r="D2629">
        <v>7.1</v>
      </c>
      <c r="E2629">
        <v>18.399999999999999</v>
      </c>
      <c r="F2629">
        <v>18.670000000000002</v>
      </c>
      <c r="G2629">
        <v>0.04</v>
      </c>
    </row>
    <row r="2630" spans="1:7" hidden="1">
      <c r="A2630">
        <v>203</v>
      </c>
      <c r="B2630" t="s">
        <v>1171</v>
      </c>
      <c r="C2630" t="s">
        <v>961</v>
      </c>
      <c r="D2630">
        <v>2.4700000000000002</v>
      </c>
      <c r="E2630">
        <v>20.059999999999999</v>
      </c>
      <c r="F2630">
        <v>7.08</v>
      </c>
      <c r="G2630">
        <v>0</v>
      </c>
    </row>
    <row r="2631" spans="1:7" hidden="1">
      <c r="A2631">
        <v>203</v>
      </c>
      <c r="B2631" t="s">
        <v>1171</v>
      </c>
      <c r="C2631" t="s">
        <v>962</v>
      </c>
      <c r="D2631">
        <v>1.19</v>
      </c>
      <c r="E2631">
        <v>24.72</v>
      </c>
      <c r="F2631">
        <v>4.2</v>
      </c>
      <c r="G2631">
        <v>0</v>
      </c>
    </row>
    <row r="2632" spans="1:7" hidden="1">
      <c r="A2632">
        <v>203</v>
      </c>
      <c r="B2632" t="s">
        <v>1171</v>
      </c>
      <c r="C2632" t="s">
        <v>963</v>
      </c>
      <c r="D2632">
        <v>2.4</v>
      </c>
      <c r="E2632">
        <v>18.13</v>
      </c>
      <c r="F2632">
        <v>6.23</v>
      </c>
      <c r="G2632">
        <v>0.02</v>
      </c>
    </row>
    <row r="2633" spans="1:7" hidden="1">
      <c r="A2633">
        <v>203</v>
      </c>
      <c r="B2633" t="s">
        <v>1171</v>
      </c>
      <c r="C2633" t="s">
        <v>964</v>
      </c>
      <c r="D2633">
        <v>0.13</v>
      </c>
      <c r="E2633">
        <v>21.87</v>
      </c>
      <c r="F2633">
        <v>0.41</v>
      </c>
      <c r="G2633">
        <v>0</v>
      </c>
    </row>
    <row r="2634" spans="1:7" hidden="1">
      <c r="A2634">
        <v>203</v>
      </c>
      <c r="B2634" t="s">
        <v>1171</v>
      </c>
      <c r="C2634" t="s">
        <v>965</v>
      </c>
      <c r="D2634">
        <v>1.56</v>
      </c>
      <c r="E2634">
        <v>24.75</v>
      </c>
      <c r="F2634">
        <v>5.53</v>
      </c>
      <c r="G2634">
        <v>0.01</v>
      </c>
    </row>
    <row r="2635" spans="1:7">
      <c r="A2635">
        <v>203</v>
      </c>
      <c r="B2635" t="s">
        <v>1171</v>
      </c>
      <c r="C2635" t="s">
        <v>24</v>
      </c>
      <c r="D2635">
        <v>21.17</v>
      </c>
      <c r="E2635">
        <v>19.38</v>
      </c>
      <c r="F2635">
        <v>58.6</v>
      </c>
      <c r="G2635">
        <v>0.1</v>
      </c>
    </row>
    <row r="2636" spans="1:7" hidden="1">
      <c r="A2636">
        <v>203</v>
      </c>
      <c r="B2636" t="s">
        <v>1171</v>
      </c>
      <c r="C2636" t="s">
        <v>966</v>
      </c>
      <c r="D2636">
        <v>0.09</v>
      </c>
      <c r="E2636">
        <v>18.05</v>
      </c>
      <c r="F2636">
        <v>0.24</v>
      </c>
      <c r="G2636">
        <v>0.09</v>
      </c>
    </row>
    <row r="2637" spans="1:7" hidden="1">
      <c r="A2637">
        <v>203</v>
      </c>
      <c r="B2637" t="s">
        <v>1171</v>
      </c>
      <c r="C2637" t="s">
        <v>967</v>
      </c>
      <c r="D2637">
        <v>0.56000000000000005</v>
      </c>
      <c r="E2637">
        <v>17.91</v>
      </c>
      <c r="F2637">
        <v>1.44</v>
      </c>
      <c r="G2637">
        <v>0</v>
      </c>
    </row>
    <row r="2638" spans="1:7" hidden="1">
      <c r="A2638">
        <v>203</v>
      </c>
      <c r="B2638" t="s">
        <v>1171</v>
      </c>
      <c r="C2638" t="s">
        <v>968</v>
      </c>
      <c r="D2638">
        <v>1.34</v>
      </c>
      <c r="E2638">
        <v>18.09</v>
      </c>
      <c r="F2638">
        <v>3.47</v>
      </c>
      <c r="G2638">
        <v>0.04</v>
      </c>
    </row>
    <row r="2639" spans="1:7" hidden="1">
      <c r="A2639">
        <v>203</v>
      </c>
      <c r="B2639" t="s">
        <v>1171</v>
      </c>
      <c r="C2639" t="s">
        <v>969</v>
      </c>
      <c r="D2639">
        <v>0.16</v>
      </c>
      <c r="E2639">
        <v>24.75</v>
      </c>
      <c r="F2639">
        <v>0.57999999999999996</v>
      </c>
      <c r="G2639">
        <v>0</v>
      </c>
    </row>
    <row r="2640" spans="1:7" hidden="1">
      <c r="A2640">
        <v>203</v>
      </c>
      <c r="B2640" t="s">
        <v>1171</v>
      </c>
      <c r="C2640" t="s">
        <v>970</v>
      </c>
      <c r="D2640">
        <v>0.47</v>
      </c>
      <c r="E2640">
        <v>24.75</v>
      </c>
      <c r="F2640">
        <v>1.67</v>
      </c>
      <c r="G2640">
        <v>0.03</v>
      </c>
    </row>
    <row r="2641" spans="1:7" hidden="1">
      <c r="A2641">
        <v>204</v>
      </c>
      <c r="B2641" t="s">
        <v>1172</v>
      </c>
      <c r="C2641" t="s">
        <v>959</v>
      </c>
      <c r="D2641">
        <v>7.74</v>
      </c>
      <c r="E2641">
        <v>18.309999999999999</v>
      </c>
      <c r="F2641">
        <v>20.25</v>
      </c>
      <c r="G2641">
        <v>4.33</v>
      </c>
    </row>
    <row r="2642" spans="1:7" hidden="1">
      <c r="A2642">
        <v>204</v>
      </c>
      <c r="B2642" t="s">
        <v>1172</v>
      </c>
      <c r="C2642" t="s">
        <v>960</v>
      </c>
      <c r="D2642">
        <v>7.6</v>
      </c>
      <c r="E2642">
        <v>18.399999999999999</v>
      </c>
      <c r="F2642">
        <v>19.98</v>
      </c>
      <c r="G2642">
        <v>5.43</v>
      </c>
    </row>
    <row r="2643" spans="1:7" hidden="1">
      <c r="A2643">
        <v>204</v>
      </c>
      <c r="B2643" t="s">
        <v>1172</v>
      </c>
      <c r="C2643" t="s">
        <v>961</v>
      </c>
      <c r="D2643">
        <v>1.97</v>
      </c>
      <c r="E2643">
        <v>20.059999999999999</v>
      </c>
      <c r="F2643">
        <v>5.63</v>
      </c>
      <c r="G2643">
        <v>1.29</v>
      </c>
    </row>
    <row r="2644" spans="1:7" hidden="1">
      <c r="A2644">
        <v>204</v>
      </c>
      <c r="B2644" t="s">
        <v>1172</v>
      </c>
      <c r="C2644" t="s">
        <v>962</v>
      </c>
      <c r="D2644">
        <v>1.1200000000000001</v>
      </c>
      <c r="E2644">
        <v>24.72</v>
      </c>
      <c r="F2644">
        <v>3.96</v>
      </c>
      <c r="G2644">
        <v>0.63</v>
      </c>
    </row>
    <row r="2645" spans="1:7" hidden="1">
      <c r="A2645">
        <v>204</v>
      </c>
      <c r="B2645" t="s">
        <v>1172</v>
      </c>
      <c r="C2645" t="s">
        <v>963</v>
      </c>
      <c r="D2645">
        <v>3.89</v>
      </c>
      <c r="E2645">
        <v>18.13</v>
      </c>
      <c r="F2645">
        <v>10.09</v>
      </c>
      <c r="G2645">
        <v>2.0299999999999998</v>
      </c>
    </row>
    <row r="2646" spans="1:7" hidden="1">
      <c r="A2646">
        <v>204</v>
      </c>
      <c r="B2646" t="s">
        <v>1172</v>
      </c>
      <c r="C2646" t="s">
        <v>964</v>
      </c>
      <c r="D2646">
        <v>7.0000000000000007E-2</v>
      </c>
      <c r="E2646">
        <v>21.87</v>
      </c>
      <c r="F2646">
        <v>0.22</v>
      </c>
      <c r="G2646">
        <v>0.06</v>
      </c>
    </row>
    <row r="2647" spans="1:7" hidden="1">
      <c r="A2647">
        <v>204</v>
      </c>
      <c r="B2647" t="s">
        <v>1172</v>
      </c>
      <c r="C2647" t="s">
        <v>965</v>
      </c>
      <c r="D2647">
        <v>2.1800000000000002</v>
      </c>
      <c r="E2647">
        <v>24.75</v>
      </c>
      <c r="F2647">
        <v>7.72</v>
      </c>
      <c r="G2647">
        <v>1.1299999999999999</v>
      </c>
    </row>
    <row r="2648" spans="1:7">
      <c r="A2648">
        <v>204</v>
      </c>
      <c r="B2648" t="s">
        <v>1172</v>
      </c>
      <c r="C2648" t="s">
        <v>24</v>
      </c>
      <c r="D2648">
        <v>24.58</v>
      </c>
      <c r="E2648">
        <v>19.32</v>
      </c>
      <c r="F2648">
        <v>67.849999999999994</v>
      </c>
      <c r="G2648">
        <v>14.9</v>
      </c>
    </row>
    <row r="2649" spans="1:7" hidden="1">
      <c r="A2649">
        <v>204</v>
      </c>
      <c r="B2649" t="s">
        <v>1172</v>
      </c>
      <c r="C2649" t="s">
        <v>966</v>
      </c>
      <c r="D2649">
        <v>12.71</v>
      </c>
      <c r="E2649">
        <v>18.05</v>
      </c>
      <c r="F2649">
        <v>32.770000000000003</v>
      </c>
      <c r="G2649">
        <v>12.24</v>
      </c>
    </row>
    <row r="2650" spans="1:7" hidden="1">
      <c r="A2650">
        <v>204</v>
      </c>
      <c r="B2650" t="s">
        <v>1172</v>
      </c>
      <c r="C2650" t="s">
        <v>967</v>
      </c>
      <c r="D2650">
        <v>0.08</v>
      </c>
      <c r="E2650">
        <v>17.91</v>
      </c>
      <c r="F2650">
        <v>0.2</v>
      </c>
      <c r="G2650">
        <v>0.02</v>
      </c>
    </row>
    <row r="2651" spans="1:7" hidden="1">
      <c r="A2651">
        <v>204</v>
      </c>
      <c r="B2651" t="s">
        <v>1172</v>
      </c>
      <c r="C2651" t="s">
        <v>968</v>
      </c>
      <c r="D2651">
        <v>0.75</v>
      </c>
      <c r="E2651">
        <v>18.09</v>
      </c>
      <c r="F2651">
        <v>1.95</v>
      </c>
      <c r="G2651">
        <v>0.36</v>
      </c>
    </row>
    <row r="2652" spans="1:7" hidden="1">
      <c r="A2652">
        <v>204</v>
      </c>
      <c r="B2652" t="s">
        <v>1172</v>
      </c>
      <c r="C2652" t="s">
        <v>969</v>
      </c>
      <c r="D2652">
        <v>1.83</v>
      </c>
      <c r="E2652">
        <v>24.75</v>
      </c>
      <c r="F2652">
        <v>6.46</v>
      </c>
      <c r="G2652">
        <v>0.08</v>
      </c>
    </row>
    <row r="2653" spans="1:7" hidden="1">
      <c r="A2653">
        <v>204</v>
      </c>
      <c r="B2653" t="s">
        <v>1172</v>
      </c>
      <c r="C2653" t="s">
        <v>970</v>
      </c>
      <c r="D2653">
        <v>0.26</v>
      </c>
      <c r="E2653">
        <v>24.75</v>
      </c>
      <c r="F2653">
        <v>0.94</v>
      </c>
      <c r="G2653">
        <v>0.11</v>
      </c>
    </row>
    <row r="2654" spans="1:7" hidden="1">
      <c r="A2654">
        <v>205</v>
      </c>
      <c r="B2654" t="s">
        <v>1173</v>
      </c>
      <c r="C2654" t="s">
        <v>959</v>
      </c>
      <c r="D2654">
        <v>7.7</v>
      </c>
      <c r="E2654">
        <v>18.309999999999999</v>
      </c>
      <c r="F2654">
        <v>20.149999999999999</v>
      </c>
      <c r="G2654">
        <v>4.55</v>
      </c>
    </row>
    <row r="2655" spans="1:7" hidden="1">
      <c r="A2655">
        <v>205</v>
      </c>
      <c r="B2655" t="s">
        <v>1173</v>
      </c>
      <c r="C2655" t="s">
        <v>960</v>
      </c>
      <c r="D2655">
        <v>7.42</v>
      </c>
      <c r="E2655">
        <v>18.399999999999999</v>
      </c>
      <c r="F2655">
        <v>19.510000000000002</v>
      </c>
      <c r="G2655">
        <v>5.49</v>
      </c>
    </row>
    <row r="2656" spans="1:7" hidden="1">
      <c r="A2656">
        <v>205</v>
      </c>
      <c r="B2656" t="s">
        <v>1173</v>
      </c>
      <c r="C2656" t="s">
        <v>961</v>
      </c>
      <c r="D2656">
        <v>1.97</v>
      </c>
      <c r="E2656">
        <v>20.059999999999999</v>
      </c>
      <c r="F2656">
        <v>5.63</v>
      </c>
      <c r="G2656">
        <v>1.36</v>
      </c>
    </row>
    <row r="2657" spans="1:7" hidden="1">
      <c r="A2657">
        <v>205</v>
      </c>
      <c r="B2657" t="s">
        <v>1173</v>
      </c>
      <c r="C2657" t="s">
        <v>962</v>
      </c>
      <c r="D2657">
        <v>1.1299999999999999</v>
      </c>
      <c r="E2657">
        <v>24.72</v>
      </c>
      <c r="F2657">
        <v>4</v>
      </c>
      <c r="G2657">
        <v>0.66</v>
      </c>
    </row>
    <row r="2658" spans="1:7" hidden="1">
      <c r="A2658">
        <v>205</v>
      </c>
      <c r="B2658" t="s">
        <v>1173</v>
      </c>
      <c r="C2658" t="s">
        <v>963</v>
      </c>
      <c r="D2658">
        <v>3.75</v>
      </c>
      <c r="E2658">
        <v>18.13</v>
      </c>
      <c r="F2658">
        <v>9.7100000000000009</v>
      </c>
      <c r="G2658">
        <v>2.1</v>
      </c>
    </row>
    <row r="2659" spans="1:7" hidden="1">
      <c r="A2659">
        <v>205</v>
      </c>
      <c r="B2659" t="s">
        <v>1173</v>
      </c>
      <c r="C2659" t="s">
        <v>964</v>
      </c>
      <c r="D2659">
        <v>7.0000000000000007E-2</v>
      </c>
      <c r="E2659">
        <v>21.87</v>
      </c>
      <c r="F2659">
        <v>0.23</v>
      </c>
      <c r="G2659">
        <v>7.0000000000000007E-2</v>
      </c>
    </row>
    <row r="2660" spans="1:7" hidden="1">
      <c r="A2660">
        <v>205</v>
      </c>
      <c r="B2660" t="s">
        <v>1173</v>
      </c>
      <c r="C2660" t="s">
        <v>965</v>
      </c>
      <c r="D2660">
        <v>2.14</v>
      </c>
      <c r="E2660">
        <v>24.75</v>
      </c>
      <c r="F2660">
        <v>7.58</v>
      </c>
      <c r="G2660">
        <v>1.1499999999999999</v>
      </c>
    </row>
    <row r="2661" spans="1:7">
      <c r="A2661">
        <v>205</v>
      </c>
      <c r="B2661" t="s">
        <v>1173</v>
      </c>
      <c r="C2661" t="s">
        <v>24</v>
      </c>
      <c r="D2661">
        <v>24.19</v>
      </c>
      <c r="E2661">
        <v>19.329999999999998</v>
      </c>
      <c r="F2661">
        <v>66.81</v>
      </c>
      <c r="G2661">
        <v>15.39</v>
      </c>
    </row>
    <row r="2662" spans="1:7" hidden="1">
      <c r="A2662">
        <v>205</v>
      </c>
      <c r="B2662" t="s">
        <v>1173</v>
      </c>
      <c r="C2662" t="s">
        <v>966</v>
      </c>
      <c r="D2662">
        <v>13.22</v>
      </c>
      <c r="E2662">
        <v>18.05</v>
      </c>
      <c r="F2662">
        <v>34.1</v>
      </c>
      <c r="G2662">
        <v>12.74</v>
      </c>
    </row>
    <row r="2663" spans="1:7" hidden="1">
      <c r="A2663">
        <v>205</v>
      </c>
      <c r="B2663" t="s">
        <v>1173</v>
      </c>
      <c r="C2663" t="s">
        <v>967</v>
      </c>
      <c r="D2663">
        <v>7.0000000000000007E-2</v>
      </c>
      <c r="E2663">
        <v>17.91</v>
      </c>
      <c r="F2663">
        <v>0.17</v>
      </c>
      <c r="G2663">
        <v>0.03</v>
      </c>
    </row>
    <row r="2664" spans="1:7" hidden="1">
      <c r="A2664">
        <v>205</v>
      </c>
      <c r="B2664" t="s">
        <v>1173</v>
      </c>
      <c r="C2664" t="s">
        <v>968</v>
      </c>
      <c r="D2664">
        <v>0.65</v>
      </c>
      <c r="E2664">
        <v>18.09</v>
      </c>
      <c r="F2664">
        <v>1.69</v>
      </c>
      <c r="G2664">
        <v>0.27</v>
      </c>
    </row>
    <row r="2665" spans="1:7" hidden="1">
      <c r="A2665">
        <v>205</v>
      </c>
      <c r="B2665" t="s">
        <v>1173</v>
      </c>
      <c r="C2665" t="s">
        <v>969</v>
      </c>
      <c r="D2665">
        <v>1.75</v>
      </c>
      <c r="E2665">
        <v>24.75</v>
      </c>
      <c r="F2665">
        <v>6.2</v>
      </c>
      <c r="G2665">
        <v>0.09</v>
      </c>
    </row>
    <row r="2666" spans="1:7" hidden="1">
      <c r="A2666">
        <v>205</v>
      </c>
      <c r="B2666" t="s">
        <v>1173</v>
      </c>
      <c r="C2666" t="s">
        <v>970</v>
      </c>
      <c r="D2666">
        <v>0.22</v>
      </c>
      <c r="E2666">
        <v>24.75</v>
      </c>
      <c r="F2666">
        <v>0.79</v>
      </c>
      <c r="G2666">
        <v>0.11</v>
      </c>
    </row>
    <row r="2667" spans="1:7" hidden="1">
      <c r="A2667">
        <v>206</v>
      </c>
      <c r="B2667" t="s">
        <v>1174</v>
      </c>
      <c r="C2667" t="s">
        <v>959</v>
      </c>
      <c r="D2667">
        <v>3.97</v>
      </c>
      <c r="E2667">
        <v>18.309999999999999</v>
      </c>
      <c r="F2667">
        <v>10.4</v>
      </c>
      <c r="G2667">
        <v>0</v>
      </c>
    </row>
    <row r="2668" spans="1:7" hidden="1">
      <c r="A2668">
        <v>206</v>
      </c>
      <c r="B2668" t="s">
        <v>1174</v>
      </c>
      <c r="C2668" t="s">
        <v>960</v>
      </c>
      <c r="D2668">
        <v>5.25</v>
      </c>
      <c r="E2668">
        <v>18.399999999999999</v>
      </c>
      <c r="F2668">
        <v>13.8</v>
      </c>
      <c r="G2668">
        <v>0</v>
      </c>
    </row>
    <row r="2669" spans="1:7" hidden="1">
      <c r="A2669">
        <v>206</v>
      </c>
      <c r="B2669" t="s">
        <v>1174</v>
      </c>
      <c r="C2669" t="s">
        <v>961</v>
      </c>
      <c r="D2669">
        <v>3.35</v>
      </c>
      <c r="E2669">
        <v>20.059999999999999</v>
      </c>
      <c r="F2669">
        <v>9.61</v>
      </c>
      <c r="G2669">
        <v>0</v>
      </c>
    </row>
    <row r="2670" spans="1:7" hidden="1">
      <c r="A2670">
        <v>206</v>
      </c>
      <c r="B2670" t="s">
        <v>1174</v>
      </c>
      <c r="C2670" t="s">
        <v>962</v>
      </c>
      <c r="D2670">
        <v>1.1000000000000001</v>
      </c>
      <c r="E2670">
        <v>24.72</v>
      </c>
      <c r="F2670">
        <v>3.88</v>
      </c>
      <c r="G2670">
        <v>0</v>
      </c>
    </row>
    <row r="2671" spans="1:7" hidden="1">
      <c r="A2671">
        <v>206</v>
      </c>
      <c r="B2671" t="s">
        <v>1174</v>
      </c>
      <c r="C2671" t="s">
        <v>963</v>
      </c>
      <c r="D2671">
        <v>3.96</v>
      </c>
      <c r="E2671">
        <v>18.13</v>
      </c>
      <c r="F2671">
        <v>10.26</v>
      </c>
      <c r="G2671">
        <v>0</v>
      </c>
    </row>
    <row r="2672" spans="1:7" hidden="1">
      <c r="A2672">
        <v>206</v>
      </c>
      <c r="B2672" t="s">
        <v>1174</v>
      </c>
      <c r="C2672" t="s">
        <v>964</v>
      </c>
      <c r="D2672">
        <v>0.08</v>
      </c>
      <c r="E2672">
        <v>21.87</v>
      </c>
      <c r="F2672">
        <v>0.25</v>
      </c>
      <c r="G2672">
        <v>0</v>
      </c>
    </row>
    <row r="2673" spans="1:7" hidden="1">
      <c r="A2673">
        <v>206</v>
      </c>
      <c r="B2673" t="s">
        <v>1174</v>
      </c>
      <c r="C2673" t="s">
        <v>965</v>
      </c>
      <c r="D2673">
        <v>2.83</v>
      </c>
      <c r="E2673">
        <v>24.75</v>
      </c>
      <c r="F2673">
        <v>9.99</v>
      </c>
      <c r="G2673">
        <v>0</v>
      </c>
    </row>
    <row r="2674" spans="1:7">
      <c r="A2674">
        <v>206</v>
      </c>
      <c r="B2674" t="s">
        <v>1174</v>
      </c>
      <c r="C2674" t="s">
        <v>24</v>
      </c>
      <c r="D2674">
        <v>20.54</v>
      </c>
      <c r="E2674">
        <v>19.829999999999998</v>
      </c>
      <c r="F2674">
        <v>58.18</v>
      </c>
      <c r="G2674">
        <v>0</v>
      </c>
    </row>
    <row r="2675" spans="1:7" hidden="1">
      <c r="A2675">
        <v>206</v>
      </c>
      <c r="B2675" t="s">
        <v>1174</v>
      </c>
      <c r="C2675" t="s">
        <v>966</v>
      </c>
      <c r="D2675">
        <v>0</v>
      </c>
      <c r="E2675">
        <v>18.05</v>
      </c>
      <c r="F2675">
        <v>0</v>
      </c>
      <c r="G2675">
        <v>0</v>
      </c>
    </row>
    <row r="2676" spans="1:7" hidden="1">
      <c r="A2676">
        <v>206</v>
      </c>
      <c r="B2676" t="s">
        <v>1174</v>
      </c>
      <c r="C2676" t="s">
        <v>967</v>
      </c>
      <c r="D2676">
        <v>1.0900000000000001</v>
      </c>
      <c r="E2676">
        <v>17.91</v>
      </c>
      <c r="F2676">
        <v>2.79</v>
      </c>
      <c r="G2676">
        <v>0</v>
      </c>
    </row>
    <row r="2677" spans="1:7" hidden="1">
      <c r="A2677">
        <v>206</v>
      </c>
      <c r="B2677" t="s">
        <v>1174</v>
      </c>
      <c r="C2677" t="s">
        <v>968</v>
      </c>
      <c r="D2677">
        <v>0.9</v>
      </c>
      <c r="E2677">
        <v>18.09</v>
      </c>
      <c r="F2677">
        <v>2.33</v>
      </c>
      <c r="G2677">
        <v>0</v>
      </c>
    </row>
    <row r="2678" spans="1:7" hidden="1">
      <c r="A2678">
        <v>206</v>
      </c>
      <c r="B2678" t="s">
        <v>1174</v>
      </c>
      <c r="C2678" t="s">
        <v>969</v>
      </c>
      <c r="D2678">
        <v>0.21</v>
      </c>
      <c r="E2678">
        <v>24.75</v>
      </c>
      <c r="F2678">
        <v>0.75</v>
      </c>
      <c r="G2678">
        <v>0</v>
      </c>
    </row>
    <row r="2679" spans="1:7" hidden="1">
      <c r="A2679">
        <v>206</v>
      </c>
      <c r="B2679" t="s">
        <v>1174</v>
      </c>
      <c r="C2679" t="s">
        <v>970</v>
      </c>
      <c r="D2679">
        <v>0.4</v>
      </c>
      <c r="E2679">
        <v>24.75</v>
      </c>
      <c r="F2679">
        <v>1.4</v>
      </c>
      <c r="G2679">
        <v>0</v>
      </c>
    </row>
    <row r="2680" spans="1:7" hidden="1">
      <c r="A2680">
        <v>207</v>
      </c>
      <c r="B2680" t="s">
        <v>1175</v>
      </c>
      <c r="C2680" t="s">
        <v>959</v>
      </c>
      <c r="D2680">
        <v>7.9</v>
      </c>
      <c r="E2680">
        <v>18.309999999999999</v>
      </c>
      <c r="F2680">
        <v>20.68</v>
      </c>
      <c r="G2680">
        <v>4.45</v>
      </c>
    </row>
    <row r="2681" spans="1:7" hidden="1">
      <c r="A2681">
        <v>207</v>
      </c>
      <c r="B2681" t="s">
        <v>1175</v>
      </c>
      <c r="C2681" t="s">
        <v>960</v>
      </c>
      <c r="D2681">
        <v>7.72</v>
      </c>
      <c r="E2681">
        <v>18.399999999999999</v>
      </c>
      <c r="F2681">
        <v>20.29</v>
      </c>
      <c r="G2681">
        <v>5.55</v>
      </c>
    </row>
    <row r="2682" spans="1:7" hidden="1">
      <c r="A2682">
        <v>207</v>
      </c>
      <c r="B2682" t="s">
        <v>1175</v>
      </c>
      <c r="C2682" t="s">
        <v>961</v>
      </c>
      <c r="D2682">
        <v>2.21</v>
      </c>
      <c r="E2682">
        <v>20.059999999999999</v>
      </c>
      <c r="F2682">
        <v>6.32</v>
      </c>
      <c r="G2682">
        <v>1.49</v>
      </c>
    </row>
    <row r="2683" spans="1:7" hidden="1">
      <c r="A2683">
        <v>207</v>
      </c>
      <c r="B2683" t="s">
        <v>1175</v>
      </c>
      <c r="C2683" t="s">
        <v>962</v>
      </c>
      <c r="D2683">
        <v>1.19</v>
      </c>
      <c r="E2683">
        <v>24.72</v>
      </c>
      <c r="F2683">
        <v>4.21</v>
      </c>
      <c r="G2683">
        <v>0.72</v>
      </c>
    </row>
    <row r="2684" spans="1:7" hidden="1">
      <c r="A2684">
        <v>207</v>
      </c>
      <c r="B2684" t="s">
        <v>1175</v>
      </c>
      <c r="C2684" t="s">
        <v>963</v>
      </c>
      <c r="D2684">
        <v>4.1100000000000003</v>
      </c>
      <c r="E2684">
        <v>18.13</v>
      </c>
      <c r="F2684">
        <v>10.66</v>
      </c>
      <c r="G2684">
        <v>2.08</v>
      </c>
    </row>
    <row r="2685" spans="1:7" hidden="1">
      <c r="A2685">
        <v>207</v>
      </c>
      <c r="B2685" t="s">
        <v>1175</v>
      </c>
      <c r="C2685" t="s">
        <v>964</v>
      </c>
      <c r="D2685">
        <v>0.08</v>
      </c>
      <c r="E2685">
        <v>21.87</v>
      </c>
      <c r="F2685">
        <v>0.25</v>
      </c>
      <c r="G2685">
        <v>7.0000000000000007E-2</v>
      </c>
    </row>
    <row r="2686" spans="1:7" hidden="1">
      <c r="A2686">
        <v>207</v>
      </c>
      <c r="B2686" t="s">
        <v>1175</v>
      </c>
      <c r="C2686" t="s">
        <v>965</v>
      </c>
      <c r="D2686">
        <v>2.15</v>
      </c>
      <c r="E2686">
        <v>24.75</v>
      </c>
      <c r="F2686">
        <v>7.61</v>
      </c>
      <c r="G2686">
        <v>1.18</v>
      </c>
    </row>
    <row r="2687" spans="1:7">
      <c r="A2687">
        <v>207</v>
      </c>
      <c r="B2687" t="s">
        <v>1175</v>
      </c>
      <c r="C2687" t="s">
        <v>24</v>
      </c>
      <c r="D2687">
        <v>25.37</v>
      </c>
      <c r="E2687">
        <v>19.32</v>
      </c>
      <c r="F2687">
        <v>70.02</v>
      </c>
      <c r="G2687">
        <v>15.55</v>
      </c>
    </row>
    <row r="2688" spans="1:7" hidden="1">
      <c r="A2688">
        <v>207</v>
      </c>
      <c r="B2688" t="s">
        <v>1175</v>
      </c>
      <c r="C2688" t="s">
        <v>966</v>
      </c>
      <c r="D2688">
        <v>13.09</v>
      </c>
      <c r="E2688">
        <v>18.05</v>
      </c>
      <c r="F2688">
        <v>33.76</v>
      </c>
      <c r="G2688">
        <v>12.56</v>
      </c>
    </row>
    <row r="2689" spans="1:7" hidden="1">
      <c r="A2689">
        <v>207</v>
      </c>
      <c r="B2689" t="s">
        <v>1175</v>
      </c>
      <c r="C2689" t="s">
        <v>967</v>
      </c>
      <c r="D2689">
        <v>0.05</v>
      </c>
      <c r="E2689">
        <v>17.91</v>
      </c>
      <c r="F2689">
        <v>0.13</v>
      </c>
      <c r="G2689">
        <v>0.02</v>
      </c>
    </row>
    <row r="2690" spans="1:7" hidden="1">
      <c r="A2690">
        <v>207</v>
      </c>
      <c r="B2690" t="s">
        <v>1175</v>
      </c>
      <c r="C2690" t="s">
        <v>968</v>
      </c>
      <c r="D2690">
        <v>0.76</v>
      </c>
      <c r="E2690">
        <v>18.09</v>
      </c>
      <c r="F2690">
        <v>1.95</v>
      </c>
      <c r="G2690">
        <v>0.4</v>
      </c>
    </row>
    <row r="2691" spans="1:7" hidden="1">
      <c r="A2691">
        <v>207</v>
      </c>
      <c r="B2691" t="s">
        <v>1175</v>
      </c>
      <c r="C2691" t="s">
        <v>969</v>
      </c>
      <c r="D2691">
        <v>1.89</v>
      </c>
      <c r="E2691">
        <v>24.75</v>
      </c>
      <c r="F2691">
        <v>6.67</v>
      </c>
      <c r="G2691">
        <v>0.09</v>
      </c>
    </row>
    <row r="2692" spans="1:7" hidden="1">
      <c r="A2692">
        <v>207</v>
      </c>
      <c r="B2692" t="s">
        <v>1175</v>
      </c>
      <c r="C2692" t="s">
        <v>970</v>
      </c>
      <c r="D2692">
        <v>0.21</v>
      </c>
      <c r="E2692">
        <v>24.75</v>
      </c>
      <c r="F2692">
        <v>0.73</v>
      </c>
      <c r="G2692">
        <v>0.1</v>
      </c>
    </row>
    <row r="2693" spans="1:7" hidden="1">
      <c r="A2693">
        <v>208</v>
      </c>
      <c r="B2693" t="s">
        <v>1176</v>
      </c>
      <c r="C2693" t="s">
        <v>959</v>
      </c>
      <c r="D2693">
        <v>7.95</v>
      </c>
      <c r="E2693">
        <v>18.309999999999999</v>
      </c>
      <c r="F2693">
        <v>20.81</v>
      </c>
      <c r="G2693">
        <v>4.6500000000000004</v>
      </c>
    </row>
    <row r="2694" spans="1:7" hidden="1">
      <c r="A2694">
        <v>208</v>
      </c>
      <c r="B2694" t="s">
        <v>1176</v>
      </c>
      <c r="C2694" t="s">
        <v>960</v>
      </c>
      <c r="D2694">
        <v>7.53</v>
      </c>
      <c r="E2694">
        <v>18.399999999999999</v>
      </c>
      <c r="F2694">
        <v>19.79</v>
      </c>
      <c r="G2694">
        <v>5.56</v>
      </c>
    </row>
    <row r="2695" spans="1:7" hidden="1">
      <c r="A2695">
        <v>208</v>
      </c>
      <c r="B2695" t="s">
        <v>1176</v>
      </c>
      <c r="C2695" t="s">
        <v>961</v>
      </c>
      <c r="D2695">
        <v>2.21</v>
      </c>
      <c r="E2695">
        <v>20.059999999999999</v>
      </c>
      <c r="F2695">
        <v>6.33</v>
      </c>
      <c r="G2695">
        <v>1.57</v>
      </c>
    </row>
    <row r="2696" spans="1:7" hidden="1">
      <c r="A2696">
        <v>208</v>
      </c>
      <c r="B2696" t="s">
        <v>1176</v>
      </c>
      <c r="C2696" t="s">
        <v>962</v>
      </c>
      <c r="D2696">
        <v>1.2</v>
      </c>
      <c r="E2696">
        <v>24.72</v>
      </c>
      <c r="F2696">
        <v>4.2300000000000004</v>
      </c>
      <c r="G2696">
        <v>0.76</v>
      </c>
    </row>
    <row r="2697" spans="1:7" hidden="1">
      <c r="A2697">
        <v>208</v>
      </c>
      <c r="B2697" t="s">
        <v>1176</v>
      </c>
      <c r="C2697" t="s">
        <v>963</v>
      </c>
      <c r="D2697">
        <v>3.95</v>
      </c>
      <c r="E2697">
        <v>18.13</v>
      </c>
      <c r="F2697">
        <v>10.23</v>
      </c>
      <c r="G2697">
        <v>2.1800000000000002</v>
      </c>
    </row>
    <row r="2698" spans="1:7" hidden="1">
      <c r="A2698">
        <v>208</v>
      </c>
      <c r="B2698" t="s">
        <v>1176</v>
      </c>
      <c r="C2698" t="s">
        <v>964</v>
      </c>
      <c r="D2698">
        <v>0.09</v>
      </c>
      <c r="E2698">
        <v>21.87</v>
      </c>
      <c r="F2698">
        <v>0.27</v>
      </c>
      <c r="G2698">
        <v>0.08</v>
      </c>
    </row>
    <row r="2699" spans="1:7" hidden="1">
      <c r="A2699">
        <v>208</v>
      </c>
      <c r="B2699" t="s">
        <v>1176</v>
      </c>
      <c r="C2699" t="s">
        <v>965</v>
      </c>
      <c r="D2699">
        <v>2.1</v>
      </c>
      <c r="E2699">
        <v>24.75</v>
      </c>
      <c r="F2699">
        <v>7.41</v>
      </c>
      <c r="G2699">
        <v>1.2</v>
      </c>
    </row>
    <row r="2700" spans="1:7">
      <c r="A2700">
        <v>208</v>
      </c>
      <c r="B2700" t="s">
        <v>1176</v>
      </c>
      <c r="C2700" t="s">
        <v>24</v>
      </c>
      <c r="D2700">
        <v>25.03</v>
      </c>
      <c r="E2700">
        <v>19.32</v>
      </c>
      <c r="F2700">
        <v>69.08</v>
      </c>
      <c r="G2700">
        <v>16</v>
      </c>
    </row>
    <row r="2701" spans="1:7" hidden="1">
      <c r="A2701">
        <v>208</v>
      </c>
      <c r="B2701" t="s">
        <v>1176</v>
      </c>
      <c r="C2701" t="s">
        <v>966</v>
      </c>
      <c r="D2701">
        <v>13.74</v>
      </c>
      <c r="E2701">
        <v>18.05</v>
      </c>
      <c r="F2701">
        <v>35.44</v>
      </c>
      <c r="G2701">
        <v>13.19</v>
      </c>
    </row>
    <row r="2702" spans="1:7" hidden="1">
      <c r="A2702">
        <v>208</v>
      </c>
      <c r="B2702" t="s">
        <v>1176</v>
      </c>
      <c r="C2702" t="s">
        <v>967</v>
      </c>
      <c r="D2702">
        <v>0.04</v>
      </c>
      <c r="E2702">
        <v>17.91</v>
      </c>
      <c r="F2702">
        <v>0.11</v>
      </c>
      <c r="G2702">
        <v>0.03</v>
      </c>
    </row>
    <row r="2703" spans="1:7" hidden="1">
      <c r="A2703">
        <v>208</v>
      </c>
      <c r="B2703" t="s">
        <v>1176</v>
      </c>
      <c r="C2703" t="s">
        <v>968</v>
      </c>
      <c r="D2703">
        <v>0.67</v>
      </c>
      <c r="E2703">
        <v>18.09</v>
      </c>
      <c r="F2703">
        <v>1.73</v>
      </c>
      <c r="G2703">
        <v>0.28999999999999998</v>
      </c>
    </row>
    <row r="2704" spans="1:7" hidden="1">
      <c r="A2704">
        <v>208</v>
      </c>
      <c r="B2704" t="s">
        <v>1176</v>
      </c>
      <c r="C2704" t="s">
        <v>969</v>
      </c>
      <c r="D2704">
        <v>1.81</v>
      </c>
      <c r="E2704">
        <v>24.75</v>
      </c>
      <c r="F2704">
        <v>6.39</v>
      </c>
      <c r="G2704">
        <v>0.1</v>
      </c>
    </row>
    <row r="2705" spans="1:7" hidden="1">
      <c r="A2705">
        <v>208</v>
      </c>
      <c r="B2705" t="s">
        <v>1176</v>
      </c>
      <c r="C2705" t="s">
        <v>970</v>
      </c>
      <c r="D2705">
        <v>0.19</v>
      </c>
      <c r="E2705">
        <v>24.75</v>
      </c>
      <c r="F2705">
        <v>0.68</v>
      </c>
      <c r="G2705">
        <v>0.1</v>
      </c>
    </row>
    <row r="2706" spans="1:7" hidden="1">
      <c r="A2706">
        <v>209</v>
      </c>
      <c r="B2706" t="s">
        <v>1177</v>
      </c>
      <c r="C2706" t="s">
        <v>959</v>
      </c>
      <c r="D2706">
        <v>9.32</v>
      </c>
      <c r="E2706">
        <v>18.309999999999999</v>
      </c>
      <c r="F2706">
        <v>24.38</v>
      </c>
      <c r="G2706">
        <v>7.96</v>
      </c>
    </row>
    <row r="2707" spans="1:7" hidden="1">
      <c r="A2707">
        <v>209</v>
      </c>
      <c r="B2707" t="s">
        <v>1177</v>
      </c>
      <c r="C2707" t="s">
        <v>960</v>
      </c>
      <c r="D2707">
        <v>11.1</v>
      </c>
      <c r="E2707">
        <v>18.399999999999999</v>
      </c>
      <c r="F2707">
        <v>29.18</v>
      </c>
      <c r="G2707">
        <v>9.6300000000000008</v>
      </c>
    </row>
    <row r="2708" spans="1:7" hidden="1">
      <c r="A2708">
        <v>209</v>
      </c>
      <c r="B2708" t="s">
        <v>1177</v>
      </c>
      <c r="C2708" t="s">
        <v>961</v>
      </c>
      <c r="D2708">
        <v>1.23</v>
      </c>
      <c r="E2708">
        <v>20.059999999999999</v>
      </c>
      <c r="F2708">
        <v>3.51</v>
      </c>
      <c r="G2708">
        <v>1.05</v>
      </c>
    </row>
    <row r="2709" spans="1:7" hidden="1">
      <c r="A2709">
        <v>209</v>
      </c>
      <c r="B2709" t="s">
        <v>1177</v>
      </c>
      <c r="C2709" t="s">
        <v>962</v>
      </c>
      <c r="D2709">
        <v>1.1200000000000001</v>
      </c>
      <c r="E2709">
        <v>24.72</v>
      </c>
      <c r="F2709">
        <v>3.95</v>
      </c>
      <c r="G2709">
        <v>0.93</v>
      </c>
    </row>
    <row r="2710" spans="1:7" hidden="1">
      <c r="A2710">
        <v>209</v>
      </c>
      <c r="B2710" t="s">
        <v>1177</v>
      </c>
      <c r="C2710" t="s">
        <v>963</v>
      </c>
      <c r="D2710">
        <v>3.55</v>
      </c>
      <c r="E2710">
        <v>18.13</v>
      </c>
      <c r="F2710">
        <v>9.1999999999999993</v>
      </c>
      <c r="G2710">
        <v>2.96</v>
      </c>
    </row>
    <row r="2711" spans="1:7" hidden="1">
      <c r="A2711">
        <v>209</v>
      </c>
      <c r="B2711" t="s">
        <v>1177</v>
      </c>
      <c r="C2711" t="s">
        <v>964</v>
      </c>
      <c r="D2711">
        <v>0.14000000000000001</v>
      </c>
      <c r="E2711">
        <v>21.87</v>
      </c>
      <c r="F2711">
        <v>0.43</v>
      </c>
      <c r="G2711">
        <v>0.12</v>
      </c>
    </row>
    <row r="2712" spans="1:7" hidden="1">
      <c r="A2712">
        <v>209</v>
      </c>
      <c r="B2712" t="s">
        <v>1177</v>
      </c>
      <c r="C2712" t="s">
        <v>965</v>
      </c>
      <c r="D2712">
        <v>2.11</v>
      </c>
      <c r="E2712">
        <v>24.75</v>
      </c>
      <c r="F2712">
        <v>7.45</v>
      </c>
      <c r="G2712">
        <v>1.74</v>
      </c>
    </row>
    <row r="2713" spans="1:7">
      <c r="A2713">
        <v>209</v>
      </c>
      <c r="B2713" t="s">
        <v>1177</v>
      </c>
      <c r="C2713" t="s">
        <v>24</v>
      </c>
      <c r="D2713">
        <v>28.57</v>
      </c>
      <c r="E2713">
        <v>19.14</v>
      </c>
      <c r="F2713">
        <v>78.12</v>
      </c>
      <c r="G2713">
        <v>24.39</v>
      </c>
    </row>
    <row r="2714" spans="1:7" hidden="1">
      <c r="A2714">
        <v>209</v>
      </c>
      <c r="B2714" t="s">
        <v>1177</v>
      </c>
      <c r="C2714" t="s">
        <v>966</v>
      </c>
      <c r="D2714">
        <v>26.46</v>
      </c>
      <c r="E2714">
        <v>18.05</v>
      </c>
      <c r="F2714">
        <v>68.239999999999995</v>
      </c>
      <c r="G2714">
        <v>26.02</v>
      </c>
    </row>
    <row r="2715" spans="1:7" hidden="1">
      <c r="A2715">
        <v>209</v>
      </c>
      <c r="B2715" t="s">
        <v>1177</v>
      </c>
      <c r="C2715" t="s">
        <v>967</v>
      </c>
      <c r="D2715">
        <v>0.25</v>
      </c>
      <c r="E2715">
        <v>17.91</v>
      </c>
      <c r="F2715">
        <v>0.63</v>
      </c>
      <c r="G2715">
        <v>0.18</v>
      </c>
    </row>
    <row r="2716" spans="1:7" hidden="1">
      <c r="A2716">
        <v>209</v>
      </c>
      <c r="B2716" t="s">
        <v>1177</v>
      </c>
      <c r="C2716" t="s">
        <v>968</v>
      </c>
      <c r="D2716">
        <v>0.39</v>
      </c>
      <c r="E2716">
        <v>18.09</v>
      </c>
      <c r="F2716">
        <v>1.01</v>
      </c>
      <c r="G2716">
        <v>0.33</v>
      </c>
    </row>
    <row r="2717" spans="1:7" hidden="1">
      <c r="A2717">
        <v>209</v>
      </c>
      <c r="B2717" t="s">
        <v>1177</v>
      </c>
      <c r="C2717" t="s">
        <v>969</v>
      </c>
      <c r="D2717">
        <v>1.81</v>
      </c>
      <c r="E2717">
        <v>24.75</v>
      </c>
      <c r="F2717">
        <v>6.41</v>
      </c>
      <c r="G2717">
        <v>0.17</v>
      </c>
    </row>
    <row r="2718" spans="1:7" hidden="1">
      <c r="A2718">
        <v>209</v>
      </c>
      <c r="B2718" t="s">
        <v>1177</v>
      </c>
      <c r="C2718" t="s">
        <v>970</v>
      </c>
      <c r="D2718">
        <v>0.19</v>
      </c>
      <c r="E2718">
        <v>24.75</v>
      </c>
      <c r="F2718">
        <v>0.67</v>
      </c>
      <c r="G2718">
        <v>0.15</v>
      </c>
    </row>
    <row r="2719" spans="1:7" hidden="1">
      <c r="A2719">
        <v>210</v>
      </c>
      <c r="B2719" t="s">
        <v>1178</v>
      </c>
      <c r="C2719" t="s">
        <v>959</v>
      </c>
      <c r="D2719">
        <v>10.94</v>
      </c>
      <c r="E2719">
        <v>18.309999999999999</v>
      </c>
      <c r="F2719">
        <v>28.63</v>
      </c>
      <c r="G2719">
        <v>8.44</v>
      </c>
    </row>
    <row r="2720" spans="1:7" hidden="1">
      <c r="A2720">
        <v>210</v>
      </c>
      <c r="B2720" t="s">
        <v>1178</v>
      </c>
      <c r="C2720" t="s">
        <v>960</v>
      </c>
      <c r="D2720">
        <v>11.15</v>
      </c>
      <c r="E2720">
        <v>18.399999999999999</v>
      </c>
      <c r="F2720">
        <v>29.3</v>
      </c>
      <c r="G2720">
        <v>9.11</v>
      </c>
    </row>
    <row r="2721" spans="1:7" hidden="1">
      <c r="A2721">
        <v>210</v>
      </c>
      <c r="B2721" t="s">
        <v>1178</v>
      </c>
      <c r="C2721" t="s">
        <v>961</v>
      </c>
      <c r="D2721">
        <v>2.0299999999999998</v>
      </c>
      <c r="E2721">
        <v>20.059999999999999</v>
      </c>
      <c r="F2721">
        <v>5.82</v>
      </c>
      <c r="G2721">
        <v>1.66</v>
      </c>
    </row>
    <row r="2722" spans="1:7" hidden="1">
      <c r="A2722">
        <v>210</v>
      </c>
      <c r="B2722" t="s">
        <v>1178</v>
      </c>
      <c r="C2722" t="s">
        <v>962</v>
      </c>
      <c r="D2722">
        <v>1.3</v>
      </c>
      <c r="E2722">
        <v>24.72</v>
      </c>
      <c r="F2722">
        <v>4.6100000000000003</v>
      </c>
      <c r="G2722">
        <v>0.9</v>
      </c>
    </row>
    <row r="2723" spans="1:7" hidden="1">
      <c r="A2723">
        <v>210</v>
      </c>
      <c r="B2723" t="s">
        <v>1178</v>
      </c>
      <c r="C2723" t="s">
        <v>963</v>
      </c>
      <c r="D2723">
        <v>3.71</v>
      </c>
      <c r="E2723">
        <v>18.13</v>
      </c>
      <c r="F2723">
        <v>9.61</v>
      </c>
      <c r="G2723">
        <v>2.57</v>
      </c>
    </row>
    <row r="2724" spans="1:7" hidden="1">
      <c r="A2724">
        <v>210</v>
      </c>
      <c r="B2724" t="s">
        <v>1178</v>
      </c>
      <c r="C2724" t="s">
        <v>964</v>
      </c>
      <c r="D2724">
        <v>0.18</v>
      </c>
      <c r="E2724">
        <v>21.87</v>
      </c>
      <c r="F2724">
        <v>0.55000000000000004</v>
      </c>
      <c r="G2724">
        <v>0.14000000000000001</v>
      </c>
    </row>
    <row r="2725" spans="1:7" hidden="1">
      <c r="A2725">
        <v>210</v>
      </c>
      <c r="B2725" t="s">
        <v>1178</v>
      </c>
      <c r="C2725" t="s">
        <v>965</v>
      </c>
      <c r="D2725">
        <v>2.29</v>
      </c>
      <c r="E2725">
        <v>24.75</v>
      </c>
      <c r="F2725">
        <v>8.09</v>
      </c>
      <c r="G2725">
        <v>1.62</v>
      </c>
    </row>
    <row r="2726" spans="1:7">
      <c r="A2726">
        <v>210</v>
      </c>
      <c r="B2726" t="s">
        <v>1178</v>
      </c>
      <c r="C2726" t="s">
        <v>24</v>
      </c>
      <c r="D2726">
        <v>31.6</v>
      </c>
      <c r="E2726">
        <v>19.18</v>
      </c>
      <c r="F2726">
        <v>86.61</v>
      </c>
      <c r="G2726">
        <v>24.43</v>
      </c>
    </row>
    <row r="2727" spans="1:7" hidden="1">
      <c r="A2727">
        <v>210</v>
      </c>
      <c r="B2727" t="s">
        <v>1178</v>
      </c>
      <c r="C2727" t="s">
        <v>966</v>
      </c>
      <c r="D2727">
        <v>19.45</v>
      </c>
      <c r="E2727">
        <v>18.05</v>
      </c>
      <c r="F2727">
        <v>50.17</v>
      </c>
      <c r="G2727">
        <v>18.940000000000001</v>
      </c>
    </row>
    <row r="2728" spans="1:7" hidden="1">
      <c r="A2728">
        <v>210</v>
      </c>
      <c r="B2728" t="s">
        <v>1178</v>
      </c>
      <c r="C2728" t="s">
        <v>967</v>
      </c>
      <c r="D2728">
        <v>0.22</v>
      </c>
      <c r="E2728">
        <v>17.91</v>
      </c>
      <c r="F2728">
        <v>0.56999999999999995</v>
      </c>
      <c r="G2728">
        <v>0.16</v>
      </c>
    </row>
    <row r="2729" spans="1:7" hidden="1">
      <c r="A2729">
        <v>210</v>
      </c>
      <c r="B2729" t="s">
        <v>1178</v>
      </c>
      <c r="C2729" t="s">
        <v>968</v>
      </c>
      <c r="D2729">
        <v>0.55000000000000004</v>
      </c>
      <c r="E2729">
        <v>18.09</v>
      </c>
      <c r="F2729">
        <v>1.41</v>
      </c>
      <c r="G2729">
        <v>0.31</v>
      </c>
    </row>
    <row r="2730" spans="1:7" hidden="1">
      <c r="A2730">
        <v>210</v>
      </c>
      <c r="B2730" t="s">
        <v>1178</v>
      </c>
      <c r="C2730" t="s">
        <v>969</v>
      </c>
      <c r="D2730">
        <v>2.4</v>
      </c>
      <c r="E2730">
        <v>24.75</v>
      </c>
      <c r="F2730">
        <v>8.4700000000000006</v>
      </c>
      <c r="G2730">
        <v>0.09</v>
      </c>
    </row>
    <row r="2731" spans="1:7" hidden="1">
      <c r="A2731">
        <v>210</v>
      </c>
      <c r="B2731" t="s">
        <v>1178</v>
      </c>
      <c r="C2731" t="s">
        <v>970</v>
      </c>
      <c r="D2731">
        <v>0.24</v>
      </c>
      <c r="E2731">
        <v>24.75</v>
      </c>
      <c r="F2731">
        <v>0.85</v>
      </c>
      <c r="G2731">
        <v>0.16</v>
      </c>
    </row>
    <row r="2732" spans="1:7" hidden="1">
      <c r="A2732">
        <v>211</v>
      </c>
      <c r="B2732" t="s">
        <v>1179</v>
      </c>
      <c r="C2732" t="s">
        <v>959</v>
      </c>
      <c r="D2732">
        <v>11.92</v>
      </c>
      <c r="E2732">
        <v>18.309999999999999</v>
      </c>
      <c r="F2732">
        <v>31.18</v>
      </c>
      <c r="G2732">
        <v>5.81</v>
      </c>
    </row>
    <row r="2733" spans="1:7" hidden="1">
      <c r="A2733">
        <v>211</v>
      </c>
      <c r="B2733" t="s">
        <v>1179</v>
      </c>
      <c r="C2733" t="s">
        <v>960</v>
      </c>
      <c r="D2733">
        <v>12.1</v>
      </c>
      <c r="E2733">
        <v>18.399999999999999</v>
      </c>
      <c r="F2733">
        <v>31.79</v>
      </c>
      <c r="G2733">
        <v>7.99</v>
      </c>
    </row>
    <row r="2734" spans="1:7" hidden="1">
      <c r="A2734">
        <v>211</v>
      </c>
      <c r="B2734" t="s">
        <v>1179</v>
      </c>
      <c r="C2734" t="s">
        <v>961</v>
      </c>
      <c r="D2734">
        <v>2.74</v>
      </c>
      <c r="E2734">
        <v>20.059999999999999</v>
      </c>
      <c r="F2734">
        <v>7.86</v>
      </c>
      <c r="G2734">
        <v>1.68</v>
      </c>
    </row>
    <row r="2735" spans="1:7" hidden="1">
      <c r="A2735">
        <v>211</v>
      </c>
      <c r="B2735" t="s">
        <v>1179</v>
      </c>
      <c r="C2735" t="s">
        <v>962</v>
      </c>
      <c r="D2735">
        <v>1.53</v>
      </c>
      <c r="E2735">
        <v>24.72</v>
      </c>
      <c r="F2735">
        <v>5.4</v>
      </c>
      <c r="G2735">
        <v>0.74</v>
      </c>
    </row>
    <row r="2736" spans="1:7" hidden="1">
      <c r="A2736">
        <v>211</v>
      </c>
      <c r="B2736" t="s">
        <v>1179</v>
      </c>
      <c r="C2736" t="s">
        <v>963</v>
      </c>
      <c r="D2736">
        <v>4.51</v>
      </c>
      <c r="E2736">
        <v>18.13</v>
      </c>
      <c r="F2736">
        <v>11.69</v>
      </c>
      <c r="G2736">
        <v>1.93</v>
      </c>
    </row>
    <row r="2737" spans="1:7" hidden="1">
      <c r="A2737">
        <v>211</v>
      </c>
      <c r="B2737" t="s">
        <v>1179</v>
      </c>
      <c r="C2737" t="s">
        <v>964</v>
      </c>
      <c r="D2737">
        <v>0.16</v>
      </c>
      <c r="E2737">
        <v>21.87</v>
      </c>
      <c r="F2737">
        <v>0.51</v>
      </c>
      <c r="G2737">
        <v>0.06</v>
      </c>
    </row>
    <row r="2738" spans="1:7" hidden="1">
      <c r="A2738">
        <v>211</v>
      </c>
      <c r="B2738" t="s">
        <v>1179</v>
      </c>
      <c r="C2738" t="s">
        <v>965</v>
      </c>
      <c r="D2738">
        <v>2.89</v>
      </c>
      <c r="E2738">
        <v>24.75</v>
      </c>
      <c r="F2738">
        <v>10.210000000000001</v>
      </c>
      <c r="G2738">
        <v>1.4</v>
      </c>
    </row>
    <row r="2739" spans="1:7">
      <c r="A2739">
        <v>211</v>
      </c>
      <c r="B2739" t="s">
        <v>1179</v>
      </c>
      <c r="C2739" t="s">
        <v>24</v>
      </c>
      <c r="D2739">
        <v>35.85</v>
      </c>
      <c r="E2739">
        <v>19.260000000000002</v>
      </c>
      <c r="F2739">
        <v>98.64</v>
      </c>
      <c r="G2739">
        <v>19.62</v>
      </c>
    </row>
    <row r="2740" spans="1:7" hidden="1">
      <c r="A2740">
        <v>211</v>
      </c>
      <c r="B2740" t="s">
        <v>1179</v>
      </c>
      <c r="C2740" t="s">
        <v>966</v>
      </c>
      <c r="D2740">
        <v>12.51</v>
      </c>
      <c r="E2740">
        <v>18.05</v>
      </c>
      <c r="F2740">
        <v>32.25</v>
      </c>
      <c r="G2740">
        <v>11.56</v>
      </c>
    </row>
    <row r="2741" spans="1:7" hidden="1">
      <c r="A2741">
        <v>211</v>
      </c>
      <c r="B2741" t="s">
        <v>1179</v>
      </c>
      <c r="C2741" t="s">
        <v>967</v>
      </c>
      <c r="D2741">
        <v>0.28999999999999998</v>
      </c>
      <c r="E2741">
        <v>17.91</v>
      </c>
      <c r="F2741">
        <v>0.73</v>
      </c>
      <c r="G2741">
        <v>0.09</v>
      </c>
    </row>
    <row r="2742" spans="1:7" hidden="1">
      <c r="A2742">
        <v>211</v>
      </c>
      <c r="B2742" t="s">
        <v>1179</v>
      </c>
      <c r="C2742" t="s">
        <v>968</v>
      </c>
      <c r="D2742">
        <v>0.83</v>
      </c>
      <c r="E2742">
        <v>18.09</v>
      </c>
      <c r="F2742">
        <v>2.15</v>
      </c>
      <c r="G2742">
        <v>0.3</v>
      </c>
    </row>
    <row r="2743" spans="1:7" hidden="1">
      <c r="A2743">
        <v>211</v>
      </c>
      <c r="B2743" t="s">
        <v>1179</v>
      </c>
      <c r="C2743" t="s">
        <v>969</v>
      </c>
      <c r="D2743">
        <v>2.81</v>
      </c>
      <c r="E2743">
        <v>24.75</v>
      </c>
      <c r="F2743">
        <v>9.94</v>
      </c>
      <c r="G2743">
        <v>0.05</v>
      </c>
    </row>
    <row r="2744" spans="1:7" hidden="1">
      <c r="A2744">
        <v>211</v>
      </c>
      <c r="B2744" t="s">
        <v>1179</v>
      </c>
      <c r="C2744" t="s">
        <v>970</v>
      </c>
      <c r="D2744">
        <v>0.38</v>
      </c>
      <c r="E2744">
        <v>24.75</v>
      </c>
      <c r="F2744">
        <v>1.34</v>
      </c>
      <c r="G2744">
        <v>0.18</v>
      </c>
    </row>
    <row r="2745" spans="1:7" hidden="1">
      <c r="A2745">
        <v>212</v>
      </c>
      <c r="B2745" t="s">
        <v>1180</v>
      </c>
      <c r="C2745" t="s">
        <v>959</v>
      </c>
      <c r="D2745">
        <v>12.19</v>
      </c>
      <c r="E2745">
        <v>18.309999999999999</v>
      </c>
      <c r="F2745">
        <v>31.88</v>
      </c>
      <c r="G2745">
        <v>0</v>
      </c>
    </row>
    <row r="2746" spans="1:7" hidden="1">
      <c r="A2746">
        <v>212</v>
      </c>
      <c r="B2746" t="s">
        <v>1180</v>
      </c>
      <c r="C2746" t="s">
        <v>960</v>
      </c>
      <c r="D2746">
        <v>10.69</v>
      </c>
      <c r="E2746">
        <v>18.399999999999999</v>
      </c>
      <c r="F2746">
        <v>28.1</v>
      </c>
      <c r="G2746">
        <v>0</v>
      </c>
    </row>
    <row r="2747" spans="1:7" hidden="1">
      <c r="A2747">
        <v>212</v>
      </c>
      <c r="B2747" t="s">
        <v>1180</v>
      </c>
      <c r="C2747" t="s">
        <v>961</v>
      </c>
      <c r="D2747">
        <v>3.87</v>
      </c>
      <c r="E2747">
        <v>20.059999999999999</v>
      </c>
      <c r="F2747">
        <v>11.08</v>
      </c>
      <c r="G2747">
        <v>0</v>
      </c>
    </row>
    <row r="2748" spans="1:7" hidden="1">
      <c r="A2748">
        <v>212</v>
      </c>
      <c r="B2748" t="s">
        <v>1180</v>
      </c>
      <c r="C2748" t="s">
        <v>962</v>
      </c>
      <c r="D2748">
        <v>1.9</v>
      </c>
      <c r="E2748">
        <v>24.72</v>
      </c>
      <c r="F2748">
        <v>6.73</v>
      </c>
      <c r="G2748">
        <v>0</v>
      </c>
    </row>
    <row r="2749" spans="1:7" hidden="1">
      <c r="A2749">
        <v>212</v>
      </c>
      <c r="B2749" t="s">
        <v>1180</v>
      </c>
      <c r="C2749" t="s">
        <v>963</v>
      </c>
      <c r="D2749">
        <v>4.4400000000000004</v>
      </c>
      <c r="E2749">
        <v>18.13</v>
      </c>
      <c r="F2749">
        <v>11.5</v>
      </c>
      <c r="G2749">
        <v>0</v>
      </c>
    </row>
    <row r="2750" spans="1:7" hidden="1">
      <c r="A2750">
        <v>212</v>
      </c>
      <c r="B2750" t="s">
        <v>1180</v>
      </c>
      <c r="C2750" t="s">
        <v>964</v>
      </c>
      <c r="D2750">
        <v>0.27</v>
      </c>
      <c r="E2750">
        <v>21.87</v>
      </c>
      <c r="F2750">
        <v>0.84</v>
      </c>
      <c r="G2750">
        <v>0</v>
      </c>
    </row>
    <row r="2751" spans="1:7" hidden="1">
      <c r="A2751">
        <v>212</v>
      </c>
      <c r="B2751" t="s">
        <v>1180</v>
      </c>
      <c r="C2751" t="s">
        <v>965</v>
      </c>
      <c r="D2751">
        <v>3.02</v>
      </c>
      <c r="E2751">
        <v>24.75</v>
      </c>
      <c r="F2751">
        <v>10.66</v>
      </c>
      <c r="G2751">
        <v>0</v>
      </c>
    </row>
    <row r="2752" spans="1:7">
      <c r="A2752">
        <v>212</v>
      </c>
      <c r="B2752" t="s">
        <v>1180</v>
      </c>
      <c r="C2752" t="s">
        <v>24</v>
      </c>
      <c r="D2752">
        <v>36.380000000000003</v>
      </c>
      <c r="E2752">
        <v>19.399999999999999</v>
      </c>
      <c r="F2752">
        <v>100.8</v>
      </c>
      <c r="G2752">
        <v>0</v>
      </c>
    </row>
    <row r="2753" spans="1:7" hidden="1">
      <c r="A2753">
        <v>212</v>
      </c>
      <c r="B2753" t="s">
        <v>1180</v>
      </c>
      <c r="C2753" t="s">
        <v>966</v>
      </c>
      <c r="D2753">
        <v>5.36</v>
      </c>
      <c r="E2753">
        <v>18.05</v>
      </c>
      <c r="F2753">
        <v>13.81</v>
      </c>
      <c r="G2753">
        <v>4.5599999999999996</v>
      </c>
    </row>
    <row r="2754" spans="1:7" hidden="1">
      <c r="A2754">
        <v>212</v>
      </c>
      <c r="B2754" t="s">
        <v>1180</v>
      </c>
      <c r="C2754" t="s">
        <v>967</v>
      </c>
      <c r="D2754">
        <v>0.51</v>
      </c>
      <c r="E2754">
        <v>17.91</v>
      </c>
      <c r="F2754">
        <v>1.3</v>
      </c>
      <c r="G2754">
        <v>0</v>
      </c>
    </row>
    <row r="2755" spans="1:7" hidden="1">
      <c r="A2755">
        <v>212</v>
      </c>
      <c r="B2755" t="s">
        <v>1180</v>
      </c>
      <c r="C2755" t="s">
        <v>968</v>
      </c>
      <c r="D2755">
        <v>1.2</v>
      </c>
      <c r="E2755">
        <v>18.09</v>
      </c>
      <c r="F2755">
        <v>3.1</v>
      </c>
      <c r="G2755">
        <v>0</v>
      </c>
    </row>
    <row r="2756" spans="1:7" hidden="1">
      <c r="A2756">
        <v>212</v>
      </c>
      <c r="B2756" t="s">
        <v>1180</v>
      </c>
      <c r="C2756" t="s">
        <v>969</v>
      </c>
      <c r="D2756">
        <v>2.4500000000000002</v>
      </c>
      <c r="E2756">
        <v>24.75</v>
      </c>
      <c r="F2756">
        <v>8.67</v>
      </c>
      <c r="G2756">
        <v>0</v>
      </c>
    </row>
    <row r="2757" spans="1:7" hidden="1">
      <c r="A2757">
        <v>212</v>
      </c>
      <c r="B2757" t="s">
        <v>1180</v>
      </c>
      <c r="C2757" t="s">
        <v>970</v>
      </c>
      <c r="D2757">
        <v>0.43</v>
      </c>
      <c r="E2757">
        <v>24.75</v>
      </c>
      <c r="F2757">
        <v>1.5</v>
      </c>
      <c r="G2757">
        <v>0</v>
      </c>
    </row>
    <row r="2758" spans="1:7" hidden="1">
      <c r="A2758">
        <v>213</v>
      </c>
      <c r="B2758" t="s">
        <v>1181</v>
      </c>
      <c r="C2758" t="s">
        <v>959</v>
      </c>
      <c r="D2758">
        <v>10.49</v>
      </c>
      <c r="E2758">
        <v>18.309999999999999</v>
      </c>
      <c r="F2758">
        <v>27.44</v>
      </c>
      <c r="G2758">
        <v>0</v>
      </c>
    </row>
    <row r="2759" spans="1:7" hidden="1">
      <c r="A2759">
        <v>213</v>
      </c>
      <c r="B2759" t="s">
        <v>1181</v>
      </c>
      <c r="C2759" t="s">
        <v>960</v>
      </c>
      <c r="D2759">
        <v>9.0399999999999991</v>
      </c>
      <c r="E2759">
        <v>18.399999999999999</v>
      </c>
      <c r="F2759">
        <v>23.76</v>
      </c>
      <c r="G2759">
        <v>0</v>
      </c>
    </row>
    <row r="2760" spans="1:7" hidden="1">
      <c r="A2760">
        <v>213</v>
      </c>
      <c r="B2760" t="s">
        <v>1181</v>
      </c>
      <c r="C2760" t="s">
        <v>961</v>
      </c>
      <c r="D2760">
        <v>4.6500000000000004</v>
      </c>
      <c r="E2760">
        <v>20.059999999999999</v>
      </c>
      <c r="F2760">
        <v>13.33</v>
      </c>
      <c r="G2760">
        <v>0</v>
      </c>
    </row>
    <row r="2761" spans="1:7" hidden="1">
      <c r="A2761">
        <v>213</v>
      </c>
      <c r="B2761" t="s">
        <v>1181</v>
      </c>
      <c r="C2761" t="s">
        <v>962</v>
      </c>
      <c r="D2761">
        <v>1.57</v>
      </c>
      <c r="E2761">
        <v>24.72</v>
      </c>
      <c r="F2761">
        <v>5.55</v>
      </c>
      <c r="G2761">
        <v>0</v>
      </c>
    </row>
    <row r="2762" spans="1:7" hidden="1">
      <c r="A2762">
        <v>213</v>
      </c>
      <c r="B2762" t="s">
        <v>1181</v>
      </c>
      <c r="C2762" t="s">
        <v>963</v>
      </c>
      <c r="D2762">
        <v>4.03</v>
      </c>
      <c r="E2762">
        <v>18.13</v>
      </c>
      <c r="F2762">
        <v>10.45</v>
      </c>
      <c r="G2762">
        <v>0.01</v>
      </c>
    </row>
    <row r="2763" spans="1:7" hidden="1">
      <c r="A2763">
        <v>213</v>
      </c>
      <c r="B2763" t="s">
        <v>1181</v>
      </c>
      <c r="C2763" t="s">
        <v>964</v>
      </c>
      <c r="D2763">
        <v>0.32</v>
      </c>
      <c r="E2763">
        <v>21.87</v>
      </c>
      <c r="F2763">
        <v>0.99</v>
      </c>
      <c r="G2763">
        <v>0</v>
      </c>
    </row>
    <row r="2764" spans="1:7" hidden="1">
      <c r="A2764">
        <v>213</v>
      </c>
      <c r="B2764" t="s">
        <v>1181</v>
      </c>
      <c r="C2764" t="s">
        <v>965</v>
      </c>
      <c r="D2764">
        <v>2.65</v>
      </c>
      <c r="E2764">
        <v>24.75</v>
      </c>
      <c r="F2764">
        <v>9.3800000000000008</v>
      </c>
      <c r="G2764">
        <v>0</v>
      </c>
    </row>
    <row r="2765" spans="1:7">
      <c r="A2765">
        <v>213</v>
      </c>
      <c r="B2765" t="s">
        <v>1181</v>
      </c>
      <c r="C2765" t="s">
        <v>24</v>
      </c>
      <c r="D2765">
        <v>32.76</v>
      </c>
      <c r="E2765">
        <v>19.420000000000002</v>
      </c>
      <c r="F2765">
        <v>90.9</v>
      </c>
      <c r="G2765">
        <v>0.01</v>
      </c>
    </row>
    <row r="2766" spans="1:7" hidden="1">
      <c r="A2766">
        <v>213</v>
      </c>
      <c r="B2766" t="s">
        <v>1181</v>
      </c>
      <c r="C2766" t="s">
        <v>966</v>
      </c>
      <c r="D2766">
        <v>0</v>
      </c>
      <c r="E2766">
        <v>18.05</v>
      </c>
      <c r="F2766">
        <v>0</v>
      </c>
      <c r="G2766">
        <v>0</v>
      </c>
    </row>
    <row r="2767" spans="1:7" hidden="1">
      <c r="A2767">
        <v>213</v>
      </c>
      <c r="B2767" t="s">
        <v>1181</v>
      </c>
      <c r="C2767" t="s">
        <v>967</v>
      </c>
      <c r="D2767">
        <v>0.79</v>
      </c>
      <c r="E2767">
        <v>17.91</v>
      </c>
      <c r="F2767">
        <v>2.0299999999999998</v>
      </c>
      <c r="G2767">
        <v>0</v>
      </c>
    </row>
    <row r="2768" spans="1:7" hidden="1">
      <c r="A2768">
        <v>213</v>
      </c>
      <c r="B2768" t="s">
        <v>1181</v>
      </c>
      <c r="C2768" t="s">
        <v>968</v>
      </c>
      <c r="D2768">
        <v>2.87</v>
      </c>
      <c r="E2768">
        <v>18.09</v>
      </c>
      <c r="F2768">
        <v>7.42</v>
      </c>
      <c r="G2768">
        <v>0</v>
      </c>
    </row>
    <row r="2769" spans="1:7" hidden="1">
      <c r="A2769">
        <v>213</v>
      </c>
      <c r="B2769" t="s">
        <v>1181</v>
      </c>
      <c r="C2769" t="s">
        <v>969</v>
      </c>
      <c r="D2769">
        <v>0.25</v>
      </c>
      <c r="E2769">
        <v>24.75</v>
      </c>
      <c r="F2769">
        <v>0.87</v>
      </c>
      <c r="G2769">
        <v>0</v>
      </c>
    </row>
    <row r="2770" spans="1:7" hidden="1">
      <c r="A2770">
        <v>213</v>
      </c>
      <c r="B2770" t="s">
        <v>1181</v>
      </c>
      <c r="C2770" t="s">
        <v>970</v>
      </c>
      <c r="D2770">
        <v>0.61</v>
      </c>
      <c r="E2770">
        <v>24.75</v>
      </c>
      <c r="F2770">
        <v>2.17</v>
      </c>
      <c r="G2770">
        <v>0</v>
      </c>
    </row>
    <row r="2771" spans="1:7" hidden="1">
      <c r="A2771">
        <v>214</v>
      </c>
      <c r="B2771" t="s">
        <v>1182</v>
      </c>
      <c r="C2771" t="s">
        <v>959</v>
      </c>
      <c r="D2771">
        <v>8.9700000000000006</v>
      </c>
      <c r="E2771">
        <v>18.309999999999999</v>
      </c>
      <c r="F2771">
        <v>23.47</v>
      </c>
      <c r="G2771">
        <v>0</v>
      </c>
    </row>
    <row r="2772" spans="1:7" hidden="1">
      <c r="A2772">
        <v>214</v>
      </c>
      <c r="B2772" t="s">
        <v>1182</v>
      </c>
      <c r="C2772" t="s">
        <v>960</v>
      </c>
      <c r="D2772">
        <v>8.15</v>
      </c>
      <c r="E2772">
        <v>18.399999999999999</v>
      </c>
      <c r="F2772">
        <v>21.41</v>
      </c>
      <c r="G2772">
        <v>0</v>
      </c>
    </row>
    <row r="2773" spans="1:7" hidden="1">
      <c r="A2773">
        <v>214</v>
      </c>
      <c r="B2773" t="s">
        <v>1182</v>
      </c>
      <c r="C2773" t="s">
        <v>961</v>
      </c>
      <c r="D2773">
        <v>3.56</v>
      </c>
      <c r="E2773">
        <v>20.059999999999999</v>
      </c>
      <c r="F2773">
        <v>10.19</v>
      </c>
      <c r="G2773">
        <v>0</v>
      </c>
    </row>
    <row r="2774" spans="1:7" hidden="1">
      <c r="A2774">
        <v>214</v>
      </c>
      <c r="B2774" t="s">
        <v>1182</v>
      </c>
      <c r="C2774" t="s">
        <v>962</v>
      </c>
      <c r="D2774">
        <v>1.3</v>
      </c>
      <c r="E2774">
        <v>24.72</v>
      </c>
      <c r="F2774">
        <v>4.58</v>
      </c>
      <c r="G2774">
        <v>0</v>
      </c>
    </row>
    <row r="2775" spans="1:7" hidden="1">
      <c r="A2775">
        <v>214</v>
      </c>
      <c r="B2775" t="s">
        <v>1182</v>
      </c>
      <c r="C2775" t="s">
        <v>963</v>
      </c>
      <c r="D2775">
        <v>3.62</v>
      </c>
      <c r="E2775">
        <v>18.13</v>
      </c>
      <c r="F2775">
        <v>9.3800000000000008</v>
      </c>
      <c r="G2775">
        <v>0.02</v>
      </c>
    </row>
    <row r="2776" spans="1:7" hidden="1">
      <c r="A2776">
        <v>214</v>
      </c>
      <c r="B2776" t="s">
        <v>1182</v>
      </c>
      <c r="C2776" t="s">
        <v>964</v>
      </c>
      <c r="D2776">
        <v>0.31</v>
      </c>
      <c r="E2776">
        <v>21.87</v>
      </c>
      <c r="F2776">
        <v>0.96</v>
      </c>
      <c r="G2776">
        <v>0</v>
      </c>
    </row>
    <row r="2777" spans="1:7" hidden="1">
      <c r="A2777">
        <v>214</v>
      </c>
      <c r="B2777" t="s">
        <v>1182</v>
      </c>
      <c r="C2777" t="s">
        <v>965</v>
      </c>
      <c r="D2777">
        <v>2.41</v>
      </c>
      <c r="E2777">
        <v>24.75</v>
      </c>
      <c r="F2777">
        <v>8.5399999999999991</v>
      </c>
      <c r="G2777">
        <v>0.01</v>
      </c>
    </row>
    <row r="2778" spans="1:7">
      <c r="A2778">
        <v>214</v>
      </c>
      <c r="B2778" t="s">
        <v>1182</v>
      </c>
      <c r="C2778" t="s">
        <v>24</v>
      </c>
      <c r="D2778">
        <v>28.31</v>
      </c>
      <c r="E2778">
        <v>19.41</v>
      </c>
      <c r="F2778">
        <v>78.52</v>
      </c>
      <c r="G2778">
        <v>0.03</v>
      </c>
    </row>
    <row r="2779" spans="1:7" hidden="1">
      <c r="A2779">
        <v>214</v>
      </c>
      <c r="B2779" t="s">
        <v>1182</v>
      </c>
      <c r="C2779" t="s">
        <v>966</v>
      </c>
      <c r="D2779">
        <v>0</v>
      </c>
      <c r="E2779">
        <v>18.05</v>
      </c>
      <c r="F2779">
        <v>0</v>
      </c>
      <c r="G2779">
        <v>0</v>
      </c>
    </row>
    <row r="2780" spans="1:7" hidden="1">
      <c r="A2780">
        <v>214</v>
      </c>
      <c r="B2780" t="s">
        <v>1182</v>
      </c>
      <c r="C2780" t="s">
        <v>967</v>
      </c>
      <c r="D2780">
        <v>0.61</v>
      </c>
      <c r="E2780">
        <v>17.91</v>
      </c>
      <c r="F2780">
        <v>1.55</v>
      </c>
      <c r="G2780">
        <v>0</v>
      </c>
    </row>
    <row r="2781" spans="1:7" hidden="1">
      <c r="A2781">
        <v>214</v>
      </c>
      <c r="B2781" t="s">
        <v>1182</v>
      </c>
      <c r="C2781" t="s">
        <v>968</v>
      </c>
      <c r="D2781">
        <v>1.27</v>
      </c>
      <c r="E2781">
        <v>18.09</v>
      </c>
      <c r="F2781">
        <v>3.27</v>
      </c>
      <c r="G2781">
        <v>0</v>
      </c>
    </row>
    <row r="2782" spans="1:7" hidden="1">
      <c r="A2782">
        <v>214</v>
      </c>
      <c r="B2782" t="s">
        <v>1182</v>
      </c>
      <c r="C2782" t="s">
        <v>969</v>
      </c>
      <c r="D2782">
        <v>0.19</v>
      </c>
      <c r="E2782">
        <v>24.75</v>
      </c>
      <c r="F2782">
        <v>0.68</v>
      </c>
      <c r="G2782">
        <v>0</v>
      </c>
    </row>
    <row r="2783" spans="1:7" hidden="1">
      <c r="A2783">
        <v>214</v>
      </c>
      <c r="B2783" t="s">
        <v>1182</v>
      </c>
      <c r="C2783" t="s">
        <v>970</v>
      </c>
      <c r="D2783">
        <v>0.28999999999999998</v>
      </c>
      <c r="E2783">
        <v>24.75</v>
      </c>
      <c r="F2783">
        <v>1.03</v>
      </c>
      <c r="G2783">
        <v>0</v>
      </c>
    </row>
    <row r="2784" spans="1:7" hidden="1">
      <c r="A2784">
        <v>215</v>
      </c>
      <c r="B2784" t="s">
        <v>1183</v>
      </c>
      <c r="C2784" t="s">
        <v>959</v>
      </c>
      <c r="D2784">
        <v>11.4</v>
      </c>
      <c r="E2784">
        <v>18.309999999999999</v>
      </c>
      <c r="F2784">
        <v>29.81</v>
      </c>
      <c r="G2784">
        <v>0</v>
      </c>
    </row>
    <row r="2785" spans="1:7" hidden="1">
      <c r="A2785">
        <v>215</v>
      </c>
      <c r="B2785" t="s">
        <v>1183</v>
      </c>
      <c r="C2785" t="s">
        <v>960</v>
      </c>
      <c r="D2785">
        <v>9.34</v>
      </c>
      <c r="E2785">
        <v>18.399999999999999</v>
      </c>
      <c r="F2785">
        <v>24.55</v>
      </c>
      <c r="G2785">
        <v>0</v>
      </c>
    </row>
    <row r="2786" spans="1:7" hidden="1">
      <c r="A2786">
        <v>215</v>
      </c>
      <c r="B2786" t="s">
        <v>1183</v>
      </c>
      <c r="C2786" t="s">
        <v>961</v>
      </c>
      <c r="D2786">
        <v>4.88</v>
      </c>
      <c r="E2786">
        <v>20.059999999999999</v>
      </c>
      <c r="F2786">
        <v>13.98</v>
      </c>
      <c r="G2786">
        <v>0</v>
      </c>
    </row>
    <row r="2787" spans="1:7" hidden="1">
      <c r="A2787">
        <v>215</v>
      </c>
      <c r="B2787" t="s">
        <v>1183</v>
      </c>
      <c r="C2787" t="s">
        <v>962</v>
      </c>
      <c r="D2787">
        <v>1.59</v>
      </c>
      <c r="E2787">
        <v>24.72</v>
      </c>
      <c r="F2787">
        <v>5.61</v>
      </c>
      <c r="G2787">
        <v>0</v>
      </c>
    </row>
    <row r="2788" spans="1:7" hidden="1">
      <c r="A2788">
        <v>215</v>
      </c>
      <c r="B2788" t="s">
        <v>1183</v>
      </c>
      <c r="C2788" t="s">
        <v>963</v>
      </c>
      <c r="D2788">
        <v>3.96</v>
      </c>
      <c r="E2788">
        <v>18.13</v>
      </c>
      <c r="F2788">
        <v>10.27</v>
      </c>
      <c r="G2788">
        <v>0</v>
      </c>
    </row>
    <row r="2789" spans="1:7" hidden="1">
      <c r="A2789">
        <v>215</v>
      </c>
      <c r="B2789" t="s">
        <v>1183</v>
      </c>
      <c r="C2789" t="s">
        <v>964</v>
      </c>
      <c r="D2789">
        <v>0.34</v>
      </c>
      <c r="E2789">
        <v>21.87</v>
      </c>
      <c r="F2789">
        <v>1.07</v>
      </c>
      <c r="G2789">
        <v>0</v>
      </c>
    </row>
    <row r="2790" spans="1:7" hidden="1">
      <c r="A2790">
        <v>215</v>
      </c>
      <c r="B2790" t="s">
        <v>1183</v>
      </c>
      <c r="C2790" t="s">
        <v>965</v>
      </c>
      <c r="D2790">
        <v>2.67</v>
      </c>
      <c r="E2790">
        <v>24.75</v>
      </c>
      <c r="F2790">
        <v>9.43</v>
      </c>
      <c r="G2790">
        <v>0</v>
      </c>
    </row>
    <row r="2791" spans="1:7">
      <c r="A2791">
        <v>215</v>
      </c>
      <c r="B2791" t="s">
        <v>1183</v>
      </c>
      <c r="C2791" t="s">
        <v>24</v>
      </c>
      <c r="D2791">
        <v>34.18</v>
      </c>
      <c r="E2791">
        <v>19.399999999999999</v>
      </c>
      <c r="F2791">
        <v>94.72</v>
      </c>
      <c r="G2791">
        <v>0</v>
      </c>
    </row>
    <row r="2792" spans="1:7" hidden="1">
      <c r="A2792">
        <v>215</v>
      </c>
      <c r="B2792" t="s">
        <v>1183</v>
      </c>
      <c r="C2792" t="s">
        <v>966</v>
      </c>
      <c r="D2792">
        <v>0</v>
      </c>
      <c r="E2792">
        <v>18.05</v>
      </c>
      <c r="F2792">
        <v>0</v>
      </c>
      <c r="G2792">
        <v>0</v>
      </c>
    </row>
    <row r="2793" spans="1:7" hidden="1">
      <c r="A2793">
        <v>215</v>
      </c>
      <c r="B2793" t="s">
        <v>1183</v>
      </c>
      <c r="C2793" t="s">
        <v>967</v>
      </c>
      <c r="D2793">
        <v>1.23</v>
      </c>
      <c r="E2793">
        <v>17.91</v>
      </c>
      <c r="F2793">
        <v>3.14</v>
      </c>
      <c r="G2793">
        <v>0</v>
      </c>
    </row>
    <row r="2794" spans="1:7" hidden="1">
      <c r="A2794">
        <v>215</v>
      </c>
      <c r="B2794" t="s">
        <v>1183</v>
      </c>
      <c r="C2794" t="s">
        <v>968</v>
      </c>
      <c r="D2794">
        <v>3.58</v>
      </c>
      <c r="E2794">
        <v>18.09</v>
      </c>
      <c r="F2794">
        <v>9.26</v>
      </c>
      <c r="G2794">
        <v>0</v>
      </c>
    </row>
    <row r="2795" spans="1:7" hidden="1">
      <c r="A2795">
        <v>215</v>
      </c>
      <c r="B2795" t="s">
        <v>1183</v>
      </c>
      <c r="C2795" t="s">
        <v>969</v>
      </c>
      <c r="D2795">
        <v>0.32</v>
      </c>
      <c r="E2795">
        <v>24.75</v>
      </c>
      <c r="F2795">
        <v>1.1299999999999999</v>
      </c>
      <c r="G2795">
        <v>0</v>
      </c>
    </row>
    <row r="2796" spans="1:7" hidden="1">
      <c r="A2796">
        <v>215</v>
      </c>
      <c r="B2796" t="s">
        <v>1183</v>
      </c>
      <c r="C2796" t="s">
        <v>970</v>
      </c>
      <c r="D2796">
        <v>0.84</v>
      </c>
      <c r="E2796">
        <v>24.75</v>
      </c>
      <c r="F2796">
        <v>2.98</v>
      </c>
      <c r="G2796">
        <v>0</v>
      </c>
    </row>
    <row r="2797" spans="1:7" hidden="1">
      <c r="A2797">
        <v>216</v>
      </c>
      <c r="B2797" t="s">
        <v>1184</v>
      </c>
      <c r="C2797" t="s">
        <v>959</v>
      </c>
      <c r="D2797">
        <v>10.75</v>
      </c>
      <c r="E2797">
        <v>18.309999999999999</v>
      </c>
      <c r="F2797">
        <v>28.12</v>
      </c>
      <c r="G2797">
        <v>0</v>
      </c>
    </row>
    <row r="2798" spans="1:7" hidden="1">
      <c r="A2798">
        <v>216</v>
      </c>
      <c r="B2798" t="s">
        <v>1184</v>
      </c>
      <c r="C2798" t="s">
        <v>960</v>
      </c>
      <c r="D2798">
        <v>9.44</v>
      </c>
      <c r="E2798">
        <v>18.399999999999999</v>
      </c>
      <c r="F2798">
        <v>24.8</v>
      </c>
      <c r="G2798">
        <v>0</v>
      </c>
    </row>
    <row r="2799" spans="1:7" hidden="1">
      <c r="A2799">
        <v>216</v>
      </c>
      <c r="B2799" t="s">
        <v>1184</v>
      </c>
      <c r="C2799" t="s">
        <v>961</v>
      </c>
      <c r="D2799">
        <v>5.29</v>
      </c>
      <c r="E2799">
        <v>20.059999999999999</v>
      </c>
      <c r="F2799">
        <v>15.16</v>
      </c>
      <c r="G2799">
        <v>0</v>
      </c>
    </row>
    <row r="2800" spans="1:7" hidden="1">
      <c r="A2800">
        <v>216</v>
      </c>
      <c r="B2800" t="s">
        <v>1184</v>
      </c>
      <c r="C2800" t="s">
        <v>962</v>
      </c>
      <c r="D2800">
        <v>1.77</v>
      </c>
      <c r="E2800">
        <v>24.72</v>
      </c>
      <c r="F2800">
        <v>6.25</v>
      </c>
      <c r="G2800">
        <v>0</v>
      </c>
    </row>
    <row r="2801" spans="1:7" hidden="1">
      <c r="A2801">
        <v>216</v>
      </c>
      <c r="B2801" t="s">
        <v>1184</v>
      </c>
      <c r="C2801" t="s">
        <v>963</v>
      </c>
      <c r="D2801">
        <v>4.4400000000000004</v>
      </c>
      <c r="E2801">
        <v>18.13</v>
      </c>
      <c r="F2801">
        <v>11.5</v>
      </c>
      <c r="G2801">
        <v>0</v>
      </c>
    </row>
    <row r="2802" spans="1:7" hidden="1">
      <c r="A2802">
        <v>216</v>
      </c>
      <c r="B2802" t="s">
        <v>1184</v>
      </c>
      <c r="C2802" t="s">
        <v>964</v>
      </c>
      <c r="D2802">
        <v>0.3</v>
      </c>
      <c r="E2802">
        <v>21.87</v>
      </c>
      <c r="F2802">
        <v>0.94</v>
      </c>
      <c r="G2802">
        <v>0</v>
      </c>
    </row>
    <row r="2803" spans="1:7" hidden="1">
      <c r="A2803">
        <v>216</v>
      </c>
      <c r="B2803" t="s">
        <v>1184</v>
      </c>
      <c r="C2803" t="s">
        <v>965</v>
      </c>
      <c r="D2803">
        <v>2.83</v>
      </c>
      <c r="E2803">
        <v>24.75</v>
      </c>
      <c r="F2803">
        <v>10.01</v>
      </c>
      <c r="G2803">
        <v>0</v>
      </c>
    </row>
    <row r="2804" spans="1:7">
      <c r="A2804">
        <v>216</v>
      </c>
      <c r="B2804" t="s">
        <v>1184</v>
      </c>
      <c r="C2804" t="s">
        <v>24</v>
      </c>
      <c r="D2804">
        <v>34.82</v>
      </c>
      <c r="E2804">
        <v>19.46</v>
      </c>
      <c r="F2804">
        <v>96.79</v>
      </c>
      <c r="G2804">
        <v>0</v>
      </c>
    </row>
    <row r="2805" spans="1:7" hidden="1">
      <c r="A2805">
        <v>216</v>
      </c>
      <c r="B2805" t="s">
        <v>1184</v>
      </c>
      <c r="C2805" t="s">
        <v>966</v>
      </c>
      <c r="D2805">
        <v>0</v>
      </c>
      <c r="E2805">
        <v>18.05</v>
      </c>
      <c r="F2805">
        <v>0</v>
      </c>
      <c r="G2805">
        <v>0</v>
      </c>
    </row>
    <row r="2806" spans="1:7" hidden="1">
      <c r="A2806">
        <v>216</v>
      </c>
      <c r="B2806" t="s">
        <v>1184</v>
      </c>
      <c r="C2806" t="s">
        <v>967</v>
      </c>
      <c r="D2806">
        <v>0.49</v>
      </c>
      <c r="E2806">
        <v>17.91</v>
      </c>
      <c r="F2806">
        <v>1.25</v>
      </c>
      <c r="G2806">
        <v>0</v>
      </c>
    </row>
    <row r="2807" spans="1:7" hidden="1">
      <c r="A2807">
        <v>216</v>
      </c>
      <c r="B2807" t="s">
        <v>1184</v>
      </c>
      <c r="C2807" t="s">
        <v>968</v>
      </c>
      <c r="D2807">
        <v>3.41</v>
      </c>
      <c r="E2807">
        <v>18.09</v>
      </c>
      <c r="F2807">
        <v>8.82</v>
      </c>
      <c r="G2807">
        <v>0</v>
      </c>
    </row>
    <row r="2808" spans="1:7" hidden="1">
      <c r="A2808">
        <v>216</v>
      </c>
      <c r="B2808" t="s">
        <v>1184</v>
      </c>
      <c r="C2808" t="s">
        <v>969</v>
      </c>
      <c r="D2808">
        <v>0.21</v>
      </c>
      <c r="E2808">
        <v>24.75</v>
      </c>
      <c r="F2808">
        <v>0.75</v>
      </c>
      <c r="G2808">
        <v>0</v>
      </c>
    </row>
    <row r="2809" spans="1:7" hidden="1">
      <c r="A2809">
        <v>216</v>
      </c>
      <c r="B2809" t="s">
        <v>1184</v>
      </c>
      <c r="C2809" t="s">
        <v>970</v>
      </c>
      <c r="D2809">
        <v>0.63</v>
      </c>
      <c r="E2809">
        <v>24.75</v>
      </c>
      <c r="F2809">
        <v>2.23</v>
      </c>
      <c r="G2809">
        <v>0</v>
      </c>
    </row>
    <row r="2810" spans="1:7" hidden="1">
      <c r="A2810">
        <v>217</v>
      </c>
      <c r="B2810" t="s">
        <v>1185</v>
      </c>
      <c r="C2810" t="s">
        <v>959</v>
      </c>
      <c r="D2810">
        <v>9.7200000000000006</v>
      </c>
      <c r="E2810">
        <v>18.309999999999999</v>
      </c>
      <c r="F2810">
        <v>25.43</v>
      </c>
      <c r="G2810">
        <v>0.45</v>
      </c>
    </row>
    <row r="2811" spans="1:7" hidden="1">
      <c r="A2811">
        <v>217</v>
      </c>
      <c r="B2811" t="s">
        <v>1185</v>
      </c>
      <c r="C2811" t="s">
        <v>960</v>
      </c>
      <c r="D2811">
        <v>8.25</v>
      </c>
      <c r="E2811">
        <v>18.399999999999999</v>
      </c>
      <c r="F2811">
        <v>21.67</v>
      </c>
      <c r="G2811">
        <v>0.49</v>
      </c>
    </row>
    <row r="2812" spans="1:7" hidden="1">
      <c r="A2812">
        <v>217</v>
      </c>
      <c r="B2812" t="s">
        <v>1185</v>
      </c>
      <c r="C2812" t="s">
        <v>961</v>
      </c>
      <c r="D2812">
        <v>4.55</v>
      </c>
      <c r="E2812">
        <v>20.059999999999999</v>
      </c>
      <c r="F2812">
        <v>13.04</v>
      </c>
      <c r="G2812">
        <v>0.13</v>
      </c>
    </row>
    <row r="2813" spans="1:7" hidden="1">
      <c r="A2813">
        <v>217</v>
      </c>
      <c r="B2813" t="s">
        <v>1185</v>
      </c>
      <c r="C2813" t="s">
        <v>962</v>
      </c>
      <c r="D2813">
        <v>1.44</v>
      </c>
      <c r="E2813">
        <v>24.72</v>
      </c>
      <c r="F2813">
        <v>5.07</v>
      </c>
      <c r="G2813">
        <v>0.05</v>
      </c>
    </row>
    <row r="2814" spans="1:7" hidden="1">
      <c r="A2814">
        <v>217</v>
      </c>
      <c r="B2814" t="s">
        <v>1185</v>
      </c>
      <c r="C2814" t="s">
        <v>963</v>
      </c>
      <c r="D2814">
        <v>3.88</v>
      </c>
      <c r="E2814">
        <v>18.13</v>
      </c>
      <c r="F2814">
        <v>10.039999999999999</v>
      </c>
      <c r="G2814">
        <v>0.22</v>
      </c>
    </row>
    <row r="2815" spans="1:7" hidden="1">
      <c r="A2815">
        <v>217</v>
      </c>
      <c r="B2815" t="s">
        <v>1185</v>
      </c>
      <c r="C2815" t="s">
        <v>964</v>
      </c>
      <c r="D2815">
        <v>0.24</v>
      </c>
      <c r="E2815">
        <v>21.87</v>
      </c>
      <c r="F2815">
        <v>0.75</v>
      </c>
      <c r="G2815">
        <v>0</v>
      </c>
    </row>
    <row r="2816" spans="1:7" hidden="1">
      <c r="A2816">
        <v>217</v>
      </c>
      <c r="B2816" t="s">
        <v>1185</v>
      </c>
      <c r="C2816" t="s">
        <v>965</v>
      </c>
      <c r="D2816">
        <v>2.69</v>
      </c>
      <c r="E2816">
        <v>24.75</v>
      </c>
      <c r="F2816">
        <v>9.52</v>
      </c>
      <c r="G2816">
        <v>0.2</v>
      </c>
    </row>
    <row r="2817" spans="1:7">
      <c r="A2817">
        <v>217</v>
      </c>
      <c r="B2817" t="s">
        <v>1185</v>
      </c>
      <c r="C2817" t="s">
        <v>24</v>
      </c>
      <c r="D2817">
        <v>30.77</v>
      </c>
      <c r="E2817">
        <v>19.46</v>
      </c>
      <c r="F2817">
        <v>85.53</v>
      </c>
      <c r="G2817">
        <v>1.53</v>
      </c>
    </row>
    <row r="2818" spans="1:7" hidden="1">
      <c r="A2818">
        <v>217</v>
      </c>
      <c r="B2818" t="s">
        <v>1185</v>
      </c>
      <c r="C2818" t="s">
        <v>966</v>
      </c>
      <c r="D2818">
        <v>1.7</v>
      </c>
      <c r="E2818">
        <v>18.05</v>
      </c>
      <c r="F2818">
        <v>4.38</v>
      </c>
      <c r="G2818">
        <v>1.68</v>
      </c>
    </row>
    <row r="2819" spans="1:7" hidden="1">
      <c r="A2819">
        <v>217</v>
      </c>
      <c r="B2819" t="s">
        <v>1185</v>
      </c>
      <c r="C2819" t="s">
        <v>967</v>
      </c>
      <c r="D2819">
        <v>0.38</v>
      </c>
      <c r="E2819">
        <v>17.91</v>
      </c>
      <c r="F2819">
        <v>0.98</v>
      </c>
      <c r="G2819">
        <v>0</v>
      </c>
    </row>
    <row r="2820" spans="1:7" hidden="1">
      <c r="A2820">
        <v>217</v>
      </c>
      <c r="B2820" t="s">
        <v>1185</v>
      </c>
      <c r="C2820" t="s">
        <v>968</v>
      </c>
      <c r="D2820">
        <v>3.04</v>
      </c>
      <c r="E2820">
        <v>18.09</v>
      </c>
      <c r="F2820">
        <v>7.85</v>
      </c>
      <c r="G2820">
        <v>0.05</v>
      </c>
    </row>
    <row r="2821" spans="1:7" hidden="1">
      <c r="A2821">
        <v>217</v>
      </c>
      <c r="B2821" t="s">
        <v>1185</v>
      </c>
      <c r="C2821" t="s">
        <v>969</v>
      </c>
      <c r="D2821">
        <v>0.3</v>
      </c>
      <c r="E2821">
        <v>24.75</v>
      </c>
      <c r="F2821">
        <v>1.07</v>
      </c>
      <c r="G2821">
        <v>0.01</v>
      </c>
    </row>
    <row r="2822" spans="1:7" hidden="1">
      <c r="A2822">
        <v>217</v>
      </c>
      <c r="B2822" t="s">
        <v>1185</v>
      </c>
      <c r="C2822" t="s">
        <v>970</v>
      </c>
      <c r="D2822">
        <v>0.66</v>
      </c>
      <c r="E2822">
        <v>24.75</v>
      </c>
      <c r="F2822">
        <v>2.33</v>
      </c>
      <c r="G2822">
        <v>0.01</v>
      </c>
    </row>
    <row r="2823" spans="1:7" hidden="1">
      <c r="A2823">
        <v>218</v>
      </c>
      <c r="B2823" t="s">
        <v>1186</v>
      </c>
      <c r="C2823" t="s">
        <v>959</v>
      </c>
      <c r="D2823">
        <v>8.57</v>
      </c>
      <c r="E2823">
        <v>18.309999999999999</v>
      </c>
      <c r="F2823">
        <v>22.41</v>
      </c>
      <c r="G2823">
        <v>1.17</v>
      </c>
    </row>
    <row r="2824" spans="1:7" hidden="1">
      <c r="A2824">
        <v>218</v>
      </c>
      <c r="B2824" t="s">
        <v>1186</v>
      </c>
      <c r="C2824" t="s">
        <v>960</v>
      </c>
      <c r="D2824">
        <v>7.63</v>
      </c>
      <c r="E2824">
        <v>18.399999999999999</v>
      </c>
      <c r="F2824">
        <v>20.04</v>
      </c>
      <c r="G2824">
        <v>1.18</v>
      </c>
    </row>
    <row r="2825" spans="1:7" hidden="1">
      <c r="A2825">
        <v>218</v>
      </c>
      <c r="B2825" t="s">
        <v>1186</v>
      </c>
      <c r="C2825" t="s">
        <v>961</v>
      </c>
      <c r="D2825">
        <v>3.83</v>
      </c>
      <c r="E2825">
        <v>20.059999999999999</v>
      </c>
      <c r="F2825">
        <v>10.99</v>
      </c>
      <c r="G2825">
        <v>0.24</v>
      </c>
    </row>
    <row r="2826" spans="1:7" hidden="1">
      <c r="A2826">
        <v>218</v>
      </c>
      <c r="B2826" t="s">
        <v>1186</v>
      </c>
      <c r="C2826" t="s">
        <v>962</v>
      </c>
      <c r="D2826">
        <v>0.87</v>
      </c>
      <c r="E2826">
        <v>24.72</v>
      </c>
      <c r="F2826">
        <v>3.08</v>
      </c>
      <c r="G2826">
        <v>0.11</v>
      </c>
    </row>
    <row r="2827" spans="1:7" hidden="1">
      <c r="A2827">
        <v>218</v>
      </c>
      <c r="B2827" t="s">
        <v>1186</v>
      </c>
      <c r="C2827" t="s">
        <v>963</v>
      </c>
      <c r="D2827">
        <v>3.31</v>
      </c>
      <c r="E2827">
        <v>18.13</v>
      </c>
      <c r="F2827">
        <v>8.57</v>
      </c>
      <c r="G2827">
        <v>0.59</v>
      </c>
    </row>
    <row r="2828" spans="1:7" hidden="1">
      <c r="A2828">
        <v>218</v>
      </c>
      <c r="B2828" t="s">
        <v>1186</v>
      </c>
      <c r="C2828" t="s">
        <v>964</v>
      </c>
      <c r="D2828">
        <v>0.05</v>
      </c>
      <c r="E2828">
        <v>21.87</v>
      </c>
      <c r="F2828">
        <v>0.17</v>
      </c>
      <c r="G2828">
        <v>0.01</v>
      </c>
    </row>
    <row r="2829" spans="1:7" hidden="1">
      <c r="A2829">
        <v>218</v>
      </c>
      <c r="B2829" t="s">
        <v>1186</v>
      </c>
      <c r="C2829" t="s">
        <v>965</v>
      </c>
      <c r="D2829">
        <v>2.5299999999999998</v>
      </c>
      <c r="E2829">
        <v>24.75</v>
      </c>
      <c r="F2829">
        <v>8.9600000000000009</v>
      </c>
      <c r="G2829">
        <v>0.54</v>
      </c>
    </row>
    <row r="2830" spans="1:7">
      <c r="A2830">
        <v>218</v>
      </c>
      <c r="B2830" t="s">
        <v>1186</v>
      </c>
      <c r="C2830" t="s">
        <v>24</v>
      </c>
      <c r="D2830">
        <v>26.79</v>
      </c>
      <c r="E2830">
        <v>19.39</v>
      </c>
      <c r="F2830">
        <v>74.209999999999994</v>
      </c>
      <c r="G2830">
        <v>3.84</v>
      </c>
    </row>
    <row r="2831" spans="1:7" hidden="1">
      <c r="A2831">
        <v>218</v>
      </c>
      <c r="B2831" t="s">
        <v>1186</v>
      </c>
      <c r="C2831" t="s">
        <v>966</v>
      </c>
      <c r="D2831">
        <v>4.45</v>
      </c>
      <c r="E2831">
        <v>18.05</v>
      </c>
      <c r="F2831">
        <v>11.47</v>
      </c>
      <c r="G2831">
        <v>4.3899999999999997</v>
      </c>
    </row>
    <row r="2832" spans="1:7" hidden="1">
      <c r="A2832">
        <v>218</v>
      </c>
      <c r="B2832" t="s">
        <v>1186</v>
      </c>
      <c r="C2832" t="s">
        <v>967</v>
      </c>
      <c r="D2832">
        <v>0.34</v>
      </c>
      <c r="E2832">
        <v>17.91</v>
      </c>
      <c r="F2832">
        <v>0.87</v>
      </c>
      <c r="G2832">
        <v>0.01</v>
      </c>
    </row>
    <row r="2833" spans="1:7" hidden="1">
      <c r="A2833">
        <v>218</v>
      </c>
      <c r="B2833" t="s">
        <v>1186</v>
      </c>
      <c r="C2833" t="s">
        <v>968</v>
      </c>
      <c r="D2833">
        <v>1.34</v>
      </c>
      <c r="E2833">
        <v>18.09</v>
      </c>
      <c r="F2833">
        <v>3.47</v>
      </c>
      <c r="G2833">
        <v>0.13</v>
      </c>
    </row>
    <row r="2834" spans="1:7" hidden="1">
      <c r="A2834">
        <v>218</v>
      </c>
      <c r="B2834" t="s">
        <v>1186</v>
      </c>
      <c r="C2834" t="s">
        <v>969</v>
      </c>
      <c r="D2834">
        <v>0.51</v>
      </c>
      <c r="E2834">
        <v>24.75</v>
      </c>
      <c r="F2834">
        <v>1.8</v>
      </c>
      <c r="G2834">
        <v>0.03</v>
      </c>
    </row>
    <row r="2835" spans="1:7" hidden="1">
      <c r="A2835">
        <v>218</v>
      </c>
      <c r="B2835" t="s">
        <v>1186</v>
      </c>
      <c r="C2835" t="s">
        <v>970</v>
      </c>
      <c r="D2835">
        <v>0.32</v>
      </c>
      <c r="E2835">
        <v>24.75</v>
      </c>
      <c r="F2835">
        <v>1.1299999999999999</v>
      </c>
      <c r="G2835">
        <v>0.03</v>
      </c>
    </row>
    <row r="2836" spans="1:7" hidden="1">
      <c r="A2836">
        <v>219</v>
      </c>
      <c r="B2836" t="s">
        <v>1187</v>
      </c>
      <c r="C2836" t="s">
        <v>959</v>
      </c>
      <c r="D2836">
        <v>10.7</v>
      </c>
      <c r="E2836">
        <v>18.309999999999999</v>
      </c>
      <c r="F2836">
        <v>27.98</v>
      </c>
      <c r="G2836">
        <v>0.02</v>
      </c>
    </row>
    <row r="2837" spans="1:7" hidden="1">
      <c r="A2837">
        <v>219</v>
      </c>
      <c r="B2837" t="s">
        <v>1187</v>
      </c>
      <c r="C2837" t="s">
        <v>960</v>
      </c>
      <c r="D2837">
        <v>8.25</v>
      </c>
      <c r="E2837">
        <v>18.399999999999999</v>
      </c>
      <c r="F2837">
        <v>21.68</v>
      </c>
      <c r="G2837">
        <v>0.05</v>
      </c>
    </row>
    <row r="2838" spans="1:7" hidden="1">
      <c r="A2838">
        <v>219</v>
      </c>
      <c r="B2838" t="s">
        <v>1187</v>
      </c>
      <c r="C2838" t="s">
        <v>961</v>
      </c>
      <c r="D2838">
        <v>5.08</v>
      </c>
      <c r="E2838">
        <v>20.059999999999999</v>
      </c>
      <c r="F2838">
        <v>14.56</v>
      </c>
      <c r="G2838">
        <v>0.14000000000000001</v>
      </c>
    </row>
    <row r="2839" spans="1:7" hidden="1">
      <c r="A2839">
        <v>219</v>
      </c>
      <c r="B2839" t="s">
        <v>1187</v>
      </c>
      <c r="C2839" t="s">
        <v>962</v>
      </c>
      <c r="D2839">
        <v>1.6</v>
      </c>
      <c r="E2839">
        <v>24.72</v>
      </c>
      <c r="F2839">
        <v>5.65</v>
      </c>
      <c r="G2839">
        <v>0.02</v>
      </c>
    </row>
    <row r="2840" spans="1:7" hidden="1">
      <c r="A2840">
        <v>219</v>
      </c>
      <c r="B2840" t="s">
        <v>1187</v>
      </c>
      <c r="C2840" t="s">
        <v>963</v>
      </c>
      <c r="D2840">
        <v>4.32</v>
      </c>
      <c r="E2840">
        <v>18.13</v>
      </c>
      <c r="F2840">
        <v>11.19</v>
      </c>
      <c r="G2840">
        <v>0</v>
      </c>
    </row>
    <row r="2841" spans="1:7" hidden="1">
      <c r="A2841">
        <v>219</v>
      </c>
      <c r="B2841" t="s">
        <v>1187</v>
      </c>
      <c r="C2841" t="s">
        <v>964</v>
      </c>
      <c r="D2841">
        <v>0.4</v>
      </c>
      <c r="E2841">
        <v>21.87</v>
      </c>
      <c r="F2841">
        <v>1.25</v>
      </c>
      <c r="G2841">
        <v>0</v>
      </c>
    </row>
    <row r="2842" spans="1:7" hidden="1">
      <c r="A2842">
        <v>219</v>
      </c>
      <c r="B2842" t="s">
        <v>1187</v>
      </c>
      <c r="C2842" t="s">
        <v>965</v>
      </c>
      <c r="D2842">
        <v>2.67</v>
      </c>
      <c r="E2842">
        <v>24.75</v>
      </c>
      <c r="F2842">
        <v>9.4499999999999993</v>
      </c>
      <c r="G2842">
        <v>0.01</v>
      </c>
    </row>
    <row r="2843" spans="1:7">
      <c r="A2843">
        <v>219</v>
      </c>
      <c r="B2843" t="s">
        <v>1187</v>
      </c>
      <c r="C2843" t="s">
        <v>24</v>
      </c>
      <c r="D2843">
        <v>33.020000000000003</v>
      </c>
      <c r="E2843">
        <v>19.45</v>
      </c>
      <c r="F2843">
        <v>91.76</v>
      </c>
      <c r="G2843">
        <v>0.24</v>
      </c>
    </row>
    <row r="2844" spans="1:7" hidden="1">
      <c r="A2844">
        <v>219</v>
      </c>
      <c r="B2844" t="s">
        <v>1187</v>
      </c>
      <c r="C2844" t="s">
        <v>966</v>
      </c>
      <c r="D2844">
        <v>0.03</v>
      </c>
      <c r="E2844">
        <v>18.05</v>
      </c>
      <c r="F2844">
        <v>0.09</v>
      </c>
      <c r="G2844">
        <v>0.03</v>
      </c>
    </row>
    <row r="2845" spans="1:7" hidden="1">
      <c r="A2845">
        <v>219</v>
      </c>
      <c r="B2845" t="s">
        <v>1187</v>
      </c>
      <c r="C2845" t="s">
        <v>967</v>
      </c>
      <c r="D2845">
        <v>0.51</v>
      </c>
      <c r="E2845">
        <v>17.91</v>
      </c>
      <c r="F2845">
        <v>1.29</v>
      </c>
      <c r="G2845">
        <v>0</v>
      </c>
    </row>
    <row r="2846" spans="1:7" hidden="1">
      <c r="A2846">
        <v>219</v>
      </c>
      <c r="B2846" t="s">
        <v>1187</v>
      </c>
      <c r="C2846" t="s">
        <v>968</v>
      </c>
      <c r="D2846">
        <v>4.4400000000000004</v>
      </c>
      <c r="E2846">
        <v>18.09</v>
      </c>
      <c r="F2846">
        <v>11.48</v>
      </c>
      <c r="G2846">
        <v>0</v>
      </c>
    </row>
    <row r="2847" spans="1:7" hidden="1">
      <c r="A2847">
        <v>219</v>
      </c>
      <c r="B2847" t="s">
        <v>1187</v>
      </c>
      <c r="C2847" t="s">
        <v>969</v>
      </c>
      <c r="D2847">
        <v>0.21</v>
      </c>
      <c r="E2847">
        <v>24.75</v>
      </c>
      <c r="F2847">
        <v>0.74</v>
      </c>
      <c r="G2847">
        <v>0</v>
      </c>
    </row>
    <row r="2848" spans="1:7" hidden="1">
      <c r="A2848">
        <v>219</v>
      </c>
      <c r="B2848" t="s">
        <v>1187</v>
      </c>
      <c r="C2848" t="s">
        <v>970</v>
      </c>
      <c r="D2848">
        <v>1.06</v>
      </c>
      <c r="E2848">
        <v>24.75</v>
      </c>
      <c r="F2848">
        <v>3.75</v>
      </c>
      <c r="G2848">
        <v>0.01</v>
      </c>
    </row>
    <row r="2849" spans="1:7" hidden="1">
      <c r="A2849">
        <v>220</v>
      </c>
      <c r="B2849" t="s">
        <v>1188</v>
      </c>
      <c r="C2849" t="s">
        <v>959</v>
      </c>
      <c r="D2849">
        <v>10.16</v>
      </c>
      <c r="E2849">
        <v>18.309999999999999</v>
      </c>
      <c r="F2849">
        <v>26.57</v>
      </c>
      <c r="G2849">
        <v>0.03</v>
      </c>
    </row>
    <row r="2850" spans="1:7" hidden="1">
      <c r="A2850">
        <v>220</v>
      </c>
      <c r="B2850" t="s">
        <v>1188</v>
      </c>
      <c r="C2850" t="s">
        <v>960</v>
      </c>
      <c r="D2850">
        <v>8.91</v>
      </c>
      <c r="E2850">
        <v>18.399999999999999</v>
      </c>
      <c r="F2850">
        <v>23.4</v>
      </c>
      <c r="G2850">
        <v>0.09</v>
      </c>
    </row>
    <row r="2851" spans="1:7" hidden="1">
      <c r="A2851">
        <v>220</v>
      </c>
      <c r="B2851" t="s">
        <v>1188</v>
      </c>
      <c r="C2851" t="s">
        <v>961</v>
      </c>
      <c r="D2851">
        <v>4.8899999999999997</v>
      </c>
      <c r="E2851">
        <v>20.059999999999999</v>
      </c>
      <c r="F2851">
        <v>14</v>
      </c>
      <c r="G2851">
        <v>0</v>
      </c>
    </row>
    <row r="2852" spans="1:7" hidden="1">
      <c r="A2852">
        <v>220</v>
      </c>
      <c r="B2852" t="s">
        <v>1188</v>
      </c>
      <c r="C2852" t="s">
        <v>962</v>
      </c>
      <c r="D2852">
        <v>1.9</v>
      </c>
      <c r="E2852">
        <v>24.72</v>
      </c>
      <c r="F2852">
        <v>6.71</v>
      </c>
      <c r="G2852">
        <v>0</v>
      </c>
    </row>
    <row r="2853" spans="1:7" hidden="1">
      <c r="A2853">
        <v>220</v>
      </c>
      <c r="B2853" t="s">
        <v>1188</v>
      </c>
      <c r="C2853" t="s">
        <v>963</v>
      </c>
      <c r="D2853">
        <v>4.12</v>
      </c>
      <c r="E2853">
        <v>18.13</v>
      </c>
      <c r="F2853">
        <v>10.69</v>
      </c>
      <c r="G2853">
        <v>0</v>
      </c>
    </row>
    <row r="2854" spans="1:7" hidden="1">
      <c r="A2854">
        <v>220</v>
      </c>
      <c r="B2854" t="s">
        <v>1188</v>
      </c>
      <c r="C2854" t="s">
        <v>964</v>
      </c>
      <c r="D2854">
        <v>0.31</v>
      </c>
      <c r="E2854">
        <v>21.87</v>
      </c>
      <c r="F2854">
        <v>0.97</v>
      </c>
      <c r="G2854">
        <v>0</v>
      </c>
    </row>
    <row r="2855" spans="1:7" hidden="1">
      <c r="A2855">
        <v>220</v>
      </c>
      <c r="B2855" t="s">
        <v>1188</v>
      </c>
      <c r="C2855" t="s">
        <v>965</v>
      </c>
      <c r="D2855">
        <v>2.88</v>
      </c>
      <c r="E2855">
        <v>24.75</v>
      </c>
      <c r="F2855">
        <v>10.17</v>
      </c>
      <c r="G2855">
        <v>0</v>
      </c>
    </row>
    <row r="2856" spans="1:7">
      <c r="A2856">
        <v>220</v>
      </c>
      <c r="B2856" t="s">
        <v>1188</v>
      </c>
      <c r="C2856" t="s">
        <v>24</v>
      </c>
      <c r="D2856">
        <v>33.159999999999997</v>
      </c>
      <c r="E2856">
        <v>19.53</v>
      </c>
      <c r="F2856">
        <v>92.51</v>
      </c>
      <c r="G2856">
        <v>0.12</v>
      </c>
    </row>
    <row r="2857" spans="1:7" hidden="1">
      <c r="A2857">
        <v>220</v>
      </c>
      <c r="B2857" t="s">
        <v>1188</v>
      </c>
      <c r="C2857" t="s">
        <v>966</v>
      </c>
      <c r="D2857">
        <v>0.13</v>
      </c>
      <c r="E2857">
        <v>18.05</v>
      </c>
      <c r="F2857">
        <v>0.34</v>
      </c>
      <c r="G2857">
        <v>0.13</v>
      </c>
    </row>
    <row r="2858" spans="1:7" hidden="1">
      <c r="A2858">
        <v>220</v>
      </c>
      <c r="B2858" t="s">
        <v>1188</v>
      </c>
      <c r="C2858" t="s">
        <v>967</v>
      </c>
      <c r="D2858">
        <v>0.33</v>
      </c>
      <c r="E2858">
        <v>17.91</v>
      </c>
      <c r="F2858">
        <v>0.83</v>
      </c>
      <c r="G2858">
        <v>0</v>
      </c>
    </row>
    <row r="2859" spans="1:7" hidden="1">
      <c r="A2859">
        <v>220</v>
      </c>
      <c r="B2859" t="s">
        <v>1188</v>
      </c>
      <c r="C2859" t="s">
        <v>968</v>
      </c>
      <c r="D2859">
        <v>3.71</v>
      </c>
      <c r="E2859">
        <v>18.09</v>
      </c>
      <c r="F2859">
        <v>9.58</v>
      </c>
      <c r="G2859">
        <v>0</v>
      </c>
    </row>
    <row r="2860" spans="1:7" hidden="1">
      <c r="A2860">
        <v>220</v>
      </c>
      <c r="B2860" t="s">
        <v>1188</v>
      </c>
      <c r="C2860" t="s">
        <v>969</v>
      </c>
      <c r="D2860">
        <v>0.16</v>
      </c>
      <c r="E2860">
        <v>24.75</v>
      </c>
      <c r="F2860">
        <v>0.56000000000000005</v>
      </c>
      <c r="G2860">
        <v>0</v>
      </c>
    </row>
    <row r="2861" spans="1:7" hidden="1">
      <c r="A2861">
        <v>220</v>
      </c>
      <c r="B2861" t="s">
        <v>1188</v>
      </c>
      <c r="C2861" t="s">
        <v>970</v>
      </c>
      <c r="D2861">
        <v>0.69</v>
      </c>
      <c r="E2861">
        <v>24.75</v>
      </c>
      <c r="F2861">
        <v>2.4500000000000002</v>
      </c>
      <c r="G2861">
        <v>0</v>
      </c>
    </row>
    <row r="2862" spans="1:7" hidden="1">
      <c r="A2862">
        <v>221</v>
      </c>
      <c r="B2862" t="s">
        <v>1189</v>
      </c>
      <c r="C2862" t="s">
        <v>959</v>
      </c>
      <c r="D2862">
        <v>9.39</v>
      </c>
      <c r="E2862">
        <v>18.309999999999999</v>
      </c>
      <c r="F2862">
        <v>24.57</v>
      </c>
      <c r="G2862">
        <v>8.14</v>
      </c>
    </row>
    <row r="2863" spans="1:7" hidden="1">
      <c r="A2863">
        <v>221</v>
      </c>
      <c r="B2863" t="s">
        <v>1189</v>
      </c>
      <c r="C2863" t="s">
        <v>960</v>
      </c>
      <c r="D2863">
        <v>11.02</v>
      </c>
      <c r="E2863">
        <v>18.399999999999999</v>
      </c>
      <c r="F2863">
        <v>28.97</v>
      </c>
      <c r="G2863">
        <v>9.7799999999999994</v>
      </c>
    </row>
    <row r="2864" spans="1:7" hidden="1">
      <c r="A2864">
        <v>221</v>
      </c>
      <c r="B2864" t="s">
        <v>1189</v>
      </c>
      <c r="C2864" t="s">
        <v>961</v>
      </c>
      <c r="D2864">
        <v>1.1100000000000001</v>
      </c>
      <c r="E2864">
        <v>20.059999999999999</v>
      </c>
      <c r="F2864">
        <v>3.18</v>
      </c>
      <c r="G2864">
        <v>0.95</v>
      </c>
    </row>
    <row r="2865" spans="1:7" hidden="1">
      <c r="A2865">
        <v>221</v>
      </c>
      <c r="B2865" t="s">
        <v>1189</v>
      </c>
      <c r="C2865" t="s">
        <v>962</v>
      </c>
      <c r="D2865">
        <v>1.0900000000000001</v>
      </c>
      <c r="E2865">
        <v>24.72</v>
      </c>
      <c r="F2865">
        <v>3.84</v>
      </c>
      <c r="G2865">
        <v>0.9</v>
      </c>
    </row>
    <row r="2866" spans="1:7" hidden="1">
      <c r="A2866">
        <v>221</v>
      </c>
      <c r="B2866" t="s">
        <v>1189</v>
      </c>
      <c r="C2866" t="s">
        <v>963</v>
      </c>
      <c r="D2866">
        <v>3.56</v>
      </c>
      <c r="E2866">
        <v>18.13</v>
      </c>
      <c r="F2866">
        <v>9.23</v>
      </c>
      <c r="G2866">
        <v>2.98</v>
      </c>
    </row>
    <row r="2867" spans="1:7" hidden="1">
      <c r="A2867">
        <v>221</v>
      </c>
      <c r="B2867" t="s">
        <v>1189</v>
      </c>
      <c r="C2867" t="s">
        <v>964</v>
      </c>
      <c r="D2867">
        <v>0.14000000000000001</v>
      </c>
      <c r="E2867">
        <v>21.87</v>
      </c>
      <c r="F2867">
        <v>0.44</v>
      </c>
      <c r="G2867">
        <v>0.12</v>
      </c>
    </row>
    <row r="2868" spans="1:7" hidden="1">
      <c r="A2868">
        <v>221</v>
      </c>
      <c r="B2868" t="s">
        <v>1189</v>
      </c>
      <c r="C2868" t="s">
        <v>965</v>
      </c>
      <c r="D2868">
        <v>2.12</v>
      </c>
      <c r="E2868">
        <v>24.75</v>
      </c>
      <c r="F2868">
        <v>7.51</v>
      </c>
      <c r="G2868">
        <v>1.76</v>
      </c>
    </row>
    <row r="2869" spans="1:7">
      <c r="A2869">
        <v>221</v>
      </c>
      <c r="B2869" t="s">
        <v>1189</v>
      </c>
      <c r="C2869" t="s">
        <v>24</v>
      </c>
      <c r="D2869">
        <v>28.44</v>
      </c>
      <c r="E2869">
        <v>19.13</v>
      </c>
      <c r="F2869">
        <v>77.73</v>
      </c>
      <c r="G2869">
        <v>24.63</v>
      </c>
    </row>
    <row r="2870" spans="1:7" hidden="1">
      <c r="A2870">
        <v>221</v>
      </c>
      <c r="B2870" t="s">
        <v>1189</v>
      </c>
      <c r="C2870" t="s">
        <v>966</v>
      </c>
      <c r="D2870">
        <v>27.14</v>
      </c>
      <c r="E2870">
        <v>18.05</v>
      </c>
      <c r="F2870">
        <v>69.989999999999995</v>
      </c>
      <c r="G2870">
        <v>26.7</v>
      </c>
    </row>
    <row r="2871" spans="1:7" hidden="1">
      <c r="A2871">
        <v>221</v>
      </c>
      <c r="B2871" t="s">
        <v>1189</v>
      </c>
      <c r="C2871" t="s">
        <v>967</v>
      </c>
      <c r="D2871">
        <v>0.24</v>
      </c>
      <c r="E2871">
        <v>17.91</v>
      </c>
      <c r="F2871">
        <v>0.62</v>
      </c>
      <c r="G2871">
        <v>0.18</v>
      </c>
    </row>
    <row r="2872" spans="1:7" hidden="1">
      <c r="A2872">
        <v>221</v>
      </c>
      <c r="B2872" t="s">
        <v>1189</v>
      </c>
      <c r="C2872" t="s">
        <v>968</v>
      </c>
      <c r="D2872">
        <v>0.4</v>
      </c>
      <c r="E2872">
        <v>18.09</v>
      </c>
      <c r="F2872">
        <v>1.04</v>
      </c>
      <c r="G2872">
        <v>0.34</v>
      </c>
    </row>
    <row r="2873" spans="1:7" hidden="1">
      <c r="A2873">
        <v>221</v>
      </c>
      <c r="B2873" t="s">
        <v>1189</v>
      </c>
      <c r="C2873" t="s">
        <v>969</v>
      </c>
      <c r="D2873">
        <v>1.85</v>
      </c>
      <c r="E2873">
        <v>24.75</v>
      </c>
      <c r="F2873">
        <v>6.54</v>
      </c>
      <c r="G2873">
        <v>0.18</v>
      </c>
    </row>
    <row r="2874" spans="1:7" hidden="1">
      <c r="A2874">
        <v>221</v>
      </c>
      <c r="B2874" t="s">
        <v>1189</v>
      </c>
      <c r="C2874" t="s">
        <v>970</v>
      </c>
      <c r="D2874">
        <v>0.19</v>
      </c>
      <c r="E2874">
        <v>24.75</v>
      </c>
      <c r="F2874">
        <v>0.68</v>
      </c>
      <c r="G2874">
        <v>0.15</v>
      </c>
    </row>
    <row r="2875" spans="1:7" hidden="1">
      <c r="A2875">
        <v>222</v>
      </c>
      <c r="B2875" t="s">
        <v>1190</v>
      </c>
      <c r="C2875" t="s">
        <v>959</v>
      </c>
      <c r="D2875">
        <v>10.92</v>
      </c>
      <c r="E2875">
        <v>18.309999999999999</v>
      </c>
      <c r="F2875">
        <v>28.56</v>
      </c>
      <c r="G2875">
        <v>8.5299999999999994</v>
      </c>
    </row>
    <row r="2876" spans="1:7" hidden="1">
      <c r="A2876">
        <v>222</v>
      </c>
      <c r="B2876" t="s">
        <v>1190</v>
      </c>
      <c r="C2876" t="s">
        <v>960</v>
      </c>
      <c r="D2876">
        <v>11.17</v>
      </c>
      <c r="E2876">
        <v>18.399999999999999</v>
      </c>
      <c r="F2876">
        <v>29.35</v>
      </c>
      <c r="G2876">
        <v>9.19</v>
      </c>
    </row>
    <row r="2877" spans="1:7" hidden="1">
      <c r="A2877">
        <v>222</v>
      </c>
      <c r="B2877" t="s">
        <v>1190</v>
      </c>
      <c r="C2877" t="s">
        <v>961</v>
      </c>
      <c r="D2877">
        <v>2.0099999999999998</v>
      </c>
      <c r="E2877">
        <v>20.059999999999999</v>
      </c>
      <c r="F2877">
        <v>5.77</v>
      </c>
      <c r="G2877">
        <v>1.66</v>
      </c>
    </row>
    <row r="2878" spans="1:7" hidden="1">
      <c r="A2878">
        <v>222</v>
      </c>
      <c r="B2878" t="s">
        <v>1190</v>
      </c>
      <c r="C2878" t="s">
        <v>962</v>
      </c>
      <c r="D2878">
        <v>1.32</v>
      </c>
      <c r="E2878">
        <v>24.72</v>
      </c>
      <c r="F2878">
        <v>4.68</v>
      </c>
      <c r="G2878">
        <v>0.91</v>
      </c>
    </row>
    <row r="2879" spans="1:7" hidden="1">
      <c r="A2879">
        <v>222</v>
      </c>
      <c r="B2879" t="s">
        <v>1190</v>
      </c>
      <c r="C2879" t="s">
        <v>963</v>
      </c>
      <c r="D2879">
        <v>3.74</v>
      </c>
      <c r="E2879">
        <v>18.13</v>
      </c>
      <c r="F2879">
        <v>9.69</v>
      </c>
      <c r="G2879">
        <v>2.62</v>
      </c>
    </row>
    <row r="2880" spans="1:7" hidden="1">
      <c r="A2880">
        <v>222</v>
      </c>
      <c r="B2880" t="s">
        <v>1190</v>
      </c>
      <c r="C2880" t="s">
        <v>964</v>
      </c>
      <c r="D2880">
        <v>0.18</v>
      </c>
      <c r="E2880">
        <v>21.87</v>
      </c>
      <c r="F2880">
        <v>0.56999999999999995</v>
      </c>
      <c r="G2880">
        <v>0.14000000000000001</v>
      </c>
    </row>
    <row r="2881" spans="1:7" hidden="1">
      <c r="A2881">
        <v>222</v>
      </c>
      <c r="B2881" t="s">
        <v>1190</v>
      </c>
      <c r="C2881" t="s">
        <v>965</v>
      </c>
      <c r="D2881">
        <v>2.2999999999999998</v>
      </c>
      <c r="E2881">
        <v>24.75</v>
      </c>
      <c r="F2881">
        <v>8.1300000000000008</v>
      </c>
      <c r="G2881">
        <v>1.65</v>
      </c>
    </row>
    <row r="2882" spans="1:7">
      <c r="A2882">
        <v>222</v>
      </c>
      <c r="B2882" t="s">
        <v>1190</v>
      </c>
      <c r="C2882" t="s">
        <v>24</v>
      </c>
      <c r="D2882">
        <v>31.65</v>
      </c>
      <c r="E2882">
        <v>19.190000000000001</v>
      </c>
      <c r="F2882">
        <v>86.75</v>
      </c>
      <c r="G2882">
        <v>24.69</v>
      </c>
    </row>
    <row r="2883" spans="1:7" hidden="1">
      <c r="A2883">
        <v>222</v>
      </c>
      <c r="B2883" t="s">
        <v>1190</v>
      </c>
      <c r="C2883" t="s">
        <v>966</v>
      </c>
      <c r="D2883">
        <v>19.66</v>
      </c>
      <c r="E2883">
        <v>18.05</v>
      </c>
      <c r="F2883">
        <v>50.7</v>
      </c>
      <c r="G2883">
        <v>19.13</v>
      </c>
    </row>
    <row r="2884" spans="1:7" hidden="1">
      <c r="A2884">
        <v>222</v>
      </c>
      <c r="B2884" t="s">
        <v>1190</v>
      </c>
      <c r="C2884" t="s">
        <v>967</v>
      </c>
      <c r="D2884">
        <v>0.22</v>
      </c>
      <c r="E2884">
        <v>17.91</v>
      </c>
      <c r="F2884">
        <v>0.55000000000000004</v>
      </c>
      <c r="G2884">
        <v>0.16</v>
      </c>
    </row>
    <row r="2885" spans="1:7" hidden="1">
      <c r="A2885">
        <v>222</v>
      </c>
      <c r="B2885" t="s">
        <v>1190</v>
      </c>
      <c r="C2885" t="s">
        <v>968</v>
      </c>
      <c r="D2885">
        <v>0.51</v>
      </c>
      <c r="E2885">
        <v>18.09</v>
      </c>
      <c r="F2885">
        <v>1.31</v>
      </c>
      <c r="G2885">
        <v>0.33</v>
      </c>
    </row>
    <row r="2886" spans="1:7" hidden="1">
      <c r="A2886">
        <v>222</v>
      </c>
      <c r="B2886" t="s">
        <v>1190</v>
      </c>
      <c r="C2886" t="s">
        <v>969</v>
      </c>
      <c r="D2886">
        <v>2.48</v>
      </c>
      <c r="E2886">
        <v>24.75</v>
      </c>
      <c r="F2886">
        <v>8.7799999999999994</v>
      </c>
      <c r="G2886">
        <v>0.1</v>
      </c>
    </row>
    <row r="2887" spans="1:7" hidden="1">
      <c r="A2887">
        <v>222</v>
      </c>
      <c r="B2887" t="s">
        <v>1190</v>
      </c>
      <c r="C2887" t="s">
        <v>970</v>
      </c>
      <c r="D2887">
        <v>0.25</v>
      </c>
      <c r="E2887">
        <v>24.75</v>
      </c>
      <c r="F2887">
        <v>0.89</v>
      </c>
      <c r="G2887">
        <v>0.17</v>
      </c>
    </row>
    <row r="2888" spans="1:7" hidden="1">
      <c r="A2888">
        <v>223</v>
      </c>
      <c r="B2888" t="s">
        <v>1191</v>
      </c>
      <c r="C2888" t="s">
        <v>959</v>
      </c>
      <c r="D2888">
        <v>12.03</v>
      </c>
      <c r="E2888">
        <v>18.309999999999999</v>
      </c>
      <c r="F2888">
        <v>31.48</v>
      </c>
      <c r="G2888">
        <v>5.91</v>
      </c>
    </row>
    <row r="2889" spans="1:7" hidden="1">
      <c r="A2889">
        <v>223</v>
      </c>
      <c r="B2889" t="s">
        <v>1191</v>
      </c>
      <c r="C2889" t="s">
        <v>960</v>
      </c>
      <c r="D2889">
        <v>11.92</v>
      </c>
      <c r="E2889">
        <v>18.399999999999999</v>
      </c>
      <c r="F2889">
        <v>31.32</v>
      </c>
      <c r="G2889">
        <v>7.95</v>
      </c>
    </row>
    <row r="2890" spans="1:7" hidden="1">
      <c r="A2890">
        <v>223</v>
      </c>
      <c r="B2890" t="s">
        <v>1191</v>
      </c>
      <c r="C2890" t="s">
        <v>961</v>
      </c>
      <c r="D2890">
        <v>2.8</v>
      </c>
      <c r="E2890">
        <v>20.059999999999999</v>
      </c>
      <c r="F2890">
        <v>8.02</v>
      </c>
      <c r="G2890">
        <v>1.71</v>
      </c>
    </row>
    <row r="2891" spans="1:7" hidden="1">
      <c r="A2891">
        <v>223</v>
      </c>
      <c r="B2891" t="s">
        <v>1191</v>
      </c>
      <c r="C2891" t="s">
        <v>962</v>
      </c>
      <c r="D2891">
        <v>1.48</v>
      </c>
      <c r="E2891">
        <v>24.72</v>
      </c>
      <c r="F2891">
        <v>5.22</v>
      </c>
      <c r="G2891">
        <v>0.76</v>
      </c>
    </row>
    <row r="2892" spans="1:7" hidden="1">
      <c r="A2892">
        <v>223</v>
      </c>
      <c r="B2892" t="s">
        <v>1191</v>
      </c>
      <c r="C2892" t="s">
        <v>963</v>
      </c>
      <c r="D2892">
        <v>4.62</v>
      </c>
      <c r="E2892">
        <v>18.13</v>
      </c>
      <c r="F2892">
        <v>11.97</v>
      </c>
      <c r="G2892">
        <v>1.96</v>
      </c>
    </row>
    <row r="2893" spans="1:7" hidden="1">
      <c r="A2893">
        <v>223</v>
      </c>
      <c r="B2893" t="s">
        <v>1191</v>
      </c>
      <c r="C2893" t="s">
        <v>964</v>
      </c>
      <c r="D2893">
        <v>0.16</v>
      </c>
      <c r="E2893">
        <v>21.87</v>
      </c>
      <c r="F2893">
        <v>0.5</v>
      </c>
      <c r="G2893">
        <v>0.05</v>
      </c>
    </row>
    <row r="2894" spans="1:7" hidden="1">
      <c r="A2894">
        <v>223</v>
      </c>
      <c r="B2894" t="s">
        <v>1191</v>
      </c>
      <c r="C2894" t="s">
        <v>965</v>
      </c>
      <c r="D2894">
        <v>2.89</v>
      </c>
      <c r="E2894">
        <v>24.75</v>
      </c>
      <c r="F2894">
        <v>10.23</v>
      </c>
      <c r="G2894">
        <v>1.39</v>
      </c>
    </row>
    <row r="2895" spans="1:7">
      <c r="A2895">
        <v>223</v>
      </c>
      <c r="B2895" t="s">
        <v>1191</v>
      </c>
      <c r="C2895" t="s">
        <v>24</v>
      </c>
      <c r="D2895">
        <v>35.9</v>
      </c>
      <c r="E2895">
        <v>19.25</v>
      </c>
      <c r="F2895">
        <v>98.74</v>
      </c>
      <c r="G2895">
        <v>19.739999999999998</v>
      </c>
    </row>
    <row r="2896" spans="1:7" hidden="1">
      <c r="A2896">
        <v>223</v>
      </c>
      <c r="B2896" t="s">
        <v>1191</v>
      </c>
      <c r="C2896" t="s">
        <v>966</v>
      </c>
      <c r="D2896">
        <v>12.71</v>
      </c>
      <c r="E2896">
        <v>18.05</v>
      </c>
      <c r="F2896">
        <v>32.78</v>
      </c>
      <c r="G2896">
        <v>11.72</v>
      </c>
    </row>
    <row r="2897" spans="1:7" hidden="1">
      <c r="A2897">
        <v>223</v>
      </c>
      <c r="B2897" t="s">
        <v>1191</v>
      </c>
      <c r="C2897" t="s">
        <v>967</v>
      </c>
      <c r="D2897">
        <v>0.24</v>
      </c>
      <c r="E2897">
        <v>17.91</v>
      </c>
      <c r="F2897">
        <v>0.62</v>
      </c>
      <c r="G2897">
        <v>0.06</v>
      </c>
    </row>
    <row r="2898" spans="1:7" hidden="1">
      <c r="A2898">
        <v>223</v>
      </c>
      <c r="B2898" t="s">
        <v>1191</v>
      </c>
      <c r="C2898" t="s">
        <v>968</v>
      </c>
      <c r="D2898">
        <v>0.77</v>
      </c>
      <c r="E2898">
        <v>18.09</v>
      </c>
      <c r="F2898">
        <v>2</v>
      </c>
      <c r="G2898">
        <v>0.28000000000000003</v>
      </c>
    </row>
    <row r="2899" spans="1:7" hidden="1">
      <c r="A2899">
        <v>223</v>
      </c>
      <c r="B2899" t="s">
        <v>1191</v>
      </c>
      <c r="C2899" t="s">
        <v>969</v>
      </c>
      <c r="D2899">
        <v>2.83</v>
      </c>
      <c r="E2899">
        <v>24.75</v>
      </c>
      <c r="F2899">
        <v>10</v>
      </c>
      <c r="G2899">
        <v>0.05</v>
      </c>
    </row>
    <row r="2900" spans="1:7" hidden="1">
      <c r="A2900">
        <v>223</v>
      </c>
      <c r="B2900" t="s">
        <v>1191</v>
      </c>
      <c r="C2900" t="s">
        <v>970</v>
      </c>
      <c r="D2900">
        <v>0.37</v>
      </c>
      <c r="E2900">
        <v>24.75</v>
      </c>
      <c r="F2900">
        <v>1.3</v>
      </c>
      <c r="G2900">
        <v>0.18</v>
      </c>
    </row>
    <row r="2901" spans="1:7" hidden="1">
      <c r="A2901">
        <v>224</v>
      </c>
      <c r="B2901" t="s">
        <v>1192</v>
      </c>
      <c r="C2901" t="s">
        <v>959</v>
      </c>
      <c r="D2901">
        <v>12.15</v>
      </c>
      <c r="E2901">
        <v>18.309999999999999</v>
      </c>
      <c r="F2901">
        <v>31.78</v>
      </c>
      <c r="G2901">
        <v>0</v>
      </c>
    </row>
    <row r="2902" spans="1:7" hidden="1">
      <c r="A2902">
        <v>224</v>
      </c>
      <c r="B2902" t="s">
        <v>1192</v>
      </c>
      <c r="C2902" t="s">
        <v>960</v>
      </c>
      <c r="D2902">
        <v>10.91</v>
      </c>
      <c r="E2902">
        <v>18.399999999999999</v>
      </c>
      <c r="F2902">
        <v>28.67</v>
      </c>
      <c r="G2902">
        <v>0</v>
      </c>
    </row>
    <row r="2903" spans="1:7" hidden="1">
      <c r="A2903">
        <v>224</v>
      </c>
      <c r="B2903" t="s">
        <v>1192</v>
      </c>
      <c r="C2903" t="s">
        <v>961</v>
      </c>
      <c r="D2903">
        <v>3.95</v>
      </c>
      <c r="E2903">
        <v>20.059999999999999</v>
      </c>
      <c r="F2903">
        <v>11.31</v>
      </c>
      <c r="G2903">
        <v>0</v>
      </c>
    </row>
    <row r="2904" spans="1:7" hidden="1">
      <c r="A2904">
        <v>224</v>
      </c>
      <c r="B2904" t="s">
        <v>1192</v>
      </c>
      <c r="C2904" t="s">
        <v>962</v>
      </c>
      <c r="D2904">
        <v>2</v>
      </c>
      <c r="E2904">
        <v>24.72</v>
      </c>
      <c r="F2904">
        <v>7.08</v>
      </c>
      <c r="G2904">
        <v>0</v>
      </c>
    </row>
    <row r="2905" spans="1:7" hidden="1">
      <c r="A2905">
        <v>224</v>
      </c>
      <c r="B2905" t="s">
        <v>1192</v>
      </c>
      <c r="C2905" t="s">
        <v>963</v>
      </c>
      <c r="D2905">
        <v>4.59</v>
      </c>
      <c r="E2905">
        <v>18.13</v>
      </c>
      <c r="F2905">
        <v>11.88</v>
      </c>
      <c r="G2905">
        <v>0</v>
      </c>
    </row>
    <row r="2906" spans="1:7" hidden="1">
      <c r="A2906">
        <v>224</v>
      </c>
      <c r="B2906" t="s">
        <v>1192</v>
      </c>
      <c r="C2906" t="s">
        <v>964</v>
      </c>
      <c r="D2906">
        <v>0.3</v>
      </c>
      <c r="E2906">
        <v>21.87</v>
      </c>
      <c r="F2906">
        <v>0.94</v>
      </c>
      <c r="G2906">
        <v>0</v>
      </c>
    </row>
    <row r="2907" spans="1:7" hidden="1">
      <c r="A2907">
        <v>224</v>
      </c>
      <c r="B2907" t="s">
        <v>1192</v>
      </c>
      <c r="C2907" t="s">
        <v>965</v>
      </c>
      <c r="D2907">
        <v>3.01</v>
      </c>
      <c r="E2907">
        <v>24.75</v>
      </c>
      <c r="F2907">
        <v>10.66</v>
      </c>
      <c r="G2907">
        <v>0</v>
      </c>
    </row>
    <row r="2908" spans="1:7">
      <c r="A2908">
        <v>224</v>
      </c>
      <c r="B2908" t="s">
        <v>1192</v>
      </c>
      <c r="C2908" t="s">
        <v>24</v>
      </c>
      <c r="D2908">
        <v>36.909999999999997</v>
      </c>
      <c r="E2908">
        <v>19.399999999999999</v>
      </c>
      <c r="F2908">
        <v>102.31</v>
      </c>
      <c r="G2908">
        <v>0</v>
      </c>
    </row>
    <row r="2909" spans="1:7" hidden="1">
      <c r="A2909">
        <v>224</v>
      </c>
      <c r="B2909" t="s">
        <v>1192</v>
      </c>
      <c r="C2909" t="s">
        <v>966</v>
      </c>
      <c r="D2909">
        <v>5.61</v>
      </c>
      <c r="E2909">
        <v>18.05</v>
      </c>
      <c r="F2909">
        <v>14.46</v>
      </c>
      <c r="G2909">
        <v>4.8</v>
      </c>
    </row>
    <row r="2910" spans="1:7" hidden="1">
      <c r="A2910">
        <v>224</v>
      </c>
      <c r="B2910" t="s">
        <v>1192</v>
      </c>
      <c r="C2910" t="s">
        <v>967</v>
      </c>
      <c r="D2910">
        <v>0.37</v>
      </c>
      <c r="E2910">
        <v>17.91</v>
      </c>
      <c r="F2910">
        <v>0.95</v>
      </c>
      <c r="G2910">
        <v>0</v>
      </c>
    </row>
    <row r="2911" spans="1:7" hidden="1">
      <c r="A2911">
        <v>224</v>
      </c>
      <c r="B2911" t="s">
        <v>1192</v>
      </c>
      <c r="C2911" t="s">
        <v>968</v>
      </c>
      <c r="D2911">
        <v>1.25</v>
      </c>
      <c r="E2911">
        <v>18.09</v>
      </c>
      <c r="F2911">
        <v>3.22</v>
      </c>
      <c r="G2911">
        <v>0</v>
      </c>
    </row>
    <row r="2912" spans="1:7" hidden="1">
      <c r="A2912">
        <v>224</v>
      </c>
      <c r="B2912" t="s">
        <v>1192</v>
      </c>
      <c r="C2912" t="s">
        <v>969</v>
      </c>
      <c r="D2912">
        <v>2.41</v>
      </c>
      <c r="E2912">
        <v>24.75</v>
      </c>
      <c r="F2912">
        <v>8.51</v>
      </c>
      <c r="G2912">
        <v>0</v>
      </c>
    </row>
    <row r="2913" spans="1:7" hidden="1">
      <c r="A2913">
        <v>224</v>
      </c>
      <c r="B2913" t="s">
        <v>1192</v>
      </c>
      <c r="C2913" t="s">
        <v>970</v>
      </c>
      <c r="D2913">
        <v>0.43</v>
      </c>
      <c r="E2913">
        <v>24.75</v>
      </c>
      <c r="F2913">
        <v>1.52</v>
      </c>
      <c r="G2913">
        <v>0</v>
      </c>
    </row>
    <row r="2914" spans="1:7" hidden="1">
      <c r="A2914">
        <v>225</v>
      </c>
      <c r="B2914" t="s">
        <v>1193</v>
      </c>
      <c r="C2914" t="s">
        <v>959</v>
      </c>
      <c r="D2914">
        <v>10.44</v>
      </c>
      <c r="E2914">
        <v>18.309999999999999</v>
      </c>
      <c r="F2914">
        <v>27.31</v>
      </c>
      <c r="G2914">
        <v>0</v>
      </c>
    </row>
    <row r="2915" spans="1:7" hidden="1">
      <c r="A2915">
        <v>225</v>
      </c>
      <c r="B2915" t="s">
        <v>1193</v>
      </c>
      <c r="C2915" t="s">
        <v>960</v>
      </c>
      <c r="D2915">
        <v>9.0500000000000007</v>
      </c>
      <c r="E2915">
        <v>18.399999999999999</v>
      </c>
      <c r="F2915">
        <v>23.79</v>
      </c>
      <c r="G2915">
        <v>0</v>
      </c>
    </row>
    <row r="2916" spans="1:7" hidden="1">
      <c r="A2916">
        <v>225</v>
      </c>
      <c r="B2916" t="s">
        <v>1193</v>
      </c>
      <c r="C2916" t="s">
        <v>961</v>
      </c>
      <c r="D2916">
        <v>4.92</v>
      </c>
      <c r="E2916">
        <v>20.059999999999999</v>
      </c>
      <c r="F2916">
        <v>14.09</v>
      </c>
      <c r="G2916">
        <v>0</v>
      </c>
    </row>
    <row r="2917" spans="1:7" hidden="1">
      <c r="A2917">
        <v>225</v>
      </c>
      <c r="B2917" t="s">
        <v>1193</v>
      </c>
      <c r="C2917" t="s">
        <v>962</v>
      </c>
      <c r="D2917">
        <v>1.6</v>
      </c>
      <c r="E2917">
        <v>24.72</v>
      </c>
      <c r="F2917">
        <v>5.65</v>
      </c>
      <c r="G2917">
        <v>0</v>
      </c>
    </row>
    <row r="2918" spans="1:7" hidden="1">
      <c r="A2918">
        <v>225</v>
      </c>
      <c r="B2918" t="s">
        <v>1193</v>
      </c>
      <c r="C2918" t="s">
        <v>963</v>
      </c>
      <c r="D2918">
        <v>4.1399999999999997</v>
      </c>
      <c r="E2918">
        <v>18.13</v>
      </c>
      <c r="F2918">
        <v>10.73</v>
      </c>
      <c r="G2918">
        <v>0.01</v>
      </c>
    </row>
    <row r="2919" spans="1:7" hidden="1">
      <c r="A2919">
        <v>225</v>
      </c>
      <c r="B2919" t="s">
        <v>1193</v>
      </c>
      <c r="C2919" t="s">
        <v>964</v>
      </c>
      <c r="D2919">
        <v>0.35</v>
      </c>
      <c r="E2919">
        <v>21.87</v>
      </c>
      <c r="F2919">
        <v>1.0900000000000001</v>
      </c>
      <c r="G2919">
        <v>0</v>
      </c>
    </row>
    <row r="2920" spans="1:7" hidden="1">
      <c r="A2920">
        <v>225</v>
      </c>
      <c r="B2920" t="s">
        <v>1193</v>
      </c>
      <c r="C2920" t="s">
        <v>965</v>
      </c>
      <c r="D2920">
        <v>2.64</v>
      </c>
      <c r="E2920">
        <v>24.75</v>
      </c>
      <c r="F2920">
        <v>9.32</v>
      </c>
      <c r="G2920">
        <v>0</v>
      </c>
    </row>
    <row r="2921" spans="1:7">
      <c r="A2921">
        <v>225</v>
      </c>
      <c r="B2921" t="s">
        <v>1193</v>
      </c>
      <c r="C2921" t="s">
        <v>24</v>
      </c>
      <c r="D2921">
        <v>33.14</v>
      </c>
      <c r="E2921">
        <v>19.43</v>
      </c>
      <c r="F2921">
        <v>91.98</v>
      </c>
      <c r="G2921">
        <v>0.01</v>
      </c>
    </row>
    <row r="2922" spans="1:7" hidden="1">
      <c r="A2922">
        <v>225</v>
      </c>
      <c r="B2922" t="s">
        <v>1193</v>
      </c>
      <c r="C2922" t="s">
        <v>966</v>
      </c>
      <c r="D2922">
        <v>0</v>
      </c>
      <c r="E2922">
        <v>18.05</v>
      </c>
      <c r="F2922">
        <v>0</v>
      </c>
      <c r="G2922">
        <v>0</v>
      </c>
    </row>
    <row r="2923" spans="1:7" hidden="1">
      <c r="A2923">
        <v>225</v>
      </c>
      <c r="B2923" t="s">
        <v>1193</v>
      </c>
      <c r="C2923" t="s">
        <v>967</v>
      </c>
      <c r="D2923">
        <v>0.7</v>
      </c>
      <c r="E2923">
        <v>17.91</v>
      </c>
      <c r="F2923">
        <v>1.8</v>
      </c>
      <c r="G2923">
        <v>0</v>
      </c>
    </row>
    <row r="2924" spans="1:7" hidden="1">
      <c r="A2924">
        <v>225</v>
      </c>
      <c r="B2924" t="s">
        <v>1193</v>
      </c>
      <c r="C2924" t="s">
        <v>968</v>
      </c>
      <c r="D2924">
        <v>3.01</v>
      </c>
      <c r="E2924">
        <v>18.09</v>
      </c>
      <c r="F2924">
        <v>7.77</v>
      </c>
      <c r="G2924">
        <v>0</v>
      </c>
    </row>
    <row r="2925" spans="1:7" hidden="1">
      <c r="A2925">
        <v>225</v>
      </c>
      <c r="B2925" t="s">
        <v>1193</v>
      </c>
      <c r="C2925" t="s">
        <v>969</v>
      </c>
      <c r="D2925">
        <v>0.23</v>
      </c>
      <c r="E2925">
        <v>24.75</v>
      </c>
      <c r="F2925">
        <v>0.8</v>
      </c>
      <c r="G2925">
        <v>0</v>
      </c>
    </row>
    <row r="2926" spans="1:7" hidden="1">
      <c r="A2926">
        <v>225</v>
      </c>
      <c r="B2926" t="s">
        <v>1193</v>
      </c>
      <c r="C2926" t="s">
        <v>970</v>
      </c>
      <c r="D2926">
        <v>0.62</v>
      </c>
      <c r="E2926">
        <v>24.75</v>
      </c>
      <c r="F2926">
        <v>2.1800000000000002</v>
      </c>
      <c r="G2926">
        <v>0</v>
      </c>
    </row>
    <row r="2927" spans="1:7" hidden="1">
      <c r="A2927">
        <v>226</v>
      </c>
      <c r="B2927" t="s">
        <v>1194</v>
      </c>
      <c r="C2927" t="s">
        <v>959</v>
      </c>
      <c r="D2927">
        <v>8.73</v>
      </c>
      <c r="E2927">
        <v>18.309999999999999</v>
      </c>
      <c r="F2927">
        <v>22.83</v>
      </c>
      <c r="G2927">
        <v>0</v>
      </c>
    </row>
    <row r="2928" spans="1:7" hidden="1">
      <c r="A2928">
        <v>226</v>
      </c>
      <c r="B2928" t="s">
        <v>1194</v>
      </c>
      <c r="C2928" t="s">
        <v>960</v>
      </c>
      <c r="D2928">
        <v>8.14</v>
      </c>
      <c r="E2928">
        <v>18.399999999999999</v>
      </c>
      <c r="F2928">
        <v>21.4</v>
      </c>
      <c r="G2928">
        <v>0</v>
      </c>
    </row>
    <row r="2929" spans="1:7" hidden="1">
      <c r="A2929">
        <v>226</v>
      </c>
      <c r="B2929" t="s">
        <v>1194</v>
      </c>
      <c r="C2929" t="s">
        <v>961</v>
      </c>
      <c r="D2929">
        <v>3.74</v>
      </c>
      <c r="E2929">
        <v>20.059999999999999</v>
      </c>
      <c r="F2929">
        <v>10.72</v>
      </c>
      <c r="G2929">
        <v>0</v>
      </c>
    </row>
    <row r="2930" spans="1:7" hidden="1">
      <c r="A2930">
        <v>226</v>
      </c>
      <c r="B2930" t="s">
        <v>1194</v>
      </c>
      <c r="C2930" t="s">
        <v>962</v>
      </c>
      <c r="D2930">
        <v>1.34</v>
      </c>
      <c r="E2930">
        <v>24.72</v>
      </c>
      <c r="F2930">
        <v>4.75</v>
      </c>
      <c r="G2930">
        <v>0</v>
      </c>
    </row>
    <row r="2931" spans="1:7" hidden="1">
      <c r="A2931">
        <v>226</v>
      </c>
      <c r="B2931" t="s">
        <v>1194</v>
      </c>
      <c r="C2931" t="s">
        <v>963</v>
      </c>
      <c r="D2931">
        <v>3.69</v>
      </c>
      <c r="E2931">
        <v>18.13</v>
      </c>
      <c r="F2931">
        <v>9.5500000000000007</v>
      </c>
      <c r="G2931">
        <v>0.03</v>
      </c>
    </row>
    <row r="2932" spans="1:7" hidden="1">
      <c r="A2932">
        <v>226</v>
      </c>
      <c r="B2932" t="s">
        <v>1194</v>
      </c>
      <c r="C2932" t="s">
        <v>964</v>
      </c>
      <c r="D2932">
        <v>0.34</v>
      </c>
      <c r="E2932">
        <v>21.87</v>
      </c>
      <c r="F2932">
        <v>1.06</v>
      </c>
      <c r="G2932">
        <v>0</v>
      </c>
    </row>
    <row r="2933" spans="1:7" hidden="1">
      <c r="A2933">
        <v>226</v>
      </c>
      <c r="B2933" t="s">
        <v>1194</v>
      </c>
      <c r="C2933" t="s">
        <v>965</v>
      </c>
      <c r="D2933">
        <v>2.5</v>
      </c>
      <c r="E2933">
        <v>24.75</v>
      </c>
      <c r="F2933">
        <v>8.84</v>
      </c>
      <c r="G2933">
        <v>0.01</v>
      </c>
    </row>
    <row r="2934" spans="1:7">
      <c r="A2934">
        <v>226</v>
      </c>
      <c r="B2934" t="s">
        <v>1194</v>
      </c>
      <c r="C2934" t="s">
        <v>24</v>
      </c>
      <c r="D2934">
        <v>28.48</v>
      </c>
      <c r="E2934">
        <v>19.45</v>
      </c>
      <c r="F2934">
        <v>79.150000000000006</v>
      </c>
      <c r="G2934">
        <v>0.03</v>
      </c>
    </row>
    <row r="2935" spans="1:7" hidden="1">
      <c r="A2935">
        <v>226</v>
      </c>
      <c r="B2935" t="s">
        <v>1194</v>
      </c>
      <c r="C2935" t="s">
        <v>966</v>
      </c>
      <c r="D2935">
        <v>0</v>
      </c>
      <c r="E2935">
        <v>18.05</v>
      </c>
      <c r="F2935">
        <v>0</v>
      </c>
      <c r="G2935">
        <v>0</v>
      </c>
    </row>
    <row r="2936" spans="1:7" hidden="1">
      <c r="A2936">
        <v>226</v>
      </c>
      <c r="B2936" t="s">
        <v>1194</v>
      </c>
      <c r="C2936" t="s">
        <v>967</v>
      </c>
      <c r="D2936">
        <v>0.62</v>
      </c>
      <c r="E2936">
        <v>17.91</v>
      </c>
      <c r="F2936">
        <v>1.58</v>
      </c>
      <c r="G2936">
        <v>0</v>
      </c>
    </row>
    <row r="2937" spans="1:7" hidden="1">
      <c r="A2937">
        <v>226</v>
      </c>
      <c r="B2937" t="s">
        <v>1194</v>
      </c>
      <c r="C2937" t="s">
        <v>968</v>
      </c>
      <c r="D2937">
        <v>1.35</v>
      </c>
      <c r="E2937">
        <v>18.09</v>
      </c>
      <c r="F2937">
        <v>3.49</v>
      </c>
      <c r="G2937">
        <v>0</v>
      </c>
    </row>
    <row r="2938" spans="1:7" hidden="1">
      <c r="A2938">
        <v>226</v>
      </c>
      <c r="B2938" t="s">
        <v>1194</v>
      </c>
      <c r="C2938" t="s">
        <v>969</v>
      </c>
      <c r="D2938">
        <v>0.21</v>
      </c>
      <c r="E2938">
        <v>24.75</v>
      </c>
      <c r="F2938">
        <v>0.73</v>
      </c>
      <c r="G2938">
        <v>0</v>
      </c>
    </row>
    <row r="2939" spans="1:7" hidden="1">
      <c r="A2939">
        <v>226</v>
      </c>
      <c r="B2939" t="s">
        <v>1194</v>
      </c>
      <c r="C2939" t="s">
        <v>970</v>
      </c>
      <c r="D2939">
        <v>0.32</v>
      </c>
      <c r="E2939">
        <v>24.75</v>
      </c>
      <c r="F2939">
        <v>1.1200000000000001</v>
      </c>
      <c r="G2939">
        <v>0</v>
      </c>
    </row>
    <row r="2940" spans="1:7" hidden="1">
      <c r="A2940">
        <v>227</v>
      </c>
      <c r="B2940" t="s">
        <v>1195</v>
      </c>
      <c r="C2940" t="s">
        <v>959</v>
      </c>
      <c r="D2940">
        <v>11.23</v>
      </c>
      <c r="E2940">
        <v>18.309999999999999</v>
      </c>
      <c r="F2940">
        <v>29.37</v>
      </c>
      <c r="G2940">
        <v>0</v>
      </c>
    </row>
    <row r="2941" spans="1:7" hidden="1">
      <c r="A2941">
        <v>227</v>
      </c>
      <c r="B2941" t="s">
        <v>1195</v>
      </c>
      <c r="C2941" t="s">
        <v>960</v>
      </c>
      <c r="D2941">
        <v>9.15</v>
      </c>
      <c r="E2941">
        <v>18.399999999999999</v>
      </c>
      <c r="F2941">
        <v>24.06</v>
      </c>
      <c r="G2941">
        <v>0</v>
      </c>
    </row>
    <row r="2942" spans="1:7" hidden="1">
      <c r="A2942">
        <v>227</v>
      </c>
      <c r="B2942" t="s">
        <v>1195</v>
      </c>
      <c r="C2942" t="s">
        <v>961</v>
      </c>
      <c r="D2942">
        <v>5</v>
      </c>
      <c r="E2942">
        <v>20.059999999999999</v>
      </c>
      <c r="F2942">
        <v>14.34</v>
      </c>
      <c r="G2942">
        <v>0</v>
      </c>
    </row>
    <row r="2943" spans="1:7" hidden="1">
      <c r="A2943">
        <v>227</v>
      </c>
      <c r="B2943" t="s">
        <v>1195</v>
      </c>
      <c r="C2943" t="s">
        <v>962</v>
      </c>
      <c r="D2943">
        <v>1.63</v>
      </c>
      <c r="E2943">
        <v>24.72</v>
      </c>
      <c r="F2943">
        <v>5.77</v>
      </c>
      <c r="G2943">
        <v>0</v>
      </c>
    </row>
    <row r="2944" spans="1:7" hidden="1">
      <c r="A2944">
        <v>227</v>
      </c>
      <c r="B2944" t="s">
        <v>1195</v>
      </c>
      <c r="C2944" t="s">
        <v>963</v>
      </c>
      <c r="D2944">
        <v>4</v>
      </c>
      <c r="E2944">
        <v>18.13</v>
      </c>
      <c r="F2944">
        <v>10.35</v>
      </c>
      <c r="G2944">
        <v>0</v>
      </c>
    </row>
    <row r="2945" spans="1:7" hidden="1">
      <c r="A2945">
        <v>227</v>
      </c>
      <c r="B2945" t="s">
        <v>1195</v>
      </c>
      <c r="C2945" t="s">
        <v>964</v>
      </c>
      <c r="D2945">
        <v>0.4</v>
      </c>
      <c r="E2945">
        <v>21.87</v>
      </c>
      <c r="F2945">
        <v>1.24</v>
      </c>
      <c r="G2945">
        <v>0</v>
      </c>
    </row>
    <row r="2946" spans="1:7" hidden="1">
      <c r="A2946">
        <v>227</v>
      </c>
      <c r="B2946" t="s">
        <v>1195</v>
      </c>
      <c r="C2946" t="s">
        <v>965</v>
      </c>
      <c r="D2946">
        <v>2.63</v>
      </c>
      <c r="E2946">
        <v>24.75</v>
      </c>
      <c r="F2946">
        <v>9.2899999999999991</v>
      </c>
      <c r="G2946">
        <v>0</v>
      </c>
    </row>
    <row r="2947" spans="1:7">
      <c r="A2947">
        <v>227</v>
      </c>
      <c r="B2947" t="s">
        <v>1195</v>
      </c>
      <c r="C2947" t="s">
        <v>24</v>
      </c>
      <c r="D2947">
        <v>34.04</v>
      </c>
      <c r="E2947">
        <v>19.420000000000002</v>
      </c>
      <c r="F2947">
        <v>94.42</v>
      </c>
      <c r="G2947">
        <v>0</v>
      </c>
    </row>
    <row r="2948" spans="1:7" hidden="1">
      <c r="A2948">
        <v>227</v>
      </c>
      <c r="B2948" t="s">
        <v>1195</v>
      </c>
      <c r="C2948" t="s">
        <v>966</v>
      </c>
      <c r="D2948">
        <v>0</v>
      </c>
      <c r="E2948">
        <v>18.05</v>
      </c>
      <c r="F2948">
        <v>0</v>
      </c>
      <c r="G2948">
        <v>0</v>
      </c>
    </row>
    <row r="2949" spans="1:7" hidden="1">
      <c r="A2949">
        <v>227</v>
      </c>
      <c r="B2949" t="s">
        <v>1195</v>
      </c>
      <c r="C2949" t="s">
        <v>967</v>
      </c>
      <c r="D2949">
        <v>1.1100000000000001</v>
      </c>
      <c r="E2949">
        <v>17.91</v>
      </c>
      <c r="F2949">
        <v>2.84</v>
      </c>
      <c r="G2949">
        <v>0</v>
      </c>
    </row>
    <row r="2950" spans="1:7" hidden="1">
      <c r="A2950">
        <v>227</v>
      </c>
      <c r="B2950" t="s">
        <v>1195</v>
      </c>
      <c r="C2950" t="s">
        <v>968</v>
      </c>
      <c r="D2950">
        <v>3.8</v>
      </c>
      <c r="E2950">
        <v>18.09</v>
      </c>
      <c r="F2950">
        <v>9.81</v>
      </c>
      <c r="G2950">
        <v>0</v>
      </c>
    </row>
    <row r="2951" spans="1:7" hidden="1">
      <c r="A2951">
        <v>227</v>
      </c>
      <c r="B2951" t="s">
        <v>1195</v>
      </c>
      <c r="C2951" t="s">
        <v>969</v>
      </c>
      <c r="D2951">
        <v>0.34</v>
      </c>
      <c r="E2951">
        <v>24.75</v>
      </c>
      <c r="F2951">
        <v>1.21</v>
      </c>
      <c r="G2951">
        <v>0</v>
      </c>
    </row>
    <row r="2952" spans="1:7" hidden="1">
      <c r="A2952">
        <v>227</v>
      </c>
      <c r="B2952" t="s">
        <v>1195</v>
      </c>
      <c r="C2952" t="s">
        <v>970</v>
      </c>
      <c r="D2952">
        <v>0.88</v>
      </c>
      <c r="E2952">
        <v>24.75</v>
      </c>
      <c r="F2952">
        <v>3.1</v>
      </c>
      <c r="G2952">
        <v>0</v>
      </c>
    </row>
    <row r="2953" spans="1:7" hidden="1">
      <c r="A2953">
        <v>228</v>
      </c>
      <c r="B2953" t="s">
        <v>1196</v>
      </c>
      <c r="C2953" t="s">
        <v>959</v>
      </c>
      <c r="D2953">
        <v>11.17</v>
      </c>
      <c r="E2953">
        <v>18.309999999999999</v>
      </c>
      <c r="F2953">
        <v>29.22</v>
      </c>
      <c r="G2953">
        <v>0</v>
      </c>
    </row>
    <row r="2954" spans="1:7" hidden="1">
      <c r="A2954">
        <v>228</v>
      </c>
      <c r="B2954" t="s">
        <v>1196</v>
      </c>
      <c r="C2954" t="s">
        <v>960</v>
      </c>
      <c r="D2954">
        <v>9.82</v>
      </c>
      <c r="E2954">
        <v>18.399999999999999</v>
      </c>
      <c r="F2954">
        <v>25.82</v>
      </c>
      <c r="G2954">
        <v>0</v>
      </c>
    </row>
    <row r="2955" spans="1:7" hidden="1">
      <c r="A2955">
        <v>228</v>
      </c>
      <c r="B2955" t="s">
        <v>1196</v>
      </c>
      <c r="C2955" t="s">
        <v>961</v>
      </c>
      <c r="D2955">
        <v>5.98</v>
      </c>
      <c r="E2955">
        <v>20.059999999999999</v>
      </c>
      <c r="F2955">
        <v>17.13</v>
      </c>
      <c r="G2955">
        <v>0</v>
      </c>
    </row>
    <row r="2956" spans="1:7" hidden="1">
      <c r="A2956">
        <v>228</v>
      </c>
      <c r="B2956" t="s">
        <v>1196</v>
      </c>
      <c r="C2956" t="s">
        <v>962</v>
      </c>
      <c r="D2956">
        <v>1.81</v>
      </c>
      <c r="E2956">
        <v>24.72</v>
      </c>
      <c r="F2956">
        <v>6.41</v>
      </c>
      <c r="G2956">
        <v>0</v>
      </c>
    </row>
    <row r="2957" spans="1:7" hidden="1">
      <c r="A2957">
        <v>228</v>
      </c>
      <c r="B2957" t="s">
        <v>1196</v>
      </c>
      <c r="C2957" t="s">
        <v>963</v>
      </c>
      <c r="D2957">
        <v>4.7699999999999996</v>
      </c>
      <c r="E2957">
        <v>18.13</v>
      </c>
      <c r="F2957">
        <v>12.35</v>
      </c>
      <c r="G2957">
        <v>0</v>
      </c>
    </row>
    <row r="2958" spans="1:7" hidden="1">
      <c r="A2958">
        <v>228</v>
      </c>
      <c r="B2958" t="s">
        <v>1196</v>
      </c>
      <c r="C2958" t="s">
        <v>964</v>
      </c>
      <c r="D2958">
        <v>0.3</v>
      </c>
      <c r="E2958">
        <v>21.87</v>
      </c>
      <c r="F2958">
        <v>0.95</v>
      </c>
      <c r="G2958">
        <v>0</v>
      </c>
    </row>
    <row r="2959" spans="1:7" hidden="1">
      <c r="A2959">
        <v>228</v>
      </c>
      <c r="B2959" t="s">
        <v>1196</v>
      </c>
      <c r="C2959" t="s">
        <v>965</v>
      </c>
      <c r="D2959">
        <v>2.78</v>
      </c>
      <c r="E2959">
        <v>24.75</v>
      </c>
      <c r="F2959">
        <v>9.83</v>
      </c>
      <c r="G2959">
        <v>0</v>
      </c>
    </row>
    <row r="2960" spans="1:7">
      <c r="A2960">
        <v>228</v>
      </c>
      <c r="B2960" t="s">
        <v>1196</v>
      </c>
      <c r="C2960" t="s">
        <v>24</v>
      </c>
      <c r="D2960">
        <v>36.64</v>
      </c>
      <c r="E2960">
        <v>19.43</v>
      </c>
      <c r="F2960">
        <v>101.7</v>
      </c>
      <c r="G2960">
        <v>0</v>
      </c>
    </row>
    <row r="2961" spans="1:7" hidden="1">
      <c r="A2961">
        <v>228</v>
      </c>
      <c r="B2961" t="s">
        <v>1196</v>
      </c>
      <c r="C2961" t="s">
        <v>966</v>
      </c>
      <c r="D2961">
        <v>0</v>
      </c>
      <c r="E2961">
        <v>18.05</v>
      </c>
      <c r="F2961">
        <v>0</v>
      </c>
      <c r="G2961">
        <v>0</v>
      </c>
    </row>
    <row r="2962" spans="1:7" hidden="1">
      <c r="A2962">
        <v>228</v>
      </c>
      <c r="B2962" t="s">
        <v>1196</v>
      </c>
      <c r="C2962" t="s">
        <v>967</v>
      </c>
      <c r="D2962">
        <v>0.3</v>
      </c>
      <c r="E2962">
        <v>17.91</v>
      </c>
      <c r="F2962">
        <v>0.76</v>
      </c>
      <c r="G2962">
        <v>0</v>
      </c>
    </row>
    <row r="2963" spans="1:7" hidden="1">
      <c r="A2963">
        <v>228</v>
      </c>
      <c r="B2963" t="s">
        <v>1196</v>
      </c>
      <c r="C2963" t="s">
        <v>968</v>
      </c>
      <c r="D2963">
        <v>3.69</v>
      </c>
      <c r="E2963">
        <v>18.09</v>
      </c>
      <c r="F2963">
        <v>9.5299999999999994</v>
      </c>
      <c r="G2963">
        <v>0</v>
      </c>
    </row>
    <row r="2964" spans="1:7" hidden="1">
      <c r="A2964">
        <v>228</v>
      </c>
      <c r="B2964" t="s">
        <v>1196</v>
      </c>
      <c r="C2964" t="s">
        <v>969</v>
      </c>
      <c r="D2964">
        <v>0.11</v>
      </c>
      <c r="E2964">
        <v>24.75</v>
      </c>
      <c r="F2964">
        <v>0.38</v>
      </c>
      <c r="G2964">
        <v>0</v>
      </c>
    </row>
    <row r="2965" spans="1:7" hidden="1">
      <c r="A2965">
        <v>228</v>
      </c>
      <c r="B2965" t="s">
        <v>1196</v>
      </c>
      <c r="C2965" t="s">
        <v>970</v>
      </c>
      <c r="D2965">
        <v>0.59</v>
      </c>
      <c r="E2965">
        <v>24.75</v>
      </c>
      <c r="F2965">
        <v>2.1</v>
      </c>
      <c r="G2965">
        <v>0</v>
      </c>
    </row>
    <row r="2966" spans="1:7" hidden="1">
      <c r="A2966">
        <v>229</v>
      </c>
      <c r="B2966" t="s">
        <v>1197</v>
      </c>
      <c r="C2966" t="s">
        <v>959</v>
      </c>
      <c r="D2966">
        <v>9.51</v>
      </c>
      <c r="E2966">
        <v>18.309999999999999</v>
      </c>
      <c r="F2966">
        <v>24.87</v>
      </c>
      <c r="G2966">
        <v>0.54</v>
      </c>
    </row>
    <row r="2967" spans="1:7" hidden="1">
      <c r="A2967">
        <v>229</v>
      </c>
      <c r="B2967" t="s">
        <v>1197</v>
      </c>
      <c r="C2967" t="s">
        <v>960</v>
      </c>
      <c r="D2967">
        <v>8.35</v>
      </c>
      <c r="E2967">
        <v>18.399999999999999</v>
      </c>
      <c r="F2967">
        <v>21.95</v>
      </c>
      <c r="G2967">
        <v>0.56999999999999995</v>
      </c>
    </row>
    <row r="2968" spans="1:7" hidden="1">
      <c r="A2968">
        <v>229</v>
      </c>
      <c r="B2968" t="s">
        <v>1197</v>
      </c>
      <c r="C2968" t="s">
        <v>961</v>
      </c>
      <c r="D2968">
        <v>4.79</v>
      </c>
      <c r="E2968">
        <v>20.059999999999999</v>
      </c>
      <c r="F2968">
        <v>13.72</v>
      </c>
      <c r="G2968">
        <v>0.11</v>
      </c>
    </row>
    <row r="2969" spans="1:7" hidden="1">
      <c r="A2969">
        <v>229</v>
      </c>
      <c r="B2969" t="s">
        <v>1197</v>
      </c>
      <c r="C2969" t="s">
        <v>962</v>
      </c>
      <c r="D2969">
        <v>1.41</v>
      </c>
      <c r="E2969">
        <v>24.72</v>
      </c>
      <c r="F2969">
        <v>4.99</v>
      </c>
      <c r="G2969">
        <v>0.06</v>
      </c>
    </row>
    <row r="2970" spans="1:7" hidden="1">
      <c r="A2970">
        <v>229</v>
      </c>
      <c r="B2970" t="s">
        <v>1197</v>
      </c>
      <c r="C2970" t="s">
        <v>963</v>
      </c>
      <c r="D2970">
        <v>3.97</v>
      </c>
      <c r="E2970">
        <v>18.13</v>
      </c>
      <c r="F2970">
        <v>10.27</v>
      </c>
      <c r="G2970">
        <v>0.26</v>
      </c>
    </row>
    <row r="2971" spans="1:7" hidden="1">
      <c r="A2971">
        <v>229</v>
      </c>
      <c r="B2971" t="s">
        <v>1197</v>
      </c>
      <c r="C2971" t="s">
        <v>964</v>
      </c>
      <c r="D2971">
        <v>0.25</v>
      </c>
      <c r="E2971">
        <v>21.87</v>
      </c>
      <c r="F2971">
        <v>0.77</v>
      </c>
      <c r="G2971">
        <v>0</v>
      </c>
    </row>
    <row r="2972" spans="1:7" hidden="1">
      <c r="A2972">
        <v>229</v>
      </c>
      <c r="B2972" t="s">
        <v>1197</v>
      </c>
      <c r="C2972" t="s">
        <v>965</v>
      </c>
      <c r="D2972">
        <v>2.64</v>
      </c>
      <c r="E2972">
        <v>24.75</v>
      </c>
      <c r="F2972">
        <v>9.33</v>
      </c>
      <c r="G2972">
        <v>0.24</v>
      </c>
    </row>
    <row r="2973" spans="1:7">
      <c r="A2973">
        <v>229</v>
      </c>
      <c r="B2973" t="s">
        <v>1197</v>
      </c>
      <c r="C2973" t="s">
        <v>24</v>
      </c>
      <c r="D2973">
        <v>30.91</v>
      </c>
      <c r="E2973">
        <v>19.45</v>
      </c>
      <c r="F2973">
        <v>85.9</v>
      </c>
      <c r="G2973">
        <v>1.78</v>
      </c>
    </row>
    <row r="2974" spans="1:7" hidden="1">
      <c r="A2974">
        <v>229</v>
      </c>
      <c r="B2974" t="s">
        <v>1197</v>
      </c>
      <c r="C2974" t="s">
        <v>966</v>
      </c>
      <c r="D2974">
        <v>2.0099999999999998</v>
      </c>
      <c r="E2974">
        <v>18.05</v>
      </c>
      <c r="F2974">
        <v>5.19</v>
      </c>
      <c r="G2974">
        <v>1.99</v>
      </c>
    </row>
    <row r="2975" spans="1:7" hidden="1">
      <c r="A2975">
        <v>229</v>
      </c>
      <c r="B2975" t="s">
        <v>1197</v>
      </c>
      <c r="C2975" t="s">
        <v>967</v>
      </c>
      <c r="D2975">
        <v>0.23</v>
      </c>
      <c r="E2975">
        <v>17.91</v>
      </c>
      <c r="F2975">
        <v>0.59</v>
      </c>
      <c r="G2975">
        <v>0</v>
      </c>
    </row>
    <row r="2976" spans="1:7" hidden="1">
      <c r="A2976">
        <v>229</v>
      </c>
      <c r="B2976" t="s">
        <v>1197</v>
      </c>
      <c r="C2976" t="s">
        <v>968</v>
      </c>
      <c r="D2976">
        <v>3.12</v>
      </c>
      <c r="E2976">
        <v>18.09</v>
      </c>
      <c r="F2976">
        <v>8.07</v>
      </c>
      <c r="G2976">
        <v>0.06</v>
      </c>
    </row>
    <row r="2977" spans="1:7" hidden="1">
      <c r="A2977">
        <v>229</v>
      </c>
      <c r="B2977" t="s">
        <v>1197</v>
      </c>
      <c r="C2977" t="s">
        <v>969</v>
      </c>
      <c r="D2977">
        <v>0.3</v>
      </c>
      <c r="E2977">
        <v>24.75</v>
      </c>
      <c r="F2977">
        <v>1.06</v>
      </c>
      <c r="G2977">
        <v>0.01</v>
      </c>
    </row>
    <row r="2978" spans="1:7" hidden="1">
      <c r="A2978">
        <v>229</v>
      </c>
      <c r="B2978" t="s">
        <v>1197</v>
      </c>
      <c r="C2978" t="s">
        <v>970</v>
      </c>
      <c r="D2978">
        <v>0.64</v>
      </c>
      <c r="E2978">
        <v>24.75</v>
      </c>
      <c r="F2978">
        <v>2.2599999999999998</v>
      </c>
      <c r="G2978">
        <v>0.01</v>
      </c>
    </row>
    <row r="2979" spans="1:7" hidden="1">
      <c r="A2979">
        <v>230</v>
      </c>
      <c r="B2979" t="s">
        <v>1198</v>
      </c>
      <c r="C2979" t="s">
        <v>959</v>
      </c>
      <c r="D2979">
        <v>8.49</v>
      </c>
      <c r="E2979">
        <v>18.309999999999999</v>
      </c>
      <c r="F2979">
        <v>22.22</v>
      </c>
      <c r="G2979">
        <v>1.26</v>
      </c>
    </row>
    <row r="2980" spans="1:7" hidden="1">
      <c r="A2980">
        <v>230</v>
      </c>
      <c r="B2980" t="s">
        <v>1198</v>
      </c>
      <c r="C2980" t="s">
        <v>960</v>
      </c>
      <c r="D2980">
        <v>7.66</v>
      </c>
      <c r="E2980">
        <v>18.399999999999999</v>
      </c>
      <c r="F2980">
        <v>20.14</v>
      </c>
      <c r="G2980">
        <v>1.26</v>
      </c>
    </row>
    <row r="2981" spans="1:7" hidden="1">
      <c r="A2981">
        <v>230</v>
      </c>
      <c r="B2981" t="s">
        <v>1198</v>
      </c>
      <c r="C2981" t="s">
        <v>961</v>
      </c>
      <c r="D2981">
        <v>3.9</v>
      </c>
      <c r="E2981">
        <v>20.059999999999999</v>
      </c>
      <c r="F2981">
        <v>11.18</v>
      </c>
      <c r="G2981">
        <v>0.26</v>
      </c>
    </row>
    <row r="2982" spans="1:7" hidden="1">
      <c r="A2982">
        <v>230</v>
      </c>
      <c r="B2982" t="s">
        <v>1198</v>
      </c>
      <c r="C2982" t="s">
        <v>962</v>
      </c>
      <c r="D2982">
        <v>0.85</v>
      </c>
      <c r="E2982">
        <v>24.72</v>
      </c>
      <c r="F2982">
        <v>3.02</v>
      </c>
      <c r="G2982">
        <v>0.12</v>
      </c>
    </row>
    <row r="2983" spans="1:7" hidden="1">
      <c r="A2983">
        <v>230</v>
      </c>
      <c r="B2983" t="s">
        <v>1198</v>
      </c>
      <c r="C2983" t="s">
        <v>963</v>
      </c>
      <c r="D2983">
        <v>3.37</v>
      </c>
      <c r="E2983">
        <v>18.13</v>
      </c>
      <c r="F2983">
        <v>8.73</v>
      </c>
      <c r="G2983">
        <v>0.63</v>
      </c>
    </row>
    <row r="2984" spans="1:7" hidden="1">
      <c r="A2984">
        <v>230</v>
      </c>
      <c r="B2984" t="s">
        <v>1198</v>
      </c>
      <c r="C2984" t="s">
        <v>964</v>
      </c>
      <c r="D2984">
        <v>0.06</v>
      </c>
      <c r="E2984">
        <v>21.87</v>
      </c>
      <c r="F2984">
        <v>0.18</v>
      </c>
      <c r="G2984">
        <v>0.01</v>
      </c>
    </row>
    <row r="2985" spans="1:7" hidden="1">
      <c r="A2985">
        <v>230</v>
      </c>
      <c r="B2985" t="s">
        <v>1198</v>
      </c>
      <c r="C2985" t="s">
        <v>965</v>
      </c>
      <c r="D2985">
        <v>2.6</v>
      </c>
      <c r="E2985">
        <v>24.75</v>
      </c>
      <c r="F2985">
        <v>9.18</v>
      </c>
      <c r="G2985">
        <v>0.59</v>
      </c>
    </row>
    <row r="2986" spans="1:7">
      <c r="A2986">
        <v>230</v>
      </c>
      <c r="B2986" t="s">
        <v>1198</v>
      </c>
      <c r="C2986" t="s">
        <v>24</v>
      </c>
      <c r="D2986">
        <v>26.94</v>
      </c>
      <c r="E2986">
        <v>19.399999999999999</v>
      </c>
      <c r="F2986">
        <v>74.650000000000006</v>
      </c>
      <c r="G2986">
        <v>4.12</v>
      </c>
    </row>
    <row r="2987" spans="1:7" hidden="1">
      <c r="A2987">
        <v>230</v>
      </c>
      <c r="B2987" t="s">
        <v>1198</v>
      </c>
      <c r="C2987" t="s">
        <v>966</v>
      </c>
      <c r="D2987">
        <v>4.7300000000000004</v>
      </c>
      <c r="E2987">
        <v>18.05</v>
      </c>
      <c r="F2987">
        <v>12.19</v>
      </c>
      <c r="G2987">
        <v>4.67</v>
      </c>
    </row>
    <row r="2988" spans="1:7" hidden="1">
      <c r="A2988">
        <v>230</v>
      </c>
      <c r="B2988" t="s">
        <v>1198</v>
      </c>
      <c r="C2988" t="s">
        <v>967</v>
      </c>
      <c r="D2988">
        <v>0.33</v>
      </c>
      <c r="E2988">
        <v>17.91</v>
      </c>
      <c r="F2988">
        <v>0.84</v>
      </c>
      <c r="G2988">
        <v>0.01</v>
      </c>
    </row>
    <row r="2989" spans="1:7" hidden="1">
      <c r="A2989">
        <v>230</v>
      </c>
      <c r="B2989" t="s">
        <v>1198</v>
      </c>
      <c r="C2989" t="s">
        <v>968</v>
      </c>
      <c r="D2989">
        <v>1.38</v>
      </c>
      <c r="E2989">
        <v>18.09</v>
      </c>
      <c r="F2989">
        <v>3.55</v>
      </c>
      <c r="G2989">
        <v>0.14000000000000001</v>
      </c>
    </row>
    <row r="2990" spans="1:7" hidden="1">
      <c r="A2990">
        <v>230</v>
      </c>
      <c r="B2990" t="s">
        <v>1198</v>
      </c>
      <c r="C2990" t="s">
        <v>969</v>
      </c>
      <c r="D2990">
        <v>0.54</v>
      </c>
      <c r="E2990">
        <v>24.75</v>
      </c>
      <c r="F2990">
        <v>1.9</v>
      </c>
      <c r="G2990">
        <v>0.03</v>
      </c>
    </row>
    <row r="2991" spans="1:7" hidden="1">
      <c r="A2991">
        <v>230</v>
      </c>
      <c r="B2991" t="s">
        <v>1198</v>
      </c>
      <c r="C2991" t="s">
        <v>970</v>
      </c>
      <c r="D2991">
        <v>0.34</v>
      </c>
      <c r="E2991">
        <v>24.75</v>
      </c>
      <c r="F2991">
        <v>1.19</v>
      </c>
      <c r="G2991">
        <v>0.03</v>
      </c>
    </row>
    <row r="2992" spans="1:7" hidden="1">
      <c r="A2992">
        <v>231</v>
      </c>
      <c r="B2992" t="s">
        <v>1199</v>
      </c>
      <c r="C2992" t="s">
        <v>959</v>
      </c>
      <c r="D2992">
        <v>10</v>
      </c>
      <c r="E2992">
        <v>18.309999999999999</v>
      </c>
      <c r="F2992">
        <v>26.16</v>
      </c>
      <c r="G2992">
        <v>0.02</v>
      </c>
    </row>
    <row r="2993" spans="1:7" hidden="1">
      <c r="A2993">
        <v>231</v>
      </c>
      <c r="B2993" t="s">
        <v>1199</v>
      </c>
      <c r="C2993" t="s">
        <v>960</v>
      </c>
      <c r="D2993">
        <v>8.33</v>
      </c>
      <c r="E2993">
        <v>18.399999999999999</v>
      </c>
      <c r="F2993">
        <v>21.89</v>
      </c>
      <c r="G2993">
        <v>0.05</v>
      </c>
    </row>
    <row r="2994" spans="1:7" hidden="1">
      <c r="A2994">
        <v>231</v>
      </c>
      <c r="B2994" t="s">
        <v>1199</v>
      </c>
      <c r="C2994" t="s">
        <v>961</v>
      </c>
      <c r="D2994">
        <v>5.24</v>
      </c>
      <c r="E2994">
        <v>20.059999999999999</v>
      </c>
      <c r="F2994">
        <v>15.01</v>
      </c>
      <c r="G2994">
        <v>0</v>
      </c>
    </row>
    <row r="2995" spans="1:7" hidden="1">
      <c r="A2995">
        <v>231</v>
      </c>
      <c r="B2995" t="s">
        <v>1199</v>
      </c>
      <c r="C2995" t="s">
        <v>962</v>
      </c>
      <c r="D2995">
        <v>1.55</v>
      </c>
      <c r="E2995">
        <v>24.72</v>
      </c>
      <c r="F2995">
        <v>5.47</v>
      </c>
      <c r="G2995">
        <v>0.03</v>
      </c>
    </row>
    <row r="2996" spans="1:7" hidden="1">
      <c r="A2996">
        <v>231</v>
      </c>
      <c r="B2996" t="s">
        <v>1199</v>
      </c>
      <c r="C2996" t="s">
        <v>963</v>
      </c>
      <c r="D2996">
        <v>4.45</v>
      </c>
      <c r="E2996">
        <v>18.13</v>
      </c>
      <c r="F2996">
        <v>11.54</v>
      </c>
      <c r="G2996">
        <v>0</v>
      </c>
    </row>
    <row r="2997" spans="1:7" hidden="1">
      <c r="A2997">
        <v>231</v>
      </c>
      <c r="B2997" t="s">
        <v>1199</v>
      </c>
      <c r="C2997" t="s">
        <v>964</v>
      </c>
      <c r="D2997">
        <v>0.48</v>
      </c>
      <c r="E2997">
        <v>21.87</v>
      </c>
      <c r="F2997">
        <v>1.5</v>
      </c>
      <c r="G2997">
        <v>0</v>
      </c>
    </row>
    <row r="2998" spans="1:7" hidden="1">
      <c r="A2998">
        <v>231</v>
      </c>
      <c r="B2998" t="s">
        <v>1199</v>
      </c>
      <c r="C2998" t="s">
        <v>965</v>
      </c>
      <c r="D2998">
        <v>2.58</v>
      </c>
      <c r="E2998">
        <v>24.75</v>
      </c>
      <c r="F2998">
        <v>9.1300000000000008</v>
      </c>
      <c r="G2998">
        <v>0.01</v>
      </c>
    </row>
    <row r="2999" spans="1:7">
      <c r="A2999">
        <v>231</v>
      </c>
      <c r="B2999" t="s">
        <v>1199</v>
      </c>
      <c r="C2999" t="s">
        <v>24</v>
      </c>
      <c r="D2999">
        <v>32.630000000000003</v>
      </c>
      <c r="E2999">
        <v>19.46</v>
      </c>
      <c r="F2999">
        <v>90.7</v>
      </c>
      <c r="G2999">
        <v>0.11</v>
      </c>
    </row>
    <row r="3000" spans="1:7" hidden="1">
      <c r="A3000">
        <v>231</v>
      </c>
      <c r="B3000" t="s">
        <v>1199</v>
      </c>
      <c r="C3000" t="s">
        <v>966</v>
      </c>
      <c r="D3000">
        <v>0.04</v>
      </c>
      <c r="E3000">
        <v>18.05</v>
      </c>
      <c r="F3000">
        <v>0.1</v>
      </c>
      <c r="G3000">
        <v>0.04</v>
      </c>
    </row>
    <row r="3001" spans="1:7" hidden="1">
      <c r="A3001">
        <v>231</v>
      </c>
      <c r="B3001" t="s">
        <v>1199</v>
      </c>
      <c r="C3001" t="s">
        <v>967</v>
      </c>
      <c r="D3001">
        <v>0.13</v>
      </c>
      <c r="E3001">
        <v>17.91</v>
      </c>
      <c r="F3001">
        <v>0.33</v>
      </c>
      <c r="G3001">
        <v>0</v>
      </c>
    </row>
    <row r="3002" spans="1:7" hidden="1">
      <c r="A3002">
        <v>231</v>
      </c>
      <c r="B3002" t="s">
        <v>1199</v>
      </c>
      <c r="C3002" t="s">
        <v>968</v>
      </c>
      <c r="D3002">
        <v>4.63</v>
      </c>
      <c r="E3002">
        <v>18.09</v>
      </c>
      <c r="F3002">
        <v>11.96</v>
      </c>
      <c r="G3002">
        <v>0</v>
      </c>
    </row>
    <row r="3003" spans="1:7" hidden="1">
      <c r="A3003">
        <v>231</v>
      </c>
      <c r="B3003" t="s">
        <v>1199</v>
      </c>
      <c r="C3003" t="s">
        <v>969</v>
      </c>
      <c r="D3003">
        <v>0.18</v>
      </c>
      <c r="E3003">
        <v>24.75</v>
      </c>
      <c r="F3003">
        <v>0.65</v>
      </c>
      <c r="G3003">
        <v>0</v>
      </c>
    </row>
    <row r="3004" spans="1:7" hidden="1">
      <c r="A3004">
        <v>231</v>
      </c>
      <c r="B3004" t="s">
        <v>1199</v>
      </c>
      <c r="C3004" t="s">
        <v>970</v>
      </c>
      <c r="D3004">
        <v>1.08</v>
      </c>
      <c r="E3004">
        <v>24.75</v>
      </c>
      <c r="F3004">
        <v>3.81</v>
      </c>
      <c r="G3004">
        <v>0.01</v>
      </c>
    </row>
    <row r="3005" spans="1:7" hidden="1">
      <c r="A3005">
        <v>232</v>
      </c>
      <c r="B3005" t="s">
        <v>1200</v>
      </c>
      <c r="C3005" t="s">
        <v>959</v>
      </c>
      <c r="D3005">
        <v>10.42</v>
      </c>
      <c r="E3005">
        <v>18.309999999999999</v>
      </c>
      <c r="F3005">
        <v>27.27</v>
      </c>
      <c r="G3005">
        <v>0.04</v>
      </c>
    </row>
    <row r="3006" spans="1:7" hidden="1">
      <c r="A3006">
        <v>232</v>
      </c>
      <c r="B3006" t="s">
        <v>1200</v>
      </c>
      <c r="C3006" t="s">
        <v>960</v>
      </c>
      <c r="D3006">
        <v>9.2899999999999991</v>
      </c>
      <c r="E3006">
        <v>18.399999999999999</v>
      </c>
      <c r="F3006">
        <v>24.43</v>
      </c>
      <c r="G3006">
        <v>0.12</v>
      </c>
    </row>
    <row r="3007" spans="1:7" hidden="1">
      <c r="A3007">
        <v>232</v>
      </c>
      <c r="B3007" t="s">
        <v>1200</v>
      </c>
      <c r="C3007" t="s">
        <v>961</v>
      </c>
      <c r="D3007">
        <v>5.57</v>
      </c>
      <c r="E3007">
        <v>20.059999999999999</v>
      </c>
      <c r="F3007">
        <v>15.96</v>
      </c>
      <c r="G3007">
        <v>0</v>
      </c>
    </row>
    <row r="3008" spans="1:7" hidden="1">
      <c r="A3008">
        <v>232</v>
      </c>
      <c r="B3008" t="s">
        <v>1200</v>
      </c>
      <c r="C3008" t="s">
        <v>962</v>
      </c>
      <c r="D3008">
        <v>2.04</v>
      </c>
      <c r="E3008">
        <v>24.72</v>
      </c>
      <c r="F3008">
        <v>7.22</v>
      </c>
      <c r="G3008">
        <v>0</v>
      </c>
    </row>
    <row r="3009" spans="1:7" hidden="1">
      <c r="A3009">
        <v>232</v>
      </c>
      <c r="B3009" t="s">
        <v>1200</v>
      </c>
      <c r="C3009" t="s">
        <v>963</v>
      </c>
      <c r="D3009">
        <v>4.32</v>
      </c>
      <c r="E3009">
        <v>18.13</v>
      </c>
      <c r="F3009">
        <v>11.2</v>
      </c>
      <c r="G3009">
        <v>0</v>
      </c>
    </row>
    <row r="3010" spans="1:7" hidden="1">
      <c r="A3010">
        <v>232</v>
      </c>
      <c r="B3010" t="s">
        <v>1200</v>
      </c>
      <c r="C3010" t="s">
        <v>964</v>
      </c>
      <c r="D3010">
        <v>0.28000000000000003</v>
      </c>
      <c r="E3010">
        <v>21.87</v>
      </c>
      <c r="F3010">
        <v>0.89</v>
      </c>
      <c r="G3010">
        <v>0</v>
      </c>
    </row>
    <row r="3011" spans="1:7" hidden="1">
      <c r="A3011">
        <v>232</v>
      </c>
      <c r="B3011" t="s">
        <v>1200</v>
      </c>
      <c r="C3011" t="s">
        <v>965</v>
      </c>
      <c r="D3011">
        <v>2.75</v>
      </c>
      <c r="E3011">
        <v>24.75</v>
      </c>
      <c r="F3011">
        <v>9.7200000000000006</v>
      </c>
      <c r="G3011">
        <v>0</v>
      </c>
    </row>
    <row r="3012" spans="1:7">
      <c r="A3012">
        <v>232</v>
      </c>
      <c r="B3012" t="s">
        <v>1200</v>
      </c>
      <c r="C3012" t="s">
        <v>24</v>
      </c>
      <c r="D3012">
        <v>34.69</v>
      </c>
      <c r="E3012">
        <v>19.510000000000002</v>
      </c>
      <c r="F3012">
        <v>96.68</v>
      </c>
      <c r="G3012">
        <v>0.16</v>
      </c>
    </row>
    <row r="3013" spans="1:7" hidden="1">
      <c r="A3013">
        <v>232</v>
      </c>
      <c r="B3013" t="s">
        <v>1200</v>
      </c>
      <c r="C3013" t="s">
        <v>966</v>
      </c>
      <c r="D3013">
        <v>0.16</v>
      </c>
      <c r="E3013">
        <v>18.05</v>
      </c>
      <c r="F3013">
        <v>0.4</v>
      </c>
      <c r="G3013">
        <v>0.16</v>
      </c>
    </row>
    <row r="3014" spans="1:7" hidden="1">
      <c r="A3014">
        <v>232</v>
      </c>
      <c r="B3014" t="s">
        <v>1200</v>
      </c>
      <c r="C3014" t="s">
        <v>967</v>
      </c>
      <c r="D3014">
        <v>0.19</v>
      </c>
      <c r="E3014">
        <v>17.91</v>
      </c>
      <c r="F3014">
        <v>0.48</v>
      </c>
      <c r="G3014">
        <v>0</v>
      </c>
    </row>
    <row r="3015" spans="1:7" hidden="1">
      <c r="A3015">
        <v>232</v>
      </c>
      <c r="B3015" t="s">
        <v>1200</v>
      </c>
      <c r="C3015" t="s">
        <v>968</v>
      </c>
      <c r="D3015">
        <v>4.1100000000000003</v>
      </c>
      <c r="E3015">
        <v>18.09</v>
      </c>
      <c r="F3015">
        <v>10.61</v>
      </c>
      <c r="G3015">
        <v>0</v>
      </c>
    </row>
    <row r="3016" spans="1:7" hidden="1">
      <c r="A3016">
        <v>232</v>
      </c>
      <c r="B3016" t="s">
        <v>1200</v>
      </c>
      <c r="C3016" t="s">
        <v>969</v>
      </c>
      <c r="D3016">
        <v>0.08</v>
      </c>
      <c r="E3016">
        <v>24.75</v>
      </c>
      <c r="F3016">
        <v>0.28999999999999998</v>
      </c>
      <c r="G3016">
        <v>0</v>
      </c>
    </row>
    <row r="3017" spans="1:7" hidden="1">
      <c r="A3017">
        <v>232</v>
      </c>
      <c r="B3017" t="s">
        <v>1200</v>
      </c>
      <c r="C3017" t="s">
        <v>970</v>
      </c>
      <c r="D3017">
        <v>0.65</v>
      </c>
      <c r="E3017">
        <v>24.75</v>
      </c>
      <c r="F3017">
        <v>2.29</v>
      </c>
      <c r="G3017">
        <v>0</v>
      </c>
    </row>
    <row r="3018" spans="1:7" hidden="1">
      <c r="A3018">
        <v>233</v>
      </c>
      <c r="B3018" t="s">
        <v>1201</v>
      </c>
      <c r="C3018" t="s">
        <v>959</v>
      </c>
      <c r="D3018">
        <v>10.72</v>
      </c>
      <c r="E3018">
        <v>18.309999999999999</v>
      </c>
      <c r="F3018">
        <v>28.04</v>
      </c>
      <c r="G3018">
        <v>0</v>
      </c>
    </row>
    <row r="3019" spans="1:7" hidden="1">
      <c r="A3019">
        <v>233</v>
      </c>
      <c r="B3019" t="s">
        <v>1201</v>
      </c>
      <c r="C3019" t="s">
        <v>960</v>
      </c>
      <c r="D3019">
        <v>8.99</v>
      </c>
      <c r="E3019">
        <v>18.399999999999999</v>
      </c>
      <c r="F3019">
        <v>23.63</v>
      </c>
      <c r="G3019">
        <v>0</v>
      </c>
    </row>
    <row r="3020" spans="1:7" hidden="1">
      <c r="A3020">
        <v>233</v>
      </c>
      <c r="B3020" t="s">
        <v>1201</v>
      </c>
      <c r="C3020" t="s">
        <v>961</v>
      </c>
      <c r="D3020">
        <v>3.42</v>
      </c>
      <c r="E3020">
        <v>20.059999999999999</v>
      </c>
      <c r="F3020">
        <v>9.8000000000000007</v>
      </c>
      <c r="G3020">
        <v>0</v>
      </c>
    </row>
    <row r="3021" spans="1:7" hidden="1">
      <c r="A3021">
        <v>233</v>
      </c>
      <c r="B3021" t="s">
        <v>1201</v>
      </c>
      <c r="C3021" t="s">
        <v>962</v>
      </c>
      <c r="D3021">
        <v>1.43</v>
      </c>
      <c r="E3021">
        <v>24.72</v>
      </c>
      <c r="F3021">
        <v>5.07</v>
      </c>
      <c r="G3021">
        <v>0</v>
      </c>
    </row>
    <row r="3022" spans="1:7" hidden="1">
      <c r="A3022">
        <v>233</v>
      </c>
      <c r="B3022" t="s">
        <v>1201</v>
      </c>
      <c r="C3022" t="s">
        <v>963</v>
      </c>
      <c r="D3022">
        <v>3.54</v>
      </c>
      <c r="E3022">
        <v>18.13</v>
      </c>
      <c r="F3022">
        <v>9.16</v>
      </c>
      <c r="G3022">
        <v>0</v>
      </c>
    </row>
    <row r="3023" spans="1:7" hidden="1">
      <c r="A3023">
        <v>233</v>
      </c>
      <c r="B3023" t="s">
        <v>1201</v>
      </c>
      <c r="C3023" t="s">
        <v>964</v>
      </c>
      <c r="D3023">
        <v>0.17</v>
      </c>
      <c r="E3023">
        <v>21.87</v>
      </c>
      <c r="F3023">
        <v>0.52</v>
      </c>
      <c r="G3023">
        <v>0</v>
      </c>
    </row>
    <row r="3024" spans="1:7" hidden="1">
      <c r="A3024">
        <v>233</v>
      </c>
      <c r="B3024" t="s">
        <v>1201</v>
      </c>
      <c r="C3024" t="s">
        <v>965</v>
      </c>
      <c r="D3024">
        <v>2.74</v>
      </c>
      <c r="E3024">
        <v>24.75</v>
      </c>
      <c r="F3024">
        <v>9.68</v>
      </c>
      <c r="G3024">
        <v>0</v>
      </c>
    </row>
    <row r="3025" spans="1:7">
      <c r="A3025">
        <v>233</v>
      </c>
      <c r="B3025" t="s">
        <v>1201</v>
      </c>
      <c r="C3025" t="s">
        <v>24</v>
      </c>
      <c r="D3025">
        <v>31.01</v>
      </c>
      <c r="E3025">
        <v>19.39</v>
      </c>
      <c r="F3025">
        <v>85.9</v>
      </c>
      <c r="G3025">
        <v>0</v>
      </c>
    </row>
    <row r="3026" spans="1:7" hidden="1">
      <c r="A3026">
        <v>233</v>
      </c>
      <c r="B3026" t="s">
        <v>1201</v>
      </c>
      <c r="C3026" t="s">
        <v>966</v>
      </c>
      <c r="D3026">
        <v>0</v>
      </c>
      <c r="E3026">
        <v>18.05</v>
      </c>
      <c r="F3026">
        <v>0</v>
      </c>
      <c r="G3026">
        <v>0</v>
      </c>
    </row>
    <row r="3027" spans="1:7" hidden="1">
      <c r="A3027">
        <v>233</v>
      </c>
      <c r="B3027" t="s">
        <v>1201</v>
      </c>
      <c r="C3027" t="s">
        <v>967</v>
      </c>
      <c r="D3027">
        <v>1.2</v>
      </c>
      <c r="E3027">
        <v>17.91</v>
      </c>
      <c r="F3027">
        <v>3.08</v>
      </c>
      <c r="G3027">
        <v>0</v>
      </c>
    </row>
    <row r="3028" spans="1:7" hidden="1">
      <c r="A3028">
        <v>233</v>
      </c>
      <c r="B3028" t="s">
        <v>1201</v>
      </c>
      <c r="C3028" t="s">
        <v>968</v>
      </c>
      <c r="D3028">
        <v>2.25</v>
      </c>
      <c r="E3028">
        <v>18.09</v>
      </c>
      <c r="F3028">
        <v>5.81</v>
      </c>
      <c r="G3028">
        <v>0</v>
      </c>
    </row>
    <row r="3029" spans="1:7" hidden="1">
      <c r="A3029">
        <v>233</v>
      </c>
      <c r="B3029" t="s">
        <v>1201</v>
      </c>
      <c r="C3029" t="s">
        <v>969</v>
      </c>
      <c r="D3029">
        <v>0.34</v>
      </c>
      <c r="E3029">
        <v>24.75</v>
      </c>
      <c r="F3029">
        <v>1.19</v>
      </c>
      <c r="G3029">
        <v>0</v>
      </c>
    </row>
    <row r="3030" spans="1:7" hidden="1">
      <c r="A3030">
        <v>233</v>
      </c>
      <c r="B3030" t="s">
        <v>1201</v>
      </c>
      <c r="C3030" t="s">
        <v>970</v>
      </c>
      <c r="D3030">
        <v>0.6</v>
      </c>
      <c r="E3030">
        <v>24.75</v>
      </c>
      <c r="F3030">
        <v>2.12</v>
      </c>
      <c r="G3030">
        <v>0</v>
      </c>
    </row>
    <row r="3031" spans="1:7" hidden="1">
      <c r="A3031">
        <v>234</v>
      </c>
      <c r="B3031" t="s">
        <v>1202</v>
      </c>
      <c r="C3031" t="s">
        <v>959</v>
      </c>
      <c r="D3031">
        <v>9.2899999999999991</v>
      </c>
      <c r="E3031">
        <v>18.309999999999999</v>
      </c>
      <c r="F3031">
        <v>24.31</v>
      </c>
      <c r="G3031">
        <v>1.71</v>
      </c>
    </row>
    <row r="3032" spans="1:7" hidden="1">
      <c r="A3032">
        <v>234</v>
      </c>
      <c r="B3032" t="s">
        <v>1202</v>
      </c>
      <c r="C3032" t="s">
        <v>960</v>
      </c>
      <c r="D3032">
        <v>9.98</v>
      </c>
      <c r="E3032">
        <v>18.399999999999999</v>
      </c>
      <c r="F3032">
        <v>26.21</v>
      </c>
      <c r="G3032">
        <v>2.42</v>
      </c>
    </row>
    <row r="3033" spans="1:7" hidden="1">
      <c r="A3033">
        <v>234</v>
      </c>
      <c r="B3033" t="s">
        <v>1202</v>
      </c>
      <c r="C3033" t="s">
        <v>961</v>
      </c>
      <c r="D3033">
        <v>2.63</v>
      </c>
      <c r="E3033">
        <v>20.059999999999999</v>
      </c>
      <c r="F3033">
        <v>7.54</v>
      </c>
      <c r="G3033">
        <v>0.37</v>
      </c>
    </row>
    <row r="3034" spans="1:7" hidden="1">
      <c r="A3034">
        <v>234</v>
      </c>
      <c r="B3034" t="s">
        <v>1202</v>
      </c>
      <c r="C3034" t="s">
        <v>962</v>
      </c>
      <c r="D3034">
        <v>1.25</v>
      </c>
      <c r="E3034">
        <v>24.72</v>
      </c>
      <c r="F3034">
        <v>4.41</v>
      </c>
      <c r="G3034">
        <v>0.14000000000000001</v>
      </c>
    </row>
    <row r="3035" spans="1:7" hidden="1">
      <c r="A3035">
        <v>234</v>
      </c>
      <c r="B3035" t="s">
        <v>1202</v>
      </c>
      <c r="C3035" t="s">
        <v>963</v>
      </c>
      <c r="D3035">
        <v>3.57</v>
      </c>
      <c r="E3035">
        <v>18.13</v>
      </c>
      <c r="F3035">
        <v>9.25</v>
      </c>
      <c r="G3035">
        <v>0.65</v>
      </c>
    </row>
    <row r="3036" spans="1:7" hidden="1">
      <c r="A3036">
        <v>234</v>
      </c>
      <c r="B3036" t="s">
        <v>1202</v>
      </c>
      <c r="C3036" t="s">
        <v>964</v>
      </c>
      <c r="D3036">
        <v>0.22</v>
      </c>
      <c r="E3036">
        <v>21.87</v>
      </c>
      <c r="F3036">
        <v>0.69</v>
      </c>
      <c r="G3036">
        <v>0.02</v>
      </c>
    </row>
    <row r="3037" spans="1:7" hidden="1">
      <c r="A3037">
        <v>234</v>
      </c>
      <c r="B3037" t="s">
        <v>1202</v>
      </c>
      <c r="C3037" t="s">
        <v>965</v>
      </c>
      <c r="D3037">
        <v>2.4700000000000002</v>
      </c>
      <c r="E3037">
        <v>24.75</v>
      </c>
      <c r="F3037">
        <v>8.74</v>
      </c>
      <c r="G3037">
        <v>0.48</v>
      </c>
    </row>
    <row r="3038" spans="1:7">
      <c r="A3038">
        <v>234</v>
      </c>
      <c r="B3038" t="s">
        <v>1202</v>
      </c>
      <c r="C3038" t="s">
        <v>24</v>
      </c>
      <c r="D3038">
        <v>29.41</v>
      </c>
      <c r="E3038">
        <v>19.32</v>
      </c>
      <c r="F3038">
        <v>81.150000000000006</v>
      </c>
      <c r="G3038">
        <v>5.79</v>
      </c>
    </row>
    <row r="3039" spans="1:7" hidden="1">
      <c r="A3039">
        <v>234</v>
      </c>
      <c r="B3039" t="s">
        <v>1202</v>
      </c>
      <c r="C3039" t="s">
        <v>966</v>
      </c>
      <c r="D3039">
        <v>5.87</v>
      </c>
      <c r="E3039">
        <v>18.05</v>
      </c>
      <c r="F3039">
        <v>15.13</v>
      </c>
      <c r="G3039">
        <v>5.46</v>
      </c>
    </row>
    <row r="3040" spans="1:7" hidden="1">
      <c r="A3040">
        <v>234</v>
      </c>
      <c r="B3040" t="s">
        <v>1202</v>
      </c>
      <c r="C3040" t="s">
        <v>967</v>
      </c>
      <c r="D3040">
        <v>0.84</v>
      </c>
      <c r="E3040">
        <v>17.91</v>
      </c>
      <c r="F3040">
        <v>2.14</v>
      </c>
      <c r="G3040">
        <v>0.21</v>
      </c>
    </row>
    <row r="3041" spans="1:7" hidden="1">
      <c r="A3041">
        <v>234</v>
      </c>
      <c r="B3041" t="s">
        <v>1202</v>
      </c>
      <c r="C3041" t="s">
        <v>968</v>
      </c>
      <c r="D3041">
        <v>1.47</v>
      </c>
      <c r="E3041">
        <v>18.09</v>
      </c>
      <c r="F3041">
        <v>3.81</v>
      </c>
      <c r="G3041">
        <v>0.27</v>
      </c>
    </row>
    <row r="3042" spans="1:7" hidden="1">
      <c r="A3042">
        <v>234</v>
      </c>
      <c r="B3042" t="s">
        <v>1202</v>
      </c>
      <c r="C3042" t="s">
        <v>969</v>
      </c>
      <c r="D3042">
        <v>1.03</v>
      </c>
      <c r="E3042">
        <v>24.75</v>
      </c>
      <c r="F3042">
        <v>3.66</v>
      </c>
      <c r="G3042">
        <v>0.02</v>
      </c>
    </row>
    <row r="3043" spans="1:7" hidden="1">
      <c r="A3043">
        <v>234</v>
      </c>
      <c r="B3043" t="s">
        <v>1202</v>
      </c>
      <c r="C3043" t="s">
        <v>970</v>
      </c>
      <c r="D3043">
        <v>0.36</v>
      </c>
      <c r="E3043">
        <v>24.75</v>
      </c>
      <c r="F3043">
        <v>1.28</v>
      </c>
      <c r="G3043">
        <v>0.08</v>
      </c>
    </row>
    <row r="3044" spans="1:7" hidden="1">
      <c r="A3044">
        <v>235</v>
      </c>
      <c r="B3044" t="s">
        <v>1203</v>
      </c>
      <c r="C3044" t="s">
        <v>959</v>
      </c>
      <c r="D3044">
        <v>8.7100000000000009</v>
      </c>
      <c r="E3044">
        <v>18.309999999999999</v>
      </c>
      <c r="F3044">
        <v>22.78</v>
      </c>
      <c r="G3044">
        <v>0</v>
      </c>
    </row>
    <row r="3045" spans="1:7" hidden="1">
      <c r="A3045">
        <v>235</v>
      </c>
      <c r="B3045" t="s">
        <v>1203</v>
      </c>
      <c r="C3045" t="s">
        <v>960</v>
      </c>
      <c r="D3045">
        <v>8.19</v>
      </c>
      <c r="E3045">
        <v>18.399999999999999</v>
      </c>
      <c r="F3045">
        <v>21.54</v>
      </c>
      <c r="G3045">
        <v>0</v>
      </c>
    </row>
    <row r="3046" spans="1:7" hidden="1">
      <c r="A3046">
        <v>235</v>
      </c>
      <c r="B3046" t="s">
        <v>1203</v>
      </c>
      <c r="C3046" t="s">
        <v>961</v>
      </c>
      <c r="D3046">
        <v>3.81</v>
      </c>
      <c r="E3046">
        <v>20.059999999999999</v>
      </c>
      <c r="F3046">
        <v>10.93</v>
      </c>
      <c r="G3046">
        <v>0</v>
      </c>
    </row>
    <row r="3047" spans="1:7" hidden="1">
      <c r="A3047">
        <v>235</v>
      </c>
      <c r="B3047" t="s">
        <v>1203</v>
      </c>
      <c r="C3047" t="s">
        <v>962</v>
      </c>
      <c r="D3047">
        <v>2.21</v>
      </c>
      <c r="E3047">
        <v>24.72</v>
      </c>
      <c r="F3047">
        <v>7.81</v>
      </c>
      <c r="G3047">
        <v>0</v>
      </c>
    </row>
    <row r="3048" spans="1:7" hidden="1">
      <c r="A3048">
        <v>235</v>
      </c>
      <c r="B3048" t="s">
        <v>1203</v>
      </c>
      <c r="C3048" t="s">
        <v>963</v>
      </c>
      <c r="D3048">
        <v>3.53</v>
      </c>
      <c r="E3048">
        <v>18.13</v>
      </c>
      <c r="F3048">
        <v>9.16</v>
      </c>
      <c r="G3048">
        <v>0</v>
      </c>
    </row>
    <row r="3049" spans="1:7" hidden="1">
      <c r="A3049">
        <v>235</v>
      </c>
      <c r="B3049" t="s">
        <v>1203</v>
      </c>
      <c r="C3049" t="s">
        <v>964</v>
      </c>
      <c r="D3049">
        <v>0.21</v>
      </c>
      <c r="E3049">
        <v>21.87</v>
      </c>
      <c r="F3049">
        <v>0.66</v>
      </c>
      <c r="G3049">
        <v>0</v>
      </c>
    </row>
    <row r="3050" spans="1:7" hidden="1">
      <c r="A3050">
        <v>235</v>
      </c>
      <c r="B3050" t="s">
        <v>1203</v>
      </c>
      <c r="C3050" t="s">
        <v>965</v>
      </c>
      <c r="D3050">
        <v>2.4</v>
      </c>
      <c r="E3050">
        <v>24.75</v>
      </c>
      <c r="F3050">
        <v>8.48</v>
      </c>
      <c r="G3050">
        <v>0</v>
      </c>
    </row>
    <row r="3051" spans="1:7">
      <c r="A3051">
        <v>235</v>
      </c>
      <c r="B3051" t="s">
        <v>1203</v>
      </c>
      <c r="C3051" t="s">
        <v>24</v>
      </c>
      <c r="D3051">
        <v>29.07</v>
      </c>
      <c r="E3051">
        <v>19.59</v>
      </c>
      <c r="F3051">
        <v>81.34</v>
      </c>
      <c r="G3051">
        <v>0.01</v>
      </c>
    </row>
    <row r="3052" spans="1:7" hidden="1">
      <c r="A3052">
        <v>235</v>
      </c>
      <c r="B3052" t="s">
        <v>1203</v>
      </c>
      <c r="C3052" t="s">
        <v>966</v>
      </c>
      <c r="D3052">
        <v>0</v>
      </c>
      <c r="E3052">
        <v>18.05</v>
      </c>
      <c r="F3052">
        <v>0</v>
      </c>
      <c r="G3052">
        <v>0</v>
      </c>
    </row>
    <row r="3053" spans="1:7" hidden="1">
      <c r="A3053">
        <v>235</v>
      </c>
      <c r="B3053" t="s">
        <v>1203</v>
      </c>
      <c r="C3053" t="s">
        <v>967</v>
      </c>
      <c r="D3053">
        <v>0.91</v>
      </c>
      <c r="E3053">
        <v>17.91</v>
      </c>
      <c r="F3053">
        <v>2.33</v>
      </c>
      <c r="G3053">
        <v>0</v>
      </c>
    </row>
    <row r="3054" spans="1:7" hidden="1">
      <c r="A3054">
        <v>235</v>
      </c>
      <c r="B3054" t="s">
        <v>1203</v>
      </c>
      <c r="C3054" t="s">
        <v>968</v>
      </c>
      <c r="D3054">
        <v>2.16</v>
      </c>
      <c r="E3054">
        <v>18.09</v>
      </c>
      <c r="F3054">
        <v>5.59</v>
      </c>
      <c r="G3054">
        <v>0</v>
      </c>
    </row>
    <row r="3055" spans="1:7" hidden="1">
      <c r="A3055">
        <v>235</v>
      </c>
      <c r="B3055" t="s">
        <v>1203</v>
      </c>
      <c r="C3055" t="s">
        <v>969</v>
      </c>
      <c r="D3055">
        <v>0.17</v>
      </c>
      <c r="E3055">
        <v>24.75</v>
      </c>
      <c r="F3055">
        <v>0.59</v>
      </c>
      <c r="G3055">
        <v>0</v>
      </c>
    </row>
    <row r="3056" spans="1:7" hidden="1">
      <c r="A3056">
        <v>235</v>
      </c>
      <c r="B3056" t="s">
        <v>1203</v>
      </c>
      <c r="C3056" t="s">
        <v>970</v>
      </c>
      <c r="D3056">
        <v>0.56000000000000005</v>
      </c>
      <c r="E3056">
        <v>24.75</v>
      </c>
      <c r="F3056">
        <v>1.97</v>
      </c>
      <c r="G3056">
        <v>0</v>
      </c>
    </row>
    <row r="3057" spans="1:7" hidden="1">
      <c r="A3057">
        <v>236</v>
      </c>
      <c r="B3057" t="s">
        <v>1204</v>
      </c>
      <c r="C3057" t="s">
        <v>959</v>
      </c>
      <c r="D3057">
        <v>9.17</v>
      </c>
      <c r="E3057">
        <v>18.309999999999999</v>
      </c>
      <c r="F3057">
        <v>23.98</v>
      </c>
      <c r="G3057">
        <v>0</v>
      </c>
    </row>
    <row r="3058" spans="1:7" hidden="1">
      <c r="A3058">
        <v>236</v>
      </c>
      <c r="B3058" t="s">
        <v>1204</v>
      </c>
      <c r="C3058" t="s">
        <v>960</v>
      </c>
      <c r="D3058">
        <v>7.49</v>
      </c>
      <c r="E3058">
        <v>18.399999999999999</v>
      </c>
      <c r="F3058">
        <v>19.670000000000002</v>
      </c>
      <c r="G3058">
        <v>0</v>
      </c>
    </row>
    <row r="3059" spans="1:7" hidden="1">
      <c r="A3059">
        <v>236</v>
      </c>
      <c r="B3059" t="s">
        <v>1204</v>
      </c>
      <c r="C3059" t="s">
        <v>961</v>
      </c>
      <c r="D3059">
        <v>5.05</v>
      </c>
      <c r="E3059">
        <v>20.059999999999999</v>
      </c>
      <c r="F3059">
        <v>14.48</v>
      </c>
      <c r="G3059">
        <v>0</v>
      </c>
    </row>
    <row r="3060" spans="1:7" hidden="1">
      <c r="A3060">
        <v>236</v>
      </c>
      <c r="B3060" t="s">
        <v>1204</v>
      </c>
      <c r="C3060" t="s">
        <v>962</v>
      </c>
      <c r="D3060">
        <v>2.54</v>
      </c>
      <c r="E3060">
        <v>24.72</v>
      </c>
      <c r="F3060">
        <v>8.9600000000000009</v>
      </c>
      <c r="G3060">
        <v>0</v>
      </c>
    </row>
    <row r="3061" spans="1:7" hidden="1">
      <c r="A3061">
        <v>236</v>
      </c>
      <c r="B3061" t="s">
        <v>1204</v>
      </c>
      <c r="C3061" t="s">
        <v>963</v>
      </c>
      <c r="D3061">
        <v>4.03</v>
      </c>
      <c r="E3061">
        <v>18.13</v>
      </c>
      <c r="F3061">
        <v>10.45</v>
      </c>
      <c r="G3061">
        <v>0</v>
      </c>
    </row>
    <row r="3062" spans="1:7" hidden="1">
      <c r="A3062">
        <v>236</v>
      </c>
      <c r="B3062" t="s">
        <v>1204</v>
      </c>
      <c r="C3062" t="s">
        <v>964</v>
      </c>
      <c r="D3062">
        <v>0.24</v>
      </c>
      <c r="E3062">
        <v>21.87</v>
      </c>
      <c r="F3062">
        <v>0.76</v>
      </c>
      <c r="G3062">
        <v>0</v>
      </c>
    </row>
    <row r="3063" spans="1:7" hidden="1">
      <c r="A3063">
        <v>236</v>
      </c>
      <c r="B3063" t="s">
        <v>1204</v>
      </c>
      <c r="C3063" t="s">
        <v>965</v>
      </c>
      <c r="D3063">
        <v>2.74</v>
      </c>
      <c r="E3063">
        <v>24.75</v>
      </c>
      <c r="F3063">
        <v>9.6999999999999993</v>
      </c>
      <c r="G3063">
        <v>0</v>
      </c>
    </row>
    <row r="3064" spans="1:7">
      <c r="A3064">
        <v>236</v>
      </c>
      <c r="B3064" t="s">
        <v>1204</v>
      </c>
      <c r="C3064" t="s">
        <v>24</v>
      </c>
      <c r="D3064">
        <v>31.26</v>
      </c>
      <c r="E3064">
        <v>19.7</v>
      </c>
      <c r="F3064">
        <v>88.01</v>
      </c>
      <c r="G3064">
        <v>0</v>
      </c>
    </row>
    <row r="3065" spans="1:7" hidden="1">
      <c r="A3065">
        <v>236</v>
      </c>
      <c r="B3065" t="s">
        <v>1204</v>
      </c>
      <c r="C3065" t="s">
        <v>966</v>
      </c>
      <c r="D3065">
        <v>0</v>
      </c>
      <c r="E3065">
        <v>18.05</v>
      </c>
      <c r="F3065">
        <v>0</v>
      </c>
      <c r="G3065">
        <v>0</v>
      </c>
    </row>
    <row r="3066" spans="1:7" hidden="1">
      <c r="A3066">
        <v>236</v>
      </c>
      <c r="B3066" t="s">
        <v>1204</v>
      </c>
      <c r="C3066" t="s">
        <v>967</v>
      </c>
      <c r="D3066">
        <v>1.32</v>
      </c>
      <c r="E3066">
        <v>17.91</v>
      </c>
      <c r="F3066">
        <v>3.37</v>
      </c>
      <c r="G3066">
        <v>0</v>
      </c>
    </row>
    <row r="3067" spans="1:7" hidden="1">
      <c r="A3067">
        <v>236</v>
      </c>
      <c r="B3067" t="s">
        <v>1204</v>
      </c>
      <c r="C3067" t="s">
        <v>968</v>
      </c>
      <c r="D3067">
        <v>4.3099999999999996</v>
      </c>
      <c r="E3067">
        <v>18.09</v>
      </c>
      <c r="F3067">
        <v>11.14</v>
      </c>
      <c r="G3067">
        <v>0</v>
      </c>
    </row>
    <row r="3068" spans="1:7" hidden="1">
      <c r="A3068">
        <v>236</v>
      </c>
      <c r="B3068" t="s">
        <v>1204</v>
      </c>
      <c r="C3068" t="s">
        <v>969</v>
      </c>
      <c r="D3068">
        <v>0.18</v>
      </c>
      <c r="E3068">
        <v>24.75</v>
      </c>
      <c r="F3068">
        <v>0.62</v>
      </c>
      <c r="G3068">
        <v>0</v>
      </c>
    </row>
    <row r="3069" spans="1:7" hidden="1">
      <c r="A3069">
        <v>236</v>
      </c>
      <c r="B3069" t="s">
        <v>1204</v>
      </c>
      <c r="C3069" t="s">
        <v>970</v>
      </c>
      <c r="D3069">
        <v>0.96</v>
      </c>
      <c r="E3069">
        <v>24.75</v>
      </c>
      <c r="F3069">
        <v>3.41</v>
      </c>
      <c r="G3069">
        <v>0</v>
      </c>
    </row>
    <row r="3070" spans="1:7" hidden="1">
      <c r="A3070">
        <v>237</v>
      </c>
      <c r="B3070" t="s">
        <v>1205</v>
      </c>
      <c r="C3070" t="s">
        <v>959</v>
      </c>
      <c r="D3070">
        <v>8.59</v>
      </c>
      <c r="E3070">
        <v>18.309999999999999</v>
      </c>
      <c r="F3070">
        <v>22.47</v>
      </c>
      <c r="G3070">
        <v>0</v>
      </c>
    </row>
    <row r="3071" spans="1:7" hidden="1">
      <c r="A3071">
        <v>237</v>
      </c>
      <c r="B3071" t="s">
        <v>1205</v>
      </c>
      <c r="C3071" t="s">
        <v>960</v>
      </c>
      <c r="D3071">
        <v>7.93</v>
      </c>
      <c r="E3071">
        <v>18.399999999999999</v>
      </c>
      <c r="F3071">
        <v>20.85</v>
      </c>
      <c r="G3071">
        <v>0</v>
      </c>
    </row>
    <row r="3072" spans="1:7" hidden="1">
      <c r="A3072">
        <v>237</v>
      </c>
      <c r="B3072" t="s">
        <v>1205</v>
      </c>
      <c r="C3072" t="s">
        <v>961</v>
      </c>
      <c r="D3072">
        <v>4.03</v>
      </c>
      <c r="E3072">
        <v>20.059999999999999</v>
      </c>
      <c r="F3072">
        <v>11.55</v>
      </c>
      <c r="G3072">
        <v>0</v>
      </c>
    </row>
    <row r="3073" spans="1:7" hidden="1">
      <c r="A3073">
        <v>237</v>
      </c>
      <c r="B3073" t="s">
        <v>1205</v>
      </c>
      <c r="C3073" t="s">
        <v>962</v>
      </c>
      <c r="D3073">
        <v>2.17</v>
      </c>
      <c r="E3073">
        <v>24.72</v>
      </c>
      <c r="F3073">
        <v>7.68</v>
      </c>
      <c r="G3073">
        <v>0</v>
      </c>
    </row>
    <row r="3074" spans="1:7" hidden="1">
      <c r="A3074">
        <v>237</v>
      </c>
      <c r="B3074" t="s">
        <v>1205</v>
      </c>
      <c r="C3074" t="s">
        <v>963</v>
      </c>
      <c r="D3074">
        <v>3.81</v>
      </c>
      <c r="E3074">
        <v>18.13</v>
      </c>
      <c r="F3074">
        <v>9.86</v>
      </c>
      <c r="G3074">
        <v>0</v>
      </c>
    </row>
    <row r="3075" spans="1:7" hidden="1">
      <c r="A3075">
        <v>237</v>
      </c>
      <c r="B3075" t="s">
        <v>1205</v>
      </c>
      <c r="C3075" t="s">
        <v>964</v>
      </c>
      <c r="D3075">
        <v>0.23</v>
      </c>
      <c r="E3075">
        <v>21.87</v>
      </c>
      <c r="F3075">
        <v>0.73</v>
      </c>
      <c r="G3075">
        <v>0</v>
      </c>
    </row>
    <row r="3076" spans="1:7" hidden="1">
      <c r="A3076">
        <v>237</v>
      </c>
      <c r="B3076" t="s">
        <v>1205</v>
      </c>
      <c r="C3076" t="s">
        <v>965</v>
      </c>
      <c r="D3076">
        <v>2.58</v>
      </c>
      <c r="E3076">
        <v>24.75</v>
      </c>
      <c r="F3076">
        <v>9.1199999999999992</v>
      </c>
      <c r="G3076">
        <v>0</v>
      </c>
    </row>
    <row r="3077" spans="1:7">
      <c r="A3077">
        <v>237</v>
      </c>
      <c r="B3077" t="s">
        <v>1205</v>
      </c>
      <c r="C3077" t="s">
        <v>24</v>
      </c>
      <c r="D3077">
        <v>29.35</v>
      </c>
      <c r="E3077">
        <v>19.62</v>
      </c>
      <c r="F3077">
        <v>82.26</v>
      </c>
      <c r="G3077">
        <v>0.01</v>
      </c>
    </row>
    <row r="3078" spans="1:7" hidden="1">
      <c r="A3078">
        <v>237</v>
      </c>
      <c r="B3078" t="s">
        <v>1205</v>
      </c>
      <c r="C3078" t="s">
        <v>966</v>
      </c>
      <c r="D3078">
        <v>0</v>
      </c>
      <c r="E3078">
        <v>18.05</v>
      </c>
      <c r="F3078">
        <v>0</v>
      </c>
      <c r="G3078">
        <v>0</v>
      </c>
    </row>
    <row r="3079" spans="1:7" hidden="1">
      <c r="A3079">
        <v>237</v>
      </c>
      <c r="B3079" t="s">
        <v>1205</v>
      </c>
      <c r="C3079" t="s">
        <v>967</v>
      </c>
      <c r="D3079">
        <v>0.74</v>
      </c>
      <c r="E3079">
        <v>17.91</v>
      </c>
      <c r="F3079">
        <v>1.89</v>
      </c>
      <c r="G3079">
        <v>0</v>
      </c>
    </row>
    <row r="3080" spans="1:7" hidden="1">
      <c r="A3080">
        <v>237</v>
      </c>
      <c r="B3080" t="s">
        <v>1205</v>
      </c>
      <c r="C3080" t="s">
        <v>968</v>
      </c>
      <c r="D3080">
        <v>2.2999999999999998</v>
      </c>
      <c r="E3080">
        <v>18.09</v>
      </c>
      <c r="F3080">
        <v>5.94</v>
      </c>
      <c r="G3080">
        <v>0</v>
      </c>
    </row>
    <row r="3081" spans="1:7" hidden="1">
      <c r="A3081">
        <v>237</v>
      </c>
      <c r="B3081" t="s">
        <v>1205</v>
      </c>
      <c r="C3081" t="s">
        <v>969</v>
      </c>
      <c r="D3081">
        <v>0.17</v>
      </c>
      <c r="E3081">
        <v>24.75</v>
      </c>
      <c r="F3081">
        <v>0.6</v>
      </c>
      <c r="G3081">
        <v>0</v>
      </c>
    </row>
    <row r="3082" spans="1:7" hidden="1">
      <c r="A3082">
        <v>237</v>
      </c>
      <c r="B3082" t="s">
        <v>1205</v>
      </c>
      <c r="C3082" t="s">
        <v>970</v>
      </c>
      <c r="D3082">
        <v>0.6</v>
      </c>
      <c r="E3082">
        <v>24.75</v>
      </c>
      <c r="F3082">
        <v>2.11</v>
      </c>
      <c r="G3082">
        <v>0</v>
      </c>
    </row>
    <row r="3083" spans="1:7" hidden="1">
      <c r="A3083">
        <v>238</v>
      </c>
      <c r="B3083" t="s">
        <v>1206</v>
      </c>
      <c r="C3083" t="s">
        <v>959</v>
      </c>
      <c r="D3083">
        <v>8.7100000000000009</v>
      </c>
      <c r="E3083">
        <v>18.309999999999999</v>
      </c>
      <c r="F3083">
        <v>22.78</v>
      </c>
      <c r="G3083">
        <v>0</v>
      </c>
    </row>
    <row r="3084" spans="1:7" hidden="1">
      <c r="A3084">
        <v>238</v>
      </c>
      <c r="B3084" t="s">
        <v>1206</v>
      </c>
      <c r="C3084" t="s">
        <v>960</v>
      </c>
      <c r="D3084">
        <v>9.09</v>
      </c>
      <c r="E3084">
        <v>18.399999999999999</v>
      </c>
      <c r="F3084">
        <v>23.88</v>
      </c>
      <c r="G3084">
        <v>0</v>
      </c>
    </row>
    <row r="3085" spans="1:7" hidden="1">
      <c r="A3085">
        <v>238</v>
      </c>
      <c r="B3085" t="s">
        <v>1206</v>
      </c>
      <c r="C3085" t="s">
        <v>961</v>
      </c>
      <c r="D3085">
        <v>2.74</v>
      </c>
      <c r="E3085">
        <v>20.059999999999999</v>
      </c>
      <c r="F3085">
        <v>7.84</v>
      </c>
      <c r="G3085">
        <v>0</v>
      </c>
    </row>
    <row r="3086" spans="1:7" hidden="1">
      <c r="A3086">
        <v>238</v>
      </c>
      <c r="B3086" t="s">
        <v>1206</v>
      </c>
      <c r="C3086" t="s">
        <v>962</v>
      </c>
      <c r="D3086">
        <v>2.12</v>
      </c>
      <c r="E3086">
        <v>24.72</v>
      </c>
      <c r="F3086">
        <v>7.48</v>
      </c>
      <c r="G3086">
        <v>0</v>
      </c>
    </row>
    <row r="3087" spans="1:7" hidden="1">
      <c r="A3087">
        <v>238</v>
      </c>
      <c r="B3087" t="s">
        <v>1206</v>
      </c>
      <c r="C3087" t="s">
        <v>963</v>
      </c>
      <c r="D3087">
        <v>2.73</v>
      </c>
      <c r="E3087">
        <v>18.13</v>
      </c>
      <c r="F3087">
        <v>7.07</v>
      </c>
      <c r="G3087">
        <v>0</v>
      </c>
    </row>
    <row r="3088" spans="1:7" hidden="1">
      <c r="A3088">
        <v>238</v>
      </c>
      <c r="B3088" t="s">
        <v>1206</v>
      </c>
      <c r="C3088" t="s">
        <v>964</v>
      </c>
      <c r="D3088">
        <v>0.16</v>
      </c>
      <c r="E3088">
        <v>21.87</v>
      </c>
      <c r="F3088">
        <v>0.49</v>
      </c>
      <c r="G3088">
        <v>0</v>
      </c>
    </row>
    <row r="3089" spans="1:7" hidden="1">
      <c r="A3089">
        <v>238</v>
      </c>
      <c r="B3089" t="s">
        <v>1206</v>
      </c>
      <c r="C3089" t="s">
        <v>965</v>
      </c>
      <c r="D3089">
        <v>1.85</v>
      </c>
      <c r="E3089">
        <v>24.75</v>
      </c>
      <c r="F3089">
        <v>6.55</v>
      </c>
      <c r="G3089">
        <v>0</v>
      </c>
    </row>
    <row r="3090" spans="1:7">
      <c r="A3090">
        <v>238</v>
      </c>
      <c r="B3090" t="s">
        <v>1206</v>
      </c>
      <c r="C3090" t="s">
        <v>24</v>
      </c>
      <c r="D3090">
        <v>27.38</v>
      </c>
      <c r="E3090">
        <v>19.45</v>
      </c>
      <c r="F3090">
        <v>76.08</v>
      </c>
      <c r="G3090">
        <v>0</v>
      </c>
    </row>
    <row r="3091" spans="1:7" hidden="1">
      <c r="A3091">
        <v>238</v>
      </c>
      <c r="B3091" t="s">
        <v>1206</v>
      </c>
      <c r="C3091" t="s">
        <v>966</v>
      </c>
      <c r="D3091">
        <v>0</v>
      </c>
      <c r="E3091">
        <v>18.05</v>
      </c>
      <c r="F3091">
        <v>0</v>
      </c>
      <c r="G3091">
        <v>0</v>
      </c>
    </row>
    <row r="3092" spans="1:7" hidden="1">
      <c r="A3092">
        <v>238</v>
      </c>
      <c r="B3092" t="s">
        <v>1206</v>
      </c>
      <c r="C3092" t="s">
        <v>967</v>
      </c>
      <c r="D3092">
        <v>1.05</v>
      </c>
      <c r="E3092">
        <v>17.91</v>
      </c>
      <c r="F3092">
        <v>2.68</v>
      </c>
      <c r="G3092">
        <v>0</v>
      </c>
    </row>
    <row r="3093" spans="1:7" hidden="1">
      <c r="A3093">
        <v>238</v>
      </c>
      <c r="B3093" t="s">
        <v>1206</v>
      </c>
      <c r="C3093" t="s">
        <v>968</v>
      </c>
      <c r="D3093">
        <v>0.8</v>
      </c>
      <c r="E3093">
        <v>18.09</v>
      </c>
      <c r="F3093">
        <v>2.0499999999999998</v>
      </c>
      <c r="G3093">
        <v>0</v>
      </c>
    </row>
    <row r="3094" spans="1:7" hidden="1">
      <c r="A3094">
        <v>238</v>
      </c>
      <c r="B3094" t="s">
        <v>1206</v>
      </c>
      <c r="C3094" t="s">
        <v>969</v>
      </c>
      <c r="D3094">
        <v>0.16</v>
      </c>
      <c r="E3094">
        <v>24.75</v>
      </c>
      <c r="F3094">
        <v>0.56000000000000005</v>
      </c>
      <c r="G3094">
        <v>0</v>
      </c>
    </row>
    <row r="3095" spans="1:7" hidden="1">
      <c r="A3095">
        <v>238</v>
      </c>
      <c r="B3095" t="s">
        <v>1206</v>
      </c>
      <c r="C3095" t="s">
        <v>970</v>
      </c>
      <c r="D3095">
        <v>0.27</v>
      </c>
      <c r="E3095">
        <v>24.75</v>
      </c>
      <c r="F3095">
        <v>0.95</v>
      </c>
      <c r="G3095">
        <v>0</v>
      </c>
    </row>
    <row r="3096" spans="1:7" hidden="1">
      <c r="A3096">
        <v>239</v>
      </c>
      <c r="B3096" t="s">
        <v>1207</v>
      </c>
      <c r="C3096" t="s">
        <v>959</v>
      </c>
      <c r="D3096">
        <v>8.64</v>
      </c>
      <c r="E3096">
        <v>18.309999999999999</v>
      </c>
      <c r="F3096">
        <v>22.6</v>
      </c>
      <c r="G3096">
        <v>0</v>
      </c>
    </row>
    <row r="3097" spans="1:7" hidden="1">
      <c r="A3097">
        <v>239</v>
      </c>
      <c r="B3097" t="s">
        <v>1207</v>
      </c>
      <c r="C3097" t="s">
        <v>960</v>
      </c>
      <c r="D3097">
        <v>7.97</v>
      </c>
      <c r="E3097">
        <v>18.399999999999999</v>
      </c>
      <c r="F3097">
        <v>20.94</v>
      </c>
      <c r="G3097">
        <v>0.01</v>
      </c>
    </row>
    <row r="3098" spans="1:7" hidden="1">
      <c r="A3098">
        <v>239</v>
      </c>
      <c r="B3098" t="s">
        <v>1207</v>
      </c>
      <c r="C3098" t="s">
        <v>961</v>
      </c>
      <c r="D3098">
        <v>3.84</v>
      </c>
      <c r="E3098">
        <v>20.059999999999999</v>
      </c>
      <c r="F3098">
        <v>11.01</v>
      </c>
      <c r="G3098">
        <v>0</v>
      </c>
    </row>
    <row r="3099" spans="1:7" hidden="1">
      <c r="A3099">
        <v>239</v>
      </c>
      <c r="B3099" t="s">
        <v>1207</v>
      </c>
      <c r="C3099" t="s">
        <v>962</v>
      </c>
      <c r="D3099">
        <v>2.2400000000000002</v>
      </c>
      <c r="E3099">
        <v>24.72</v>
      </c>
      <c r="F3099">
        <v>7.91</v>
      </c>
      <c r="G3099">
        <v>0</v>
      </c>
    </row>
    <row r="3100" spans="1:7" hidden="1">
      <c r="A3100">
        <v>239</v>
      </c>
      <c r="B3100" t="s">
        <v>1207</v>
      </c>
      <c r="C3100" t="s">
        <v>963</v>
      </c>
      <c r="D3100">
        <v>3.56</v>
      </c>
      <c r="E3100">
        <v>18.13</v>
      </c>
      <c r="F3100">
        <v>9.2100000000000009</v>
      </c>
      <c r="G3100">
        <v>0</v>
      </c>
    </row>
    <row r="3101" spans="1:7" hidden="1">
      <c r="A3101">
        <v>239</v>
      </c>
      <c r="B3101" t="s">
        <v>1207</v>
      </c>
      <c r="C3101" t="s">
        <v>964</v>
      </c>
      <c r="D3101">
        <v>0.21</v>
      </c>
      <c r="E3101">
        <v>21.87</v>
      </c>
      <c r="F3101">
        <v>0.65</v>
      </c>
      <c r="G3101">
        <v>0</v>
      </c>
    </row>
    <row r="3102" spans="1:7" hidden="1">
      <c r="A3102">
        <v>239</v>
      </c>
      <c r="B3102" t="s">
        <v>1207</v>
      </c>
      <c r="C3102" t="s">
        <v>965</v>
      </c>
      <c r="D3102">
        <v>2.41</v>
      </c>
      <c r="E3102">
        <v>24.75</v>
      </c>
      <c r="F3102">
        <v>8.5299999999999994</v>
      </c>
      <c r="G3102">
        <v>0</v>
      </c>
    </row>
    <row r="3103" spans="1:7">
      <c r="A3103">
        <v>239</v>
      </c>
      <c r="B3103" t="s">
        <v>1207</v>
      </c>
      <c r="C3103" t="s">
        <v>24</v>
      </c>
      <c r="D3103">
        <v>28.87</v>
      </c>
      <c r="E3103">
        <v>19.61</v>
      </c>
      <c r="F3103">
        <v>80.87</v>
      </c>
      <c r="G3103">
        <v>0.02</v>
      </c>
    </row>
    <row r="3104" spans="1:7" hidden="1">
      <c r="A3104">
        <v>239</v>
      </c>
      <c r="B3104" t="s">
        <v>1207</v>
      </c>
      <c r="C3104" t="s">
        <v>966</v>
      </c>
      <c r="D3104">
        <v>0.03</v>
      </c>
      <c r="E3104">
        <v>18.05</v>
      </c>
      <c r="F3104">
        <v>0.08</v>
      </c>
      <c r="G3104">
        <v>0.03</v>
      </c>
    </row>
    <row r="3105" spans="1:7" hidden="1">
      <c r="A3105">
        <v>239</v>
      </c>
      <c r="B3105" t="s">
        <v>1207</v>
      </c>
      <c r="C3105" t="s">
        <v>967</v>
      </c>
      <c r="D3105">
        <v>0.76</v>
      </c>
      <c r="E3105">
        <v>17.91</v>
      </c>
      <c r="F3105">
        <v>1.95</v>
      </c>
      <c r="G3105">
        <v>0</v>
      </c>
    </row>
    <row r="3106" spans="1:7" hidden="1">
      <c r="A3106">
        <v>239</v>
      </c>
      <c r="B3106" t="s">
        <v>1207</v>
      </c>
      <c r="C3106" t="s">
        <v>968</v>
      </c>
      <c r="D3106">
        <v>2.15</v>
      </c>
      <c r="E3106">
        <v>18.09</v>
      </c>
      <c r="F3106">
        <v>5.55</v>
      </c>
      <c r="G3106">
        <v>0</v>
      </c>
    </row>
    <row r="3107" spans="1:7" hidden="1">
      <c r="A3107">
        <v>239</v>
      </c>
      <c r="B3107" t="s">
        <v>1207</v>
      </c>
      <c r="C3107" t="s">
        <v>969</v>
      </c>
      <c r="D3107">
        <v>0.14000000000000001</v>
      </c>
      <c r="E3107">
        <v>24.75</v>
      </c>
      <c r="F3107">
        <v>0.5</v>
      </c>
      <c r="G3107">
        <v>0</v>
      </c>
    </row>
    <row r="3108" spans="1:7" hidden="1">
      <c r="A3108">
        <v>239</v>
      </c>
      <c r="B3108" t="s">
        <v>1207</v>
      </c>
      <c r="C3108" t="s">
        <v>970</v>
      </c>
      <c r="D3108">
        <v>0.54</v>
      </c>
      <c r="E3108">
        <v>24.75</v>
      </c>
      <c r="F3108">
        <v>1.92</v>
      </c>
      <c r="G3108">
        <v>0</v>
      </c>
    </row>
    <row r="3109" spans="1:7" hidden="1">
      <c r="A3109">
        <v>240</v>
      </c>
      <c r="B3109" t="s">
        <v>1208</v>
      </c>
      <c r="C3109" t="s">
        <v>959</v>
      </c>
      <c r="D3109">
        <v>9.08</v>
      </c>
      <c r="E3109">
        <v>18.309999999999999</v>
      </c>
      <c r="F3109">
        <v>23.74</v>
      </c>
      <c r="G3109">
        <v>0.01</v>
      </c>
    </row>
    <row r="3110" spans="1:7" hidden="1">
      <c r="A3110">
        <v>240</v>
      </c>
      <c r="B3110" t="s">
        <v>1208</v>
      </c>
      <c r="C3110" t="s">
        <v>960</v>
      </c>
      <c r="D3110">
        <v>7.32</v>
      </c>
      <c r="E3110">
        <v>18.399999999999999</v>
      </c>
      <c r="F3110">
        <v>19.25</v>
      </c>
      <c r="G3110">
        <v>0.04</v>
      </c>
    </row>
    <row r="3111" spans="1:7" hidden="1">
      <c r="A3111">
        <v>240</v>
      </c>
      <c r="B3111" t="s">
        <v>1208</v>
      </c>
      <c r="C3111" t="s">
        <v>961</v>
      </c>
      <c r="D3111">
        <v>5.43</v>
      </c>
      <c r="E3111">
        <v>20.059999999999999</v>
      </c>
      <c r="F3111">
        <v>15.55</v>
      </c>
      <c r="G3111">
        <v>0</v>
      </c>
    </row>
    <row r="3112" spans="1:7" hidden="1">
      <c r="A3112">
        <v>240</v>
      </c>
      <c r="B3112" t="s">
        <v>1208</v>
      </c>
      <c r="C3112" t="s">
        <v>962</v>
      </c>
      <c r="D3112">
        <v>2.74</v>
      </c>
      <c r="E3112">
        <v>24.72</v>
      </c>
      <c r="F3112">
        <v>9.68</v>
      </c>
      <c r="G3112">
        <v>0</v>
      </c>
    </row>
    <row r="3113" spans="1:7" hidden="1">
      <c r="A3113">
        <v>240</v>
      </c>
      <c r="B3113" t="s">
        <v>1208</v>
      </c>
      <c r="C3113" t="s">
        <v>963</v>
      </c>
      <c r="D3113">
        <v>3.98</v>
      </c>
      <c r="E3113">
        <v>18.13</v>
      </c>
      <c r="F3113">
        <v>10.31</v>
      </c>
      <c r="G3113">
        <v>0</v>
      </c>
    </row>
    <row r="3114" spans="1:7" hidden="1">
      <c r="A3114">
        <v>240</v>
      </c>
      <c r="B3114" t="s">
        <v>1208</v>
      </c>
      <c r="C3114" t="s">
        <v>964</v>
      </c>
      <c r="D3114">
        <v>0.23</v>
      </c>
      <c r="E3114">
        <v>21.87</v>
      </c>
      <c r="F3114">
        <v>0.73</v>
      </c>
      <c r="G3114">
        <v>0</v>
      </c>
    </row>
    <row r="3115" spans="1:7" hidden="1">
      <c r="A3115">
        <v>240</v>
      </c>
      <c r="B3115" t="s">
        <v>1208</v>
      </c>
      <c r="C3115" t="s">
        <v>965</v>
      </c>
      <c r="D3115">
        <v>2.76</v>
      </c>
      <c r="E3115">
        <v>24.75</v>
      </c>
      <c r="F3115">
        <v>9.77</v>
      </c>
      <c r="G3115">
        <v>0</v>
      </c>
    </row>
    <row r="3116" spans="1:7">
      <c r="A3116">
        <v>240</v>
      </c>
      <c r="B3116" t="s">
        <v>1208</v>
      </c>
      <c r="C3116" t="s">
        <v>24</v>
      </c>
      <c r="D3116">
        <v>31.55</v>
      </c>
      <c r="E3116">
        <v>19.760000000000002</v>
      </c>
      <c r="F3116">
        <v>89.05</v>
      </c>
      <c r="G3116">
        <v>0.06</v>
      </c>
    </row>
    <row r="3117" spans="1:7" hidden="1">
      <c r="A3117">
        <v>240</v>
      </c>
      <c r="B3117" t="s">
        <v>1208</v>
      </c>
      <c r="C3117" t="s">
        <v>966</v>
      </c>
      <c r="D3117">
        <v>0.05</v>
      </c>
      <c r="E3117">
        <v>18.05</v>
      </c>
      <c r="F3117">
        <v>0.13</v>
      </c>
      <c r="G3117">
        <v>0.05</v>
      </c>
    </row>
    <row r="3118" spans="1:7" hidden="1">
      <c r="A3118">
        <v>240</v>
      </c>
      <c r="B3118" t="s">
        <v>1208</v>
      </c>
      <c r="C3118" t="s">
        <v>967</v>
      </c>
      <c r="D3118">
        <v>1</v>
      </c>
      <c r="E3118">
        <v>17.91</v>
      </c>
      <c r="F3118">
        <v>2.5499999999999998</v>
      </c>
      <c r="G3118">
        <v>0</v>
      </c>
    </row>
    <row r="3119" spans="1:7" hidden="1">
      <c r="A3119">
        <v>240</v>
      </c>
      <c r="B3119" t="s">
        <v>1208</v>
      </c>
      <c r="C3119" t="s">
        <v>968</v>
      </c>
      <c r="D3119">
        <v>4.49</v>
      </c>
      <c r="E3119">
        <v>18.09</v>
      </c>
      <c r="F3119">
        <v>11.6</v>
      </c>
      <c r="G3119">
        <v>0</v>
      </c>
    </row>
    <row r="3120" spans="1:7" hidden="1">
      <c r="A3120">
        <v>240</v>
      </c>
      <c r="B3120" t="s">
        <v>1208</v>
      </c>
      <c r="C3120" t="s">
        <v>969</v>
      </c>
      <c r="D3120">
        <v>0.15</v>
      </c>
      <c r="E3120">
        <v>24.75</v>
      </c>
      <c r="F3120">
        <v>0.54</v>
      </c>
      <c r="G3120">
        <v>0</v>
      </c>
    </row>
    <row r="3121" spans="1:7" hidden="1">
      <c r="A3121">
        <v>240</v>
      </c>
      <c r="B3121" t="s">
        <v>1208</v>
      </c>
      <c r="C3121" t="s">
        <v>970</v>
      </c>
      <c r="D3121">
        <v>0.95</v>
      </c>
      <c r="E3121">
        <v>24.75</v>
      </c>
      <c r="F3121">
        <v>3.36</v>
      </c>
      <c r="G3121">
        <v>0</v>
      </c>
    </row>
    <row r="3122" spans="1:7" hidden="1">
      <c r="A3122">
        <v>241</v>
      </c>
      <c r="B3122" t="s">
        <v>1209</v>
      </c>
      <c r="C3122" t="s">
        <v>959</v>
      </c>
      <c r="D3122">
        <v>8.56</v>
      </c>
      <c r="E3122">
        <v>18.309999999999999</v>
      </c>
      <c r="F3122">
        <v>22.4</v>
      </c>
      <c r="G3122">
        <v>0</v>
      </c>
    </row>
    <row r="3123" spans="1:7" hidden="1">
      <c r="A3123">
        <v>241</v>
      </c>
      <c r="B3123" t="s">
        <v>1209</v>
      </c>
      <c r="C3123" t="s">
        <v>960</v>
      </c>
      <c r="D3123">
        <v>7.68</v>
      </c>
      <c r="E3123">
        <v>18.399999999999999</v>
      </c>
      <c r="F3123">
        <v>20.190000000000001</v>
      </c>
      <c r="G3123">
        <v>0.01</v>
      </c>
    </row>
    <row r="3124" spans="1:7" hidden="1">
      <c r="A3124">
        <v>241</v>
      </c>
      <c r="B3124" t="s">
        <v>1209</v>
      </c>
      <c r="C3124" t="s">
        <v>961</v>
      </c>
      <c r="D3124">
        <v>4.05</v>
      </c>
      <c r="E3124">
        <v>20.059999999999999</v>
      </c>
      <c r="F3124">
        <v>11.6</v>
      </c>
      <c r="G3124">
        <v>0</v>
      </c>
    </row>
    <row r="3125" spans="1:7" hidden="1">
      <c r="A3125">
        <v>241</v>
      </c>
      <c r="B3125" t="s">
        <v>1209</v>
      </c>
      <c r="C3125" t="s">
        <v>962</v>
      </c>
      <c r="D3125">
        <v>2.15</v>
      </c>
      <c r="E3125">
        <v>24.72</v>
      </c>
      <c r="F3125">
        <v>7.61</v>
      </c>
      <c r="G3125">
        <v>0</v>
      </c>
    </row>
    <row r="3126" spans="1:7" hidden="1">
      <c r="A3126">
        <v>241</v>
      </c>
      <c r="B3126" t="s">
        <v>1209</v>
      </c>
      <c r="C3126" t="s">
        <v>963</v>
      </c>
      <c r="D3126">
        <v>3.84</v>
      </c>
      <c r="E3126">
        <v>18.13</v>
      </c>
      <c r="F3126">
        <v>9.9499999999999993</v>
      </c>
      <c r="G3126">
        <v>0</v>
      </c>
    </row>
    <row r="3127" spans="1:7" hidden="1">
      <c r="A3127">
        <v>241</v>
      </c>
      <c r="B3127" t="s">
        <v>1209</v>
      </c>
      <c r="C3127" t="s">
        <v>964</v>
      </c>
      <c r="D3127">
        <v>0.23</v>
      </c>
      <c r="E3127">
        <v>21.87</v>
      </c>
      <c r="F3127">
        <v>0.7</v>
      </c>
      <c r="G3127">
        <v>0</v>
      </c>
    </row>
    <row r="3128" spans="1:7" hidden="1">
      <c r="A3128">
        <v>241</v>
      </c>
      <c r="B3128" t="s">
        <v>1209</v>
      </c>
      <c r="C3128" t="s">
        <v>965</v>
      </c>
      <c r="D3128">
        <v>2.58</v>
      </c>
      <c r="E3128">
        <v>24.75</v>
      </c>
      <c r="F3128">
        <v>9.1300000000000008</v>
      </c>
      <c r="G3128">
        <v>0</v>
      </c>
    </row>
    <row r="3129" spans="1:7">
      <c r="A3129">
        <v>241</v>
      </c>
      <c r="B3129" t="s">
        <v>1209</v>
      </c>
      <c r="C3129" t="s">
        <v>24</v>
      </c>
      <c r="D3129">
        <v>29.1</v>
      </c>
      <c r="E3129">
        <v>19.63</v>
      </c>
      <c r="F3129">
        <v>81.58</v>
      </c>
      <c r="G3129">
        <v>0.02</v>
      </c>
    </row>
    <row r="3130" spans="1:7" hidden="1">
      <c r="A3130">
        <v>241</v>
      </c>
      <c r="B3130" t="s">
        <v>1209</v>
      </c>
      <c r="C3130" t="s">
        <v>966</v>
      </c>
      <c r="D3130">
        <v>0.04</v>
      </c>
      <c r="E3130">
        <v>18.05</v>
      </c>
      <c r="F3130">
        <v>0.1</v>
      </c>
      <c r="G3130">
        <v>0.04</v>
      </c>
    </row>
    <row r="3131" spans="1:7" hidden="1">
      <c r="A3131">
        <v>241</v>
      </c>
      <c r="B3131" t="s">
        <v>1209</v>
      </c>
      <c r="C3131" t="s">
        <v>967</v>
      </c>
      <c r="D3131">
        <v>0.57999999999999996</v>
      </c>
      <c r="E3131">
        <v>17.91</v>
      </c>
      <c r="F3131">
        <v>1.49</v>
      </c>
      <c r="G3131">
        <v>0</v>
      </c>
    </row>
    <row r="3132" spans="1:7" hidden="1">
      <c r="A3132">
        <v>241</v>
      </c>
      <c r="B3132" t="s">
        <v>1209</v>
      </c>
      <c r="C3132" t="s">
        <v>968</v>
      </c>
      <c r="D3132">
        <v>2.29</v>
      </c>
      <c r="E3132">
        <v>18.09</v>
      </c>
      <c r="F3132">
        <v>5.92</v>
      </c>
      <c r="G3132">
        <v>0</v>
      </c>
    </row>
    <row r="3133" spans="1:7" hidden="1">
      <c r="A3133">
        <v>241</v>
      </c>
      <c r="B3133" t="s">
        <v>1209</v>
      </c>
      <c r="C3133" t="s">
        <v>969</v>
      </c>
      <c r="D3133">
        <v>0.13</v>
      </c>
      <c r="E3133">
        <v>24.75</v>
      </c>
      <c r="F3133">
        <v>0.44</v>
      </c>
      <c r="G3133">
        <v>0</v>
      </c>
    </row>
    <row r="3134" spans="1:7" hidden="1">
      <c r="A3134">
        <v>241</v>
      </c>
      <c r="B3134" t="s">
        <v>1209</v>
      </c>
      <c r="C3134" t="s">
        <v>970</v>
      </c>
      <c r="D3134">
        <v>0.57999999999999996</v>
      </c>
      <c r="E3134">
        <v>24.75</v>
      </c>
      <c r="F3134">
        <v>2.0699999999999998</v>
      </c>
      <c r="G3134">
        <v>0</v>
      </c>
    </row>
    <row r="3135" spans="1:7" hidden="1">
      <c r="A3135">
        <v>242</v>
      </c>
      <c r="B3135" t="s">
        <v>1210</v>
      </c>
      <c r="C3135" t="s">
        <v>959</v>
      </c>
      <c r="D3135">
        <v>8.59</v>
      </c>
      <c r="E3135">
        <v>18.309999999999999</v>
      </c>
      <c r="F3135">
        <v>22.49</v>
      </c>
      <c r="G3135">
        <v>0</v>
      </c>
    </row>
    <row r="3136" spans="1:7" hidden="1">
      <c r="A3136">
        <v>242</v>
      </c>
      <c r="B3136" t="s">
        <v>1210</v>
      </c>
      <c r="C3136" t="s">
        <v>960</v>
      </c>
      <c r="D3136">
        <v>8.83</v>
      </c>
      <c r="E3136">
        <v>18.399999999999999</v>
      </c>
      <c r="F3136">
        <v>23.2</v>
      </c>
      <c r="G3136">
        <v>0</v>
      </c>
    </row>
    <row r="3137" spans="1:7" hidden="1">
      <c r="A3137">
        <v>242</v>
      </c>
      <c r="B3137" t="s">
        <v>1210</v>
      </c>
      <c r="C3137" t="s">
        <v>961</v>
      </c>
      <c r="D3137">
        <v>2.71</v>
      </c>
      <c r="E3137">
        <v>20.059999999999999</v>
      </c>
      <c r="F3137">
        <v>7.77</v>
      </c>
      <c r="G3137">
        <v>0</v>
      </c>
    </row>
    <row r="3138" spans="1:7" hidden="1">
      <c r="A3138">
        <v>242</v>
      </c>
      <c r="B3138" t="s">
        <v>1210</v>
      </c>
      <c r="C3138" t="s">
        <v>962</v>
      </c>
      <c r="D3138">
        <v>2.1800000000000002</v>
      </c>
      <c r="E3138">
        <v>24.72</v>
      </c>
      <c r="F3138">
        <v>7.69</v>
      </c>
      <c r="G3138">
        <v>0</v>
      </c>
    </row>
    <row r="3139" spans="1:7" hidden="1">
      <c r="A3139">
        <v>242</v>
      </c>
      <c r="B3139" t="s">
        <v>1210</v>
      </c>
      <c r="C3139" t="s">
        <v>963</v>
      </c>
      <c r="D3139">
        <v>2.8</v>
      </c>
      <c r="E3139">
        <v>18.13</v>
      </c>
      <c r="F3139">
        <v>7.25</v>
      </c>
      <c r="G3139">
        <v>0</v>
      </c>
    </row>
    <row r="3140" spans="1:7" hidden="1">
      <c r="A3140">
        <v>242</v>
      </c>
      <c r="B3140" t="s">
        <v>1210</v>
      </c>
      <c r="C3140" t="s">
        <v>964</v>
      </c>
      <c r="D3140">
        <v>0.16</v>
      </c>
      <c r="E3140">
        <v>21.87</v>
      </c>
      <c r="F3140">
        <v>0.51</v>
      </c>
      <c r="G3140">
        <v>0</v>
      </c>
    </row>
    <row r="3141" spans="1:7" hidden="1">
      <c r="A3141">
        <v>242</v>
      </c>
      <c r="B3141" t="s">
        <v>1210</v>
      </c>
      <c r="C3141" t="s">
        <v>965</v>
      </c>
      <c r="D3141">
        <v>1.92</v>
      </c>
      <c r="E3141">
        <v>24.75</v>
      </c>
      <c r="F3141">
        <v>6.8</v>
      </c>
      <c r="G3141">
        <v>0</v>
      </c>
    </row>
    <row r="3142" spans="1:7">
      <c r="A3142">
        <v>242</v>
      </c>
      <c r="B3142" t="s">
        <v>1210</v>
      </c>
      <c r="C3142" t="s">
        <v>24</v>
      </c>
      <c r="D3142">
        <v>27.19</v>
      </c>
      <c r="E3142">
        <v>19.489999999999998</v>
      </c>
      <c r="F3142">
        <v>75.7</v>
      </c>
      <c r="G3142">
        <v>0.01</v>
      </c>
    </row>
    <row r="3143" spans="1:7" hidden="1">
      <c r="A3143">
        <v>242</v>
      </c>
      <c r="B3143" t="s">
        <v>1210</v>
      </c>
      <c r="C3143" t="s">
        <v>966</v>
      </c>
      <c r="D3143">
        <v>0.01</v>
      </c>
      <c r="E3143">
        <v>18.05</v>
      </c>
      <c r="F3143">
        <v>0.02</v>
      </c>
      <c r="G3143">
        <v>0.01</v>
      </c>
    </row>
    <row r="3144" spans="1:7" hidden="1">
      <c r="A3144">
        <v>242</v>
      </c>
      <c r="B3144" t="s">
        <v>1210</v>
      </c>
      <c r="C3144" t="s">
        <v>967</v>
      </c>
      <c r="D3144">
        <v>1.01</v>
      </c>
      <c r="E3144">
        <v>17.91</v>
      </c>
      <c r="F3144">
        <v>2.59</v>
      </c>
      <c r="G3144">
        <v>0</v>
      </c>
    </row>
    <row r="3145" spans="1:7" hidden="1">
      <c r="A3145">
        <v>242</v>
      </c>
      <c r="B3145" t="s">
        <v>1210</v>
      </c>
      <c r="C3145" t="s">
        <v>968</v>
      </c>
      <c r="D3145">
        <v>0.8</v>
      </c>
      <c r="E3145">
        <v>18.09</v>
      </c>
      <c r="F3145">
        <v>2.06</v>
      </c>
      <c r="G3145">
        <v>0</v>
      </c>
    </row>
    <row r="3146" spans="1:7" hidden="1">
      <c r="A3146">
        <v>242</v>
      </c>
      <c r="B3146" t="s">
        <v>1210</v>
      </c>
      <c r="C3146" t="s">
        <v>969</v>
      </c>
      <c r="D3146">
        <v>0.17</v>
      </c>
      <c r="E3146">
        <v>24.75</v>
      </c>
      <c r="F3146">
        <v>0.59</v>
      </c>
      <c r="G3146">
        <v>0</v>
      </c>
    </row>
    <row r="3147" spans="1:7" hidden="1">
      <c r="A3147">
        <v>242</v>
      </c>
      <c r="B3147" t="s">
        <v>1210</v>
      </c>
      <c r="C3147" t="s">
        <v>970</v>
      </c>
      <c r="D3147">
        <v>0.27</v>
      </c>
      <c r="E3147">
        <v>24.75</v>
      </c>
      <c r="F3147">
        <v>0.96</v>
      </c>
      <c r="G3147">
        <v>0</v>
      </c>
    </row>
    <row r="3148" spans="1:7" hidden="1">
      <c r="A3148">
        <v>243</v>
      </c>
      <c r="B3148" t="s">
        <v>1211</v>
      </c>
      <c r="C3148" t="s">
        <v>959</v>
      </c>
      <c r="D3148">
        <v>9.66</v>
      </c>
      <c r="E3148">
        <v>18.309999999999999</v>
      </c>
      <c r="F3148">
        <v>25.26</v>
      </c>
      <c r="G3148">
        <v>0</v>
      </c>
    </row>
    <row r="3149" spans="1:7" hidden="1">
      <c r="A3149">
        <v>243</v>
      </c>
      <c r="B3149" t="s">
        <v>1211</v>
      </c>
      <c r="C3149" t="s">
        <v>960</v>
      </c>
      <c r="D3149">
        <v>7.91</v>
      </c>
      <c r="E3149">
        <v>18.399999999999999</v>
      </c>
      <c r="F3149">
        <v>20.8</v>
      </c>
      <c r="G3149">
        <v>0</v>
      </c>
    </row>
    <row r="3150" spans="1:7" hidden="1">
      <c r="A3150">
        <v>243</v>
      </c>
      <c r="B3150" t="s">
        <v>1211</v>
      </c>
      <c r="C3150" t="s">
        <v>961</v>
      </c>
      <c r="D3150">
        <v>4.4400000000000004</v>
      </c>
      <c r="E3150">
        <v>20.059999999999999</v>
      </c>
      <c r="F3150">
        <v>12.72</v>
      </c>
      <c r="G3150">
        <v>0</v>
      </c>
    </row>
    <row r="3151" spans="1:7" hidden="1">
      <c r="A3151">
        <v>243</v>
      </c>
      <c r="B3151" t="s">
        <v>1211</v>
      </c>
      <c r="C3151" t="s">
        <v>962</v>
      </c>
      <c r="D3151">
        <v>2.56</v>
      </c>
      <c r="E3151">
        <v>24.72</v>
      </c>
      <c r="F3151">
        <v>9.0399999999999991</v>
      </c>
      <c r="G3151">
        <v>0</v>
      </c>
    </row>
    <row r="3152" spans="1:7" hidden="1">
      <c r="A3152">
        <v>243</v>
      </c>
      <c r="B3152" t="s">
        <v>1211</v>
      </c>
      <c r="C3152" t="s">
        <v>963</v>
      </c>
      <c r="D3152">
        <v>3.97</v>
      </c>
      <c r="E3152">
        <v>18.13</v>
      </c>
      <c r="F3152">
        <v>10.29</v>
      </c>
      <c r="G3152">
        <v>0</v>
      </c>
    </row>
    <row r="3153" spans="1:7" hidden="1">
      <c r="A3153">
        <v>243</v>
      </c>
      <c r="B3153" t="s">
        <v>1211</v>
      </c>
      <c r="C3153" t="s">
        <v>964</v>
      </c>
      <c r="D3153">
        <v>0.26</v>
      </c>
      <c r="E3153">
        <v>21.87</v>
      </c>
      <c r="F3153">
        <v>0.82</v>
      </c>
      <c r="G3153">
        <v>0</v>
      </c>
    </row>
    <row r="3154" spans="1:7" hidden="1">
      <c r="A3154">
        <v>243</v>
      </c>
      <c r="B3154" t="s">
        <v>1211</v>
      </c>
      <c r="C3154" t="s">
        <v>965</v>
      </c>
      <c r="D3154">
        <v>2.6</v>
      </c>
      <c r="E3154">
        <v>24.75</v>
      </c>
      <c r="F3154">
        <v>9.18</v>
      </c>
      <c r="G3154">
        <v>0</v>
      </c>
    </row>
    <row r="3155" spans="1:7">
      <c r="A3155">
        <v>243</v>
      </c>
      <c r="B3155" t="s">
        <v>1211</v>
      </c>
      <c r="C3155" t="s">
        <v>24</v>
      </c>
      <c r="D3155">
        <v>31.4</v>
      </c>
      <c r="E3155">
        <v>19.64</v>
      </c>
      <c r="F3155">
        <v>88.11</v>
      </c>
      <c r="G3155">
        <v>0</v>
      </c>
    </row>
    <row r="3156" spans="1:7" hidden="1">
      <c r="A3156">
        <v>243</v>
      </c>
      <c r="B3156" t="s">
        <v>1211</v>
      </c>
      <c r="C3156" t="s">
        <v>966</v>
      </c>
      <c r="D3156">
        <v>0</v>
      </c>
      <c r="E3156">
        <v>18.05</v>
      </c>
      <c r="F3156">
        <v>0</v>
      </c>
      <c r="G3156">
        <v>0</v>
      </c>
    </row>
    <row r="3157" spans="1:7" hidden="1">
      <c r="A3157">
        <v>243</v>
      </c>
      <c r="B3157" t="s">
        <v>1211</v>
      </c>
      <c r="C3157" t="s">
        <v>967</v>
      </c>
      <c r="D3157">
        <v>0.47</v>
      </c>
      <c r="E3157">
        <v>17.91</v>
      </c>
      <c r="F3157">
        <v>1.2</v>
      </c>
      <c r="G3157">
        <v>0</v>
      </c>
    </row>
    <row r="3158" spans="1:7" hidden="1">
      <c r="A3158">
        <v>243</v>
      </c>
      <c r="B3158" t="s">
        <v>1211</v>
      </c>
      <c r="C3158" t="s">
        <v>968</v>
      </c>
      <c r="D3158">
        <v>3.07</v>
      </c>
      <c r="E3158">
        <v>18.09</v>
      </c>
      <c r="F3158">
        <v>7.92</v>
      </c>
      <c r="G3158">
        <v>0</v>
      </c>
    </row>
    <row r="3159" spans="1:7" hidden="1">
      <c r="A3159">
        <v>243</v>
      </c>
      <c r="B3159" t="s">
        <v>1211</v>
      </c>
      <c r="C3159" t="s">
        <v>969</v>
      </c>
      <c r="D3159">
        <v>0.16</v>
      </c>
      <c r="E3159">
        <v>24.75</v>
      </c>
      <c r="F3159">
        <v>0.56000000000000005</v>
      </c>
      <c r="G3159">
        <v>0</v>
      </c>
    </row>
    <row r="3160" spans="1:7" hidden="1">
      <c r="A3160">
        <v>243</v>
      </c>
      <c r="B3160" t="s">
        <v>1211</v>
      </c>
      <c r="C3160" t="s">
        <v>970</v>
      </c>
      <c r="D3160">
        <v>0.74</v>
      </c>
      <c r="E3160">
        <v>24.75</v>
      </c>
      <c r="F3160">
        <v>2.62</v>
      </c>
      <c r="G3160">
        <v>0</v>
      </c>
    </row>
    <row r="3161" spans="1:7" hidden="1">
      <c r="A3161">
        <v>244</v>
      </c>
      <c r="B3161" t="s">
        <v>1212</v>
      </c>
      <c r="C3161" t="s">
        <v>959</v>
      </c>
      <c r="D3161">
        <v>9.85</v>
      </c>
      <c r="E3161">
        <v>18.309999999999999</v>
      </c>
      <c r="F3161">
        <v>25.76</v>
      </c>
      <c r="G3161">
        <v>0</v>
      </c>
    </row>
    <row r="3162" spans="1:7" hidden="1">
      <c r="A3162">
        <v>244</v>
      </c>
      <c r="B3162" t="s">
        <v>1212</v>
      </c>
      <c r="C3162" t="s">
        <v>960</v>
      </c>
      <c r="D3162">
        <v>8.02</v>
      </c>
      <c r="E3162">
        <v>18.399999999999999</v>
      </c>
      <c r="F3162">
        <v>21.08</v>
      </c>
      <c r="G3162">
        <v>0</v>
      </c>
    </row>
    <row r="3163" spans="1:7" hidden="1">
      <c r="A3163">
        <v>244</v>
      </c>
      <c r="B3163" t="s">
        <v>1212</v>
      </c>
      <c r="C3163" t="s">
        <v>961</v>
      </c>
      <c r="D3163">
        <v>5.19</v>
      </c>
      <c r="E3163">
        <v>20.059999999999999</v>
      </c>
      <c r="F3163">
        <v>14.87</v>
      </c>
      <c r="G3163">
        <v>0</v>
      </c>
    </row>
    <row r="3164" spans="1:7" hidden="1">
      <c r="A3164">
        <v>244</v>
      </c>
      <c r="B3164" t="s">
        <v>1212</v>
      </c>
      <c r="C3164" t="s">
        <v>962</v>
      </c>
      <c r="D3164">
        <v>2.8</v>
      </c>
      <c r="E3164">
        <v>24.72</v>
      </c>
      <c r="F3164">
        <v>9.9</v>
      </c>
      <c r="G3164">
        <v>0</v>
      </c>
    </row>
    <row r="3165" spans="1:7" hidden="1">
      <c r="A3165">
        <v>244</v>
      </c>
      <c r="B3165" t="s">
        <v>1212</v>
      </c>
      <c r="C3165" t="s">
        <v>963</v>
      </c>
      <c r="D3165">
        <v>4.03</v>
      </c>
      <c r="E3165">
        <v>18.13</v>
      </c>
      <c r="F3165">
        <v>10.44</v>
      </c>
      <c r="G3165">
        <v>0</v>
      </c>
    </row>
    <row r="3166" spans="1:7" hidden="1">
      <c r="A3166">
        <v>244</v>
      </c>
      <c r="B3166" t="s">
        <v>1212</v>
      </c>
      <c r="C3166" t="s">
        <v>964</v>
      </c>
      <c r="D3166">
        <v>0.28999999999999998</v>
      </c>
      <c r="E3166">
        <v>21.87</v>
      </c>
      <c r="F3166">
        <v>0.9</v>
      </c>
      <c r="G3166">
        <v>0</v>
      </c>
    </row>
    <row r="3167" spans="1:7" hidden="1">
      <c r="A3167">
        <v>244</v>
      </c>
      <c r="B3167" t="s">
        <v>1212</v>
      </c>
      <c r="C3167" t="s">
        <v>965</v>
      </c>
      <c r="D3167">
        <v>2.72</v>
      </c>
      <c r="E3167">
        <v>24.75</v>
      </c>
      <c r="F3167">
        <v>9.61</v>
      </c>
      <c r="G3167">
        <v>0</v>
      </c>
    </row>
    <row r="3168" spans="1:7">
      <c r="A3168">
        <v>244</v>
      </c>
      <c r="B3168" t="s">
        <v>1212</v>
      </c>
      <c r="C3168" t="s">
        <v>24</v>
      </c>
      <c r="D3168">
        <v>32.9</v>
      </c>
      <c r="E3168">
        <v>19.7</v>
      </c>
      <c r="F3168">
        <v>92.55</v>
      </c>
      <c r="G3168">
        <v>0</v>
      </c>
    </row>
    <row r="3169" spans="1:7" hidden="1">
      <c r="A3169">
        <v>244</v>
      </c>
      <c r="B3169" t="s">
        <v>1212</v>
      </c>
      <c r="C3169" t="s">
        <v>966</v>
      </c>
      <c r="D3169">
        <v>0</v>
      </c>
      <c r="E3169">
        <v>18.05</v>
      </c>
      <c r="F3169">
        <v>0</v>
      </c>
      <c r="G3169">
        <v>0</v>
      </c>
    </row>
    <row r="3170" spans="1:7" hidden="1">
      <c r="A3170">
        <v>244</v>
      </c>
      <c r="B3170" t="s">
        <v>1212</v>
      </c>
      <c r="C3170" t="s">
        <v>967</v>
      </c>
      <c r="D3170">
        <v>0.55000000000000004</v>
      </c>
      <c r="E3170">
        <v>17.91</v>
      </c>
      <c r="F3170">
        <v>1.4</v>
      </c>
      <c r="G3170">
        <v>0</v>
      </c>
    </row>
    <row r="3171" spans="1:7" hidden="1">
      <c r="A3171">
        <v>244</v>
      </c>
      <c r="B3171" t="s">
        <v>1212</v>
      </c>
      <c r="C3171" t="s">
        <v>968</v>
      </c>
      <c r="D3171">
        <v>4.71</v>
      </c>
      <c r="E3171">
        <v>18.09</v>
      </c>
      <c r="F3171">
        <v>12.17</v>
      </c>
      <c r="G3171">
        <v>0</v>
      </c>
    </row>
    <row r="3172" spans="1:7" hidden="1">
      <c r="A3172">
        <v>244</v>
      </c>
      <c r="B3172" t="s">
        <v>1212</v>
      </c>
      <c r="C3172" t="s">
        <v>969</v>
      </c>
      <c r="D3172">
        <v>0.18</v>
      </c>
      <c r="E3172">
        <v>24.75</v>
      </c>
      <c r="F3172">
        <v>0.62</v>
      </c>
      <c r="G3172">
        <v>0</v>
      </c>
    </row>
    <row r="3173" spans="1:7" hidden="1">
      <c r="A3173">
        <v>244</v>
      </c>
      <c r="B3173" t="s">
        <v>1212</v>
      </c>
      <c r="C3173" t="s">
        <v>970</v>
      </c>
      <c r="D3173">
        <v>0.95</v>
      </c>
      <c r="E3173">
        <v>24.75</v>
      </c>
      <c r="F3173">
        <v>3.36</v>
      </c>
      <c r="G3173">
        <v>0</v>
      </c>
    </row>
    <row r="3174" spans="1:7" hidden="1">
      <c r="A3174">
        <v>245</v>
      </c>
      <c r="B3174" t="s">
        <v>1213</v>
      </c>
      <c r="C3174" t="s">
        <v>959</v>
      </c>
      <c r="D3174">
        <v>9.48</v>
      </c>
      <c r="E3174">
        <v>18.309999999999999</v>
      </c>
      <c r="F3174">
        <v>24.81</v>
      </c>
      <c r="G3174">
        <v>0</v>
      </c>
    </row>
    <row r="3175" spans="1:7" hidden="1">
      <c r="A3175">
        <v>245</v>
      </c>
      <c r="B3175" t="s">
        <v>1213</v>
      </c>
      <c r="C3175" t="s">
        <v>960</v>
      </c>
      <c r="D3175">
        <v>7.76</v>
      </c>
      <c r="E3175">
        <v>18.399999999999999</v>
      </c>
      <c r="F3175">
        <v>20.399999999999999</v>
      </c>
      <c r="G3175">
        <v>0</v>
      </c>
    </row>
    <row r="3176" spans="1:7" hidden="1">
      <c r="A3176">
        <v>245</v>
      </c>
      <c r="B3176" t="s">
        <v>1213</v>
      </c>
      <c r="C3176" t="s">
        <v>961</v>
      </c>
      <c r="D3176">
        <v>4.37</v>
      </c>
      <c r="E3176">
        <v>20.059999999999999</v>
      </c>
      <c r="F3176">
        <v>12.52</v>
      </c>
      <c r="G3176">
        <v>0</v>
      </c>
    </row>
    <row r="3177" spans="1:7" hidden="1">
      <c r="A3177">
        <v>245</v>
      </c>
      <c r="B3177" t="s">
        <v>1213</v>
      </c>
      <c r="C3177" t="s">
        <v>962</v>
      </c>
      <c r="D3177">
        <v>2.38</v>
      </c>
      <c r="E3177">
        <v>24.72</v>
      </c>
      <c r="F3177">
        <v>8.39</v>
      </c>
      <c r="G3177">
        <v>0</v>
      </c>
    </row>
    <row r="3178" spans="1:7" hidden="1">
      <c r="A3178">
        <v>245</v>
      </c>
      <c r="B3178" t="s">
        <v>1213</v>
      </c>
      <c r="C3178" t="s">
        <v>963</v>
      </c>
      <c r="D3178">
        <v>4.16</v>
      </c>
      <c r="E3178">
        <v>18.13</v>
      </c>
      <c r="F3178">
        <v>10.78</v>
      </c>
      <c r="G3178">
        <v>0</v>
      </c>
    </row>
    <row r="3179" spans="1:7" hidden="1">
      <c r="A3179">
        <v>245</v>
      </c>
      <c r="B3179" t="s">
        <v>1213</v>
      </c>
      <c r="C3179" t="s">
        <v>964</v>
      </c>
      <c r="D3179">
        <v>0.26</v>
      </c>
      <c r="E3179">
        <v>21.87</v>
      </c>
      <c r="F3179">
        <v>0.8</v>
      </c>
      <c r="G3179">
        <v>0</v>
      </c>
    </row>
    <row r="3180" spans="1:7" hidden="1">
      <c r="A3180">
        <v>245</v>
      </c>
      <c r="B3180" t="s">
        <v>1213</v>
      </c>
      <c r="C3180" t="s">
        <v>965</v>
      </c>
      <c r="D3180">
        <v>2.65</v>
      </c>
      <c r="E3180">
        <v>24.75</v>
      </c>
      <c r="F3180">
        <v>9.39</v>
      </c>
      <c r="G3180">
        <v>0</v>
      </c>
    </row>
    <row r="3181" spans="1:7">
      <c r="A3181">
        <v>245</v>
      </c>
      <c r="B3181" t="s">
        <v>1213</v>
      </c>
      <c r="C3181" t="s">
        <v>24</v>
      </c>
      <c r="D3181">
        <v>31.07</v>
      </c>
      <c r="E3181">
        <v>19.62</v>
      </c>
      <c r="F3181">
        <v>87.09</v>
      </c>
      <c r="G3181">
        <v>0</v>
      </c>
    </row>
    <row r="3182" spans="1:7" hidden="1">
      <c r="A3182">
        <v>245</v>
      </c>
      <c r="B3182" t="s">
        <v>1213</v>
      </c>
      <c r="C3182" t="s">
        <v>966</v>
      </c>
      <c r="D3182">
        <v>0</v>
      </c>
      <c r="E3182">
        <v>18.05</v>
      </c>
      <c r="F3182">
        <v>0</v>
      </c>
      <c r="G3182">
        <v>0</v>
      </c>
    </row>
    <row r="3183" spans="1:7" hidden="1">
      <c r="A3183">
        <v>245</v>
      </c>
      <c r="B3183" t="s">
        <v>1213</v>
      </c>
      <c r="C3183" t="s">
        <v>967</v>
      </c>
      <c r="D3183">
        <v>0.43</v>
      </c>
      <c r="E3183">
        <v>17.91</v>
      </c>
      <c r="F3183">
        <v>1.1100000000000001</v>
      </c>
      <c r="G3183">
        <v>0</v>
      </c>
    </row>
    <row r="3184" spans="1:7" hidden="1">
      <c r="A3184">
        <v>245</v>
      </c>
      <c r="B3184" t="s">
        <v>1213</v>
      </c>
      <c r="C3184" t="s">
        <v>968</v>
      </c>
      <c r="D3184">
        <v>2.42</v>
      </c>
      <c r="E3184">
        <v>18.09</v>
      </c>
      <c r="F3184">
        <v>6.25</v>
      </c>
      <c r="G3184">
        <v>0</v>
      </c>
    </row>
    <row r="3185" spans="1:7" hidden="1">
      <c r="A3185">
        <v>245</v>
      </c>
      <c r="B3185" t="s">
        <v>1213</v>
      </c>
      <c r="C3185" t="s">
        <v>969</v>
      </c>
      <c r="D3185">
        <v>0.16</v>
      </c>
      <c r="E3185">
        <v>24.75</v>
      </c>
      <c r="F3185">
        <v>0.56999999999999995</v>
      </c>
      <c r="G3185">
        <v>0</v>
      </c>
    </row>
    <row r="3186" spans="1:7" hidden="1">
      <c r="A3186">
        <v>245</v>
      </c>
      <c r="B3186" t="s">
        <v>1213</v>
      </c>
      <c r="C3186" t="s">
        <v>970</v>
      </c>
      <c r="D3186">
        <v>0.65</v>
      </c>
      <c r="E3186">
        <v>24.75</v>
      </c>
      <c r="F3186">
        <v>2.2799999999999998</v>
      </c>
      <c r="G3186">
        <v>0</v>
      </c>
    </row>
    <row r="3187" spans="1:7" hidden="1">
      <c r="A3187">
        <v>246</v>
      </c>
      <c r="B3187" t="s">
        <v>1214</v>
      </c>
      <c r="C3187" t="s">
        <v>959</v>
      </c>
      <c r="D3187">
        <v>9.57</v>
      </c>
      <c r="E3187">
        <v>18.309999999999999</v>
      </c>
      <c r="F3187">
        <v>25.02</v>
      </c>
      <c r="G3187">
        <v>0.01</v>
      </c>
    </row>
    <row r="3188" spans="1:7" hidden="1">
      <c r="A3188">
        <v>246</v>
      </c>
      <c r="B3188" t="s">
        <v>1214</v>
      </c>
      <c r="C3188" t="s">
        <v>960</v>
      </c>
      <c r="D3188">
        <v>7.66</v>
      </c>
      <c r="E3188">
        <v>18.399999999999999</v>
      </c>
      <c r="F3188">
        <v>20.13</v>
      </c>
      <c r="G3188">
        <v>0.03</v>
      </c>
    </row>
    <row r="3189" spans="1:7" hidden="1">
      <c r="A3189">
        <v>246</v>
      </c>
      <c r="B3189" t="s">
        <v>1214</v>
      </c>
      <c r="C3189" t="s">
        <v>961</v>
      </c>
      <c r="D3189">
        <v>4.6399999999999997</v>
      </c>
      <c r="E3189">
        <v>20.059999999999999</v>
      </c>
      <c r="F3189">
        <v>13.29</v>
      </c>
      <c r="G3189">
        <v>0</v>
      </c>
    </row>
    <row r="3190" spans="1:7" hidden="1">
      <c r="A3190">
        <v>246</v>
      </c>
      <c r="B3190" t="s">
        <v>1214</v>
      </c>
      <c r="C3190" t="s">
        <v>962</v>
      </c>
      <c r="D3190">
        <v>2.61</v>
      </c>
      <c r="E3190">
        <v>24.72</v>
      </c>
      <c r="F3190">
        <v>9.2100000000000009</v>
      </c>
      <c r="G3190">
        <v>0</v>
      </c>
    </row>
    <row r="3191" spans="1:7" hidden="1">
      <c r="A3191">
        <v>246</v>
      </c>
      <c r="B3191" t="s">
        <v>1214</v>
      </c>
      <c r="C3191" t="s">
        <v>963</v>
      </c>
      <c r="D3191">
        <v>3.93</v>
      </c>
      <c r="E3191">
        <v>18.13</v>
      </c>
      <c r="F3191">
        <v>10.18</v>
      </c>
      <c r="G3191">
        <v>0</v>
      </c>
    </row>
    <row r="3192" spans="1:7" hidden="1">
      <c r="A3192">
        <v>246</v>
      </c>
      <c r="B3192" t="s">
        <v>1214</v>
      </c>
      <c r="C3192" t="s">
        <v>964</v>
      </c>
      <c r="D3192">
        <v>0.23</v>
      </c>
      <c r="E3192">
        <v>21.87</v>
      </c>
      <c r="F3192">
        <v>0.71</v>
      </c>
      <c r="G3192">
        <v>0</v>
      </c>
    </row>
    <row r="3193" spans="1:7" hidden="1">
      <c r="A3193">
        <v>246</v>
      </c>
      <c r="B3193" t="s">
        <v>1214</v>
      </c>
      <c r="C3193" t="s">
        <v>965</v>
      </c>
      <c r="D3193">
        <v>2.63</v>
      </c>
      <c r="E3193">
        <v>24.75</v>
      </c>
      <c r="F3193">
        <v>9.2899999999999991</v>
      </c>
      <c r="G3193">
        <v>0</v>
      </c>
    </row>
    <row r="3194" spans="1:7">
      <c r="A3194">
        <v>246</v>
      </c>
      <c r="B3194" t="s">
        <v>1214</v>
      </c>
      <c r="C3194" t="s">
        <v>24</v>
      </c>
      <c r="D3194">
        <v>31.26</v>
      </c>
      <c r="E3194">
        <v>19.670000000000002</v>
      </c>
      <c r="F3194">
        <v>87.84</v>
      </c>
      <c r="G3194">
        <v>0.05</v>
      </c>
    </row>
    <row r="3195" spans="1:7" hidden="1">
      <c r="A3195">
        <v>246</v>
      </c>
      <c r="B3195" t="s">
        <v>1214</v>
      </c>
      <c r="C3195" t="s">
        <v>966</v>
      </c>
      <c r="D3195">
        <v>0.05</v>
      </c>
      <c r="E3195">
        <v>18.05</v>
      </c>
      <c r="F3195">
        <v>0.13</v>
      </c>
      <c r="G3195">
        <v>0.05</v>
      </c>
    </row>
    <row r="3196" spans="1:7" hidden="1">
      <c r="A3196">
        <v>246</v>
      </c>
      <c r="B3196" t="s">
        <v>1214</v>
      </c>
      <c r="C3196" t="s">
        <v>967</v>
      </c>
      <c r="D3196">
        <v>0.24</v>
      </c>
      <c r="E3196">
        <v>17.91</v>
      </c>
      <c r="F3196">
        <v>0.61</v>
      </c>
      <c r="G3196">
        <v>0</v>
      </c>
    </row>
    <row r="3197" spans="1:7" hidden="1">
      <c r="A3197">
        <v>246</v>
      </c>
      <c r="B3197" t="s">
        <v>1214</v>
      </c>
      <c r="C3197" t="s">
        <v>968</v>
      </c>
      <c r="D3197">
        <v>2.88</v>
      </c>
      <c r="E3197">
        <v>18.09</v>
      </c>
      <c r="F3197">
        <v>7.44</v>
      </c>
      <c r="G3197">
        <v>0</v>
      </c>
    </row>
    <row r="3198" spans="1:7" hidden="1">
      <c r="A3198">
        <v>246</v>
      </c>
      <c r="B3198" t="s">
        <v>1214</v>
      </c>
      <c r="C3198" t="s">
        <v>969</v>
      </c>
      <c r="D3198">
        <v>0.14000000000000001</v>
      </c>
      <c r="E3198">
        <v>24.75</v>
      </c>
      <c r="F3198">
        <v>0.49</v>
      </c>
      <c r="G3198">
        <v>0</v>
      </c>
    </row>
    <row r="3199" spans="1:7" hidden="1">
      <c r="A3199">
        <v>246</v>
      </c>
      <c r="B3199" t="s">
        <v>1214</v>
      </c>
      <c r="C3199" t="s">
        <v>970</v>
      </c>
      <c r="D3199">
        <v>0.69</v>
      </c>
      <c r="E3199">
        <v>24.75</v>
      </c>
      <c r="F3199">
        <v>2.4500000000000002</v>
      </c>
      <c r="G3199">
        <v>0</v>
      </c>
    </row>
    <row r="3200" spans="1:7" hidden="1">
      <c r="A3200">
        <v>247</v>
      </c>
      <c r="B3200" t="s">
        <v>1215</v>
      </c>
      <c r="C3200" t="s">
        <v>959</v>
      </c>
      <c r="D3200">
        <v>9.66</v>
      </c>
      <c r="E3200">
        <v>18.309999999999999</v>
      </c>
      <c r="F3200">
        <v>25.26</v>
      </c>
      <c r="G3200">
        <v>0.03</v>
      </c>
    </row>
    <row r="3201" spans="1:7" hidden="1">
      <c r="A3201">
        <v>247</v>
      </c>
      <c r="B3201" t="s">
        <v>1215</v>
      </c>
      <c r="C3201" t="s">
        <v>960</v>
      </c>
      <c r="D3201">
        <v>7.89</v>
      </c>
      <c r="E3201">
        <v>18.399999999999999</v>
      </c>
      <c r="F3201">
        <v>20.73</v>
      </c>
      <c r="G3201">
        <v>0.08</v>
      </c>
    </row>
    <row r="3202" spans="1:7" hidden="1">
      <c r="A3202">
        <v>247</v>
      </c>
      <c r="B3202" t="s">
        <v>1215</v>
      </c>
      <c r="C3202" t="s">
        <v>961</v>
      </c>
      <c r="D3202">
        <v>5.66</v>
      </c>
      <c r="E3202">
        <v>20.059999999999999</v>
      </c>
      <c r="F3202">
        <v>16.22</v>
      </c>
      <c r="G3202">
        <v>0</v>
      </c>
    </row>
    <row r="3203" spans="1:7" hidden="1">
      <c r="A3203">
        <v>247</v>
      </c>
      <c r="B3203" t="s">
        <v>1215</v>
      </c>
      <c r="C3203" t="s">
        <v>962</v>
      </c>
      <c r="D3203">
        <v>2.98</v>
      </c>
      <c r="E3203">
        <v>24.72</v>
      </c>
      <c r="F3203">
        <v>10.53</v>
      </c>
      <c r="G3203">
        <v>0</v>
      </c>
    </row>
    <row r="3204" spans="1:7" hidden="1">
      <c r="A3204">
        <v>247</v>
      </c>
      <c r="B3204" t="s">
        <v>1215</v>
      </c>
      <c r="C3204" t="s">
        <v>963</v>
      </c>
      <c r="D3204">
        <v>4.08</v>
      </c>
      <c r="E3204">
        <v>18.13</v>
      </c>
      <c r="F3204">
        <v>10.56</v>
      </c>
      <c r="G3204">
        <v>0</v>
      </c>
    </row>
    <row r="3205" spans="1:7" hidden="1">
      <c r="A3205">
        <v>247</v>
      </c>
      <c r="B3205" t="s">
        <v>1215</v>
      </c>
      <c r="C3205" t="s">
        <v>964</v>
      </c>
      <c r="D3205">
        <v>0.22</v>
      </c>
      <c r="E3205">
        <v>21.87</v>
      </c>
      <c r="F3205">
        <v>0.68</v>
      </c>
      <c r="G3205">
        <v>0</v>
      </c>
    </row>
    <row r="3206" spans="1:7" hidden="1">
      <c r="A3206">
        <v>247</v>
      </c>
      <c r="B3206" t="s">
        <v>1215</v>
      </c>
      <c r="C3206" t="s">
        <v>965</v>
      </c>
      <c r="D3206">
        <v>2.7</v>
      </c>
      <c r="E3206">
        <v>24.75</v>
      </c>
      <c r="F3206">
        <v>9.56</v>
      </c>
      <c r="G3206">
        <v>0</v>
      </c>
    </row>
    <row r="3207" spans="1:7">
      <c r="A3207">
        <v>247</v>
      </c>
      <c r="B3207" t="s">
        <v>1215</v>
      </c>
      <c r="C3207" t="s">
        <v>24</v>
      </c>
      <c r="D3207">
        <v>33.19</v>
      </c>
      <c r="E3207">
        <v>19.73</v>
      </c>
      <c r="F3207">
        <v>93.55</v>
      </c>
      <c r="G3207">
        <v>0.11</v>
      </c>
    </row>
    <row r="3208" spans="1:7" hidden="1">
      <c r="A3208">
        <v>247</v>
      </c>
      <c r="B3208" t="s">
        <v>1215</v>
      </c>
      <c r="C3208" t="s">
        <v>966</v>
      </c>
      <c r="D3208">
        <v>0.09</v>
      </c>
      <c r="E3208">
        <v>18.05</v>
      </c>
      <c r="F3208">
        <v>0.24</v>
      </c>
      <c r="G3208">
        <v>0.09</v>
      </c>
    </row>
    <row r="3209" spans="1:7" hidden="1">
      <c r="A3209">
        <v>247</v>
      </c>
      <c r="B3209" t="s">
        <v>1215</v>
      </c>
      <c r="C3209" t="s">
        <v>967</v>
      </c>
      <c r="D3209">
        <v>0.22</v>
      </c>
      <c r="E3209">
        <v>17.91</v>
      </c>
      <c r="F3209">
        <v>0.55000000000000004</v>
      </c>
      <c r="G3209">
        <v>0</v>
      </c>
    </row>
    <row r="3210" spans="1:7" hidden="1">
      <c r="A3210">
        <v>247</v>
      </c>
      <c r="B3210" t="s">
        <v>1215</v>
      </c>
      <c r="C3210" t="s">
        <v>968</v>
      </c>
      <c r="D3210">
        <v>4.62</v>
      </c>
      <c r="E3210">
        <v>18.09</v>
      </c>
      <c r="F3210">
        <v>11.93</v>
      </c>
      <c r="G3210">
        <v>0</v>
      </c>
    </row>
    <row r="3211" spans="1:7" hidden="1">
      <c r="A3211">
        <v>247</v>
      </c>
      <c r="B3211" t="s">
        <v>1215</v>
      </c>
      <c r="C3211" t="s">
        <v>969</v>
      </c>
      <c r="D3211">
        <v>0.18</v>
      </c>
      <c r="E3211">
        <v>24.75</v>
      </c>
      <c r="F3211">
        <v>0.64</v>
      </c>
      <c r="G3211">
        <v>0</v>
      </c>
    </row>
    <row r="3212" spans="1:7" hidden="1">
      <c r="A3212">
        <v>247</v>
      </c>
      <c r="B3212" t="s">
        <v>1215</v>
      </c>
      <c r="C3212" t="s">
        <v>970</v>
      </c>
      <c r="D3212">
        <v>0.87</v>
      </c>
      <c r="E3212">
        <v>24.75</v>
      </c>
      <c r="F3212">
        <v>3.07</v>
      </c>
      <c r="G3212">
        <v>0</v>
      </c>
    </row>
    <row r="3213" spans="1:7" hidden="1">
      <c r="A3213">
        <v>248</v>
      </c>
      <c r="B3213" t="s">
        <v>1216</v>
      </c>
      <c r="C3213" t="s">
        <v>959</v>
      </c>
      <c r="D3213">
        <v>9.41</v>
      </c>
      <c r="E3213">
        <v>18.309999999999999</v>
      </c>
      <c r="F3213">
        <v>24.62</v>
      </c>
      <c r="G3213">
        <v>0</v>
      </c>
    </row>
    <row r="3214" spans="1:7" hidden="1">
      <c r="A3214">
        <v>248</v>
      </c>
      <c r="B3214" t="s">
        <v>1216</v>
      </c>
      <c r="C3214" t="s">
        <v>960</v>
      </c>
      <c r="D3214">
        <v>7.47</v>
      </c>
      <c r="E3214">
        <v>18.399999999999999</v>
      </c>
      <c r="F3214">
        <v>19.63</v>
      </c>
      <c r="G3214">
        <v>0.01</v>
      </c>
    </row>
    <row r="3215" spans="1:7" hidden="1">
      <c r="A3215">
        <v>248</v>
      </c>
      <c r="B3215" t="s">
        <v>1216</v>
      </c>
      <c r="C3215" t="s">
        <v>961</v>
      </c>
      <c r="D3215">
        <v>4.51</v>
      </c>
      <c r="E3215">
        <v>20.059999999999999</v>
      </c>
      <c r="F3215">
        <v>12.93</v>
      </c>
      <c r="G3215">
        <v>0.01</v>
      </c>
    </row>
    <row r="3216" spans="1:7" hidden="1">
      <c r="A3216">
        <v>248</v>
      </c>
      <c r="B3216" t="s">
        <v>1216</v>
      </c>
      <c r="C3216" t="s">
        <v>962</v>
      </c>
      <c r="D3216">
        <v>2.36</v>
      </c>
      <c r="E3216">
        <v>24.72</v>
      </c>
      <c r="F3216">
        <v>8.32</v>
      </c>
      <c r="G3216">
        <v>0</v>
      </c>
    </row>
    <row r="3217" spans="1:7" hidden="1">
      <c r="A3217">
        <v>248</v>
      </c>
      <c r="B3217" t="s">
        <v>1216</v>
      </c>
      <c r="C3217" t="s">
        <v>963</v>
      </c>
      <c r="D3217">
        <v>4.05</v>
      </c>
      <c r="E3217">
        <v>18.13</v>
      </c>
      <c r="F3217">
        <v>10.49</v>
      </c>
      <c r="G3217">
        <v>0</v>
      </c>
    </row>
    <row r="3218" spans="1:7" hidden="1">
      <c r="A3218">
        <v>248</v>
      </c>
      <c r="B3218" t="s">
        <v>1216</v>
      </c>
      <c r="C3218" t="s">
        <v>964</v>
      </c>
      <c r="D3218">
        <v>0.23</v>
      </c>
      <c r="E3218">
        <v>21.87</v>
      </c>
      <c r="F3218">
        <v>0.72</v>
      </c>
      <c r="G3218">
        <v>0</v>
      </c>
    </row>
    <row r="3219" spans="1:7" hidden="1">
      <c r="A3219">
        <v>248</v>
      </c>
      <c r="B3219" t="s">
        <v>1216</v>
      </c>
      <c r="C3219" t="s">
        <v>965</v>
      </c>
      <c r="D3219">
        <v>2.7</v>
      </c>
      <c r="E3219">
        <v>24.75</v>
      </c>
      <c r="F3219">
        <v>9.5399999999999991</v>
      </c>
      <c r="G3219">
        <v>0</v>
      </c>
    </row>
    <row r="3220" spans="1:7">
      <c r="A3220">
        <v>248</v>
      </c>
      <c r="B3220" t="s">
        <v>1216</v>
      </c>
      <c r="C3220" t="s">
        <v>24</v>
      </c>
      <c r="D3220">
        <v>30.72</v>
      </c>
      <c r="E3220">
        <v>19.649999999999999</v>
      </c>
      <c r="F3220">
        <v>86.25</v>
      </c>
      <c r="G3220">
        <v>0.02</v>
      </c>
    </row>
    <row r="3221" spans="1:7" hidden="1">
      <c r="A3221">
        <v>248</v>
      </c>
      <c r="B3221" t="s">
        <v>1216</v>
      </c>
      <c r="C3221" t="s">
        <v>966</v>
      </c>
      <c r="D3221">
        <v>0.02</v>
      </c>
      <c r="E3221">
        <v>18.05</v>
      </c>
      <c r="F3221">
        <v>0.06</v>
      </c>
      <c r="G3221">
        <v>0.02</v>
      </c>
    </row>
    <row r="3222" spans="1:7" hidden="1">
      <c r="A3222">
        <v>248</v>
      </c>
      <c r="B3222" t="s">
        <v>1216</v>
      </c>
      <c r="C3222" t="s">
        <v>967</v>
      </c>
      <c r="D3222">
        <v>0.23</v>
      </c>
      <c r="E3222">
        <v>17.91</v>
      </c>
      <c r="F3222">
        <v>0.59</v>
      </c>
      <c r="G3222">
        <v>0</v>
      </c>
    </row>
    <row r="3223" spans="1:7" hidden="1">
      <c r="A3223">
        <v>248</v>
      </c>
      <c r="B3223" t="s">
        <v>1216</v>
      </c>
      <c r="C3223" t="s">
        <v>968</v>
      </c>
      <c r="D3223">
        <v>2.31</v>
      </c>
      <c r="E3223">
        <v>18.09</v>
      </c>
      <c r="F3223">
        <v>5.98</v>
      </c>
      <c r="G3223">
        <v>0</v>
      </c>
    </row>
    <row r="3224" spans="1:7" hidden="1">
      <c r="A3224">
        <v>248</v>
      </c>
      <c r="B3224" t="s">
        <v>1216</v>
      </c>
      <c r="C3224" t="s">
        <v>969</v>
      </c>
      <c r="D3224">
        <v>0.11</v>
      </c>
      <c r="E3224">
        <v>24.75</v>
      </c>
      <c r="F3224">
        <v>0.41</v>
      </c>
      <c r="G3224">
        <v>0</v>
      </c>
    </row>
    <row r="3225" spans="1:7" hidden="1">
      <c r="A3225">
        <v>248</v>
      </c>
      <c r="B3225" t="s">
        <v>1216</v>
      </c>
      <c r="C3225" t="s">
        <v>970</v>
      </c>
      <c r="D3225">
        <v>0.65</v>
      </c>
      <c r="E3225">
        <v>24.75</v>
      </c>
      <c r="F3225">
        <v>2.2999999999999998</v>
      </c>
      <c r="G3225">
        <v>0</v>
      </c>
    </row>
    <row r="3226" spans="1:7" hidden="1">
      <c r="A3226">
        <v>249</v>
      </c>
      <c r="B3226" t="s">
        <v>1217</v>
      </c>
      <c r="C3226" t="s">
        <v>959</v>
      </c>
      <c r="D3226">
        <v>9.7200000000000006</v>
      </c>
      <c r="E3226">
        <v>18.309999999999999</v>
      </c>
      <c r="F3226">
        <v>25.42</v>
      </c>
      <c r="G3226">
        <v>1.31</v>
      </c>
    </row>
    <row r="3227" spans="1:7" hidden="1">
      <c r="A3227">
        <v>249</v>
      </c>
      <c r="B3227" t="s">
        <v>1217</v>
      </c>
      <c r="C3227" t="s">
        <v>960</v>
      </c>
      <c r="D3227">
        <v>10.199999999999999</v>
      </c>
      <c r="E3227">
        <v>18.399999999999999</v>
      </c>
      <c r="F3227">
        <v>26.81</v>
      </c>
      <c r="G3227">
        <v>2.29</v>
      </c>
    </row>
    <row r="3228" spans="1:7" hidden="1">
      <c r="A3228">
        <v>249</v>
      </c>
      <c r="B3228" t="s">
        <v>1217</v>
      </c>
      <c r="C3228" t="s">
        <v>961</v>
      </c>
      <c r="D3228">
        <v>2.7</v>
      </c>
      <c r="E3228">
        <v>20.059999999999999</v>
      </c>
      <c r="F3228">
        <v>7.73</v>
      </c>
      <c r="G3228">
        <v>0.41</v>
      </c>
    </row>
    <row r="3229" spans="1:7" hidden="1">
      <c r="A3229">
        <v>249</v>
      </c>
      <c r="B3229" t="s">
        <v>1217</v>
      </c>
      <c r="C3229" t="s">
        <v>962</v>
      </c>
      <c r="D3229">
        <v>0.84</v>
      </c>
      <c r="E3229">
        <v>24.72</v>
      </c>
      <c r="F3229">
        <v>2.98</v>
      </c>
      <c r="G3229">
        <v>0.11</v>
      </c>
    </row>
    <row r="3230" spans="1:7" hidden="1">
      <c r="A3230">
        <v>249</v>
      </c>
      <c r="B3230" t="s">
        <v>1217</v>
      </c>
      <c r="C3230" t="s">
        <v>963</v>
      </c>
      <c r="D3230">
        <v>3.83</v>
      </c>
      <c r="E3230">
        <v>18.13</v>
      </c>
      <c r="F3230">
        <v>9.92</v>
      </c>
      <c r="G3230">
        <v>0.6</v>
      </c>
    </row>
    <row r="3231" spans="1:7" hidden="1">
      <c r="A3231">
        <v>249</v>
      </c>
      <c r="B3231" t="s">
        <v>1217</v>
      </c>
      <c r="C3231" t="s">
        <v>964</v>
      </c>
      <c r="D3231">
        <v>0.2</v>
      </c>
      <c r="E3231">
        <v>21.87</v>
      </c>
      <c r="F3231">
        <v>0.62</v>
      </c>
      <c r="G3231">
        <v>0</v>
      </c>
    </row>
    <row r="3232" spans="1:7" hidden="1">
      <c r="A3232">
        <v>249</v>
      </c>
      <c r="B3232" t="s">
        <v>1217</v>
      </c>
      <c r="C3232" t="s">
        <v>965</v>
      </c>
      <c r="D3232">
        <v>2.58</v>
      </c>
      <c r="E3232">
        <v>24.75</v>
      </c>
      <c r="F3232">
        <v>9.1300000000000008</v>
      </c>
      <c r="G3232">
        <v>0.4</v>
      </c>
    </row>
    <row r="3233" spans="1:7">
      <c r="A3233">
        <v>249</v>
      </c>
      <c r="B3233" t="s">
        <v>1217</v>
      </c>
      <c r="C3233" t="s">
        <v>24</v>
      </c>
      <c r="D3233">
        <v>30.07</v>
      </c>
      <c r="E3233">
        <v>19.23</v>
      </c>
      <c r="F3233">
        <v>82.61</v>
      </c>
      <c r="G3233">
        <v>5.12</v>
      </c>
    </row>
    <row r="3234" spans="1:7" hidden="1">
      <c r="A3234">
        <v>249</v>
      </c>
      <c r="B3234" t="s">
        <v>1217</v>
      </c>
      <c r="C3234" t="s">
        <v>966</v>
      </c>
      <c r="D3234">
        <v>5.1100000000000003</v>
      </c>
      <c r="E3234">
        <v>18.05</v>
      </c>
      <c r="F3234">
        <v>13.18</v>
      </c>
      <c r="G3234">
        <v>4.84</v>
      </c>
    </row>
    <row r="3235" spans="1:7" hidden="1">
      <c r="A3235">
        <v>249</v>
      </c>
      <c r="B3235" t="s">
        <v>1217</v>
      </c>
      <c r="C3235" t="s">
        <v>967</v>
      </c>
      <c r="D3235">
        <v>1</v>
      </c>
      <c r="E3235">
        <v>17.91</v>
      </c>
      <c r="F3235">
        <v>2.56</v>
      </c>
      <c r="G3235">
        <v>0.18</v>
      </c>
    </row>
    <row r="3236" spans="1:7" hidden="1">
      <c r="A3236">
        <v>249</v>
      </c>
      <c r="B3236" t="s">
        <v>1217</v>
      </c>
      <c r="C3236" t="s">
        <v>968</v>
      </c>
      <c r="D3236">
        <v>1.66</v>
      </c>
      <c r="E3236">
        <v>18.09</v>
      </c>
      <c r="F3236">
        <v>4.3</v>
      </c>
      <c r="G3236">
        <v>0.35</v>
      </c>
    </row>
    <row r="3237" spans="1:7" hidden="1">
      <c r="A3237">
        <v>249</v>
      </c>
      <c r="B3237" t="s">
        <v>1217</v>
      </c>
      <c r="C3237" t="s">
        <v>969</v>
      </c>
      <c r="D3237">
        <v>0.88</v>
      </c>
      <c r="E3237">
        <v>24.75</v>
      </c>
      <c r="F3237">
        <v>3.12</v>
      </c>
      <c r="G3237">
        <v>0.03</v>
      </c>
    </row>
    <row r="3238" spans="1:7" hidden="1">
      <c r="A3238">
        <v>249</v>
      </c>
      <c r="B3238" t="s">
        <v>1217</v>
      </c>
      <c r="C3238" t="s">
        <v>970</v>
      </c>
      <c r="D3238">
        <v>0.44</v>
      </c>
      <c r="E3238">
        <v>24.75</v>
      </c>
      <c r="F3238">
        <v>1.56</v>
      </c>
      <c r="G3238">
        <v>0.1</v>
      </c>
    </row>
    <row r="3239" spans="1:7" hidden="1">
      <c r="A3239">
        <v>250</v>
      </c>
      <c r="B3239" t="s">
        <v>1218</v>
      </c>
      <c r="C3239" t="s">
        <v>959</v>
      </c>
      <c r="D3239">
        <v>8.4600000000000009</v>
      </c>
      <c r="E3239">
        <v>18.309999999999999</v>
      </c>
      <c r="F3239">
        <v>22.12</v>
      </c>
      <c r="G3239">
        <v>0</v>
      </c>
    </row>
    <row r="3240" spans="1:7" hidden="1">
      <c r="A3240">
        <v>250</v>
      </c>
      <c r="B3240" t="s">
        <v>1218</v>
      </c>
      <c r="C3240" t="s">
        <v>960</v>
      </c>
      <c r="D3240">
        <v>8.27</v>
      </c>
      <c r="E3240">
        <v>18.399999999999999</v>
      </c>
      <c r="F3240">
        <v>21.73</v>
      </c>
      <c r="G3240">
        <v>0</v>
      </c>
    </row>
    <row r="3241" spans="1:7" hidden="1">
      <c r="A3241">
        <v>250</v>
      </c>
      <c r="B3241" t="s">
        <v>1218</v>
      </c>
      <c r="C3241" t="s">
        <v>961</v>
      </c>
      <c r="D3241">
        <v>3.65</v>
      </c>
      <c r="E3241">
        <v>20.059999999999999</v>
      </c>
      <c r="F3241">
        <v>10.45</v>
      </c>
      <c r="G3241">
        <v>0</v>
      </c>
    </row>
    <row r="3242" spans="1:7" hidden="1">
      <c r="A3242">
        <v>250</v>
      </c>
      <c r="B3242" t="s">
        <v>1218</v>
      </c>
      <c r="C3242" t="s">
        <v>962</v>
      </c>
      <c r="D3242">
        <v>2.12</v>
      </c>
      <c r="E3242">
        <v>24.72</v>
      </c>
      <c r="F3242">
        <v>7.49</v>
      </c>
      <c r="G3242">
        <v>0</v>
      </c>
    </row>
    <row r="3243" spans="1:7" hidden="1">
      <c r="A3243">
        <v>250</v>
      </c>
      <c r="B3243" t="s">
        <v>1218</v>
      </c>
      <c r="C3243" t="s">
        <v>963</v>
      </c>
      <c r="D3243">
        <v>3.42</v>
      </c>
      <c r="E3243">
        <v>18.13</v>
      </c>
      <c r="F3243">
        <v>8.86</v>
      </c>
      <c r="G3243">
        <v>0</v>
      </c>
    </row>
    <row r="3244" spans="1:7" hidden="1">
      <c r="A3244">
        <v>250</v>
      </c>
      <c r="B3244" t="s">
        <v>1218</v>
      </c>
      <c r="C3244" t="s">
        <v>964</v>
      </c>
      <c r="D3244">
        <v>0.2</v>
      </c>
      <c r="E3244">
        <v>21.87</v>
      </c>
      <c r="F3244">
        <v>0.62</v>
      </c>
      <c r="G3244">
        <v>0</v>
      </c>
    </row>
    <row r="3245" spans="1:7" hidden="1">
      <c r="A3245">
        <v>250</v>
      </c>
      <c r="B3245" t="s">
        <v>1218</v>
      </c>
      <c r="C3245" t="s">
        <v>965</v>
      </c>
      <c r="D3245">
        <v>2.34</v>
      </c>
      <c r="E3245">
        <v>24.75</v>
      </c>
      <c r="F3245">
        <v>8.2899999999999991</v>
      </c>
      <c r="G3245">
        <v>0</v>
      </c>
    </row>
    <row r="3246" spans="1:7">
      <c r="A3246">
        <v>250</v>
      </c>
      <c r="B3246" t="s">
        <v>1218</v>
      </c>
      <c r="C3246" t="s">
        <v>24</v>
      </c>
      <c r="D3246">
        <v>28.46</v>
      </c>
      <c r="E3246">
        <v>19.57</v>
      </c>
      <c r="F3246">
        <v>79.56</v>
      </c>
      <c r="G3246">
        <v>0.01</v>
      </c>
    </row>
    <row r="3247" spans="1:7" hidden="1">
      <c r="A3247">
        <v>250</v>
      </c>
      <c r="B3247" t="s">
        <v>1218</v>
      </c>
      <c r="C3247" t="s">
        <v>966</v>
      </c>
      <c r="D3247">
        <v>0</v>
      </c>
      <c r="E3247">
        <v>18.05</v>
      </c>
      <c r="F3247">
        <v>0</v>
      </c>
      <c r="G3247">
        <v>0</v>
      </c>
    </row>
    <row r="3248" spans="1:7" hidden="1">
      <c r="A3248">
        <v>250</v>
      </c>
      <c r="B3248" t="s">
        <v>1218</v>
      </c>
      <c r="C3248" t="s">
        <v>967</v>
      </c>
      <c r="D3248">
        <v>1.03</v>
      </c>
      <c r="E3248">
        <v>17.91</v>
      </c>
      <c r="F3248">
        <v>2.63</v>
      </c>
      <c r="G3248">
        <v>0</v>
      </c>
    </row>
    <row r="3249" spans="1:7" hidden="1">
      <c r="A3249">
        <v>250</v>
      </c>
      <c r="B3249" t="s">
        <v>1218</v>
      </c>
      <c r="C3249" t="s">
        <v>968</v>
      </c>
      <c r="D3249">
        <v>1.93</v>
      </c>
      <c r="E3249">
        <v>18.09</v>
      </c>
      <c r="F3249">
        <v>4.9800000000000004</v>
      </c>
      <c r="G3249">
        <v>0</v>
      </c>
    </row>
    <row r="3250" spans="1:7" hidden="1">
      <c r="A3250">
        <v>250</v>
      </c>
      <c r="B3250" t="s">
        <v>1218</v>
      </c>
      <c r="C3250" t="s">
        <v>969</v>
      </c>
      <c r="D3250">
        <v>0.17</v>
      </c>
      <c r="E3250">
        <v>24.75</v>
      </c>
      <c r="F3250">
        <v>0.59</v>
      </c>
      <c r="G3250">
        <v>0</v>
      </c>
    </row>
    <row r="3251" spans="1:7" hidden="1">
      <c r="A3251">
        <v>250</v>
      </c>
      <c r="B3251" t="s">
        <v>1218</v>
      </c>
      <c r="C3251" t="s">
        <v>970</v>
      </c>
      <c r="D3251">
        <v>0.51</v>
      </c>
      <c r="E3251">
        <v>24.75</v>
      </c>
      <c r="F3251">
        <v>1.8</v>
      </c>
      <c r="G3251">
        <v>0</v>
      </c>
    </row>
    <row r="3252" spans="1:7" hidden="1">
      <c r="A3252">
        <v>251</v>
      </c>
      <c r="B3252" t="s">
        <v>1219</v>
      </c>
      <c r="C3252" t="s">
        <v>959</v>
      </c>
      <c r="D3252">
        <v>8.59</v>
      </c>
      <c r="E3252">
        <v>18.309999999999999</v>
      </c>
      <c r="F3252">
        <v>22.46</v>
      </c>
      <c r="G3252">
        <v>0</v>
      </c>
    </row>
    <row r="3253" spans="1:7" hidden="1">
      <c r="A3253">
        <v>251</v>
      </c>
      <c r="B3253" t="s">
        <v>1219</v>
      </c>
      <c r="C3253" t="s">
        <v>960</v>
      </c>
      <c r="D3253">
        <v>7.03</v>
      </c>
      <c r="E3253">
        <v>18.399999999999999</v>
      </c>
      <c r="F3253">
        <v>18.47</v>
      </c>
      <c r="G3253">
        <v>0</v>
      </c>
    </row>
    <row r="3254" spans="1:7" hidden="1">
      <c r="A3254">
        <v>251</v>
      </c>
      <c r="B3254" t="s">
        <v>1219</v>
      </c>
      <c r="C3254" t="s">
        <v>961</v>
      </c>
      <c r="D3254">
        <v>4.9400000000000004</v>
      </c>
      <c r="E3254">
        <v>20.059999999999999</v>
      </c>
      <c r="F3254">
        <v>14.14</v>
      </c>
      <c r="G3254">
        <v>0</v>
      </c>
    </row>
    <row r="3255" spans="1:7" hidden="1">
      <c r="A3255">
        <v>251</v>
      </c>
      <c r="B3255" t="s">
        <v>1219</v>
      </c>
      <c r="C3255" t="s">
        <v>962</v>
      </c>
      <c r="D3255">
        <v>2.31</v>
      </c>
      <c r="E3255">
        <v>24.72</v>
      </c>
      <c r="F3255">
        <v>8.17</v>
      </c>
      <c r="G3255">
        <v>0</v>
      </c>
    </row>
    <row r="3256" spans="1:7" hidden="1">
      <c r="A3256">
        <v>251</v>
      </c>
      <c r="B3256" t="s">
        <v>1219</v>
      </c>
      <c r="C3256" t="s">
        <v>963</v>
      </c>
      <c r="D3256">
        <v>4.04</v>
      </c>
      <c r="E3256">
        <v>18.13</v>
      </c>
      <c r="F3256">
        <v>10.46</v>
      </c>
      <c r="G3256">
        <v>0</v>
      </c>
    </row>
    <row r="3257" spans="1:7" hidden="1">
      <c r="A3257">
        <v>251</v>
      </c>
      <c r="B3257" t="s">
        <v>1219</v>
      </c>
      <c r="C3257" t="s">
        <v>964</v>
      </c>
      <c r="D3257">
        <v>0.2</v>
      </c>
      <c r="E3257">
        <v>21.87</v>
      </c>
      <c r="F3257">
        <v>0.64</v>
      </c>
      <c r="G3257">
        <v>0</v>
      </c>
    </row>
    <row r="3258" spans="1:7" hidden="1">
      <c r="A3258">
        <v>251</v>
      </c>
      <c r="B3258" t="s">
        <v>1219</v>
      </c>
      <c r="C3258" t="s">
        <v>965</v>
      </c>
      <c r="D3258">
        <v>2.77</v>
      </c>
      <c r="E3258">
        <v>24.75</v>
      </c>
      <c r="F3258">
        <v>9.7899999999999991</v>
      </c>
      <c r="G3258">
        <v>0</v>
      </c>
    </row>
    <row r="3259" spans="1:7">
      <c r="A3259">
        <v>251</v>
      </c>
      <c r="B3259" t="s">
        <v>1219</v>
      </c>
      <c r="C3259" t="s">
        <v>24</v>
      </c>
      <c r="D3259">
        <v>29.88</v>
      </c>
      <c r="E3259">
        <v>19.71</v>
      </c>
      <c r="F3259">
        <v>84.14</v>
      </c>
      <c r="G3259">
        <v>0</v>
      </c>
    </row>
    <row r="3260" spans="1:7" hidden="1">
      <c r="A3260">
        <v>251</v>
      </c>
      <c r="B3260" t="s">
        <v>1219</v>
      </c>
      <c r="C3260" t="s">
        <v>966</v>
      </c>
      <c r="D3260">
        <v>0</v>
      </c>
      <c r="E3260">
        <v>18.05</v>
      </c>
      <c r="F3260">
        <v>0</v>
      </c>
      <c r="G3260">
        <v>0</v>
      </c>
    </row>
    <row r="3261" spans="1:7" hidden="1">
      <c r="A3261">
        <v>251</v>
      </c>
      <c r="B3261" t="s">
        <v>1219</v>
      </c>
      <c r="C3261" t="s">
        <v>967</v>
      </c>
      <c r="D3261">
        <v>1.97</v>
      </c>
      <c r="E3261">
        <v>17.91</v>
      </c>
      <c r="F3261">
        <v>5.05</v>
      </c>
      <c r="G3261">
        <v>0</v>
      </c>
    </row>
    <row r="3262" spans="1:7" hidden="1">
      <c r="A3262">
        <v>251</v>
      </c>
      <c r="B3262" t="s">
        <v>1219</v>
      </c>
      <c r="C3262" t="s">
        <v>968</v>
      </c>
      <c r="D3262">
        <v>3.97</v>
      </c>
      <c r="E3262">
        <v>18.09</v>
      </c>
      <c r="F3262">
        <v>10.25</v>
      </c>
      <c r="G3262">
        <v>0</v>
      </c>
    </row>
    <row r="3263" spans="1:7" hidden="1">
      <c r="A3263">
        <v>251</v>
      </c>
      <c r="B3263" t="s">
        <v>1219</v>
      </c>
      <c r="C3263" t="s">
        <v>969</v>
      </c>
      <c r="D3263">
        <v>0.18</v>
      </c>
      <c r="E3263">
        <v>24.75</v>
      </c>
      <c r="F3263">
        <v>0.62</v>
      </c>
      <c r="G3263">
        <v>0</v>
      </c>
    </row>
    <row r="3264" spans="1:7" hidden="1">
      <c r="A3264">
        <v>251</v>
      </c>
      <c r="B3264" t="s">
        <v>1219</v>
      </c>
      <c r="C3264" t="s">
        <v>970</v>
      </c>
      <c r="D3264">
        <v>0.98</v>
      </c>
      <c r="E3264">
        <v>24.75</v>
      </c>
      <c r="F3264">
        <v>3.45</v>
      </c>
      <c r="G3264">
        <v>0</v>
      </c>
    </row>
    <row r="3265" spans="1:7" hidden="1">
      <c r="A3265">
        <v>252</v>
      </c>
      <c r="B3265" t="s">
        <v>27</v>
      </c>
      <c r="C3265" t="s">
        <v>959</v>
      </c>
      <c r="D3265">
        <v>8.35</v>
      </c>
      <c r="E3265">
        <v>18.309999999999999</v>
      </c>
      <c r="F3265">
        <v>21.84</v>
      </c>
      <c r="G3265">
        <v>0.01</v>
      </c>
    </row>
    <row r="3266" spans="1:7" hidden="1">
      <c r="A3266">
        <v>252</v>
      </c>
      <c r="B3266" t="s">
        <v>27</v>
      </c>
      <c r="C3266" t="s">
        <v>960</v>
      </c>
      <c r="D3266">
        <v>7.98</v>
      </c>
      <c r="E3266">
        <v>18.399999999999999</v>
      </c>
      <c r="F3266">
        <v>20.97</v>
      </c>
      <c r="G3266">
        <v>0.01</v>
      </c>
    </row>
    <row r="3267" spans="1:7" hidden="1">
      <c r="A3267">
        <v>252</v>
      </c>
      <c r="B3267" t="s">
        <v>27</v>
      </c>
      <c r="C3267" t="s">
        <v>961</v>
      </c>
      <c r="D3267">
        <v>3.94</v>
      </c>
      <c r="E3267">
        <v>20.059999999999999</v>
      </c>
      <c r="F3267">
        <v>11.29</v>
      </c>
      <c r="G3267">
        <v>0</v>
      </c>
    </row>
    <row r="3268" spans="1:7" hidden="1">
      <c r="A3268">
        <v>252</v>
      </c>
      <c r="B3268" t="s">
        <v>27</v>
      </c>
      <c r="C3268" t="s">
        <v>962</v>
      </c>
      <c r="D3268">
        <v>2.12</v>
      </c>
      <c r="E3268">
        <v>24.72</v>
      </c>
      <c r="F3268">
        <v>7.48</v>
      </c>
      <c r="G3268">
        <v>0</v>
      </c>
    </row>
    <row r="3269" spans="1:7" hidden="1">
      <c r="A3269">
        <v>252</v>
      </c>
      <c r="B3269" t="s">
        <v>27</v>
      </c>
      <c r="C3269" t="s">
        <v>963</v>
      </c>
      <c r="D3269">
        <v>3.71</v>
      </c>
      <c r="E3269">
        <v>18.13</v>
      </c>
      <c r="F3269">
        <v>9.6199999999999992</v>
      </c>
      <c r="G3269">
        <v>0</v>
      </c>
    </row>
    <row r="3270" spans="1:7" hidden="1">
      <c r="A3270">
        <v>252</v>
      </c>
      <c r="B3270" t="s">
        <v>27</v>
      </c>
      <c r="C3270" t="s">
        <v>964</v>
      </c>
      <c r="D3270">
        <v>0.23</v>
      </c>
      <c r="E3270">
        <v>21.87</v>
      </c>
      <c r="F3270">
        <v>0.71</v>
      </c>
      <c r="G3270">
        <v>0</v>
      </c>
    </row>
    <row r="3271" spans="1:7" hidden="1">
      <c r="A3271">
        <v>252</v>
      </c>
      <c r="B3271" t="s">
        <v>27</v>
      </c>
      <c r="C3271" t="s">
        <v>965</v>
      </c>
      <c r="D3271">
        <v>2.56</v>
      </c>
      <c r="E3271">
        <v>24.75</v>
      </c>
      <c r="F3271">
        <v>9.0500000000000007</v>
      </c>
      <c r="G3271">
        <v>0</v>
      </c>
    </row>
    <row r="3272" spans="1:7">
      <c r="A3272">
        <v>252</v>
      </c>
      <c r="B3272" t="s">
        <v>27</v>
      </c>
      <c r="C3272" t="s">
        <v>24</v>
      </c>
      <c r="D3272">
        <v>28.89</v>
      </c>
      <c r="E3272">
        <v>19.62</v>
      </c>
      <c r="F3272">
        <v>80.959999999999994</v>
      </c>
      <c r="G3272">
        <v>0.01</v>
      </c>
    </row>
    <row r="3273" spans="1:7" hidden="1">
      <c r="A3273">
        <v>252</v>
      </c>
      <c r="B3273" t="s">
        <v>27</v>
      </c>
      <c r="C3273" t="s">
        <v>966</v>
      </c>
      <c r="D3273">
        <v>0</v>
      </c>
      <c r="E3273">
        <v>18.05</v>
      </c>
      <c r="F3273">
        <v>0</v>
      </c>
      <c r="G3273">
        <v>0</v>
      </c>
    </row>
    <row r="3274" spans="1:7" hidden="1">
      <c r="A3274">
        <v>252</v>
      </c>
      <c r="B3274" t="s">
        <v>27</v>
      </c>
      <c r="C3274" t="s">
        <v>967</v>
      </c>
      <c r="D3274">
        <v>0.82</v>
      </c>
      <c r="E3274">
        <v>17.91</v>
      </c>
      <c r="F3274">
        <v>2.1</v>
      </c>
      <c r="G3274">
        <v>0</v>
      </c>
    </row>
    <row r="3275" spans="1:7" hidden="1">
      <c r="A3275">
        <v>252</v>
      </c>
      <c r="B3275" t="s">
        <v>27</v>
      </c>
      <c r="C3275" t="s">
        <v>968</v>
      </c>
      <c r="D3275">
        <v>2.2599999999999998</v>
      </c>
      <c r="E3275">
        <v>18.09</v>
      </c>
      <c r="F3275">
        <v>5.85</v>
      </c>
      <c r="G3275">
        <v>0</v>
      </c>
    </row>
    <row r="3276" spans="1:7" hidden="1">
      <c r="A3276">
        <v>252</v>
      </c>
      <c r="B3276" t="s">
        <v>27</v>
      </c>
      <c r="C3276" t="s">
        <v>969</v>
      </c>
      <c r="D3276">
        <v>0.17</v>
      </c>
      <c r="E3276">
        <v>24.75</v>
      </c>
      <c r="F3276">
        <v>0.6</v>
      </c>
      <c r="G3276">
        <v>0</v>
      </c>
    </row>
    <row r="3277" spans="1:7" hidden="1">
      <c r="A3277">
        <v>252</v>
      </c>
      <c r="B3277" t="s">
        <v>27</v>
      </c>
      <c r="C3277" t="s">
        <v>970</v>
      </c>
      <c r="D3277">
        <v>0.57999999999999996</v>
      </c>
      <c r="E3277">
        <v>24.75</v>
      </c>
      <c r="F3277">
        <v>2.0699999999999998</v>
      </c>
      <c r="G3277">
        <v>0</v>
      </c>
    </row>
    <row r="3278" spans="1:7" hidden="1">
      <c r="A3278">
        <v>253</v>
      </c>
      <c r="B3278" t="s">
        <v>29</v>
      </c>
      <c r="C3278" t="s">
        <v>959</v>
      </c>
      <c r="D3278">
        <v>8.6</v>
      </c>
      <c r="E3278">
        <v>18.309999999999999</v>
      </c>
      <c r="F3278">
        <v>22.5</v>
      </c>
      <c r="G3278">
        <v>0</v>
      </c>
    </row>
    <row r="3279" spans="1:7" hidden="1">
      <c r="A3279">
        <v>253</v>
      </c>
      <c r="B3279" t="s">
        <v>29</v>
      </c>
      <c r="C3279" t="s">
        <v>960</v>
      </c>
      <c r="D3279">
        <v>9.14</v>
      </c>
      <c r="E3279">
        <v>18.399999999999999</v>
      </c>
      <c r="F3279">
        <v>24.01</v>
      </c>
      <c r="G3279">
        <v>0</v>
      </c>
    </row>
    <row r="3280" spans="1:7" hidden="1">
      <c r="A3280">
        <v>253</v>
      </c>
      <c r="B3280" t="s">
        <v>29</v>
      </c>
      <c r="C3280" t="s">
        <v>961</v>
      </c>
      <c r="D3280">
        <v>2.76</v>
      </c>
      <c r="E3280">
        <v>20.059999999999999</v>
      </c>
      <c r="F3280">
        <v>7.91</v>
      </c>
      <c r="G3280">
        <v>0</v>
      </c>
    </row>
    <row r="3281" spans="1:7" hidden="1">
      <c r="A3281">
        <v>253</v>
      </c>
      <c r="B3281" t="s">
        <v>29</v>
      </c>
      <c r="C3281" t="s">
        <v>962</v>
      </c>
      <c r="D3281">
        <v>2.06</v>
      </c>
      <c r="E3281">
        <v>24.72</v>
      </c>
      <c r="F3281">
        <v>7.28</v>
      </c>
      <c r="G3281">
        <v>0</v>
      </c>
    </row>
    <row r="3282" spans="1:7" hidden="1">
      <c r="A3282">
        <v>253</v>
      </c>
      <c r="B3282" t="s">
        <v>29</v>
      </c>
      <c r="C3282" t="s">
        <v>963</v>
      </c>
      <c r="D3282">
        <v>2.73</v>
      </c>
      <c r="E3282">
        <v>18.13</v>
      </c>
      <c r="F3282">
        <v>7.07</v>
      </c>
      <c r="G3282">
        <v>0</v>
      </c>
    </row>
    <row r="3283" spans="1:7" hidden="1">
      <c r="A3283">
        <v>253</v>
      </c>
      <c r="B3283" t="s">
        <v>29</v>
      </c>
      <c r="C3283" t="s">
        <v>964</v>
      </c>
      <c r="D3283">
        <v>0.15</v>
      </c>
      <c r="E3283">
        <v>21.87</v>
      </c>
      <c r="F3283">
        <v>0.48</v>
      </c>
      <c r="G3283">
        <v>0</v>
      </c>
    </row>
    <row r="3284" spans="1:7" hidden="1">
      <c r="A3284">
        <v>253</v>
      </c>
      <c r="B3284" t="s">
        <v>29</v>
      </c>
      <c r="C3284" t="s">
        <v>965</v>
      </c>
      <c r="D3284">
        <v>1.85</v>
      </c>
      <c r="E3284">
        <v>24.75</v>
      </c>
      <c r="F3284">
        <v>6.54</v>
      </c>
      <c r="G3284">
        <v>0</v>
      </c>
    </row>
    <row r="3285" spans="1:7">
      <c r="A3285">
        <v>253</v>
      </c>
      <c r="B3285" t="s">
        <v>29</v>
      </c>
      <c r="C3285" t="s">
        <v>24</v>
      </c>
      <c r="D3285">
        <v>27.29</v>
      </c>
      <c r="E3285">
        <v>19.440000000000001</v>
      </c>
      <c r="F3285">
        <v>75.8</v>
      </c>
      <c r="G3285">
        <v>0</v>
      </c>
    </row>
    <row r="3286" spans="1:7" hidden="1">
      <c r="A3286">
        <v>253</v>
      </c>
      <c r="B3286" t="s">
        <v>29</v>
      </c>
      <c r="C3286" t="s">
        <v>966</v>
      </c>
      <c r="D3286">
        <v>0</v>
      </c>
      <c r="E3286">
        <v>18.05</v>
      </c>
      <c r="F3286">
        <v>0</v>
      </c>
      <c r="G3286">
        <v>0</v>
      </c>
    </row>
    <row r="3287" spans="1:7" hidden="1">
      <c r="A3287">
        <v>253</v>
      </c>
      <c r="B3287" t="s">
        <v>29</v>
      </c>
      <c r="C3287" t="s">
        <v>967</v>
      </c>
      <c r="D3287">
        <v>1.1000000000000001</v>
      </c>
      <c r="E3287">
        <v>17.91</v>
      </c>
      <c r="F3287">
        <v>2.81</v>
      </c>
      <c r="G3287">
        <v>0</v>
      </c>
    </row>
    <row r="3288" spans="1:7" hidden="1">
      <c r="A3288">
        <v>253</v>
      </c>
      <c r="B3288" t="s">
        <v>29</v>
      </c>
      <c r="C3288" t="s">
        <v>968</v>
      </c>
      <c r="D3288">
        <v>0.74</v>
      </c>
      <c r="E3288">
        <v>18.09</v>
      </c>
      <c r="F3288">
        <v>1.91</v>
      </c>
      <c r="G3288">
        <v>0</v>
      </c>
    </row>
    <row r="3289" spans="1:7" hidden="1">
      <c r="A3289">
        <v>253</v>
      </c>
      <c r="B3289" t="s">
        <v>29</v>
      </c>
      <c r="C3289" t="s">
        <v>969</v>
      </c>
      <c r="D3289">
        <v>0.16</v>
      </c>
      <c r="E3289">
        <v>24.75</v>
      </c>
      <c r="F3289">
        <v>0.56999999999999995</v>
      </c>
      <c r="G3289">
        <v>0</v>
      </c>
    </row>
    <row r="3290" spans="1:7" hidden="1">
      <c r="A3290">
        <v>253</v>
      </c>
      <c r="B3290" t="s">
        <v>29</v>
      </c>
      <c r="C3290" t="s">
        <v>970</v>
      </c>
      <c r="D3290">
        <v>0.24</v>
      </c>
      <c r="E3290">
        <v>24.75</v>
      </c>
      <c r="F3290">
        <v>0.85</v>
      </c>
      <c r="G3290">
        <v>0</v>
      </c>
    </row>
    <row r="3291" spans="1:7" hidden="1">
      <c r="A3291">
        <v>254</v>
      </c>
      <c r="B3291" t="s">
        <v>1220</v>
      </c>
      <c r="C3291" t="s">
        <v>959</v>
      </c>
      <c r="D3291">
        <v>8.41</v>
      </c>
      <c r="E3291">
        <v>18.309999999999999</v>
      </c>
      <c r="F3291">
        <v>21.99</v>
      </c>
      <c r="G3291">
        <v>0</v>
      </c>
    </row>
    <row r="3292" spans="1:7" hidden="1">
      <c r="A3292">
        <v>254</v>
      </c>
      <c r="B3292" t="s">
        <v>1220</v>
      </c>
      <c r="C3292" t="s">
        <v>960</v>
      </c>
      <c r="D3292">
        <v>8.0500000000000007</v>
      </c>
      <c r="E3292">
        <v>18.399999999999999</v>
      </c>
      <c r="F3292">
        <v>21.14</v>
      </c>
      <c r="G3292">
        <v>0.01</v>
      </c>
    </row>
    <row r="3293" spans="1:7" hidden="1">
      <c r="A3293">
        <v>254</v>
      </c>
      <c r="B3293" t="s">
        <v>1220</v>
      </c>
      <c r="C3293" t="s">
        <v>961</v>
      </c>
      <c r="D3293">
        <v>3.64</v>
      </c>
      <c r="E3293">
        <v>20.059999999999999</v>
      </c>
      <c r="F3293">
        <v>10.44</v>
      </c>
      <c r="G3293">
        <v>0</v>
      </c>
    </row>
    <row r="3294" spans="1:7" hidden="1">
      <c r="A3294">
        <v>254</v>
      </c>
      <c r="B3294" t="s">
        <v>1220</v>
      </c>
      <c r="C3294" t="s">
        <v>962</v>
      </c>
      <c r="D3294">
        <v>2.15</v>
      </c>
      <c r="E3294">
        <v>24.72</v>
      </c>
      <c r="F3294">
        <v>7.59</v>
      </c>
      <c r="G3294">
        <v>0</v>
      </c>
    </row>
    <row r="3295" spans="1:7" hidden="1">
      <c r="A3295">
        <v>254</v>
      </c>
      <c r="B3295" t="s">
        <v>1220</v>
      </c>
      <c r="C3295" t="s">
        <v>963</v>
      </c>
      <c r="D3295">
        <v>3.46</v>
      </c>
      <c r="E3295">
        <v>18.13</v>
      </c>
      <c r="F3295">
        <v>8.9700000000000006</v>
      </c>
      <c r="G3295">
        <v>0</v>
      </c>
    </row>
    <row r="3296" spans="1:7" hidden="1">
      <c r="A3296">
        <v>254</v>
      </c>
      <c r="B3296" t="s">
        <v>1220</v>
      </c>
      <c r="C3296" t="s">
        <v>964</v>
      </c>
      <c r="D3296">
        <v>0.2</v>
      </c>
      <c r="E3296">
        <v>21.87</v>
      </c>
      <c r="F3296">
        <v>0.64</v>
      </c>
      <c r="G3296">
        <v>0</v>
      </c>
    </row>
    <row r="3297" spans="1:7" hidden="1">
      <c r="A3297">
        <v>254</v>
      </c>
      <c r="B3297" t="s">
        <v>1220</v>
      </c>
      <c r="C3297" t="s">
        <v>965</v>
      </c>
      <c r="D3297">
        <v>2.36</v>
      </c>
      <c r="E3297">
        <v>24.75</v>
      </c>
      <c r="F3297">
        <v>8.34</v>
      </c>
      <c r="G3297">
        <v>0</v>
      </c>
    </row>
    <row r="3298" spans="1:7">
      <c r="A3298">
        <v>254</v>
      </c>
      <c r="B3298" t="s">
        <v>1220</v>
      </c>
      <c r="C3298" t="s">
        <v>24</v>
      </c>
      <c r="D3298">
        <v>28.27</v>
      </c>
      <c r="E3298">
        <v>19.59</v>
      </c>
      <c r="F3298">
        <v>79.11</v>
      </c>
      <c r="G3298">
        <v>0.02</v>
      </c>
    </row>
    <row r="3299" spans="1:7" hidden="1">
      <c r="A3299">
        <v>254</v>
      </c>
      <c r="B3299" t="s">
        <v>1220</v>
      </c>
      <c r="C3299" t="s">
        <v>966</v>
      </c>
      <c r="D3299">
        <v>0.03</v>
      </c>
      <c r="E3299">
        <v>18.05</v>
      </c>
      <c r="F3299">
        <v>7.0000000000000007E-2</v>
      </c>
      <c r="G3299">
        <v>0.02</v>
      </c>
    </row>
    <row r="3300" spans="1:7" hidden="1">
      <c r="A3300">
        <v>254</v>
      </c>
      <c r="B3300" t="s">
        <v>1220</v>
      </c>
      <c r="C3300" t="s">
        <v>967</v>
      </c>
      <c r="D3300">
        <v>0.89</v>
      </c>
      <c r="E3300">
        <v>17.91</v>
      </c>
      <c r="F3300">
        <v>2.29</v>
      </c>
      <c r="G3300">
        <v>0</v>
      </c>
    </row>
    <row r="3301" spans="1:7" hidden="1">
      <c r="A3301">
        <v>254</v>
      </c>
      <c r="B3301" t="s">
        <v>1220</v>
      </c>
      <c r="C3301" t="s">
        <v>968</v>
      </c>
      <c r="D3301">
        <v>1.97</v>
      </c>
      <c r="E3301">
        <v>18.09</v>
      </c>
      <c r="F3301">
        <v>5.08</v>
      </c>
      <c r="G3301">
        <v>0</v>
      </c>
    </row>
    <row r="3302" spans="1:7" hidden="1">
      <c r="A3302">
        <v>254</v>
      </c>
      <c r="B3302" t="s">
        <v>1220</v>
      </c>
      <c r="C3302" t="s">
        <v>969</v>
      </c>
      <c r="D3302">
        <v>0.14000000000000001</v>
      </c>
      <c r="E3302">
        <v>24.75</v>
      </c>
      <c r="F3302">
        <v>0.5</v>
      </c>
      <c r="G3302">
        <v>0</v>
      </c>
    </row>
    <row r="3303" spans="1:7" hidden="1">
      <c r="A3303">
        <v>254</v>
      </c>
      <c r="B3303" t="s">
        <v>1220</v>
      </c>
      <c r="C3303" t="s">
        <v>970</v>
      </c>
      <c r="D3303">
        <v>0.5</v>
      </c>
      <c r="E3303">
        <v>24.75</v>
      </c>
      <c r="F3303">
        <v>1.78</v>
      </c>
      <c r="G3303">
        <v>0</v>
      </c>
    </row>
    <row r="3304" spans="1:7" hidden="1">
      <c r="A3304">
        <v>255</v>
      </c>
      <c r="B3304" t="s">
        <v>1221</v>
      </c>
      <c r="C3304" t="s">
        <v>959</v>
      </c>
      <c r="D3304">
        <v>8.61</v>
      </c>
      <c r="E3304">
        <v>18.309999999999999</v>
      </c>
      <c r="F3304">
        <v>22.53</v>
      </c>
      <c r="G3304">
        <v>0</v>
      </c>
    </row>
    <row r="3305" spans="1:7" hidden="1">
      <c r="A3305">
        <v>255</v>
      </c>
      <c r="B3305" t="s">
        <v>1221</v>
      </c>
      <c r="C3305" t="s">
        <v>960</v>
      </c>
      <c r="D3305">
        <v>6.87</v>
      </c>
      <c r="E3305">
        <v>18.399999999999999</v>
      </c>
      <c r="F3305">
        <v>18.07</v>
      </c>
      <c r="G3305">
        <v>0.01</v>
      </c>
    </row>
    <row r="3306" spans="1:7" hidden="1">
      <c r="A3306">
        <v>255</v>
      </c>
      <c r="B3306" t="s">
        <v>1221</v>
      </c>
      <c r="C3306" t="s">
        <v>961</v>
      </c>
      <c r="D3306">
        <v>5.24</v>
      </c>
      <c r="E3306">
        <v>20.059999999999999</v>
      </c>
      <c r="F3306">
        <v>15.02</v>
      </c>
      <c r="G3306">
        <v>0</v>
      </c>
    </row>
    <row r="3307" spans="1:7" hidden="1">
      <c r="A3307">
        <v>255</v>
      </c>
      <c r="B3307" t="s">
        <v>1221</v>
      </c>
      <c r="C3307" t="s">
        <v>962</v>
      </c>
      <c r="D3307">
        <v>2.5499999999999998</v>
      </c>
      <c r="E3307">
        <v>24.72</v>
      </c>
      <c r="F3307">
        <v>9.01</v>
      </c>
      <c r="G3307">
        <v>0</v>
      </c>
    </row>
    <row r="3308" spans="1:7" hidden="1">
      <c r="A3308">
        <v>255</v>
      </c>
      <c r="B3308" t="s">
        <v>1221</v>
      </c>
      <c r="C3308" t="s">
        <v>963</v>
      </c>
      <c r="D3308">
        <v>3.9</v>
      </c>
      <c r="E3308">
        <v>18.13</v>
      </c>
      <c r="F3308">
        <v>10.11</v>
      </c>
      <c r="G3308">
        <v>0</v>
      </c>
    </row>
    <row r="3309" spans="1:7" hidden="1">
      <c r="A3309">
        <v>255</v>
      </c>
      <c r="B3309" t="s">
        <v>1221</v>
      </c>
      <c r="C3309" t="s">
        <v>964</v>
      </c>
      <c r="D3309">
        <v>0.25</v>
      </c>
      <c r="E3309">
        <v>21.87</v>
      </c>
      <c r="F3309">
        <v>0.77</v>
      </c>
      <c r="G3309">
        <v>0</v>
      </c>
    </row>
    <row r="3310" spans="1:7" hidden="1">
      <c r="A3310">
        <v>255</v>
      </c>
      <c r="B3310" t="s">
        <v>1221</v>
      </c>
      <c r="C3310" t="s">
        <v>965</v>
      </c>
      <c r="D3310">
        <v>2.81</v>
      </c>
      <c r="E3310">
        <v>24.75</v>
      </c>
      <c r="F3310">
        <v>9.94</v>
      </c>
      <c r="G3310">
        <v>0</v>
      </c>
    </row>
    <row r="3311" spans="1:7">
      <c r="A3311">
        <v>255</v>
      </c>
      <c r="B3311" t="s">
        <v>1221</v>
      </c>
      <c r="C3311" t="s">
        <v>24</v>
      </c>
      <c r="D3311">
        <v>30.24</v>
      </c>
      <c r="E3311">
        <v>19.78</v>
      </c>
      <c r="F3311">
        <v>85.45</v>
      </c>
      <c r="G3311">
        <v>0.01</v>
      </c>
    </row>
    <row r="3312" spans="1:7" hidden="1">
      <c r="A3312">
        <v>255</v>
      </c>
      <c r="B3312" t="s">
        <v>1221</v>
      </c>
      <c r="C3312" t="s">
        <v>966</v>
      </c>
      <c r="D3312">
        <v>0.02</v>
      </c>
      <c r="E3312">
        <v>18.05</v>
      </c>
      <c r="F3312">
        <v>0.05</v>
      </c>
      <c r="G3312">
        <v>0.02</v>
      </c>
    </row>
    <row r="3313" spans="1:7" hidden="1">
      <c r="A3313">
        <v>255</v>
      </c>
      <c r="B3313" t="s">
        <v>1221</v>
      </c>
      <c r="C3313" t="s">
        <v>967</v>
      </c>
      <c r="D3313">
        <v>1.62</v>
      </c>
      <c r="E3313">
        <v>17.91</v>
      </c>
      <c r="F3313">
        <v>4.1399999999999997</v>
      </c>
      <c r="G3313">
        <v>0</v>
      </c>
    </row>
    <row r="3314" spans="1:7" hidden="1">
      <c r="A3314">
        <v>255</v>
      </c>
      <c r="B3314" t="s">
        <v>1221</v>
      </c>
      <c r="C3314" t="s">
        <v>968</v>
      </c>
      <c r="D3314">
        <v>4.3899999999999997</v>
      </c>
      <c r="E3314">
        <v>18.09</v>
      </c>
      <c r="F3314">
        <v>11.34</v>
      </c>
      <c r="G3314">
        <v>0</v>
      </c>
    </row>
    <row r="3315" spans="1:7" hidden="1">
      <c r="A3315">
        <v>255</v>
      </c>
      <c r="B3315" t="s">
        <v>1221</v>
      </c>
      <c r="C3315" t="s">
        <v>969</v>
      </c>
      <c r="D3315">
        <v>0.13</v>
      </c>
      <c r="E3315">
        <v>24.75</v>
      </c>
      <c r="F3315">
        <v>0.45</v>
      </c>
      <c r="G3315">
        <v>0</v>
      </c>
    </row>
    <row r="3316" spans="1:7" hidden="1">
      <c r="A3316">
        <v>255</v>
      </c>
      <c r="B3316" t="s">
        <v>1221</v>
      </c>
      <c r="C3316" t="s">
        <v>970</v>
      </c>
      <c r="D3316">
        <v>1.01</v>
      </c>
      <c r="E3316">
        <v>24.75</v>
      </c>
      <c r="F3316">
        <v>3.58</v>
      </c>
      <c r="G3316">
        <v>0</v>
      </c>
    </row>
    <row r="3317" spans="1:7" hidden="1">
      <c r="A3317">
        <v>256</v>
      </c>
      <c r="B3317" t="s">
        <v>1222</v>
      </c>
      <c r="C3317" t="s">
        <v>959</v>
      </c>
      <c r="D3317">
        <v>8.34</v>
      </c>
      <c r="E3317">
        <v>18.309999999999999</v>
      </c>
      <c r="F3317">
        <v>21.81</v>
      </c>
      <c r="G3317">
        <v>0</v>
      </c>
    </row>
    <row r="3318" spans="1:7" hidden="1">
      <c r="A3318">
        <v>256</v>
      </c>
      <c r="B3318" t="s">
        <v>1222</v>
      </c>
      <c r="C3318" t="s">
        <v>960</v>
      </c>
      <c r="D3318">
        <v>7.74</v>
      </c>
      <c r="E3318">
        <v>18.399999999999999</v>
      </c>
      <c r="F3318">
        <v>20.34</v>
      </c>
      <c r="G3318">
        <v>0.02</v>
      </c>
    </row>
    <row r="3319" spans="1:7" hidden="1">
      <c r="A3319">
        <v>256</v>
      </c>
      <c r="B3319" t="s">
        <v>1222</v>
      </c>
      <c r="C3319" t="s">
        <v>961</v>
      </c>
      <c r="D3319">
        <v>3.92</v>
      </c>
      <c r="E3319">
        <v>20.059999999999999</v>
      </c>
      <c r="F3319">
        <v>11.25</v>
      </c>
      <c r="G3319">
        <v>0</v>
      </c>
    </row>
    <row r="3320" spans="1:7" hidden="1">
      <c r="A3320">
        <v>256</v>
      </c>
      <c r="B3320" t="s">
        <v>1222</v>
      </c>
      <c r="C3320" t="s">
        <v>962</v>
      </c>
      <c r="D3320">
        <v>2.1</v>
      </c>
      <c r="E3320">
        <v>24.72</v>
      </c>
      <c r="F3320">
        <v>7.42</v>
      </c>
      <c r="G3320">
        <v>0</v>
      </c>
    </row>
    <row r="3321" spans="1:7" hidden="1">
      <c r="A3321">
        <v>256</v>
      </c>
      <c r="B3321" t="s">
        <v>1222</v>
      </c>
      <c r="C3321" t="s">
        <v>963</v>
      </c>
      <c r="D3321">
        <v>3.79</v>
      </c>
      <c r="E3321">
        <v>18.13</v>
      </c>
      <c r="F3321">
        <v>9.81</v>
      </c>
      <c r="G3321">
        <v>0</v>
      </c>
    </row>
    <row r="3322" spans="1:7" hidden="1">
      <c r="A3322">
        <v>256</v>
      </c>
      <c r="B3322" t="s">
        <v>1222</v>
      </c>
      <c r="C3322" t="s">
        <v>964</v>
      </c>
      <c r="D3322">
        <v>0.22</v>
      </c>
      <c r="E3322">
        <v>21.87</v>
      </c>
      <c r="F3322">
        <v>0.7</v>
      </c>
      <c r="G3322">
        <v>0</v>
      </c>
    </row>
    <row r="3323" spans="1:7" hidden="1">
      <c r="A3323">
        <v>256</v>
      </c>
      <c r="B3323" t="s">
        <v>1222</v>
      </c>
      <c r="C3323" t="s">
        <v>965</v>
      </c>
      <c r="D3323">
        <v>2.5499999999999998</v>
      </c>
      <c r="E3323">
        <v>24.75</v>
      </c>
      <c r="F3323">
        <v>9.02</v>
      </c>
      <c r="G3323">
        <v>0</v>
      </c>
    </row>
    <row r="3324" spans="1:7">
      <c r="A3324">
        <v>256</v>
      </c>
      <c r="B3324" t="s">
        <v>1222</v>
      </c>
      <c r="C3324" t="s">
        <v>24</v>
      </c>
      <c r="D3324">
        <v>28.66</v>
      </c>
      <c r="E3324">
        <v>19.62</v>
      </c>
      <c r="F3324">
        <v>80.349999999999994</v>
      </c>
      <c r="G3324">
        <v>0.03</v>
      </c>
    </row>
    <row r="3325" spans="1:7" hidden="1">
      <c r="A3325">
        <v>256</v>
      </c>
      <c r="B3325" t="s">
        <v>1222</v>
      </c>
      <c r="C3325" t="s">
        <v>966</v>
      </c>
      <c r="D3325">
        <v>0.04</v>
      </c>
      <c r="E3325">
        <v>18.05</v>
      </c>
      <c r="F3325">
        <v>0.11</v>
      </c>
      <c r="G3325">
        <v>0.04</v>
      </c>
    </row>
    <row r="3326" spans="1:7" hidden="1">
      <c r="A3326">
        <v>256</v>
      </c>
      <c r="B3326" t="s">
        <v>1222</v>
      </c>
      <c r="C3326" t="s">
        <v>967</v>
      </c>
      <c r="D3326">
        <v>0.67</v>
      </c>
      <c r="E3326">
        <v>17.91</v>
      </c>
      <c r="F3326">
        <v>1.73</v>
      </c>
      <c r="G3326">
        <v>0</v>
      </c>
    </row>
    <row r="3327" spans="1:7" hidden="1">
      <c r="A3327">
        <v>256</v>
      </c>
      <c r="B3327" t="s">
        <v>1222</v>
      </c>
      <c r="C3327" t="s">
        <v>968</v>
      </c>
      <c r="D3327">
        <v>2.2799999999999998</v>
      </c>
      <c r="E3327">
        <v>18.09</v>
      </c>
      <c r="F3327">
        <v>5.9</v>
      </c>
      <c r="G3327">
        <v>0</v>
      </c>
    </row>
    <row r="3328" spans="1:7" hidden="1">
      <c r="A3328">
        <v>256</v>
      </c>
      <c r="B3328" t="s">
        <v>1222</v>
      </c>
      <c r="C3328" t="s">
        <v>969</v>
      </c>
      <c r="D3328">
        <v>0.13</v>
      </c>
      <c r="E3328">
        <v>24.75</v>
      </c>
      <c r="F3328">
        <v>0.45</v>
      </c>
      <c r="G3328">
        <v>0</v>
      </c>
    </row>
    <row r="3329" spans="1:7" hidden="1">
      <c r="A3329">
        <v>256</v>
      </c>
      <c r="B3329" t="s">
        <v>1222</v>
      </c>
      <c r="C3329" t="s">
        <v>970</v>
      </c>
      <c r="D3329">
        <v>0.56999999999999995</v>
      </c>
      <c r="E3329">
        <v>24.75</v>
      </c>
      <c r="F3329">
        <v>2.0099999999999998</v>
      </c>
      <c r="G3329">
        <v>0</v>
      </c>
    </row>
    <row r="3330" spans="1:7" hidden="1">
      <c r="A3330">
        <v>257</v>
      </c>
      <c r="B3330" t="s">
        <v>1223</v>
      </c>
      <c r="C3330" t="s">
        <v>959</v>
      </c>
      <c r="D3330">
        <v>8.4700000000000006</v>
      </c>
      <c r="E3330">
        <v>18.309999999999999</v>
      </c>
      <c r="F3330">
        <v>22.15</v>
      </c>
      <c r="G3330">
        <v>0</v>
      </c>
    </row>
    <row r="3331" spans="1:7" hidden="1">
      <c r="A3331">
        <v>257</v>
      </c>
      <c r="B3331" t="s">
        <v>1223</v>
      </c>
      <c r="C3331" t="s">
        <v>960</v>
      </c>
      <c r="D3331">
        <v>8.89</v>
      </c>
      <c r="E3331">
        <v>18.399999999999999</v>
      </c>
      <c r="F3331">
        <v>23.35</v>
      </c>
      <c r="G3331">
        <v>0</v>
      </c>
    </row>
    <row r="3332" spans="1:7" hidden="1">
      <c r="A3332">
        <v>257</v>
      </c>
      <c r="B3332" t="s">
        <v>1223</v>
      </c>
      <c r="C3332" t="s">
        <v>961</v>
      </c>
      <c r="D3332">
        <v>2.72</v>
      </c>
      <c r="E3332">
        <v>20.059999999999999</v>
      </c>
      <c r="F3332">
        <v>7.81</v>
      </c>
      <c r="G3332">
        <v>0</v>
      </c>
    </row>
    <row r="3333" spans="1:7" hidden="1">
      <c r="A3333">
        <v>257</v>
      </c>
      <c r="B3333" t="s">
        <v>1223</v>
      </c>
      <c r="C3333" t="s">
        <v>962</v>
      </c>
      <c r="D3333">
        <v>2.11</v>
      </c>
      <c r="E3333">
        <v>24.72</v>
      </c>
      <c r="F3333">
        <v>7.47</v>
      </c>
      <c r="G3333">
        <v>0</v>
      </c>
    </row>
    <row r="3334" spans="1:7" hidden="1">
      <c r="A3334">
        <v>257</v>
      </c>
      <c r="B3334" t="s">
        <v>1223</v>
      </c>
      <c r="C3334" t="s">
        <v>963</v>
      </c>
      <c r="D3334">
        <v>2.79</v>
      </c>
      <c r="E3334">
        <v>18.13</v>
      </c>
      <c r="F3334">
        <v>7.23</v>
      </c>
      <c r="G3334">
        <v>0</v>
      </c>
    </row>
    <row r="3335" spans="1:7" hidden="1">
      <c r="A3335">
        <v>257</v>
      </c>
      <c r="B3335" t="s">
        <v>1223</v>
      </c>
      <c r="C3335" t="s">
        <v>964</v>
      </c>
      <c r="D3335">
        <v>0.16</v>
      </c>
      <c r="E3335">
        <v>21.87</v>
      </c>
      <c r="F3335">
        <v>0.49</v>
      </c>
      <c r="G3335">
        <v>0</v>
      </c>
    </row>
    <row r="3336" spans="1:7" hidden="1">
      <c r="A3336">
        <v>257</v>
      </c>
      <c r="B3336" t="s">
        <v>1223</v>
      </c>
      <c r="C3336" t="s">
        <v>965</v>
      </c>
      <c r="D3336">
        <v>1.91</v>
      </c>
      <c r="E3336">
        <v>24.75</v>
      </c>
      <c r="F3336">
        <v>6.77</v>
      </c>
      <c r="G3336">
        <v>0</v>
      </c>
    </row>
    <row r="3337" spans="1:7">
      <c r="A3337">
        <v>257</v>
      </c>
      <c r="B3337" t="s">
        <v>1223</v>
      </c>
      <c r="C3337" t="s">
        <v>24</v>
      </c>
      <c r="D3337">
        <v>27.05</v>
      </c>
      <c r="E3337">
        <v>19.47</v>
      </c>
      <c r="F3337">
        <v>75.27</v>
      </c>
      <c r="G3337">
        <v>0</v>
      </c>
    </row>
    <row r="3338" spans="1:7" hidden="1">
      <c r="A3338">
        <v>257</v>
      </c>
      <c r="B3338" t="s">
        <v>1223</v>
      </c>
      <c r="C3338" t="s">
        <v>966</v>
      </c>
      <c r="D3338">
        <v>0</v>
      </c>
      <c r="E3338">
        <v>18.05</v>
      </c>
      <c r="F3338">
        <v>0</v>
      </c>
      <c r="G3338">
        <v>0</v>
      </c>
    </row>
    <row r="3339" spans="1:7" hidden="1">
      <c r="A3339">
        <v>257</v>
      </c>
      <c r="B3339" t="s">
        <v>1223</v>
      </c>
      <c r="C3339" t="s">
        <v>967</v>
      </c>
      <c r="D3339">
        <v>1.07</v>
      </c>
      <c r="E3339">
        <v>17.91</v>
      </c>
      <c r="F3339">
        <v>2.73</v>
      </c>
      <c r="G3339">
        <v>0</v>
      </c>
    </row>
    <row r="3340" spans="1:7" hidden="1">
      <c r="A3340">
        <v>257</v>
      </c>
      <c r="B3340" t="s">
        <v>1223</v>
      </c>
      <c r="C3340" t="s">
        <v>968</v>
      </c>
      <c r="D3340">
        <v>0.76</v>
      </c>
      <c r="E3340">
        <v>18.09</v>
      </c>
      <c r="F3340">
        <v>1.96</v>
      </c>
      <c r="G3340">
        <v>0</v>
      </c>
    </row>
    <row r="3341" spans="1:7" hidden="1">
      <c r="A3341">
        <v>257</v>
      </c>
      <c r="B3341" t="s">
        <v>1223</v>
      </c>
      <c r="C3341" t="s">
        <v>969</v>
      </c>
      <c r="D3341">
        <v>0.17</v>
      </c>
      <c r="E3341">
        <v>24.75</v>
      </c>
      <c r="F3341">
        <v>0.6</v>
      </c>
      <c r="G3341">
        <v>0</v>
      </c>
    </row>
    <row r="3342" spans="1:7" hidden="1">
      <c r="A3342">
        <v>257</v>
      </c>
      <c r="B3342" t="s">
        <v>1223</v>
      </c>
      <c r="C3342" t="s">
        <v>970</v>
      </c>
      <c r="D3342">
        <v>0.26</v>
      </c>
      <c r="E3342">
        <v>24.75</v>
      </c>
      <c r="F3342">
        <v>0.91</v>
      </c>
      <c r="G3342">
        <v>0</v>
      </c>
    </row>
    <row r="3343" spans="1:7" hidden="1">
      <c r="A3343">
        <v>258</v>
      </c>
      <c r="B3343" t="s">
        <v>1224</v>
      </c>
      <c r="C3343" t="s">
        <v>959</v>
      </c>
      <c r="D3343">
        <v>2.63</v>
      </c>
      <c r="E3343">
        <v>18.309999999999999</v>
      </c>
      <c r="F3343">
        <v>6.89</v>
      </c>
      <c r="G3343">
        <v>0.97</v>
      </c>
    </row>
    <row r="3344" spans="1:7" hidden="1">
      <c r="A3344">
        <v>258</v>
      </c>
      <c r="B3344" t="s">
        <v>1224</v>
      </c>
      <c r="C3344" t="s">
        <v>960</v>
      </c>
      <c r="D3344">
        <v>2.77</v>
      </c>
      <c r="E3344">
        <v>18.399999999999999</v>
      </c>
      <c r="F3344">
        <v>7.27</v>
      </c>
      <c r="G3344">
        <v>1.72</v>
      </c>
    </row>
    <row r="3345" spans="1:7" hidden="1">
      <c r="A3345">
        <v>258</v>
      </c>
      <c r="B3345" t="s">
        <v>1224</v>
      </c>
      <c r="C3345" t="s">
        <v>961</v>
      </c>
      <c r="D3345">
        <v>2.6</v>
      </c>
      <c r="E3345">
        <v>20.059999999999999</v>
      </c>
      <c r="F3345">
        <v>7.46</v>
      </c>
      <c r="G3345">
        <v>0.94</v>
      </c>
    </row>
    <row r="3346" spans="1:7" hidden="1">
      <c r="A3346">
        <v>258</v>
      </c>
      <c r="B3346" t="s">
        <v>1224</v>
      </c>
      <c r="C3346" t="s">
        <v>962</v>
      </c>
      <c r="D3346">
        <v>0.79</v>
      </c>
      <c r="E3346">
        <v>24.72</v>
      </c>
      <c r="F3346">
        <v>2.78</v>
      </c>
      <c r="G3346">
        <v>0.28000000000000003</v>
      </c>
    </row>
    <row r="3347" spans="1:7" hidden="1">
      <c r="A3347">
        <v>258</v>
      </c>
      <c r="B3347" t="s">
        <v>1224</v>
      </c>
      <c r="C3347" t="s">
        <v>963</v>
      </c>
      <c r="D3347">
        <v>1.92</v>
      </c>
      <c r="E3347">
        <v>18.13</v>
      </c>
      <c r="F3347">
        <v>4.9800000000000004</v>
      </c>
      <c r="G3347">
        <v>0.65</v>
      </c>
    </row>
    <row r="3348" spans="1:7" hidden="1">
      <c r="A3348">
        <v>258</v>
      </c>
      <c r="B3348" t="s">
        <v>1224</v>
      </c>
      <c r="C3348" t="s">
        <v>964</v>
      </c>
      <c r="D3348">
        <v>0.16</v>
      </c>
      <c r="E3348">
        <v>21.87</v>
      </c>
      <c r="F3348">
        <v>0.51</v>
      </c>
      <c r="G3348">
        <v>0.01</v>
      </c>
    </row>
    <row r="3349" spans="1:7" hidden="1">
      <c r="A3349">
        <v>258</v>
      </c>
      <c r="B3349" t="s">
        <v>1224</v>
      </c>
      <c r="C3349" t="s">
        <v>965</v>
      </c>
      <c r="D3349">
        <v>1.86</v>
      </c>
      <c r="E3349">
        <v>24.75</v>
      </c>
      <c r="F3349">
        <v>6.58</v>
      </c>
      <c r="G3349">
        <v>0.39</v>
      </c>
    </row>
    <row r="3350" spans="1:7">
      <c r="A3350">
        <v>258</v>
      </c>
      <c r="B3350" t="s">
        <v>1224</v>
      </c>
      <c r="C3350" t="s">
        <v>24</v>
      </c>
      <c r="D3350">
        <v>12.73</v>
      </c>
      <c r="E3350">
        <v>20.04</v>
      </c>
      <c r="F3350">
        <v>36.46</v>
      </c>
      <c r="G3350">
        <v>4.96</v>
      </c>
    </row>
    <row r="3351" spans="1:7" hidden="1">
      <c r="A3351">
        <v>258</v>
      </c>
      <c r="B3351" t="s">
        <v>1224</v>
      </c>
      <c r="C3351" t="s">
        <v>966</v>
      </c>
      <c r="D3351">
        <v>4.12</v>
      </c>
      <c r="E3351">
        <v>18.05</v>
      </c>
      <c r="F3351">
        <v>10.63</v>
      </c>
      <c r="G3351">
        <v>3.61</v>
      </c>
    </row>
    <row r="3352" spans="1:7" hidden="1">
      <c r="A3352">
        <v>258</v>
      </c>
      <c r="B3352" t="s">
        <v>1224</v>
      </c>
      <c r="C3352" t="s">
        <v>967</v>
      </c>
      <c r="D3352">
        <v>0.03</v>
      </c>
      <c r="E3352">
        <v>17.91</v>
      </c>
      <c r="F3352">
        <v>0.08</v>
      </c>
      <c r="G3352">
        <v>0.01</v>
      </c>
    </row>
    <row r="3353" spans="1:7" hidden="1">
      <c r="A3353">
        <v>258</v>
      </c>
      <c r="B3353" t="s">
        <v>1224</v>
      </c>
      <c r="C3353" t="s">
        <v>968</v>
      </c>
      <c r="D3353">
        <v>0.71</v>
      </c>
      <c r="E3353">
        <v>18.09</v>
      </c>
      <c r="F3353">
        <v>1.83</v>
      </c>
      <c r="G3353">
        <v>0.3</v>
      </c>
    </row>
    <row r="3354" spans="1:7" hidden="1">
      <c r="A3354">
        <v>258</v>
      </c>
      <c r="B3354" t="s">
        <v>1224</v>
      </c>
      <c r="C3354" t="s">
        <v>969</v>
      </c>
      <c r="D3354">
        <v>0.7</v>
      </c>
      <c r="E3354">
        <v>24.75</v>
      </c>
      <c r="F3354">
        <v>2.46</v>
      </c>
      <c r="G3354">
        <v>0.03</v>
      </c>
    </row>
    <row r="3355" spans="1:7" hidden="1">
      <c r="A3355">
        <v>258</v>
      </c>
      <c r="B3355" t="s">
        <v>1224</v>
      </c>
      <c r="C3355" t="s">
        <v>970</v>
      </c>
      <c r="D3355">
        <v>0.27</v>
      </c>
      <c r="E3355">
        <v>24.75</v>
      </c>
      <c r="F3355">
        <v>0.96</v>
      </c>
      <c r="G3355">
        <v>0.06</v>
      </c>
    </row>
    <row r="3356" spans="1:7" hidden="1">
      <c r="A3356">
        <v>259</v>
      </c>
      <c r="B3356" t="s">
        <v>1225</v>
      </c>
      <c r="C3356" t="s">
        <v>959</v>
      </c>
      <c r="D3356">
        <v>2.2400000000000002</v>
      </c>
      <c r="E3356">
        <v>18.309999999999999</v>
      </c>
      <c r="F3356">
        <v>5.87</v>
      </c>
      <c r="G3356">
        <v>0.87</v>
      </c>
    </row>
    <row r="3357" spans="1:7" hidden="1">
      <c r="A3357">
        <v>259</v>
      </c>
      <c r="B3357" t="s">
        <v>1225</v>
      </c>
      <c r="C3357" t="s">
        <v>960</v>
      </c>
      <c r="D3357">
        <v>2.37</v>
      </c>
      <c r="E3357">
        <v>18.399999999999999</v>
      </c>
      <c r="F3357">
        <v>6.22</v>
      </c>
      <c r="G3357">
        <v>1.29</v>
      </c>
    </row>
    <row r="3358" spans="1:7" hidden="1">
      <c r="A3358">
        <v>259</v>
      </c>
      <c r="B3358" t="s">
        <v>1225</v>
      </c>
      <c r="C3358" t="s">
        <v>961</v>
      </c>
      <c r="D3358">
        <v>2.95</v>
      </c>
      <c r="E3358">
        <v>20.059999999999999</v>
      </c>
      <c r="F3358">
        <v>8.4499999999999993</v>
      </c>
      <c r="G3358">
        <v>1.06</v>
      </c>
    </row>
    <row r="3359" spans="1:7" hidden="1">
      <c r="A3359">
        <v>259</v>
      </c>
      <c r="B3359" t="s">
        <v>1225</v>
      </c>
      <c r="C3359" t="s">
        <v>962</v>
      </c>
      <c r="D3359">
        <v>0.64</v>
      </c>
      <c r="E3359">
        <v>24.72</v>
      </c>
      <c r="F3359">
        <v>2.2799999999999998</v>
      </c>
      <c r="G3359">
        <v>0.15</v>
      </c>
    </row>
    <row r="3360" spans="1:7" hidden="1">
      <c r="A3360">
        <v>259</v>
      </c>
      <c r="B3360" t="s">
        <v>1225</v>
      </c>
      <c r="C3360" t="s">
        <v>963</v>
      </c>
      <c r="D3360">
        <v>1.95</v>
      </c>
      <c r="E3360">
        <v>18.13</v>
      </c>
      <c r="F3360">
        <v>5.0599999999999996</v>
      </c>
      <c r="G3360">
        <v>0.67</v>
      </c>
    </row>
    <row r="3361" spans="1:7" hidden="1">
      <c r="A3361">
        <v>259</v>
      </c>
      <c r="B3361" t="s">
        <v>1225</v>
      </c>
      <c r="C3361" t="s">
        <v>964</v>
      </c>
      <c r="D3361">
        <v>0.12</v>
      </c>
      <c r="E3361">
        <v>21.87</v>
      </c>
      <c r="F3361">
        <v>0.37</v>
      </c>
      <c r="G3361">
        <v>0.01</v>
      </c>
    </row>
    <row r="3362" spans="1:7" hidden="1">
      <c r="A3362">
        <v>259</v>
      </c>
      <c r="B3362" t="s">
        <v>1225</v>
      </c>
      <c r="C3362" t="s">
        <v>965</v>
      </c>
      <c r="D3362">
        <v>1.67</v>
      </c>
      <c r="E3362">
        <v>24.75</v>
      </c>
      <c r="F3362">
        <v>5.89</v>
      </c>
      <c r="G3362">
        <v>0.43</v>
      </c>
    </row>
    <row r="3363" spans="1:7">
      <c r="A3363">
        <v>259</v>
      </c>
      <c r="B3363" t="s">
        <v>1225</v>
      </c>
      <c r="C3363" t="s">
        <v>24</v>
      </c>
      <c r="D3363">
        <v>11.94</v>
      </c>
      <c r="E3363">
        <v>20.010000000000002</v>
      </c>
      <c r="F3363">
        <v>34.130000000000003</v>
      </c>
      <c r="G3363">
        <v>4.4800000000000004</v>
      </c>
    </row>
    <row r="3364" spans="1:7" hidden="1">
      <c r="A3364">
        <v>259</v>
      </c>
      <c r="B3364" t="s">
        <v>1225</v>
      </c>
      <c r="C3364" t="s">
        <v>966</v>
      </c>
      <c r="D3364">
        <v>3.16</v>
      </c>
      <c r="E3364">
        <v>18.05</v>
      </c>
      <c r="F3364">
        <v>8.14</v>
      </c>
      <c r="G3364">
        <v>2.66</v>
      </c>
    </row>
    <row r="3365" spans="1:7" hidden="1">
      <c r="A3365">
        <v>259</v>
      </c>
      <c r="B3365" t="s">
        <v>1225</v>
      </c>
      <c r="C3365" t="s">
        <v>967</v>
      </c>
      <c r="D3365">
        <v>0.05</v>
      </c>
      <c r="E3365">
        <v>17.91</v>
      </c>
      <c r="F3365">
        <v>0.12</v>
      </c>
      <c r="G3365">
        <v>0.01</v>
      </c>
    </row>
    <row r="3366" spans="1:7" hidden="1">
      <c r="A3366">
        <v>259</v>
      </c>
      <c r="B3366" t="s">
        <v>1225</v>
      </c>
      <c r="C3366" t="s">
        <v>968</v>
      </c>
      <c r="D3366">
        <v>0.47</v>
      </c>
      <c r="E3366">
        <v>18.09</v>
      </c>
      <c r="F3366">
        <v>1.22</v>
      </c>
      <c r="G3366">
        <v>0.11</v>
      </c>
    </row>
    <row r="3367" spans="1:7" hidden="1">
      <c r="A3367">
        <v>259</v>
      </c>
      <c r="B3367" t="s">
        <v>1225</v>
      </c>
      <c r="C3367" t="s">
        <v>969</v>
      </c>
      <c r="D3367">
        <v>0.89</v>
      </c>
      <c r="E3367">
        <v>24.75</v>
      </c>
      <c r="F3367">
        <v>3.14</v>
      </c>
      <c r="G3367">
        <v>0</v>
      </c>
    </row>
    <row r="3368" spans="1:7" hidden="1">
      <c r="A3368">
        <v>259</v>
      </c>
      <c r="B3368" t="s">
        <v>1225</v>
      </c>
      <c r="C3368" t="s">
        <v>970</v>
      </c>
      <c r="D3368">
        <v>0.44</v>
      </c>
      <c r="E3368">
        <v>24.75</v>
      </c>
      <c r="F3368">
        <v>1.57</v>
      </c>
      <c r="G3368">
        <v>0.05</v>
      </c>
    </row>
    <row r="3369" spans="1:7" hidden="1">
      <c r="A3369">
        <v>260</v>
      </c>
      <c r="B3369" t="s">
        <v>1226</v>
      </c>
      <c r="C3369" t="s">
        <v>959</v>
      </c>
      <c r="D3369">
        <v>1.59</v>
      </c>
      <c r="E3369">
        <v>18.309999999999999</v>
      </c>
      <c r="F3369">
        <v>4.16</v>
      </c>
      <c r="G3369">
        <v>0</v>
      </c>
    </row>
    <row r="3370" spans="1:7" hidden="1">
      <c r="A3370">
        <v>260</v>
      </c>
      <c r="B3370" t="s">
        <v>1226</v>
      </c>
      <c r="C3370" t="s">
        <v>960</v>
      </c>
      <c r="D3370">
        <v>1.99</v>
      </c>
      <c r="E3370">
        <v>18.399999999999999</v>
      </c>
      <c r="F3370">
        <v>5.23</v>
      </c>
      <c r="G3370">
        <v>0</v>
      </c>
    </row>
    <row r="3371" spans="1:7" hidden="1">
      <c r="A3371">
        <v>260</v>
      </c>
      <c r="B3371" t="s">
        <v>1226</v>
      </c>
      <c r="C3371" t="s">
        <v>961</v>
      </c>
      <c r="D3371">
        <v>2.44</v>
      </c>
      <c r="E3371">
        <v>20.059999999999999</v>
      </c>
      <c r="F3371">
        <v>7</v>
      </c>
      <c r="G3371">
        <v>0.05</v>
      </c>
    </row>
    <row r="3372" spans="1:7" hidden="1">
      <c r="A3372">
        <v>260</v>
      </c>
      <c r="B3372" t="s">
        <v>1226</v>
      </c>
      <c r="C3372" t="s">
        <v>962</v>
      </c>
      <c r="D3372">
        <v>0.69</v>
      </c>
      <c r="E3372">
        <v>24.72</v>
      </c>
      <c r="F3372">
        <v>2.44</v>
      </c>
      <c r="G3372">
        <v>0</v>
      </c>
    </row>
    <row r="3373" spans="1:7" hidden="1">
      <c r="A3373">
        <v>260</v>
      </c>
      <c r="B3373" t="s">
        <v>1226</v>
      </c>
      <c r="C3373" t="s">
        <v>963</v>
      </c>
      <c r="D3373">
        <v>1.74</v>
      </c>
      <c r="E3373">
        <v>18.13</v>
      </c>
      <c r="F3373">
        <v>4.51</v>
      </c>
      <c r="G3373">
        <v>0.01</v>
      </c>
    </row>
    <row r="3374" spans="1:7" hidden="1">
      <c r="A3374">
        <v>260</v>
      </c>
      <c r="B3374" t="s">
        <v>1226</v>
      </c>
      <c r="C3374" t="s">
        <v>964</v>
      </c>
      <c r="D3374">
        <v>0.15</v>
      </c>
      <c r="E3374">
        <v>21.87</v>
      </c>
      <c r="F3374">
        <v>0.46</v>
      </c>
      <c r="G3374">
        <v>0</v>
      </c>
    </row>
    <row r="3375" spans="1:7" hidden="1">
      <c r="A3375">
        <v>260</v>
      </c>
      <c r="B3375" t="s">
        <v>1226</v>
      </c>
      <c r="C3375" t="s">
        <v>965</v>
      </c>
      <c r="D3375">
        <v>1.83</v>
      </c>
      <c r="E3375">
        <v>24.75</v>
      </c>
      <c r="F3375">
        <v>6.49</v>
      </c>
      <c r="G3375">
        <v>0.01</v>
      </c>
    </row>
    <row r="3376" spans="1:7">
      <c r="A3376">
        <v>260</v>
      </c>
      <c r="B3376" t="s">
        <v>1226</v>
      </c>
      <c r="C3376" t="s">
        <v>24</v>
      </c>
      <c r="D3376">
        <v>10.44</v>
      </c>
      <c r="E3376">
        <v>20.309999999999999</v>
      </c>
      <c r="F3376">
        <v>30.29</v>
      </c>
      <c r="G3376">
        <v>0.08</v>
      </c>
    </row>
    <row r="3377" spans="1:7" hidden="1">
      <c r="A3377">
        <v>260</v>
      </c>
      <c r="B3377" t="s">
        <v>1226</v>
      </c>
      <c r="C3377" t="s">
        <v>966</v>
      </c>
      <c r="D3377">
        <v>0.76</v>
      </c>
      <c r="E3377">
        <v>18.05</v>
      </c>
      <c r="F3377">
        <v>1.96</v>
      </c>
      <c r="G3377">
        <v>0.55000000000000004</v>
      </c>
    </row>
    <row r="3378" spans="1:7" hidden="1">
      <c r="A3378">
        <v>260</v>
      </c>
      <c r="B3378" t="s">
        <v>1226</v>
      </c>
      <c r="C3378" t="s">
        <v>967</v>
      </c>
      <c r="D3378">
        <v>0.05</v>
      </c>
      <c r="E3378">
        <v>17.91</v>
      </c>
      <c r="F3378">
        <v>0.13</v>
      </c>
      <c r="G3378">
        <v>0</v>
      </c>
    </row>
    <row r="3379" spans="1:7" hidden="1">
      <c r="A3379">
        <v>260</v>
      </c>
      <c r="B3379" t="s">
        <v>1226</v>
      </c>
      <c r="C3379" t="s">
        <v>968</v>
      </c>
      <c r="D3379">
        <v>0.73</v>
      </c>
      <c r="E3379">
        <v>18.09</v>
      </c>
      <c r="F3379">
        <v>1.89</v>
      </c>
      <c r="G3379">
        <v>0</v>
      </c>
    </row>
    <row r="3380" spans="1:7" hidden="1">
      <c r="A3380">
        <v>260</v>
      </c>
      <c r="B3380" t="s">
        <v>1226</v>
      </c>
      <c r="C3380" t="s">
        <v>969</v>
      </c>
      <c r="D3380">
        <v>0.42</v>
      </c>
      <c r="E3380">
        <v>24.75</v>
      </c>
      <c r="F3380">
        <v>1.5</v>
      </c>
      <c r="G3380">
        <v>0</v>
      </c>
    </row>
    <row r="3381" spans="1:7" hidden="1">
      <c r="A3381">
        <v>260</v>
      </c>
      <c r="B3381" t="s">
        <v>1226</v>
      </c>
      <c r="C3381" t="s">
        <v>970</v>
      </c>
      <c r="D3381">
        <v>0.56000000000000005</v>
      </c>
      <c r="E3381">
        <v>24.75</v>
      </c>
      <c r="F3381">
        <v>1.96</v>
      </c>
      <c r="G3381">
        <v>0</v>
      </c>
    </row>
    <row r="3382" spans="1:7" hidden="1">
      <c r="A3382">
        <v>261</v>
      </c>
      <c r="B3382" t="s">
        <v>1227</v>
      </c>
      <c r="C3382" t="s">
        <v>959</v>
      </c>
      <c r="D3382">
        <v>2.0699999999999998</v>
      </c>
      <c r="E3382">
        <v>18.309999999999999</v>
      </c>
      <c r="F3382">
        <v>5.41</v>
      </c>
      <c r="G3382">
        <v>0.56000000000000005</v>
      </c>
    </row>
    <row r="3383" spans="1:7" hidden="1">
      <c r="A3383">
        <v>261</v>
      </c>
      <c r="B3383" t="s">
        <v>1227</v>
      </c>
      <c r="C3383" t="s">
        <v>960</v>
      </c>
      <c r="D3383">
        <v>2.27</v>
      </c>
      <c r="E3383">
        <v>18.399999999999999</v>
      </c>
      <c r="F3383">
        <v>5.96</v>
      </c>
      <c r="G3383">
        <v>0.88</v>
      </c>
    </row>
    <row r="3384" spans="1:7" hidden="1">
      <c r="A3384">
        <v>261</v>
      </c>
      <c r="B3384" t="s">
        <v>1227</v>
      </c>
      <c r="C3384" t="s">
        <v>961</v>
      </c>
      <c r="D3384">
        <v>2.6</v>
      </c>
      <c r="E3384">
        <v>20.059999999999999</v>
      </c>
      <c r="F3384">
        <v>7.46</v>
      </c>
      <c r="G3384">
        <v>0.61</v>
      </c>
    </row>
    <row r="3385" spans="1:7" hidden="1">
      <c r="A3385">
        <v>261</v>
      </c>
      <c r="B3385" t="s">
        <v>1227</v>
      </c>
      <c r="C3385" t="s">
        <v>962</v>
      </c>
      <c r="D3385">
        <v>0.69</v>
      </c>
      <c r="E3385">
        <v>24.72</v>
      </c>
      <c r="F3385">
        <v>2.42</v>
      </c>
      <c r="G3385">
        <v>0.14000000000000001</v>
      </c>
    </row>
    <row r="3386" spans="1:7" hidden="1">
      <c r="A3386">
        <v>261</v>
      </c>
      <c r="B3386" t="s">
        <v>1227</v>
      </c>
      <c r="C3386" t="s">
        <v>963</v>
      </c>
      <c r="D3386">
        <v>1.86</v>
      </c>
      <c r="E3386">
        <v>18.13</v>
      </c>
      <c r="F3386">
        <v>4.82</v>
      </c>
      <c r="G3386">
        <v>0.46</v>
      </c>
    </row>
    <row r="3387" spans="1:7" hidden="1">
      <c r="A3387">
        <v>261</v>
      </c>
      <c r="B3387" t="s">
        <v>1227</v>
      </c>
      <c r="C3387" t="s">
        <v>964</v>
      </c>
      <c r="D3387">
        <v>0.13</v>
      </c>
      <c r="E3387">
        <v>21.87</v>
      </c>
      <c r="F3387">
        <v>0.41</v>
      </c>
      <c r="G3387">
        <v>0.01</v>
      </c>
    </row>
    <row r="3388" spans="1:7" hidden="1">
      <c r="A3388">
        <v>261</v>
      </c>
      <c r="B3388" t="s">
        <v>1227</v>
      </c>
      <c r="C3388" t="s">
        <v>965</v>
      </c>
      <c r="D3388">
        <v>1.75</v>
      </c>
      <c r="E3388">
        <v>24.75</v>
      </c>
      <c r="F3388">
        <v>6.2</v>
      </c>
      <c r="G3388">
        <v>0.27</v>
      </c>
    </row>
    <row r="3389" spans="1:7">
      <c r="A3389">
        <v>261</v>
      </c>
      <c r="B3389" t="s">
        <v>1227</v>
      </c>
      <c r="C3389" t="s">
        <v>24</v>
      </c>
      <c r="D3389">
        <v>11.37</v>
      </c>
      <c r="E3389">
        <v>20.12</v>
      </c>
      <c r="F3389">
        <v>32.68</v>
      </c>
      <c r="G3389">
        <v>2.92</v>
      </c>
    </row>
    <row r="3390" spans="1:7" hidden="1">
      <c r="A3390">
        <v>261</v>
      </c>
      <c r="B3390" t="s">
        <v>1227</v>
      </c>
      <c r="C3390" t="s">
        <v>966</v>
      </c>
      <c r="D3390">
        <v>2.57</v>
      </c>
      <c r="E3390">
        <v>18.05</v>
      </c>
      <c r="F3390">
        <v>6.62</v>
      </c>
      <c r="G3390">
        <v>2.17</v>
      </c>
    </row>
    <row r="3391" spans="1:7" hidden="1">
      <c r="A3391">
        <v>261</v>
      </c>
      <c r="B3391" t="s">
        <v>1227</v>
      </c>
      <c r="C3391" t="s">
        <v>967</v>
      </c>
      <c r="D3391">
        <v>0.04</v>
      </c>
      <c r="E3391">
        <v>17.91</v>
      </c>
      <c r="F3391">
        <v>0.11</v>
      </c>
      <c r="G3391">
        <v>0.01</v>
      </c>
    </row>
    <row r="3392" spans="1:7" hidden="1">
      <c r="A3392">
        <v>261</v>
      </c>
      <c r="B3392" t="s">
        <v>1227</v>
      </c>
      <c r="C3392" t="s">
        <v>968</v>
      </c>
      <c r="D3392">
        <v>0.64</v>
      </c>
      <c r="E3392">
        <v>18.09</v>
      </c>
      <c r="F3392">
        <v>1.66</v>
      </c>
      <c r="G3392">
        <v>0.11</v>
      </c>
    </row>
    <row r="3393" spans="1:7" hidden="1">
      <c r="A3393">
        <v>261</v>
      </c>
      <c r="B3393" t="s">
        <v>1227</v>
      </c>
      <c r="C3393" t="s">
        <v>969</v>
      </c>
      <c r="D3393">
        <v>0.64</v>
      </c>
      <c r="E3393">
        <v>24.75</v>
      </c>
      <c r="F3393">
        <v>2.2799999999999998</v>
      </c>
      <c r="G3393">
        <v>0.01</v>
      </c>
    </row>
    <row r="3394" spans="1:7" hidden="1">
      <c r="A3394">
        <v>261</v>
      </c>
      <c r="B3394" t="s">
        <v>1227</v>
      </c>
      <c r="C3394" t="s">
        <v>970</v>
      </c>
      <c r="D3394">
        <v>0.44</v>
      </c>
      <c r="E3394">
        <v>24.75</v>
      </c>
      <c r="F3394">
        <v>1.57</v>
      </c>
      <c r="G3394">
        <v>0.04</v>
      </c>
    </row>
    <row r="3395" spans="1:7" hidden="1">
      <c r="A3395">
        <v>262</v>
      </c>
      <c r="B3395" t="s">
        <v>1228</v>
      </c>
      <c r="C3395" t="s">
        <v>959</v>
      </c>
      <c r="D3395">
        <v>1.95</v>
      </c>
      <c r="E3395">
        <v>18.309999999999999</v>
      </c>
      <c r="F3395">
        <v>5.09</v>
      </c>
      <c r="G3395">
        <v>0.01</v>
      </c>
    </row>
    <row r="3396" spans="1:7" hidden="1">
      <c r="A3396">
        <v>262</v>
      </c>
      <c r="B3396" t="s">
        <v>1228</v>
      </c>
      <c r="C3396" t="s">
        <v>960</v>
      </c>
      <c r="D3396">
        <v>2.12</v>
      </c>
      <c r="E3396">
        <v>18.399999999999999</v>
      </c>
      <c r="F3396">
        <v>5.57</v>
      </c>
      <c r="G3396">
        <v>0.01</v>
      </c>
    </row>
    <row r="3397" spans="1:7" hidden="1">
      <c r="A3397">
        <v>262</v>
      </c>
      <c r="B3397" t="s">
        <v>1228</v>
      </c>
      <c r="C3397" t="s">
        <v>961</v>
      </c>
      <c r="D3397">
        <v>2.74</v>
      </c>
      <c r="E3397">
        <v>20.059999999999999</v>
      </c>
      <c r="F3397">
        <v>7.86</v>
      </c>
      <c r="G3397">
        <v>0.02</v>
      </c>
    </row>
    <row r="3398" spans="1:7" hidden="1">
      <c r="A3398">
        <v>262</v>
      </c>
      <c r="B3398" t="s">
        <v>1228</v>
      </c>
      <c r="C3398" t="s">
        <v>962</v>
      </c>
      <c r="D3398">
        <v>0.76</v>
      </c>
      <c r="E3398">
        <v>24.72</v>
      </c>
      <c r="F3398">
        <v>2.67</v>
      </c>
      <c r="G3398">
        <v>0</v>
      </c>
    </row>
    <row r="3399" spans="1:7" hidden="1">
      <c r="A3399">
        <v>262</v>
      </c>
      <c r="B3399" t="s">
        <v>1228</v>
      </c>
      <c r="C3399" t="s">
        <v>963</v>
      </c>
      <c r="D3399">
        <v>1.71</v>
      </c>
      <c r="E3399">
        <v>18.13</v>
      </c>
      <c r="F3399">
        <v>4.43</v>
      </c>
      <c r="G3399">
        <v>0.01</v>
      </c>
    </row>
    <row r="3400" spans="1:7" hidden="1">
      <c r="A3400">
        <v>262</v>
      </c>
      <c r="B3400" t="s">
        <v>1228</v>
      </c>
      <c r="C3400" t="s">
        <v>964</v>
      </c>
      <c r="D3400">
        <v>0.08</v>
      </c>
      <c r="E3400">
        <v>21.87</v>
      </c>
      <c r="F3400">
        <v>0.25</v>
      </c>
      <c r="G3400">
        <v>0</v>
      </c>
    </row>
    <row r="3401" spans="1:7" hidden="1">
      <c r="A3401">
        <v>262</v>
      </c>
      <c r="B3401" t="s">
        <v>1228</v>
      </c>
      <c r="C3401" t="s">
        <v>965</v>
      </c>
      <c r="D3401">
        <v>1.87</v>
      </c>
      <c r="E3401">
        <v>24.75</v>
      </c>
      <c r="F3401">
        <v>6.61</v>
      </c>
      <c r="G3401">
        <v>0.01</v>
      </c>
    </row>
    <row r="3402" spans="1:7">
      <c r="A3402">
        <v>262</v>
      </c>
      <c r="B3402" t="s">
        <v>1228</v>
      </c>
      <c r="C3402" t="s">
        <v>24</v>
      </c>
      <c r="D3402">
        <v>11.22</v>
      </c>
      <c r="E3402">
        <v>20.260000000000002</v>
      </c>
      <c r="F3402">
        <v>32.47</v>
      </c>
      <c r="G3402">
        <v>7.0000000000000007E-2</v>
      </c>
    </row>
    <row r="3403" spans="1:7" hidden="1">
      <c r="A3403">
        <v>262</v>
      </c>
      <c r="B3403" t="s">
        <v>1228</v>
      </c>
      <c r="C3403" t="s">
        <v>966</v>
      </c>
      <c r="D3403">
        <v>0</v>
      </c>
      <c r="E3403">
        <v>18.05</v>
      </c>
      <c r="F3403">
        <v>0.01</v>
      </c>
      <c r="G3403">
        <v>0</v>
      </c>
    </row>
    <row r="3404" spans="1:7" hidden="1">
      <c r="A3404">
        <v>262</v>
      </c>
      <c r="B3404" t="s">
        <v>1228</v>
      </c>
      <c r="C3404" t="s">
        <v>967</v>
      </c>
      <c r="D3404">
        <v>0.06</v>
      </c>
      <c r="E3404">
        <v>17.91</v>
      </c>
      <c r="F3404">
        <v>0.16</v>
      </c>
      <c r="G3404">
        <v>0</v>
      </c>
    </row>
    <row r="3405" spans="1:7" hidden="1">
      <c r="A3405">
        <v>262</v>
      </c>
      <c r="B3405" t="s">
        <v>1228</v>
      </c>
      <c r="C3405" t="s">
        <v>968</v>
      </c>
      <c r="D3405">
        <v>0.93</v>
      </c>
      <c r="E3405">
        <v>18.09</v>
      </c>
      <c r="F3405">
        <v>2.4</v>
      </c>
      <c r="G3405">
        <v>0</v>
      </c>
    </row>
    <row r="3406" spans="1:7" hidden="1">
      <c r="A3406">
        <v>262</v>
      </c>
      <c r="B3406" t="s">
        <v>1228</v>
      </c>
      <c r="C3406" t="s">
        <v>969</v>
      </c>
      <c r="D3406">
        <v>0.04</v>
      </c>
      <c r="E3406">
        <v>24.75</v>
      </c>
      <c r="F3406">
        <v>0.14000000000000001</v>
      </c>
      <c r="G3406">
        <v>0</v>
      </c>
    </row>
    <row r="3407" spans="1:7" hidden="1">
      <c r="A3407">
        <v>262</v>
      </c>
      <c r="B3407" t="s">
        <v>1228</v>
      </c>
      <c r="C3407" t="s">
        <v>970</v>
      </c>
      <c r="D3407">
        <v>0.46</v>
      </c>
      <c r="E3407">
        <v>24.75</v>
      </c>
      <c r="F3407">
        <v>1.64</v>
      </c>
      <c r="G3407">
        <v>0</v>
      </c>
    </row>
    <row r="3408" spans="1:7" hidden="1">
      <c r="A3408">
        <v>263</v>
      </c>
      <c r="B3408" t="s">
        <v>1229</v>
      </c>
      <c r="C3408" t="s">
        <v>959</v>
      </c>
      <c r="D3408">
        <v>1.71</v>
      </c>
      <c r="E3408">
        <v>18.309999999999999</v>
      </c>
      <c r="F3408">
        <v>4.47</v>
      </c>
      <c r="G3408">
        <v>0.02</v>
      </c>
    </row>
    <row r="3409" spans="1:7" hidden="1">
      <c r="A3409">
        <v>263</v>
      </c>
      <c r="B3409" t="s">
        <v>1229</v>
      </c>
      <c r="C3409" t="s">
        <v>960</v>
      </c>
      <c r="D3409">
        <v>1.91</v>
      </c>
      <c r="E3409">
        <v>18.399999999999999</v>
      </c>
      <c r="F3409">
        <v>5.0199999999999996</v>
      </c>
      <c r="G3409">
        <v>0.01</v>
      </c>
    </row>
    <row r="3410" spans="1:7" hidden="1">
      <c r="A3410">
        <v>263</v>
      </c>
      <c r="B3410" t="s">
        <v>1229</v>
      </c>
      <c r="C3410" t="s">
        <v>961</v>
      </c>
      <c r="D3410">
        <v>2.2799999999999998</v>
      </c>
      <c r="E3410">
        <v>20.059999999999999</v>
      </c>
      <c r="F3410">
        <v>6.54</v>
      </c>
      <c r="G3410">
        <v>0.03</v>
      </c>
    </row>
    <row r="3411" spans="1:7" hidden="1">
      <c r="A3411">
        <v>263</v>
      </c>
      <c r="B3411" t="s">
        <v>1229</v>
      </c>
      <c r="C3411" t="s">
        <v>962</v>
      </c>
      <c r="D3411">
        <v>0.65</v>
      </c>
      <c r="E3411">
        <v>24.72</v>
      </c>
      <c r="F3411">
        <v>2.2799999999999998</v>
      </c>
      <c r="G3411">
        <v>0</v>
      </c>
    </row>
    <row r="3412" spans="1:7" hidden="1">
      <c r="A3412">
        <v>263</v>
      </c>
      <c r="B3412" t="s">
        <v>1229</v>
      </c>
      <c r="C3412" t="s">
        <v>963</v>
      </c>
      <c r="D3412">
        <v>1.66</v>
      </c>
      <c r="E3412">
        <v>18.13</v>
      </c>
      <c r="F3412">
        <v>4.3</v>
      </c>
      <c r="G3412">
        <v>0.01</v>
      </c>
    </row>
    <row r="3413" spans="1:7" hidden="1">
      <c r="A3413">
        <v>263</v>
      </c>
      <c r="B3413" t="s">
        <v>1229</v>
      </c>
      <c r="C3413" t="s">
        <v>964</v>
      </c>
      <c r="D3413">
        <v>7.0000000000000007E-2</v>
      </c>
      <c r="E3413">
        <v>21.87</v>
      </c>
      <c r="F3413">
        <v>0.21</v>
      </c>
      <c r="G3413">
        <v>0</v>
      </c>
    </row>
    <row r="3414" spans="1:7" hidden="1">
      <c r="A3414">
        <v>263</v>
      </c>
      <c r="B3414" t="s">
        <v>1229</v>
      </c>
      <c r="C3414" t="s">
        <v>965</v>
      </c>
      <c r="D3414">
        <v>1.8</v>
      </c>
      <c r="E3414">
        <v>24.75</v>
      </c>
      <c r="F3414">
        <v>6.35</v>
      </c>
      <c r="G3414">
        <v>0.01</v>
      </c>
    </row>
    <row r="3415" spans="1:7">
      <c r="A3415">
        <v>263</v>
      </c>
      <c r="B3415" t="s">
        <v>1229</v>
      </c>
      <c r="C3415" t="s">
        <v>24</v>
      </c>
      <c r="D3415">
        <v>10.07</v>
      </c>
      <c r="E3415">
        <v>20.28</v>
      </c>
      <c r="F3415">
        <v>29.18</v>
      </c>
      <c r="G3415">
        <v>0.09</v>
      </c>
    </row>
    <row r="3416" spans="1:7" hidden="1">
      <c r="A3416">
        <v>263</v>
      </c>
      <c r="B3416" t="s">
        <v>1229</v>
      </c>
      <c r="C3416" t="s">
        <v>966</v>
      </c>
      <c r="D3416">
        <v>0</v>
      </c>
      <c r="E3416">
        <v>18.05</v>
      </c>
      <c r="F3416">
        <v>0.01</v>
      </c>
      <c r="G3416">
        <v>0</v>
      </c>
    </row>
    <row r="3417" spans="1:7" hidden="1">
      <c r="A3417">
        <v>263</v>
      </c>
      <c r="B3417" t="s">
        <v>1229</v>
      </c>
      <c r="C3417" t="s">
        <v>967</v>
      </c>
      <c r="D3417">
        <v>0.06</v>
      </c>
      <c r="E3417">
        <v>17.91</v>
      </c>
      <c r="F3417">
        <v>0.15</v>
      </c>
      <c r="G3417">
        <v>0</v>
      </c>
    </row>
    <row r="3418" spans="1:7" hidden="1">
      <c r="A3418">
        <v>263</v>
      </c>
      <c r="B3418" t="s">
        <v>1229</v>
      </c>
      <c r="C3418" t="s">
        <v>968</v>
      </c>
      <c r="D3418">
        <v>0.89</v>
      </c>
      <c r="E3418">
        <v>18.09</v>
      </c>
      <c r="F3418">
        <v>2.29</v>
      </c>
      <c r="G3418">
        <v>0</v>
      </c>
    </row>
    <row r="3419" spans="1:7" hidden="1">
      <c r="A3419">
        <v>263</v>
      </c>
      <c r="B3419" t="s">
        <v>1229</v>
      </c>
      <c r="C3419" t="s">
        <v>969</v>
      </c>
      <c r="D3419">
        <v>0.05</v>
      </c>
      <c r="E3419">
        <v>24.75</v>
      </c>
      <c r="F3419">
        <v>0.18</v>
      </c>
      <c r="G3419">
        <v>0</v>
      </c>
    </row>
    <row r="3420" spans="1:7" hidden="1">
      <c r="A3420">
        <v>263</v>
      </c>
      <c r="B3420" t="s">
        <v>1229</v>
      </c>
      <c r="C3420" t="s">
        <v>970</v>
      </c>
      <c r="D3420">
        <v>0.47</v>
      </c>
      <c r="E3420">
        <v>24.75</v>
      </c>
      <c r="F3420">
        <v>1.64</v>
      </c>
      <c r="G3420">
        <v>0</v>
      </c>
    </row>
    <row r="3421" spans="1:7" hidden="1">
      <c r="A3421">
        <v>264</v>
      </c>
      <c r="B3421" t="s">
        <v>1230</v>
      </c>
      <c r="C3421" t="s">
        <v>959</v>
      </c>
      <c r="D3421">
        <v>2.2799999999999998</v>
      </c>
      <c r="E3421">
        <v>18.309999999999999</v>
      </c>
      <c r="F3421">
        <v>5.97</v>
      </c>
      <c r="G3421">
        <v>0.01</v>
      </c>
    </row>
    <row r="3422" spans="1:7" hidden="1">
      <c r="A3422">
        <v>264</v>
      </c>
      <c r="B3422" t="s">
        <v>1230</v>
      </c>
      <c r="C3422" t="s">
        <v>960</v>
      </c>
      <c r="D3422">
        <v>2.46</v>
      </c>
      <c r="E3422">
        <v>18.399999999999999</v>
      </c>
      <c r="F3422">
        <v>6.46</v>
      </c>
      <c r="G3422">
        <v>0.02</v>
      </c>
    </row>
    <row r="3423" spans="1:7" hidden="1">
      <c r="A3423">
        <v>264</v>
      </c>
      <c r="B3423" t="s">
        <v>1230</v>
      </c>
      <c r="C3423" t="s">
        <v>961</v>
      </c>
      <c r="D3423">
        <v>3.46</v>
      </c>
      <c r="E3423">
        <v>20.059999999999999</v>
      </c>
      <c r="F3423">
        <v>9.92</v>
      </c>
      <c r="G3423">
        <v>0</v>
      </c>
    </row>
    <row r="3424" spans="1:7" hidden="1">
      <c r="A3424">
        <v>264</v>
      </c>
      <c r="B3424" t="s">
        <v>1230</v>
      </c>
      <c r="C3424" t="s">
        <v>962</v>
      </c>
      <c r="D3424">
        <v>0.97</v>
      </c>
      <c r="E3424">
        <v>24.72</v>
      </c>
      <c r="F3424">
        <v>3.41</v>
      </c>
      <c r="G3424">
        <v>0</v>
      </c>
    </row>
    <row r="3425" spans="1:7" hidden="1">
      <c r="A3425">
        <v>264</v>
      </c>
      <c r="B3425" t="s">
        <v>1230</v>
      </c>
      <c r="C3425" t="s">
        <v>963</v>
      </c>
      <c r="D3425">
        <v>1.86</v>
      </c>
      <c r="E3425">
        <v>18.13</v>
      </c>
      <c r="F3425">
        <v>4.82</v>
      </c>
      <c r="G3425">
        <v>0.01</v>
      </c>
    </row>
    <row r="3426" spans="1:7" hidden="1">
      <c r="A3426">
        <v>264</v>
      </c>
      <c r="B3426" t="s">
        <v>1230</v>
      </c>
      <c r="C3426" t="s">
        <v>964</v>
      </c>
      <c r="D3426">
        <v>0.1</v>
      </c>
      <c r="E3426">
        <v>21.87</v>
      </c>
      <c r="F3426">
        <v>0.32</v>
      </c>
      <c r="G3426">
        <v>0</v>
      </c>
    </row>
    <row r="3427" spans="1:7" hidden="1">
      <c r="A3427">
        <v>264</v>
      </c>
      <c r="B3427" t="s">
        <v>1230</v>
      </c>
      <c r="C3427" t="s">
        <v>965</v>
      </c>
      <c r="D3427">
        <v>2</v>
      </c>
      <c r="E3427">
        <v>24.75</v>
      </c>
      <c r="F3427">
        <v>7.09</v>
      </c>
      <c r="G3427">
        <v>0.01</v>
      </c>
    </row>
    <row r="3428" spans="1:7">
      <c r="A3428">
        <v>264</v>
      </c>
      <c r="B3428" t="s">
        <v>1230</v>
      </c>
      <c r="C3428" t="s">
        <v>24</v>
      </c>
      <c r="D3428">
        <v>13.13</v>
      </c>
      <c r="E3428">
        <v>20.239999999999998</v>
      </c>
      <c r="F3428">
        <v>37.979999999999997</v>
      </c>
      <c r="G3428">
        <v>0.05</v>
      </c>
    </row>
    <row r="3429" spans="1:7" hidden="1">
      <c r="A3429">
        <v>264</v>
      </c>
      <c r="B3429" t="s">
        <v>1230</v>
      </c>
      <c r="C3429" t="s">
        <v>966</v>
      </c>
      <c r="D3429">
        <v>0</v>
      </c>
      <c r="E3429">
        <v>18.05</v>
      </c>
      <c r="F3429">
        <v>0</v>
      </c>
      <c r="G3429">
        <v>0</v>
      </c>
    </row>
    <row r="3430" spans="1:7" hidden="1">
      <c r="A3430">
        <v>264</v>
      </c>
      <c r="B3430" t="s">
        <v>1230</v>
      </c>
      <c r="C3430" t="s">
        <v>967</v>
      </c>
      <c r="D3430">
        <v>0.05</v>
      </c>
      <c r="E3430">
        <v>17.91</v>
      </c>
      <c r="F3430">
        <v>0.14000000000000001</v>
      </c>
      <c r="G3430">
        <v>0</v>
      </c>
    </row>
    <row r="3431" spans="1:7" hidden="1">
      <c r="A3431">
        <v>264</v>
      </c>
      <c r="B3431" t="s">
        <v>1230</v>
      </c>
      <c r="C3431" t="s">
        <v>968</v>
      </c>
      <c r="D3431">
        <v>1.0900000000000001</v>
      </c>
      <c r="E3431">
        <v>18.09</v>
      </c>
      <c r="F3431">
        <v>2.82</v>
      </c>
      <c r="G3431">
        <v>0</v>
      </c>
    </row>
    <row r="3432" spans="1:7" hidden="1">
      <c r="A3432">
        <v>264</v>
      </c>
      <c r="B3432" t="s">
        <v>1230</v>
      </c>
      <c r="C3432" t="s">
        <v>969</v>
      </c>
      <c r="D3432">
        <v>0.02</v>
      </c>
      <c r="E3432">
        <v>24.75</v>
      </c>
      <c r="F3432">
        <v>0.08</v>
      </c>
      <c r="G3432">
        <v>0</v>
      </c>
    </row>
    <row r="3433" spans="1:7" hidden="1">
      <c r="A3433">
        <v>264</v>
      </c>
      <c r="B3433" t="s">
        <v>1230</v>
      </c>
      <c r="C3433" t="s">
        <v>970</v>
      </c>
      <c r="D3433">
        <v>0.53</v>
      </c>
      <c r="E3433">
        <v>24.75</v>
      </c>
      <c r="F3433">
        <v>1.88</v>
      </c>
      <c r="G3433">
        <v>0</v>
      </c>
    </row>
    <row r="3434" spans="1:7" hidden="1">
      <c r="A3434">
        <v>265</v>
      </c>
      <c r="B3434" t="s">
        <v>1231</v>
      </c>
      <c r="C3434" t="s">
        <v>959</v>
      </c>
      <c r="D3434">
        <v>2.62</v>
      </c>
      <c r="E3434">
        <v>18.309999999999999</v>
      </c>
      <c r="F3434">
        <v>6.84</v>
      </c>
      <c r="G3434">
        <v>0</v>
      </c>
    </row>
    <row r="3435" spans="1:7" hidden="1">
      <c r="A3435">
        <v>265</v>
      </c>
      <c r="B3435" t="s">
        <v>1231</v>
      </c>
      <c r="C3435" t="s">
        <v>960</v>
      </c>
      <c r="D3435">
        <v>2.65</v>
      </c>
      <c r="E3435">
        <v>18.399999999999999</v>
      </c>
      <c r="F3435">
        <v>6.97</v>
      </c>
      <c r="G3435">
        <v>0</v>
      </c>
    </row>
    <row r="3436" spans="1:7" hidden="1">
      <c r="A3436">
        <v>265</v>
      </c>
      <c r="B3436" t="s">
        <v>1231</v>
      </c>
      <c r="C3436" t="s">
        <v>961</v>
      </c>
      <c r="D3436">
        <v>3.97</v>
      </c>
      <c r="E3436">
        <v>20.059999999999999</v>
      </c>
      <c r="F3436">
        <v>11.38</v>
      </c>
      <c r="G3436">
        <v>0</v>
      </c>
    </row>
    <row r="3437" spans="1:7" hidden="1">
      <c r="A3437">
        <v>265</v>
      </c>
      <c r="B3437" t="s">
        <v>1231</v>
      </c>
      <c r="C3437" t="s">
        <v>962</v>
      </c>
      <c r="D3437">
        <v>1</v>
      </c>
      <c r="E3437">
        <v>24.72</v>
      </c>
      <c r="F3437">
        <v>3.53</v>
      </c>
      <c r="G3437">
        <v>0</v>
      </c>
    </row>
    <row r="3438" spans="1:7" hidden="1">
      <c r="A3438">
        <v>265</v>
      </c>
      <c r="B3438" t="s">
        <v>1231</v>
      </c>
      <c r="C3438" t="s">
        <v>963</v>
      </c>
      <c r="D3438">
        <v>1.76</v>
      </c>
      <c r="E3438">
        <v>18.13</v>
      </c>
      <c r="F3438">
        <v>4.55</v>
      </c>
      <c r="G3438">
        <v>0</v>
      </c>
    </row>
    <row r="3439" spans="1:7" hidden="1">
      <c r="A3439">
        <v>265</v>
      </c>
      <c r="B3439" t="s">
        <v>1231</v>
      </c>
      <c r="C3439" t="s">
        <v>964</v>
      </c>
      <c r="D3439">
        <v>0.1</v>
      </c>
      <c r="E3439">
        <v>21.87</v>
      </c>
      <c r="F3439">
        <v>0.3</v>
      </c>
      <c r="G3439">
        <v>0</v>
      </c>
    </row>
    <row r="3440" spans="1:7" hidden="1">
      <c r="A3440">
        <v>265</v>
      </c>
      <c r="B3440" t="s">
        <v>1231</v>
      </c>
      <c r="C3440" t="s">
        <v>965</v>
      </c>
      <c r="D3440">
        <v>2.0299999999999998</v>
      </c>
      <c r="E3440">
        <v>24.75</v>
      </c>
      <c r="F3440">
        <v>7.18</v>
      </c>
      <c r="G3440">
        <v>0</v>
      </c>
    </row>
    <row r="3441" spans="1:7">
      <c r="A3441">
        <v>265</v>
      </c>
      <c r="B3441" t="s">
        <v>1231</v>
      </c>
      <c r="C3441" t="s">
        <v>24</v>
      </c>
      <c r="D3441">
        <v>14.12</v>
      </c>
      <c r="E3441">
        <v>20.2</v>
      </c>
      <c r="F3441">
        <v>40.729999999999997</v>
      </c>
      <c r="G3441">
        <v>0.01</v>
      </c>
    </row>
    <row r="3442" spans="1:7" hidden="1">
      <c r="A3442">
        <v>265</v>
      </c>
      <c r="B3442" t="s">
        <v>1231</v>
      </c>
      <c r="C3442" t="s">
        <v>966</v>
      </c>
      <c r="D3442">
        <v>0</v>
      </c>
      <c r="E3442">
        <v>18.05</v>
      </c>
      <c r="F3442">
        <v>0</v>
      </c>
      <c r="G3442">
        <v>0</v>
      </c>
    </row>
    <row r="3443" spans="1:7" hidden="1">
      <c r="A3443">
        <v>265</v>
      </c>
      <c r="B3443" t="s">
        <v>1231</v>
      </c>
      <c r="C3443" t="s">
        <v>967</v>
      </c>
      <c r="D3443">
        <v>0.09</v>
      </c>
      <c r="E3443">
        <v>17.91</v>
      </c>
      <c r="F3443">
        <v>0.22</v>
      </c>
      <c r="G3443">
        <v>0</v>
      </c>
    </row>
    <row r="3444" spans="1:7" hidden="1">
      <c r="A3444">
        <v>265</v>
      </c>
      <c r="B3444" t="s">
        <v>1231</v>
      </c>
      <c r="C3444" t="s">
        <v>968</v>
      </c>
      <c r="D3444">
        <v>0.91</v>
      </c>
      <c r="E3444">
        <v>18.09</v>
      </c>
      <c r="F3444">
        <v>2.36</v>
      </c>
      <c r="G3444">
        <v>0</v>
      </c>
    </row>
    <row r="3445" spans="1:7" hidden="1">
      <c r="A3445">
        <v>265</v>
      </c>
      <c r="B3445" t="s">
        <v>1231</v>
      </c>
      <c r="C3445" t="s">
        <v>969</v>
      </c>
      <c r="D3445">
        <v>0.02</v>
      </c>
      <c r="E3445">
        <v>24.75</v>
      </c>
      <c r="F3445">
        <v>0.06</v>
      </c>
      <c r="G3445">
        <v>0</v>
      </c>
    </row>
    <row r="3446" spans="1:7" hidden="1">
      <c r="A3446">
        <v>265</v>
      </c>
      <c r="B3446" t="s">
        <v>1231</v>
      </c>
      <c r="C3446" t="s">
        <v>970</v>
      </c>
      <c r="D3446">
        <v>0.38</v>
      </c>
      <c r="E3446">
        <v>24.75</v>
      </c>
      <c r="F3446">
        <v>1.34</v>
      </c>
      <c r="G3446">
        <v>0</v>
      </c>
    </row>
    <row r="3447" spans="1:7" hidden="1">
      <c r="A3447">
        <v>266</v>
      </c>
      <c r="B3447" t="s">
        <v>1232</v>
      </c>
      <c r="C3447" t="s">
        <v>959</v>
      </c>
      <c r="D3447">
        <v>2.31</v>
      </c>
      <c r="E3447">
        <v>18.309999999999999</v>
      </c>
      <c r="F3447">
        <v>6.04</v>
      </c>
      <c r="G3447">
        <v>0.02</v>
      </c>
    </row>
    <row r="3448" spans="1:7" hidden="1">
      <c r="A3448">
        <v>266</v>
      </c>
      <c r="B3448" t="s">
        <v>1232</v>
      </c>
      <c r="C3448" t="s">
        <v>960</v>
      </c>
      <c r="D3448">
        <v>2.3199999999999998</v>
      </c>
      <c r="E3448">
        <v>18.399999999999999</v>
      </c>
      <c r="F3448">
        <v>6.1</v>
      </c>
      <c r="G3448">
        <v>0.04</v>
      </c>
    </row>
    <row r="3449" spans="1:7" hidden="1">
      <c r="A3449">
        <v>266</v>
      </c>
      <c r="B3449" t="s">
        <v>1232</v>
      </c>
      <c r="C3449" t="s">
        <v>961</v>
      </c>
      <c r="D3449">
        <v>2.97</v>
      </c>
      <c r="E3449">
        <v>20.059999999999999</v>
      </c>
      <c r="F3449">
        <v>8.52</v>
      </c>
      <c r="G3449">
        <v>0.03</v>
      </c>
    </row>
    <row r="3450" spans="1:7" hidden="1">
      <c r="A3450">
        <v>266</v>
      </c>
      <c r="B3450" t="s">
        <v>1232</v>
      </c>
      <c r="C3450" t="s">
        <v>962</v>
      </c>
      <c r="D3450">
        <v>0.86</v>
      </c>
      <c r="E3450">
        <v>24.72</v>
      </c>
      <c r="F3450">
        <v>3.02</v>
      </c>
      <c r="G3450">
        <v>0.01</v>
      </c>
    </row>
    <row r="3451" spans="1:7" hidden="1">
      <c r="A3451">
        <v>266</v>
      </c>
      <c r="B3451" t="s">
        <v>1232</v>
      </c>
      <c r="C3451" t="s">
        <v>963</v>
      </c>
      <c r="D3451">
        <v>1.82</v>
      </c>
      <c r="E3451">
        <v>18.13</v>
      </c>
      <c r="F3451">
        <v>4.72</v>
      </c>
      <c r="G3451">
        <v>0.02</v>
      </c>
    </row>
    <row r="3452" spans="1:7" hidden="1">
      <c r="A3452">
        <v>266</v>
      </c>
      <c r="B3452" t="s">
        <v>1232</v>
      </c>
      <c r="C3452" t="s">
        <v>964</v>
      </c>
      <c r="D3452">
        <v>0.1</v>
      </c>
      <c r="E3452">
        <v>21.87</v>
      </c>
      <c r="F3452">
        <v>0.31</v>
      </c>
      <c r="G3452">
        <v>0</v>
      </c>
    </row>
    <row r="3453" spans="1:7" hidden="1">
      <c r="A3453">
        <v>266</v>
      </c>
      <c r="B3453" t="s">
        <v>1232</v>
      </c>
      <c r="C3453" t="s">
        <v>965</v>
      </c>
      <c r="D3453">
        <v>1.91</v>
      </c>
      <c r="E3453">
        <v>24.75</v>
      </c>
      <c r="F3453">
        <v>6.77</v>
      </c>
      <c r="G3453">
        <v>0.02</v>
      </c>
    </row>
    <row r="3454" spans="1:7">
      <c r="A3454">
        <v>266</v>
      </c>
      <c r="B3454" t="s">
        <v>1232</v>
      </c>
      <c r="C3454" t="s">
        <v>24</v>
      </c>
      <c r="D3454">
        <v>12.3</v>
      </c>
      <c r="E3454">
        <v>20.2</v>
      </c>
      <c r="F3454">
        <v>35.479999999999997</v>
      </c>
      <c r="G3454">
        <v>0.14000000000000001</v>
      </c>
    </row>
    <row r="3455" spans="1:7" hidden="1">
      <c r="A3455">
        <v>266</v>
      </c>
      <c r="B3455" t="s">
        <v>1232</v>
      </c>
      <c r="C3455" t="s">
        <v>966</v>
      </c>
      <c r="D3455">
        <v>0.08</v>
      </c>
      <c r="E3455">
        <v>18.05</v>
      </c>
      <c r="F3455">
        <v>0.2</v>
      </c>
      <c r="G3455">
        <v>7.0000000000000007E-2</v>
      </c>
    </row>
    <row r="3456" spans="1:7" hidden="1">
      <c r="A3456">
        <v>266</v>
      </c>
      <c r="B3456" t="s">
        <v>1232</v>
      </c>
      <c r="C3456" t="s">
        <v>967</v>
      </c>
      <c r="D3456">
        <v>0</v>
      </c>
      <c r="E3456">
        <v>17.91</v>
      </c>
      <c r="F3456">
        <v>0.01</v>
      </c>
      <c r="G3456">
        <v>0</v>
      </c>
    </row>
    <row r="3457" spans="1:7" hidden="1">
      <c r="A3457">
        <v>266</v>
      </c>
      <c r="B3457" t="s">
        <v>1232</v>
      </c>
      <c r="C3457" t="s">
        <v>968</v>
      </c>
      <c r="D3457">
        <v>1.1100000000000001</v>
      </c>
      <c r="E3457">
        <v>18.09</v>
      </c>
      <c r="F3457">
        <v>2.88</v>
      </c>
      <c r="G3457">
        <v>0.01</v>
      </c>
    </row>
    <row r="3458" spans="1:7" hidden="1">
      <c r="A3458">
        <v>266</v>
      </c>
      <c r="B3458" t="s">
        <v>1232</v>
      </c>
      <c r="C3458" t="s">
        <v>969</v>
      </c>
      <c r="D3458">
        <v>0.03</v>
      </c>
      <c r="E3458">
        <v>24.75</v>
      </c>
      <c r="F3458">
        <v>0.09</v>
      </c>
      <c r="G3458">
        <v>0</v>
      </c>
    </row>
    <row r="3459" spans="1:7" hidden="1">
      <c r="A3459">
        <v>266</v>
      </c>
      <c r="B3459" t="s">
        <v>1232</v>
      </c>
      <c r="C3459" t="s">
        <v>970</v>
      </c>
      <c r="D3459">
        <v>0.49</v>
      </c>
      <c r="E3459">
        <v>24.75</v>
      </c>
      <c r="F3459">
        <v>1.75</v>
      </c>
      <c r="G3459">
        <v>0</v>
      </c>
    </row>
    <row r="3460" spans="1:7" hidden="1">
      <c r="A3460">
        <v>267</v>
      </c>
      <c r="B3460" t="s">
        <v>1233</v>
      </c>
      <c r="C3460" t="s">
        <v>959</v>
      </c>
      <c r="D3460">
        <v>2.13</v>
      </c>
      <c r="E3460">
        <v>18.309999999999999</v>
      </c>
      <c r="F3460">
        <v>5.57</v>
      </c>
      <c r="G3460">
        <v>0.03</v>
      </c>
    </row>
    <row r="3461" spans="1:7" hidden="1">
      <c r="A3461">
        <v>267</v>
      </c>
      <c r="B3461" t="s">
        <v>1233</v>
      </c>
      <c r="C3461" t="s">
        <v>960</v>
      </c>
      <c r="D3461">
        <v>2.12</v>
      </c>
      <c r="E3461">
        <v>18.399999999999999</v>
      </c>
      <c r="F3461">
        <v>5.56</v>
      </c>
      <c r="G3461">
        <v>0.06</v>
      </c>
    </row>
    <row r="3462" spans="1:7" hidden="1">
      <c r="A3462">
        <v>267</v>
      </c>
      <c r="B3462" t="s">
        <v>1233</v>
      </c>
      <c r="C3462" t="s">
        <v>961</v>
      </c>
      <c r="D3462">
        <v>2.34</v>
      </c>
      <c r="E3462">
        <v>20.059999999999999</v>
      </c>
      <c r="F3462">
        <v>6.7</v>
      </c>
      <c r="G3462">
        <v>0.05</v>
      </c>
    </row>
    <row r="3463" spans="1:7" hidden="1">
      <c r="A3463">
        <v>267</v>
      </c>
      <c r="B3463" t="s">
        <v>1233</v>
      </c>
      <c r="C3463" t="s">
        <v>962</v>
      </c>
      <c r="D3463">
        <v>0.75</v>
      </c>
      <c r="E3463">
        <v>24.72</v>
      </c>
      <c r="F3463">
        <v>2.66</v>
      </c>
      <c r="G3463">
        <v>0.01</v>
      </c>
    </row>
    <row r="3464" spans="1:7" hidden="1">
      <c r="A3464">
        <v>267</v>
      </c>
      <c r="B3464" t="s">
        <v>1233</v>
      </c>
      <c r="C3464" t="s">
        <v>963</v>
      </c>
      <c r="D3464">
        <v>1.82</v>
      </c>
      <c r="E3464">
        <v>18.13</v>
      </c>
      <c r="F3464">
        <v>4.72</v>
      </c>
      <c r="G3464">
        <v>0.03</v>
      </c>
    </row>
    <row r="3465" spans="1:7" hidden="1">
      <c r="A3465">
        <v>267</v>
      </c>
      <c r="B3465" t="s">
        <v>1233</v>
      </c>
      <c r="C3465" t="s">
        <v>964</v>
      </c>
      <c r="D3465">
        <v>0.08</v>
      </c>
      <c r="E3465">
        <v>21.87</v>
      </c>
      <c r="F3465">
        <v>0.26</v>
      </c>
      <c r="G3465">
        <v>0</v>
      </c>
    </row>
    <row r="3466" spans="1:7" hidden="1">
      <c r="A3466">
        <v>267</v>
      </c>
      <c r="B3466" t="s">
        <v>1233</v>
      </c>
      <c r="C3466" t="s">
        <v>965</v>
      </c>
      <c r="D3466">
        <v>1.85</v>
      </c>
      <c r="E3466">
        <v>24.75</v>
      </c>
      <c r="F3466">
        <v>6.54</v>
      </c>
      <c r="G3466">
        <v>0.02</v>
      </c>
    </row>
    <row r="3467" spans="1:7">
      <c r="A3467">
        <v>267</v>
      </c>
      <c r="B3467" t="s">
        <v>1233</v>
      </c>
      <c r="C3467" t="s">
        <v>24</v>
      </c>
      <c r="D3467">
        <v>11.09</v>
      </c>
      <c r="E3467">
        <v>20.2</v>
      </c>
      <c r="F3467">
        <v>32</v>
      </c>
      <c r="G3467">
        <v>0.2</v>
      </c>
    </row>
    <row r="3468" spans="1:7" hidden="1">
      <c r="A3468">
        <v>267</v>
      </c>
      <c r="B3468" t="s">
        <v>1233</v>
      </c>
      <c r="C3468" t="s">
        <v>966</v>
      </c>
      <c r="D3468">
        <v>0.1</v>
      </c>
      <c r="E3468">
        <v>18.05</v>
      </c>
      <c r="F3468">
        <v>0.25</v>
      </c>
      <c r="G3468">
        <v>0.09</v>
      </c>
    </row>
    <row r="3469" spans="1:7" hidden="1">
      <c r="A3469">
        <v>267</v>
      </c>
      <c r="B3469" t="s">
        <v>1233</v>
      </c>
      <c r="C3469" t="s">
        <v>967</v>
      </c>
      <c r="D3469">
        <v>0</v>
      </c>
      <c r="E3469">
        <v>17.91</v>
      </c>
      <c r="F3469">
        <v>0.01</v>
      </c>
      <c r="G3469">
        <v>0</v>
      </c>
    </row>
    <row r="3470" spans="1:7" hidden="1">
      <c r="A3470">
        <v>267</v>
      </c>
      <c r="B3470" t="s">
        <v>1233</v>
      </c>
      <c r="C3470" t="s">
        <v>968</v>
      </c>
      <c r="D3470">
        <v>1.1000000000000001</v>
      </c>
      <c r="E3470">
        <v>18.09</v>
      </c>
      <c r="F3470">
        <v>2.83</v>
      </c>
      <c r="G3470">
        <v>0.01</v>
      </c>
    </row>
    <row r="3471" spans="1:7" hidden="1">
      <c r="A3471">
        <v>267</v>
      </c>
      <c r="B3471" t="s">
        <v>1233</v>
      </c>
      <c r="C3471" t="s">
        <v>969</v>
      </c>
      <c r="D3471">
        <v>0.03</v>
      </c>
      <c r="E3471">
        <v>24.75</v>
      </c>
      <c r="F3471">
        <v>0.11</v>
      </c>
      <c r="G3471">
        <v>0</v>
      </c>
    </row>
    <row r="3472" spans="1:7" hidden="1">
      <c r="A3472">
        <v>267</v>
      </c>
      <c r="B3472" t="s">
        <v>1233</v>
      </c>
      <c r="C3472" t="s">
        <v>970</v>
      </c>
      <c r="D3472">
        <v>0.49</v>
      </c>
      <c r="E3472">
        <v>24.75</v>
      </c>
      <c r="F3472">
        <v>1.74</v>
      </c>
      <c r="G3472">
        <v>0</v>
      </c>
    </row>
    <row r="3473" spans="1:7" hidden="1">
      <c r="A3473">
        <v>268</v>
      </c>
      <c r="B3473" t="s">
        <v>1234</v>
      </c>
      <c r="C3473" t="s">
        <v>959</v>
      </c>
      <c r="D3473">
        <v>2.5099999999999998</v>
      </c>
      <c r="E3473">
        <v>18.309999999999999</v>
      </c>
      <c r="F3473">
        <v>6.56</v>
      </c>
      <c r="G3473">
        <v>0.01</v>
      </c>
    </row>
    <row r="3474" spans="1:7" hidden="1">
      <c r="A3474">
        <v>268</v>
      </c>
      <c r="B3474" t="s">
        <v>1234</v>
      </c>
      <c r="C3474" t="s">
        <v>960</v>
      </c>
      <c r="D3474">
        <v>2.52</v>
      </c>
      <c r="E3474">
        <v>18.399999999999999</v>
      </c>
      <c r="F3474">
        <v>6.63</v>
      </c>
      <c r="G3474">
        <v>0.04</v>
      </c>
    </row>
    <row r="3475" spans="1:7" hidden="1">
      <c r="A3475">
        <v>268</v>
      </c>
      <c r="B3475" t="s">
        <v>1234</v>
      </c>
      <c r="C3475" t="s">
        <v>961</v>
      </c>
      <c r="D3475">
        <v>3.43</v>
      </c>
      <c r="E3475">
        <v>20.059999999999999</v>
      </c>
      <c r="F3475">
        <v>9.83</v>
      </c>
      <c r="G3475">
        <v>0.02</v>
      </c>
    </row>
    <row r="3476" spans="1:7" hidden="1">
      <c r="A3476">
        <v>268</v>
      </c>
      <c r="B3476" t="s">
        <v>1234</v>
      </c>
      <c r="C3476" t="s">
        <v>962</v>
      </c>
      <c r="D3476">
        <v>0.95</v>
      </c>
      <c r="E3476">
        <v>24.72</v>
      </c>
      <c r="F3476">
        <v>3.34</v>
      </c>
      <c r="G3476">
        <v>0</v>
      </c>
    </row>
    <row r="3477" spans="1:7" hidden="1">
      <c r="A3477">
        <v>268</v>
      </c>
      <c r="B3477" t="s">
        <v>1234</v>
      </c>
      <c r="C3477" t="s">
        <v>963</v>
      </c>
      <c r="D3477">
        <v>1.88</v>
      </c>
      <c r="E3477">
        <v>18.13</v>
      </c>
      <c r="F3477">
        <v>4.87</v>
      </c>
      <c r="G3477">
        <v>0.01</v>
      </c>
    </row>
    <row r="3478" spans="1:7" hidden="1">
      <c r="A3478">
        <v>268</v>
      </c>
      <c r="B3478" t="s">
        <v>1234</v>
      </c>
      <c r="C3478" t="s">
        <v>964</v>
      </c>
      <c r="D3478">
        <v>0.11</v>
      </c>
      <c r="E3478">
        <v>21.87</v>
      </c>
      <c r="F3478">
        <v>0.36</v>
      </c>
      <c r="G3478">
        <v>0</v>
      </c>
    </row>
    <row r="3479" spans="1:7" hidden="1">
      <c r="A3479">
        <v>268</v>
      </c>
      <c r="B3479" t="s">
        <v>1234</v>
      </c>
      <c r="C3479" t="s">
        <v>965</v>
      </c>
      <c r="D3479">
        <v>2.02</v>
      </c>
      <c r="E3479">
        <v>24.75</v>
      </c>
      <c r="F3479">
        <v>7.16</v>
      </c>
      <c r="G3479">
        <v>0.01</v>
      </c>
    </row>
    <row r="3480" spans="1:7">
      <c r="A3480">
        <v>268</v>
      </c>
      <c r="B3480" t="s">
        <v>1234</v>
      </c>
      <c r="C3480" t="s">
        <v>24</v>
      </c>
      <c r="D3480">
        <v>13.43</v>
      </c>
      <c r="E3480">
        <v>20.2</v>
      </c>
      <c r="F3480">
        <v>38.75</v>
      </c>
      <c r="G3480">
        <v>0.1</v>
      </c>
    </row>
    <row r="3481" spans="1:7" hidden="1">
      <c r="A3481">
        <v>268</v>
      </c>
      <c r="B3481" t="s">
        <v>1234</v>
      </c>
      <c r="C3481" t="s">
        <v>966</v>
      </c>
      <c r="D3481">
        <v>7.0000000000000007E-2</v>
      </c>
      <c r="E3481">
        <v>18.05</v>
      </c>
      <c r="F3481">
        <v>0.19</v>
      </c>
      <c r="G3481">
        <v>0.05</v>
      </c>
    </row>
    <row r="3482" spans="1:7" hidden="1">
      <c r="A3482">
        <v>268</v>
      </c>
      <c r="B3482" t="s">
        <v>1234</v>
      </c>
      <c r="C3482" t="s">
        <v>967</v>
      </c>
      <c r="D3482">
        <v>0</v>
      </c>
      <c r="E3482">
        <v>17.91</v>
      </c>
      <c r="F3482">
        <v>0</v>
      </c>
      <c r="G3482">
        <v>0</v>
      </c>
    </row>
    <row r="3483" spans="1:7" hidden="1">
      <c r="A3483">
        <v>268</v>
      </c>
      <c r="B3483" t="s">
        <v>1234</v>
      </c>
      <c r="C3483" t="s">
        <v>968</v>
      </c>
      <c r="D3483">
        <v>1.23</v>
      </c>
      <c r="E3483">
        <v>18.09</v>
      </c>
      <c r="F3483">
        <v>3.18</v>
      </c>
      <c r="G3483">
        <v>0.01</v>
      </c>
    </row>
    <row r="3484" spans="1:7" hidden="1">
      <c r="A3484">
        <v>268</v>
      </c>
      <c r="B3484" t="s">
        <v>1234</v>
      </c>
      <c r="C3484" t="s">
        <v>969</v>
      </c>
      <c r="D3484">
        <v>0.03</v>
      </c>
      <c r="E3484">
        <v>24.75</v>
      </c>
      <c r="F3484">
        <v>0.09</v>
      </c>
      <c r="G3484">
        <v>0</v>
      </c>
    </row>
    <row r="3485" spans="1:7" hidden="1">
      <c r="A3485">
        <v>268</v>
      </c>
      <c r="B3485" t="s">
        <v>1234</v>
      </c>
      <c r="C3485" t="s">
        <v>970</v>
      </c>
      <c r="D3485">
        <v>0.56999999999999995</v>
      </c>
      <c r="E3485">
        <v>24.75</v>
      </c>
      <c r="F3485">
        <v>2.02</v>
      </c>
      <c r="G3485">
        <v>0</v>
      </c>
    </row>
    <row r="3486" spans="1:7" hidden="1">
      <c r="A3486">
        <v>269</v>
      </c>
      <c r="B3486" t="s">
        <v>1235</v>
      </c>
      <c r="C3486" t="s">
        <v>959</v>
      </c>
      <c r="D3486">
        <v>2.56</v>
      </c>
      <c r="E3486">
        <v>18.309999999999999</v>
      </c>
      <c r="F3486">
        <v>6.7</v>
      </c>
      <c r="G3486">
        <v>0</v>
      </c>
    </row>
    <row r="3487" spans="1:7" hidden="1">
      <c r="A3487">
        <v>269</v>
      </c>
      <c r="B3487" t="s">
        <v>1235</v>
      </c>
      <c r="C3487" t="s">
        <v>960</v>
      </c>
      <c r="D3487">
        <v>2.63</v>
      </c>
      <c r="E3487">
        <v>18.399999999999999</v>
      </c>
      <c r="F3487">
        <v>6.91</v>
      </c>
      <c r="G3487">
        <v>0</v>
      </c>
    </row>
    <row r="3488" spans="1:7" hidden="1">
      <c r="A3488">
        <v>269</v>
      </c>
      <c r="B3488" t="s">
        <v>1235</v>
      </c>
      <c r="C3488" t="s">
        <v>961</v>
      </c>
      <c r="D3488">
        <v>4.1100000000000003</v>
      </c>
      <c r="E3488">
        <v>20.059999999999999</v>
      </c>
      <c r="F3488">
        <v>11.77</v>
      </c>
      <c r="G3488">
        <v>0.01</v>
      </c>
    </row>
    <row r="3489" spans="1:7" hidden="1">
      <c r="A3489">
        <v>269</v>
      </c>
      <c r="B3489" t="s">
        <v>1235</v>
      </c>
      <c r="C3489" t="s">
        <v>962</v>
      </c>
      <c r="D3489">
        <v>1.03</v>
      </c>
      <c r="E3489">
        <v>24.72</v>
      </c>
      <c r="F3489">
        <v>3.62</v>
      </c>
      <c r="G3489">
        <v>0</v>
      </c>
    </row>
    <row r="3490" spans="1:7" hidden="1">
      <c r="A3490">
        <v>269</v>
      </c>
      <c r="B3490" t="s">
        <v>1235</v>
      </c>
      <c r="C3490" t="s">
        <v>963</v>
      </c>
      <c r="D3490">
        <v>1.76</v>
      </c>
      <c r="E3490">
        <v>18.13</v>
      </c>
      <c r="F3490">
        <v>4.57</v>
      </c>
      <c r="G3490">
        <v>0.01</v>
      </c>
    </row>
    <row r="3491" spans="1:7" hidden="1">
      <c r="A3491">
        <v>269</v>
      </c>
      <c r="B3491" t="s">
        <v>1235</v>
      </c>
      <c r="C3491" t="s">
        <v>964</v>
      </c>
      <c r="D3491">
        <v>0.13</v>
      </c>
      <c r="E3491">
        <v>21.87</v>
      </c>
      <c r="F3491">
        <v>0.4</v>
      </c>
      <c r="G3491">
        <v>0</v>
      </c>
    </row>
    <row r="3492" spans="1:7" hidden="1">
      <c r="A3492">
        <v>269</v>
      </c>
      <c r="B3492" t="s">
        <v>1235</v>
      </c>
      <c r="C3492" t="s">
        <v>965</v>
      </c>
      <c r="D3492">
        <v>1.96</v>
      </c>
      <c r="E3492">
        <v>24.75</v>
      </c>
      <c r="F3492">
        <v>6.91</v>
      </c>
      <c r="G3492">
        <v>0.01</v>
      </c>
    </row>
    <row r="3493" spans="1:7">
      <c r="A3493">
        <v>269</v>
      </c>
      <c r="B3493" t="s">
        <v>1235</v>
      </c>
      <c r="C3493" t="s">
        <v>24</v>
      </c>
      <c r="D3493">
        <v>14.17</v>
      </c>
      <c r="E3493">
        <v>20.2</v>
      </c>
      <c r="F3493">
        <v>40.89</v>
      </c>
      <c r="G3493">
        <v>0.02</v>
      </c>
    </row>
    <row r="3494" spans="1:7" hidden="1">
      <c r="A3494">
        <v>269</v>
      </c>
      <c r="B3494" t="s">
        <v>1235</v>
      </c>
      <c r="C3494" t="s">
        <v>966</v>
      </c>
      <c r="D3494">
        <v>0.03</v>
      </c>
      <c r="E3494">
        <v>18.05</v>
      </c>
      <c r="F3494">
        <v>7.0000000000000007E-2</v>
      </c>
      <c r="G3494">
        <v>0.02</v>
      </c>
    </row>
    <row r="3495" spans="1:7" hidden="1">
      <c r="A3495">
        <v>269</v>
      </c>
      <c r="B3495" t="s">
        <v>1235</v>
      </c>
      <c r="C3495" t="s">
        <v>967</v>
      </c>
      <c r="D3495">
        <v>0</v>
      </c>
      <c r="E3495">
        <v>17.91</v>
      </c>
      <c r="F3495">
        <v>0.01</v>
      </c>
      <c r="G3495">
        <v>0</v>
      </c>
    </row>
    <row r="3496" spans="1:7" hidden="1">
      <c r="A3496">
        <v>269</v>
      </c>
      <c r="B3496" t="s">
        <v>1235</v>
      </c>
      <c r="C3496" t="s">
        <v>968</v>
      </c>
      <c r="D3496">
        <v>1.03</v>
      </c>
      <c r="E3496">
        <v>18.09</v>
      </c>
      <c r="F3496">
        <v>2.66</v>
      </c>
      <c r="G3496">
        <v>0</v>
      </c>
    </row>
    <row r="3497" spans="1:7" hidden="1">
      <c r="A3497">
        <v>269</v>
      </c>
      <c r="B3497" t="s">
        <v>1235</v>
      </c>
      <c r="C3497" t="s">
        <v>969</v>
      </c>
      <c r="D3497">
        <v>0.01</v>
      </c>
      <c r="E3497">
        <v>24.75</v>
      </c>
      <c r="F3497">
        <v>0.04</v>
      </c>
      <c r="G3497">
        <v>0</v>
      </c>
    </row>
    <row r="3498" spans="1:7" hidden="1">
      <c r="A3498">
        <v>269</v>
      </c>
      <c r="B3498" t="s">
        <v>1235</v>
      </c>
      <c r="C3498" t="s">
        <v>970</v>
      </c>
      <c r="D3498">
        <v>0.41</v>
      </c>
      <c r="E3498">
        <v>24.75</v>
      </c>
      <c r="F3498">
        <v>1.45</v>
      </c>
      <c r="G3498">
        <v>0</v>
      </c>
    </row>
    <row r="3499" spans="1:7" hidden="1">
      <c r="A3499">
        <v>270</v>
      </c>
      <c r="B3499" t="s">
        <v>1236</v>
      </c>
      <c r="C3499" t="s">
        <v>959</v>
      </c>
      <c r="D3499">
        <v>1.47</v>
      </c>
      <c r="E3499">
        <v>18.309999999999999</v>
      </c>
      <c r="F3499">
        <v>3.84</v>
      </c>
      <c r="G3499">
        <v>0.2</v>
      </c>
    </row>
    <row r="3500" spans="1:7" hidden="1">
      <c r="A3500">
        <v>270</v>
      </c>
      <c r="B3500" t="s">
        <v>1236</v>
      </c>
      <c r="C3500" t="s">
        <v>960</v>
      </c>
      <c r="D3500">
        <v>1.04</v>
      </c>
      <c r="E3500">
        <v>18.399999999999999</v>
      </c>
      <c r="F3500">
        <v>2.73</v>
      </c>
      <c r="G3500">
        <v>0.36</v>
      </c>
    </row>
    <row r="3501" spans="1:7" hidden="1">
      <c r="A3501">
        <v>270</v>
      </c>
      <c r="B3501" t="s">
        <v>1236</v>
      </c>
      <c r="C3501" t="s">
        <v>961</v>
      </c>
      <c r="D3501">
        <v>1.38</v>
      </c>
      <c r="E3501">
        <v>20.059999999999999</v>
      </c>
      <c r="F3501">
        <v>3.96</v>
      </c>
      <c r="G3501">
        <v>0.27</v>
      </c>
    </row>
    <row r="3502" spans="1:7" hidden="1">
      <c r="A3502">
        <v>270</v>
      </c>
      <c r="B3502" t="s">
        <v>1236</v>
      </c>
      <c r="C3502" t="s">
        <v>962</v>
      </c>
      <c r="D3502">
        <v>0.74</v>
      </c>
      <c r="E3502">
        <v>24.72</v>
      </c>
      <c r="F3502">
        <v>2.61</v>
      </c>
      <c r="G3502">
        <v>0.02</v>
      </c>
    </row>
    <row r="3503" spans="1:7" hidden="1">
      <c r="A3503">
        <v>270</v>
      </c>
      <c r="B3503" t="s">
        <v>1236</v>
      </c>
      <c r="C3503" t="s">
        <v>963</v>
      </c>
      <c r="D3503">
        <v>1.71</v>
      </c>
      <c r="E3503">
        <v>18.13</v>
      </c>
      <c r="F3503">
        <v>4.42</v>
      </c>
      <c r="G3503">
        <v>0.16</v>
      </c>
    </row>
    <row r="3504" spans="1:7" hidden="1">
      <c r="A3504">
        <v>270</v>
      </c>
      <c r="B3504" t="s">
        <v>1236</v>
      </c>
      <c r="C3504" t="s">
        <v>964</v>
      </c>
      <c r="D3504">
        <v>0.21</v>
      </c>
      <c r="E3504">
        <v>21.87</v>
      </c>
      <c r="F3504">
        <v>0.67</v>
      </c>
      <c r="G3504">
        <v>0.01</v>
      </c>
    </row>
    <row r="3505" spans="1:7" hidden="1">
      <c r="A3505">
        <v>270</v>
      </c>
      <c r="B3505" t="s">
        <v>1236</v>
      </c>
      <c r="C3505" t="s">
        <v>965</v>
      </c>
      <c r="D3505">
        <v>1.8</v>
      </c>
      <c r="E3505">
        <v>24.75</v>
      </c>
      <c r="F3505">
        <v>6.37</v>
      </c>
      <c r="G3505">
        <v>0.09</v>
      </c>
    </row>
    <row r="3506" spans="1:7">
      <c r="A3506">
        <v>270</v>
      </c>
      <c r="B3506" t="s">
        <v>1236</v>
      </c>
      <c r="C3506" t="s">
        <v>24</v>
      </c>
      <c r="D3506">
        <v>8.35</v>
      </c>
      <c r="E3506">
        <v>20.62</v>
      </c>
      <c r="F3506">
        <v>24.6</v>
      </c>
      <c r="G3506">
        <v>1.1000000000000001</v>
      </c>
    </row>
    <row r="3507" spans="1:7" hidden="1">
      <c r="A3507">
        <v>270</v>
      </c>
      <c r="B3507" t="s">
        <v>1236</v>
      </c>
      <c r="C3507" t="s">
        <v>966</v>
      </c>
      <c r="D3507">
        <v>0.74</v>
      </c>
      <c r="E3507">
        <v>18.05</v>
      </c>
      <c r="F3507">
        <v>1.9</v>
      </c>
      <c r="G3507">
        <v>0.47</v>
      </c>
    </row>
    <row r="3508" spans="1:7" hidden="1">
      <c r="A3508">
        <v>270</v>
      </c>
      <c r="B3508" t="s">
        <v>1236</v>
      </c>
      <c r="C3508" t="s">
        <v>967</v>
      </c>
      <c r="D3508">
        <v>0.13</v>
      </c>
      <c r="E3508">
        <v>17.91</v>
      </c>
      <c r="F3508">
        <v>0.32</v>
      </c>
      <c r="G3508">
        <v>0.01</v>
      </c>
    </row>
    <row r="3509" spans="1:7" hidden="1">
      <c r="A3509">
        <v>270</v>
      </c>
      <c r="B3509" t="s">
        <v>1236</v>
      </c>
      <c r="C3509" t="s">
        <v>968</v>
      </c>
      <c r="D3509">
        <v>0.71</v>
      </c>
      <c r="E3509">
        <v>18.09</v>
      </c>
      <c r="F3509">
        <v>1.84</v>
      </c>
      <c r="G3509">
        <v>0.02</v>
      </c>
    </row>
    <row r="3510" spans="1:7" hidden="1">
      <c r="A3510">
        <v>270</v>
      </c>
      <c r="B3510" t="s">
        <v>1236</v>
      </c>
      <c r="C3510" t="s">
        <v>969</v>
      </c>
      <c r="D3510">
        <v>0.36</v>
      </c>
      <c r="E3510">
        <v>24.75</v>
      </c>
      <c r="F3510">
        <v>1.28</v>
      </c>
      <c r="G3510">
        <v>0</v>
      </c>
    </row>
    <row r="3511" spans="1:7" hidden="1">
      <c r="A3511">
        <v>270</v>
      </c>
      <c r="B3511" t="s">
        <v>1236</v>
      </c>
      <c r="C3511" t="s">
        <v>970</v>
      </c>
      <c r="D3511">
        <v>0.65</v>
      </c>
      <c r="E3511">
        <v>24.75</v>
      </c>
      <c r="F3511">
        <v>2.29</v>
      </c>
      <c r="G3511">
        <v>0.02</v>
      </c>
    </row>
    <row r="3512" spans="1:7" hidden="1">
      <c r="A3512">
        <v>271</v>
      </c>
      <c r="B3512" t="s">
        <v>1237</v>
      </c>
      <c r="C3512" t="s">
        <v>959</v>
      </c>
      <c r="D3512">
        <v>0.7</v>
      </c>
      <c r="E3512">
        <v>18.309999999999999</v>
      </c>
      <c r="F3512">
        <v>1.84</v>
      </c>
      <c r="G3512">
        <v>0</v>
      </c>
    </row>
    <row r="3513" spans="1:7" hidden="1">
      <c r="A3513">
        <v>271</v>
      </c>
      <c r="B3513" t="s">
        <v>1237</v>
      </c>
      <c r="C3513" t="s">
        <v>960</v>
      </c>
      <c r="D3513">
        <v>0.8</v>
      </c>
      <c r="E3513">
        <v>18.399999999999999</v>
      </c>
      <c r="F3513">
        <v>2.11</v>
      </c>
      <c r="G3513">
        <v>0</v>
      </c>
    </row>
    <row r="3514" spans="1:7" hidden="1">
      <c r="A3514">
        <v>271</v>
      </c>
      <c r="B3514" t="s">
        <v>1237</v>
      </c>
      <c r="C3514" t="s">
        <v>961</v>
      </c>
      <c r="D3514">
        <v>2.12</v>
      </c>
      <c r="E3514">
        <v>20.059999999999999</v>
      </c>
      <c r="F3514">
        <v>6.09</v>
      </c>
      <c r="G3514">
        <v>0</v>
      </c>
    </row>
    <row r="3515" spans="1:7" hidden="1">
      <c r="A3515">
        <v>271</v>
      </c>
      <c r="B3515" t="s">
        <v>1237</v>
      </c>
      <c r="C3515" t="s">
        <v>962</v>
      </c>
      <c r="D3515">
        <v>0.72</v>
      </c>
      <c r="E3515">
        <v>24.72</v>
      </c>
      <c r="F3515">
        <v>2.56</v>
      </c>
      <c r="G3515">
        <v>0</v>
      </c>
    </row>
    <row r="3516" spans="1:7" hidden="1">
      <c r="A3516">
        <v>271</v>
      </c>
      <c r="B3516" t="s">
        <v>1237</v>
      </c>
      <c r="C3516" t="s">
        <v>963</v>
      </c>
      <c r="D3516">
        <v>1.34</v>
      </c>
      <c r="E3516">
        <v>18.13</v>
      </c>
      <c r="F3516">
        <v>3.47</v>
      </c>
      <c r="G3516">
        <v>0</v>
      </c>
    </row>
    <row r="3517" spans="1:7" hidden="1">
      <c r="A3517">
        <v>271</v>
      </c>
      <c r="B3517" t="s">
        <v>1237</v>
      </c>
      <c r="C3517" t="s">
        <v>964</v>
      </c>
      <c r="D3517">
        <v>0.04</v>
      </c>
      <c r="E3517">
        <v>21.87</v>
      </c>
      <c r="F3517">
        <v>0.11</v>
      </c>
      <c r="G3517">
        <v>0</v>
      </c>
    </row>
    <row r="3518" spans="1:7" hidden="1">
      <c r="A3518">
        <v>271</v>
      </c>
      <c r="B3518" t="s">
        <v>1237</v>
      </c>
      <c r="C3518" t="s">
        <v>965</v>
      </c>
      <c r="D3518">
        <v>1.29</v>
      </c>
      <c r="E3518">
        <v>24.75</v>
      </c>
      <c r="F3518">
        <v>4.55</v>
      </c>
      <c r="G3518">
        <v>0</v>
      </c>
    </row>
    <row r="3519" spans="1:7">
      <c r="A3519">
        <v>271</v>
      </c>
      <c r="B3519" t="s">
        <v>1237</v>
      </c>
      <c r="C3519" t="s">
        <v>24</v>
      </c>
      <c r="D3519">
        <v>7.02</v>
      </c>
      <c r="E3519">
        <v>20.68</v>
      </c>
      <c r="F3519">
        <v>20.74</v>
      </c>
      <c r="G3519">
        <v>0</v>
      </c>
    </row>
    <row r="3520" spans="1:7" hidden="1">
      <c r="A3520">
        <v>271</v>
      </c>
      <c r="B3520" t="s">
        <v>1237</v>
      </c>
      <c r="C3520" t="s">
        <v>966</v>
      </c>
      <c r="D3520">
        <v>0.28000000000000003</v>
      </c>
      <c r="E3520">
        <v>18.05</v>
      </c>
      <c r="F3520">
        <v>0.73</v>
      </c>
      <c r="G3520">
        <v>0.18</v>
      </c>
    </row>
    <row r="3521" spans="1:7" hidden="1">
      <c r="A3521">
        <v>271</v>
      </c>
      <c r="B3521" t="s">
        <v>1237</v>
      </c>
      <c r="C3521" t="s">
        <v>967</v>
      </c>
      <c r="D3521">
        <v>0.03</v>
      </c>
      <c r="E3521">
        <v>17.91</v>
      </c>
      <c r="F3521">
        <v>0.08</v>
      </c>
      <c r="G3521">
        <v>0</v>
      </c>
    </row>
    <row r="3522" spans="1:7" hidden="1">
      <c r="A3522">
        <v>271</v>
      </c>
      <c r="B3522" t="s">
        <v>1237</v>
      </c>
      <c r="C3522" t="s">
        <v>968</v>
      </c>
      <c r="D3522">
        <v>0.65</v>
      </c>
      <c r="E3522">
        <v>18.09</v>
      </c>
      <c r="F3522">
        <v>1.67</v>
      </c>
      <c r="G3522">
        <v>0</v>
      </c>
    </row>
    <row r="3523" spans="1:7" hidden="1">
      <c r="A3523">
        <v>271</v>
      </c>
      <c r="B3523" t="s">
        <v>1237</v>
      </c>
      <c r="C3523" t="s">
        <v>969</v>
      </c>
      <c r="D3523">
        <v>0.26</v>
      </c>
      <c r="E3523">
        <v>24.75</v>
      </c>
      <c r="F3523">
        <v>0.92</v>
      </c>
      <c r="G3523">
        <v>0</v>
      </c>
    </row>
    <row r="3524" spans="1:7" hidden="1">
      <c r="A3524">
        <v>271</v>
      </c>
      <c r="B3524" t="s">
        <v>1237</v>
      </c>
      <c r="C3524" t="s">
        <v>970</v>
      </c>
      <c r="D3524">
        <v>0.56000000000000005</v>
      </c>
      <c r="E3524">
        <v>24.75</v>
      </c>
      <c r="F3524">
        <v>1.99</v>
      </c>
      <c r="G3524">
        <v>0</v>
      </c>
    </row>
    <row r="3525" spans="1:7" hidden="1">
      <c r="A3525">
        <v>272</v>
      </c>
      <c r="B3525" t="s">
        <v>1238</v>
      </c>
      <c r="C3525" t="s">
        <v>959</v>
      </c>
      <c r="D3525">
        <v>1.02</v>
      </c>
      <c r="E3525">
        <v>18.309999999999999</v>
      </c>
      <c r="F3525">
        <v>2.67</v>
      </c>
      <c r="G3525">
        <v>0.11</v>
      </c>
    </row>
    <row r="3526" spans="1:7" hidden="1">
      <c r="A3526">
        <v>272</v>
      </c>
      <c r="B3526" t="s">
        <v>1238</v>
      </c>
      <c r="C3526" t="s">
        <v>960</v>
      </c>
      <c r="D3526">
        <v>0.99</v>
      </c>
      <c r="E3526">
        <v>18.399999999999999</v>
      </c>
      <c r="F3526">
        <v>2.59</v>
      </c>
      <c r="G3526">
        <v>0.23</v>
      </c>
    </row>
    <row r="3527" spans="1:7" hidden="1">
      <c r="A3527">
        <v>272</v>
      </c>
      <c r="B3527" t="s">
        <v>1238</v>
      </c>
      <c r="C3527" t="s">
        <v>961</v>
      </c>
      <c r="D3527">
        <v>1.95</v>
      </c>
      <c r="E3527">
        <v>20.059999999999999</v>
      </c>
      <c r="F3527">
        <v>5.6</v>
      </c>
      <c r="G3527">
        <v>0.15</v>
      </c>
    </row>
    <row r="3528" spans="1:7" hidden="1">
      <c r="A3528">
        <v>272</v>
      </c>
      <c r="B3528" t="s">
        <v>1238</v>
      </c>
      <c r="C3528" t="s">
        <v>962</v>
      </c>
      <c r="D3528">
        <v>0.69</v>
      </c>
      <c r="E3528">
        <v>24.72</v>
      </c>
      <c r="F3528">
        <v>2.42</v>
      </c>
      <c r="G3528">
        <v>0.04</v>
      </c>
    </row>
    <row r="3529" spans="1:7" hidden="1">
      <c r="A3529">
        <v>272</v>
      </c>
      <c r="B3529" t="s">
        <v>1238</v>
      </c>
      <c r="C3529" t="s">
        <v>963</v>
      </c>
      <c r="D3529">
        <v>1.48</v>
      </c>
      <c r="E3529">
        <v>18.13</v>
      </c>
      <c r="F3529">
        <v>3.84</v>
      </c>
      <c r="G3529">
        <v>0.08</v>
      </c>
    </row>
    <row r="3530" spans="1:7" hidden="1">
      <c r="A3530">
        <v>272</v>
      </c>
      <c r="B3530" t="s">
        <v>1238</v>
      </c>
      <c r="C3530" t="s">
        <v>964</v>
      </c>
      <c r="D3530">
        <v>0.09</v>
      </c>
      <c r="E3530">
        <v>21.87</v>
      </c>
      <c r="F3530">
        <v>0.27</v>
      </c>
      <c r="G3530">
        <v>0</v>
      </c>
    </row>
    <row r="3531" spans="1:7" hidden="1">
      <c r="A3531">
        <v>272</v>
      </c>
      <c r="B3531" t="s">
        <v>1238</v>
      </c>
      <c r="C3531" t="s">
        <v>965</v>
      </c>
      <c r="D3531">
        <v>1.44</v>
      </c>
      <c r="E3531">
        <v>24.75</v>
      </c>
      <c r="F3531">
        <v>5.08</v>
      </c>
      <c r="G3531">
        <v>0.06</v>
      </c>
    </row>
    <row r="3532" spans="1:7">
      <c r="A3532">
        <v>272</v>
      </c>
      <c r="B3532" t="s">
        <v>1238</v>
      </c>
      <c r="C3532" t="s">
        <v>24</v>
      </c>
      <c r="D3532">
        <v>7.65</v>
      </c>
      <c r="E3532">
        <v>20.56</v>
      </c>
      <c r="F3532">
        <v>22.47</v>
      </c>
      <c r="G3532">
        <v>0.67</v>
      </c>
    </row>
    <row r="3533" spans="1:7" hidden="1">
      <c r="A3533">
        <v>272</v>
      </c>
      <c r="B3533" t="s">
        <v>1238</v>
      </c>
      <c r="C3533" t="s">
        <v>966</v>
      </c>
      <c r="D3533">
        <v>0.8</v>
      </c>
      <c r="E3533">
        <v>18.05</v>
      </c>
      <c r="F3533">
        <v>2.06</v>
      </c>
      <c r="G3533">
        <v>0.47</v>
      </c>
    </row>
    <row r="3534" spans="1:7" hidden="1">
      <c r="A3534">
        <v>272</v>
      </c>
      <c r="B3534" t="s">
        <v>1238</v>
      </c>
      <c r="C3534" t="s">
        <v>967</v>
      </c>
      <c r="D3534">
        <v>0.15</v>
      </c>
      <c r="E3534">
        <v>17.91</v>
      </c>
      <c r="F3534">
        <v>0.38</v>
      </c>
      <c r="G3534">
        <v>0</v>
      </c>
    </row>
    <row r="3535" spans="1:7" hidden="1">
      <c r="A3535">
        <v>272</v>
      </c>
      <c r="B3535" t="s">
        <v>1238</v>
      </c>
      <c r="C3535" t="s">
        <v>968</v>
      </c>
      <c r="D3535">
        <v>0.64</v>
      </c>
      <c r="E3535">
        <v>18.09</v>
      </c>
      <c r="F3535">
        <v>1.66</v>
      </c>
      <c r="G3535">
        <v>0.01</v>
      </c>
    </row>
    <row r="3536" spans="1:7" hidden="1">
      <c r="A3536">
        <v>272</v>
      </c>
      <c r="B3536" t="s">
        <v>1238</v>
      </c>
      <c r="C3536" t="s">
        <v>969</v>
      </c>
      <c r="D3536">
        <v>0.32</v>
      </c>
      <c r="E3536">
        <v>24.75</v>
      </c>
      <c r="F3536">
        <v>1.1200000000000001</v>
      </c>
      <c r="G3536">
        <v>0</v>
      </c>
    </row>
    <row r="3537" spans="1:7" hidden="1">
      <c r="A3537">
        <v>272</v>
      </c>
      <c r="B3537" t="s">
        <v>1238</v>
      </c>
      <c r="C3537" t="s">
        <v>970</v>
      </c>
      <c r="D3537">
        <v>0.56000000000000005</v>
      </c>
      <c r="E3537">
        <v>24.75</v>
      </c>
      <c r="F3537">
        <v>1.97</v>
      </c>
      <c r="G3537">
        <v>0.01</v>
      </c>
    </row>
    <row r="3538" spans="1:7" hidden="1">
      <c r="A3538">
        <v>273</v>
      </c>
      <c r="B3538" t="s">
        <v>1239</v>
      </c>
      <c r="C3538" t="s">
        <v>959</v>
      </c>
      <c r="D3538">
        <v>1.71</v>
      </c>
      <c r="E3538">
        <v>18.309999999999999</v>
      </c>
      <c r="F3538">
        <v>4.4800000000000004</v>
      </c>
      <c r="G3538">
        <v>0</v>
      </c>
    </row>
    <row r="3539" spans="1:7" hidden="1">
      <c r="A3539">
        <v>273</v>
      </c>
      <c r="B3539" t="s">
        <v>1239</v>
      </c>
      <c r="C3539" t="s">
        <v>960</v>
      </c>
      <c r="D3539">
        <v>1.7</v>
      </c>
      <c r="E3539">
        <v>18.399999999999999</v>
      </c>
      <c r="F3539">
        <v>4.47</v>
      </c>
      <c r="G3539">
        <v>0.01</v>
      </c>
    </row>
    <row r="3540" spans="1:7" hidden="1">
      <c r="A3540">
        <v>273</v>
      </c>
      <c r="B3540" t="s">
        <v>1239</v>
      </c>
      <c r="C3540" t="s">
        <v>961</v>
      </c>
      <c r="D3540">
        <v>2.71</v>
      </c>
      <c r="E3540">
        <v>20.059999999999999</v>
      </c>
      <c r="F3540">
        <v>7.76</v>
      </c>
      <c r="G3540">
        <v>0</v>
      </c>
    </row>
    <row r="3541" spans="1:7" hidden="1">
      <c r="A3541">
        <v>273</v>
      </c>
      <c r="B3541" t="s">
        <v>1239</v>
      </c>
      <c r="C3541" t="s">
        <v>962</v>
      </c>
      <c r="D3541">
        <v>0.84</v>
      </c>
      <c r="E3541">
        <v>24.72</v>
      </c>
      <c r="F3541">
        <v>2.95</v>
      </c>
      <c r="G3541">
        <v>0</v>
      </c>
    </row>
    <row r="3542" spans="1:7" hidden="1">
      <c r="A3542">
        <v>273</v>
      </c>
      <c r="B3542" t="s">
        <v>1239</v>
      </c>
      <c r="C3542" t="s">
        <v>963</v>
      </c>
      <c r="D3542">
        <v>1.66</v>
      </c>
      <c r="E3542">
        <v>18.13</v>
      </c>
      <c r="F3542">
        <v>4.3</v>
      </c>
      <c r="G3542">
        <v>0.01</v>
      </c>
    </row>
    <row r="3543" spans="1:7" hidden="1">
      <c r="A3543">
        <v>273</v>
      </c>
      <c r="B3543" t="s">
        <v>1239</v>
      </c>
      <c r="C3543" t="s">
        <v>964</v>
      </c>
      <c r="D3543">
        <v>0.16</v>
      </c>
      <c r="E3543">
        <v>21.87</v>
      </c>
      <c r="F3543">
        <v>0.49</v>
      </c>
      <c r="G3543">
        <v>0</v>
      </c>
    </row>
    <row r="3544" spans="1:7" hidden="1">
      <c r="A3544">
        <v>273</v>
      </c>
      <c r="B3544" t="s">
        <v>1239</v>
      </c>
      <c r="C3544" t="s">
        <v>965</v>
      </c>
      <c r="D3544">
        <v>1.77</v>
      </c>
      <c r="E3544">
        <v>24.75</v>
      </c>
      <c r="F3544">
        <v>6.25</v>
      </c>
      <c r="G3544">
        <v>0</v>
      </c>
    </row>
    <row r="3545" spans="1:7">
      <c r="A3545">
        <v>273</v>
      </c>
      <c r="B3545" t="s">
        <v>1239</v>
      </c>
      <c r="C3545" t="s">
        <v>24</v>
      </c>
      <c r="D3545">
        <v>10.54</v>
      </c>
      <c r="E3545">
        <v>20.39</v>
      </c>
      <c r="F3545">
        <v>30.7</v>
      </c>
      <c r="G3545">
        <v>0.02</v>
      </c>
    </row>
    <row r="3546" spans="1:7" hidden="1">
      <c r="A3546">
        <v>273</v>
      </c>
      <c r="B3546" t="s">
        <v>1239</v>
      </c>
      <c r="C3546" t="s">
        <v>966</v>
      </c>
      <c r="D3546">
        <v>0</v>
      </c>
      <c r="E3546">
        <v>18.05</v>
      </c>
      <c r="F3546">
        <v>0</v>
      </c>
      <c r="G3546">
        <v>0</v>
      </c>
    </row>
    <row r="3547" spans="1:7" hidden="1">
      <c r="A3547">
        <v>273</v>
      </c>
      <c r="B3547" t="s">
        <v>1239</v>
      </c>
      <c r="C3547" t="s">
        <v>967</v>
      </c>
      <c r="D3547">
        <v>0.1</v>
      </c>
      <c r="E3547">
        <v>17.91</v>
      </c>
      <c r="F3547">
        <v>0.26</v>
      </c>
      <c r="G3547">
        <v>0</v>
      </c>
    </row>
    <row r="3548" spans="1:7" hidden="1">
      <c r="A3548">
        <v>273</v>
      </c>
      <c r="B3548" t="s">
        <v>1239</v>
      </c>
      <c r="C3548" t="s">
        <v>968</v>
      </c>
      <c r="D3548">
        <v>0.84</v>
      </c>
      <c r="E3548">
        <v>18.09</v>
      </c>
      <c r="F3548">
        <v>2.17</v>
      </c>
      <c r="G3548">
        <v>0</v>
      </c>
    </row>
    <row r="3549" spans="1:7" hidden="1">
      <c r="A3549">
        <v>273</v>
      </c>
      <c r="B3549" t="s">
        <v>1239</v>
      </c>
      <c r="C3549" t="s">
        <v>969</v>
      </c>
      <c r="D3549">
        <v>0.08</v>
      </c>
      <c r="E3549">
        <v>24.75</v>
      </c>
      <c r="F3549">
        <v>0.27</v>
      </c>
      <c r="G3549">
        <v>0</v>
      </c>
    </row>
    <row r="3550" spans="1:7" hidden="1">
      <c r="A3550">
        <v>273</v>
      </c>
      <c r="B3550" t="s">
        <v>1239</v>
      </c>
      <c r="C3550" t="s">
        <v>970</v>
      </c>
      <c r="D3550">
        <v>0.64</v>
      </c>
      <c r="E3550">
        <v>24.75</v>
      </c>
      <c r="F3550">
        <v>2.2799999999999998</v>
      </c>
      <c r="G3550">
        <v>0</v>
      </c>
    </row>
    <row r="3551" spans="1:7" hidden="1">
      <c r="A3551">
        <v>274</v>
      </c>
      <c r="B3551" t="s">
        <v>1240</v>
      </c>
      <c r="C3551" t="s">
        <v>959</v>
      </c>
      <c r="D3551">
        <v>1.41</v>
      </c>
      <c r="E3551">
        <v>18.309999999999999</v>
      </c>
      <c r="F3551">
        <v>3.7</v>
      </c>
      <c r="G3551">
        <v>0</v>
      </c>
    </row>
    <row r="3552" spans="1:7" hidden="1">
      <c r="A3552">
        <v>274</v>
      </c>
      <c r="B3552" t="s">
        <v>1240</v>
      </c>
      <c r="C3552" t="s">
        <v>960</v>
      </c>
      <c r="D3552">
        <v>1.35</v>
      </c>
      <c r="E3552">
        <v>18.399999999999999</v>
      </c>
      <c r="F3552">
        <v>3.56</v>
      </c>
      <c r="G3552">
        <v>0.01</v>
      </c>
    </row>
    <row r="3553" spans="1:7" hidden="1">
      <c r="A3553">
        <v>274</v>
      </c>
      <c r="B3553" t="s">
        <v>1240</v>
      </c>
      <c r="C3553" t="s">
        <v>961</v>
      </c>
      <c r="D3553">
        <v>2.14</v>
      </c>
      <c r="E3553">
        <v>20.059999999999999</v>
      </c>
      <c r="F3553">
        <v>6.13</v>
      </c>
      <c r="G3553">
        <v>0</v>
      </c>
    </row>
    <row r="3554" spans="1:7" hidden="1">
      <c r="A3554">
        <v>274</v>
      </c>
      <c r="B3554" t="s">
        <v>1240</v>
      </c>
      <c r="C3554" t="s">
        <v>962</v>
      </c>
      <c r="D3554">
        <v>0.7</v>
      </c>
      <c r="E3554">
        <v>24.72</v>
      </c>
      <c r="F3554">
        <v>2.46</v>
      </c>
      <c r="G3554">
        <v>0</v>
      </c>
    </row>
    <row r="3555" spans="1:7" hidden="1">
      <c r="A3555">
        <v>274</v>
      </c>
      <c r="B3555" t="s">
        <v>1240</v>
      </c>
      <c r="C3555" t="s">
        <v>963</v>
      </c>
      <c r="D3555">
        <v>1.56</v>
      </c>
      <c r="E3555">
        <v>18.13</v>
      </c>
      <c r="F3555">
        <v>4.05</v>
      </c>
      <c r="G3555">
        <v>0.01</v>
      </c>
    </row>
    <row r="3556" spans="1:7" hidden="1">
      <c r="A3556">
        <v>274</v>
      </c>
      <c r="B3556" t="s">
        <v>1240</v>
      </c>
      <c r="C3556" t="s">
        <v>964</v>
      </c>
      <c r="D3556">
        <v>0.13</v>
      </c>
      <c r="E3556">
        <v>21.87</v>
      </c>
      <c r="F3556">
        <v>0.4</v>
      </c>
      <c r="G3556">
        <v>0</v>
      </c>
    </row>
    <row r="3557" spans="1:7" hidden="1">
      <c r="A3557">
        <v>274</v>
      </c>
      <c r="B3557" t="s">
        <v>1240</v>
      </c>
      <c r="C3557" t="s">
        <v>965</v>
      </c>
      <c r="D3557">
        <v>1.58</v>
      </c>
      <c r="E3557">
        <v>24.75</v>
      </c>
      <c r="F3557">
        <v>5.59</v>
      </c>
      <c r="G3557">
        <v>0</v>
      </c>
    </row>
    <row r="3558" spans="1:7">
      <c r="A3558">
        <v>274</v>
      </c>
      <c r="B3558" t="s">
        <v>1240</v>
      </c>
      <c r="C3558" t="s">
        <v>24</v>
      </c>
      <c r="D3558">
        <v>8.8699999999999992</v>
      </c>
      <c r="E3558">
        <v>20.420000000000002</v>
      </c>
      <c r="F3558">
        <v>25.88</v>
      </c>
      <c r="G3558">
        <v>0.03</v>
      </c>
    </row>
    <row r="3559" spans="1:7" hidden="1">
      <c r="A3559">
        <v>274</v>
      </c>
      <c r="B3559" t="s">
        <v>1240</v>
      </c>
      <c r="C3559" t="s">
        <v>966</v>
      </c>
      <c r="D3559">
        <v>0</v>
      </c>
      <c r="E3559">
        <v>18.05</v>
      </c>
      <c r="F3559">
        <v>0</v>
      </c>
      <c r="G3559">
        <v>0</v>
      </c>
    </row>
    <row r="3560" spans="1:7" hidden="1">
      <c r="A3560">
        <v>274</v>
      </c>
      <c r="B3560" t="s">
        <v>1240</v>
      </c>
      <c r="C3560" t="s">
        <v>967</v>
      </c>
      <c r="D3560">
        <v>0.12</v>
      </c>
      <c r="E3560">
        <v>17.91</v>
      </c>
      <c r="F3560">
        <v>0.3</v>
      </c>
      <c r="G3560">
        <v>0</v>
      </c>
    </row>
    <row r="3561" spans="1:7" hidden="1">
      <c r="A3561">
        <v>274</v>
      </c>
      <c r="B3561" t="s">
        <v>1240</v>
      </c>
      <c r="C3561" t="s">
        <v>968</v>
      </c>
      <c r="D3561">
        <v>0.77</v>
      </c>
      <c r="E3561">
        <v>18.09</v>
      </c>
      <c r="F3561">
        <v>2</v>
      </c>
      <c r="G3561">
        <v>0</v>
      </c>
    </row>
    <row r="3562" spans="1:7" hidden="1">
      <c r="A3562">
        <v>274</v>
      </c>
      <c r="B3562" t="s">
        <v>1240</v>
      </c>
      <c r="C3562" t="s">
        <v>969</v>
      </c>
      <c r="D3562">
        <v>0.09</v>
      </c>
      <c r="E3562">
        <v>24.75</v>
      </c>
      <c r="F3562">
        <v>0.31</v>
      </c>
      <c r="G3562">
        <v>0</v>
      </c>
    </row>
    <row r="3563" spans="1:7" hidden="1">
      <c r="A3563">
        <v>274</v>
      </c>
      <c r="B3563" t="s">
        <v>1240</v>
      </c>
      <c r="C3563" t="s">
        <v>970</v>
      </c>
      <c r="D3563">
        <v>0.67</v>
      </c>
      <c r="E3563">
        <v>24.75</v>
      </c>
      <c r="F3563">
        <v>2.38</v>
      </c>
      <c r="G3563">
        <v>0</v>
      </c>
    </row>
    <row r="3564" spans="1:7" hidden="1">
      <c r="A3564">
        <v>275</v>
      </c>
      <c r="B3564" t="s">
        <v>1241</v>
      </c>
      <c r="C3564" t="s">
        <v>959</v>
      </c>
      <c r="D3564">
        <v>2.33</v>
      </c>
      <c r="E3564">
        <v>18.309999999999999</v>
      </c>
      <c r="F3564">
        <v>6.1</v>
      </c>
      <c r="G3564">
        <v>0</v>
      </c>
    </row>
    <row r="3565" spans="1:7" hidden="1">
      <c r="A3565">
        <v>275</v>
      </c>
      <c r="B3565" t="s">
        <v>1241</v>
      </c>
      <c r="C3565" t="s">
        <v>960</v>
      </c>
      <c r="D3565">
        <v>2.34</v>
      </c>
      <c r="E3565">
        <v>18.399999999999999</v>
      </c>
      <c r="F3565">
        <v>6.16</v>
      </c>
      <c r="G3565">
        <v>0.01</v>
      </c>
    </row>
    <row r="3566" spans="1:7" hidden="1">
      <c r="A3566">
        <v>275</v>
      </c>
      <c r="B3566" t="s">
        <v>1241</v>
      </c>
      <c r="C3566" t="s">
        <v>961</v>
      </c>
      <c r="D3566">
        <v>4.3899999999999997</v>
      </c>
      <c r="E3566">
        <v>20.059999999999999</v>
      </c>
      <c r="F3566">
        <v>12.59</v>
      </c>
      <c r="G3566">
        <v>0</v>
      </c>
    </row>
    <row r="3567" spans="1:7" hidden="1">
      <c r="A3567">
        <v>275</v>
      </c>
      <c r="B3567" t="s">
        <v>1241</v>
      </c>
      <c r="C3567" t="s">
        <v>962</v>
      </c>
      <c r="D3567">
        <v>0.78</v>
      </c>
      <c r="E3567">
        <v>24.72</v>
      </c>
      <c r="F3567">
        <v>2.74</v>
      </c>
      <c r="G3567">
        <v>0</v>
      </c>
    </row>
    <row r="3568" spans="1:7" hidden="1">
      <c r="A3568">
        <v>275</v>
      </c>
      <c r="B3568" t="s">
        <v>1241</v>
      </c>
      <c r="C3568" t="s">
        <v>963</v>
      </c>
      <c r="D3568">
        <v>1.53</v>
      </c>
      <c r="E3568">
        <v>18.13</v>
      </c>
      <c r="F3568">
        <v>3.95</v>
      </c>
      <c r="G3568">
        <v>0</v>
      </c>
    </row>
    <row r="3569" spans="1:7" hidden="1">
      <c r="A3569">
        <v>275</v>
      </c>
      <c r="B3569" t="s">
        <v>1241</v>
      </c>
      <c r="C3569" t="s">
        <v>964</v>
      </c>
      <c r="D3569">
        <v>7.0000000000000007E-2</v>
      </c>
      <c r="E3569">
        <v>21.87</v>
      </c>
      <c r="F3569">
        <v>0.23</v>
      </c>
      <c r="G3569">
        <v>0</v>
      </c>
    </row>
    <row r="3570" spans="1:7" hidden="1">
      <c r="A3570">
        <v>275</v>
      </c>
      <c r="B3570" t="s">
        <v>1241</v>
      </c>
      <c r="C3570" t="s">
        <v>965</v>
      </c>
      <c r="D3570">
        <v>1.97</v>
      </c>
      <c r="E3570">
        <v>24.75</v>
      </c>
      <c r="F3570">
        <v>6.98</v>
      </c>
      <c r="G3570">
        <v>0</v>
      </c>
    </row>
    <row r="3571" spans="1:7">
      <c r="A3571">
        <v>275</v>
      </c>
      <c r="B3571" t="s">
        <v>1241</v>
      </c>
      <c r="C3571" t="s">
        <v>24</v>
      </c>
      <c r="D3571">
        <v>13.42</v>
      </c>
      <c r="E3571">
        <v>20.22</v>
      </c>
      <c r="F3571">
        <v>38.75</v>
      </c>
      <c r="G3571">
        <v>0.01</v>
      </c>
    </row>
    <row r="3572" spans="1:7" hidden="1">
      <c r="A3572">
        <v>275</v>
      </c>
      <c r="B3572" t="s">
        <v>1241</v>
      </c>
      <c r="C3572" t="s">
        <v>966</v>
      </c>
      <c r="D3572">
        <v>0</v>
      </c>
      <c r="E3572">
        <v>18.05</v>
      </c>
      <c r="F3572">
        <v>0</v>
      </c>
      <c r="G3572">
        <v>0</v>
      </c>
    </row>
    <row r="3573" spans="1:7" hidden="1">
      <c r="A3573">
        <v>275</v>
      </c>
      <c r="B3573" t="s">
        <v>1241</v>
      </c>
      <c r="C3573" t="s">
        <v>967</v>
      </c>
      <c r="D3573">
        <v>0.04</v>
      </c>
      <c r="E3573">
        <v>17.91</v>
      </c>
      <c r="F3573">
        <v>0.11</v>
      </c>
      <c r="G3573">
        <v>0</v>
      </c>
    </row>
    <row r="3574" spans="1:7" hidden="1">
      <c r="A3574">
        <v>275</v>
      </c>
      <c r="B3574" t="s">
        <v>1241</v>
      </c>
      <c r="C3574" t="s">
        <v>968</v>
      </c>
      <c r="D3574">
        <v>1.53</v>
      </c>
      <c r="E3574">
        <v>18.09</v>
      </c>
      <c r="F3574">
        <v>3.94</v>
      </c>
      <c r="G3574">
        <v>0</v>
      </c>
    </row>
    <row r="3575" spans="1:7" hidden="1">
      <c r="A3575">
        <v>275</v>
      </c>
      <c r="B3575" t="s">
        <v>1241</v>
      </c>
      <c r="C3575" t="s">
        <v>969</v>
      </c>
      <c r="D3575">
        <v>0.1</v>
      </c>
      <c r="E3575">
        <v>24.75</v>
      </c>
      <c r="F3575">
        <v>0.34</v>
      </c>
      <c r="G3575">
        <v>0</v>
      </c>
    </row>
    <row r="3576" spans="1:7" hidden="1">
      <c r="A3576">
        <v>275</v>
      </c>
      <c r="B3576" t="s">
        <v>1241</v>
      </c>
      <c r="C3576" t="s">
        <v>970</v>
      </c>
      <c r="D3576">
        <v>0.48</v>
      </c>
      <c r="E3576">
        <v>24.75</v>
      </c>
      <c r="F3576">
        <v>1.71</v>
      </c>
      <c r="G3576">
        <v>0.01</v>
      </c>
    </row>
    <row r="3577" spans="1:7" hidden="1">
      <c r="A3577">
        <v>276</v>
      </c>
      <c r="B3577" t="s">
        <v>1242</v>
      </c>
      <c r="C3577" t="s">
        <v>959</v>
      </c>
      <c r="D3577">
        <v>2.72</v>
      </c>
      <c r="E3577">
        <v>18.309999999999999</v>
      </c>
      <c r="F3577">
        <v>7.12</v>
      </c>
      <c r="G3577">
        <v>0</v>
      </c>
    </row>
    <row r="3578" spans="1:7" hidden="1">
      <c r="A3578">
        <v>276</v>
      </c>
      <c r="B3578" t="s">
        <v>1242</v>
      </c>
      <c r="C3578" t="s">
        <v>960</v>
      </c>
      <c r="D3578">
        <v>2.9</v>
      </c>
      <c r="E3578">
        <v>18.399999999999999</v>
      </c>
      <c r="F3578">
        <v>7.62</v>
      </c>
      <c r="G3578">
        <v>0</v>
      </c>
    </row>
    <row r="3579" spans="1:7" hidden="1">
      <c r="A3579">
        <v>276</v>
      </c>
      <c r="B3579" t="s">
        <v>1242</v>
      </c>
      <c r="C3579" t="s">
        <v>961</v>
      </c>
      <c r="D3579">
        <v>4.42</v>
      </c>
      <c r="E3579">
        <v>20.059999999999999</v>
      </c>
      <c r="F3579">
        <v>12.67</v>
      </c>
      <c r="G3579">
        <v>0</v>
      </c>
    </row>
    <row r="3580" spans="1:7" hidden="1">
      <c r="A3580">
        <v>276</v>
      </c>
      <c r="B3580" t="s">
        <v>1242</v>
      </c>
      <c r="C3580" t="s">
        <v>962</v>
      </c>
      <c r="D3580">
        <v>1.46</v>
      </c>
      <c r="E3580">
        <v>24.72</v>
      </c>
      <c r="F3580">
        <v>5.14</v>
      </c>
      <c r="G3580">
        <v>0</v>
      </c>
    </row>
    <row r="3581" spans="1:7" hidden="1">
      <c r="A3581">
        <v>276</v>
      </c>
      <c r="B3581" t="s">
        <v>1242</v>
      </c>
      <c r="C3581" t="s">
        <v>963</v>
      </c>
      <c r="D3581">
        <v>2.14</v>
      </c>
      <c r="E3581">
        <v>18.13</v>
      </c>
      <c r="F3581">
        <v>5.54</v>
      </c>
      <c r="G3581">
        <v>0</v>
      </c>
    </row>
    <row r="3582" spans="1:7" hidden="1">
      <c r="A3582">
        <v>276</v>
      </c>
      <c r="B3582" t="s">
        <v>1242</v>
      </c>
      <c r="C3582" t="s">
        <v>964</v>
      </c>
      <c r="D3582">
        <v>0.32</v>
      </c>
      <c r="E3582">
        <v>21.87</v>
      </c>
      <c r="F3582">
        <v>1.01</v>
      </c>
      <c r="G3582">
        <v>0</v>
      </c>
    </row>
    <row r="3583" spans="1:7" hidden="1">
      <c r="A3583">
        <v>276</v>
      </c>
      <c r="B3583" t="s">
        <v>1242</v>
      </c>
      <c r="C3583" t="s">
        <v>965</v>
      </c>
      <c r="D3583">
        <v>2.48</v>
      </c>
      <c r="E3583">
        <v>24.75</v>
      </c>
      <c r="F3583">
        <v>8.77</v>
      </c>
      <c r="G3583">
        <v>0</v>
      </c>
    </row>
    <row r="3584" spans="1:7">
      <c r="A3584">
        <v>276</v>
      </c>
      <c r="B3584" t="s">
        <v>1242</v>
      </c>
      <c r="C3584" t="s">
        <v>24</v>
      </c>
      <c r="D3584">
        <v>16.440000000000001</v>
      </c>
      <c r="E3584">
        <v>20.38</v>
      </c>
      <c r="F3584">
        <v>47.86</v>
      </c>
      <c r="G3584">
        <v>0</v>
      </c>
    </row>
    <row r="3585" spans="1:7" hidden="1">
      <c r="A3585">
        <v>276</v>
      </c>
      <c r="B3585" t="s">
        <v>1242</v>
      </c>
      <c r="C3585" t="s">
        <v>966</v>
      </c>
      <c r="D3585">
        <v>0</v>
      </c>
      <c r="E3585">
        <v>18.05</v>
      </c>
      <c r="F3585">
        <v>0</v>
      </c>
      <c r="G3585">
        <v>0</v>
      </c>
    </row>
    <row r="3586" spans="1:7" hidden="1">
      <c r="A3586">
        <v>276</v>
      </c>
      <c r="B3586" t="s">
        <v>1242</v>
      </c>
      <c r="C3586" t="s">
        <v>967</v>
      </c>
      <c r="D3586">
        <v>0.05</v>
      </c>
      <c r="E3586">
        <v>17.91</v>
      </c>
      <c r="F3586">
        <v>0.13</v>
      </c>
      <c r="G3586">
        <v>0</v>
      </c>
    </row>
    <row r="3587" spans="1:7" hidden="1">
      <c r="A3587">
        <v>276</v>
      </c>
      <c r="B3587" t="s">
        <v>1242</v>
      </c>
      <c r="C3587" t="s">
        <v>968</v>
      </c>
      <c r="D3587">
        <v>0.82</v>
      </c>
      <c r="E3587">
        <v>18.09</v>
      </c>
      <c r="F3587">
        <v>2.13</v>
      </c>
      <c r="G3587">
        <v>0</v>
      </c>
    </row>
    <row r="3588" spans="1:7" hidden="1">
      <c r="A3588">
        <v>276</v>
      </c>
      <c r="B3588" t="s">
        <v>1242</v>
      </c>
      <c r="C3588" t="s">
        <v>969</v>
      </c>
      <c r="D3588">
        <v>0.02</v>
      </c>
      <c r="E3588">
        <v>24.75</v>
      </c>
      <c r="F3588">
        <v>0.06</v>
      </c>
      <c r="G3588">
        <v>0</v>
      </c>
    </row>
    <row r="3589" spans="1:7" hidden="1">
      <c r="A3589">
        <v>276</v>
      </c>
      <c r="B3589" t="s">
        <v>1242</v>
      </c>
      <c r="C3589" t="s">
        <v>970</v>
      </c>
      <c r="D3589">
        <v>0.59</v>
      </c>
      <c r="E3589">
        <v>24.75</v>
      </c>
      <c r="F3589">
        <v>2.09</v>
      </c>
      <c r="G3589">
        <v>0</v>
      </c>
    </row>
    <row r="3590" spans="1:7" hidden="1">
      <c r="A3590">
        <v>277</v>
      </c>
      <c r="B3590" t="s">
        <v>1243</v>
      </c>
      <c r="C3590" t="s">
        <v>959</v>
      </c>
      <c r="D3590">
        <v>2.44</v>
      </c>
      <c r="E3590">
        <v>18.309999999999999</v>
      </c>
      <c r="F3590">
        <v>6.38</v>
      </c>
      <c r="G3590">
        <v>0.01</v>
      </c>
    </row>
    <row r="3591" spans="1:7" hidden="1">
      <c r="A3591">
        <v>277</v>
      </c>
      <c r="B3591" t="s">
        <v>1243</v>
      </c>
      <c r="C3591" t="s">
        <v>960</v>
      </c>
      <c r="D3591">
        <v>2.57</v>
      </c>
      <c r="E3591">
        <v>18.399999999999999</v>
      </c>
      <c r="F3591">
        <v>6.75</v>
      </c>
      <c r="G3591">
        <v>0.03</v>
      </c>
    </row>
    <row r="3592" spans="1:7" hidden="1">
      <c r="A3592">
        <v>277</v>
      </c>
      <c r="B3592" t="s">
        <v>1243</v>
      </c>
      <c r="C3592" t="s">
        <v>961</v>
      </c>
      <c r="D3592">
        <v>3.93</v>
      </c>
      <c r="E3592">
        <v>20.059999999999999</v>
      </c>
      <c r="F3592">
        <v>11.27</v>
      </c>
      <c r="G3592">
        <v>0.01</v>
      </c>
    </row>
    <row r="3593" spans="1:7" hidden="1">
      <c r="A3593">
        <v>277</v>
      </c>
      <c r="B3593" t="s">
        <v>1243</v>
      </c>
      <c r="C3593" t="s">
        <v>962</v>
      </c>
      <c r="D3593">
        <v>1.25</v>
      </c>
      <c r="E3593">
        <v>24.72</v>
      </c>
      <c r="F3593">
        <v>4.4000000000000004</v>
      </c>
      <c r="G3593">
        <v>0</v>
      </c>
    </row>
    <row r="3594" spans="1:7" hidden="1">
      <c r="A3594">
        <v>277</v>
      </c>
      <c r="B3594" t="s">
        <v>1243</v>
      </c>
      <c r="C3594" t="s">
        <v>963</v>
      </c>
      <c r="D3594">
        <v>1.84</v>
      </c>
      <c r="E3594">
        <v>18.13</v>
      </c>
      <c r="F3594">
        <v>4.78</v>
      </c>
      <c r="G3594">
        <v>0.01</v>
      </c>
    </row>
    <row r="3595" spans="1:7" hidden="1">
      <c r="A3595">
        <v>277</v>
      </c>
      <c r="B3595" t="s">
        <v>1243</v>
      </c>
      <c r="C3595" t="s">
        <v>964</v>
      </c>
      <c r="D3595">
        <v>0.22</v>
      </c>
      <c r="E3595">
        <v>21.87</v>
      </c>
      <c r="F3595">
        <v>0.7</v>
      </c>
      <c r="G3595">
        <v>0</v>
      </c>
    </row>
    <row r="3596" spans="1:7" hidden="1">
      <c r="A3596">
        <v>277</v>
      </c>
      <c r="B3596" t="s">
        <v>1243</v>
      </c>
      <c r="C3596" t="s">
        <v>965</v>
      </c>
      <c r="D3596">
        <v>2.23</v>
      </c>
      <c r="E3596">
        <v>24.75</v>
      </c>
      <c r="F3596">
        <v>7.88</v>
      </c>
      <c r="G3596">
        <v>0</v>
      </c>
    </row>
    <row r="3597" spans="1:7">
      <c r="A3597">
        <v>277</v>
      </c>
      <c r="B3597" t="s">
        <v>1243</v>
      </c>
      <c r="C3597" t="s">
        <v>24</v>
      </c>
      <c r="D3597">
        <v>14.48</v>
      </c>
      <c r="E3597">
        <v>20.38</v>
      </c>
      <c r="F3597">
        <v>42.15</v>
      </c>
      <c r="G3597">
        <v>7.0000000000000007E-2</v>
      </c>
    </row>
    <row r="3598" spans="1:7" hidden="1">
      <c r="A3598">
        <v>277</v>
      </c>
      <c r="B3598" t="s">
        <v>1243</v>
      </c>
      <c r="C3598" t="s">
        <v>966</v>
      </c>
      <c r="D3598">
        <v>0.05</v>
      </c>
      <c r="E3598">
        <v>18.05</v>
      </c>
      <c r="F3598">
        <v>0.12</v>
      </c>
      <c r="G3598">
        <v>0.05</v>
      </c>
    </row>
    <row r="3599" spans="1:7" hidden="1">
      <c r="A3599">
        <v>277</v>
      </c>
      <c r="B3599" t="s">
        <v>1243</v>
      </c>
      <c r="C3599" t="s">
        <v>967</v>
      </c>
      <c r="D3599">
        <v>0</v>
      </c>
      <c r="E3599">
        <v>17.91</v>
      </c>
      <c r="F3599">
        <v>0</v>
      </c>
      <c r="G3599">
        <v>0</v>
      </c>
    </row>
    <row r="3600" spans="1:7" hidden="1">
      <c r="A3600">
        <v>277</v>
      </c>
      <c r="B3600" t="s">
        <v>1243</v>
      </c>
      <c r="C3600" t="s">
        <v>968</v>
      </c>
      <c r="D3600">
        <v>1.19</v>
      </c>
      <c r="E3600">
        <v>18.09</v>
      </c>
      <c r="F3600">
        <v>3.07</v>
      </c>
      <c r="G3600">
        <v>0</v>
      </c>
    </row>
    <row r="3601" spans="1:7" hidden="1">
      <c r="A3601">
        <v>277</v>
      </c>
      <c r="B3601" t="s">
        <v>1243</v>
      </c>
      <c r="C3601" t="s">
        <v>969</v>
      </c>
      <c r="D3601">
        <v>0</v>
      </c>
      <c r="E3601">
        <v>24.75</v>
      </c>
      <c r="F3601">
        <v>0</v>
      </c>
      <c r="G3601">
        <v>0</v>
      </c>
    </row>
    <row r="3602" spans="1:7" hidden="1">
      <c r="A3602">
        <v>277</v>
      </c>
      <c r="B3602" t="s">
        <v>1243</v>
      </c>
      <c r="C3602" t="s">
        <v>970</v>
      </c>
      <c r="D3602">
        <v>0.57999999999999996</v>
      </c>
      <c r="E3602">
        <v>24.75</v>
      </c>
      <c r="F3602">
        <v>2.04</v>
      </c>
      <c r="G3602">
        <v>0</v>
      </c>
    </row>
    <row r="3603" spans="1:7" hidden="1">
      <c r="A3603">
        <v>278</v>
      </c>
      <c r="B3603" t="s">
        <v>1244</v>
      </c>
      <c r="C3603" t="s">
        <v>959</v>
      </c>
      <c r="D3603">
        <v>1.69</v>
      </c>
      <c r="E3603">
        <v>18.309999999999999</v>
      </c>
      <c r="F3603">
        <v>4.42</v>
      </c>
      <c r="G3603">
        <v>0</v>
      </c>
    </row>
    <row r="3604" spans="1:7" hidden="1">
      <c r="A3604">
        <v>278</v>
      </c>
      <c r="B3604" t="s">
        <v>1244</v>
      </c>
      <c r="C3604" t="s">
        <v>960</v>
      </c>
      <c r="D3604">
        <v>2.0699999999999998</v>
      </c>
      <c r="E3604">
        <v>18.399999999999999</v>
      </c>
      <c r="F3604">
        <v>5.44</v>
      </c>
      <c r="G3604">
        <v>0.02</v>
      </c>
    </row>
    <row r="3605" spans="1:7" hidden="1">
      <c r="A3605">
        <v>278</v>
      </c>
      <c r="B3605" t="s">
        <v>1244</v>
      </c>
      <c r="C3605" t="s">
        <v>961</v>
      </c>
      <c r="D3605">
        <v>2.82</v>
      </c>
      <c r="E3605">
        <v>20.059999999999999</v>
      </c>
      <c r="F3605">
        <v>8.09</v>
      </c>
      <c r="G3605">
        <v>0</v>
      </c>
    </row>
    <row r="3606" spans="1:7" hidden="1">
      <c r="A3606">
        <v>278</v>
      </c>
      <c r="B3606" t="s">
        <v>1244</v>
      </c>
      <c r="C3606" t="s">
        <v>962</v>
      </c>
      <c r="D3606">
        <v>1</v>
      </c>
      <c r="E3606">
        <v>24.72</v>
      </c>
      <c r="F3606">
        <v>3.53</v>
      </c>
      <c r="G3606">
        <v>0</v>
      </c>
    </row>
    <row r="3607" spans="1:7" hidden="1">
      <c r="A3607">
        <v>278</v>
      </c>
      <c r="B3607" t="s">
        <v>1244</v>
      </c>
      <c r="C3607" t="s">
        <v>963</v>
      </c>
      <c r="D3607">
        <v>1.77</v>
      </c>
      <c r="E3607">
        <v>18.13</v>
      </c>
      <c r="F3607">
        <v>4.58</v>
      </c>
      <c r="G3607">
        <v>0.01</v>
      </c>
    </row>
    <row r="3608" spans="1:7" hidden="1">
      <c r="A3608">
        <v>278</v>
      </c>
      <c r="B3608" t="s">
        <v>1244</v>
      </c>
      <c r="C3608" t="s">
        <v>964</v>
      </c>
      <c r="D3608">
        <v>0.09</v>
      </c>
      <c r="E3608">
        <v>21.87</v>
      </c>
      <c r="F3608">
        <v>0.28000000000000003</v>
      </c>
      <c r="G3608">
        <v>0</v>
      </c>
    </row>
    <row r="3609" spans="1:7" hidden="1">
      <c r="A3609">
        <v>278</v>
      </c>
      <c r="B3609" t="s">
        <v>1244</v>
      </c>
      <c r="C3609" t="s">
        <v>965</v>
      </c>
      <c r="D3609">
        <v>2.0299999999999998</v>
      </c>
      <c r="E3609">
        <v>24.75</v>
      </c>
      <c r="F3609">
        <v>7.17</v>
      </c>
      <c r="G3609">
        <v>0</v>
      </c>
    </row>
    <row r="3610" spans="1:7">
      <c r="A3610">
        <v>278</v>
      </c>
      <c r="B3610" t="s">
        <v>1244</v>
      </c>
      <c r="C3610" t="s">
        <v>24</v>
      </c>
      <c r="D3610">
        <v>11.47</v>
      </c>
      <c r="E3610">
        <v>20.45</v>
      </c>
      <c r="F3610">
        <v>33.51</v>
      </c>
      <c r="G3610">
        <v>0.04</v>
      </c>
    </row>
    <row r="3611" spans="1:7" hidden="1">
      <c r="A3611">
        <v>278</v>
      </c>
      <c r="B3611" t="s">
        <v>1244</v>
      </c>
      <c r="C3611" t="s">
        <v>966</v>
      </c>
      <c r="D3611">
        <v>0.05</v>
      </c>
      <c r="E3611">
        <v>18.05</v>
      </c>
      <c r="F3611">
        <v>0.14000000000000001</v>
      </c>
      <c r="G3611">
        <v>0.05</v>
      </c>
    </row>
    <row r="3612" spans="1:7" hidden="1">
      <c r="A3612">
        <v>278</v>
      </c>
      <c r="B3612" t="s">
        <v>1244</v>
      </c>
      <c r="C3612" t="s">
        <v>967</v>
      </c>
      <c r="D3612">
        <v>0</v>
      </c>
      <c r="E3612">
        <v>17.91</v>
      </c>
      <c r="F3612">
        <v>0</v>
      </c>
      <c r="G3612">
        <v>0</v>
      </c>
    </row>
    <row r="3613" spans="1:7" hidden="1">
      <c r="A3613">
        <v>278</v>
      </c>
      <c r="B3613" t="s">
        <v>1244</v>
      </c>
      <c r="C3613" t="s">
        <v>968</v>
      </c>
      <c r="D3613">
        <v>1.46</v>
      </c>
      <c r="E3613">
        <v>18.09</v>
      </c>
      <c r="F3613">
        <v>3.78</v>
      </c>
      <c r="G3613">
        <v>0</v>
      </c>
    </row>
    <row r="3614" spans="1:7" hidden="1">
      <c r="A3614">
        <v>278</v>
      </c>
      <c r="B3614" t="s">
        <v>1244</v>
      </c>
      <c r="C3614" t="s">
        <v>969</v>
      </c>
      <c r="D3614">
        <v>0</v>
      </c>
      <c r="E3614">
        <v>24.75</v>
      </c>
      <c r="F3614">
        <v>0</v>
      </c>
      <c r="G3614">
        <v>0</v>
      </c>
    </row>
    <row r="3615" spans="1:7" hidden="1">
      <c r="A3615">
        <v>278</v>
      </c>
      <c r="B3615" t="s">
        <v>1244</v>
      </c>
      <c r="C3615" t="s">
        <v>970</v>
      </c>
      <c r="D3615">
        <v>0.46</v>
      </c>
      <c r="E3615">
        <v>24.75</v>
      </c>
      <c r="F3615">
        <v>1.63</v>
      </c>
      <c r="G3615">
        <v>0</v>
      </c>
    </row>
    <row r="3616" spans="1:7" hidden="1">
      <c r="A3616">
        <v>279</v>
      </c>
      <c r="B3616" t="s">
        <v>1245</v>
      </c>
      <c r="C3616" t="s">
        <v>959</v>
      </c>
      <c r="D3616">
        <v>2.97</v>
      </c>
      <c r="E3616">
        <v>18.309999999999999</v>
      </c>
      <c r="F3616">
        <v>7.77</v>
      </c>
      <c r="G3616">
        <v>0.02</v>
      </c>
    </row>
    <row r="3617" spans="1:7" hidden="1">
      <c r="A3617">
        <v>279</v>
      </c>
      <c r="B3617" t="s">
        <v>1245</v>
      </c>
      <c r="C3617" t="s">
        <v>960</v>
      </c>
      <c r="D3617">
        <v>2.96</v>
      </c>
      <c r="E3617">
        <v>18.399999999999999</v>
      </c>
      <c r="F3617">
        <v>7.77</v>
      </c>
      <c r="G3617">
        <v>0.05</v>
      </c>
    </row>
    <row r="3618" spans="1:7" hidden="1">
      <c r="A3618">
        <v>279</v>
      </c>
      <c r="B3618" t="s">
        <v>1245</v>
      </c>
      <c r="C3618" t="s">
        <v>961</v>
      </c>
      <c r="D3618">
        <v>4.63</v>
      </c>
      <c r="E3618">
        <v>20.059999999999999</v>
      </c>
      <c r="F3618">
        <v>13.27</v>
      </c>
      <c r="G3618">
        <v>0.02</v>
      </c>
    </row>
    <row r="3619" spans="1:7" hidden="1">
      <c r="A3619">
        <v>279</v>
      </c>
      <c r="B3619" t="s">
        <v>1245</v>
      </c>
      <c r="C3619" t="s">
        <v>962</v>
      </c>
      <c r="D3619">
        <v>1.57</v>
      </c>
      <c r="E3619">
        <v>24.72</v>
      </c>
      <c r="F3619">
        <v>5.54</v>
      </c>
      <c r="G3619">
        <v>0</v>
      </c>
    </row>
    <row r="3620" spans="1:7" hidden="1">
      <c r="A3620">
        <v>279</v>
      </c>
      <c r="B3620" t="s">
        <v>1245</v>
      </c>
      <c r="C3620" t="s">
        <v>963</v>
      </c>
      <c r="D3620">
        <v>2</v>
      </c>
      <c r="E3620">
        <v>18.13</v>
      </c>
      <c r="F3620">
        <v>5.19</v>
      </c>
      <c r="G3620">
        <v>0</v>
      </c>
    </row>
    <row r="3621" spans="1:7" hidden="1">
      <c r="A3621">
        <v>279</v>
      </c>
      <c r="B3621" t="s">
        <v>1245</v>
      </c>
      <c r="C3621" t="s">
        <v>964</v>
      </c>
      <c r="D3621">
        <v>0.36</v>
      </c>
      <c r="E3621">
        <v>21.87</v>
      </c>
      <c r="F3621">
        <v>1.1200000000000001</v>
      </c>
      <c r="G3621">
        <v>0</v>
      </c>
    </row>
    <row r="3622" spans="1:7" hidden="1">
      <c r="A3622">
        <v>279</v>
      </c>
      <c r="B3622" t="s">
        <v>1245</v>
      </c>
      <c r="C3622" t="s">
        <v>965</v>
      </c>
      <c r="D3622">
        <v>2.39</v>
      </c>
      <c r="E3622">
        <v>24.75</v>
      </c>
      <c r="F3622">
        <v>8.4600000000000009</v>
      </c>
      <c r="G3622">
        <v>0</v>
      </c>
    </row>
    <row r="3623" spans="1:7">
      <c r="A3623">
        <v>279</v>
      </c>
      <c r="B3623" t="s">
        <v>1245</v>
      </c>
      <c r="C3623" t="s">
        <v>24</v>
      </c>
      <c r="D3623">
        <v>16.88</v>
      </c>
      <c r="E3623">
        <v>20.37</v>
      </c>
      <c r="F3623">
        <v>49.12</v>
      </c>
      <c r="G3623">
        <v>0.09</v>
      </c>
    </row>
    <row r="3624" spans="1:7" hidden="1">
      <c r="A3624">
        <v>279</v>
      </c>
      <c r="B3624" t="s">
        <v>1245</v>
      </c>
      <c r="C3624" t="s">
        <v>966</v>
      </c>
      <c r="D3624">
        <v>0.01</v>
      </c>
      <c r="E3624">
        <v>18.05</v>
      </c>
      <c r="F3624">
        <v>0.04</v>
      </c>
      <c r="G3624">
        <v>0.01</v>
      </c>
    </row>
    <row r="3625" spans="1:7" hidden="1">
      <c r="A3625">
        <v>279</v>
      </c>
      <c r="B3625" t="s">
        <v>1245</v>
      </c>
      <c r="C3625" t="s">
        <v>967</v>
      </c>
      <c r="D3625">
        <v>0</v>
      </c>
      <c r="E3625">
        <v>17.91</v>
      </c>
      <c r="F3625">
        <v>0</v>
      </c>
      <c r="G3625">
        <v>0</v>
      </c>
    </row>
    <row r="3626" spans="1:7" hidden="1">
      <c r="A3626">
        <v>279</v>
      </c>
      <c r="B3626" t="s">
        <v>1245</v>
      </c>
      <c r="C3626" t="s">
        <v>968</v>
      </c>
      <c r="D3626">
        <v>0.95</v>
      </c>
      <c r="E3626">
        <v>18.09</v>
      </c>
      <c r="F3626">
        <v>2.44</v>
      </c>
      <c r="G3626">
        <v>0</v>
      </c>
    </row>
    <row r="3627" spans="1:7" hidden="1">
      <c r="A3627">
        <v>279</v>
      </c>
      <c r="B3627" t="s">
        <v>1245</v>
      </c>
      <c r="C3627" t="s">
        <v>969</v>
      </c>
      <c r="D3627">
        <v>0</v>
      </c>
      <c r="E3627">
        <v>24.75</v>
      </c>
      <c r="F3627">
        <v>0</v>
      </c>
      <c r="G3627">
        <v>0</v>
      </c>
    </row>
    <row r="3628" spans="1:7" hidden="1">
      <c r="A3628">
        <v>279</v>
      </c>
      <c r="B3628" t="s">
        <v>1245</v>
      </c>
      <c r="C3628" t="s">
        <v>970</v>
      </c>
      <c r="D3628">
        <v>0.69</v>
      </c>
      <c r="E3628">
        <v>24.75</v>
      </c>
      <c r="F3628">
        <v>2.4300000000000002</v>
      </c>
      <c r="G3628">
        <v>0</v>
      </c>
    </row>
    <row r="3629" spans="1:7" hidden="1">
      <c r="A3629">
        <v>280</v>
      </c>
      <c r="B3629" t="s">
        <v>1246</v>
      </c>
      <c r="C3629" t="s">
        <v>959</v>
      </c>
      <c r="D3629">
        <v>1.87</v>
      </c>
      <c r="E3629">
        <v>18.309999999999999</v>
      </c>
      <c r="F3629">
        <v>4.9000000000000004</v>
      </c>
      <c r="G3629">
        <v>0</v>
      </c>
    </row>
    <row r="3630" spans="1:7" hidden="1">
      <c r="A3630">
        <v>280</v>
      </c>
      <c r="B3630" t="s">
        <v>1246</v>
      </c>
      <c r="C3630" t="s">
        <v>960</v>
      </c>
      <c r="D3630">
        <v>1.56</v>
      </c>
      <c r="E3630">
        <v>18.399999999999999</v>
      </c>
      <c r="F3630">
        <v>4.0999999999999996</v>
      </c>
      <c r="G3630">
        <v>0</v>
      </c>
    </row>
    <row r="3631" spans="1:7" hidden="1">
      <c r="A3631">
        <v>280</v>
      </c>
      <c r="B3631" t="s">
        <v>1246</v>
      </c>
      <c r="C3631" t="s">
        <v>961</v>
      </c>
      <c r="D3631">
        <v>3.34</v>
      </c>
      <c r="E3631">
        <v>20.059999999999999</v>
      </c>
      <c r="F3631">
        <v>9.58</v>
      </c>
      <c r="G3631">
        <v>0</v>
      </c>
    </row>
    <row r="3632" spans="1:7" hidden="1">
      <c r="A3632">
        <v>280</v>
      </c>
      <c r="B3632" t="s">
        <v>1246</v>
      </c>
      <c r="C3632" t="s">
        <v>962</v>
      </c>
      <c r="D3632">
        <v>0.45</v>
      </c>
      <c r="E3632">
        <v>24.72</v>
      </c>
      <c r="F3632">
        <v>1.58</v>
      </c>
      <c r="G3632">
        <v>0</v>
      </c>
    </row>
    <row r="3633" spans="1:7" hidden="1">
      <c r="A3633">
        <v>280</v>
      </c>
      <c r="B3633" t="s">
        <v>1246</v>
      </c>
      <c r="C3633" t="s">
        <v>963</v>
      </c>
      <c r="D3633">
        <v>1.1200000000000001</v>
      </c>
      <c r="E3633">
        <v>18.13</v>
      </c>
      <c r="F3633">
        <v>2.91</v>
      </c>
      <c r="G3633">
        <v>0</v>
      </c>
    </row>
    <row r="3634" spans="1:7" hidden="1">
      <c r="A3634">
        <v>280</v>
      </c>
      <c r="B3634" t="s">
        <v>1246</v>
      </c>
      <c r="C3634" t="s">
        <v>964</v>
      </c>
      <c r="D3634">
        <v>0.01</v>
      </c>
      <c r="E3634">
        <v>21.87</v>
      </c>
      <c r="F3634">
        <v>0.03</v>
      </c>
      <c r="G3634">
        <v>0</v>
      </c>
    </row>
    <row r="3635" spans="1:7" hidden="1">
      <c r="A3635">
        <v>280</v>
      </c>
      <c r="B3635" t="s">
        <v>1246</v>
      </c>
      <c r="C3635" t="s">
        <v>965</v>
      </c>
      <c r="D3635">
        <v>0.89</v>
      </c>
      <c r="E3635">
        <v>24.75</v>
      </c>
      <c r="F3635">
        <v>3.14</v>
      </c>
      <c r="G3635">
        <v>0</v>
      </c>
    </row>
    <row r="3636" spans="1:7">
      <c r="A3636">
        <v>280</v>
      </c>
      <c r="B3636" t="s">
        <v>1246</v>
      </c>
      <c r="C3636" t="s">
        <v>24</v>
      </c>
      <c r="D3636">
        <v>9.24</v>
      </c>
      <c r="E3636">
        <v>19.87</v>
      </c>
      <c r="F3636">
        <v>26.23</v>
      </c>
      <c r="G3636">
        <v>0</v>
      </c>
    </row>
    <row r="3637" spans="1:7" hidden="1">
      <c r="A3637">
        <v>280</v>
      </c>
      <c r="B3637" t="s">
        <v>1246</v>
      </c>
      <c r="C3637" t="s">
        <v>966</v>
      </c>
      <c r="D3637">
        <v>0.12</v>
      </c>
      <c r="E3637">
        <v>18.05</v>
      </c>
      <c r="F3637">
        <v>0.31</v>
      </c>
      <c r="G3637">
        <v>0.08</v>
      </c>
    </row>
    <row r="3638" spans="1:7" hidden="1">
      <c r="A3638">
        <v>280</v>
      </c>
      <c r="B3638" t="s">
        <v>1246</v>
      </c>
      <c r="C3638" t="s">
        <v>967</v>
      </c>
      <c r="D3638">
        <v>0.13</v>
      </c>
      <c r="E3638">
        <v>17.91</v>
      </c>
      <c r="F3638">
        <v>0.34</v>
      </c>
      <c r="G3638">
        <v>0</v>
      </c>
    </row>
    <row r="3639" spans="1:7" hidden="1">
      <c r="A3639">
        <v>280</v>
      </c>
      <c r="B3639" t="s">
        <v>1246</v>
      </c>
      <c r="C3639" t="s">
        <v>968</v>
      </c>
      <c r="D3639">
        <v>1.01</v>
      </c>
      <c r="E3639">
        <v>18.09</v>
      </c>
      <c r="F3639">
        <v>2.61</v>
      </c>
      <c r="G3639">
        <v>0</v>
      </c>
    </row>
    <row r="3640" spans="1:7" hidden="1">
      <c r="A3640">
        <v>280</v>
      </c>
      <c r="B3640" t="s">
        <v>1246</v>
      </c>
      <c r="C3640" t="s">
        <v>969</v>
      </c>
      <c r="D3640">
        <v>0.16</v>
      </c>
      <c r="E3640">
        <v>24.75</v>
      </c>
      <c r="F3640">
        <v>0.55000000000000004</v>
      </c>
      <c r="G3640">
        <v>0</v>
      </c>
    </row>
    <row r="3641" spans="1:7" hidden="1">
      <c r="A3641">
        <v>280</v>
      </c>
      <c r="B3641" t="s">
        <v>1246</v>
      </c>
      <c r="C3641" t="s">
        <v>970</v>
      </c>
      <c r="D3641">
        <v>0.56000000000000005</v>
      </c>
      <c r="E3641">
        <v>24.75</v>
      </c>
      <c r="F3641">
        <v>1.98</v>
      </c>
      <c r="G3641">
        <v>0</v>
      </c>
    </row>
    <row r="3642" spans="1:7" hidden="1">
      <c r="A3642">
        <v>281</v>
      </c>
      <c r="B3642" t="s">
        <v>1247</v>
      </c>
      <c r="C3642" t="s">
        <v>959</v>
      </c>
      <c r="D3642">
        <v>1.91</v>
      </c>
      <c r="E3642">
        <v>18.309999999999999</v>
      </c>
      <c r="F3642">
        <v>5</v>
      </c>
      <c r="G3642">
        <v>0.3</v>
      </c>
    </row>
    <row r="3643" spans="1:7" hidden="1">
      <c r="A3643">
        <v>281</v>
      </c>
      <c r="B3643" t="s">
        <v>1247</v>
      </c>
      <c r="C3643" t="s">
        <v>960</v>
      </c>
      <c r="D3643">
        <v>1.8</v>
      </c>
      <c r="E3643">
        <v>18.399999999999999</v>
      </c>
      <c r="F3643">
        <v>4.74</v>
      </c>
      <c r="G3643">
        <v>0.42</v>
      </c>
    </row>
    <row r="3644" spans="1:7" hidden="1">
      <c r="A3644">
        <v>281</v>
      </c>
      <c r="B3644" t="s">
        <v>1247</v>
      </c>
      <c r="C3644" t="s">
        <v>961</v>
      </c>
      <c r="D3644">
        <v>2.4900000000000002</v>
      </c>
      <c r="E3644">
        <v>20.059999999999999</v>
      </c>
      <c r="F3644">
        <v>7.14</v>
      </c>
      <c r="G3644">
        <v>0.22</v>
      </c>
    </row>
    <row r="3645" spans="1:7" hidden="1">
      <c r="A3645">
        <v>281</v>
      </c>
      <c r="B3645" t="s">
        <v>1247</v>
      </c>
      <c r="C3645" t="s">
        <v>962</v>
      </c>
      <c r="D3645">
        <v>0.56999999999999995</v>
      </c>
      <c r="E3645">
        <v>24.72</v>
      </c>
      <c r="F3645">
        <v>2.02</v>
      </c>
      <c r="G3645">
        <v>0.02</v>
      </c>
    </row>
    <row r="3646" spans="1:7" hidden="1">
      <c r="A3646">
        <v>281</v>
      </c>
      <c r="B3646" t="s">
        <v>1247</v>
      </c>
      <c r="C3646" t="s">
        <v>963</v>
      </c>
      <c r="D3646">
        <v>1.28</v>
      </c>
      <c r="E3646">
        <v>18.13</v>
      </c>
      <c r="F3646">
        <v>3.31</v>
      </c>
      <c r="G3646">
        <v>0.23</v>
      </c>
    </row>
    <row r="3647" spans="1:7" hidden="1">
      <c r="A3647">
        <v>281</v>
      </c>
      <c r="B3647" t="s">
        <v>1247</v>
      </c>
      <c r="C3647" t="s">
        <v>964</v>
      </c>
      <c r="D3647">
        <v>0.04</v>
      </c>
      <c r="E3647">
        <v>21.87</v>
      </c>
      <c r="F3647">
        <v>0.11</v>
      </c>
      <c r="G3647">
        <v>0</v>
      </c>
    </row>
    <row r="3648" spans="1:7" hidden="1">
      <c r="A3648">
        <v>281</v>
      </c>
      <c r="B3648" t="s">
        <v>1247</v>
      </c>
      <c r="C3648" t="s">
        <v>965</v>
      </c>
      <c r="D3648">
        <v>1.33</v>
      </c>
      <c r="E3648">
        <v>24.75</v>
      </c>
      <c r="F3648">
        <v>4.6900000000000004</v>
      </c>
      <c r="G3648">
        <v>0.11</v>
      </c>
    </row>
    <row r="3649" spans="1:7">
      <c r="A3649">
        <v>281</v>
      </c>
      <c r="B3649" t="s">
        <v>1247</v>
      </c>
      <c r="C3649" t="s">
        <v>24</v>
      </c>
      <c r="D3649">
        <v>9.43</v>
      </c>
      <c r="E3649">
        <v>20.079999999999998</v>
      </c>
      <c r="F3649">
        <v>27.03</v>
      </c>
      <c r="G3649">
        <v>1.29</v>
      </c>
    </row>
    <row r="3650" spans="1:7" hidden="1">
      <c r="A3650">
        <v>281</v>
      </c>
      <c r="B3650" t="s">
        <v>1247</v>
      </c>
      <c r="C3650" t="s">
        <v>966</v>
      </c>
      <c r="D3650">
        <v>1.98</v>
      </c>
      <c r="E3650">
        <v>18.05</v>
      </c>
      <c r="F3650">
        <v>5.1100000000000003</v>
      </c>
      <c r="G3650">
        <v>1.35</v>
      </c>
    </row>
    <row r="3651" spans="1:7" hidden="1">
      <c r="A3651">
        <v>281</v>
      </c>
      <c r="B3651" t="s">
        <v>1247</v>
      </c>
      <c r="C3651" t="s">
        <v>967</v>
      </c>
      <c r="D3651">
        <v>0.09</v>
      </c>
      <c r="E3651">
        <v>17.91</v>
      </c>
      <c r="F3651">
        <v>0.22</v>
      </c>
      <c r="G3651">
        <v>0</v>
      </c>
    </row>
    <row r="3652" spans="1:7" hidden="1">
      <c r="A3652">
        <v>281</v>
      </c>
      <c r="B3652" t="s">
        <v>1247</v>
      </c>
      <c r="C3652" t="s">
        <v>968</v>
      </c>
      <c r="D3652">
        <v>0.75</v>
      </c>
      <c r="E3652">
        <v>18.09</v>
      </c>
      <c r="F3652">
        <v>1.94</v>
      </c>
      <c r="G3652">
        <v>0.04</v>
      </c>
    </row>
    <row r="3653" spans="1:7" hidden="1">
      <c r="A3653">
        <v>281</v>
      </c>
      <c r="B3653" t="s">
        <v>1247</v>
      </c>
      <c r="C3653" t="s">
        <v>969</v>
      </c>
      <c r="D3653">
        <v>0.36</v>
      </c>
      <c r="E3653">
        <v>24.75</v>
      </c>
      <c r="F3653">
        <v>1.26</v>
      </c>
      <c r="G3653">
        <v>0.01</v>
      </c>
    </row>
    <row r="3654" spans="1:7" hidden="1">
      <c r="A3654">
        <v>281</v>
      </c>
      <c r="B3654" t="s">
        <v>1247</v>
      </c>
      <c r="C3654" t="s">
        <v>970</v>
      </c>
      <c r="D3654">
        <v>0.47</v>
      </c>
      <c r="E3654">
        <v>24.75</v>
      </c>
      <c r="F3654">
        <v>1.66</v>
      </c>
      <c r="G3654">
        <v>0</v>
      </c>
    </row>
    <row r="3655" spans="1:7" hidden="1">
      <c r="A3655">
        <v>282</v>
      </c>
      <c r="B3655" t="s">
        <v>1248</v>
      </c>
      <c r="C3655" t="s">
        <v>959</v>
      </c>
      <c r="D3655">
        <v>2.16</v>
      </c>
      <c r="E3655">
        <v>18.309999999999999</v>
      </c>
      <c r="F3655">
        <v>5.65</v>
      </c>
      <c r="G3655">
        <v>0.02</v>
      </c>
    </row>
    <row r="3656" spans="1:7" hidden="1">
      <c r="A3656">
        <v>282</v>
      </c>
      <c r="B3656" t="s">
        <v>1248</v>
      </c>
      <c r="C3656" t="s">
        <v>960</v>
      </c>
      <c r="D3656">
        <v>1.93</v>
      </c>
      <c r="E3656">
        <v>18.399999999999999</v>
      </c>
      <c r="F3656">
        <v>5.07</v>
      </c>
      <c r="G3656">
        <v>0.03</v>
      </c>
    </row>
    <row r="3657" spans="1:7" hidden="1">
      <c r="A3657">
        <v>282</v>
      </c>
      <c r="B3657" t="s">
        <v>1248</v>
      </c>
      <c r="C3657" t="s">
        <v>961</v>
      </c>
      <c r="D3657">
        <v>4.29</v>
      </c>
      <c r="E3657">
        <v>20.059999999999999</v>
      </c>
      <c r="F3657">
        <v>12.31</v>
      </c>
      <c r="G3657">
        <v>0</v>
      </c>
    </row>
    <row r="3658" spans="1:7" hidden="1">
      <c r="A3658">
        <v>282</v>
      </c>
      <c r="B3658" t="s">
        <v>1248</v>
      </c>
      <c r="C3658" t="s">
        <v>962</v>
      </c>
      <c r="D3658">
        <v>0.71</v>
      </c>
      <c r="E3658">
        <v>24.72</v>
      </c>
      <c r="F3658">
        <v>2.52</v>
      </c>
      <c r="G3658">
        <v>0</v>
      </c>
    </row>
    <row r="3659" spans="1:7" hidden="1">
      <c r="A3659">
        <v>282</v>
      </c>
      <c r="B3659" t="s">
        <v>1248</v>
      </c>
      <c r="C3659" t="s">
        <v>963</v>
      </c>
      <c r="D3659">
        <v>1.91</v>
      </c>
      <c r="E3659">
        <v>18.13</v>
      </c>
      <c r="F3659">
        <v>4.96</v>
      </c>
      <c r="G3659">
        <v>0</v>
      </c>
    </row>
    <row r="3660" spans="1:7" hidden="1">
      <c r="A3660">
        <v>282</v>
      </c>
      <c r="B3660" t="s">
        <v>1248</v>
      </c>
      <c r="C3660" t="s">
        <v>964</v>
      </c>
      <c r="D3660">
        <v>7.0000000000000007E-2</v>
      </c>
      <c r="E3660">
        <v>21.87</v>
      </c>
      <c r="F3660">
        <v>0.22</v>
      </c>
      <c r="G3660">
        <v>0</v>
      </c>
    </row>
    <row r="3661" spans="1:7" hidden="1">
      <c r="A3661">
        <v>282</v>
      </c>
      <c r="B3661" t="s">
        <v>1248</v>
      </c>
      <c r="C3661" t="s">
        <v>965</v>
      </c>
      <c r="D3661">
        <v>1.92</v>
      </c>
      <c r="E3661">
        <v>24.75</v>
      </c>
      <c r="F3661">
        <v>6.77</v>
      </c>
      <c r="G3661">
        <v>0</v>
      </c>
    </row>
    <row r="3662" spans="1:7">
      <c r="A3662">
        <v>282</v>
      </c>
      <c r="B3662" t="s">
        <v>1248</v>
      </c>
      <c r="C3662" t="s">
        <v>24</v>
      </c>
      <c r="D3662">
        <v>12.99</v>
      </c>
      <c r="E3662">
        <v>20.190000000000001</v>
      </c>
      <c r="F3662">
        <v>37.49</v>
      </c>
      <c r="G3662">
        <v>0.05</v>
      </c>
    </row>
    <row r="3663" spans="1:7" hidden="1">
      <c r="A3663">
        <v>282</v>
      </c>
      <c r="B3663" t="s">
        <v>1248</v>
      </c>
      <c r="C3663" t="s">
        <v>966</v>
      </c>
      <c r="D3663">
        <v>0</v>
      </c>
      <c r="E3663">
        <v>18.05</v>
      </c>
      <c r="F3663">
        <v>0</v>
      </c>
      <c r="G3663">
        <v>0</v>
      </c>
    </row>
    <row r="3664" spans="1:7" hidden="1">
      <c r="A3664">
        <v>282</v>
      </c>
      <c r="B3664" t="s">
        <v>1248</v>
      </c>
      <c r="C3664" t="s">
        <v>967</v>
      </c>
      <c r="D3664">
        <v>0.08</v>
      </c>
      <c r="E3664">
        <v>17.91</v>
      </c>
      <c r="F3664">
        <v>0.21</v>
      </c>
      <c r="G3664">
        <v>0</v>
      </c>
    </row>
    <row r="3665" spans="1:7" hidden="1">
      <c r="A3665">
        <v>282</v>
      </c>
      <c r="B3665" t="s">
        <v>1248</v>
      </c>
      <c r="C3665" t="s">
        <v>968</v>
      </c>
      <c r="D3665">
        <v>1.51</v>
      </c>
      <c r="E3665">
        <v>18.09</v>
      </c>
      <c r="F3665">
        <v>3.91</v>
      </c>
      <c r="G3665">
        <v>0.01</v>
      </c>
    </row>
    <row r="3666" spans="1:7" hidden="1">
      <c r="A3666">
        <v>282</v>
      </c>
      <c r="B3666" t="s">
        <v>1248</v>
      </c>
      <c r="C3666" t="s">
        <v>969</v>
      </c>
      <c r="D3666">
        <v>0.03</v>
      </c>
      <c r="E3666">
        <v>24.75</v>
      </c>
      <c r="F3666">
        <v>0.12</v>
      </c>
      <c r="G3666">
        <v>0.01</v>
      </c>
    </row>
    <row r="3667" spans="1:7" hidden="1">
      <c r="A3667">
        <v>282</v>
      </c>
      <c r="B3667" t="s">
        <v>1248</v>
      </c>
      <c r="C3667" t="s">
        <v>970</v>
      </c>
      <c r="D3667">
        <v>0.61</v>
      </c>
      <c r="E3667">
        <v>24.75</v>
      </c>
      <c r="F3667">
        <v>2.15</v>
      </c>
      <c r="G3667">
        <v>0</v>
      </c>
    </row>
    <row r="3668" spans="1:7" hidden="1">
      <c r="A3668">
        <v>283</v>
      </c>
      <c r="B3668" t="s">
        <v>1249</v>
      </c>
      <c r="C3668" t="s">
        <v>959</v>
      </c>
      <c r="D3668">
        <v>1.71</v>
      </c>
      <c r="E3668">
        <v>18.309999999999999</v>
      </c>
      <c r="F3668">
        <v>4.4800000000000004</v>
      </c>
      <c r="G3668">
        <v>0.02</v>
      </c>
    </row>
    <row r="3669" spans="1:7" hidden="1">
      <c r="A3669">
        <v>283</v>
      </c>
      <c r="B3669" t="s">
        <v>1249</v>
      </c>
      <c r="C3669" t="s">
        <v>960</v>
      </c>
      <c r="D3669">
        <v>1.44</v>
      </c>
      <c r="E3669">
        <v>18.399999999999999</v>
      </c>
      <c r="F3669">
        <v>3.78</v>
      </c>
      <c r="G3669">
        <v>0.03</v>
      </c>
    </row>
    <row r="3670" spans="1:7" hidden="1">
      <c r="A3670">
        <v>283</v>
      </c>
      <c r="B3670" t="s">
        <v>1249</v>
      </c>
      <c r="C3670" t="s">
        <v>961</v>
      </c>
      <c r="D3670">
        <v>3.62</v>
      </c>
      <c r="E3670">
        <v>20.059999999999999</v>
      </c>
      <c r="F3670">
        <v>10.38</v>
      </c>
      <c r="G3670">
        <v>0.01</v>
      </c>
    </row>
    <row r="3671" spans="1:7" hidden="1">
      <c r="A3671">
        <v>283</v>
      </c>
      <c r="B3671" t="s">
        <v>1249</v>
      </c>
      <c r="C3671" t="s">
        <v>962</v>
      </c>
      <c r="D3671">
        <v>0.51</v>
      </c>
      <c r="E3671">
        <v>24.72</v>
      </c>
      <c r="F3671">
        <v>1.79</v>
      </c>
      <c r="G3671">
        <v>0</v>
      </c>
    </row>
    <row r="3672" spans="1:7" hidden="1">
      <c r="A3672">
        <v>283</v>
      </c>
      <c r="B3672" t="s">
        <v>1249</v>
      </c>
      <c r="C3672" t="s">
        <v>963</v>
      </c>
      <c r="D3672">
        <v>1.77</v>
      </c>
      <c r="E3672">
        <v>18.13</v>
      </c>
      <c r="F3672">
        <v>4.59</v>
      </c>
      <c r="G3672">
        <v>0</v>
      </c>
    </row>
    <row r="3673" spans="1:7" hidden="1">
      <c r="A3673">
        <v>283</v>
      </c>
      <c r="B3673" t="s">
        <v>1249</v>
      </c>
      <c r="C3673" t="s">
        <v>964</v>
      </c>
      <c r="D3673">
        <v>0.05</v>
      </c>
      <c r="E3673">
        <v>21.87</v>
      </c>
      <c r="F3673">
        <v>0.15</v>
      </c>
      <c r="G3673">
        <v>0</v>
      </c>
    </row>
    <row r="3674" spans="1:7" hidden="1">
      <c r="A3674">
        <v>283</v>
      </c>
      <c r="B3674" t="s">
        <v>1249</v>
      </c>
      <c r="C3674" t="s">
        <v>965</v>
      </c>
      <c r="D3674">
        <v>1.82</v>
      </c>
      <c r="E3674">
        <v>24.75</v>
      </c>
      <c r="F3674">
        <v>6.44</v>
      </c>
      <c r="G3674">
        <v>0.01</v>
      </c>
    </row>
    <row r="3675" spans="1:7">
      <c r="A3675">
        <v>283</v>
      </c>
      <c r="B3675" t="s">
        <v>1249</v>
      </c>
      <c r="C3675" t="s">
        <v>24</v>
      </c>
      <c r="D3675">
        <v>10.92</v>
      </c>
      <c r="E3675">
        <v>20.260000000000002</v>
      </c>
      <c r="F3675">
        <v>31.62</v>
      </c>
      <c r="G3675">
        <v>7.0000000000000007E-2</v>
      </c>
    </row>
    <row r="3676" spans="1:7" hidden="1">
      <c r="A3676">
        <v>283</v>
      </c>
      <c r="B3676" t="s">
        <v>1249</v>
      </c>
      <c r="C3676" t="s">
        <v>966</v>
      </c>
      <c r="D3676">
        <v>0</v>
      </c>
      <c r="E3676">
        <v>18.05</v>
      </c>
      <c r="F3676">
        <v>0</v>
      </c>
      <c r="G3676">
        <v>0</v>
      </c>
    </row>
    <row r="3677" spans="1:7" hidden="1">
      <c r="A3677">
        <v>283</v>
      </c>
      <c r="B3677" t="s">
        <v>1249</v>
      </c>
      <c r="C3677" t="s">
        <v>967</v>
      </c>
      <c r="D3677">
        <v>0.1</v>
      </c>
      <c r="E3677">
        <v>17.91</v>
      </c>
      <c r="F3677">
        <v>0.25</v>
      </c>
      <c r="G3677">
        <v>0</v>
      </c>
    </row>
    <row r="3678" spans="1:7" hidden="1">
      <c r="A3678">
        <v>283</v>
      </c>
      <c r="B3678" t="s">
        <v>1249</v>
      </c>
      <c r="C3678" t="s">
        <v>968</v>
      </c>
      <c r="D3678">
        <v>1.63</v>
      </c>
      <c r="E3678">
        <v>18.09</v>
      </c>
      <c r="F3678">
        <v>4.21</v>
      </c>
      <c r="G3678">
        <v>0.01</v>
      </c>
    </row>
    <row r="3679" spans="1:7" hidden="1">
      <c r="A3679">
        <v>283</v>
      </c>
      <c r="B3679" t="s">
        <v>1249</v>
      </c>
      <c r="C3679" t="s">
        <v>969</v>
      </c>
      <c r="D3679">
        <v>0.04</v>
      </c>
      <c r="E3679">
        <v>24.75</v>
      </c>
      <c r="F3679">
        <v>0.16</v>
      </c>
      <c r="G3679">
        <v>0.01</v>
      </c>
    </row>
    <row r="3680" spans="1:7" hidden="1">
      <c r="A3680">
        <v>283</v>
      </c>
      <c r="B3680" t="s">
        <v>1249</v>
      </c>
      <c r="C3680" t="s">
        <v>970</v>
      </c>
      <c r="D3680">
        <v>0.63</v>
      </c>
      <c r="E3680">
        <v>24.75</v>
      </c>
      <c r="F3680">
        <v>2.23</v>
      </c>
      <c r="G3680">
        <v>0</v>
      </c>
    </row>
    <row r="3681" spans="1:7" hidden="1">
      <c r="A3681">
        <v>284</v>
      </c>
      <c r="B3681" t="s">
        <v>1250</v>
      </c>
      <c r="C3681" t="s">
        <v>959</v>
      </c>
      <c r="D3681">
        <v>2.93</v>
      </c>
      <c r="E3681">
        <v>18.309999999999999</v>
      </c>
      <c r="F3681">
        <v>7.67</v>
      </c>
      <c r="G3681">
        <v>0</v>
      </c>
    </row>
    <row r="3682" spans="1:7" hidden="1">
      <c r="A3682">
        <v>284</v>
      </c>
      <c r="B3682" t="s">
        <v>1250</v>
      </c>
      <c r="C3682" t="s">
        <v>960</v>
      </c>
      <c r="D3682">
        <v>2.75</v>
      </c>
      <c r="E3682">
        <v>18.399999999999999</v>
      </c>
      <c r="F3682">
        <v>7.23</v>
      </c>
      <c r="G3682">
        <v>0.02</v>
      </c>
    </row>
    <row r="3683" spans="1:7" hidden="1">
      <c r="A3683">
        <v>284</v>
      </c>
      <c r="B3683" t="s">
        <v>1250</v>
      </c>
      <c r="C3683" t="s">
        <v>961</v>
      </c>
      <c r="D3683">
        <v>5.23</v>
      </c>
      <c r="E3683">
        <v>20.059999999999999</v>
      </c>
      <c r="F3683">
        <v>15</v>
      </c>
      <c r="G3683">
        <v>0</v>
      </c>
    </row>
    <row r="3684" spans="1:7" hidden="1">
      <c r="A3684">
        <v>284</v>
      </c>
      <c r="B3684" t="s">
        <v>1250</v>
      </c>
      <c r="C3684" t="s">
        <v>962</v>
      </c>
      <c r="D3684">
        <v>1.37</v>
      </c>
      <c r="E3684">
        <v>24.72</v>
      </c>
      <c r="F3684">
        <v>4.83</v>
      </c>
      <c r="G3684">
        <v>0</v>
      </c>
    </row>
    <row r="3685" spans="1:7" hidden="1">
      <c r="A3685">
        <v>284</v>
      </c>
      <c r="B3685" t="s">
        <v>1250</v>
      </c>
      <c r="C3685" t="s">
        <v>963</v>
      </c>
      <c r="D3685">
        <v>2.15</v>
      </c>
      <c r="E3685">
        <v>18.13</v>
      </c>
      <c r="F3685">
        <v>5.58</v>
      </c>
      <c r="G3685">
        <v>0</v>
      </c>
    </row>
    <row r="3686" spans="1:7" hidden="1">
      <c r="A3686">
        <v>284</v>
      </c>
      <c r="B3686" t="s">
        <v>1250</v>
      </c>
      <c r="C3686" t="s">
        <v>964</v>
      </c>
      <c r="D3686">
        <v>0.06</v>
      </c>
      <c r="E3686">
        <v>21.87</v>
      </c>
      <c r="F3686">
        <v>0.2</v>
      </c>
      <c r="G3686">
        <v>0</v>
      </c>
    </row>
    <row r="3687" spans="1:7" hidden="1">
      <c r="A3687">
        <v>284</v>
      </c>
      <c r="B3687" t="s">
        <v>1250</v>
      </c>
      <c r="C3687" t="s">
        <v>965</v>
      </c>
      <c r="D3687">
        <v>1.98</v>
      </c>
      <c r="E3687">
        <v>24.75</v>
      </c>
      <c r="F3687">
        <v>6.99</v>
      </c>
      <c r="G3687">
        <v>0.01</v>
      </c>
    </row>
    <row r="3688" spans="1:7">
      <c r="A3688">
        <v>284</v>
      </c>
      <c r="B3688" t="s">
        <v>1250</v>
      </c>
      <c r="C3688" t="s">
        <v>24</v>
      </c>
      <c r="D3688">
        <v>16.48</v>
      </c>
      <c r="E3688">
        <v>20.18</v>
      </c>
      <c r="F3688">
        <v>47.5</v>
      </c>
      <c r="G3688">
        <v>0.03</v>
      </c>
    </row>
    <row r="3689" spans="1:7" hidden="1">
      <c r="A3689">
        <v>284</v>
      </c>
      <c r="B3689" t="s">
        <v>1250</v>
      </c>
      <c r="C3689" t="s">
        <v>966</v>
      </c>
      <c r="D3689">
        <v>0</v>
      </c>
      <c r="E3689">
        <v>18.05</v>
      </c>
      <c r="F3689">
        <v>0</v>
      </c>
      <c r="G3689">
        <v>0</v>
      </c>
    </row>
    <row r="3690" spans="1:7" hidden="1">
      <c r="A3690">
        <v>284</v>
      </c>
      <c r="B3690" t="s">
        <v>1250</v>
      </c>
      <c r="C3690" t="s">
        <v>967</v>
      </c>
      <c r="D3690">
        <v>0.01</v>
      </c>
      <c r="E3690">
        <v>17.91</v>
      </c>
      <c r="F3690">
        <v>0.02</v>
      </c>
      <c r="G3690">
        <v>0</v>
      </c>
    </row>
    <row r="3691" spans="1:7" hidden="1">
      <c r="A3691">
        <v>284</v>
      </c>
      <c r="B3691" t="s">
        <v>1250</v>
      </c>
      <c r="C3691" t="s">
        <v>968</v>
      </c>
      <c r="D3691">
        <v>1.25</v>
      </c>
      <c r="E3691">
        <v>18.09</v>
      </c>
      <c r="F3691">
        <v>3.23</v>
      </c>
      <c r="G3691">
        <v>0</v>
      </c>
    </row>
    <row r="3692" spans="1:7" hidden="1">
      <c r="A3692">
        <v>284</v>
      </c>
      <c r="B3692" t="s">
        <v>1250</v>
      </c>
      <c r="C3692" t="s">
        <v>969</v>
      </c>
      <c r="D3692">
        <v>0.02</v>
      </c>
      <c r="E3692">
        <v>24.75</v>
      </c>
      <c r="F3692">
        <v>0.05</v>
      </c>
      <c r="G3692">
        <v>0</v>
      </c>
    </row>
    <row r="3693" spans="1:7" hidden="1">
      <c r="A3693">
        <v>284</v>
      </c>
      <c r="B3693" t="s">
        <v>1250</v>
      </c>
      <c r="C3693" t="s">
        <v>970</v>
      </c>
      <c r="D3693">
        <v>0.55000000000000004</v>
      </c>
      <c r="E3693">
        <v>24.75</v>
      </c>
      <c r="F3693">
        <v>1.95</v>
      </c>
      <c r="G3693">
        <v>0</v>
      </c>
    </row>
    <row r="3694" spans="1:7" hidden="1">
      <c r="A3694">
        <v>285</v>
      </c>
      <c r="B3694" t="s">
        <v>1251</v>
      </c>
      <c r="C3694" t="s">
        <v>959</v>
      </c>
      <c r="D3694">
        <v>3.15</v>
      </c>
      <c r="E3694">
        <v>18.309999999999999</v>
      </c>
      <c r="F3694">
        <v>8.25</v>
      </c>
      <c r="G3694">
        <v>0.06</v>
      </c>
    </row>
    <row r="3695" spans="1:7" hidden="1">
      <c r="A3695">
        <v>285</v>
      </c>
      <c r="B3695" t="s">
        <v>1251</v>
      </c>
      <c r="C3695" t="s">
        <v>960</v>
      </c>
      <c r="D3695">
        <v>2.85</v>
      </c>
      <c r="E3695">
        <v>18.399999999999999</v>
      </c>
      <c r="F3695">
        <v>7.49</v>
      </c>
      <c r="G3695">
        <v>0.02</v>
      </c>
    </row>
    <row r="3696" spans="1:7" hidden="1">
      <c r="A3696">
        <v>285</v>
      </c>
      <c r="B3696" t="s">
        <v>1251</v>
      </c>
      <c r="C3696" t="s">
        <v>961</v>
      </c>
      <c r="D3696">
        <v>6.03</v>
      </c>
      <c r="E3696">
        <v>20.059999999999999</v>
      </c>
      <c r="F3696">
        <v>17.29</v>
      </c>
      <c r="G3696">
        <v>0</v>
      </c>
    </row>
    <row r="3697" spans="1:7" hidden="1">
      <c r="A3697">
        <v>285</v>
      </c>
      <c r="B3697" t="s">
        <v>1251</v>
      </c>
      <c r="C3697" t="s">
        <v>962</v>
      </c>
      <c r="D3697">
        <v>0.94</v>
      </c>
      <c r="E3697">
        <v>24.72</v>
      </c>
      <c r="F3697">
        <v>3.33</v>
      </c>
      <c r="G3697">
        <v>0</v>
      </c>
    </row>
    <row r="3698" spans="1:7" hidden="1">
      <c r="A3698">
        <v>285</v>
      </c>
      <c r="B3698" t="s">
        <v>1251</v>
      </c>
      <c r="C3698" t="s">
        <v>963</v>
      </c>
      <c r="D3698">
        <v>2.2599999999999998</v>
      </c>
      <c r="E3698">
        <v>18.13</v>
      </c>
      <c r="F3698">
        <v>5.86</v>
      </c>
      <c r="G3698">
        <v>0.02</v>
      </c>
    </row>
    <row r="3699" spans="1:7" hidden="1">
      <c r="A3699">
        <v>285</v>
      </c>
      <c r="B3699" t="s">
        <v>1251</v>
      </c>
      <c r="C3699" t="s">
        <v>964</v>
      </c>
      <c r="D3699">
        <v>0.13</v>
      </c>
      <c r="E3699">
        <v>21.87</v>
      </c>
      <c r="F3699">
        <v>0.4</v>
      </c>
      <c r="G3699">
        <v>0</v>
      </c>
    </row>
    <row r="3700" spans="1:7" hidden="1">
      <c r="A3700">
        <v>285</v>
      </c>
      <c r="B3700" t="s">
        <v>1251</v>
      </c>
      <c r="C3700" t="s">
        <v>965</v>
      </c>
      <c r="D3700">
        <v>2.16</v>
      </c>
      <c r="E3700">
        <v>24.75</v>
      </c>
      <c r="F3700">
        <v>7.65</v>
      </c>
      <c r="G3700">
        <v>0.02</v>
      </c>
    </row>
    <row r="3701" spans="1:7">
      <c r="A3701">
        <v>285</v>
      </c>
      <c r="B3701" t="s">
        <v>1251</v>
      </c>
      <c r="C3701" t="s">
        <v>24</v>
      </c>
      <c r="D3701">
        <v>17.53</v>
      </c>
      <c r="E3701">
        <v>20.07</v>
      </c>
      <c r="F3701">
        <v>50.26</v>
      </c>
      <c r="G3701">
        <v>0.12</v>
      </c>
    </row>
    <row r="3702" spans="1:7" hidden="1">
      <c r="A3702">
        <v>285</v>
      </c>
      <c r="B3702" t="s">
        <v>1251</v>
      </c>
      <c r="C3702" t="s">
        <v>966</v>
      </c>
      <c r="D3702">
        <v>0.01</v>
      </c>
      <c r="E3702">
        <v>18.05</v>
      </c>
      <c r="F3702">
        <v>0.03</v>
      </c>
      <c r="G3702">
        <v>0.01</v>
      </c>
    </row>
    <row r="3703" spans="1:7" hidden="1">
      <c r="A3703">
        <v>285</v>
      </c>
      <c r="B3703" t="s">
        <v>1251</v>
      </c>
      <c r="C3703" t="s">
        <v>967</v>
      </c>
      <c r="D3703">
        <v>0</v>
      </c>
      <c r="E3703">
        <v>17.91</v>
      </c>
      <c r="F3703">
        <v>0</v>
      </c>
      <c r="G3703">
        <v>0</v>
      </c>
    </row>
    <row r="3704" spans="1:7" hidden="1">
      <c r="A3704">
        <v>285</v>
      </c>
      <c r="B3704" t="s">
        <v>1251</v>
      </c>
      <c r="C3704" t="s">
        <v>968</v>
      </c>
      <c r="D3704">
        <v>2.17</v>
      </c>
      <c r="E3704">
        <v>18.09</v>
      </c>
      <c r="F3704">
        <v>5.62</v>
      </c>
      <c r="G3704">
        <v>0.02</v>
      </c>
    </row>
    <row r="3705" spans="1:7" hidden="1">
      <c r="A3705">
        <v>285</v>
      </c>
      <c r="B3705" t="s">
        <v>1251</v>
      </c>
      <c r="C3705" t="s">
        <v>969</v>
      </c>
      <c r="D3705">
        <v>0.03</v>
      </c>
      <c r="E3705">
        <v>24.75</v>
      </c>
      <c r="F3705">
        <v>0.11</v>
      </c>
      <c r="G3705">
        <v>0</v>
      </c>
    </row>
    <row r="3706" spans="1:7" hidden="1">
      <c r="A3706">
        <v>285</v>
      </c>
      <c r="B3706" t="s">
        <v>1251</v>
      </c>
      <c r="C3706" t="s">
        <v>970</v>
      </c>
      <c r="D3706">
        <v>0.83</v>
      </c>
      <c r="E3706">
        <v>24.75</v>
      </c>
      <c r="F3706">
        <v>2.93</v>
      </c>
      <c r="G3706">
        <v>0</v>
      </c>
    </row>
    <row r="3707" spans="1:7" hidden="1">
      <c r="A3707">
        <v>286</v>
      </c>
      <c r="B3707" t="s">
        <v>1252</v>
      </c>
      <c r="C3707" t="s">
        <v>959</v>
      </c>
      <c r="D3707">
        <v>2.64</v>
      </c>
      <c r="E3707">
        <v>18.309999999999999</v>
      </c>
      <c r="F3707">
        <v>6.91</v>
      </c>
      <c r="G3707">
        <v>0.51</v>
      </c>
    </row>
    <row r="3708" spans="1:7" hidden="1">
      <c r="A3708">
        <v>286</v>
      </c>
      <c r="B3708" t="s">
        <v>1252</v>
      </c>
      <c r="C3708" t="s">
        <v>960</v>
      </c>
      <c r="D3708">
        <v>2.4</v>
      </c>
      <c r="E3708">
        <v>18.399999999999999</v>
      </c>
      <c r="F3708">
        <v>6.3</v>
      </c>
      <c r="G3708">
        <v>0.73</v>
      </c>
    </row>
    <row r="3709" spans="1:7" hidden="1">
      <c r="A3709">
        <v>286</v>
      </c>
      <c r="B3709" t="s">
        <v>1252</v>
      </c>
      <c r="C3709" t="s">
        <v>961</v>
      </c>
      <c r="D3709">
        <v>2.84</v>
      </c>
      <c r="E3709">
        <v>20.059999999999999</v>
      </c>
      <c r="F3709">
        <v>8.14</v>
      </c>
      <c r="G3709">
        <v>0.5</v>
      </c>
    </row>
    <row r="3710" spans="1:7" hidden="1">
      <c r="A3710">
        <v>286</v>
      </c>
      <c r="B3710" t="s">
        <v>1252</v>
      </c>
      <c r="C3710" t="s">
        <v>962</v>
      </c>
      <c r="D3710">
        <v>0.81</v>
      </c>
      <c r="E3710">
        <v>24.72</v>
      </c>
      <c r="F3710">
        <v>2.87</v>
      </c>
      <c r="G3710">
        <v>0.03</v>
      </c>
    </row>
    <row r="3711" spans="1:7" hidden="1">
      <c r="A3711">
        <v>286</v>
      </c>
      <c r="B3711" t="s">
        <v>1252</v>
      </c>
      <c r="C3711" t="s">
        <v>963</v>
      </c>
      <c r="D3711">
        <v>1.28</v>
      </c>
      <c r="E3711">
        <v>18.13</v>
      </c>
      <c r="F3711">
        <v>3.33</v>
      </c>
      <c r="G3711">
        <v>0.13</v>
      </c>
    </row>
    <row r="3712" spans="1:7" hidden="1">
      <c r="A3712">
        <v>286</v>
      </c>
      <c r="B3712" t="s">
        <v>1252</v>
      </c>
      <c r="C3712" t="s">
        <v>964</v>
      </c>
      <c r="D3712">
        <v>0.05</v>
      </c>
      <c r="E3712">
        <v>21.87</v>
      </c>
      <c r="F3712">
        <v>0.17</v>
      </c>
      <c r="G3712">
        <v>0</v>
      </c>
    </row>
    <row r="3713" spans="1:7" hidden="1">
      <c r="A3713">
        <v>286</v>
      </c>
      <c r="B3713" t="s">
        <v>1252</v>
      </c>
      <c r="C3713" t="s">
        <v>965</v>
      </c>
      <c r="D3713">
        <v>1.3</v>
      </c>
      <c r="E3713">
        <v>24.75</v>
      </c>
      <c r="F3713">
        <v>4.5999999999999996</v>
      </c>
      <c r="G3713">
        <v>0.16</v>
      </c>
    </row>
    <row r="3714" spans="1:7">
      <c r="A3714">
        <v>286</v>
      </c>
      <c r="B3714" t="s">
        <v>1252</v>
      </c>
      <c r="C3714" t="s">
        <v>24</v>
      </c>
      <c r="D3714">
        <v>11.33</v>
      </c>
      <c r="E3714">
        <v>19.96</v>
      </c>
      <c r="F3714">
        <v>32.33</v>
      </c>
      <c r="G3714">
        <v>2.06</v>
      </c>
    </row>
    <row r="3715" spans="1:7" hidden="1">
      <c r="A3715">
        <v>286</v>
      </c>
      <c r="B3715" t="s">
        <v>1252</v>
      </c>
      <c r="C3715" t="s">
        <v>966</v>
      </c>
      <c r="D3715">
        <v>2.58</v>
      </c>
      <c r="E3715">
        <v>18.05</v>
      </c>
      <c r="F3715">
        <v>6.66</v>
      </c>
      <c r="G3715">
        <v>2.0099999999999998</v>
      </c>
    </row>
    <row r="3716" spans="1:7" hidden="1">
      <c r="A3716">
        <v>286</v>
      </c>
      <c r="B3716" t="s">
        <v>1252</v>
      </c>
      <c r="C3716" t="s">
        <v>967</v>
      </c>
      <c r="D3716">
        <v>0.28000000000000003</v>
      </c>
      <c r="E3716">
        <v>17.91</v>
      </c>
      <c r="F3716">
        <v>0.71</v>
      </c>
      <c r="G3716">
        <v>0.03</v>
      </c>
    </row>
    <row r="3717" spans="1:7" hidden="1">
      <c r="A3717">
        <v>286</v>
      </c>
      <c r="B3717" t="s">
        <v>1252</v>
      </c>
      <c r="C3717" t="s">
        <v>968</v>
      </c>
      <c r="D3717">
        <v>0.42</v>
      </c>
      <c r="E3717">
        <v>18.09</v>
      </c>
      <c r="F3717">
        <v>1.0900000000000001</v>
      </c>
      <c r="G3717">
        <v>0.09</v>
      </c>
    </row>
    <row r="3718" spans="1:7" hidden="1">
      <c r="A3718">
        <v>286</v>
      </c>
      <c r="B3718" t="s">
        <v>1252</v>
      </c>
      <c r="C3718" t="s">
        <v>969</v>
      </c>
      <c r="D3718">
        <v>0.43</v>
      </c>
      <c r="E3718">
        <v>24.75</v>
      </c>
      <c r="F3718">
        <v>1.54</v>
      </c>
      <c r="G3718">
        <v>0.01</v>
      </c>
    </row>
    <row r="3719" spans="1:7" hidden="1">
      <c r="A3719">
        <v>286</v>
      </c>
      <c r="B3719" t="s">
        <v>1252</v>
      </c>
      <c r="C3719" t="s">
        <v>970</v>
      </c>
      <c r="D3719">
        <v>0.3</v>
      </c>
      <c r="E3719">
        <v>24.75</v>
      </c>
      <c r="F3719">
        <v>1.07</v>
      </c>
      <c r="G3719">
        <v>0.01</v>
      </c>
    </row>
    <row r="3720" spans="1:7" hidden="1">
      <c r="A3720">
        <v>287</v>
      </c>
      <c r="B3720" t="s">
        <v>1253</v>
      </c>
      <c r="C3720" t="s">
        <v>959</v>
      </c>
      <c r="D3720">
        <v>2.5099999999999998</v>
      </c>
      <c r="E3720">
        <v>18.309999999999999</v>
      </c>
      <c r="F3720">
        <v>6.56</v>
      </c>
      <c r="G3720">
        <v>0</v>
      </c>
    </row>
    <row r="3721" spans="1:7" hidden="1">
      <c r="A3721">
        <v>287</v>
      </c>
      <c r="B3721" t="s">
        <v>1253</v>
      </c>
      <c r="C3721" t="s">
        <v>960</v>
      </c>
      <c r="D3721">
        <v>2.86</v>
      </c>
      <c r="E3721">
        <v>18.399999999999999</v>
      </c>
      <c r="F3721">
        <v>7.51</v>
      </c>
      <c r="G3721">
        <v>0</v>
      </c>
    </row>
    <row r="3722" spans="1:7" hidden="1">
      <c r="A3722">
        <v>287</v>
      </c>
      <c r="B3722" t="s">
        <v>1253</v>
      </c>
      <c r="C3722" t="s">
        <v>961</v>
      </c>
      <c r="D3722">
        <v>2.9</v>
      </c>
      <c r="E3722">
        <v>20.059999999999999</v>
      </c>
      <c r="F3722">
        <v>8.31</v>
      </c>
      <c r="G3722">
        <v>0</v>
      </c>
    </row>
    <row r="3723" spans="1:7" hidden="1">
      <c r="A3723">
        <v>287</v>
      </c>
      <c r="B3723" t="s">
        <v>1253</v>
      </c>
      <c r="C3723" t="s">
        <v>962</v>
      </c>
      <c r="D3723">
        <v>0.76</v>
      </c>
      <c r="E3723">
        <v>24.72</v>
      </c>
      <c r="F3723">
        <v>2.69</v>
      </c>
      <c r="G3723">
        <v>0</v>
      </c>
    </row>
    <row r="3724" spans="1:7" hidden="1">
      <c r="A3724">
        <v>287</v>
      </c>
      <c r="B3724" t="s">
        <v>1253</v>
      </c>
      <c r="C3724" t="s">
        <v>963</v>
      </c>
      <c r="D3724">
        <v>1.44</v>
      </c>
      <c r="E3724">
        <v>18.13</v>
      </c>
      <c r="F3724">
        <v>3.74</v>
      </c>
      <c r="G3724">
        <v>0</v>
      </c>
    </row>
    <row r="3725" spans="1:7" hidden="1">
      <c r="A3725">
        <v>287</v>
      </c>
      <c r="B3725" t="s">
        <v>1253</v>
      </c>
      <c r="C3725" t="s">
        <v>964</v>
      </c>
      <c r="D3725">
        <v>0.12</v>
      </c>
      <c r="E3725">
        <v>21.87</v>
      </c>
      <c r="F3725">
        <v>0.37</v>
      </c>
      <c r="G3725">
        <v>0</v>
      </c>
    </row>
    <row r="3726" spans="1:7" hidden="1">
      <c r="A3726">
        <v>287</v>
      </c>
      <c r="B3726" t="s">
        <v>1253</v>
      </c>
      <c r="C3726" t="s">
        <v>965</v>
      </c>
      <c r="D3726">
        <v>1.46</v>
      </c>
      <c r="E3726">
        <v>24.75</v>
      </c>
      <c r="F3726">
        <v>5.16</v>
      </c>
      <c r="G3726">
        <v>0</v>
      </c>
    </row>
    <row r="3727" spans="1:7">
      <c r="A3727">
        <v>287</v>
      </c>
      <c r="B3727" t="s">
        <v>1253</v>
      </c>
      <c r="C3727" t="s">
        <v>24</v>
      </c>
      <c r="D3727">
        <v>12.05</v>
      </c>
      <c r="E3727">
        <v>19.95</v>
      </c>
      <c r="F3727">
        <v>34.33</v>
      </c>
      <c r="G3727">
        <v>0.01</v>
      </c>
    </row>
    <row r="3728" spans="1:7" hidden="1">
      <c r="A3728">
        <v>287</v>
      </c>
      <c r="B3728" t="s">
        <v>1253</v>
      </c>
      <c r="C3728" t="s">
        <v>966</v>
      </c>
      <c r="D3728">
        <v>0.02</v>
      </c>
      <c r="E3728">
        <v>18.05</v>
      </c>
      <c r="F3728">
        <v>0.05</v>
      </c>
      <c r="G3728">
        <v>0</v>
      </c>
    </row>
    <row r="3729" spans="1:7" hidden="1">
      <c r="A3729">
        <v>287</v>
      </c>
      <c r="B3729" t="s">
        <v>1253</v>
      </c>
      <c r="C3729" t="s">
        <v>967</v>
      </c>
      <c r="D3729">
        <v>0.26</v>
      </c>
      <c r="E3729">
        <v>17.91</v>
      </c>
      <c r="F3729">
        <v>0.66</v>
      </c>
      <c r="G3729">
        <v>0</v>
      </c>
    </row>
    <row r="3730" spans="1:7" hidden="1">
      <c r="A3730">
        <v>287</v>
      </c>
      <c r="B3730" t="s">
        <v>1253</v>
      </c>
      <c r="C3730" t="s">
        <v>968</v>
      </c>
      <c r="D3730">
        <v>0.9</v>
      </c>
      <c r="E3730">
        <v>18.09</v>
      </c>
      <c r="F3730">
        <v>2.3199999999999998</v>
      </c>
      <c r="G3730">
        <v>0</v>
      </c>
    </row>
    <row r="3731" spans="1:7" hidden="1">
      <c r="A3731">
        <v>287</v>
      </c>
      <c r="B3731" t="s">
        <v>1253</v>
      </c>
      <c r="C3731" t="s">
        <v>969</v>
      </c>
      <c r="D3731">
        <v>0.04</v>
      </c>
      <c r="E3731">
        <v>24.75</v>
      </c>
      <c r="F3731">
        <v>0.14000000000000001</v>
      </c>
      <c r="G3731">
        <v>0</v>
      </c>
    </row>
    <row r="3732" spans="1:7" hidden="1">
      <c r="A3732">
        <v>287</v>
      </c>
      <c r="B3732" t="s">
        <v>1253</v>
      </c>
      <c r="C3732" t="s">
        <v>970</v>
      </c>
      <c r="D3732">
        <v>0.33</v>
      </c>
      <c r="E3732">
        <v>24.75</v>
      </c>
      <c r="F3732">
        <v>1.17</v>
      </c>
      <c r="G3732">
        <v>0</v>
      </c>
    </row>
    <row r="3733" spans="1:7" hidden="1">
      <c r="A3733">
        <v>288</v>
      </c>
      <c r="B3733" t="s">
        <v>1254</v>
      </c>
      <c r="C3733" t="s">
        <v>959</v>
      </c>
      <c r="D3733">
        <v>2.2599999999999998</v>
      </c>
      <c r="E3733">
        <v>18.309999999999999</v>
      </c>
      <c r="F3733">
        <v>5.92</v>
      </c>
      <c r="G3733">
        <v>0.01</v>
      </c>
    </row>
    <row r="3734" spans="1:7" hidden="1">
      <c r="A3734">
        <v>288</v>
      </c>
      <c r="B3734" t="s">
        <v>1254</v>
      </c>
      <c r="C3734" t="s">
        <v>960</v>
      </c>
      <c r="D3734">
        <v>2.39</v>
      </c>
      <c r="E3734">
        <v>18.399999999999999</v>
      </c>
      <c r="F3734">
        <v>6.27</v>
      </c>
      <c r="G3734">
        <v>0</v>
      </c>
    </row>
    <row r="3735" spans="1:7" hidden="1">
      <c r="A3735">
        <v>288</v>
      </c>
      <c r="B3735" t="s">
        <v>1254</v>
      </c>
      <c r="C3735" t="s">
        <v>961</v>
      </c>
      <c r="D3735">
        <v>3.05</v>
      </c>
      <c r="E3735">
        <v>20.059999999999999</v>
      </c>
      <c r="F3735">
        <v>8.75</v>
      </c>
      <c r="G3735">
        <v>0</v>
      </c>
    </row>
    <row r="3736" spans="1:7" hidden="1">
      <c r="A3736">
        <v>288</v>
      </c>
      <c r="B3736" t="s">
        <v>1254</v>
      </c>
      <c r="C3736" t="s">
        <v>962</v>
      </c>
      <c r="D3736">
        <v>0.62</v>
      </c>
      <c r="E3736">
        <v>24.72</v>
      </c>
      <c r="F3736">
        <v>2.1800000000000002</v>
      </c>
      <c r="G3736">
        <v>0</v>
      </c>
    </row>
    <row r="3737" spans="1:7" hidden="1">
      <c r="A3737">
        <v>288</v>
      </c>
      <c r="B3737" t="s">
        <v>1254</v>
      </c>
      <c r="C3737" t="s">
        <v>963</v>
      </c>
      <c r="D3737">
        <v>1.47</v>
      </c>
      <c r="E3737">
        <v>18.13</v>
      </c>
      <c r="F3737">
        <v>3.8</v>
      </c>
      <c r="G3737">
        <v>0</v>
      </c>
    </row>
    <row r="3738" spans="1:7" hidden="1">
      <c r="A3738">
        <v>288</v>
      </c>
      <c r="B3738" t="s">
        <v>1254</v>
      </c>
      <c r="C3738" t="s">
        <v>964</v>
      </c>
      <c r="D3738">
        <v>0.08</v>
      </c>
      <c r="E3738">
        <v>21.87</v>
      </c>
      <c r="F3738">
        <v>0.24</v>
      </c>
      <c r="G3738">
        <v>0</v>
      </c>
    </row>
    <row r="3739" spans="1:7" hidden="1">
      <c r="A3739">
        <v>288</v>
      </c>
      <c r="B3739" t="s">
        <v>1254</v>
      </c>
      <c r="C3739" t="s">
        <v>965</v>
      </c>
      <c r="D3739">
        <v>1.54</v>
      </c>
      <c r="E3739">
        <v>24.75</v>
      </c>
      <c r="F3739">
        <v>5.46</v>
      </c>
      <c r="G3739">
        <v>0.01</v>
      </c>
    </row>
    <row r="3740" spans="1:7">
      <c r="A3740">
        <v>288</v>
      </c>
      <c r="B3740" t="s">
        <v>1254</v>
      </c>
      <c r="C3740" t="s">
        <v>24</v>
      </c>
      <c r="D3740">
        <v>11.4</v>
      </c>
      <c r="E3740">
        <v>20.02</v>
      </c>
      <c r="F3740">
        <v>32.61</v>
      </c>
      <c r="G3740">
        <v>0.01</v>
      </c>
    </row>
    <row r="3741" spans="1:7" hidden="1">
      <c r="A3741">
        <v>288</v>
      </c>
      <c r="B3741" t="s">
        <v>1254</v>
      </c>
      <c r="C3741" t="s">
        <v>966</v>
      </c>
      <c r="D3741">
        <v>0.05</v>
      </c>
      <c r="E3741">
        <v>18.05</v>
      </c>
      <c r="F3741">
        <v>0.14000000000000001</v>
      </c>
      <c r="G3741">
        <v>0</v>
      </c>
    </row>
    <row r="3742" spans="1:7" hidden="1">
      <c r="A3742">
        <v>288</v>
      </c>
      <c r="B3742" t="s">
        <v>1254</v>
      </c>
      <c r="C3742" t="s">
        <v>967</v>
      </c>
      <c r="D3742">
        <v>0.13</v>
      </c>
      <c r="E3742">
        <v>17.91</v>
      </c>
      <c r="F3742">
        <v>0.33</v>
      </c>
      <c r="G3742">
        <v>0</v>
      </c>
    </row>
    <row r="3743" spans="1:7" hidden="1">
      <c r="A3743">
        <v>288</v>
      </c>
      <c r="B3743" t="s">
        <v>1254</v>
      </c>
      <c r="C3743" t="s">
        <v>968</v>
      </c>
      <c r="D3743">
        <v>1.24</v>
      </c>
      <c r="E3743">
        <v>18.09</v>
      </c>
      <c r="F3743">
        <v>3.2</v>
      </c>
      <c r="G3743">
        <v>0</v>
      </c>
    </row>
    <row r="3744" spans="1:7" hidden="1">
      <c r="A3744">
        <v>288</v>
      </c>
      <c r="B3744" t="s">
        <v>1254</v>
      </c>
      <c r="C3744" t="s">
        <v>969</v>
      </c>
      <c r="D3744">
        <v>0.04</v>
      </c>
      <c r="E3744">
        <v>24.75</v>
      </c>
      <c r="F3744">
        <v>0.13</v>
      </c>
      <c r="G3744">
        <v>0</v>
      </c>
    </row>
    <row r="3745" spans="1:7" hidden="1">
      <c r="A3745">
        <v>288</v>
      </c>
      <c r="B3745" t="s">
        <v>1254</v>
      </c>
      <c r="C3745" t="s">
        <v>970</v>
      </c>
      <c r="D3745">
        <v>0.42</v>
      </c>
      <c r="E3745">
        <v>24.75</v>
      </c>
      <c r="F3745">
        <v>1.48</v>
      </c>
      <c r="G3745">
        <v>0</v>
      </c>
    </row>
    <row r="3746" spans="1:7" hidden="1">
      <c r="A3746">
        <v>289</v>
      </c>
      <c r="B3746" t="s">
        <v>1255</v>
      </c>
      <c r="C3746" t="s">
        <v>959</v>
      </c>
      <c r="D3746">
        <v>2.2599999999999998</v>
      </c>
      <c r="E3746">
        <v>18.309999999999999</v>
      </c>
      <c r="F3746">
        <v>5.92</v>
      </c>
      <c r="G3746">
        <v>0</v>
      </c>
    </row>
    <row r="3747" spans="1:7" hidden="1">
      <c r="A3747">
        <v>289</v>
      </c>
      <c r="B3747" t="s">
        <v>1255</v>
      </c>
      <c r="C3747" t="s">
        <v>960</v>
      </c>
      <c r="D3747">
        <v>2.86</v>
      </c>
      <c r="E3747">
        <v>18.399999999999999</v>
      </c>
      <c r="F3747">
        <v>7.51</v>
      </c>
      <c r="G3747">
        <v>0</v>
      </c>
    </row>
    <row r="3748" spans="1:7" hidden="1">
      <c r="A3748">
        <v>289</v>
      </c>
      <c r="B3748" t="s">
        <v>1255</v>
      </c>
      <c r="C3748" t="s">
        <v>961</v>
      </c>
      <c r="D3748">
        <v>3.08</v>
      </c>
      <c r="E3748">
        <v>20.059999999999999</v>
      </c>
      <c r="F3748">
        <v>8.82</v>
      </c>
      <c r="G3748">
        <v>0.02</v>
      </c>
    </row>
    <row r="3749" spans="1:7" hidden="1">
      <c r="A3749">
        <v>289</v>
      </c>
      <c r="B3749" t="s">
        <v>1255</v>
      </c>
      <c r="C3749" t="s">
        <v>962</v>
      </c>
      <c r="D3749">
        <v>0.62</v>
      </c>
      <c r="E3749">
        <v>24.72</v>
      </c>
      <c r="F3749">
        <v>2.17</v>
      </c>
      <c r="G3749">
        <v>0</v>
      </c>
    </row>
    <row r="3750" spans="1:7" hidden="1">
      <c r="A3750">
        <v>289</v>
      </c>
      <c r="B3750" t="s">
        <v>1255</v>
      </c>
      <c r="C3750" t="s">
        <v>963</v>
      </c>
      <c r="D3750">
        <v>1.44</v>
      </c>
      <c r="E3750">
        <v>18.13</v>
      </c>
      <c r="F3750">
        <v>3.72</v>
      </c>
      <c r="G3750">
        <v>0</v>
      </c>
    </row>
    <row r="3751" spans="1:7" hidden="1">
      <c r="A3751">
        <v>289</v>
      </c>
      <c r="B3751" t="s">
        <v>1255</v>
      </c>
      <c r="C3751" t="s">
        <v>964</v>
      </c>
      <c r="D3751">
        <v>0.13</v>
      </c>
      <c r="E3751">
        <v>21.87</v>
      </c>
      <c r="F3751">
        <v>0.42</v>
      </c>
      <c r="G3751">
        <v>0</v>
      </c>
    </row>
    <row r="3752" spans="1:7" hidden="1">
      <c r="A3752">
        <v>289</v>
      </c>
      <c r="B3752" t="s">
        <v>1255</v>
      </c>
      <c r="C3752" t="s">
        <v>965</v>
      </c>
      <c r="D3752">
        <v>1.28</v>
      </c>
      <c r="E3752">
        <v>24.75</v>
      </c>
      <c r="F3752">
        <v>4.5199999999999996</v>
      </c>
      <c r="G3752">
        <v>0</v>
      </c>
    </row>
    <row r="3753" spans="1:7">
      <c r="A3753">
        <v>289</v>
      </c>
      <c r="B3753" t="s">
        <v>1255</v>
      </c>
      <c r="C3753" t="s">
        <v>24</v>
      </c>
      <c r="D3753">
        <v>11.66</v>
      </c>
      <c r="E3753">
        <v>19.86</v>
      </c>
      <c r="F3753">
        <v>33.08</v>
      </c>
      <c r="G3753">
        <v>0.02</v>
      </c>
    </row>
    <row r="3754" spans="1:7" hidden="1">
      <c r="A3754">
        <v>289</v>
      </c>
      <c r="B3754" t="s">
        <v>1255</v>
      </c>
      <c r="C3754" t="s">
        <v>966</v>
      </c>
      <c r="D3754">
        <v>0</v>
      </c>
      <c r="E3754">
        <v>18.05</v>
      </c>
      <c r="F3754">
        <v>0</v>
      </c>
      <c r="G3754">
        <v>0</v>
      </c>
    </row>
    <row r="3755" spans="1:7" hidden="1">
      <c r="A3755">
        <v>289</v>
      </c>
      <c r="B3755" t="s">
        <v>1255</v>
      </c>
      <c r="C3755" t="s">
        <v>967</v>
      </c>
      <c r="D3755">
        <v>0.08</v>
      </c>
      <c r="E3755">
        <v>17.91</v>
      </c>
      <c r="F3755">
        <v>0.2</v>
      </c>
      <c r="G3755">
        <v>0</v>
      </c>
    </row>
    <row r="3756" spans="1:7" hidden="1">
      <c r="A3756">
        <v>289</v>
      </c>
      <c r="B3756" t="s">
        <v>1255</v>
      </c>
      <c r="C3756" t="s">
        <v>968</v>
      </c>
      <c r="D3756">
        <v>0.57999999999999996</v>
      </c>
      <c r="E3756">
        <v>18.09</v>
      </c>
      <c r="F3756">
        <v>1.49</v>
      </c>
      <c r="G3756">
        <v>0</v>
      </c>
    </row>
    <row r="3757" spans="1:7" hidden="1">
      <c r="A3757">
        <v>289</v>
      </c>
      <c r="B3757" t="s">
        <v>1255</v>
      </c>
      <c r="C3757" t="s">
        <v>969</v>
      </c>
      <c r="D3757">
        <v>0.01</v>
      </c>
      <c r="E3757">
        <v>24.75</v>
      </c>
      <c r="F3757">
        <v>0.03</v>
      </c>
      <c r="G3757">
        <v>0</v>
      </c>
    </row>
    <row r="3758" spans="1:7" hidden="1">
      <c r="A3758">
        <v>289</v>
      </c>
      <c r="B3758" t="s">
        <v>1255</v>
      </c>
      <c r="C3758" t="s">
        <v>970</v>
      </c>
      <c r="D3758">
        <v>0.28999999999999998</v>
      </c>
      <c r="E3758">
        <v>24.75</v>
      </c>
      <c r="F3758">
        <v>1.03</v>
      </c>
      <c r="G3758">
        <v>0</v>
      </c>
    </row>
    <row r="3759" spans="1:7" hidden="1">
      <c r="A3759">
        <v>290</v>
      </c>
      <c r="B3759" t="s">
        <v>1256</v>
      </c>
      <c r="C3759" t="s">
        <v>959</v>
      </c>
      <c r="D3759">
        <v>2.85</v>
      </c>
      <c r="E3759">
        <v>18.309999999999999</v>
      </c>
      <c r="F3759">
        <v>7.46</v>
      </c>
      <c r="G3759">
        <v>0</v>
      </c>
    </row>
    <row r="3760" spans="1:7" hidden="1">
      <c r="A3760">
        <v>290</v>
      </c>
      <c r="B3760" t="s">
        <v>1256</v>
      </c>
      <c r="C3760" t="s">
        <v>960</v>
      </c>
      <c r="D3760">
        <v>3.23</v>
      </c>
      <c r="E3760">
        <v>18.399999999999999</v>
      </c>
      <c r="F3760">
        <v>8.48</v>
      </c>
      <c r="G3760">
        <v>0</v>
      </c>
    </row>
    <row r="3761" spans="1:7" hidden="1">
      <c r="A3761">
        <v>290</v>
      </c>
      <c r="B3761" t="s">
        <v>1256</v>
      </c>
      <c r="C3761" t="s">
        <v>961</v>
      </c>
      <c r="D3761">
        <v>2.67</v>
      </c>
      <c r="E3761">
        <v>20.059999999999999</v>
      </c>
      <c r="F3761">
        <v>7.65</v>
      </c>
      <c r="G3761">
        <v>0</v>
      </c>
    </row>
    <row r="3762" spans="1:7" hidden="1">
      <c r="A3762">
        <v>290</v>
      </c>
      <c r="B3762" t="s">
        <v>1256</v>
      </c>
      <c r="C3762" t="s">
        <v>962</v>
      </c>
      <c r="D3762">
        <v>0.97</v>
      </c>
      <c r="E3762">
        <v>24.72</v>
      </c>
      <c r="F3762">
        <v>3.42</v>
      </c>
      <c r="G3762">
        <v>0</v>
      </c>
    </row>
    <row r="3763" spans="1:7" hidden="1">
      <c r="A3763">
        <v>290</v>
      </c>
      <c r="B3763" t="s">
        <v>1256</v>
      </c>
      <c r="C3763" t="s">
        <v>963</v>
      </c>
      <c r="D3763">
        <v>1.43</v>
      </c>
      <c r="E3763">
        <v>18.13</v>
      </c>
      <c r="F3763">
        <v>3.7</v>
      </c>
      <c r="G3763">
        <v>0</v>
      </c>
    </row>
    <row r="3764" spans="1:7" hidden="1">
      <c r="A3764">
        <v>290</v>
      </c>
      <c r="B3764" t="s">
        <v>1256</v>
      </c>
      <c r="C3764" t="s">
        <v>964</v>
      </c>
      <c r="D3764">
        <v>0.14000000000000001</v>
      </c>
      <c r="E3764">
        <v>21.87</v>
      </c>
      <c r="F3764">
        <v>0.44</v>
      </c>
      <c r="G3764">
        <v>0</v>
      </c>
    </row>
    <row r="3765" spans="1:7" hidden="1">
      <c r="A3765">
        <v>290</v>
      </c>
      <c r="B3765" t="s">
        <v>1256</v>
      </c>
      <c r="C3765" t="s">
        <v>965</v>
      </c>
      <c r="D3765">
        <v>1.51</v>
      </c>
      <c r="E3765">
        <v>24.75</v>
      </c>
      <c r="F3765">
        <v>5.32</v>
      </c>
      <c r="G3765">
        <v>0</v>
      </c>
    </row>
    <row r="3766" spans="1:7">
      <c r="A3766">
        <v>290</v>
      </c>
      <c r="B3766" t="s">
        <v>1256</v>
      </c>
      <c r="C3766" t="s">
        <v>24</v>
      </c>
      <c r="D3766">
        <v>12.79</v>
      </c>
      <c r="E3766">
        <v>19.96</v>
      </c>
      <c r="F3766">
        <v>36.47</v>
      </c>
      <c r="G3766">
        <v>0</v>
      </c>
    </row>
    <row r="3767" spans="1:7" hidden="1">
      <c r="A3767">
        <v>290</v>
      </c>
      <c r="B3767" t="s">
        <v>1256</v>
      </c>
      <c r="C3767" t="s">
        <v>966</v>
      </c>
      <c r="D3767">
        <v>0</v>
      </c>
      <c r="E3767">
        <v>18.05</v>
      </c>
      <c r="F3767">
        <v>0</v>
      </c>
      <c r="G3767">
        <v>0</v>
      </c>
    </row>
    <row r="3768" spans="1:7" hidden="1">
      <c r="A3768">
        <v>290</v>
      </c>
      <c r="B3768" t="s">
        <v>1256</v>
      </c>
      <c r="C3768" t="s">
        <v>967</v>
      </c>
      <c r="D3768">
        <v>0.47</v>
      </c>
      <c r="E3768">
        <v>17.91</v>
      </c>
      <c r="F3768">
        <v>1.21</v>
      </c>
      <c r="G3768">
        <v>0</v>
      </c>
    </row>
    <row r="3769" spans="1:7" hidden="1">
      <c r="A3769">
        <v>290</v>
      </c>
      <c r="B3769" t="s">
        <v>1256</v>
      </c>
      <c r="C3769" t="s">
        <v>968</v>
      </c>
      <c r="D3769">
        <v>0.83</v>
      </c>
      <c r="E3769">
        <v>18.09</v>
      </c>
      <c r="F3769">
        <v>2.15</v>
      </c>
      <c r="G3769">
        <v>0</v>
      </c>
    </row>
    <row r="3770" spans="1:7" hidden="1">
      <c r="A3770">
        <v>290</v>
      </c>
      <c r="B3770" t="s">
        <v>1256</v>
      </c>
      <c r="C3770" t="s">
        <v>969</v>
      </c>
      <c r="D3770">
        <v>0.06</v>
      </c>
      <c r="E3770">
        <v>24.75</v>
      </c>
      <c r="F3770">
        <v>0.21</v>
      </c>
      <c r="G3770">
        <v>0</v>
      </c>
    </row>
    <row r="3771" spans="1:7" hidden="1">
      <c r="A3771">
        <v>290</v>
      </c>
      <c r="B3771" t="s">
        <v>1256</v>
      </c>
      <c r="C3771" t="s">
        <v>970</v>
      </c>
      <c r="D3771">
        <v>0.28999999999999998</v>
      </c>
      <c r="E3771">
        <v>24.75</v>
      </c>
      <c r="F3771">
        <v>1.02</v>
      </c>
      <c r="G3771">
        <v>0</v>
      </c>
    </row>
    <row r="3772" spans="1:7" hidden="1">
      <c r="A3772">
        <v>291</v>
      </c>
      <c r="B3772" t="s">
        <v>1257</v>
      </c>
      <c r="C3772" t="s">
        <v>959</v>
      </c>
      <c r="D3772">
        <v>2.79</v>
      </c>
      <c r="E3772">
        <v>18.309999999999999</v>
      </c>
      <c r="F3772">
        <v>7.29</v>
      </c>
      <c r="G3772">
        <v>0</v>
      </c>
    </row>
    <row r="3773" spans="1:7" hidden="1">
      <c r="A3773">
        <v>291</v>
      </c>
      <c r="B3773" t="s">
        <v>1257</v>
      </c>
      <c r="C3773" t="s">
        <v>960</v>
      </c>
      <c r="D3773">
        <v>3.1</v>
      </c>
      <c r="E3773">
        <v>18.399999999999999</v>
      </c>
      <c r="F3773">
        <v>8.16</v>
      </c>
      <c r="G3773">
        <v>0</v>
      </c>
    </row>
    <row r="3774" spans="1:7" hidden="1">
      <c r="A3774">
        <v>291</v>
      </c>
      <c r="B3774" t="s">
        <v>1257</v>
      </c>
      <c r="C3774" t="s">
        <v>961</v>
      </c>
      <c r="D3774">
        <v>2.29</v>
      </c>
      <c r="E3774">
        <v>20.059999999999999</v>
      </c>
      <c r="F3774">
        <v>6.57</v>
      </c>
      <c r="G3774">
        <v>0.01</v>
      </c>
    </row>
    <row r="3775" spans="1:7" hidden="1">
      <c r="A3775">
        <v>291</v>
      </c>
      <c r="B3775" t="s">
        <v>1257</v>
      </c>
      <c r="C3775" t="s">
        <v>962</v>
      </c>
      <c r="D3775">
        <v>0.81</v>
      </c>
      <c r="E3775">
        <v>24.72</v>
      </c>
      <c r="F3775">
        <v>2.88</v>
      </c>
      <c r="G3775">
        <v>0</v>
      </c>
    </row>
    <row r="3776" spans="1:7" hidden="1">
      <c r="A3776">
        <v>291</v>
      </c>
      <c r="B3776" t="s">
        <v>1257</v>
      </c>
      <c r="C3776" t="s">
        <v>963</v>
      </c>
      <c r="D3776">
        <v>1.63</v>
      </c>
      <c r="E3776">
        <v>18.13</v>
      </c>
      <c r="F3776">
        <v>4.22</v>
      </c>
      <c r="G3776">
        <v>0</v>
      </c>
    </row>
    <row r="3777" spans="1:7" hidden="1">
      <c r="A3777">
        <v>291</v>
      </c>
      <c r="B3777" t="s">
        <v>1257</v>
      </c>
      <c r="C3777" t="s">
        <v>964</v>
      </c>
      <c r="D3777">
        <v>0.17</v>
      </c>
      <c r="E3777">
        <v>21.87</v>
      </c>
      <c r="F3777">
        <v>0.54</v>
      </c>
      <c r="G3777">
        <v>0</v>
      </c>
    </row>
    <row r="3778" spans="1:7" hidden="1">
      <c r="A3778">
        <v>291</v>
      </c>
      <c r="B3778" t="s">
        <v>1257</v>
      </c>
      <c r="C3778" t="s">
        <v>965</v>
      </c>
      <c r="D3778">
        <v>1.67</v>
      </c>
      <c r="E3778">
        <v>24.75</v>
      </c>
      <c r="F3778">
        <v>5.92</v>
      </c>
      <c r="G3778">
        <v>0</v>
      </c>
    </row>
    <row r="3779" spans="1:7">
      <c r="A3779">
        <v>291</v>
      </c>
      <c r="B3779" t="s">
        <v>1257</v>
      </c>
      <c r="C3779" t="s">
        <v>24</v>
      </c>
      <c r="D3779">
        <v>12.47</v>
      </c>
      <c r="E3779">
        <v>19.96</v>
      </c>
      <c r="F3779">
        <v>35.57</v>
      </c>
      <c r="G3779">
        <v>0.02</v>
      </c>
    </row>
    <row r="3780" spans="1:7" hidden="1">
      <c r="A3780">
        <v>291</v>
      </c>
      <c r="B3780" t="s">
        <v>1257</v>
      </c>
      <c r="C3780" t="s">
        <v>966</v>
      </c>
      <c r="D3780">
        <v>0.03</v>
      </c>
      <c r="E3780">
        <v>18.05</v>
      </c>
      <c r="F3780">
        <v>7.0000000000000007E-2</v>
      </c>
      <c r="G3780">
        <v>0.03</v>
      </c>
    </row>
    <row r="3781" spans="1:7" hidden="1">
      <c r="A3781">
        <v>291</v>
      </c>
      <c r="B3781" t="s">
        <v>1257</v>
      </c>
      <c r="C3781" t="s">
        <v>967</v>
      </c>
      <c r="D3781">
        <v>0</v>
      </c>
      <c r="E3781">
        <v>17.91</v>
      </c>
      <c r="F3781">
        <v>0</v>
      </c>
      <c r="G3781">
        <v>0</v>
      </c>
    </row>
    <row r="3782" spans="1:7" hidden="1">
      <c r="A3782">
        <v>291</v>
      </c>
      <c r="B3782" t="s">
        <v>1257</v>
      </c>
      <c r="C3782" t="s">
        <v>968</v>
      </c>
      <c r="D3782">
        <v>1.03</v>
      </c>
      <c r="E3782">
        <v>18.09</v>
      </c>
      <c r="F3782">
        <v>2.66</v>
      </c>
      <c r="G3782">
        <v>0</v>
      </c>
    </row>
    <row r="3783" spans="1:7" hidden="1">
      <c r="A3783">
        <v>291</v>
      </c>
      <c r="B3783" t="s">
        <v>1257</v>
      </c>
      <c r="C3783" t="s">
        <v>969</v>
      </c>
      <c r="D3783">
        <v>0</v>
      </c>
      <c r="E3783">
        <v>24.75</v>
      </c>
      <c r="F3783">
        <v>0</v>
      </c>
      <c r="G3783">
        <v>0</v>
      </c>
    </row>
    <row r="3784" spans="1:7" hidden="1">
      <c r="A3784">
        <v>291</v>
      </c>
      <c r="B3784" t="s">
        <v>1257</v>
      </c>
      <c r="C3784" t="s">
        <v>970</v>
      </c>
      <c r="D3784">
        <v>0.39</v>
      </c>
      <c r="E3784">
        <v>24.75</v>
      </c>
      <c r="F3784">
        <v>1.39</v>
      </c>
      <c r="G3784">
        <v>0</v>
      </c>
    </row>
    <row r="3785" spans="1:7" hidden="1">
      <c r="A3785">
        <v>292</v>
      </c>
      <c r="B3785" t="s">
        <v>1258</v>
      </c>
      <c r="C3785" t="s">
        <v>959</v>
      </c>
      <c r="D3785">
        <v>2.66</v>
      </c>
      <c r="E3785">
        <v>18.309999999999999</v>
      </c>
      <c r="F3785">
        <v>6.95</v>
      </c>
      <c r="G3785">
        <v>0.02</v>
      </c>
    </row>
    <row r="3786" spans="1:7" hidden="1">
      <c r="A3786">
        <v>292</v>
      </c>
      <c r="B3786" t="s">
        <v>1258</v>
      </c>
      <c r="C3786" t="s">
        <v>960</v>
      </c>
      <c r="D3786">
        <v>2.65</v>
      </c>
      <c r="E3786">
        <v>18.399999999999999</v>
      </c>
      <c r="F3786">
        <v>6.97</v>
      </c>
      <c r="G3786">
        <v>0</v>
      </c>
    </row>
    <row r="3787" spans="1:7" hidden="1">
      <c r="A3787">
        <v>292</v>
      </c>
      <c r="B3787" t="s">
        <v>1258</v>
      </c>
      <c r="C3787" t="s">
        <v>961</v>
      </c>
      <c r="D3787">
        <v>1.9</v>
      </c>
      <c r="E3787">
        <v>20.059999999999999</v>
      </c>
      <c r="F3787">
        <v>5.44</v>
      </c>
      <c r="G3787">
        <v>0</v>
      </c>
    </row>
    <row r="3788" spans="1:7" hidden="1">
      <c r="A3788">
        <v>292</v>
      </c>
      <c r="B3788" t="s">
        <v>1258</v>
      </c>
      <c r="C3788" t="s">
        <v>962</v>
      </c>
      <c r="D3788">
        <v>0.66</v>
      </c>
      <c r="E3788">
        <v>24.72</v>
      </c>
      <c r="F3788">
        <v>2.33</v>
      </c>
      <c r="G3788">
        <v>0</v>
      </c>
    </row>
    <row r="3789" spans="1:7" hidden="1">
      <c r="A3789">
        <v>292</v>
      </c>
      <c r="B3789" t="s">
        <v>1258</v>
      </c>
      <c r="C3789" t="s">
        <v>963</v>
      </c>
      <c r="D3789">
        <v>1.65</v>
      </c>
      <c r="E3789">
        <v>18.13</v>
      </c>
      <c r="F3789">
        <v>4.28</v>
      </c>
      <c r="G3789">
        <v>0.01</v>
      </c>
    </row>
    <row r="3790" spans="1:7" hidden="1">
      <c r="A3790">
        <v>292</v>
      </c>
      <c r="B3790" t="s">
        <v>1258</v>
      </c>
      <c r="C3790" t="s">
        <v>964</v>
      </c>
      <c r="D3790">
        <v>0.15</v>
      </c>
      <c r="E3790">
        <v>21.87</v>
      </c>
      <c r="F3790">
        <v>0.47</v>
      </c>
      <c r="G3790">
        <v>0</v>
      </c>
    </row>
    <row r="3791" spans="1:7" hidden="1">
      <c r="A3791">
        <v>292</v>
      </c>
      <c r="B3791" t="s">
        <v>1258</v>
      </c>
      <c r="C3791" t="s">
        <v>965</v>
      </c>
      <c r="D3791">
        <v>1.81</v>
      </c>
      <c r="E3791">
        <v>24.75</v>
      </c>
      <c r="F3791">
        <v>6.4</v>
      </c>
      <c r="G3791">
        <v>0.02</v>
      </c>
    </row>
    <row r="3792" spans="1:7">
      <c r="A3792">
        <v>292</v>
      </c>
      <c r="B3792" t="s">
        <v>1258</v>
      </c>
      <c r="C3792" t="s">
        <v>24</v>
      </c>
      <c r="D3792">
        <v>11.48</v>
      </c>
      <c r="E3792">
        <v>20.03</v>
      </c>
      <c r="F3792">
        <v>32.840000000000003</v>
      </c>
      <c r="G3792">
        <v>0.04</v>
      </c>
    </row>
    <row r="3793" spans="1:7" hidden="1">
      <c r="A3793">
        <v>292</v>
      </c>
      <c r="B3793" t="s">
        <v>1258</v>
      </c>
      <c r="C3793" t="s">
        <v>966</v>
      </c>
      <c r="D3793">
        <v>0.09</v>
      </c>
      <c r="E3793">
        <v>18.05</v>
      </c>
      <c r="F3793">
        <v>0.24</v>
      </c>
      <c r="G3793">
        <v>0.09</v>
      </c>
    </row>
    <row r="3794" spans="1:7" hidden="1">
      <c r="A3794">
        <v>292</v>
      </c>
      <c r="B3794" t="s">
        <v>1258</v>
      </c>
      <c r="C3794" t="s">
        <v>967</v>
      </c>
      <c r="D3794">
        <v>0</v>
      </c>
      <c r="E3794">
        <v>17.91</v>
      </c>
      <c r="F3794">
        <v>0</v>
      </c>
      <c r="G3794">
        <v>0</v>
      </c>
    </row>
    <row r="3795" spans="1:7" hidden="1">
      <c r="A3795">
        <v>292</v>
      </c>
      <c r="B3795" t="s">
        <v>1258</v>
      </c>
      <c r="C3795" t="s">
        <v>968</v>
      </c>
      <c r="D3795">
        <v>1.49</v>
      </c>
      <c r="E3795">
        <v>18.09</v>
      </c>
      <c r="F3795">
        <v>3.85</v>
      </c>
      <c r="G3795">
        <v>0</v>
      </c>
    </row>
    <row r="3796" spans="1:7" hidden="1">
      <c r="A3796">
        <v>292</v>
      </c>
      <c r="B3796" t="s">
        <v>1258</v>
      </c>
      <c r="C3796" t="s">
        <v>969</v>
      </c>
      <c r="D3796">
        <v>0</v>
      </c>
      <c r="E3796">
        <v>24.75</v>
      </c>
      <c r="F3796">
        <v>0</v>
      </c>
      <c r="G3796">
        <v>0</v>
      </c>
    </row>
    <row r="3797" spans="1:7" hidden="1">
      <c r="A3797">
        <v>292</v>
      </c>
      <c r="B3797" t="s">
        <v>1258</v>
      </c>
      <c r="C3797" t="s">
        <v>970</v>
      </c>
      <c r="D3797">
        <v>0.55000000000000004</v>
      </c>
      <c r="E3797">
        <v>24.75</v>
      </c>
      <c r="F3797">
        <v>1.96</v>
      </c>
      <c r="G3797">
        <v>0</v>
      </c>
    </row>
    <row r="3798" spans="1:7" hidden="1">
      <c r="A3798">
        <v>293</v>
      </c>
      <c r="B3798" t="s">
        <v>1259</v>
      </c>
      <c r="C3798" t="s">
        <v>959</v>
      </c>
      <c r="D3798">
        <v>2.8</v>
      </c>
      <c r="E3798">
        <v>18.309999999999999</v>
      </c>
      <c r="F3798">
        <v>7.33</v>
      </c>
      <c r="G3798">
        <v>0</v>
      </c>
    </row>
    <row r="3799" spans="1:7" hidden="1">
      <c r="A3799">
        <v>293</v>
      </c>
      <c r="B3799" t="s">
        <v>1259</v>
      </c>
      <c r="C3799" t="s">
        <v>960</v>
      </c>
      <c r="D3799">
        <v>3.17</v>
      </c>
      <c r="E3799">
        <v>18.399999999999999</v>
      </c>
      <c r="F3799">
        <v>8.34</v>
      </c>
      <c r="G3799">
        <v>0</v>
      </c>
    </row>
    <row r="3800" spans="1:7" hidden="1">
      <c r="A3800">
        <v>293</v>
      </c>
      <c r="B3800" t="s">
        <v>1259</v>
      </c>
      <c r="C3800" t="s">
        <v>961</v>
      </c>
      <c r="D3800">
        <v>2.41</v>
      </c>
      <c r="E3800">
        <v>20.059999999999999</v>
      </c>
      <c r="F3800">
        <v>6.89</v>
      </c>
      <c r="G3800">
        <v>0.03</v>
      </c>
    </row>
    <row r="3801" spans="1:7" hidden="1">
      <c r="A3801">
        <v>293</v>
      </c>
      <c r="B3801" t="s">
        <v>1259</v>
      </c>
      <c r="C3801" t="s">
        <v>962</v>
      </c>
      <c r="D3801">
        <v>0.53</v>
      </c>
      <c r="E3801">
        <v>24.72</v>
      </c>
      <c r="F3801">
        <v>1.86</v>
      </c>
      <c r="G3801">
        <v>0</v>
      </c>
    </row>
    <row r="3802" spans="1:7" hidden="1">
      <c r="A3802">
        <v>293</v>
      </c>
      <c r="B3802" t="s">
        <v>1259</v>
      </c>
      <c r="C3802" t="s">
        <v>963</v>
      </c>
      <c r="D3802">
        <v>1.44</v>
      </c>
      <c r="E3802">
        <v>18.13</v>
      </c>
      <c r="F3802">
        <v>3.73</v>
      </c>
      <c r="G3802">
        <v>0</v>
      </c>
    </row>
    <row r="3803" spans="1:7" hidden="1">
      <c r="A3803">
        <v>293</v>
      </c>
      <c r="B3803" t="s">
        <v>1259</v>
      </c>
      <c r="C3803" t="s">
        <v>964</v>
      </c>
      <c r="D3803">
        <v>0.21</v>
      </c>
      <c r="E3803">
        <v>21.87</v>
      </c>
      <c r="F3803">
        <v>0.66</v>
      </c>
      <c r="G3803">
        <v>0</v>
      </c>
    </row>
    <row r="3804" spans="1:7" hidden="1">
      <c r="A3804">
        <v>293</v>
      </c>
      <c r="B3804" t="s">
        <v>1259</v>
      </c>
      <c r="C3804" t="s">
        <v>965</v>
      </c>
      <c r="D3804">
        <v>1.46</v>
      </c>
      <c r="E3804">
        <v>24.75</v>
      </c>
      <c r="F3804">
        <v>5.18</v>
      </c>
      <c r="G3804">
        <v>0</v>
      </c>
    </row>
    <row r="3805" spans="1:7">
      <c r="A3805">
        <v>293</v>
      </c>
      <c r="B3805" t="s">
        <v>1259</v>
      </c>
      <c r="C3805" t="s">
        <v>24</v>
      </c>
      <c r="D3805">
        <v>12.03</v>
      </c>
      <c r="E3805">
        <v>19.79</v>
      </c>
      <c r="F3805">
        <v>34</v>
      </c>
      <c r="G3805">
        <v>0.04</v>
      </c>
    </row>
    <row r="3806" spans="1:7" hidden="1">
      <c r="A3806">
        <v>293</v>
      </c>
      <c r="B3806" t="s">
        <v>1259</v>
      </c>
      <c r="C3806" t="s">
        <v>966</v>
      </c>
      <c r="D3806">
        <v>0.03</v>
      </c>
      <c r="E3806">
        <v>18.05</v>
      </c>
      <c r="F3806">
        <v>0.08</v>
      </c>
      <c r="G3806">
        <v>0.03</v>
      </c>
    </row>
    <row r="3807" spans="1:7" hidden="1">
      <c r="A3807">
        <v>293</v>
      </c>
      <c r="B3807" t="s">
        <v>1259</v>
      </c>
      <c r="C3807" t="s">
        <v>967</v>
      </c>
      <c r="D3807">
        <v>0</v>
      </c>
      <c r="E3807">
        <v>17.91</v>
      </c>
      <c r="F3807">
        <v>0</v>
      </c>
      <c r="G3807">
        <v>0</v>
      </c>
    </row>
    <row r="3808" spans="1:7" hidden="1">
      <c r="A3808">
        <v>293</v>
      </c>
      <c r="B3808" t="s">
        <v>1259</v>
      </c>
      <c r="C3808" t="s">
        <v>968</v>
      </c>
      <c r="D3808">
        <v>0.67</v>
      </c>
      <c r="E3808">
        <v>18.09</v>
      </c>
      <c r="F3808">
        <v>1.73</v>
      </c>
      <c r="G3808">
        <v>0</v>
      </c>
    </row>
    <row r="3809" spans="1:7" hidden="1">
      <c r="A3809">
        <v>293</v>
      </c>
      <c r="B3809" t="s">
        <v>1259</v>
      </c>
      <c r="C3809" t="s">
        <v>969</v>
      </c>
      <c r="D3809">
        <v>0</v>
      </c>
      <c r="E3809">
        <v>24.75</v>
      </c>
      <c r="F3809">
        <v>0.01</v>
      </c>
      <c r="G3809">
        <v>0</v>
      </c>
    </row>
    <row r="3810" spans="1:7" hidden="1">
      <c r="A3810">
        <v>293</v>
      </c>
      <c r="B3810" t="s">
        <v>1259</v>
      </c>
      <c r="C3810" t="s">
        <v>970</v>
      </c>
      <c r="D3810">
        <v>0.33</v>
      </c>
      <c r="E3810">
        <v>24.75</v>
      </c>
      <c r="F3810">
        <v>1.1499999999999999</v>
      </c>
      <c r="G3810">
        <v>0</v>
      </c>
    </row>
    <row r="3811" spans="1:7" hidden="1">
      <c r="A3811">
        <v>294</v>
      </c>
      <c r="B3811" t="s">
        <v>1260</v>
      </c>
      <c r="C3811" t="s">
        <v>959</v>
      </c>
      <c r="D3811">
        <v>2.82</v>
      </c>
      <c r="E3811">
        <v>18.309999999999999</v>
      </c>
      <c r="F3811">
        <v>7.39</v>
      </c>
      <c r="G3811">
        <v>0</v>
      </c>
    </row>
    <row r="3812" spans="1:7" hidden="1">
      <c r="A3812">
        <v>294</v>
      </c>
      <c r="B3812" t="s">
        <v>1260</v>
      </c>
      <c r="C3812" t="s">
        <v>960</v>
      </c>
      <c r="D3812">
        <v>3.23</v>
      </c>
      <c r="E3812">
        <v>18.399999999999999</v>
      </c>
      <c r="F3812">
        <v>8.49</v>
      </c>
      <c r="G3812">
        <v>0</v>
      </c>
    </row>
    <row r="3813" spans="1:7" hidden="1">
      <c r="A3813">
        <v>294</v>
      </c>
      <c r="B3813" t="s">
        <v>1260</v>
      </c>
      <c r="C3813" t="s">
        <v>961</v>
      </c>
      <c r="D3813">
        <v>2.38</v>
      </c>
      <c r="E3813">
        <v>20.059999999999999</v>
      </c>
      <c r="F3813">
        <v>6.81</v>
      </c>
      <c r="G3813">
        <v>0</v>
      </c>
    </row>
    <row r="3814" spans="1:7" hidden="1">
      <c r="A3814">
        <v>294</v>
      </c>
      <c r="B3814" t="s">
        <v>1260</v>
      </c>
      <c r="C3814" t="s">
        <v>962</v>
      </c>
      <c r="D3814">
        <v>1.03</v>
      </c>
      <c r="E3814">
        <v>24.72</v>
      </c>
      <c r="F3814">
        <v>3.64</v>
      </c>
      <c r="G3814">
        <v>0</v>
      </c>
    </row>
    <row r="3815" spans="1:7" hidden="1">
      <c r="A3815">
        <v>294</v>
      </c>
      <c r="B3815" t="s">
        <v>1260</v>
      </c>
      <c r="C3815" t="s">
        <v>963</v>
      </c>
      <c r="D3815">
        <v>1.72</v>
      </c>
      <c r="E3815">
        <v>18.13</v>
      </c>
      <c r="F3815">
        <v>4.46</v>
      </c>
      <c r="G3815">
        <v>0</v>
      </c>
    </row>
    <row r="3816" spans="1:7" hidden="1">
      <c r="A3816">
        <v>294</v>
      </c>
      <c r="B3816" t="s">
        <v>1260</v>
      </c>
      <c r="C3816" t="s">
        <v>964</v>
      </c>
      <c r="D3816">
        <v>0.16</v>
      </c>
      <c r="E3816">
        <v>21.87</v>
      </c>
      <c r="F3816">
        <v>0.5</v>
      </c>
      <c r="G3816">
        <v>0</v>
      </c>
    </row>
    <row r="3817" spans="1:7" hidden="1">
      <c r="A3817">
        <v>294</v>
      </c>
      <c r="B3817" t="s">
        <v>1260</v>
      </c>
      <c r="C3817" t="s">
        <v>965</v>
      </c>
      <c r="D3817">
        <v>1.74</v>
      </c>
      <c r="E3817">
        <v>24.75</v>
      </c>
      <c r="F3817">
        <v>6.15</v>
      </c>
      <c r="G3817">
        <v>0</v>
      </c>
    </row>
    <row r="3818" spans="1:7">
      <c r="A3818">
        <v>294</v>
      </c>
      <c r="B3818" t="s">
        <v>1260</v>
      </c>
      <c r="C3818" t="s">
        <v>24</v>
      </c>
      <c r="D3818">
        <v>13.09</v>
      </c>
      <c r="E3818">
        <v>20.03</v>
      </c>
      <c r="F3818">
        <v>37.450000000000003</v>
      </c>
      <c r="G3818">
        <v>0</v>
      </c>
    </row>
    <row r="3819" spans="1:7" hidden="1">
      <c r="A3819">
        <v>294</v>
      </c>
      <c r="B3819" t="s">
        <v>1260</v>
      </c>
      <c r="C3819" t="s">
        <v>966</v>
      </c>
      <c r="D3819">
        <v>0</v>
      </c>
      <c r="E3819">
        <v>18.05</v>
      </c>
      <c r="F3819">
        <v>0</v>
      </c>
      <c r="G3819">
        <v>0</v>
      </c>
    </row>
    <row r="3820" spans="1:7" hidden="1">
      <c r="A3820">
        <v>294</v>
      </c>
      <c r="B3820" t="s">
        <v>1260</v>
      </c>
      <c r="C3820" t="s">
        <v>967</v>
      </c>
      <c r="D3820">
        <v>0</v>
      </c>
      <c r="E3820">
        <v>17.91</v>
      </c>
      <c r="F3820">
        <v>0</v>
      </c>
      <c r="G3820">
        <v>0</v>
      </c>
    </row>
    <row r="3821" spans="1:7" hidden="1">
      <c r="A3821">
        <v>294</v>
      </c>
      <c r="B3821" t="s">
        <v>1260</v>
      </c>
      <c r="C3821" t="s">
        <v>968</v>
      </c>
      <c r="D3821">
        <v>1.06</v>
      </c>
      <c r="E3821">
        <v>18.09</v>
      </c>
      <c r="F3821">
        <v>2.74</v>
      </c>
      <c r="G3821">
        <v>0</v>
      </c>
    </row>
    <row r="3822" spans="1:7" hidden="1">
      <c r="A3822">
        <v>294</v>
      </c>
      <c r="B3822" t="s">
        <v>1260</v>
      </c>
      <c r="C3822" t="s">
        <v>969</v>
      </c>
      <c r="D3822">
        <v>0</v>
      </c>
      <c r="E3822">
        <v>24.75</v>
      </c>
      <c r="F3822">
        <v>0</v>
      </c>
      <c r="G3822">
        <v>0</v>
      </c>
    </row>
    <row r="3823" spans="1:7" hidden="1">
      <c r="A3823">
        <v>294</v>
      </c>
      <c r="B3823" t="s">
        <v>1260</v>
      </c>
      <c r="C3823" t="s">
        <v>970</v>
      </c>
      <c r="D3823">
        <v>0.37</v>
      </c>
      <c r="E3823">
        <v>24.75</v>
      </c>
      <c r="F3823">
        <v>1.31</v>
      </c>
      <c r="G3823">
        <v>0</v>
      </c>
    </row>
    <row r="3824" spans="1:7" hidden="1">
      <c r="A3824">
        <v>295</v>
      </c>
      <c r="B3824" t="s">
        <v>1261</v>
      </c>
      <c r="C3824" t="s">
        <v>959</v>
      </c>
      <c r="D3824">
        <v>1.1100000000000001</v>
      </c>
      <c r="E3824">
        <v>18.309999999999999</v>
      </c>
      <c r="F3824">
        <v>2.91</v>
      </c>
      <c r="G3824">
        <v>0.12</v>
      </c>
    </row>
    <row r="3825" spans="1:7" hidden="1">
      <c r="A3825">
        <v>295</v>
      </c>
      <c r="B3825" t="s">
        <v>1261</v>
      </c>
      <c r="C3825" t="s">
        <v>960</v>
      </c>
      <c r="D3825">
        <v>0.82</v>
      </c>
      <c r="E3825">
        <v>18.399999999999999</v>
      </c>
      <c r="F3825">
        <v>2.15</v>
      </c>
      <c r="G3825">
        <v>0.06</v>
      </c>
    </row>
    <row r="3826" spans="1:7" hidden="1">
      <c r="A3826">
        <v>295</v>
      </c>
      <c r="B3826" t="s">
        <v>1261</v>
      </c>
      <c r="C3826" t="s">
        <v>961</v>
      </c>
      <c r="D3826">
        <v>1.32</v>
      </c>
      <c r="E3826">
        <v>20.059999999999999</v>
      </c>
      <c r="F3826">
        <v>3.78</v>
      </c>
      <c r="G3826">
        <v>7.0000000000000007E-2</v>
      </c>
    </row>
    <row r="3827" spans="1:7" hidden="1">
      <c r="A3827">
        <v>295</v>
      </c>
      <c r="B3827" t="s">
        <v>1261</v>
      </c>
      <c r="C3827" t="s">
        <v>962</v>
      </c>
      <c r="D3827">
        <v>0.4</v>
      </c>
      <c r="E3827">
        <v>24.72</v>
      </c>
      <c r="F3827">
        <v>1.43</v>
      </c>
      <c r="G3827">
        <v>0.02</v>
      </c>
    </row>
    <row r="3828" spans="1:7" hidden="1">
      <c r="A3828">
        <v>295</v>
      </c>
      <c r="B3828" t="s">
        <v>1261</v>
      </c>
      <c r="C3828" t="s">
        <v>963</v>
      </c>
      <c r="D3828">
        <v>1.27</v>
      </c>
      <c r="E3828">
        <v>18.13</v>
      </c>
      <c r="F3828">
        <v>3.3</v>
      </c>
      <c r="G3828">
        <v>0.04</v>
      </c>
    </row>
    <row r="3829" spans="1:7" hidden="1">
      <c r="A3829">
        <v>295</v>
      </c>
      <c r="B3829" t="s">
        <v>1261</v>
      </c>
      <c r="C3829" t="s">
        <v>964</v>
      </c>
      <c r="D3829">
        <v>0.02</v>
      </c>
      <c r="E3829">
        <v>21.87</v>
      </c>
      <c r="F3829">
        <v>0.06</v>
      </c>
      <c r="G3829">
        <v>0</v>
      </c>
    </row>
    <row r="3830" spans="1:7" hidden="1">
      <c r="A3830">
        <v>295</v>
      </c>
      <c r="B3830" t="s">
        <v>1261</v>
      </c>
      <c r="C3830" t="s">
        <v>965</v>
      </c>
      <c r="D3830">
        <v>1.18</v>
      </c>
      <c r="E3830">
        <v>24.75</v>
      </c>
      <c r="F3830">
        <v>4.18</v>
      </c>
      <c r="G3830">
        <v>0.02</v>
      </c>
    </row>
    <row r="3831" spans="1:7">
      <c r="A3831">
        <v>295</v>
      </c>
      <c r="B3831" t="s">
        <v>1261</v>
      </c>
      <c r="C3831" t="s">
        <v>24</v>
      </c>
      <c r="D3831">
        <v>6.13</v>
      </c>
      <c r="E3831">
        <v>20.34</v>
      </c>
      <c r="F3831">
        <v>17.8</v>
      </c>
      <c r="G3831">
        <v>0.33</v>
      </c>
    </row>
    <row r="3832" spans="1:7" hidden="1">
      <c r="A3832">
        <v>295</v>
      </c>
      <c r="B3832" t="s">
        <v>1261</v>
      </c>
      <c r="C3832" t="s">
        <v>966</v>
      </c>
      <c r="D3832">
        <v>0.44</v>
      </c>
      <c r="E3832">
        <v>18.05</v>
      </c>
      <c r="F3832">
        <v>1.1399999999999999</v>
      </c>
      <c r="G3832">
        <v>0.13</v>
      </c>
    </row>
    <row r="3833" spans="1:7" hidden="1">
      <c r="A3833">
        <v>295</v>
      </c>
      <c r="B3833" t="s">
        <v>1261</v>
      </c>
      <c r="C3833" t="s">
        <v>967</v>
      </c>
      <c r="D3833">
        <v>0.1</v>
      </c>
      <c r="E3833">
        <v>17.91</v>
      </c>
      <c r="F3833">
        <v>0.25</v>
      </c>
      <c r="G3833">
        <v>0.01</v>
      </c>
    </row>
    <row r="3834" spans="1:7" hidden="1">
      <c r="A3834">
        <v>295</v>
      </c>
      <c r="B3834" t="s">
        <v>1261</v>
      </c>
      <c r="C3834" t="s">
        <v>968</v>
      </c>
      <c r="D3834">
        <v>0.48</v>
      </c>
      <c r="E3834">
        <v>18.09</v>
      </c>
      <c r="F3834">
        <v>1.24</v>
      </c>
      <c r="G3834">
        <v>0.02</v>
      </c>
    </row>
    <row r="3835" spans="1:7" hidden="1">
      <c r="A3835">
        <v>295</v>
      </c>
      <c r="B3835" t="s">
        <v>1261</v>
      </c>
      <c r="C3835" t="s">
        <v>969</v>
      </c>
      <c r="D3835">
        <v>0.18</v>
      </c>
      <c r="E3835">
        <v>24.75</v>
      </c>
      <c r="F3835">
        <v>0.63</v>
      </c>
      <c r="G3835">
        <v>0</v>
      </c>
    </row>
    <row r="3836" spans="1:7" hidden="1">
      <c r="A3836">
        <v>295</v>
      </c>
      <c r="B3836" t="s">
        <v>1261</v>
      </c>
      <c r="C3836" t="s">
        <v>970</v>
      </c>
      <c r="D3836">
        <v>0.36</v>
      </c>
      <c r="E3836">
        <v>24.75</v>
      </c>
      <c r="F3836">
        <v>1.28</v>
      </c>
      <c r="G3836">
        <v>0</v>
      </c>
    </row>
    <row r="3837" spans="1:7" hidden="1">
      <c r="A3837">
        <v>296</v>
      </c>
      <c r="B3837" t="s">
        <v>1262</v>
      </c>
      <c r="C3837" t="s">
        <v>959</v>
      </c>
      <c r="D3837">
        <v>1.1000000000000001</v>
      </c>
      <c r="E3837">
        <v>18.309999999999999</v>
      </c>
      <c r="F3837">
        <v>2.89</v>
      </c>
      <c r="G3837">
        <v>0.12</v>
      </c>
    </row>
    <row r="3838" spans="1:7" hidden="1">
      <c r="A3838">
        <v>296</v>
      </c>
      <c r="B3838" t="s">
        <v>1262</v>
      </c>
      <c r="C3838" t="s">
        <v>960</v>
      </c>
      <c r="D3838">
        <v>0.82</v>
      </c>
      <c r="E3838">
        <v>18.399999999999999</v>
      </c>
      <c r="F3838">
        <v>2.15</v>
      </c>
      <c r="G3838">
        <v>0.06</v>
      </c>
    </row>
    <row r="3839" spans="1:7" hidden="1">
      <c r="A3839">
        <v>296</v>
      </c>
      <c r="B3839" t="s">
        <v>1262</v>
      </c>
      <c r="C3839" t="s">
        <v>961</v>
      </c>
      <c r="D3839">
        <v>1.31</v>
      </c>
      <c r="E3839">
        <v>20.059999999999999</v>
      </c>
      <c r="F3839">
        <v>3.76</v>
      </c>
      <c r="G3839">
        <v>7.0000000000000007E-2</v>
      </c>
    </row>
    <row r="3840" spans="1:7" hidden="1">
      <c r="A3840">
        <v>296</v>
      </c>
      <c r="B3840" t="s">
        <v>1262</v>
      </c>
      <c r="C3840" t="s">
        <v>962</v>
      </c>
      <c r="D3840">
        <v>0.4</v>
      </c>
      <c r="E3840">
        <v>24.72</v>
      </c>
      <c r="F3840">
        <v>1.43</v>
      </c>
      <c r="G3840">
        <v>0.02</v>
      </c>
    </row>
    <row r="3841" spans="1:7" hidden="1">
      <c r="A3841">
        <v>296</v>
      </c>
      <c r="B3841" t="s">
        <v>1262</v>
      </c>
      <c r="C3841" t="s">
        <v>963</v>
      </c>
      <c r="D3841">
        <v>1.28</v>
      </c>
      <c r="E3841">
        <v>18.13</v>
      </c>
      <c r="F3841">
        <v>3.31</v>
      </c>
      <c r="G3841">
        <v>0.04</v>
      </c>
    </row>
    <row r="3842" spans="1:7" hidden="1">
      <c r="A3842">
        <v>296</v>
      </c>
      <c r="B3842" t="s">
        <v>1262</v>
      </c>
      <c r="C3842" t="s">
        <v>964</v>
      </c>
      <c r="D3842">
        <v>0.02</v>
      </c>
      <c r="E3842">
        <v>21.87</v>
      </c>
      <c r="F3842">
        <v>0.06</v>
      </c>
      <c r="G3842">
        <v>0</v>
      </c>
    </row>
    <row r="3843" spans="1:7" hidden="1">
      <c r="A3843">
        <v>296</v>
      </c>
      <c r="B3843" t="s">
        <v>1262</v>
      </c>
      <c r="C3843" t="s">
        <v>965</v>
      </c>
      <c r="D3843">
        <v>1.18</v>
      </c>
      <c r="E3843">
        <v>24.75</v>
      </c>
      <c r="F3843">
        <v>4.18</v>
      </c>
      <c r="G3843">
        <v>0.02</v>
      </c>
    </row>
    <row r="3844" spans="1:7">
      <c r="A3844">
        <v>296</v>
      </c>
      <c r="B3844" t="s">
        <v>1262</v>
      </c>
      <c r="C3844" t="s">
        <v>24</v>
      </c>
      <c r="D3844">
        <v>6.11</v>
      </c>
      <c r="E3844">
        <v>20.34</v>
      </c>
      <c r="F3844">
        <v>17.77</v>
      </c>
      <c r="G3844">
        <v>0.33</v>
      </c>
    </row>
    <row r="3845" spans="1:7" hidden="1">
      <c r="A3845">
        <v>296</v>
      </c>
      <c r="B3845" t="s">
        <v>1262</v>
      </c>
      <c r="C3845" t="s">
        <v>966</v>
      </c>
      <c r="D3845">
        <v>0.44</v>
      </c>
      <c r="E3845">
        <v>18.05</v>
      </c>
      <c r="F3845">
        <v>1.1299999999999999</v>
      </c>
      <c r="G3845">
        <v>0.12</v>
      </c>
    </row>
    <row r="3846" spans="1:7" hidden="1">
      <c r="A3846">
        <v>296</v>
      </c>
      <c r="B3846" t="s">
        <v>1262</v>
      </c>
      <c r="C3846" t="s">
        <v>967</v>
      </c>
      <c r="D3846">
        <v>0.1</v>
      </c>
      <c r="E3846">
        <v>17.91</v>
      </c>
      <c r="F3846">
        <v>0.25</v>
      </c>
      <c r="G3846">
        <v>0.01</v>
      </c>
    </row>
    <row r="3847" spans="1:7" hidden="1">
      <c r="A3847">
        <v>296</v>
      </c>
      <c r="B3847" t="s">
        <v>1262</v>
      </c>
      <c r="C3847" t="s">
        <v>968</v>
      </c>
      <c r="D3847">
        <v>0.48</v>
      </c>
      <c r="E3847">
        <v>18.09</v>
      </c>
      <c r="F3847">
        <v>1.24</v>
      </c>
      <c r="G3847">
        <v>0.02</v>
      </c>
    </row>
    <row r="3848" spans="1:7" hidden="1">
      <c r="A3848">
        <v>296</v>
      </c>
      <c r="B3848" t="s">
        <v>1262</v>
      </c>
      <c r="C3848" t="s">
        <v>969</v>
      </c>
      <c r="D3848">
        <v>0.18</v>
      </c>
      <c r="E3848">
        <v>24.75</v>
      </c>
      <c r="F3848">
        <v>0.62</v>
      </c>
      <c r="G3848">
        <v>0</v>
      </c>
    </row>
    <row r="3849" spans="1:7" hidden="1">
      <c r="A3849">
        <v>296</v>
      </c>
      <c r="B3849" t="s">
        <v>1262</v>
      </c>
      <c r="C3849" t="s">
        <v>970</v>
      </c>
      <c r="D3849">
        <v>0.36</v>
      </c>
      <c r="E3849">
        <v>24.75</v>
      </c>
      <c r="F3849">
        <v>1.28</v>
      </c>
      <c r="G3849">
        <v>0</v>
      </c>
    </row>
    <row r="3850" spans="1:7" hidden="1">
      <c r="A3850">
        <v>297</v>
      </c>
      <c r="B3850" t="s">
        <v>1263</v>
      </c>
      <c r="C3850" t="s">
        <v>959</v>
      </c>
      <c r="D3850">
        <v>1.25</v>
      </c>
      <c r="E3850">
        <v>18.309999999999999</v>
      </c>
      <c r="F3850">
        <v>3.28</v>
      </c>
      <c r="G3850">
        <v>0</v>
      </c>
    </row>
    <row r="3851" spans="1:7" hidden="1">
      <c r="A3851">
        <v>297</v>
      </c>
      <c r="B3851" t="s">
        <v>1263</v>
      </c>
      <c r="C3851" t="s">
        <v>960</v>
      </c>
      <c r="D3851">
        <v>1.65</v>
      </c>
      <c r="E3851">
        <v>18.399999999999999</v>
      </c>
      <c r="F3851">
        <v>4.33</v>
      </c>
      <c r="G3851">
        <v>0</v>
      </c>
    </row>
    <row r="3852" spans="1:7" hidden="1">
      <c r="A3852">
        <v>297</v>
      </c>
      <c r="B3852" t="s">
        <v>1263</v>
      </c>
      <c r="C3852" t="s">
        <v>961</v>
      </c>
      <c r="D3852">
        <v>1.44</v>
      </c>
      <c r="E3852">
        <v>20.059999999999999</v>
      </c>
      <c r="F3852">
        <v>4.1399999999999997</v>
      </c>
      <c r="G3852">
        <v>0</v>
      </c>
    </row>
    <row r="3853" spans="1:7" hidden="1">
      <c r="A3853">
        <v>297</v>
      </c>
      <c r="B3853" t="s">
        <v>1263</v>
      </c>
      <c r="C3853" t="s">
        <v>962</v>
      </c>
      <c r="D3853">
        <v>0.67</v>
      </c>
      <c r="E3853">
        <v>24.72</v>
      </c>
      <c r="F3853">
        <v>2.38</v>
      </c>
      <c r="G3853">
        <v>0</v>
      </c>
    </row>
    <row r="3854" spans="1:7" hidden="1">
      <c r="A3854">
        <v>297</v>
      </c>
      <c r="B3854" t="s">
        <v>1263</v>
      </c>
      <c r="C3854" t="s">
        <v>963</v>
      </c>
      <c r="D3854">
        <v>1.43</v>
      </c>
      <c r="E3854">
        <v>18.13</v>
      </c>
      <c r="F3854">
        <v>3.69</v>
      </c>
      <c r="G3854">
        <v>0</v>
      </c>
    </row>
    <row r="3855" spans="1:7" hidden="1">
      <c r="A3855">
        <v>297</v>
      </c>
      <c r="B3855" t="s">
        <v>1263</v>
      </c>
      <c r="C3855" t="s">
        <v>964</v>
      </c>
      <c r="D3855">
        <v>0.06</v>
      </c>
      <c r="E3855">
        <v>21.87</v>
      </c>
      <c r="F3855">
        <v>0.2</v>
      </c>
      <c r="G3855">
        <v>0</v>
      </c>
    </row>
    <row r="3856" spans="1:7" hidden="1">
      <c r="A3856">
        <v>297</v>
      </c>
      <c r="B3856" t="s">
        <v>1263</v>
      </c>
      <c r="C3856" t="s">
        <v>965</v>
      </c>
      <c r="D3856">
        <v>1.63</v>
      </c>
      <c r="E3856">
        <v>24.75</v>
      </c>
      <c r="F3856">
        <v>5.77</v>
      </c>
      <c r="G3856">
        <v>0</v>
      </c>
    </row>
    <row r="3857" spans="1:7">
      <c r="A3857">
        <v>297</v>
      </c>
      <c r="B3857" t="s">
        <v>1263</v>
      </c>
      <c r="C3857" t="s">
        <v>24</v>
      </c>
      <c r="D3857">
        <v>8.14</v>
      </c>
      <c r="E3857">
        <v>20.46</v>
      </c>
      <c r="F3857">
        <v>23.79</v>
      </c>
      <c r="G3857">
        <v>0</v>
      </c>
    </row>
    <row r="3858" spans="1:7" hidden="1">
      <c r="A3858">
        <v>297</v>
      </c>
      <c r="B3858" t="s">
        <v>1263</v>
      </c>
      <c r="C3858" t="s">
        <v>966</v>
      </c>
      <c r="D3858">
        <v>0</v>
      </c>
      <c r="E3858">
        <v>18.05</v>
      </c>
      <c r="F3858">
        <v>0</v>
      </c>
      <c r="G3858">
        <v>0</v>
      </c>
    </row>
    <row r="3859" spans="1:7" hidden="1">
      <c r="A3859">
        <v>297</v>
      </c>
      <c r="B3859" t="s">
        <v>1263</v>
      </c>
      <c r="C3859" t="s">
        <v>967</v>
      </c>
      <c r="D3859">
        <v>0.11</v>
      </c>
      <c r="E3859">
        <v>17.91</v>
      </c>
      <c r="F3859">
        <v>0.28000000000000003</v>
      </c>
      <c r="G3859">
        <v>0</v>
      </c>
    </row>
    <row r="3860" spans="1:7" hidden="1">
      <c r="A3860">
        <v>297</v>
      </c>
      <c r="B3860" t="s">
        <v>1263</v>
      </c>
      <c r="C3860" t="s">
        <v>968</v>
      </c>
      <c r="D3860">
        <v>0.55000000000000004</v>
      </c>
      <c r="E3860">
        <v>18.09</v>
      </c>
      <c r="F3860">
        <v>1.43</v>
      </c>
      <c r="G3860">
        <v>0.01</v>
      </c>
    </row>
    <row r="3861" spans="1:7" hidden="1">
      <c r="A3861">
        <v>297</v>
      </c>
      <c r="B3861" t="s">
        <v>1263</v>
      </c>
      <c r="C3861" t="s">
        <v>969</v>
      </c>
      <c r="D3861">
        <v>0.13</v>
      </c>
      <c r="E3861">
        <v>24.75</v>
      </c>
      <c r="F3861">
        <v>0.45</v>
      </c>
      <c r="G3861">
        <v>0</v>
      </c>
    </row>
    <row r="3862" spans="1:7" hidden="1">
      <c r="A3862">
        <v>297</v>
      </c>
      <c r="B3862" t="s">
        <v>1263</v>
      </c>
      <c r="C3862" t="s">
        <v>970</v>
      </c>
      <c r="D3862">
        <v>0.43</v>
      </c>
      <c r="E3862">
        <v>24.75</v>
      </c>
      <c r="F3862">
        <v>1.51</v>
      </c>
      <c r="G3862">
        <v>0</v>
      </c>
    </row>
    <row r="3863" spans="1:7" hidden="1">
      <c r="A3863">
        <v>298</v>
      </c>
      <c r="B3863" t="s">
        <v>1264</v>
      </c>
      <c r="C3863" t="s">
        <v>959</v>
      </c>
      <c r="D3863">
        <v>1.25</v>
      </c>
      <c r="E3863">
        <v>18.309999999999999</v>
      </c>
      <c r="F3863">
        <v>3.28</v>
      </c>
      <c r="G3863">
        <v>0</v>
      </c>
    </row>
    <row r="3864" spans="1:7" hidden="1">
      <c r="A3864">
        <v>298</v>
      </c>
      <c r="B3864" t="s">
        <v>1264</v>
      </c>
      <c r="C3864" t="s">
        <v>960</v>
      </c>
      <c r="D3864">
        <v>1.65</v>
      </c>
      <c r="E3864">
        <v>18.399999999999999</v>
      </c>
      <c r="F3864">
        <v>4.32</v>
      </c>
      <c r="G3864">
        <v>0</v>
      </c>
    </row>
    <row r="3865" spans="1:7" hidden="1">
      <c r="A3865">
        <v>298</v>
      </c>
      <c r="B3865" t="s">
        <v>1264</v>
      </c>
      <c r="C3865" t="s">
        <v>961</v>
      </c>
      <c r="D3865">
        <v>1.44</v>
      </c>
      <c r="E3865">
        <v>20.059999999999999</v>
      </c>
      <c r="F3865">
        <v>4.1100000000000003</v>
      </c>
      <c r="G3865">
        <v>0</v>
      </c>
    </row>
    <row r="3866" spans="1:7" hidden="1">
      <c r="A3866">
        <v>298</v>
      </c>
      <c r="B3866" t="s">
        <v>1264</v>
      </c>
      <c r="C3866" t="s">
        <v>962</v>
      </c>
      <c r="D3866">
        <v>0.66</v>
      </c>
      <c r="E3866">
        <v>24.72</v>
      </c>
      <c r="F3866">
        <v>2.34</v>
      </c>
      <c r="G3866">
        <v>0</v>
      </c>
    </row>
    <row r="3867" spans="1:7" hidden="1">
      <c r="A3867">
        <v>298</v>
      </c>
      <c r="B3867" t="s">
        <v>1264</v>
      </c>
      <c r="C3867" t="s">
        <v>963</v>
      </c>
      <c r="D3867">
        <v>1.42</v>
      </c>
      <c r="E3867">
        <v>18.13</v>
      </c>
      <c r="F3867">
        <v>3.69</v>
      </c>
      <c r="G3867">
        <v>0</v>
      </c>
    </row>
    <row r="3868" spans="1:7" hidden="1">
      <c r="A3868">
        <v>298</v>
      </c>
      <c r="B3868" t="s">
        <v>1264</v>
      </c>
      <c r="C3868" t="s">
        <v>964</v>
      </c>
      <c r="D3868">
        <v>7.0000000000000007E-2</v>
      </c>
      <c r="E3868">
        <v>21.87</v>
      </c>
      <c r="F3868">
        <v>0.2</v>
      </c>
      <c r="G3868">
        <v>0</v>
      </c>
    </row>
    <row r="3869" spans="1:7" hidden="1">
      <c r="A3869">
        <v>298</v>
      </c>
      <c r="B3869" t="s">
        <v>1264</v>
      </c>
      <c r="C3869" t="s">
        <v>965</v>
      </c>
      <c r="D3869">
        <v>1.58</v>
      </c>
      <c r="E3869">
        <v>24.75</v>
      </c>
      <c r="F3869">
        <v>5.59</v>
      </c>
      <c r="G3869">
        <v>0</v>
      </c>
    </row>
    <row r="3870" spans="1:7">
      <c r="A3870">
        <v>298</v>
      </c>
      <c r="B3870" t="s">
        <v>1264</v>
      </c>
      <c r="C3870" t="s">
        <v>24</v>
      </c>
      <c r="D3870">
        <v>8.07</v>
      </c>
      <c r="E3870">
        <v>20.43</v>
      </c>
      <c r="F3870">
        <v>23.54</v>
      </c>
      <c r="G3870">
        <v>0</v>
      </c>
    </row>
    <row r="3871" spans="1:7" hidden="1">
      <c r="A3871">
        <v>298</v>
      </c>
      <c r="B3871" t="s">
        <v>1264</v>
      </c>
      <c r="C3871" t="s">
        <v>966</v>
      </c>
      <c r="D3871">
        <v>0</v>
      </c>
      <c r="E3871">
        <v>18.05</v>
      </c>
      <c r="F3871">
        <v>0</v>
      </c>
      <c r="G3871">
        <v>0</v>
      </c>
    </row>
    <row r="3872" spans="1:7" hidden="1">
      <c r="A3872">
        <v>298</v>
      </c>
      <c r="B3872" t="s">
        <v>1264</v>
      </c>
      <c r="C3872" t="s">
        <v>967</v>
      </c>
      <c r="D3872">
        <v>0.11</v>
      </c>
      <c r="E3872">
        <v>17.91</v>
      </c>
      <c r="F3872">
        <v>0.28000000000000003</v>
      </c>
      <c r="G3872">
        <v>0</v>
      </c>
    </row>
    <row r="3873" spans="1:7" hidden="1">
      <c r="A3873">
        <v>298</v>
      </c>
      <c r="B3873" t="s">
        <v>1264</v>
      </c>
      <c r="C3873" t="s">
        <v>968</v>
      </c>
      <c r="D3873">
        <v>0.56000000000000005</v>
      </c>
      <c r="E3873">
        <v>18.09</v>
      </c>
      <c r="F3873">
        <v>1.44</v>
      </c>
      <c r="G3873">
        <v>0.01</v>
      </c>
    </row>
    <row r="3874" spans="1:7" hidden="1">
      <c r="A3874">
        <v>298</v>
      </c>
      <c r="B3874" t="s">
        <v>1264</v>
      </c>
      <c r="C3874" t="s">
        <v>969</v>
      </c>
      <c r="D3874">
        <v>0.13</v>
      </c>
      <c r="E3874">
        <v>24.75</v>
      </c>
      <c r="F3874">
        <v>0.45</v>
      </c>
      <c r="G3874">
        <v>0</v>
      </c>
    </row>
    <row r="3875" spans="1:7" hidden="1">
      <c r="A3875">
        <v>298</v>
      </c>
      <c r="B3875" t="s">
        <v>1264</v>
      </c>
      <c r="C3875" t="s">
        <v>970</v>
      </c>
      <c r="D3875">
        <v>0.43</v>
      </c>
      <c r="E3875">
        <v>24.75</v>
      </c>
      <c r="F3875">
        <v>1.52</v>
      </c>
      <c r="G3875">
        <v>0</v>
      </c>
    </row>
    <row r="3876" spans="1:7" hidden="1">
      <c r="A3876">
        <v>299</v>
      </c>
      <c r="B3876" t="s">
        <v>1265</v>
      </c>
      <c r="C3876" t="s">
        <v>959</v>
      </c>
      <c r="D3876">
        <v>2.09</v>
      </c>
      <c r="E3876">
        <v>18.309999999999999</v>
      </c>
      <c r="F3876">
        <v>5.47</v>
      </c>
      <c r="G3876">
        <v>0</v>
      </c>
    </row>
    <row r="3877" spans="1:7" hidden="1">
      <c r="A3877">
        <v>299</v>
      </c>
      <c r="B3877" t="s">
        <v>1265</v>
      </c>
      <c r="C3877" t="s">
        <v>960</v>
      </c>
      <c r="D3877">
        <v>3.77</v>
      </c>
      <c r="E3877">
        <v>18.399999999999999</v>
      </c>
      <c r="F3877">
        <v>9.91</v>
      </c>
      <c r="G3877">
        <v>0</v>
      </c>
    </row>
    <row r="3878" spans="1:7" hidden="1">
      <c r="A3878">
        <v>299</v>
      </c>
      <c r="B3878" t="s">
        <v>1265</v>
      </c>
      <c r="C3878" t="s">
        <v>961</v>
      </c>
      <c r="D3878">
        <v>7.79</v>
      </c>
      <c r="E3878">
        <v>20.059999999999999</v>
      </c>
      <c r="F3878">
        <v>22.33</v>
      </c>
      <c r="G3878">
        <v>0</v>
      </c>
    </row>
    <row r="3879" spans="1:7" hidden="1">
      <c r="A3879">
        <v>299</v>
      </c>
      <c r="B3879" t="s">
        <v>1265</v>
      </c>
      <c r="C3879" t="s">
        <v>962</v>
      </c>
      <c r="D3879">
        <v>0.43</v>
      </c>
      <c r="E3879">
        <v>24.72</v>
      </c>
      <c r="F3879">
        <v>1.5</v>
      </c>
      <c r="G3879">
        <v>0</v>
      </c>
    </row>
    <row r="3880" spans="1:7" hidden="1">
      <c r="A3880">
        <v>299</v>
      </c>
      <c r="B3880" t="s">
        <v>1265</v>
      </c>
      <c r="C3880" t="s">
        <v>963</v>
      </c>
      <c r="D3880">
        <v>2.0299999999999998</v>
      </c>
      <c r="E3880">
        <v>18.13</v>
      </c>
      <c r="F3880">
        <v>5.26</v>
      </c>
      <c r="G3880">
        <v>0</v>
      </c>
    </row>
    <row r="3881" spans="1:7" hidden="1">
      <c r="A3881">
        <v>299</v>
      </c>
      <c r="B3881" t="s">
        <v>1265</v>
      </c>
      <c r="C3881" t="s">
        <v>964</v>
      </c>
      <c r="D3881">
        <v>0.13</v>
      </c>
      <c r="E3881">
        <v>21.87</v>
      </c>
      <c r="F3881">
        <v>0.4</v>
      </c>
      <c r="G3881">
        <v>0</v>
      </c>
    </row>
    <row r="3882" spans="1:7" hidden="1">
      <c r="A3882">
        <v>299</v>
      </c>
      <c r="B3882" t="s">
        <v>1265</v>
      </c>
      <c r="C3882" t="s">
        <v>965</v>
      </c>
      <c r="D3882">
        <v>1.74</v>
      </c>
      <c r="E3882">
        <v>24.75</v>
      </c>
      <c r="F3882">
        <v>6.15</v>
      </c>
      <c r="G3882">
        <v>0</v>
      </c>
    </row>
    <row r="3883" spans="1:7">
      <c r="A3883">
        <v>299</v>
      </c>
      <c r="B3883" t="s">
        <v>1265</v>
      </c>
      <c r="C3883" t="s">
        <v>24</v>
      </c>
      <c r="D3883">
        <v>17.98</v>
      </c>
      <c r="E3883">
        <v>19.87</v>
      </c>
      <c r="F3883">
        <v>51.02</v>
      </c>
      <c r="G3883">
        <v>0</v>
      </c>
    </row>
    <row r="3884" spans="1:7" hidden="1">
      <c r="A3884">
        <v>299</v>
      </c>
      <c r="B3884" t="s">
        <v>1265</v>
      </c>
      <c r="C3884" t="s">
        <v>966</v>
      </c>
      <c r="D3884">
        <v>0</v>
      </c>
      <c r="E3884">
        <v>18.05</v>
      </c>
      <c r="F3884">
        <v>0</v>
      </c>
      <c r="G3884">
        <v>0</v>
      </c>
    </row>
    <row r="3885" spans="1:7" hidden="1">
      <c r="A3885">
        <v>299</v>
      </c>
      <c r="B3885" t="s">
        <v>1265</v>
      </c>
      <c r="C3885" t="s">
        <v>967</v>
      </c>
      <c r="D3885">
        <v>2.35</v>
      </c>
      <c r="E3885">
        <v>17.91</v>
      </c>
      <c r="F3885">
        <v>6</v>
      </c>
      <c r="G3885">
        <v>0</v>
      </c>
    </row>
    <row r="3886" spans="1:7" hidden="1">
      <c r="A3886">
        <v>299</v>
      </c>
      <c r="B3886" t="s">
        <v>1265</v>
      </c>
      <c r="C3886" t="s">
        <v>968</v>
      </c>
      <c r="D3886">
        <v>2.57</v>
      </c>
      <c r="E3886">
        <v>18.09</v>
      </c>
      <c r="F3886">
        <v>6.64</v>
      </c>
      <c r="G3886">
        <v>0</v>
      </c>
    </row>
    <row r="3887" spans="1:7" hidden="1">
      <c r="A3887">
        <v>299</v>
      </c>
      <c r="B3887" t="s">
        <v>1265</v>
      </c>
      <c r="C3887" t="s">
        <v>969</v>
      </c>
      <c r="D3887">
        <v>0.13</v>
      </c>
      <c r="E3887">
        <v>24.75</v>
      </c>
      <c r="F3887">
        <v>0.46</v>
      </c>
      <c r="G3887">
        <v>0</v>
      </c>
    </row>
    <row r="3888" spans="1:7" hidden="1">
      <c r="A3888">
        <v>299</v>
      </c>
      <c r="B3888" t="s">
        <v>1265</v>
      </c>
      <c r="C3888" t="s">
        <v>970</v>
      </c>
      <c r="D3888">
        <v>0.53</v>
      </c>
      <c r="E3888">
        <v>24.75</v>
      </c>
      <c r="F3888">
        <v>1.88</v>
      </c>
      <c r="G3888">
        <v>0</v>
      </c>
    </row>
    <row r="3889" spans="1:7" hidden="1">
      <c r="A3889">
        <v>300</v>
      </c>
      <c r="B3889" t="s">
        <v>1266</v>
      </c>
      <c r="C3889" t="s">
        <v>959</v>
      </c>
      <c r="D3889">
        <v>2.82</v>
      </c>
      <c r="E3889">
        <v>18.309999999999999</v>
      </c>
      <c r="F3889">
        <v>7.39</v>
      </c>
      <c r="G3889">
        <v>0</v>
      </c>
    </row>
    <row r="3890" spans="1:7" hidden="1">
      <c r="A3890">
        <v>300</v>
      </c>
      <c r="B3890" t="s">
        <v>1266</v>
      </c>
      <c r="C3890" t="s">
        <v>960</v>
      </c>
      <c r="D3890">
        <v>3.66</v>
      </c>
      <c r="E3890">
        <v>18.399999999999999</v>
      </c>
      <c r="F3890">
        <v>9.6199999999999992</v>
      </c>
      <c r="G3890">
        <v>0</v>
      </c>
    </row>
    <row r="3891" spans="1:7" hidden="1">
      <c r="A3891">
        <v>300</v>
      </c>
      <c r="B3891" t="s">
        <v>1266</v>
      </c>
      <c r="C3891" t="s">
        <v>961</v>
      </c>
      <c r="D3891">
        <v>5.74</v>
      </c>
      <c r="E3891">
        <v>20.059999999999999</v>
      </c>
      <c r="F3891">
        <v>16.45</v>
      </c>
      <c r="G3891">
        <v>0</v>
      </c>
    </row>
    <row r="3892" spans="1:7" hidden="1">
      <c r="A3892">
        <v>300</v>
      </c>
      <c r="B3892" t="s">
        <v>1266</v>
      </c>
      <c r="C3892" t="s">
        <v>962</v>
      </c>
      <c r="D3892">
        <v>1.74</v>
      </c>
      <c r="E3892">
        <v>24.72</v>
      </c>
      <c r="F3892">
        <v>6.15</v>
      </c>
      <c r="G3892">
        <v>0</v>
      </c>
    </row>
    <row r="3893" spans="1:7" hidden="1">
      <c r="A3893">
        <v>300</v>
      </c>
      <c r="B3893" t="s">
        <v>1266</v>
      </c>
      <c r="C3893" t="s">
        <v>963</v>
      </c>
      <c r="D3893">
        <v>2.31</v>
      </c>
      <c r="E3893">
        <v>18.13</v>
      </c>
      <c r="F3893">
        <v>5.99</v>
      </c>
      <c r="G3893">
        <v>0</v>
      </c>
    </row>
    <row r="3894" spans="1:7" hidden="1">
      <c r="A3894">
        <v>300</v>
      </c>
      <c r="B3894" t="s">
        <v>1266</v>
      </c>
      <c r="C3894" t="s">
        <v>964</v>
      </c>
      <c r="D3894">
        <v>0.26</v>
      </c>
      <c r="E3894">
        <v>21.87</v>
      </c>
      <c r="F3894">
        <v>0.82</v>
      </c>
      <c r="G3894">
        <v>0</v>
      </c>
    </row>
    <row r="3895" spans="1:7" hidden="1">
      <c r="A3895">
        <v>300</v>
      </c>
      <c r="B3895" t="s">
        <v>1266</v>
      </c>
      <c r="C3895" t="s">
        <v>965</v>
      </c>
      <c r="D3895">
        <v>2.0499999999999998</v>
      </c>
      <c r="E3895">
        <v>24.75</v>
      </c>
      <c r="F3895">
        <v>7.26</v>
      </c>
      <c r="G3895">
        <v>0</v>
      </c>
    </row>
    <row r="3896" spans="1:7">
      <c r="A3896">
        <v>300</v>
      </c>
      <c r="B3896" t="s">
        <v>1266</v>
      </c>
      <c r="C3896" t="s">
        <v>24</v>
      </c>
      <c r="D3896">
        <v>18.600000000000001</v>
      </c>
      <c r="E3896">
        <v>20.21</v>
      </c>
      <c r="F3896">
        <v>53.68</v>
      </c>
      <c r="G3896">
        <v>0</v>
      </c>
    </row>
    <row r="3897" spans="1:7" hidden="1">
      <c r="A3897">
        <v>300</v>
      </c>
      <c r="B3897" t="s">
        <v>1266</v>
      </c>
      <c r="C3897" t="s">
        <v>966</v>
      </c>
      <c r="D3897">
        <v>0</v>
      </c>
      <c r="E3897">
        <v>18.05</v>
      </c>
      <c r="F3897">
        <v>0</v>
      </c>
      <c r="G3897">
        <v>0</v>
      </c>
    </row>
    <row r="3898" spans="1:7" hidden="1">
      <c r="A3898">
        <v>300</v>
      </c>
      <c r="B3898" t="s">
        <v>1266</v>
      </c>
      <c r="C3898" t="s">
        <v>967</v>
      </c>
      <c r="D3898">
        <v>0.14000000000000001</v>
      </c>
      <c r="E3898">
        <v>17.91</v>
      </c>
      <c r="F3898">
        <v>0.35</v>
      </c>
      <c r="G3898">
        <v>0</v>
      </c>
    </row>
    <row r="3899" spans="1:7" hidden="1">
      <c r="A3899">
        <v>300</v>
      </c>
      <c r="B3899" t="s">
        <v>1266</v>
      </c>
      <c r="C3899" t="s">
        <v>968</v>
      </c>
      <c r="D3899">
        <v>1</v>
      </c>
      <c r="E3899">
        <v>18.09</v>
      </c>
      <c r="F3899">
        <v>2.57</v>
      </c>
      <c r="G3899">
        <v>0</v>
      </c>
    </row>
    <row r="3900" spans="1:7" hidden="1">
      <c r="A3900">
        <v>300</v>
      </c>
      <c r="B3900" t="s">
        <v>1266</v>
      </c>
      <c r="C3900" t="s">
        <v>969</v>
      </c>
      <c r="D3900">
        <v>0.03</v>
      </c>
      <c r="E3900">
        <v>24.75</v>
      </c>
      <c r="F3900">
        <v>0.1</v>
      </c>
      <c r="G3900">
        <v>0</v>
      </c>
    </row>
    <row r="3901" spans="1:7" hidden="1">
      <c r="A3901">
        <v>300</v>
      </c>
      <c r="B3901" t="s">
        <v>1266</v>
      </c>
      <c r="C3901" t="s">
        <v>970</v>
      </c>
      <c r="D3901">
        <v>0.46</v>
      </c>
      <c r="E3901">
        <v>24.75</v>
      </c>
      <c r="F3901">
        <v>1.62</v>
      </c>
      <c r="G3901">
        <v>0</v>
      </c>
    </row>
    <row r="3902" spans="1:7" hidden="1">
      <c r="A3902">
        <v>301</v>
      </c>
      <c r="B3902" t="s">
        <v>1267</v>
      </c>
      <c r="C3902" t="s">
        <v>959</v>
      </c>
      <c r="D3902">
        <v>2.65</v>
      </c>
      <c r="E3902">
        <v>18.309999999999999</v>
      </c>
      <c r="F3902">
        <v>6.92</v>
      </c>
      <c r="G3902">
        <v>0</v>
      </c>
    </row>
    <row r="3903" spans="1:7" hidden="1">
      <c r="A3903">
        <v>301</v>
      </c>
      <c r="B3903" t="s">
        <v>1267</v>
      </c>
      <c r="C3903" t="s">
        <v>960</v>
      </c>
      <c r="D3903">
        <v>3.3</v>
      </c>
      <c r="E3903">
        <v>18.399999999999999</v>
      </c>
      <c r="F3903">
        <v>8.67</v>
      </c>
      <c r="G3903">
        <v>0</v>
      </c>
    </row>
    <row r="3904" spans="1:7" hidden="1">
      <c r="A3904">
        <v>301</v>
      </c>
      <c r="B3904" t="s">
        <v>1267</v>
      </c>
      <c r="C3904" t="s">
        <v>961</v>
      </c>
      <c r="D3904">
        <v>6.27</v>
      </c>
      <c r="E3904">
        <v>20.059999999999999</v>
      </c>
      <c r="F3904">
        <v>17.97</v>
      </c>
      <c r="G3904">
        <v>0</v>
      </c>
    </row>
    <row r="3905" spans="1:7" hidden="1">
      <c r="A3905">
        <v>301</v>
      </c>
      <c r="B3905" t="s">
        <v>1267</v>
      </c>
      <c r="C3905" t="s">
        <v>962</v>
      </c>
      <c r="D3905">
        <v>1.52</v>
      </c>
      <c r="E3905">
        <v>24.72</v>
      </c>
      <c r="F3905">
        <v>5.35</v>
      </c>
      <c r="G3905">
        <v>0</v>
      </c>
    </row>
    <row r="3906" spans="1:7" hidden="1">
      <c r="A3906">
        <v>301</v>
      </c>
      <c r="B3906" t="s">
        <v>1267</v>
      </c>
      <c r="C3906" t="s">
        <v>963</v>
      </c>
      <c r="D3906">
        <v>2.67</v>
      </c>
      <c r="E3906">
        <v>18.13</v>
      </c>
      <c r="F3906">
        <v>6.93</v>
      </c>
      <c r="G3906">
        <v>0</v>
      </c>
    </row>
    <row r="3907" spans="1:7" hidden="1">
      <c r="A3907">
        <v>301</v>
      </c>
      <c r="B3907" t="s">
        <v>1267</v>
      </c>
      <c r="C3907" t="s">
        <v>964</v>
      </c>
      <c r="D3907">
        <v>0.14000000000000001</v>
      </c>
      <c r="E3907">
        <v>21.87</v>
      </c>
      <c r="F3907">
        <v>0.44</v>
      </c>
      <c r="G3907">
        <v>0</v>
      </c>
    </row>
    <row r="3908" spans="1:7" hidden="1">
      <c r="A3908">
        <v>301</v>
      </c>
      <c r="B3908" t="s">
        <v>1267</v>
      </c>
      <c r="C3908" t="s">
        <v>965</v>
      </c>
      <c r="D3908">
        <v>2.17</v>
      </c>
      <c r="E3908">
        <v>24.75</v>
      </c>
      <c r="F3908">
        <v>7.67</v>
      </c>
      <c r="G3908">
        <v>0</v>
      </c>
    </row>
    <row r="3909" spans="1:7">
      <c r="A3909">
        <v>301</v>
      </c>
      <c r="B3909" t="s">
        <v>1267</v>
      </c>
      <c r="C3909" t="s">
        <v>24</v>
      </c>
      <c r="D3909">
        <v>18.72</v>
      </c>
      <c r="E3909">
        <v>20.18</v>
      </c>
      <c r="F3909">
        <v>53.95</v>
      </c>
      <c r="G3909">
        <v>0</v>
      </c>
    </row>
    <row r="3910" spans="1:7" hidden="1">
      <c r="A3910">
        <v>301</v>
      </c>
      <c r="B3910" t="s">
        <v>1267</v>
      </c>
      <c r="C3910" t="s">
        <v>966</v>
      </c>
      <c r="D3910">
        <v>0</v>
      </c>
      <c r="E3910">
        <v>18.05</v>
      </c>
      <c r="F3910">
        <v>0</v>
      </c>
      <c r="G3910">
        <v>0</v>
      </c>
    </row>
    <row r="3911" spans="1:7" hidden="1">
      <c r="A3911">
        <v>301</v>
      </c>
      <c r="B3911" t="s">
        <v>1267</v>
      </c>
      <c r="C3911" t="s">
        <v>967</v>
      </c>
      <c r="D3911">
        <v>0.25</v>
      </c>
      <c r="E3911">
        <v>17.91</v>
      </c>
      <c r="F3911">
        <v>0.63</v>
      </c>
      <c r="G3911">
        <v>0</v>
      </c>
    </row>
    <row r="3912" spans="1:7" hidden="1">
      <c r="A3912">
        <v>301</v>
      </c>
      <c r="B3912" t="s">
        <v>1267</v>
      </c>
      <c r="C3912" t="s">
        <v>968</v>
      </c>
      <c r="D3912">
        <v>1.04</v>
      </c>
      <c r="E3912">
        <v>18.09</v>
      </c>
      <c r="F3912">
        <v>2.68</v>
      </c>
      <c r="G3912">
        <v>0</v>
      </c>
    </row>
    <row r="3913" spans="1:7" hidden="1">
      <c r="A3913">
        <v>301</v>
      </c>
      <c r="B3913" t="s">
        <v>1267</v>
      </c>
      <c r="C3913" t="s">
        <v>969</v>
      </c>
      <c r="D3913">
        <v>0.04</v>
      </c>
      <c r="E3913">
        <v>24.75</v>
      </c>
      <c r="F3913">
        <v>0.12</v>
      </c>
      <c r="G3913">
        <v>0</v>
      </c>
    </row>
    <row r="3914" spans="1:7" hidden="1">
      <c r="A3914">
        <v>301</v>
      </c>
      <c r="B3914" t="s">
        <v>1267</v>
      </c>
      <c r="C3914" t="s">
        <v>970</v>
      </c>
      <c r="D3914">
        <v>0.43</v>
      </c>
      <c r="E3914">
        <v>24.75</v>
      </c>
      <c r="F3914">
        <v>1.51</v>
      </c>
      <c r="G3914">
        <v>0</v>
      </c>
    </row>
    <row r="3915" spans="1:7" hidden="1">
      <c r="A3915">
        <v>302</v>
      </c>
      <c r="B3915" t="s">
        <v>1268</v>
      </c>
      <c r="C3915" t="s">
        <v>959</v>
      </c>
      <c r="D3915">
        <v>3.16</v>
      </c>
      <c r="E3915">
        <v>18.309999999999999</v>
      </c>
      <c r="F3915">
        <v>8.27</v>
      </c>
      <c r="G3915">
        <v>0</v>
      </c>
    </row>
    <row r="3916" spans="1:7" hidden="1">
      <c r="A3916">
        <v>302</v>
      </c>
      <c r="B3916" t="s">
        <v>1268</v>
      </c>
      <c r="C3916" t="s">
        <v>960</v>
      </c>
      <c r="D3916">
        <v>3.71</v>
      </c>
      <c r="E3916">
        <v>18.399999999999999</v>
      </c>
      <c r="F3916">
        <v>9.74</v>
      </c>
      <c r="G3916">
        <v>0</v>
      </c>
    </row>
    <row r="3917" spans="1:7" hidden="1">
      <c r="A3917">
        <v>302</v>
      </c>
      <c r="B3917" t="s">
        <v>1268</v>
      </c>
      <c r="C3917" t="s">
        <v>961</v>
      </c>
      <c r="D3917">
        <v>6.45</v>
      </c>
      <c r="E3917">
        <v>20.059999999999999</v>
      </c>
      <c r="F3917">
        <v>18.48</v>
      </c>
      <c r="G3917">
        <v>0</v>
      </c>
    </row>
    <row r="3918" spans="1:7" hidden="1">
      <c r="A3918">
        <v>302</v>
      </c>
      <c r="B3918" t="s">
        <v>1268</v>
      </c>
      <c r="C3918" t="s">
        <v>962</v>
      </c>
      <c r="D3918">
        <v>1.51</v>
      </c>
      <c r="E3918">
        <v>24.72</v>
      </c>
      <c r="F3918">
        <v>5.33</v>
      </c>
      <c r="G3918">
        <v>0</v>
      </c>
    </row>
    <row r="3919" spans="1:7" hidden="1">
      <c r="A3919">
        <v>302</v>
      </c>
      <c r="B3919" t="s">
        <v>1268</v>
      </c>
      <c r="C3919" t="s">
        <v>963</v>
      </c>
      <c r="D3919">
        <v>2.34</v>
      </c>
      <c r="E3919">
        <v>18.13</v>
      </c>
      <c r="F3919">
        <v>6.06</v>
      </c>
      <c r="G3919">
        <v>0</v>
      </c>
    </row>
    <row r="3920" spans="1:7" hidden="1">
      <c r="A3920">
        <v>302</v>
      </c>
      <c r="B3920" t="s">
        <v>1268</v>
      </c>
      <c r="C3920" t="s">
        <v>964</v>
      </c>
      <c r="D3920">
        <v>0.28000000000000003</v>
      </c>
      <c r="E3920">
        <v>21.87</v>
      </c>
      <c r="F3920">
        <v>0.89</v>
      </c>
      <c r="G3920">
        <v>0</v>
      </c>
    </row>
    <row r="3921" spans="1:7" hidden="1">
      <c r="A3921">
        <v>302</v>
      </c>
      <c r="B3921" t="s">
        <v>1268</v>
      </c>
      <c r="C3921" t="s">
        <v>965</v>
      </c>
      <c r="D3921">
        <v>2.2200000000000002</v>
      </c>
      <c r="E3921">
        <v>24.75</v>
      </c>
      <c r="F3921">
        <v>7.86</v>
      </c>
      <c r="G3921">
        <v>0</v>
      </c>
    </row>
    <row r="3922" spans="1:7">
      <c r="A3922">
        <v>302</v>
      </c>
      <c r="B3922" t="s">
        <v>1268</v>
      </c>
      <c r="C3922" t="s">
        <v>24</v>
      </c>
      <c r="D3922">
        <v>19.68</v>
      </c>
      <c r="E3922">
        <v>20.149999999999999</v>
      </c>
      <c r="F3922">
        <v>56.63</v>
      </c>
      <c r="G3922">
        <v>0</v>
      </c>
    </row>
    <row r="3923" spans="1:7" hidden="1">
      <c r="A3923">
        <v>302</v>
      </c>
      <c r="B3923" t="s">
        <v>1268</v>
      </c>
      <c r="C3923" t="s">
        <v>966</v>
      </c>
      <c r="D3923">
        <v>0</v>
      </c>
      <c r="E3923">
        <v>18.05</v>
      </c>
      <c r="F3923">
        <v>0</v>
      </c>
      <c r="G3923">
        <v>0</v>
      </c>
    </row>
    <row r="3924" spans="1:7" hidden="1">
      <c r="A3924">
        <v>302</v>
      </c>
      <c r="B3924" t="s">
        <v>1268</v>
      </c>
      <c r="C3924" t="s">
        <v>967</v>
      </c>
      <c r="D3924">
        <v>0.22</v>
      </c>
      <c r="E3924">
        <v>17.91</v>
      </c>
      <c r="F3924">
        <v>0.56000000000000005</v>
      </c>
      <c r="G3924">
        <v>0</v>
      </c>
    </row>
    <row r="3925" spans="1:7" hidden="1">
      <c r="A3925">
        <v>302</v>
      </c>
      <c r="B3925" t="s">
        <v>1268</v>
      </c>
      <c r="C3925" t="s">
        <v>968</v>
      </c>
      <c r="D3925">
        <v>1.1599999999999999</v>
      </c>
      <c r="E3925">
        <v>18.09</v>
      </c>
      <c r="F3925">
        <v>2.99</v>
      </c>
      <c r="G3925">
        <v>0</v>
      </c>
    </row>
    <row r="3926" spans="1:7" hidden="1">
      <c r="A3926">
        <v>302</v>
      </c>
      <c r="B3926" t="s">
        <v>1268</v>
      </c>
      <c r="C3926" t="s">
        <v>969</v>
      </c>
      <c r="D3926">
        <v>0.03</v>
      </c>
      <c r="E3926">
        <v>24.75</v>
      </c>
      <c r="F3926">
        <v>0.12</v>
      </c>
      <c r="G3926">
        <v>0</v>
      </c>
    </row>
    <row r="3927" spans="1:7" hidden="1">
      <c r="A3927">
        <v>302</v>
      </c>
      <c r="B3927" t="s">
        <v>1268</v>
      </c>
      <c r="C3927" t="s">
        <v>970</v>
      </c>
      <c r="D3927">
        <v>0.53</v>
      </c>
      <c r="E3927">
        <v>24.75</v>
      </c>
      <c r="F3927">
        <v>1.88</v>
      </c>
      <c r="G3927">
        <v>0</v>
      </c>
    </row>
    <row r="3928" spans="1:7" hidden="1">
      <c r="A3928">
        <v>303</v>
      </c>
      <c r="B3928" t="s">
        <v>1269</v>
      </c>
      <c r="C3928" t="s">
        <v>959</v>
      </c>
      <c r="D3928">
        <v>2.52</v>
      </c>
      <c r="E3928">
        <v>18.309999999999999</v>
      </c>
      <c r="F3928">
        <v>6.59</v>
      </c>
      <c r="G3928">
        <v>0</v>
      </c>
    </row>
    <row r="3929" spans="1:7" hidden="1">
      <c r="A3929">
        <v>303</v>
      </c>
      <c r="B3929" t="s">
        <v>1269</v>
      </c>
      <c r="C3929" t="s">
        <v>960</v>
      </c>
      <c r="D3929">
        <v>3.7</v>
      </c>
      <c r="E3929">
        <v>18.399999999999999</v>
      </c>
      <c r="F3929">
        <v>9.73</v>
      </c>
      <c r="G3929">
        <v>0</v>
      </c>
    </row>
    <row r="3930" spans="1:7" hidden="1">
      <c r="A3930">
        <v>303</v>
      </c>
      <c r="B3930" t="s">
        <v>1269</v>
      </c>
      <c r="C3930" t="s">
        <v>961</v>
      </c>
      <c r="D3930">
        <v>4.88</v>
      </c>
      <c r="E3930">
        <v>20.059999999999999</v>
      </c>
      <c r="F3930">
        <v>13.97</v>
      </c>
      <c r="G3930">
        <v>0</v>
      </c>
    </row>
    <row r="3931" spans="1:7" hidden="1">
      <c r="A3931">
        <v>303</v>
      </c>
      <c r="B3931" t="s">
        <v>1269</v>
      </c>
      <c r="C3931" t="s">
        <v>962</v>
      </c>
      <c r="D3931">
        <v>2.04</v>
      </c>
      <c r="E3931">
        <v>24.72</v>
      </c>
      <c r="F3931">
        <v>7.2</v>
      </c>
      <c r="G3931">
        <v>0</v>
      </c>
    </row>
    <row r="3932" spans="1:7" hidden="1">
      <c r="A3932">
        <v>303</v>
      </c>
      <c r="B3932" t="s">
        <v>1269</v>
      </c>
      <c r="C3932" t="s">
        <v>963</v>
      </c>
      <c r="D3932">
        <v>2.2000000000000002</v>
      </c>
      <c r="E3932">
        <v>18.13</v>
      </c>
      <c r="F3932">
        <v>5.69</v>
      </c>
      <c r="G3932">
        <v>0</v>
      </c>
    </row>
    <row r="3933" spans="1:7" hidden="1">
      <c r="A3933">
        <v>303</v>
      </c>
      <c r="B3933" t="s">
        <v>1269</v>
      </c>
      <c r="C3933" t="s">
        <v>964</v>
      </c>
      <c r="D3933">
        <v>0.27</v>
      </c>
      <c r="E3933">
        <v>21.87</v>
      </c>
      <c r="F3933">
        <v>0.85</v>
      </c>
      <c r="G3933">
        <v>0</v>
      </c>
    </row>
    <row r="3934" spans="1:7" hidden="1">
      <c r="A3934">
        <v>303</v>
      </c>
      <c r="B3934" t="s">
        <v>1269</v>
      </c>
      <c r="C3934" t="s">
        <v>965</v>
      </c>
      <c r="D3934">
        <v>1.85</v>
      </c>
      <c r="E3934">
        <v>24.75</v>
      </c>
      <c r="F3934">
        <v>6.53</v>
      </c>
      <c r="G3934">
        <v>0</v>
      </c>
    </row>
    <row r="3935" spans="1:7">
      <c r="A3935">
        <v>303</v>
      </c>
      <c r="B3935" t="s">
        <v>1269</v>
      </c>
      <c r="C3935" t="s">
        <v>24</v>
      </c>
      <c r="D3935">
        <v>17.45</v>
      </c>
      <c r="E3935">
        <v>20.28</v>
      </c>
      <c r="F3935">
        <v>50.56</v>
      </c>
      <c r="G3935">
        <v>0</v>
      </c>
    </row>
    <row r="3936" spans="1:7" hidden="1">
      <c r="A3936">
        <v>303</v>
      </c>
      <c r="B3936" t="s">
        <v>1269</v>
      </c>
      <c r="C3936" t="s">
        <v>966</v>
      </c>
      <c r="D3936">
        <v>0</v>
      </c>
      <c r="E3936">
        <v>18.05</v>
      </c>
      <c r="F3936">
        <v>0</v>
      </c>
      <c r="G3936">
        <v>0</v>
      </c>
    </row>
    <row r="3937" spans="1:7" hidden="1">
      <c r="A3937">
        <v>303</v>
      </c>
      <c r="B3937" t="s">
        <v>1269</v>
      </c>
      <c r="C3937" t="s">
        <v>967</v>
      </c>
      <c r="D3937">
        <v>0.02</v>
      </c>
      <c r="E3937">
        <v>17.91</v>
      </c>
      <c r="F3937">
        <v>0.06</v>
      </c>
      <c r="G3937">
        <v>0</v>
      </c>
    </row>
    <row r="3938" spans="1:7" hidden="1">
      <c r="A3938">
        <v>303</v>
      </c>
      <c r="B3938" t="s">
        <v>1269</v>
      </c>
      <c r="C3938" t="s">
        <v>968</v>
      </c>
      <c r="D3938">
        <v>0.82</v>
      </c>
      <c r="E3938">
        <v>18.09</v>
      </c>
      <c r="F3938">
        <v>2.12</v>
      </c>
      <c r="G3938">
        <v>0</v>
      </c>
    </row>
    <row r="3939" spans="1:7" hidden="1">
      <c r="A3939">
        <v>303</v>
      </c>
      <c r="B3939" t="s">
        <v>1269</v>
      </c>
      <c r="C3939" t="s">
        <v>969</v>
      </c>
      <c r="D3939">
        <v>0.02</v>
      </c>
      <c r="E3939">
        <v>24.75</v>
      </c>
      <c r="F3939">
        <v>7.0000000000000007E-2</v>
      </c>
      <c r="G3939">
        <v>0</v>
      </c>
    </row>
    <row r="3940" spans="1:7" hidden="1">
      <c r="A3940">
        <v>303</v>
      </c>
      <c r="B3940" t="s">
        <v>1269</v>
      </c>
      <c r="C3940" t="s">
        <v>970</v>
      </c>
      <c r="D3940">
        <v>0.39</v>
      </c>
      <c r="E3940">
        <v>24.75</v>
      </c>
      <c r="F3940">
        <v>1.39</v>
      </c>
      <c r="G3940">
        <v>0</v>
      </c>
    </row>
    <row r="3941" spans="1:7" hidden="1">
      <c r="A3941">
        <v>304</v>
      </c>
      <c r="B3941" t="s">
        <v>1270</v>
      </c>
      <c r="C3941" t="s">
        <v>959</v>
      </c>
      <c r="D3941">
        <v>3.01</v>
      </c>
      <c r="E3941">
        <v>18.309999999999999</v>
      </c>
      <c r="F3941">
        <v>7.86</v>
      </c>
      <c r="G3941">
        <v>0</v>
      </c>
    </row>
    <row r="3942" spans="1:7" hidden="1">
      <c r="A3942">
        <v>304</v>
      </c>
      <c r="B3942" t="s">
        <v>1270</v>
      </c>
      <c r="C3942" t="s">
        <v>960</v>
      </c>
      <c r="D3942">
        <v>3.68</v>
      </c>
      <c r="E3942">
        <v>18.399999999999999</v>
      </c>
      <c r="F3942">
        <v>9.67</v>
      </c>
      <c r="G3942">
        <v>0</v>
      </c>
    </row>
    <row r="3943" spans="1:7" hidden="1">
      <c r="A3943">
        <v>304</v>
      </c>
      <c r="B3943" t="s">
        <v>1270</v>
      </c>
      <c r="C3943" t="s">
        <v>961</v>
      </c>
      <c r="D3943">
        <v>5.85</v>
      </c>
      <c r="E3943">
        <v>20.059999999999999</v>
      </c>
      <c r="F3943">
        <v>16.760000000000002</v>
      </c>
      <c r="G3943">
        <v>0</v>
      </c>
    </row>
    <row r="3944" spans="1:7" hidden="1">
      <c r="A3944">
        <v>304</v>
      </c>
      <c r="B3944" t="s">
        <v>1270</v>
      </c>
      <c r="C3944" t="s">
        <v>962</v>
      </c>
      <c r="D3944">
        <v>1.8</v>
      </c>
      <c r="E3944">
        <v>24.72</v>
      </c>
      <c r="F3944">
        <v>6.36</v>
      </c>
      <c r="G3944">
        <v>0</v>
      </c>
    </row>
    <row r="3945" spans="1:7" hidden="1">
      <c r="A3945">
        <v>304</v>
      </c>
      <c r="B3945" t="s">
        <v>1270</v>
      </c>
      <c r="C3945" t="s">
        <v>963</v>
      </c>
      <c r="D3945">
        <v>2.3199999999999998</v>
      </c>
      <c r="E3945">
        <v>18.13</v>
      </c>
      <c r="F3945">
        <v>6.01</v>
      </c>
      <c r="G3945">
        <v>0</v>
      </c>
    </row>
    <row r="3946" spans="1:7" hidden="1">
      <c r="A3946">
        <v>304</v>
      </c>
      <c r="B3946" t="s">
        <v>1270</v>
      </c>
      <c r="C3946" t="s">
        <v>964</v>
      </c>
      <c r="D3946">
        <v>0.27</v>
      </c>
      <c r="E3946">
        <v>21.87</v>
      </c>
      <c r="F3946">
        <v>0.83</v>
      </c>
      <c r="G3946">
        <v>0</v>
      </c>
    </row>
    <row r="3947" spans="1:7" hidden="1">
      <c r="A3947">
        <v>304</v>
      </c>
      <c r="B3947" t="s">
        <v>1270</v>
      </c>
      <c r="C3947" t="s">
        <v>965</v>
      </c>
      <c r="D3947">
        <v>2.13</v>
      </c>
      <c r="E3947">
        <v>24.75</v>
      </c>
      <c r="F3947">
        <v>7.54</v>
      </c>
      <c r="G3947">
        <v>0</v>
      </c>
    </row>
    <row r="3948" spans="1:7">
      <c r="A3948">
        <v>304</v>
      </c>
      <c r="B3948" t="s">
        <v>1270</v>
      </c>
      <c r="C3948" t="s">
        <v>24</v>
      </c>
      <c r="D3948">
        <v>19.05</v>
      </c>
      <c r="E3948">
        <v>20.22</v>
      </c>
      <c r="F3948">
        <v>55.03</v>
      </c>
      <c r="G3948">
        <v>0.01</v>
      </c>
    </row>
    <row r="3949" spans="1:7" hidden="1">
      <c r="A3949">
        <v>304</v>
      </c>
      <c r="B3949" t="s">
        <v>1270</v>
      </c>
      <c r="C3949" t="s">
        <v>966</v>
      </c>
      <c r="D3949">
        <v>0.01</v>
      </c>
      <c r="E3949">
        <v>18.05</v>
      </c>
      <c r="F3949">
        <v>0.02</v>
      </c>
      <c r="G3949">
        <v>0.01</v>
      </c>
    </row>
    <row r="3950" spans="1:7" hidden="1">
      <c r="A3950">
        <v>304</v>
      </c>
      <c r="B3950" t="s">
        <v>1270</v>
      </c>
      <c r="C3950" t="s">
        <v>967</v>
      </c>
      <c r="D3950">
        <v>0.01</v>
      </c>
      <c r="E3950">
        <v>17.91</v>
      </c>
      <c r="F3950">
        <v>0.02</v>
      </c>
      <c r="G3950">
        <v>0</v>
      </c>
    </row>
    <row r="3951" spans="1:7" hidden="1">
      <c r="A3951">
        <v>304</v>
      </c>
      <c r="B3951" t="s">
        <v>1270</v>
      </c>
      <c r="C3951" t="s">
        <v>968</v>
      </c>
      <c r="D3951">
        <v>1.07</v>
      </c>
      <c r="E3951">
        <v>18.09</v>
      </c>
      <c r="F3951">
        <v>2.76</v>
      </c>
      <c r="G3951">
        <v>0</v>
      </c>
    </row>
    <row r="3952" spans="1:7" hidden="1">
      <c r="A3952">
        <v>304</v>
      </c>
      <c r="B3952" t="s">
        <v>1270</v>
      </c>
      <c r="C3952" t="s">
        <v>969</v>
      </c>
      <c r="D3952">
        <v>0.01</v>
      </c>
      <c r="E3952">
        <v>24.75</v>
      </c>
      <c r="F3952">
        <v>0.03</v>
      </c>
      <c r="G3952">
        <v>0</v>
      </c>
    </row>
    <row r="3953" spans="1:7" hidden="1">
      <c r="A3953">
        <v>304</v>
      </c>
      <c r="B3953" t="s">
        <v>1270</v>
      </c>
      <c r="C3953" t="s">
        <v>970</v>
      </c>
      <c r="D3953">
        <v>0.51</v>
      </c>
      <c r="E3953">
        <v>24.75</v>
      </c>
      <c r="F3953">
        <v>1.8</v>
      </c>
      <c r="G3953">
        <v>0</v>
      </c>
    </row>
    <row r="3954" spans="1:7" hidden="1">
      <c r="A3954">
        <v>305</v>
      </c>
      <c r="B3954" t="s">
        <v>1271</v>
      </c>
      <c r="C3954" t="s">
        <v>959</v>
      </c>
      <c r="D3954">
        <v>3.37</v>
      </c>
      <c r="E3954">
        <v>18.309999999999999</v>
      </c>
      <c r="F3954">
        <v>8.82</v>
      </c>
      <c r="G3954">
        <v>0</v>
      </c>
    </row>
    <row r="3955" spans="1:7" hidden="1">
      <c r="A3955">
        <v>305</v>
      </c>
      <c r="B3955" t="s">
        <v>1271</v>
      </c>
      <c r="C3955" t="s">
        <v>960</v>
      </c>
      <c r="D3955">
        <v>3.05</v>
      </c>
      <c r="E3955">
        <v>18.399999999999999</v>
      </c>
      <c r="F3955">
        <v>8.02</v>
      </c>
      <c r="G3955">
        <v>0.01</v>
      </c>
    </row>
    <row r="3956" spans="1:7" hidden="1">
      <c r="A3956">
        <v>305</v>
      </c>
      <c r="B3956" t="s">
        <v>1271</v>
      </c>
      <c r="C3956" t="s">
        <v>961</v>
      </c>
      <c r="D3956">
        <v>6.25</v>
      </c>
      <c r="E3956">
        <v>20.059999999999999</v>
      </c>
      <c r="F3956">
        <v>17.91</v>
      </c>
      <c r="G3956">
        <v>0</v>
      </c>
    </row>
    <row r="3957" spans="1:7" hidden="1">
      <c r="A3957">
        <v>305</v>
      </c>
      <c r="B3957" t="s">
        <v>1271</v>
      </c>
      <c r="C3957" t="s">
        <v>962</v>
      </c>
      <c r="D3957">
        <v>1.53</v>
      </c>
      <c r="E3957">
        <v>24.72</v>
      </c>
      <c r="F3957">
        <v>5.41</v>
      </c>
      <c r="G3957">
        <v>0</v>
      </c>
    </row>
    <row r="3958" spans="1:7" hidden="1">
      <c r="A3958">
        <v>305</v>
      </c>
      <c r="B3958" t="s">
        <v>1271</v>
      </c>
      <c r="C3958" t="s">
        <v>963</v>
      </c>
      <c r="D3958">
        <v>2.62</v>
      </c>
      <c r="E3958">
        <v>18.13</v>
      </c>
      <c r="F3958">
        <v>6.79</v>
      </c>
      <c r="G3958">
        <v>0</v>
      </c>
    </row>
    <row r="3959" spans="1:7" hidden="1">
      <c r="A3959">
        <v>305</v>
      </c>
      <c r="B3959" t="s">
        <v>1271</v>
      </c>
      <c r="C3959" t="s">
        <v>964</v>
      </c>
      <c r="D3959">
        <v>0.2</v>
      </c>
      <c r="E3959">
        <v>21.87</v>
      </c>
      <c r="F3959">
        <v>0.63</v>
      </c>
      <c r="G3959">
        <v>0</v>
      </c>
    </row>
    <row r="3960" spans="1:7" hidden="1">
      <c r="A3960">
        <v>305</v>
      </c>
      <c r="B3960" t="s">
        <v>1271</v>
      </c>
      <c r="C3960" t="s">
        <v>965</v>
      </c>
      <c r="D3960">
        <v>2.57</v>
      </c>
      <c r="E3960">
        <v>24.75</v>
      </c>
      <c r="F3960">
        <v>9.09</v>
      </c>
      <c r="G3960">
        <v>0</v>
      </c>
    </row>
    <row r="3961" spans="1:7">
      <c r="A3961">
        <v>305</v>
      </c>
      <c r="B3961" t="s">
        <v>1271</v>
      </c>
      <c r="C3961" t="s">
        <v>24</v>
      </c>
      <c r="D3961">
        <v>19.600000000000001</v>
      </c>
      <c r="E3961">
        <v>20.239999999999998</v>
      </c>
      <c r="F3961">
        <v>56.67</v>
      </c>
      <c r="G3961">
        <v>0.01</v>
      </c>
    </row>
    <row r="3962" spans="1:7" hidden="1">
      <c r="A3962">
        <v>305</v>
      </c>
      <c r="B3962" t="s">
        <v>1271</v>
      </c>
      <c r="C3962" t="s">
        <v>966</v>
      </c>
      <c r="D3962">
        <v>0.04</v>
      </c>
      <c r="E3962">
        <v>18.05</v>
      </c>
      <c r="F3962">
        <v>0.1</v>
      </c>
      <c r="G3962">
        <v>0.04</v>
      </c>
    </row>
    <row r="3963" spans="1:7" hidden="1">
      <c r="A3963">
        <v>305</v>
      </c>
      <c r="B3963" t="s">
        <v>1271</v>
      </c>
      <c r="C3963" t="s">
        <v>967</v>
      </c>
      <c r="D3963">
        <v>0.01</v>
      </c>
      <c r="E3963">
        <v>17.91</v>
      </c>
      <c r="F3963">
        <v>0.04</v>
      </c>
      <c r="G3963">
        <v>0</v>
      </c>
    </row>
    <row r="3964" spans="1:7" hidden="1">
      <c r="A3964">
        <v>305</v>
      </c>
      <c r="B3964" t="s">
        <v>1271</v>
      </c>
      <c r="C3964" t="s">
        <v>968</v>
      </c>
      <c r="D3964">
        <v>1.47</v>
      </c>
      <c r="E3964">
        <v>18.09</v>
      </c>
      <c r="F3964">
        <v>3.8</v>
      </c>
      <c r="G3964">
        <v>0</v>
      </c>
    </row>
    <row r="3965" spans="1:7" hidden="1">
      <c r="A3965">
        <v>305</v>
      </c>
      <c r="B3965" t="s">
        <v>1271</v>
      </c>
      <c r="C3965" t="s">
        <v>969</v>
      </c>
      <c r="D3965">
        <v>0.05</v>
      </c>
      <c r="E3965">
        <v>24.75</v>
      </c>
      <c r="F3965">
        <v>0.17</v>
      </c>
      <c r="G3965">
        <v>0</v>
      </c>
    </row>
    <row r="3966" spans="1:7" hidden="1">
      <c r="A3966">
        <v>305</v>
      </c>
      <c r="B3966" t="s">
        <v>1271</v>
      </c>
      <c r="C3966" t="s">
        <v>970</v>
      </c>
      <c r="D3966">
        <v>0.6</v>
      </c>
      <c r="E3966">
        <v>24.75</v>
      </c>
      <c r="F3966">
        <v>2.13</v>
      </c>
      <c r="G3966">
        <v>0</v>
      </c>
    </row>
    <row r="3967" spans="1:7" hidden="1">
      <c r="A3967">
        <v>306</v>
      </c>
      <c r="B3967" t="s">
        <v>1272</v>
      </c>
      <c r="C3967" t="s">
        <v>959</v>
      </c>
      <c r="D3967">
        <v>3.28</v>
      </c>
      <c r="E3967">
        <v>18.309999999999999</v>
      </c>
      <c r="F3967">
        <v>8.58</v>
      </c>
      <c r="G3967">
        <v>0</v>
      </c>
    </row>
    <row r="3968" spans="1:7" hidden="1">
      <c r="A3968">
        <v>306</v>
      </c>
      <c r="B3968" t="s">
        <v>1272</v>
      </c>
      <c r="C3968" t="s">
        <v>960</v>
      </c>
      <c r="D3968">
        <v>3.79</v>
      </c>
      <c r="E3968">
        <v>18.399999999999999</v>
      </c>
      <c r="F3968">
        <v>9.9499999999999993</v>
      </c>
      <c r="G3968">
        <v>0</v>
      </c>
    </row>
    <row r="3969" spans="1:7" hidden="1">
      <c r="A3969">
        <v>306</v>
      </c>
      <c r="B3969" t="s">
        <v>1272</v>
      </c>
      <c r="C3969" t="s">
        <v>961</v>
      </c>
      <c r="D3969">
        <v>6.66</v>
      </c>
      <c r="E3969">
        <v>20.059999999999999</v>
      </c>
      <c r="F3969">
        <v>19.09</v>
      </c>
      <c r="G3969">
        <v>0</v>
      </c>
    </row>
    <row r="3970" spans="1:7" hidden="1">
      <c r="A3970">
        <v>306</v>
      </c>
      <c r="B3970" t="s">
        <v>1272</v>
      </c>
      <c r="C3970" t="s">
        <v>962</v>
      </c>
      <c r="D3970">
        <v>1.56</v>
      </c>
      <c r="E3970">
        <v>24.72</v>
      </c>
      <c r="F3970">
        <v>5.5</v>
      </c>
      <c r="G3970">
        <v>0</v>
      </c>
    </row>
    <row r="3971" spans="1:7" hidden="1">
      <c r="A3971">
        <v>306</v>
      </c>
      <c r="B3971" t="s">
        <v>1272</v>
      </c>
      <c r="C3971" t="s">
        <v>963</v>
      </c>
      <c r="D3971">
        <v>2.39</v>
      </c>
      <c r="E3971">
        <v>18.13</v>
      </c>
      <c r="F3971">
        <v>6.19</v>
      </c>
      <c r="G3971">
        <v>0</v>
      </c>
    </row>
    <row r="3972" spans="1:7" hidden="1">
      <c r="A3972">
        <v>306</v>
      </c>
      <c r="B3972" t="s">
        <v>1272</v>
      </c>
      <c r="C3972" t="s">
        <v>964</v>
      </c>
      <c r="D3972">
        <v>0.32</v>
      </c>
      <c r="E3972">
        <v>21.87</v>
      </c>
      <c r="F3972">
        <v>1</v>
      </c>
      <c r="G3972">
        <v>0</v>
      </c>
    </row>
    <row r="3973" spans="1:7" hidden="1">
      <c r="A3973">
        <v>306</v>
      </c>
      <c r="B3973" t="s">
        <v>1272</v>
      </c>
      <c r="C3973" t="s">
        <v>965</v>
      </c>
      <c r="D3973">
        <v>2.25</v>
      </c>
      <c r="E3973">
        <v>24.75</v>
      </c>
      <c r="F3973">
        <v>7.97</v>
      </c>
      <c r="G3973">
        <v>0</v>
      </c>
    </row>
    <row r="3974" spans="1:7">
      <c r="A3974">
        <v>306</v>
      </c>
      <c r="B3974" t="s">
        <v>1272</v>
      </c>
      <c r="C3974" t="s">
        <v>24</v>
      </c>
      <c r="D3974">
        <v>20.25</v>
      </c>
      <c r="E3974">
        <v>20.149999999999999</v>
      </c>
      <c r="F3974">
        <v>58.29</v>
      </c>
      <c r="G3974">
        <v>0.01</v>
      </c>
    </row>
    <row r="3975" spans="1:7" hidden="1">
      <c r="A3975">
        <v>306</v>
      </c>
      <c r="B3975" t="s">
        <v>1272</v>
      </c>
      <c r="C3975" t="s">
        <v>966</v>
      </c>
      <c r="D3975">
        <v>0.01</v>
      </c>
      <c r="E3975">
        <v>18.05</v>
      </c>
      <c r="F3975">
        <v>0.02</v>
      </c>
      <c r="G3975">
        <v>0.01</v>
      </c>
    </row>
    <row r="3976" spans="1:7" hidden="1">
      <c r="A3976">
        <v>306</v>
      </c>
      <c r="B3976" t="s">
        <v>1272</v>
      </c>
      <c r="C3976" t="s">
        <v>967</v>
      </c>
      <c r="D3976">
        <v>0</v>
      </c>
      <c r="E3976">
        <v>17.91</v>
      </c>
      <c r="F3976">
        <v>0</v>
      </c>
      <c r="G3976">
        <v>0</v>
      </c>
    </row>
    <row r="3977" spans="1:7" hidden="1">
      <c r="A3977">
        <v>306</v>
      </c>
      <c r="B3977" t="s">
        <v>1272</v>
      </c>
      <c r="C3977" t="s">
        <v>968</v>
      </c>
      <c r="D3977">
        <v>1.22</v>
      </c>
      <c r="E3977">
        <v>18.09</v>
      </c>
      <c r="F3977">
        <v>3.14</v>
      </c>
      <c r="G3977">
        <v>0</v>
      </c>
    </row>
    <row r="3978" spans="1:7" hidden="1">
      <c r="A3978">
        <v>306</v>
      </c>
      <c r="B3978" t="s">
        <v>1272</v>
      </c>
      <c r="C3978" t="s">
        <v>969</v>
      </c>
      <c r="D3978">
        <v>0</v>
      </c>
      <c r="E3978">
        <v>24.75</v>
      </c>
      <c r="F3978">
        <v>0.01</v>
      </c>
      <c r="G3978">
        <v>0</v>
      </c>
    </row>
    <row r="3979" spans="1:7" hidden="1">
      <c r="A3979">
        <v>306</v>
      </c>
      <c r="B3979" t="s">
        <v>1272</v>
      </c>
      <c r="C3979" t="s">
        <v>970</v>
      </c>
      <c r="D3979">
        <v>0.56999999999999995</v>
      </c>
      <c r="E3979">
        <v>24.75</v>
      </c>
      <c r="F3979">
        <v>2.0299999999999998</v>
      </c>
      <c r="G3979">
        <v>0</v>
      </c>
    </row>
    <row r="3980" spans="1:7" hidden="1">
      <c r="A3980">
        <v>307</v>
      </c>
      <c r="B3980" t="s">
        <v>1273</v>
      </c>
      <c r="C3980" t="s">
        <v>959</v>
      </c>
      <c r="D3980">
        <v>2.65</v>
      </c>
      <c r="E3980">
        <v>18.309999999999999</v>
      </c>
      <c r="F3980">
        <v>6.94</v>
      </c>
      <c r="G3980">
        <v>0</v>
      </c>
    </row>
    <row r="3981" spans="1:7" hidden="1">
      <c r="A3981">
        <v>307</v>
      </c>
      <c r="B3981" t="s">
        <v>1273</v>
      </c>
      <c r="C3981" t="s">
        <v>960</v>
      </c>
      <c r="D3981">
        <v>3.68</v>
      </c>
      <c r="E3981">
        <v>18.399999999999999</v>
      </c>
      <c r="F3981">
        <v>9.68</v>
      </c>
      <c r="G3981">
        <v>0</v>
      </c>
    </row>
    <row r="3982" spans="1:7" hidden="1">
      <c r="A3982">
        <v>307</v>
      </c>
      <c r="B3982" t="s">
        <v>1273</v>
      </c>
      <c r="C3982" t="s">
        <v>961</v>
      </c>
      <c r="D3982">
        <v>4.93</v>
      </c>
      <c r="E3982">
        <v>20.059999999999999</v>
      </c>
      <c r="F3982">
        <v>14.14</v>
      </c>
      <c r="G3982">
        <v>0</v>
      </c>
    </row>
    <row r="3983" spans="1:7" hidden="1">
      <c r="A3983">
        <v>307</v>
      </c>
      <c r="B3983" t="s">
        <v>1273</v>
      </c>
      <c r="C3983" t="s">
        <v>962</v>
      </c>
      <c r="D3983">
        <v>2.1</v>
      </c>
      <c r="E3983">
        <v>24.72</v>
      </c>
      <c r="F3983">
        <v>7.42</v>
      </c>
      <c r="G3983">
        <v>0</v>
      </c>
    </row>
    <row r="3984" spans="1:7" hidden="1">
      <c r="A3984">
        <v>307</v>
      </c>
      <c r="B3984" t="s">
        <v>1273</v>
      </c>
      <c r="C3984" t="s">
        <v>963</v>
      </c>
      <c r="D3984">
        <v>2.19</v>
      </c>
      <c r="E3984">
        <v>18.13</v>
      </c>
      <c r="F3984">
        <v>5.67</v>
      </c>
      <c r="G3984">
        <v>0</v>
      </c>
    </row>
    <row r="3985" spans="1:7" hidden="1">
      <c r="A3985">
        <v>307</v>
      </c>
      <c r="B3985" t="s">
        <v>1273</v>
      </c>
      <c r="C3985" t="s">
        <v>964</v>
      </c>
      <c r="D3985">
        <v>0.22</v>
      </c>
      <c r="E3985">
        <v>21.87</v>
      </c>
      <c r="F3985">
        <v>0.69</v>
      </c>
      <c r="G3985">
        <v>0</v>
      </c>
    </row>
    <row r="3986" spans="1:7" hidden="1">
      <c r="A3986">
        <v>307</v>
      </c>
      <c r="B3986" t="s">
        <v>1273</v>
      </c>
      <c r="C3986" t="s">
        <v>965</v>
      </c>
      <c r="D3986">
        <v>1.93</v>
      </c>
      <c r="E3986">
        <v>24.75</v>
      </c>
      <c r="F3986">
        <v>6.82</v>
      </c>
      <c r="G3986">
        <v>0</v>
      </c>
    </row>
    <row r="3987" spans="1:7">
      <c r="A3987">
        <v>307</v>
      </c>
      <c r="B3987" t="s">
        <v>1273</v>
      </c>
      <c r="C3987" t="s">
        <v>24</v>
      </c>
      <c r="D3987">
        <v>17.71</v>
      </c>
      <c r="E3987">
        <v>20.3</v>
      </c>
      <c r="F3987">
        <v>51.36</v>
      </c>
      <c r="G3987">
        <v>0.01</v>
      </c>
    </row>
    <row r="3988" spans="1:7" hidden="1">
      <c r="A3988">
        <v>307</v>
      </c>
      <c r="B3988" t="s">
        <v>1273</v>
      </c>
      <c r="C3988" t="s">
        <v>966</v>
      </c>
      <c r="D3988">
        <v>0</v>
      </c>
      <c r="E3988">
        <v>18.05</v>
      </c>
      <c r="F3988">
        <v>0</v>
      </c>
      <c r="G3988">
        <v>0</v>
      </c>
    </row>
    <row r="3989" spans="1:7" hidden="1">
      <c r="A3989">
        <v>307</v>
      </c>
      <c r="B3989" t="s">
        <v>1273</v>
      </c>
      <c r="C3989" t="s">
        <v>967</v>
      </c>
      <c r="D3989">
        <v>0.02</v>
      </c>
      <c r="E3989">
        <v>17.91</v>
      </c>
      <c r="F3989">
        <v>0.04</v>
      </c>
      <c r="G3989">
        <v>0</v>
      </c>
    </row>
    <row r="3990" spans="1:7" hidden="1">
      <c r="A3990">
        <v>307</v>
      </c>
      <c r="B3990" t="s">
        <v>1273</v>
      </c>
      <c r="C3990" t="s">
        <v>968</v>
      </c>
      <c r="D3990">
        <v>0.84</v>
      </c>
      <c r="E3990">
        <v>18.09</v>
      </c>
      <c r="F3990">
        <v>2.17</v>
      </c>
      <c r="G3990">
        <v>0</v>
      </c>
    </row>
    <row r="3991" spans="1:7" hidden="1">
      <c r="A3991">
        <v>307</v>
      </c>
      <c r="B3991" t="s">
        <v>1273</v>
      </c>
      <c r="C3991" t="s">
        <v>969</v>
      </c>
      <c r="D3991">
        <v>0.01</v>
      </c>
      <c r="E3991">
        <v>24.75</v>
      </c>
      <c r="F3991">
        <v>0.03</v>
      </c>
      <c r="G3991">
        <v>0</v>
      </c>
    </row>
    <row r="3992" spans="1:7" hidden="1">
      <c r="A3992">
        <v>307</v>
      </c>
      <c r="B3992" t="s">
        <v>1273</v>
      </c>
      <c r="C3992" t="s">
        <v>970</v>
      </c>
      <c r="D3992">
        <v>0.43</v>
      </c>
      <c r="E3992">
        <v>24.75</v>
      </c>
      <c r="F3992">
        <v>1.51</v>
      </c>
      <c r="G3992">
        <v>0</v>
      </c>
    </row>
    <row r="3993" spans="1:7" hidden="1">
      <c r="A3993">
        <v>308</v>
      </c>
      <c r="B3993" t="s">
        <v>1274</v>
      </c>
      <c r="C3993" t="s">
        <v>959</v>
      </c>
      <c r="D3993">
        <v>4.49</v>
      </c>
      <c r="E3993">
        <v>18.309999999999999</v>
      </c>
      <c r="F3993">
        <v>11.75</v>
      </c>
      <c r="G3993">
        <v>2.65</v>
      </c>
    </row>
    <row r="3994" spans="1:7" hidden="1">
      <c r="A3994">
        <v>308</v>
      </c>
      <c r="B3994" t="s">
        <v>1274</v>
      </c>
      <c r="C3994" t="s">
        <v>960</v>
      </c>
      <c r="D3994">
        <v>4.33</v>
      </c>
      <c r="E3994">
        <v>18.399999999999999</v>
      </c>
      <c r="F3994">
        <v>11.39</v>
      </c>
      <c r="G3994">
        <v>2.97</v>
      </c>
    </row>
    <row r="3995" spans="1:7" hidden="1">
      <c r="A3995">
        <v>308</v>
      </c>
      <c r="B3995" t="s">
        <v>1274</v>
      </c>
      <c r="C3995" t="s">
        <v>961</v>
      </c>
      <c r="D3995">
        <v>0.64</v>
      </c>
      <c r="E3995">
        <v>20.059999999999999</v>
      </c>
      <c r="F3995">
        <v>1.83</v>
      </c>
      <c r="G3995">
        <v>0.16</v>
      </c>
    </row>
    <row r="3996" spans="1:7" hidden="1">
      <c r="A3996">
        <v>308</v>
      </c>
      <c r="B3996" t="s">
        <v>1274</v>
      </c>
      <c r="C3996" t="s">
        <v>962</v>
      </c>
      <c r="D3996">
        <v>0.69</v>
      </c>
      <c r="E3996">
        <v>24.72</v>
      </c>
      <c r="F3996">
        <v>2.4300000000000002</v>
      </c>
      <c r="G3996">
        <v>0.34</v>
      </c>
    </row>
    <row r="3997" spans="1:7" hidden="1">
      <c r="A3997">
        <v>308</v>
      </c>
      <c r="B3997" t="s">
        <v>1274</v>
      </c>
      <c r="C3997" t="s">
        <v>963</v>
      </c>
      <c r="D3997">
        <v>2.78</v>
      </c>
      <c r="E3997">
        <v>18.13</v>
      </c>
      <c r="F3997">
        <v>7.21</v>
      </c>
      <c r="G3997">
        <v>1.22</v>
      </c>
    </row>
    <row r="3998" spans="1:7" hidden="1">
      <c r="A3998">
        <v>308</v>
      </c>
      <c r="B3998" t="s">
        <v>1274</v>
      </c>
      <c r="C3998" t="s">
        <v>964</v>
      </c>
      <c r="D3998">
        <v>0.09</v>
      </c>
      <c r="E3998">
        <v>21.87</v>
      </c>
      <c r="F3998">
        <v>0.28000000000000003</v>
      </c>
      <c r="G3998">
        <v>0.05</v>
      </c>
    </row>
    <row r="3999" spans="1:7" hidden="1">
      <c r="A3999">
        <v>308</v>
      </c>
      <c r="B3999" t="s">
        <v>1274</v>
      </c>
      <c r="C3999" t="s">
        <v>965</v>
      </c>
      <c r="D3999">
        <v>1.63</v>
      </c>
      <c r="E3999">
        <v>24.75</v>
      </c>
      <c r="F3999">
        <v>5.76</v>
      </c>
      <c r="G3999">
        <v>0.79</v>
      </c>
    </row>
    <row r="4000" spans="1:7">
      <c r="A4000">
        <v>308</v>
      </c>
      <c r="B4000" t="s">
        <v>1274</v>
      </c>
      <c r="C4000" t="s">
        <v>24</v>
      </c>
      <c r="D4000">
        <v>14.66</v>
      </c>
      <c r="E4000">
        <v>19.420000000000002</v>
      </c>
      <c r="F4000">
        <v>40.659999999999997</v>
      </c>
      <c r="G4000">
        <v>8.18</v>
      </c>
    </row>
    <row r="4001" spans="1:7" hidden="1">
      <c r="A4001">
        <v>308</v>
      </c>
      <c r="B4001" t="s">
        <v>1274</v>
      </c>
      <c r="C4001" t="s">
        <v>966</v>
      </c>
      <c r="D4001">
        <v>11.94</v>
      </c>
      <c r="E4001">
        <v>18.05</v>
      </c>
      <c r="F4001">
        <v>30.78</v>
      </c>
      <c r="G4001">
        <v>11.36</v>
      </c>
    </row>
    <row r="4002" spans="1:7" hidden="1">
      <c r="A4002">
        <v>308</v>
      </c>
      <c r="B4002" t="s">
        <v>1274</v>
      </c>
      <c r="C4002" t="s">
        <v>967</v>
      </c>
      <c r="D4002">
        <v>0.11</v>
      </c>
      <c r="E4002">
        <v>17.91</v>
      </c>
      <c r="F4002">
        <v>0.28000000000000003</v>
      </c>
      <c r="G4002">
        <v>0.05</v>
      </c>
    </row>
    <row r="4003" spans="1:7" hidden="1">
      <c r="A4003">
        <v>308</v>
      </c>
      <c r="B4003" t="s">
        <v>1274</v>
      </c>
      <c r="C4003" t="s">
        <v>968</v>
      </c>
      <c r="D4003">
        <v>0.55000000000000004</v>
      </c>
      <c r="E4003">
        <v>18.09</v>
      </c>
      <c r="F4003">
        <v>1.43</v>
      </c>
      <c r="G4003">
        <v>0.17</v>
      </c>
    </row>
    <row r="4004" spans="1:7" hidden="1">
      <c r="A4004">
        <v>308</v>
      </c>
      <c r="B4004" t="s">
        <v>1274</v>
      </c>
      <c r="C4004" t="s">
        <v>969</v>
      </c>
      <c r="D4004">
        <v>1.55</v>
      </c>
      <c r="E4004">
        <v>24.75</v>
      </c>
      <c r="F4004">
        <v>5.48</v>
      </c>
      <c r="G4004">
        <v>0.04</v>
      </c>
    </row>
    <row r="4005" spans="1:7" hidden="1">
      <c r="A4005">
        <v>308</v>
      </c>
      <c r="B4005" t="s">
        <v>1274</v>
      </c>
      <c r="C4005" t="s">
        <v>970</v>
      </c>
      <c r="D4005">
        <v>0.42</v>
      </c>
      <c r="E4005">
        <v>24.75</v>
      </c>
      <c r="F4005">
        <v>1.48</v>
      </c>
      <c r="G4005">
        <v>0.17</v>
      </c>
    </row>
    <row r="4006" spans="1:7" hidden="1">
      <c r="A4006">
        <v>309</v>
      </c>
      <c r="B4006" t="s">
        <v>1275</v>
      </c>
      <c r="C4006" t="s">
        <v>959</v>
      </c>
      <c r="D4006">
        <v>5.1100000000000003</v>
      </c>
      <c r="E4006">
        <v>18.309999999999999</v>
      </c>
      <c r="F4006">
        <v>13.37</v>
      </c>
      <c r="G4006">
        <v>3.08</v>
      </c>
    </row>
    <row r="4007" spans="1:7" hidden="1">
      <c r="A4007">
        <v>309</v>
      </c>
      <c r="B4007" t="s">
        <v>1275</v>
      </c>
      <c r="C4007" t="s">
        <v>960</v>
      </c>
      <c r="D4007">
        <v>4.76</v>
      </c>
      <c r="E4007">
        <v>18.399999999999999</v>
      </c>
      <c r="F4007">
        <v>12.5</v>
      </c>
      <c r="G4007">
        <v>3.21</v>
      </c>
    </row>
    <row r="4008" spans="1:7" hidden="1">
      <c r="A4008">
        <v>309</v>
      </c>
      <c r="B4008" t="s">
        <v>1275</v>
      </c>
      <c r="C4008" t="s">
        <v>961</v>
      </c>
      <c r="D4008">
        <v>1.04</v>
      </c>
      <c r="E4008">
        <v>20.059999999999999</v>
      </c>
      <c r="F4008">
        <v>2.98</v>
      </c>
      <c r="G4008">
        <v>0.56999999999999995</v>
      </c>
    </row>
    <row r="4009" spans="1:7" hidden="1">
      <c r="A4009">
        <v>309</v>
      </c>
      <c r="B4009" t="s">
        <v>1275</v>
      </c>
      <c r="C4009" t="s">
        <v>962</v>
      </c>
      <c r="D4009">
        <v>0.78</v>
      </c>
      <c r="E4009">
        <v>24.72</v>
      </c>
      <c r="F4009">
        <v>2.75</v>
      </c>
      <c r="G4009">
        <v>0.38</v>
      </c>
    </row>
    <row r="4010" spans="1:7" hidden="1">
      <c r="A4010">
        <v>309</v>
      </c>
      <c r="B4010" t="s">
        <v>1275</v>
      </c>
      <c r="C4010" t="s">
        <v>963</v>
      </c>
      <c r="D4010">
        <v>2.74</v>
      </c>
      <c r="E4010">
        <v>18.13</v>
      </c>
      <c r="F4010">
        <v>7.11</v>
      </c>
      <c r="G4010">
        <v>1.44</v>
      </c>
    </row>
    <row r="4011" spans="1:7" hidden="1">
      <c r="A4011">
        <v>309</v>
      </c>
      <c r="B4011" t="s">
        <v>1275</v>
      </c>
      <c r="C4011" t="s">
        <v>964</v>
      </c>
      <c r="D4011">
        <v>0.13</v>
      </c>
      <c r="E4011">
        <v>21.87</v>
      </c>
      <c r="F4011">
        <v>0.41</v>
      </c>
      <c r="G4011">
        <v>0.1</v>
      </c>
    </row>
    <row r="4012" spans="1:7" hidden="1">
      <c r="A4012">
        <v>309</v>
      </c>
      <c r="B4012" t="s">
        <v>1275</v>
      </c>
      <c r="C4012" t="s">
        <v>965</v>
      </c>
      <c r="D4012">
        <v>2.1800000000000002</v>
      </c>
      <c r="E4012">
        <v>24.75</v>
      </c>
      <c r="F4012">
        <v>7.7</v>
      </c>
      <c r="G4012">
        <v>0.88</v>
      </c>
    </row>
    <row r="4013" spans="1:7">
      <c r="A4013">
        <v>309</v>
      </c>
      <c r="B4013" t="s">
        <v>1275</v>
      </c>
      <c r="C4013" t="s">
        <v>24</v>
      </c>
      <c r="D4013">
        <v>16.73</v>
      </c>
      <c r="E4013">
        <v>19.579999999999998</v>
      </c>
      <c r="F4013">
        <v>46.81</v>
      </c>
      <c r="G4013">
        <v>9.65</v>
      </c>
    </row>
    <row r="4014" spans="1:7" hidden="1">
      <c r="A4014">
        <v>309</v>
      </c>
      <c r="B4014" t="s">
        <v>1275</v>
      </c>
      <c r="C4014" t="s">
        <v>966</v>
      </c>
      <c r="D4014">
        <v>8.9</v>
      </c>
      <c r="E4014">
        <v>18.05</v>
      </c>
      <c r="F4014">
        <v>22.96</v>
      </c>
      <c r="G4014">
        <v>7.91</v>
      </c>
    </row>
    <row r="4015" spans="1:7" hidden="1">
      <c r="A4015">
        <v>309</v>
      </c>
      <c r="B4015" t="s">
        <v>1275</v>
      </c>
      <c r="C4015" t="s">
        <v>967</v>
      </c>
      <c r="D4015">
        <v>0.08</v>
      </c>
      <c r="E4015">
        <v>17.91</v>
      </c>
      <c r="F4015">
        <v>0.2</v>
      </c>
      <c r="G4015">
        <v>0.04</v>
      </c>
    </row>
    <row r="4016" spans="1:7" hidden="1">
      <c r="A4016">
        <v>309</v>
      </c>
      <c r="B4016" t="s">
        <v>1275</v>
      </c>
      <c r="C4016" t="s">
        <v>968</v>
      </c>
      <c r="D4016">
        <v>0.46</v>
      </c>
      <c r="E4016">
        <v>18.09</v>
      </c>
      <c r="F4016">
        <v>1.19</v>
      </c>
      <c r="G4016">
        <v>0.2</v>
      </c>
    </row>
    <row r="4017" spans="1:7" hidden="1">
      <c r="A4017">
        <v>309</v>
      </c>
      <c r="B4017" t="s">
        <v>1275</v>
      </c>
      <c r="C4017" t="s">
        <v>969</v>
      </c>
      <c r="D4017">
        <v>2.25</v>
      </c>
      <c r="E4017">
        <v>24.75</v>
      </c>
      <c r="F4017">
        <v>7.96</v>
      </c>
      <c r="G4017">
        <v>0.08</v>
      </c>
    </row>
    <row r="4018" spans="1:7" hidden="1">
      <c r="A4018">
        <v>309</v>
      </c>
      <c r="B4018" t="s">
        <v>1275</v>
      </c>
      <c r="C4018" t="s">
        <v>970</v>
      </c>
      <c r="D4018">
        <v>0.39</v>
      </c>
      <c r="E4018">
        <v>24.75</v>
      </c>
      <c r="F4018">
        <v>1.4</v>
      </c>
      <c r="G4018">
        <v>0.16</v>
      </c>
    </row>
    <row r="4019" spans="1:7" hidden="1">
      <c r="A4019">
        <v>310</v>
      </c>
      <c r="B4019" t="s">
        <v>1276</v>
      </c>
      <c r="C4019" t="s">
        <v>959</v>
      </c>
      <c r="D4019">
        <v>4.87</v>
      </c>
      <c r="E4019">
        <v>18.309999999999999</v>
      </c>
      <c r="F4019">
        <v>12.74</v>
      </c>
      <c r="G4019">
        <v>2.4900000000000002</v>
      </c>
    </row>
    <row r="4020" spans="1:7" hidden="1">
      <c r="A4020">
        <v>310</v>
      </c>
      <c r="B4020" t="s">
        <v>1276</v>
      </c>
      <c r="C4020" t="s">
        <v>960</v>
      </c>
      <c r="D4020">
        <v>4.7300000000000004</v>
      </c>
      <c r="E4020">
        <v>18.399999999999999</v>
      </c>
      <c r="F4020">
        <v>12.43</v>
      </c>
      <c r="G4020">
        <v>3.2</v>
      </c>
    </row>
    <row r="4021" spans="1:7" hidden="1">
      <c r="A4021">
        <v>310</v>
      </c>
      <c r="B4021" t="s">
        <v>1276</v>
      </c>
      <c r="C4021" t="s">
        <v>961</v>
      </c>
      <c r="D4021">
        <v>1.28</v>
      </c>
      <c r="E4021">
        <v>20.059999999999999</v>
      </c>
      <c r="F4021">
        <v>3.66</v>
      </c>
      <c r="G4021">
        <v>0.67</v>
      </c>
    </row>
    <row r="4022" spans="1:7" hidden="1">
      <c r="A4022">
        <v>310</v>
      </c>
      <c r="B4022" t="s">
        <v>1276</v>
      </c>
      <c r="C4022" t="s">
        <v>962</v>
      </c>
      <c r="D4022">
        <v>1.0900000000000001</v>
      </c>
      <c r="E4022">
        <v>24.72</v>
      </c>
      <c r="F4022">
        <v>3.83</v>
      </c>
      <c r="G4022">
        <v>0.46</v>
      </c>
    </row>
    <row r="4023" spans="1:7" hidden="1">
      <c r="A4023">
        <v>310</v>
      </c>
      <c r="B4023" t="s">
        <v>1276</v>
      </c>
      <c r="C4023" t="s">
        <v>963</v>
      </c>
      <c r="D4023">
        <v>2.7</v>
      </c>
      <c r="E4023">
        <v>18.13</v>
      </c>
      <c r="F4023">
        <v>7</v>
      </c>
      <c r="G4023">
        <v>1.18</v>
      </c>
    </row>
    <row r="4024" spans="1:7" hidden="1">
      <c r="A4024">
        <v>310</v>
      </c>
      <c r="B4024" t="s">
        <v>1276</v>
      </c>
      <c r="C4024" t="s">
        <v>964</v>
      </c>
      <c r="D4024">
        <v>0.15</v>
      </c>
      <c r="E4024">
        <v>21.87</v>
      </c>
      <c r="F4024">
        <v>0.45</v>
      </c>
      <c r="G4024">
        <v>0.04</v>
      </c>
    </row>
    <row r="4025" spans="1:7" hidden="1">
      <c r="A4025">
        <v>310</v>
      </c>
      <c r="B4025" t="s">
        <v>1276</v>
      </c>
      <c r="C4025" t="s">
        <v>965</v>
      </c>
      <c r="D4025">
        <v>2.2000000000000002</v>
      </c>
      <c r="E4025">
        <v>24.75</v>
      </c>
      <c r="F4025">
        <v>7.77</v>
      </c>
      <c r="G4025">
        <v>0.88</v>
      </c>
    </row>
    <row r="4026" spans="1:7">
      <c r="A4026">
        <v>310</v>
      </c>
      <c r="B4026" t="s">
        <v>1276</v>
      </c>
      <c r="C4026" t="s">
        <v>24</v>
      </c>
      <c r="D4026">
        <v>17.010000000000002</v>
      </c>
      <c r="E4026">
        <v>19.71</v>
      </c>
      <c r="F4026">
        <v>47.89</v>
      </c>
      <c r="G4026">
        <v>8.93</v>
      </c>
    </row>
    <row r="4027" spans="1:7" hidden="1">
      <c r="A4027">
        <v>310</v>
      </c>
      <c r="B4027" t="s">
        <v>1276</v>
      </c>
      <c r="C4027" t="s">
        <v>966</v>
      </c>
      <c r="D4027">
        <v>5.86</v>
      </c>
      <c r="E4027">
        <v>18.05</v>
      </c>
      <c r="F4027">
        <v>15.1</v>
      </c>
      <c r="G4027">
        <v>5.25</v>
      </c>
    </row>
    <row r="4028" spans="1:7" hidden="1">
      <c r="A4028">
        <v>310</v>
      </c>
      <c r="B4028" t="s">
        <v>1276</v>
      </c>
      <c r="C4028" t="s">
        <v>967</v>
      </c>
      <c r="D4028">
        <v>0.11</v>
      </c>
      <c r="E4028">
        <v>17.91</v>
      </c>
      <c r="F4028">
        <v>0.27</v>
      </c>
      <c r="G4028">
        <v>0.02</v>
      </c>
    </row>
    <row r="4029" spans="1:7" hidden="1">
      <c r="A4029">
        <v>310</v>
      </c>
      <c r="B4029" t="s">
        <v>1276</v>
      </c>
      <c r="C4029" t="s">
        <v>968</v>
      </c>
      <c r="D4029">
        <v>0.68</v>
      </c>
      <c r="E4029">
        <v>18.09</v>
      </c>
      <c r="F4029">
        <v>1.75</v>
      </c>
      <c r="G4029">
        <v>0.28999999999999998</v>
      </c>
    </row>
    <row r="4030" spans="1:7" hidden="1">
      <c r="A4030">
        <v>310</v>
      </c>
      <c r="B4030" t="s">
        <v>1276</v>
      </c>
      <c r="C4030" t="s">
        <v>969</v>
      </c>
      <c r="D4030">
        <v>1.78</v>
      </c>
      <c r="E4030">
        <v>24.75</v>
      </c>
      <c r="F4030">
        <v>6.31</v>
      </c>
      <c r="G4030">
        <v>0.02</v>
      </c>
    </row>
    <row r="4031" spans="1:7" hidden="1">
      <c r="A4031">
        <v>310</v>
      </c>
      <c r="B4031" t="s">
        <v>1276</v>
      </c>
      <c r="C4031" t="s">
        <v>970</v>
      </c>
      <c r="D4031">
        <v>0.43</v>
      </c>
      <c r="E4031">
        <v>24.75</v>
      </c>
      <c r="F4031">
        <v>1.51</v>
      </c>
      <c r="G4031">
        <v>0.17</v>
      </c>
    </row>
    <row r="4032" spans="1:7" hidden="1">
      <c r="A4032">
        <v>311</v>
      </c>
      <c r="B4032" t="s">
        <v>1277</v>
      </c>
      <c r="C4032" t="s">
        <v>959</v>
      </c>
      <c r="D4032">
        <v>5.62</v>
      </c>
      <c r="E4032">
        <v>18.309999999999999</v>
      </c>
      <c r="F4032">
        <v>14.71</v>
      </c>
      <c r="G4032">
        <v>0</v>
      </c>
    </row>
    <row r="4033" spans="1:7" hidden="1">
      <c r="A4033">
        <v>311</v>
      </c>
      <c r="B4033" t="s">
        <v>1277</v>
      </c>
      <c r="C4033" t="s">
        <v>960</v>
      </c>
      <c r="D4033">
        <v>4.32</v>
      </c>
      <c r="E4033">
        <v>18.399999999999999</v>
      </c>
      <c r="F4033">
        <v>11.34</v>
      </c>
      <c r="G4033">
        <v>0</v>
      </c>
    </row>
    <row r="4034" spans="1:7" hidden="1">
      <c r="A4034">
        <v>311</v>
      </c>
      <c r="B4034" t="s">
        <v>1277</v>
      </c>
      <c r="C4034" t="s">
        <v>961</v>
      </c>
      <c r="D4034">
        <v>1.8</v>
      </c>
      <c r="E4034">
        <v>20.059999999999999</v>
      </c>
      <c r="F4034">
        <v>5.17</v>
      </c>
      <c r="G4034">
        <v>0</v>
      </c>
    </row>
    <row r="4035" spans="1:7" hidden="1">
      <c r="A4035">
        <v>311</v>
      </c>
      <c r="B4035" t="s">
        <v>1277</v>
      </c>
      <c r="C4035" t="s">
        <v>962</v>
      </c>
      <c r="D4035">
        <v>1.08</v>
      </c>
      <c r="E4035">
        <v>24.72</v>
      </c>
      <c r="F4035">
        <v>3.83</v>
      </c>
      <c r="G4035">
        <v>0</v>
      </c>
    </row>
    <row r="4036" spans="1:7" hidden="1">
      <c r="A4036">
        <v>311</v>
      </c>
      <c r="B4036" t="s">
        <v>1277</v>
      </c>
      <c r="C4036" t="s">
        <v>963</v>
      </c>
      <c r="D4036">
        <v>2.94</v>
      </c>
      <c r="E4036">
        <v>18.13</v>
      </c>
      <c r="F4036">
        <v>7.61</v>
      </c>
      <c r="G4036">
        <v>0</v>
      </c>
    </row>
    <row r="4037" spans="1:7" hidden="1">
      <c r="A4037">
        <v>311</v>
      </c>
      <c r="B4037" t="s">
        <v>1277</v>
      </c>
      <c r="C4037" t="s">
        <v>964</v>
      </c>
      <c r="D4037">
        <v>0.17</v>
      </c>
      <c r="E4037">
        <v>21.87</v>
      </c>
      <c r="F4037">
        <v>0.54</v>
      </c>
      <c r="G4037">
        <v>0</v>
      </c>
    </row>
    <row r="4038" spans="1:7" hidden="1">
      <c r="A4038">
        <v>311</v>
      </c>
      <c r="B4038" t="s">
        <v>1277</v>
      </c>
      <c r="C4038" t="s">
        <v>965</v>
      </c>
      <c r="D4038">
        <v>2.2799999999999998</v>
      </c>
      <c r="E4038">
        <v>24.75</v>
      </c>
      <c r="F4038">
        <v>8.0500000000000007</v>
      </c>
      <c r="G4038">
        <v>0</v>
      </c>
    </row>
    <row r="4039" spans="1:7">
      <c r="A4039">
        <v>311</v>
      </c>
      <c r="B4039" t="s">
        <v>1277</v>
      </c>
      <c r="C4039" t="s">
        <v>24</v>
      </c>
      <c r="D4039">
        <v>18.21</v>
      </c>
      <c r="E4039">
        <v>19.7</v>
      </c>
      <c r="F4039">
        <v>51.25</v>
      </c>
      <c r="G4039">
        <v>0</v>
      </c>
    </row>
    <row r="4040" spans="1:7" hidden="1">
      <c r="A4040">
        <v>311</v>
      </c>
      <c r="B4040" t="s">
        <v>1277</v>
      </c>
      <c r="C4040" t="s">
        <v>966</v>
      </c>
      <c r="D4040">
        <v>2.12</v>
      </c>
      <c r="E4040">
        <v>18.05</v>
      </c>
      <c r="F4040">
        <v>5.46</v>
      </c>
      <c r="G4040">
        <v>1.75</v>
      </c>
    </row>
    <row r="4041" spans="1:7" hidden="1">
      <c r="A4041">
        <v>311</v>
      </c>
      <c r="B4041" t="s">
        <v>1277</v>
      </c>
      <c r="C4041" t="s">
        <v>967</v>
      </c>
      <c r="D4041">
        <v>7.0000000000000007E-2</v>
      </c>
      <c r="E4041">
        <v>17.91</v>
      </c>
      <c r="F4041">
        <v>0.18</v>
      </c>
      <c r="G4041">
        <v>0</v>
      </c>
    </row>
    <row r="4042" spans="1:7" hidden="1">
      <c r="A4042">
        <v>311</v>
      </c>
      <c r="B4042" t="s">
        <v>1277</v>
      </c>
      <c r="C4042" t="s">
        <v>968</v>
      </c>
      <c r="D4042">
        <v>0.85</v>
      </c>
      <c r="E4042">
        <v>18.09</v>
      </c>
      <c r="F4042">
        <v>2.21</v>
      </c>
      <c r="G4042">
        <v>0</v>
      </c>
    </row>
    <row r="4043" spans="1:7" hidden="1">
      <c r="A4043">
        <v>311</v>
      </c>
      <c r="B4043" t="s">
        <v>1277</v>
      </c>
      <c r="C4043" t="s">
        <v>969</v>
      </c>
      <c r="D4043">
        <v>0.92</v>
      </c>
      <c r="E4043">
        <v>24.75</v>
      </c>
      <c r="F4043">
        <v>3.24</v>
      </c>
      <c r="G4043">
        <v>0</v>
      </c>
    </row>
    <row r="4044" spans="1:7" hidden="1">
      <c r="A4044">
        <v>311</v>
      </c>
      <c r="B4044" t="s">
        <v>1277</v>
      </c>
      <c r="C4044" t="s">
        <v>970</v>
      </c>
      <c r="D4044">
        <v>0.48</v>
      </c>
      <c r="E4044">
        <v>24.75</v>
      </c>
      <c r="F4044">
        <v>1.69</v>
      </c>
      <c r="G4044">
        <v>0</v>
      </c>
    </row>
    <row r="4045" spans="1:7" hidden="1">
      <c r="A4045">
        <v>312</v>
      </c>
      <c r="B4045" t="s">
        <v>1278</v>
      </c>
      <c r="C4045" t="s">
        <v>959</v>
      </c>
      <c r="D4045">
        <v>3.99</v>
      </c>
      <c r="E4045">
        <v>18.309999999999999</v>
      </c>
      <c r="F4045">
        <v>10.43</v>
      </c>
      <c r="G4045">
        <v>0</v>
      </c>
    </row>
    <row r="4046" spans="1:7" hidden="1">
      <c r="A4046">
        <v>312</v>
      </c>
      <c r="B4046" t="s">
        <v>1278</v>
      </c>
      <c r="C4046" t="s">
        <v>960</v>
      </c>
      <c r="D4046">
        <v>3.01</v>
      </c>
      <c r="E4046">
        <v>18.399999999999999</v>
      </c>
      <c r="F4046">
        <v>7.91</v>
      </c>
      <c r="G4046">
        <v>0.01</v>
      </c>
    </row>
    <row r="4047" spans="1:7" hidden="1">
      <c r="A4047">
        <v>312</v>
      </c>
      <c r="B4047" t="s">
        <v>1278</v>
      </c>
      <c r="C4047" t="s">
        <v>961</v>
      </c>
      <c r="D4047">
        <v>2.12</v>
      </c>
      <c r="E4047">
        <v>20.059999999999999</v>
      </c>
      <c r="F4047">
        <v>6.07</v>
      </c>
      <c r="G4047">
        <v>0</v>
      </c>
    </row>
    <row r="4048" spans="1:7" hidden="1">
      <c r="A4048">
        <v>312</v>
      </c>
      <c r="B4048" t="s">
        <v>1278</v>
      </c>
      <c r="C4048" t="s">
        <v>962</v>
      </c>
      <c r="D4048">
        <v>1.05</v>
      </c>
      <c r="E4048">
        <v>24.72</v>
      </c>
      <c r="F4048">
        <v>3.69</v>
      </c>
      <c r="G4048">
        <v>0</v>
      </c>
    </row>
    <row r="4049" spans="1:7" hidden="1">
      <c r="A4049">
        <v>312</v>
      </c>
      <c r="B4049" t="s">
        <v>1278</v>
      </c>
      <c r="C4049" t="s">
        <v>963</v>
      </c>
      <c r="D4049">
        <v>2.71</v>
      </c>
      <c r="E4049">
        <v>18.13</v>
      </c>
      <c r="F4049">
        <v>7.02</v>
      </c>
      <c r="G4049">
        <v>0.01</v>
      </c>
    </row>
    <row r="4050" spans="1:7" hidden="1">
      <c r="A4050">
        <v>312</v>
      </c>
      <c r="B4050" t="s">
        <v>1278</v>
      </c>
      <c r="C4050" t="s">
        <v>964</v>
      </c>
      <c r="D4050">
        <v>0.14000000000000001</v>
      </c>
      <c r="E4050">
        <v>21.87</v>
      </c>
      <c r="F4050">
        <v>0.43</v>
      </c>
      <c r="G4050">
        <v>0</v>
      </c>
    </row>
    <row r="4051" spans="1:7" hidden="1">
      <c r="A4051">
        <v>312</v>
      </c>
      <c r="B4051" t="s">
        <v>1278</v>
      </c>
      <c r="C4051" t="s">
        <v>965</v>
      </c>
      <c r="D4051">
        <v>2.08</v>
      </c>
      <c r="E4051">
        <v>24.75</v>
      </c>
      <c r="F4051">
        <v>7.36</v>
      </c>
      <c r="G4051">
        <v>0</v>
      </c>
    </row>
    <row r="4052" spans="1:7">
      <c r="A4052">
        <v>312</v>
      </c>
      <c r="B4052" t="s">
        <v>1278</v>
      </c>
      <c r="C4052" t="s">
        <v>24</v>
      </c>
      <c r="D4052">
        <v>15.09</v>
      </c>
      <c r="E4052">
        <v>19.91</v>
      </c>
      <c r="F4052">
        <v>42.91</v>
      </c>
      <c r="G4052">
        <v>0.02</v>
      </c>
    </row>
    <row r="4053" spans="1:7" hidden="1">
      <c r="A4053">
        <v>312</v>
      </c>
      <c r="B4053" t="s">
        <v>1278</v>
      </c>
      <c r="C4053" t="s">
        <v>966</v>
      </c>
      <c r="D4053">
        <v>0</v>
      </c>
      <c r="E4053">
        <v>18.05</v>
      </c>
      <c r="F4053">
        <v>0</v>
      </c>
      <c r="G4053">
        <v>0</v>
      </c>
    </row>
    <row r="4054" spans="1:7" hidden="1">
      <c r="A4054">
        <v>312</v>
      </c>
      <c r="B4054" t="s">
        <v>1278</v>
      </c>
      <c r="C4054" t="s">
        <v>967</v>
      </c>
      <c r="D4054">
        <v>0.16</v>
      </c>
      <c r="E4054">
        <v>17.91</v>
      </c>
      <c r="F4054">
        <v>0.41</v>
      </c>
      <c r="G4054">
        <v>0</v>
      </c>
    </row>
    <row r="4055" spans="1:7" hidden="1">
      <c r="A4055">
        <v>312</v>
      </c>
      <c r="B4055" t="s">
        <v>1278</v>
      </c>
      <c r="C4055" t="s">
        <v>968</v>
      </c>
      <c r="D4055">
        <v>0.91</v>
      </c>
      <c r="E4055">
        <v>18.09</v>
      </c>
      <c r="F4055">
        <v>2.36</v>
      </c>
      <c r="G4055">
        <v>0</v>
      </c>
    </row>
    <row r="4056" spans="1:7" hidden="1">
      <c r="A4056">
        <v>312</v>
      </c>
      <c r="B4056" t="s">
        <v>1278</v>
      </c>
      <c r="C4056" t="s">
        <v>969</v>
      </c>
      <c r="D4056">
        <v>0.06</v>
      </c>
      <c r="E4056">
        <v>24.75</v>
      </c>
      <c r="F4056">
        <v>0.2</v>
      </c>
      <c r="G4056">
        <v>0</v>
      </c>
    </row>
    <row r="4057" spans="1:7" hidden="1">
      <c r="A4057">
        <v>312</v>
      </c>
      <c r="B4057" t="s">
        <v>1278</v>
      </c>
      <c r="C4057" t="s">
        <v>970</v>
      </c>
      <c r="D4057">
        <v>0.49</v>
      </c>
      <c r="E4057">
        <v>24.75</v>
      </c>
      <c r="F4057">
        <v>1.75</v>
      </c>
      <c r="G4057">
        <v>0</v>
      </c>
    </row>
    <row r="4058" spans="1:7" hidden="1">
      <c r="A4058">
        <v>313</v>
      </c>
      <c r="B4058" t="s">
        <v>1279</v>
      </c>
      <c r="C4058" t="s">
        <v>959</v>
      </c>
      <c r="D4058">
        <v>3.13</v>
      </c>
      <c r="E4058">
        <v>18.309999999999999</v>
      </c>
      <c r="F4058">
        <v>8.19</v>
      </c>
      <c r="G4058">
        <v>0</v>
      </c>
    </row>
    <row r="4059" spans="1:7" hidden="1">
      <c r="A4059">
        <v>313</v>
      </c>
      <c r="B4059" t="s">
        <v>1279</v>
      </c>
      <c r="C4059" t="s">
        <v>960</v>
      </c>
      <c r="D4059">
        <v>2.5099999999999998</v>
      </c>
      <c r="E4059">
        <v>18.399999999999999</v>
      </c>
      <c r="F4059">
        <v>6.59</v>
      </c>
      <c r="G4059">
        <v>0.01</v>
      </c>
    </row>
    <row r="4060" spans="1:7" hidden="1">
      <c r="A4060">
        <v>313</v>
      </c>
      <c r="B4060" t="s">
        <v>1279</v>
      </c>
      <c r="C4060" t="s">
        <v>961</v>
      </c>
      <c r="D4060">
        <v>1.57</v>
      </c>
      <c r="E4060">
        <v>20.059999999999999</v>
      </c>
      <c r="F4060">
        <v>4.51</v>
      </c>
      <c r="G4060">
        <v>0</v>
      </c>
    </row>
    <row r="4061" spans="1:7" hidden="1">
      <c r="A4061">
        <v>313</v>
      </c>
      <c r="B4061" t="s">
        <v>1279</v>
      </c>
      <c r="C4061" t="s">
        <v>962</v>
      </c>
      <c r="D4061">
        <v>0.83</v>
      </c>
      <c r="E4061">
        <v>24.72</v>
      </c>
      <c r="F4061">
        <v>2.94</v>
      </c>
      <c r="G4061">
        <v>0</v>
      </c>
    </row>
    <row r="4062" spans="1:7" hidden="1">
      <c r="A4062">
        <v>313</v>
      </c>
      <c r="B4062" t="s">
        <v>1279</v>
      </c>
      <c r="C4062" t="s">
        <v>963</v>
      </c>
      <c r="D4062">
        <v>2.68</v>
      </c>
      <c r="E4062">
        <v>18.13</v>
      </c>
      <c r="F4062">
        <v>6.95</v>
      </c>
      <c r="G4062">
        <v>0.02</v>
      </c>
    </row>
    <row r="4063" spans="1:7" hidden="1">
      <c r="A4063">
        <v>313</v>
      </c>
      <c r="B4063" t="s">
        <v>1279</v>
      </c>
      <c r="C4063" t="s">
        <v>964</v>
      </c>
      <c r="D4063">
        <v>0.1</v>
      </c>
      <c r="E4063">
        <v>21.87</v>
      </c>
      <c r="F4063">
        <v>0.3</v>
      </c>
      <c r="G4063">
        <v>0</v>
      </c>
    </row>
    <row r="4064" spans="1:7" hidden="1">
      <c r="A4064">
        <v>313</v>
      </c>
      <c r="B4064" t="s">
        <v>1279</v>
      </c>
      <c r="C4064" t="s">
        <v>965</v>
      </c>
      <c r="D4064">
        <v>2.06</v>
      </c>
      <c r="E4064">
        <v>24.75</v>
      </c>
      <c r="F4064">
        <v>7.29</v>
      </c>
      <c r="G4064">
        <v>0</v>
      </c>
    </row>
    <row r="4065" spans="1:7">
      <c r="A4065">
        <v>313</v>
      </c>
      <c r="B4065" t="s">
        <v>1279</v>
      </c>
      <c r="C4065" t="s">
        <v>24</v>
      </c>
      <c r="D4065">
        <v>12.88</v>
      </c>
      <c r="E4065">
        <v>19.98</v>
      </c>
      <c r="F4065">
        <v>36.76</v>
      </c>
      <c r="G4065">
        <v>0.04</v>
      </c>
    </row>
    <row r="4066" spans="1:7" hidden="1">
      <c r="A4066">
        <v>313</v>
      </c>
      <c r="B4066" t="s">
        <v>1279</v>
      </c>
      <c r="C4066" t="s">
        <v>966</v>
      </c>
      <c r="D4066">
        <v>0</v>
      </c>
      <c r="E4066">
        <v>18.05</v>
      </c>
      <c r="F4066">
        <v>0</v>
      </c>
      <c r="G4066">
        <v>0</v>
      </c>
    </row>
    <row r="4067" spans="1:7" hidden="1">
      <c r="A4067">
        <v>313</v>
      </c>
      <c r="B4067" t="s">
        <v>1279</v>
      </c>
      <c r="C4067" t="s">
        <v>967</v>
      </c>
      <c r="D4067">
        <v>7.0000000000000007E-2</v>
      </c>
      <c r="E4067">
        <v>17.91</v>
      </c>
      <c r="F4067">
        <v>0.18</v>
      </c>
      <c r="G4067">
        <v>0</v>
      </c>
    </row>
    <row r="4068" spans="1:7" hidden="1">
      <c r="A4068">
        <v>313</v>
      </c>
      <c r="B4068" t="s">
        <v>1279</v>
      </c>
      <c r="C4068" t="s">
        <v>968</v>
      </c>
      <c r="D4068">
        <v>0.7</v>
      </c>
      <c r="E4068">
        <v>18.09</v>
      </c>
      <c r="F4068">
        <v>1.81</v>
      </c>
      <c r="G4068">
        <v>0</v>
      </c>
    </row>
    <row r="4069" spans="1:7" hidden="1">
      <c r="A4069">
        <v>313</v>
      </c>
      <c r="B4069" t="s">
        <v>1279</v>
      </c>
      <c r="C4069" t="s">
        <v>969</v>
      </c>
      <c r="D4069">
        <v>0.05</v>
      </c>
      <c r="E4069">
        <v>24.75</v>
      </c>
      <c r="F4069">
        <v>0.18</v>
      </c>
      <c r="G4069">
        <v>0</v>
      </c>
    </row>
    <row r="4070" spans="1:7" hidden="1">
      <c r="A4070">
        <v>313</v>
      </c>
      <c r="B4070" t="s">
        <v>1279</v>
      </c>
      <c r="C4070" t="s">
        <v>970</v>
      </c>
      <c r="D4070">
        <v>0.47</v>
      </c>
      <c r="E4070">
        <v>24.75</v>
      </c>
      <c r="F4070">
        <v>1.68</v>
      </c>
      <c r="G4070">
        <v>0</v>
      </c>
    </row>
    <row r="4071" spans="1:7" hidden="1">
      <c r="A4071">
        <v>314</v>
      </c>
      <c r="B4071" t="s">
        <v>1280</v>
      </c>
      <c r="C4071" t="s">
        <v>959</v>
      </c>
      <c r="D4071">
        <v>4.66</v>
      </c>
      <c r="E4071">
        <v>18.309999999999999</v>
      </c>
      <c r="F4071">
        <v>12.18</v>
      </c>
      <c r="G4071">
        <v>0</v>
      </c>
    </row>
    <row r="4072" spans="1:7" hidden="1">
      <c r="A4072">
        <v>314</v>
      </c>
      <c r="B4072" t="s">
        <v>1280</v>
      </c>
      <c r="C4072" t="s">
        <v>960</v>
      </c>
      <c r="D4072">
        <v>3.42</v>
      </c>
      <c r="E4072">
        <v>18.399999999999999</v>
      </c>
      <c r="F4072">
        <v>8.98</v>
      </c>
      <c r="G4072">
        <v>0.01</v>
      </c>
    </row>
    <row r="4073" spans="1:7" hidden="1">
      <c r="A4073">
        <v>314</v>
      </c>
      <c r="B4073" t="s">
        <v>1280</v>
      </c>
      <c r="C4073" t="s">
        <v>961</v>
      </c>
      <c r="D4073">
        <v>2.4900000000000002</v>
      </c>
      <c r="E4073">
        <v>20.059999999999999</v>
      </c>
      <c r="F4073">
        <v>7.15</v>
      </c>
      <c r="G4073">
        <v>0</v>
      </c>
    </row>
    <row r="4074" spans="1:7" hidden="1">
      <c r="A4074">
        <v>314</v>
      </c>
      <c r="B4074" t="s">
        <v>1280</v>
      </c>
      <c r="C4074" t="s">
        <v>962</v>
      </c>
      <c r="D4074">
        <v>1.03</v>
      </c>
      <c r="E4074">
        <v>24.72</v>
      </c>
      <c r="F4074">
        <v>3.62</v>
      </c>
      <c r="G4074">
        <v>0</v>
      </c>
    </row>
    <row r="4075" spans="1:7" hidden="1">
      <c r="A4075">
        <v>314</v>
      </c>
      <c r="B4075" t="s">
        <v>1280</v>
      </c>
      <c r="C4075" t="s">
        <v>963</v>
      </c>
      <c r="D4075">
        <v>2.73</v>
      </c>
      <c r="E4075">
        <v>18.13</v>
      </c>
      <c r="F4075">
        <v>7.07</v>
      </c>
      <c r="G4075">
        <v>0</v>
      </c>
    </row>
    <row r="4076" spans="1:7" hidden="1">
      <c r="A4076">
        <v>314</v>
      </c>
      <c r="B4076" t="s">
        <v>1280</v>
      </c>
      <c r="C4076" t="s">
        <v>964</v>
      </c>
      <c r="D4076">
        <v>0.2</v>
      </c>
      <c r="E4076">
        <v>21.87</v>
      </c>
      <c r="F4076">
        <v>0.64</v>
      </c>
      <c r="G4076">
        <v>0</v>
      </c>
    </row>
    <row r="4077" spans="1:7" hidden="1">
      <c r="A4077">
        <v>314</v>
      </c>
      <c r="B4077" t="s">
        <v>1280</v>
      </c>
      <c r="C4077" t="s">
        <v>965</v>
      </c>
      <c r="D4077">
        <v>2.0499999999999998</v>
      </c>
      <c r="E4077">
        <v>24.75</v>
      </c>
      <c r="F4077">
        <v>7.26</v>
      </c>
      <c r="G4077">
        <v>0</v>
      </c>
    </row>
    <row r="4078" spans="1:7">
      <c r="A4078">
        <v>314</v>
      </c>
      <c r="B4078" t="s">
        <v>1280</v>
      </c>
      <c r="C4078" t="s">
        <v>24</v>
      </c>
      <c r="D4078">
        <v>16.579999999999998</v>
      </c>
      <c r="E4078">
        <v>19.8</v>
      </c>
      <c r="F4078">
        <v>46.9</v>
      </c>
      <c r="G4078">
        <v>0.01</v>
      </c>
    </row>
    <row r="4079" spans="1:7" hidden="1">
      <c r="A4079">
        <v>314</v>
      </c>
      <c r="B4079" t="s">
        <v>1280</v>
      </c>
      <c r="C4079" t="s">
        <v>966</v>
      </c>
      <c r="D4079">
        <v>0</v>
      </c>
      <c r="E4079">
        <v>18.05</v>
      </c>
      <c r="F4079">
        <v>0</v>
      </c>
      <c r="G4079">
        <v>0</v>
      </c>
    </row>
    <row r="4080" spans="1:7" hidden="1">
      <c r="A4080">
        <v>314</v>
      </c>
      <c r="B4080" t="s">
        <v>1280</v>
      </c>
      <c r="C4080" t="s">
        <v>967</v>
      </c>
      <c r="D4080">
        <v>0.25</v>
      </c>
      <c r="E4080">
        <v>17.91</v>
      </c>
      <c r="F4080">
        <v>0.65</v>
      </c>
      <c r="G4080">
        <v>0</v>
      </c>
    </row>
    <row r="4081" spans="1:7" hidden="1">
      <c r="A4081">
        <v>314</v>
      </c>
      <c r="B4081" t="s">
        <v>1280</v>
      </c>
      <c r="C4081" t="s">
        <v>968</v>
      </c>
      <c r="D4081">
        <v>1.1200000000000001</v>
      </c>
      <c r="E4081">
        <v>18.09</v>
      </c>
      <c r="F4081">
        <v>2.88</v>
      </c>
      <c r="G4081">
        <v>0</v>
      </c>
    </row>
    <row r="4082" spans="1:7" hidden="1">
      <c r="A4082">
        <v>314</v>
      </c>
      <c r="B4082" t="s">
        <v>1280</v>
      </c>
      <c r="C4082" t="s">
        <v>969</v>
      </c>
      <c r="D4082">
        <v>0.08</v>
      </c>
      <c r="E4082">
        <v>24.75</v>
      </c>
      <c r="F4082">
        <v>0.28999999999999998</v>
      </c>
      <c r="G4082">
        <v>0</v>
      </c>
    </row>
    <row r="4083" spans="1:7" hidden="1">
      <c r="A4083">
        <v>314</v>
      </c>
      <c r="B4083" t="s">
        <v>1280</v>
      </c>
      <c r="C4083" t="s">
        <v>970</v>
      </c>
      <c r="D4083">
        <v>0.59</v>
      </c>
      <c r="E4083">
        <v>24.75</v>
      </c>
      <c r="F4083">
        <v>2.09</v>
      </c>
      <c r="G4083">
        <v>0</v>
      </c>
    </row>
    <row r="4084" spans="1:7" hidden="1">
      <c r="A4084">
        <v>315</v>
      </c>
      <c r="B4084" t="s">
        <v>1281</v>
      </c>
      <c r="C4084" t="s">
        <v>959</v>
      </c>
      <c r="D4084">
        <v>5.08</v>
      </c>
      <c r="E4084">
        <v>18.309999999999999</v>
      </c>
      <c r="F4084">
        <v>13.29</v>
      </c>
      <c r="G4084">
        <v>0</v>
      </c>
    </row>
    <row r="4085" spans="1:7" hidden="1">
      <c r="A4085">
        <v>315</v>
      </c>
      <c r="B4085" t="s">
        <v>1281</v>
      </c>
      <c r="C4085" t="s">
        <v>960</v>
      </c>
      <c r="D4085">
        <v>3.65</v>
      </c>
      <c r="E4085">
        <v>18.399999999999999</v>
      </c>
      <c r="F4085">
        <v>9.6</v>
      </c>
      <c r="G4085">
        <v>0</v>
      </c>
    </row>
    <row r="4086" spans="1:7" hidden="1">
      <c r="A4086">
        <v>315</v>
      </c>
      <c r="B4086" t="s">
        <v>1281</v>
      </c>
      <c r="C4086" t="s">
        <v>961</v>
      </c>
      <c r="D4086">
        <v>2.85</v>
      </c>
      <c r="E4086">
        <v>20.059999999999999</v>
      </c>
      <c r="F4086">
        <v>8.18</v>
      </c>
      <c r="G4086">
        <v>0</v>
      </c>
    </row>
    <row r="4087" spans="1:7" hidden="1">
      <c r="A4087">
        <v>315</v>
      </c>
      <c r="B4087" t="s">
        <v>1281</v>
      </c>
      <c r="C4087" t="s">
        <v>962</v>
      </c>
      <c r="D4087">
        <v>1.47</v>
      </c>
      <c r="E4087">
        <v>24.72</v>
      </c>
      <c r="F4087">
        <v>5.19</v>
      </c>
      <c r="G4087">
        <v>0</v>
      </c>
    </row>
    <row r="4088" spans="1:7" hidden="1">
      <c r="A4088">
        <v>315</v>
      </c>
      <c r="B4088" t="s">
        <v>1281</v>
      </c>
      <c r="C4088" t="s">
        <v>963</v>
      </c>
      <c r="D4088">
        <v>2.74</v>
      </c>
      <c r="E4088">
        <v>18.13</v>
      </c>
      <c r="F4088">
        <v>7.11</v>
      </c>
      <c r="G4088">
        <v>0</v>
      </c>
    </row>
    <row r="4089" spans="1:7" hidden="1">
      <c r="A4089">
        <v>315</v>
      </c>
      <c r="B4089" t="s">
        <v>1281</v>
      </c>
      <c r="C4089" t="s">
        <v>964</v>
      </c>
      <c r="D4089">
        <v>0.17</v>
      </c>
      <c r="E4089">
        <v>21.87</v>
      </c>
      <c r="F4089">
        <v>0.52</v>
      </c>
      <c r="G4089">
        <v>0</v>
      </c>
    </row>
    <row r="4090" spans="1:7" hidden="1">
      <c r="A4090">
        <v>315</v>
      </c>
      <c r="B4090" t="s">
        <v>1281</v>
      </c>
      <c r="C4090" t="s">
        <v>965</v>
      </c>
      <c r="D4090">
        <v>2.15</v>
      </c>
      <c r="E4090">
        <v>24.75</v>
      </c>
      <c r="F4090">
        <v>7.59</v>
      </c>
      <c r="G4090">
        <v>0</v>
      </c>
    </row>
    <row r="4091" spans="1:7">
      <c r="A4091">
        <v>315</v>
      </c>
      <c r="B4091" t="s">
        <v>1281</v>
      </c>
      <c r="C4091" t="s">
        <v>24</v>
      </c>
      <c r="D4091">
        <v>18.11</v>
      </c>
      <c r="E4091">
        <v>19.89</v>
      </c>
      <c r="F4091">
        <v>51.48</v>
      </c>
      <c r="G4091">
        <v>0</v>
      </c>
    </row>
    <row r="4092" spans="1:7" hidden="1">
      <c r="A4092">
        <v>315</v>
      </c>
      <c r="B4092" t="s">
        <v>1281</v>
      </c>
      <c r="C4092" t="s">
        <v>966</v>
      </c>
      <c r="D4092">
        <v>0</v>
      </c>
      <c r="E4092">
        <v>18.05</v>
      </c>
      <c r="F4092">
        <v>0</v>
      </c>
      <c r="G4092">
        <v>0</v>
      </c>
    </row>
    <row r="4093" spans="1:7" hidden="1">
      <c r="A4093">
        <v>315</v>
      </c>
      <c r="B4093" t="s">
        <v>1281</v>
      </c>
      <c r="C4093" t="s">
        <v>967</v>
      </c>
      <c r="D4093">
        <v>0.25</v>
      </c>
      <c r="E4093">
        <v>17.91</v>
      </c>
      <c r="F4093">
        <v>0.65</v>
      </c>
      <c r="G4093">
        <v>0</v>
      </c>
    </row>
    <row r="4094" spans="1:7" hidden="1">
      <c r="A4094">
        <v>315</v>
      </c>
      <c r="B4094" t="s">
        <v>1281</v>
      </c>
      <c r="C4094" t="s">
        <v>968</v>
      </c>
      <c r="D4094">
        <v>1.1499999999999999</v>
      </c>
      <c r="E4094">
        <v>18.09</v>
      </c>
      <c r="F4094">
        <v>2.98</v>
      </c>
      <c r="G4094">
        <v>0</v>
      </c>
    </row>
    <row r="4095" spans="1:7" hidden="1">
      <c r="A4095">
        <v>315</v>
      </c>
      <c r="B4095" t="s">
        <v>1281</v>
      </c>
      <c r="C4095" t="s">
        <v>969</v>
      </c>
      <c r="D4095">
        <v>0.04</v>
      </c>
      <c r="E4095">
        <v>24.75</v>
      </c>
      <c r="F4095">
        <v>0.16</v>
      </c>
      <c r="G4095">
        <v>0</v>
      </c>
    </row>
    <row r="4096" spans="1:7" hidden="1">
      <c r="A4096">
        <v>315</v>
      </c>
      <c r="B4096" t="s">
        <v>1281</v>
      </c>
      <c r="C4096" t="s">
        <v>970</v>
      </c>
      <c r="D4096">
        <v>0.45</v>
      </c>
      <c r="E4096">
        <v>24.75</v>
      </c>
      <c r="F4096">
        <v>1.61</v>
      </c>
      <c r="G4096">
        <v>0</v>
      </c>
    </row>
    <row r="4097" spans="1:7" hidden="1">
      <c r="A4097">
        <v>316</v>
      </c>
      <c r="B4097" t="s">
        <v>1282</v>
      </c>
      <c r="C4097" t="s">
        <v>959</v>
      </c>
      <c r="D4097">
        <v>4.1100000000000003</v>
      </c>
      <c r="E4097">
        <v>18.309999999999999</v>
      </c>
      <c r="F4097">
        <v>10.75</v>
      </c>
      <c r="G4097">
        <v>0.05</v>
      </c>
    </row>
    <row r="4098" spans="1:7" hidden="1">
      <c r="A4098">
        <v>316</v>
      </c>
      <c r="B4098" t="s">
        <v>1282</v>
      </c>
      <c r="C4098" t="s">
        <v>960</v>
      </c>
      <c r="D4098">
        <v>2.9</v>
      </c>
      <c r="E4098">
        <v>18.399999999999999</v>
      </c>
      <c r="F4098">
        <v>7.61</v>
      </c>
      <c r="G4098">
        <v>0.08</v>
      </c>
    </row>
    <row r="4099" spans="1:7" hidden="1">
      <c r="A4099">
        <v>316</v>
      </c>
      <c r="B4099" t="s">
        <v>1282</v>
      </c>
      <c r="C4099" t="s">
        <v>961</v>
      </c>
      <c r="D4099">
        <v>2.37</v>
      </c>
      <c r="E4099">
        <v>20.059999999999999</v>
      </c>
      <c r="F4099">
        <v>6.78</v>
      </c>
      <c r="G4099">
        <v>0.02</v>
      </c>
    </row>
    <row r="4100" spans="1:7" hidden="1">
      <c r="A4100">
        <v>316</v>
      </c>
      <c r="B4100" t="s">
        <v>1282</v>
      </c>
      <c r="C4100" t="s">
        <v>962</v>
      </c>
      <c r="D4100">
        <v>1.1499999999999999</v>
      </c>
      <c r="E4100">
        <v>24.72</v>
      </c>
      <c r="F4100">
        <v>4.05</v>
      </c>
      <c r="G4100">
        <v>0.01</v>
      </c>
    </row>
    <row r="4101" spans="1:7" hidden="1">
      <c r="A4101">
        <v>316</v>
      </c>
      <c r="B4101" t="s">
        <v>1282</v>
      </c>
      <c r="C4101" t="s">
        <v>963</v>
      </c>
      <c r="D4101">
        <v>2.72</v>
      </c>
      <c r="E4101">
        <v>18.13</v>
      </c>
      <c r="F4101">
        <v>7.04</v>
      </c>
      <c r="G4101">
        <v>0.03</v>
      </c>
    </row>
    <row r="4102" spans="1:7" hidden="1">
      <c r="A4102">
        <v>316</v>
      </c>
      <c r="B4102" t="s">
        <v>1282</v>
      </c>
      <c r="C4102" t="s">
        <v>964</v>
      </c>
      <c r="D4102">
        <v>0.16</v>
      </c>
      <c r="E4102">
        <v>21.87</v>
      </c>
      <c r="F4102">
        <v>0.5</v>
      </c>
      <c r="G4102">
        <v>0</v>
      </c>
    </row>
    <row r="4103" spans="1:7" hidden="1">
      <c r="A4103">
        <v>316</v>
      </c>
      <c r="B4103" t="s">
        <v>1282</v>
      </c>
      <c r="C4103" t="s">
        <v>965</v>
      </c>
      <c r="D4103">
        <v>2.13</v>
      </c>
      <c r="E4103">
        <v>24.75</v>
      </c>
      <c r="F4103">
        <v>7.54</v>
      </c>
      <c r="G4103">
        <v>0.02</v>
      </c>
    </row>
    <row r="4104" spans="1:7">
      <c r="A4104">
        <v>316</v>
      </c>
      <c r="B4104" t="s">
        <v>1282</v>
      </c>
      <c r="C4104" t="s">
        <v>24</v>
      </c>
      <c r="D4104">
        <v>15.53</v>
      </c>
      <c r="E4104">
        <v>19.96</v>
      </c>
      <c r="F4104">
        <v>44.27</v>
      </c>
      <c r="G4104">
        <v>0.21</v>
      </c>
    </row>
    <row r="4105" spans="1:7" hidden="1">
      <c r="A4105">
        <v>316</v>
      </c>
      <c r="B4105" t="s">
        <v>1282</v>
      </c>
      <c r="C4105" t="s">
        <v>966</v>
      </c>
      <c r="D4105">
        <v>0.19</v>
      </c>
      <c r="E4105">
        <v>18.05</v>
      </c>
      <c r="F4105">
        <v>0.49</v>
      </c>
      <c r="G4105">
        <v>0.17</v>
      </c>
    </row>
    <row r="4106" spans="1:7" hidden="1">
      <c r="A4106">
        <v>316</v>
      </c>
      <c r="B4106" t="s">
        <v>1282</v>
      </c>
      <c r="C4106" t="s">
        <v>967</v>
      </c>
      <c r="D4106">
        <v>0</v>
      </c>
      <c r="E4106">
        <v>17.91</v>
      </c>
      <c r="F4106">
        <v>0.01</v>
      </c>
      <c r="G4106">
        <v>0</v>
      </c>
    </row>
    <row r="4107" spans="1:7" hidden="1">
      <c r="A4107">
        <v>316</v>
      </c>
      <c r="B4107" t="s">
        <v>1282</v>
      </c>
      <c r="C4107" t="s">
        <v>968</v>
      </c>
      <c r="D4107">
        <v>1.03</v>
      </c>
      <c r="E4107">
        <v>18.09</v>
      </c>
      <c r="F4107">
        <v>2.66</v>
      </c>
      <c r="G4107">
        <v>0</v>
      </c>
    </row>
    <row r="4108" spans="1:7" hidden="1">
      <c r="A4108">
        <v>316</v>
      </c>
      <c r="B4108" t="s">
        <v>1282</v>
      </c>
      <c r="C4108" t="s">
        <v>969</v>
      </c>
      <c r="D4108">
        <v>0.05</v>
      </c>
      <c r="E4108">
        <v>24.75</v>
      </c>
      <c r="F4108">
        <v>0.16</v>
      </c>
      <c r="G4108">
        <v>0</v>
      </c>
    </row>
    <row r="4109" spans="1:7" hidden="1">
      <c r="A4109">
        <v>316</v>
      </c>
      <c r="B4109" t="s">
        <v>1282</v>
      </c>
      <c r="C4109" t="s">
        <v>970</v>
      </c>
      <c r="D4109">
        <v>0.5</v>
      </c>
      <c r="E4109">
        <v>24.75</v>
      </c>
      <c r="F4109">
        <v>1.78</v>
      </c>
      <c r="G4109">
        <v>0</v>
      </c>
    </row>
    <row r="4110" spans="1:7" hidden="1">
      <c r="A4110">
        <v>317</v>
      </c>
      <c r="B4110" t="s">
        <v>1283</v>
      </c>
      <c r="C4110" t="s">
        <v>959</v>
      </c>
      <c r="D4110">
        <v>3.36</v>
      </c>
      <c r="E4110">
        <v>18.309999999999999</v>
      </c>
      <c r="F4110">
        <v>8.7899999999999991</v>
      </c>
      <c r="G4110">
        <v>0.08</v>
      </c>
    </row>
    <row r="4111" spans="1:7" hidden="1">
      <c r="A4111">
        <v>317</v>
      </c>
      <c r="B4111" t="s">
        <v>1283</v>
      </c>
      <c r="C4111" t="s">
        <v>960</v>
      </c>
      <c r="D4111">
        <v>2.66</v>
      </c>
      <c r="E4111">
        <v>18.399999999999999</v>
      </c>
      <c r="F4111">
        <v>6.99</v>
      </c>
      <c r="G4111">
        <v>0.13</v>
      </c>
    </row>
    <row r="4112" spans="1:7" hidden="1">
      <c r="A4112">
        <v>317</v>
      </c>
      <c r="B4112" t="s">
        <v>1283</v>
      </c>
      <c r="C4112" t="s">
        <v>961</v>
      </c>
      <c r="D4112">
        <v>1.79</v>
      </c>
      <c r="E4112">
        <v>20.059999999999999</v>
      </c>
      <c r="F4112">
        <v>5.13</v>
      </c>
      <c r="G4112">
        <v>0.02</v>
      </c>
    </row>
    <row r="4113" spans="1:7" hidden="1">
      <c r="A4113">
        <v>317</v>
      </c>
      <c r="B4113" t="s">
        <v>1283</v>
      </c>
      <c r="C4113" t="s">
        <v>962</v>
      </c>
      <c r="D4113">
        <v>0.93</v>
      </c>
      <c r="E4113">
        <v>24.72</v>
      </c>
      <c r="F4113">
        <v>3.27</v>
      </c>
      <c r="G4113">
        <v>0.01</v>
      </c>
    </row>
    <row r="4114" spans="1:7" hidden="1">
      <c r="A4114">
        <v>317</v>
      </c>
      <c r="B4114" t="s">
        <v>1283</v>
      </c>
      <c r="C4114" t="s">
        <v>963</v>
      </c>
      <c r="D4114">
        <v>2.7</v>
      </c>
      <c r="E4114">
        <v>18.13</v>
      </c>
      <c r="F4114">
        <v>7</v>
      </c>
      <c r="G4114">
        <v>0.06</v>
      </c>
    </row>
    <row r="4115" spans="1:7" hidden="1">
      <c r="A4115">
        <v>317</v>
      </c>
      <c r="B4115" t="s">
        <v>1283</v>
      </c>
      <c r="C4115" t="s">
        <v>964</v>
      </c>
      <c r="D4115">
        <v>0.12</v>
      </c>
      <c r="E4115">
        <v>21.87</v>
      </c>
      <c r="F4115">
        <v>0.36</v>
      </c>
      <c r="G4115">
        <v>0</v>
      </c>
    </row>
    <row r="4116" spans="1:7" hidden="1">
      <c r="A4116">
        <v>317</v>
      </c>
      <c r="B4116" t="s">
        <v>1283</v>
      </c>
      <c r="C4116" t="s">
        <v>965</v>
      </c>
      <c r="D4116">
        <v>2.13</v>
      </c>
      <c r="E4116">
        <v>24.75</v>
      </c>
      <c r="F4116">
        <v>7.52</v>
      </c>
      <c r="G4116">
        <v>0.05</v>
      </c>
    </row>
    <row r="4117" spans="1:7">
      <c r="A4117">
        <v>317</v>
      </c>
      <c r="B4117" t="s">
        <v>1283</v>
      </c>
      <c r="C4117" t="s">
        <v>24</v>
      </c>
      <c r="D4117">
        <v>13.68</v>
      </c>
      <c r="E4117">
        <v>19.989999999999998</v>
      </c>
      <c r="F4117">
        <v>39.07</v>
      </c>
      <c r="G4117">
        <v>0.36</v>
      </c>
    </row>
    <row r="4118" spans="1:7" hidden="1">
      <c r="A4118">
        <v>317</v>
      </c>
      <c r="B4118" t="s">
        <v>1283</v>
      </c>
      <c r="C4118" t="s">
        <v>966</v>
      </c>
      <c r="D4118">
        <v>0.32</v>
      </c>
      <c r="E4118">
        <v>18.05</v>
      </c>
      <c r="F4118">
        <v>0.81</v>
      </c>
      <c r="G4118">
        <v>0.28999999999999998</v>
      </c>
    </row>
    <row r="4119" spans="1:7" hidden="1">
      <c r="A4119">
        <v>317</v>
      </c>
      <c r="B4119" t="s">
        <v>1283</v>
      </c>
      <c r="C4119" t="s">
        <v>967</v>
      </c>
      <c r="D4119">
        <v>0</v>
      </c>
      <c r="E4119">
        <v>17.91</v>
      </c>
      <c r="F4119">
        <v>0.01</v>
      </c>
      <c r="G4119">
        <v>0</v>
      </c>
    </row>
    <row r="4120" spans="1:7" hidden="1">
      <c r="A4120">
        <v>317</v>
      </c>
      <c r="B4120" t="s">
        <v>1283</v>
      </c>
      <c r="C4120" t="s">
        <v>968</v>
      </c>
      <c r="D4120">
        <v>0.71</v>
      </c>
      <c r="E4120">
        <v>18.09</v>
      </c>
      <c r="F4120">
        <v>1.84</v>
      </c>
      <c r="G4120">
        <v>0.01</v>
      </c>
    </row>
    <row r="4121" spans="1:7" hidden="1">
      <c r="A4121">
        <v>317</v>
      </c>
      <c r="B4121" t="s">
        <v>1283</v>
      </c>
      <c r="C4121" t="s">
        <v>969</v>
      </c>
      <c r="D4121">
        <v>0.08</v>
      </c>
      <c r="E4121">
        <v>24.75</v>
      </c>
      <c r="F4121">
        <v>0.27</v>
      </c>
      <c r="G4121">
        <v>0</v>
      </c>
    </row>
    <row r="4122" spans="1:7" hidden="1">
      <c r="A4122">
        <v>317</v>
      </c>
      <c r="B4122" t="s">
        <v>1283</v>
      </c>
      <c r="C4122" t="s">
        <v>970</v>
      </c>
      <c r="D4122">
        <v>0.43</v>
      </c>
      <c r="E4122">
        <v>24.75</v>
      </c>
      <c r="F4122">
        <v>1.53</v>
      </c>
      <c r="G4122">
        <v>0</v>
      </c>
    </row>
    <row r="4123" spans="1:7" hidden="1">
      <c r="A4123">
        <v>318</v>
      </c>
      <c r="B4123" t="s">
        <v>1284</v>
      </c>
      <c r="C4123" t="s">
        <v>959</v>
      </c>
      <c r="D4123">
        <v>4.3600000000000003</v>
      </c>
      <c r="E4123">
        <v>18.309999999999999</v>
      </c>
      <c r="F4123">
        <v>11.41</v>
      </c>
      <c r="G4123">
        <v>0.04</v>
      </c>
    </row>
    <row r="4124" spans="1:7" hidden="1">
      <c r="A4124">
        <v>318</v>
      </c>
      <c r="B4124" t="s">
        <v>1284</v>
      </c>
      <c r="C4124" t="s">
        <v>960</v>
      </c>
      <c r="D4124">
        <v>2.84</v>
      </c>
      <c r="E4124">
        <v>18.399999999999999</v>
      </c>
      <c r="F4124">
        <v>7.46</v>
      </c>
      <c r="G4124">
        <v>0.06</v>
      </c>
    </row>
    <row r="4125" spans="1:7" hidden="1">
      <c r="A4125">
        <v>318</v>
      </c>
      <c r="B4125" t="s">
        <v>1284</v>
      </c>
      <c r="C4125" t="s">
        <v>961</v>
      </c>
      <c r="D4125">
        <v>2.65</v>
      </c>
      <c r="E4125">
        <v>20.059999999999999</v>
      </c>
      <c r="F4125">
        <v>7.6</v>
      </c>
      <c r="G4125">
        <v>0.05</v>
      </c>
    </row>
    <row r="4126" spans="1:7" hidden="1">
      <c r="A4126">
        <v>318</v>
      </c>
      <c r="B4126" t="s">
        <v>1284</v>
      </c>
      <c r="C4126" t="s">
        <v>962</v>
      </c>
      <c r="D4126">
        <v>1.05</v>
      </c>
      <c r="E4126">
        <v>24.72</v>
      </c>
      <c r="F4126">
        <v>3.72</v>
      </c>
      <c r="G4126">
        <v>0</v>
      </c>
    </row>
    <row r="4127" spans="1:7" hidden="1">
      <c r="A4127">
        <v>318</v>
      </c>
      <c r="B4127" t="s">
        <v>1284</v>
      </c>
      <c r="C4127" t="s">
        <v>963</v>
      </c>
      <c r="D4127">
        <v>2.68</v>
      </c>
      <c r="E4127">
        <v>18.13</v>
      </c>
      <c r="F4127">
        <v>6.93</v>
      </c>
      <c r="G4127">
        <v>0.01</v>
      </c>
    </row>
    <row r="4128" spans="1:7" hidden="1">
      <c r="A4128">
        <v>318</v>
      </c>
      <c r="B4128" t="s">
        <v>1284</v>
      </c>
      <c r="C4128" t="s">
        <v>964</v>
      </c>
      <c r="D4128">
        <v>0.21</v>
      </c>
      <c r="E4128">
        <v>21.87</v>
      </c>
      <c r="F4128">
        <v>0.65</v>
      </c>
      <c r="G4128">
        <v>0</v>
      </c>
    </row>
    <row r="4129" spans="1:7" hidden="1">
      <c r="A4129">
        <v>318</v>
      </c>
      <c r="B4129" t="s">
        <v>1284</v>
      </c>
      <c r="C4129" t="s">
        <v>965</v>
      </c>
      <c r="D4129">
        <v>2.11</v>
      </c>
      <c r="E4129">
        <v>24.75</v>
      </c>
      <c r="F4129">
        <v>7.46</v>
      </c>
      <c r="G4129">
        <v>0.01</v>
      </c>
    </row>
    <row r="4130" spans="1:7">
      <c r="A4130">
        <v>318</v>
      </c>
      <c r="B4130" t="s">
        <v>1284</v>
      </c>
      <c r="C4130" t="s">
        <v>24</v>
      </c>
      <c r="D4130">
        <v>15.9</v>
      </c>
      <c r="E4130">
        <v>19.91</v>
      </c>
      <c r="F4130">
        <v>45.23</v>
      </c>
      <c r="G4130">
        <v>0.17</v>
      </c>
    </row>
    <row r="4131" spans="1:7" hidden="1">
      <c r="A4131">
        <v>318</v>
      </c>
      <c r="B4131" t="s">
        <v>1284</v>
      </c>
      <c r="C4131" t="s">
        <v>966</v>
      </c>
      <c r="D4131">
        <v>0.09</v>
      </c>
      <c r="E4131">
        <v>18.05</v>
      </c>
      <c r="F4131">
        <v>0.23</v>
      </c>
      <c r="G4131">
        <v>0.08</v>
      </c>
    </row>
    <row r="4132" spans="1:7" hidden="1">
      <c r="A4132">
        <v>318</v>
      </c>
      <c r="B4132" t="s">
        <v>1284</v>
      </c>
      <c r="C4132" t="s">
        <v>967</v>
      </c>
      <c r="D4132">
        <v>0.01</v>
      </c>
      <c r="E4132">
        <v>17.91</v>
      </c>
      <c r="F4132">
        <v>0.02</v>
      </c>
      <c r="G4132">
        <v>0</v>
      </c>
    </row>
    <row r="4133" spans="1:7" hidden="1">
      <c r="A4133">
        <v>318</v>
      </c>
      <c r="B4133" t="s">
        <v>1284</v>
      </c>
      <c r="C4133" t="s">
        <v>968</v>
      </c>
      <c r="D4133">
        <v>1.23</v>
      </c>
      <c r="E4133">
        <v>18.09</v>
      </c>
      <c r="F4133">
        <v>3.17</v>
      </c>
      <c r="G4133">
        <v>0</v>
      </c>
    </row>
    <row r="4134" spans="1:7" hidden="1">
      <c r="A4134">
        <v>318</v>
      </c>
      <c r="B4134" t="s">
        <v>1284</v>
      </c>
      <c r="C4134" t="s">
        <v>969</v>
      </c>
      <c r="D4134">
        <v>0.04</v>
      </c>
      <c r="E4134">
        <v>24.75</v>
      </c>
      <c r="F4134">
        <v>0.13</v>
      </c>
      <c r="G4134">
        <v>0</v>
      </c>
    </row>
    <row r="4135" spans="1:7" hidden="1">
      <c r="A4135">
        <v>318</v>
      </c>
      <c r="B4135" t="s">
        <v>1284</v>
      </c>
      <c r="C4135" t="s">
        <v>970</v>
      </c>
      <c r="D4135">
        <v>0.6</v>
      </c>
      <c r="E4135">
        <v>24.75</v>
      </c>
      <c r="F4135">
        <v>2.12</v>
      </c>
      <c r="G4135">
        <v>0</v>
      </c>
    </row>
    <row r="4136" spans="1:7" hidden="1">
      <c r="A4136">
        <v>319</v>
      </c>
      <c r="B4136" t="s">
        <v>1285</v>
      </c>
      <c r="C4136" t="s">
        <v>959</v>
      </c>
      <c r="D4136">
        <v>4.9400000000000004</v>
      </c>
      <c r="E4136">
        <v>18.309999999999999</v>
      </c>
      <c r="F4136">
        <v>12.92</v>
      </c>
      <c r="G4136">
        <v>0.01</v>
      </c>
    </row>
    <row r="4137" spans="1:7" hidden="1">
      <c r="A4137">
        <v>319</v>
      </c>
      <c r="B4137" t="s">
        <v>1285</v>
      </c>
      <c r="C4137" t="s">
        <v>960</v>
      </c>
      <c r="D4137">
        <v>3.25</v>
      </c>
      <c r="E4137">
        <v>18.399999999999999</v>
      </c>
      <c r="F4137">
        <v>8.5399999999999991</v>
      </c>
      <c r="G4137">
        <v>0.02</v>
      </c>
    </row>
    <row r="4138" spans="1:7" hidden="1">
      <c r="A4138">
        <v>319</v>
      </c>
      <c r="B4138" t="s">
        <v>1285</v>
      </c>
      <c r="C4138" t="s">
        <v>961</v>
      </c>
      <c r="D4138">
        <v>2.94</v>
      </c>
      <c r="E4138">
        <v>20.059999999999999</v>
      </c>
      <c r="F4138">
        <v>8.42</v>
      </c>
      <c r="G4138">
        <v>0</v>
      </c>
    </row>
    <row r="4139" spans="1:7" hidden="1">
      <c r="A4139">
        <v>319</v>
      </c>
      <c r="B4139" t="s">
        <v>1285</v>
      </c>
      <c r="C4139" t="s">
        <v>962</v>
      </c>
      <c r="D4139">
        <v>1.5</v>
      </c>
      <c r="E4139">
        <v>24.72</v>
      </c>
      <c r="F4139">
        <v>5.31</v>
      </c>
      <c r="G4139">
        <v>0</v>
      </c>
    </row>
    <row r="4140" spans="1:7" hidden="1">
      <c r="A4140">
        <v>319</v>
      </c>
      <c r="B4140" t="s">
        <v>1285</v>
      </c>
      <c r="C4140" t="s">
        <v>963</v>
      </c>
      <c r="D4140">
        <v>2.77</v>
      </c>
      <c r="E4140">
        <v>18.13</v>
      </c>
      <c r="F4140">
        <v>7.18</v>
      </c>
      <c r="G4140">
        <v>0.01</v>
      </c>
    </row>
    <row r="4141" spans="1:7" hidden="1">
      <c r="A4141">
        <v>319</v>
      </c>
      <c r="B4141" t="s">
        <v>1285</v>
      </c>
      <c r="C4141" t="s">
        <v>964</v>
      </c>
      <c r="D4141">
        <v>0.18</v>
      </c>
      <c r="E4141">
        <v>21.87</v>
      </c>
      <c r="F4141">
        <v>0.56999999999999995</v>
      </c>
      <c r="G4141">
        <v>0</v>
      </c>
    </row>
    <row r="4142" spans="1:7" hidden="1">
      <c r="A4142">
        <v>319</v>
      </c>
      <c r="B4142" t="s">
        <v>1285</v>
      </c>
      <c r="C4142" t="s">
        <v>965</v>
      </c>
      <c r="D4142">
        <v>2.16</v>
      </c>
      <c r="E4142">
        <v>24.75</v>
      </c>
      <c r="F4142">
        <v>7.64</v>
      </c>
      <c r="G4142">
        <v>0</v>
      </c>
    </row>
    <row r="4143" spans="1:7">
      <c r="A4143">
        <v>319</v>
      </c>
      <c r="B4143" t="s">
        <v>1285</v>
      </c>
      <c r="C4143" t="s">
        <v>24</v>
      </c>
      <c r="D4143">
        <v>17.739999999999998</v>
      </c>
      <c r="E4143">
        <v>19.95</v>
      </c>
      <c r="F4143">
        <v>50.58</v>
      </c>
      <c r="G4143">
        <v>0.04</v>
      </c>
    </row>
    <row r="4144" spans="1:7" hidden="1">
      <c r="A4144">
        <v>319</v>
      </c>
      <c r="B4144" t="s">
        <v>1285</v>
      </c>
      <c r="C4144" t="s">
        <v>966</v>
      </c>
      <c r="D4144">
        <v>0.09</v>
      </c>
      <c r="E4144">
        <v>18.05</v>
      </c>
      <c r="F4144">
        <v>0.23</v>
      </c>
      <c r="G4144">
        <v>0.08</v>
      </c>
    </row>
    <row r="4145" spans="1:7" hidden="1">
      <c r="A4145">
        <v>319</v>
      </c>
      <c r="B4145" t="s">
        <v>1285</v>
      </c>
      <c r="C4145" t="s">
        <v>967</v>
      </c>
      <c r="D4145">
        <v>0</v>
      </c>
      <c r="E4145">
        <v>17.91</v>
      </c>
      <c r="F4145">
        <v>0</v>
      </c>
      <c r="G4145">
        <v>0</v>
      </c>
    </row>
    <row r="4146" spans="1:7" hidden="1">
      <c r="A4146">
        <v>319</v>
      </c>
      <c r="B4146" t="s">
        <v>1285</v>
      </c>
      <c r="C4146" t="s">
        <v>968</v>
      </c>
      <c r="D4146">
        <v>1.32</v>
      </c>
      <c r="E4146">
        <v>18.09</v>
      </c>
      <c r="F4146">
        <v>3.41</v>
      </c>
      <c r="G4146">
        <v>0</v>
      </c>
    </row>
    <row r="4147" spans="1:7" hidden="1">
      <c r="A4147">
        <v>319</v>
      </c>
      <c r="B4147" t="s">
        <v>1285</v>
      </c>
      <c r="C4147" t="s">
        <v>969</v>
      </c>
      <c r="D4147">
        <v>0.01</v>
      </c>
      <c r="E4147">
        <v>24.75</v>
      </c>
      <c r="F4147">
        <v>0.03</v>
      </c>
      <c r="G4147">
        <v>0</v>
      </c>
    </row>
    <row r="4148" spans="1:7" hidden="1">
      <c r="A4148">
        <v>319</v>
      </c>
      <c r="B4148" t="s">
        <v>1285</v>
      </c>
      <c r="C4148" t="s">
        <v>970</v>
      </c>
      <c r="D4148">
        <v>0.53</v>
      </c>
      <c r="E4148">
        <v>24.75</v>
      </c>
      <c r="F4148">
        <v>1.88</v>
      </c>
      <c r="G4148">
        <v>0</v>
      </c>
    </row>
    <row r="4149" spans="1:7" hidden="1">
      <c r="A4149">
        <v>320</v>
      </c>
      <c r="B4149" t="s">
        <v>1286</v>
      </c>
      <c r="C4149" t="s">
        <v>959</v>
      </c>
      <c r="D4149">
        <v>4.99</v>
      </c>
      <c r="E4149">
        <v>18.309999999999999</v>
      </c>
      <c r="F4149">
        <v>13.05</v>
      </c>
      <c r="G4149">
        <v>3.14</v>
      </c>
    </row>
    <row r="4150" spans="1:7" hidden="1">
      <c r="A4150">
        <v>320</v>
      </c>
      <c r="B4150" t="s">
        <v>1286</v>
      </c>
      <c r="C4150" t="s">
        <v>960</v>
      </c>
      <c r="D4150">
        <v>4.0999999999999996</v>
      </c>
      <c r="E4150">
        <v>18.399999999999999</v>
      </c>
      <c r="F4150">
        <v>10.77</v>
      </c>
      <c r="G4150">
        <v>3.11</v>
      </c>
    </row>
    <row r="4151" spans="1:7" hidden="1">
      <c r="A4151">
        <v>320</v>
      </c>
      <c r="B4151" t="s">
        <v>1286</v>
      </c>
      <c r="C4151" t="s">
        <v>961</v>
      </c>
      <c r="D4151">
        <v>0.87</v>
      </c>
      <c r="E4151">
        <v>20.059999999999999</v>
      </c>
      <c r="F4151">
        <v>2.4900000000000002</v>
      </c>
      <c r="G4151">
        <v>0.35</v>
      </c>
    </row>
    <row r="4152" spans="1:7" hidden="1">
      <c r="A4152">
        <v>320</v>
      </c>
      <c r="B4152" t="s">
        <v>1286</v>
      </c>
      <c r="C4152" t="s">
        <v>962</v>
      </c>
      <c r="D4152">
        <v>0.56000000000000005</v>
      </c>
      <c r="E4152">
        <v>24.72</v>
      </c>
      <c r="F4152">
        <v>1.99</v>
      </c>
      <c r="G4152">
        <v>0.32</v>
      </c>
    </row>
    <row r="4153" spans="1:7" hidden="1">
      <c r="A4153">
        <v>320</v>
      </c>
      <c r="B4153" t="s">
        <v>1286</v>
      </c>
      <c r="C4153" t="s">
        <v>963</v>
      </c>
      <c r="D4153">
        <v>2.2200000000000002</v>
      </c>
      <c r="E4153">
        <v>18.13</v>
      </c>
      <c r="F4153">
        <v>5.75</v>
      </c>
      <c r="G4153">
        <v>0.98</v>
      </c>
    </row>
    <row r="4154" spans="1:7" hidden="1">
      <c r="A4154">
        <v>320</v>
      </c>
      <c r="B4154" t="s">
        <v>1286</v>
      </c>
      <c r="C4154" t="s">
        <v>964</v>
      </c>
      <c r="D4154">
        <v>0.04</v>
      </c>
      <c r="E4154">
        <v>21.87</v>
      </c>
      <c r="F4154">
        <v>0.13</v>
      </c>
      <c r="G4154">
        <v>0.04</v>
      </c>
    </row>
    <row r="4155" spans="1:7" hidden="1">
      <c r="A4155">
        <v>320</v>
      </c>
      <c r="B4155" t="s">
        <v>1286</v>
      </c>
      <c r="C4155" t="s">
        <v>965</v>
      </c>
      <c r="D4155">
        <v>1.55</v>
      </c>
      <c r="E4155">
        <v>24.75</v>
      </c>
      <c r="F4155">
        <v>5.47</v>
      </c>
      <c r="G4155">
        <v>0.74</v>
      </c>
    </row>
    <row r="4156" spans="1:7">
      <c r="A4156">
        <v>320</v>
      </c>
      <c r="B4156" t="s">
        <v>1286</v>
      </c>
      <c r="C4156" t="s">
        <v>24</v>
      </c>
      <c r="D4156">
        <v>14.33</v>
      </c>
      <c r="E4156">
        <v>19.37</v>
      </c>
      <c r="F4156">
        <v>39.64</v>
      </c>
      <c r="G4156">
        <v>8.67</v>
      </c>
    </row>
    <row r="4157" spans="1:7" hidden="1">
      <c r="A4157">
        <v>320</v>
      </c>
      <c r="B4157" t="s">
        <v>1286</v>
      </c>
      <c r="C4157" t="s">
        <v>966</v>
      </c>
      <c r="D4157">
        <v>16.87</v>
      </c>
      <c r="E4157">
        <v>18.05</v>
      </c>
      <c r="F4157">
        <v>43.5</v>
      </c>
      <c r="G4157">
        <v>14.59</v>
      </c>
    </row>
    <row r="4158" spans="1:7" hidden="1">
      <c r="A4158">
        <v>320</v>
      </c>
      <c r="B4158" t="s">
        <v>1286</v>
      </c>
      <c r="C4158" t="s">
        <v>967</v>
      </c>
      <c r="D4158">
        <v>0.03</v>
      </c>
      <c r="E4158">
        <v>17.91</v>
      </c>
      <c r="F4158">
        <v>0.08</v>
      </c>
      <c r="G4158">
        <v>0.02</v>
      </c>
    </row>
    <row r="4159" spans="1:7" hidden="1">
      <c r="A4159">
        <v>320</v>
      </c>
      <c r="B4159" t="s">
        <v>1286</v>
      </c>
      <c r="C4159" t="s">
        <v>968</v>
      </c>
      <c r="D4159">
        <v>1.2</v>
      </c>
      <c r="E4159">
        <v>18.09</v>
      </c>
      <c r="F4159">
        <v>3.1</v>
      </c>
      <c r="G4159">
        <v>0.69</v>
      </c>
    </row>
    <row r="4160" spans="1:7" hidden="1">
      <c r="A4160">
        <v>320</v>
      </c>
      <c r="B4160" t="s">
        <v>1286</v>
      </c>
      <c r="C4160" t="s">
        <v>969</v>
      </c>
      <c r="D4160">
        <v>1.71</v>
      </c>
      <c r="E4160">
        <v>24.75</v>
      </c>
      <c r="F4160">
        <v>6.03</v>
      </c>
      <c r="G4160">
        <v>0.08</v>
      </c>
    </row>
    <row r="4161" spans="1:7" hidden="1">
      <c r="A4161">
        <v>320</v>
      </c>
      <c r="B4161" t="s">
        <v>1286</v>
      </c>
      <c r="C4161" t="s">
        <v>970</v>
      </c>
      <c r="D4161">
        <v>0.53</v>
      </c>
      <c r="E4161">
        <v>24.75</v>
      </c>
      <c r="F4161">
        <v>1.87</v>
      </c>
      <c r="G4161">
        <v>0.17</v>
      </c>
    </row>
    <row r="4162" spans="1:7" hidden="1">
      <c r="A4162">
        <v>321</v>
      </c>
      <c r="B4162" t="s">
        <v>1287</v>
      </c>
      <c r="C4162" t="s">
        <v>959</v>
      </c>
      <c r="D4162">
        <v>5.17</v>
      </c>
      <c r="E4162">
        <v>18.309999999999999</v>
      </c>
      <c r="F4162">
        <v>13.53</v>
      </c>
      <c r="G4162">
        <v>2.73</v>
      </c>
    </row>
    <row r="4163" spans="1:7" hidden="1">
      <c r="A4163">
        <v>321</v>
      </c>
      <c r="B4163" t="s">
        <v>1287</v>
      </c>
      <c r="C4163" t="s">
        <v>960</v>
      </c>
      <c r="D4163">
        <v>4.3499999999999996</v>
      </c>
      <c r="E4163">
        <v>18.399999999999999</v>
      </c>
      <c r="F4163">
        <v>11.42</v>
      </c>
      <c r="G4163">
        <v>2.95</v>
      </c>
    </row>
    <row r="4164" spans="1:7" hidden="1">
      <c r="A4164">
        <v>321</v>
      </c>
      <c r="B4164" t="s">
        <v>1287</v>
      </c>
      <c r="C4164" t="s">
        <v>961</v>
      </c>
      <c r="D4164">
        <v>1.1200000000000001</v>
      </c>
      <c r="E4164">
        <v>20.059999999999999</v>
      </c>
      <c r="F4164">
        <v>3.2</v>
      </c>
      <c r="G4164">
        <v>0.68</v>
      </c>
    </row>
    <row r="4165" spans="1:7" hidden="1">
      <c r="A4165">
        <v>321</v>
      </c>
      <c r="B4165" t="s">
        <v>1287</v>
      </c>
      <c r="C4165" t="s">
        <v>962</v>
      </c>
      <c r="D4165">
        <v>0.95</v>
      </c>
      <c r="E4165">
        <v>24.72</v>
      </c>
      <c r="F4165">
        <v>3.36</v>
      </c>
      <c r="G4165">
        <v>0.4</v>
      </c>
    </row>
    <row r="4166" spans="1:7" hidden="1">
      <c r="A4166">
        <v>321</v>
      </c>
      <c r="B4166" t="s">
        <v>1287</v>
      </c>
      <c r="C4166" t="s">
        <v>963</v>
      </c>
      <c r="D4166">
        <v>2.87</v>
      </c>
      <c r="E4166">
        <v>18.13</v>
      </c>
      <c r="F4166">
        <v>7.43</v>
      </c>
      <c r="G4166">
        <v>1.66</v>
      </c>
    </row>
    <row r="4167" spans="1:7" hidden="1">
      <c r="A4167">
        <v>321</v>
      </c>
      <c r="B4167" t="s">
        <v>1287</v>
      </c>
      <c r="C4167" t="s">
        <v>964</v>
      </c>
      <c r="D4167">
        <v>0.11</v>
      </c>
      <c r="E4167">
        <v>21.87</v>
      </c>
      <c r="F4167">
        <v>0.34</v>
      </c>
      <c r="G4167">
        <v>0.04</v>
      </c>
    </row>
    <row r="4168" spans="1:7" hidden="1">
      <c r="A4168">
        <v>321</v>
      </c>
      <c r="B4168" t="s">
        <v>1287</v>
      </c>
      <c r="C4168" t="s">
        <v>965</v>
      </c>
      <c r="D4168">
        <v>1.95</v>
      </c>
      <c r="E4168">
        <v>24.75</v>
      </c>
      <c r="F4168">
        <v>6.9</v>
      </c>
      <c r="G4168">
        <v>0.9</v>
      </c>
    </row>
    <row r="4169" spans="1:7">
      <c r="A4169">
        <v>321</v>
      </c>
      <c r="B4169" t="s">
        <v>1287</v>
      </c>
      <c r="C4169" t="s">
        <v>24</v>
      </c>
      <c r="D4169">
        <v>16.52</v>
      </c>
      <c r="E4169">
        <v>19.579999999999998</v>
      </c>
      <c r="F4169">
        <v>46.18</v>
      </c>
      <c r="G4169">
        <v>9.36</v>
      </c>
    </row>
    <row r="4170" spans="1:7" hidden="1">
      <c r="A4170">
        <v>321</v>
      </c>
      <c r="B4170" t="s">
        <v>1287</v>
      </c>
      <c r="C4170" t="s">
        <v>966</v>
      </c>
      <c r="D4170">
        <v>8.49</v>
      </c>
      <c r="E4170">
        <v>18.05</v>
      </c>
      <c r="F4170">
        <v>21.89</v>
      </c>
      <c r="G4170">
        <v>7.13</v>
      </c>
    </row>
    <row r="4171" spans="1:7" hidden="1">
      <c r="A4171">
        <v>321</v>
      </c>
      <c r="B4171" t="s">
        <v>1287</v>
      </c>
      <c r="C4171" t="s">
        <v>967</v>
      </c>
      <c r="D4171">
        <v>0.13</v>
      </c>
      <c r="E4171">
        <v>17.91</v>
      </c>
      <c r="F4171">
        <v>0.32</v>
      </c>
      <c r="G4171">
        <v>0.1</v>
      </c>
    </row>
    <row r="4172" spans="1:7" hidden="1">
      <c r="A4172">
        <v>321</v>
      </c>
      <c r="B4172" t="s">
        <v>1287</v>
      </c>
      <c r="C4172" t="s">
        <v>968</v>
      </c>
      <c r="D4172">
        <v>0.45</v>
      </c>
      <c r="E4172">
        <v>18.09</v>
      </c>
      <c r="F4172">
        <v>1.1599999999999999</v>
      </c>
      <c r="G4172">
        <v>0.24</v>
      </c>
    </row>
    <row r="4173" spans="1:7" hidden="1">
      <c r="A4173">
        <v>321</v>
      </c>
      <c r="B4173" t="s">
        <v>1287</v>
      </c>
      <c r="C4173" t="s">
        <v>969</v>
      </c>
      <c r="D4173">
        <v>1.87</v>
      </c>
      <c r="E4173">
        <v>24.75</v>
      </c>
      <c r="F4173">
        <v>6.63</v>
      </c>
      <c r="G4173">
        <v>0.05</v>
      </c>
    </row>
    <row r="4174" spans="1:7" hidden="1">
      <c r="A4174">
        <v>321</v>
      </c>
      <c r="B4174" t="s">
        <v>1287</v>
      </c>
      <c r="C4174" t="s">
        <v>970</v>
      </c>
      <c r="D4174">
        <v>0.34</v>
      </c>
      <c r="E4174">
        <v>24.75</v>
      </c>
      <c r="F4174">
        <v>1.21</v>
      </c>
      <c r="G4174">
        <v>0.16</v>
      </c>
    </row>
    <row r="4175" spans="1:7" hidden="1">
      <c r="A4175">
        <v>322</v>
      </c>
      <c r="B4175" t="s">
        <v>1288</v>
      </c>
      <c r="C4175" t="s">
        <v>959</v>
      </c>
      <c r="D4175">
        <v>4.8</v>
      </c>
      <c r="E4175">
        <v>18.309999999999999</v>
      </c>
      <c r="F4175">
        <v>12.56</v>
      </c>
      <c r="G4175">
        <v>2</v>
      </c>
    </row>
    <row r="4176" spans="1:7" hidden="1">
      <c r="A4176">
        <v>322</v>
      </c>
      <c r="B4176" t="s">
        <v>1288</v>
      </c>
      <c r="C4176" t="s">
        <v>960</v>
      </c>
      <c r="D4176">
        <v>3.68</v>
      </c>
      <c r="E4176">
        <v>18.399999999999999</v>
      </c>
      <c r="F4176">
        <v>9.68</v>
      </c>
      <c r="G4176">
        <v>2.0499999999999998</v>
      </c>
    </row>
    <row r="4177" spans="1:7" hidden="1">
      <c r="A4177">
        <v>322</v>
      </c>
      <c r="B4177" t="s">
        <v>1288</v>
      </c>
      <c r="C4177" t="s">
        <v>961</v>
      </c>
      <c r="D4177">
        <v>1.06</v>
      </c>
      <c r="E4177">
        <v>20.059999999999999</v>
      </c>
      <c r="F4177">
        <v>3.04</v>
      </c>
      <c r="G4177">
        <v>0.41</v>
      </c>
    </row>
    <row r="4178" spans="1:7" hidden="1">
      <c r="A4178">
        <v>322</v>
      </c>
      <c r="B4178" t="s">
        <v>1288</v>
      </c>
      <c r="C4178" t="s">
        <v>962</v>
      </c>
      <c r="D4178">
        <v>0.81</v>
      </c>
      <c r="E4178">
        <v>24.72</v>
      </c>
      <c r="F4178">
        <v>2.86</v>
      </c>
      <c r="G4178">
        <v>0.28000000000000003</v>
      </c>
    </row>
    <row r="4179" spans="1:7" hidden="1">
      <c r="A4179">
        <v>322</v>
      </c>
      <c r="B4179" t="s">
        <v>1288</v>
      </c>
      <c r="C4179" t="s">
        <v>963</v>
      </c>
      <c r="D4179">
        <v>2.78</v>
      </c>
      <c r="E4179">
        <v>18.13</v>
      </c>
      <c r="F4179">
        <v>7.19</v>
      </c>
      <c r="G4179">
        <v>0.67</v>
      </c>
    </row>
    <row r="4180" spans="1:7" hidden="1">
      <c r="A4180">
        <v>322</v>
      </c>
      <c r="B4180" t="s">
        <v>1288</v>
      </c>
      <c r="C4180" t="s">
        <v>964</v>
      </c>
      <c r="D4180">
        <v>0.05</v>
      </c>
      <c r="E4180">
        <v>21.87</v>
      </c>
      <c r="F4180">
        <v>0.16</v>
      </c>
      <c r="G4180">
        <v>0.01</v>
      </c>
    </row>
    <row r="4181" spans="1:7" hidden="1">
      <c r="A4181">
        <v>322</v>
      </c>
      <c r="B4181" t="s">
        <v>1288</v>
      </c>
      <c r="C4181" t="s">
        <v>965</v>
      </c>
      <c r="D4181">
        <v>1.97</v>
      </c>
      <c r="E4181">
        <v>24.75</v>
      </c>
      <c r="F4181">
        <v>6.96</v>
      </c>
      <c r="G4181">
        <v>0.4</v>
      </c>
    </row>
    <row r="4182" spans="1:7">
      <c r="A4182">
        <v>322</v>
      </c>
      <c r="B4182" t="s">
        <v>1288</v>
      </c>
      <c r="C4182" t="s">
        <v>24</v>
      </c>
      <c r="D4182">
        <v>15.15</v>
      </c>
      <c r="E4182">
        <v>19.61</v>
      </c>
      <c r="F4182">
        <v>42.45</v>
      </c>
      <c r="G4182">
        <v>5.83</v>
      </c>
    </row>
    <row r="4183" spans="1:7" hidden="1">
      <c r="A4183">
        <v>322</v>
      </c>
      <c r="B4183" t="s">
        <v>1288</v>
      </c>
      <c r="C4183" t="s">
        <v>966</v>
      </c>
      <c r="D4183">
        <v>3.83</v>
      </c>
      <c r="E4183">
        <v>18.05</v>
      </c>
      <c r="F4183">
        <v>9.8699999999999992</v>
      </c>
      <c r="G4183">
        <v>3.16</v>
      </c>
    </row>
    <row r="4184" spans="1:7" hidden="1">
      <c r="A4184">
        <v>322</v>
      </c>
      <c r="B4184" t="s">
        <v>1288</v>
      </c>
      <c r="C4184" t="s">
        <v>967</v>
      </c>
      <c r="D4184">
        <v>0.39</v>
      </c>
      <c r="E4184">
        <v>17.91</v>
      </c>
      <c r="F4184">
        <v>0.99</v>
      </c>
      <c r="G4184">
        <v>0.01</v>
      </c>
    </row>
    <row r="4185" spans="1:7" hidden="1">
      <c r="A4185">
        <v>322</v>
      </c>
      <c r="B4185" t="s">
        <v>1288</v>
      </c>
      <c r="C4185" t="s">
        <v>968</v>
      </c>
      <c r="D4185">
        <v>0.51</v>
      </c>
      <c r="E4185">
        <v>18.09</v>
      </c>
      <c r="F4185">
        <v>1.31</v>
      </c>
      <c r="G4185">
        <v>0.1</v>
      </c>
    </row>
    <row r="4186" spans="1:7" hidden="1">
      <c r="A4186">
        <v>322</v>
      </c>
      <c r="B4186" t="s">
        <v>1288</v>
      </c>
      <c r="C4186" t="s">
        <v>969</v>
      </c>
      <c r="D4186">
        <v>1.05</v>
      </c>
      <c r="E4186">
        <v>24.75</v>
      </c>
      <c r="F4186">
        <v>3.73</v>
      </c>
      <c r="G4186">
        <v>0.02</v>
      </c>
    </row>
    <row r="4187" spans="1:7" hidden="1">
      <c r="A4187">
        <v>322</v>
      </c>
      <c r="B4187" t="s">
        <v>1288</v>
      </c>
      <c r="C4187" t="s">
        <v>970</v>
      </c>
      <c r="D4187">
        <v>0.39</v>
      </c>
      <c r="E4187">
        <v>24.75</v>
      </c>
      <c r="F4187">
        <v>1.39</v>
      </c>
      <c r="G4187">
        <v>0.05</v>
      </c>
    </row>
    <row r="4188" spans="1:7" hidden="1">
      <c r="A4188">
        <v>323</v>
      </c>
      <c r="B4188" t="s">
        <v>1289</v>
      </c>
      <c r="C4188" t="s">
        <v>959</v>
      </c>
      <c r="D4188">
        <v>2.65</v>
      </c>
      <c r="E4188">
        <v>18.309999999999999</v>
      </c>
      <c r="F4188">
        <v>6.93</v>
      </c>
      <c r="G4188">
        <v>0</v>
      </c>
    </row>
    <row r="4189" spans="1:7" hidden="1">
      <c r="A4189">
        <v>323</v>
      </c>
      <c r="B4189" t="s">
        <v>1289</v>
      </c>
      <c r="C4189" t="s">
        <v>960</v>
      </c>
      <c r="D4189">
        <v>2.19</v>
      </c>
      <c r="E4189">
        <v>18.399999999999999</v>
      </c>
      <c r="F4189">
        <v>5.75</v>
      </c>
      <c r="G4189">
        <v>0</v>
      </c>
    </row>
    <row r="4190" spans="1:7" hidden="1">
      <c r="A4190">
        <v>323</v>
      </c>
      <c r="B4190" t="s">
        <v>1289</v>
      </c>
      <c r="C4190" t="s">
        <v>961</v>
      </c>
      <c r="D4190">
        <v>0.82</v>
      </c>
      <c r="E4190">
        <v>20.059999999999999</v>
      </c>
      <c r="F4190">
        <v>2.35</v>
      </c>
      <c r="G4190">
        <v>0</v>
      </c>
    </row>
    <row r="4191" spans="1:7" hidden="1">
      <c r="A4191">
        <v>323</v>
      </c>
      <c r="B4191" t="s">
        <v>1289</v>
      </c>
      <c r="C4191" t="s">
        <v>962</v>
      </c>
      <c r="D4191">
        <v>0.81</v>
      </c>
      <c r="E4191">
        <v>24.72</v>
      </c>
      <c r="F4191">
        <v>2.87</v>
      </c>
      <c r="G4191">
        <v>0</v>
      </c>
    </row>
    <row r="4192" spans="1:7" hidden="1">
      <c r="A4192">
        <v>323</v>
      </c>
      <c r="B4192" t="s">
        <v>1289</v>
      </c>
      <c r="C4192" t="s">
        <v>963</v>
      </c>
      <c r="D4192">
        <v>2.68</v>
      </c>
      <c r="E4192">
        <v>18.13</v>
      </c>
      <c r="F4192">
        <v>6.93</v>
      </c>
      <c r="G4192">
        <v>0</v>
      </c>
    </row>
    <row r="4193" spans="1:7" hidden="1">
      <c r="A4193">
        <v>323</v>
      </c>
      <c r="B4193" t="s">
        <v>1289</v>
      </c>
      <c r="C4193" t="s">
        <v>964</v>
      </c>
      <c r="D4193">
        <v>0.06</v>
      </c>
      <c r="E4193">
        <v>21.87</v>
      </c>
      <c r="F4193">
        <v>0.2</v>
      </c>
      <c r="G4193">
        <v>0</v>
      </c>
    </row>
    <row r="4194" spans="1:7" hidden="1">
      <c r="A4194">
        <v>323</v>
      </c>
      <c r="B4194" t="s">
        <v>1289</v>
      </c>
      <c r="C4194" t="s">
        <v>965</v>
      </c>
      <c r="D4194">
        <v>2.19</v>
      </c>
      <c r="E4194">
        <v>24.75</v>
      </c>
      <c r="F4194">
        <v>7.74</v>
      </c>
      <c r="G4194">
        <v>0</v>
      </c>
    </row>
    <row r="4195" spans="1:7">
      <c r="A4195">
        <v>323</v>
      </c>
      <c r="B4195" t="s">
        <v>1289</v>
      </c>
      <c r="C4195" t="s">
        <v>24</v>
      </c>
      <c r="D4195">
        <v>11.4</v>
      </c>
      <c r="E4195">
        <v>20.13</v>
      </c>
      <c r="F4195">
        <v>32.78</v>
      </c>
      <c r="G4195">
        <v>0</v>
      </c>
    </row>
    <row r="4196" spans="1:7" hidden="1">
      <c r="A4196">
        <v>323</v>
      </c>
      <c r="B4196" t="s">
        <v>1289</v>
      </c>
      <c r="C4196" t="s">
        <v>966</v>
      </c>
      <c r="D4196">
        <v>0.59</v>
      </c>
      <c r="E4196">
        <v>18.05</v>
      </c>
      <c r="F4196">
        <v>1.52</v>
      </c>
      <c r="G4196">
        <v>0.39</v>
      </c>
    </row>
    <row r="4197" spans="1:7" hidden="1">
      <c r="A4197">
        <v>323</v>
      </c>
      <c r="B4197" t="s">
        <v>1289</v>
      </c>
      <c r="C4197" t="s">
        <v>967</v>
      </c>
      <c r="D4197">
        <v>0.15</v>
      </c>
      <c r="E4197">
        <v>17.91</v>
      </c>
      <c r="F4197">
        <v>0.37</v>
      </c>
      <c r="G4197">
        <v>0</v>
      </c>
    </row>
    <row r="4198" spans="1:7" hidden="1">
      <c r="A4198">
        <v>323</v>
      </c>
      <c r="B4198" t="s">
        <v>1289</v>
      </c>
      <c r="C4198" t="s">
        <v>968</v>
      </c>
      <c r="D4198">
        <v>0.87</v>
      </c>
      <c r="E4198">
        <v>18.09</v>
      </c>
      <c r="F4198">
        <v>2.2400000000000002</v>
      </c>
      <c r="G4198">
        <v>0</v>
      </c>
    </row>
    <row r="4199" spans="1:7" hidden="1">
      <c r="A4199">
        <v>323</v>
      </c>
      <c r="B4199" t="s">
        <v>1289</v>
      </c>
      <c r="C4199" t="s">
        <v>969</v>
      </c>
      <c r="D4199">
        <v>0.46</v>
      </c>
      <c r="E4199">
        <v>24.75</v>
      </c>
      <c r="F4199">
        <v>1.64</v>
      </c>
      <c r="G4199">
        <v>0</v>
      </c>
    </row>
    <row r="4200" spans="1:7" hidden="1">
      <c r="A4200">
        <v>323</v>
      </c>
      <c r="B4200" t="s">
        <v>1289</v>
      </c>
      <c r="C4200" t="s">
        <v>970</v>
      </c>
      <c r="D4200">
        <v>0.69</v>
      </c>
      <c r="E4200">
        <v>24.75</v>
      </c>
      <c r="F4200">
        <v>2.4300000000000002</v>
      </c>
      <c r="G4200">
        <v>0</v>
      </c>
    </row>
    <row r="4201" spans="1:7" hidden="1">
      <c r="A4201">
        <v>324</v>
      </c>
      <c r="B4201" t="s">
        <v>1290</v>
      </c>
      <c r="C4201" t="s">
        <v>959</v>
      </c>
      <c r="D4201">
        <v>4.28</v>
      </c>
      <c r="E4201">
        <v>18.309999999999999</v>
      </c>
      <c r="F4201">
        <v>11.21</v>
      </c>
      <c r="G4201">
        <v>0</v>
      </c>
    </row>
    <row r="4202" spans="1:7" hidden="1">
      <c r="A4202">
        <v>324</v>
      </c>
      <c r="B4202" t="s">
        <v>1290</v>
      </c>
      <c r="C4202" t="s">
        <v>960</v>
      </c>
      <c r="D4202">
        <v>3.13</v>
      </c>
      <c r="E4202">
        <v>18.399999999999999</v>
      </c>
      <c r="F4202">
        <v>8.2200000000000006</v>
      </c>
      <c r="G4202">
        <v>0</v>
      </c>
    </row>
    <row r="4203" spans="1:7" hidden="1">
      <c r="A4203">
        <v>324</v>
      </c>
      <c r="B4203" t="s">
        <v>1290</v>
      </c>
      <c r="C4203" t="s">
        <v>961</v>
      </c>
      <c r="D4203">
        <v>2.34</v>
      </c>
      <c r="E4203">
        <v>20.059999999999999</v>
      </c>
      <c r="F4203">
        <v>6.71</v>
      </c>
      <c r="G4203">
        <v>0</v>
      </c>
    </row>
    <row r="4204" spans="1:7" hidden="1">
      <c r="A4204">
        <v>324</v>
      </c>
      <c r="B4204" t="s">
        <v>1290</v>
      </c>
      <c r="C4204" t="s">
        <v>962</v>
      </c>
      <c r="D4204">
        <v>1.38</v>
      </c>
      <c r="E4204">
        <v>24.72</v>
      </c>
      <c r="F4204">
        <v>4.87</v>
      </c>
      <c r="G4204">
        <v>0</v>
      </c>
    </row>
    <row r="4205" spans="1:7" hidden="1">
      <c r="A4205">
        <v>324</v>
      </c>
      <c r="B4205" t="s">
        <v>1290</v>
      </c>
      <c r="C4205" t="s">
        <v>963</v>
      </c>
      <c r="D4205">
        <v>2.98</v>
      </c>
      <c r="E4205">
        <v>18.13</v>
      </c>
      <c r="F4205">
        <v>7.72</v>
      </c>
      <c r="G4205">
        <v>0</v>
      </c>
    </row>
    <row r="4206" spans="1:7" hidden="1">
      <c r="A4206">
        <v>324</v>
      </c>
      <c r="B4206" t="s">
        <v>1290</v>
      </c>
      <c r="C4206" t="s">
        <v>964</v>
      </c>
      <c r="D4206">
        <v>0.16</v>
      </c>
      <c r="E4206">
        <v>21.87</v>
      </c>
      <c r="F4206">
        <v>0.49</v>
      </c>
      <c r="G4206">
        <v>0</v>
      </c>
    </row>
    <row r="4207" spans="1:7" hidden="1">
      <c r="A4207">
        <v>324</v>
      </c>
      <c r="B4207" t="s">
        <v>1290</v>
      </c>
      <c r="C4207" t="s">
        <v>965</v>
      </c>
      <c r="D4207">
        <v>2.34</v>
      </c>
      <c r="E4207">
        <v>24.75</v>
      </c>
      <c r="F4207">
        <v>8.27</v>
      </c>
      <c r="G4207">
        <v>0</v>
      </c>
    </row>
    <row r="4208" spans="1:7">
      <c r="A4208">
        <v>324</v>
      </c>
      <c r="B4208" t="s">
        <v>1290</v>
      </c>
      <c r="C4208" t="s">
        <v>24</v>
      </c>
      <c r="D4208">
        <v>16.61</v>
      </c>
      <c r="E4208">
        <v>20.02</v>
      </c>
      <c r="F4208">
        <v>47.5</v>
      </c>
      <c r="G4208">
        <v>0</v>
      </c>
    </row>
    <row r="4209" spans="1:7" hidden="1">
      <c r="A4209">
        <v>324</v>
      </c>
      <c r="B4209" t="s">
        <v>1290</v>
      </c>
      <c r="C4209" t="s">
        <v>966</v>
      </c>
      <c r="D4209">
        <v>0</v>
      </c>
      <c r="E4209">
        <v>18.05</v>
      </c>
      <c r="F4209">
        <v>0</v>
      </c>
      <c r="G4209">
        <v>0</v>
      </c>
    </row>
    <row r="4210" spans="1:7" hidden="1">
      <c r="A4210">
        <v>324</v>
      </c>
      <c r="B4210" t="s">
        <v>1290</v>
      </c>
      <c r="C4210" t="s">
        <v>967</v>
      </c>
      <c r="D4210">
        <v>0.18</v>
      </c>
      <c r="E4210">
        <v>17.91</v>
      </c>
      <c r="F4210">
        <v>0.46</v>
      </c>
      <c r="G4210">
        <v>0</v>
      </c>
    </row>
    <row r="4211" spans="1:7" hidden="1">
      <c r="A4211">
        <v>324</v>
      </c>
      <c r="B4211" t="s">
        <v>1290</v>
      </c>
      <c r="C4211" t="s">
        <v>968</v>
      </c>
      <c r="D4211">
        <v>1.52</v>
      </c>
      <c r="E4211">
        <v>18.09</v>
      </c>
      <c r="F4211">
        <v>3.93</v>
      </c>
      <c r="G4211">
        <v>0</v>
      </c>
    </row>
    <row r="4212" spans="1:7" hidden="1">
      <c r="A4212">
        <v>324</v>
      </c>
      <c r="B4212" t="s">
        <v>1290</v>
      </c>
      <c r="C4212" t="s">
        <v>969</v>
      </c>
      <c r="D4212">
        <v>7.0000000000000007E-2</v>
      </c>
      <c r="E4212">
        <v>24.75</v>
      </c>
      <c r="F4212">
        <v>0.26</v>
      </c>
      <c r="G4212">
        <v>0</v>
      </c>
    </row>
    <row r="4213" spans="1:7" hidden="1">
      <c r="A4213">
        <v>324</v>
      </c>
      <c r="B4213" t="s">
        <v>1290</v>
      </c>
      <c r="C4213" t="s">
        <v>970</v>
      </c>
      <c r="D4213">
        <v>0.59</v>
      </c>
      <c r="E4213">
        <v>24.75</v>
      </c>
      <c r="F4213">
        <v>2.09</v>
      </c>
      <c r="G4213">
        <v>0</v>
      </c>
    </row>
    <row r="4214" spans="1:7" hidden="1">
      <c r="A4214">
        <v>325</v>
      </c>
      <c r="B4214" t="s">
        <v>1291</v>
      </c>
      <c r="C4214" t="s">
        <v>959</v>
      </c>
      <c r="D4214">
        <v>2.76</v>
      </c>
      <c r="E4214">
        <v>18.309999999999999</v>
      </c>
      <c r="F4214">
        <v>7.23</v>
      </c>
      <c r="G4214">
        <v>0</v>
      </c>
    </row>
    <row r="4215" spans="1:7" hidden="1">
      <c r="A4215">
        <v>325</v>
      </c>
      <c r="B4215" t="s">
        <v>1291</v>
      </c>
      <c r="C4215" t="s">
        <v>960</v>
      </c>
      <c r="D4215">
        <v>2.14</v>
      </c>
      <c r="E4215">
        <v>18.399999999999999</v>
      </c>
      <c r="F4215">
        <v>5.62</v>
      </c>
      <c r="G4215">
        <v>0</v>
      </c>
    </row>
    <row r="4216" spans="1:7" hidden="1">
      <c r="A4216">
        <v>325</v>
      </c>
      <c r="B4216" t="s">
        <v>1291</v>
      </c>
      <c r="C4216" t="s">
        <v>961</v>
      </c>
      <c r="D4216">
        <v>1.36</v>
      </c>
      <c r="E4216">
        <v>20.059999999999999</v>
      </c>
      <c r="F4216">
        <v>3.9</v>
      </c>
      <c r="G4216">
        <v>0</v>
      </c>
    </row>
    <row r="4217" spans="1:7" hidden="1">
      <c r="A4217">
        <v>325</v>
      </c>
      <c r="B4217" t="s">
        <v>1291</v>
      </c>
      <c r="C4217" t="s">
        <v>962</v>
      </c>
      <c r="D4217">
        <v>0.91</v>
      </c>
      <c r="E4217">
        <v>24.72</v>
      </c>
      <c r="F4217">
        <v>3.22</v>
      </c>
      <c r="G4217">
        <v>0</v>
      </c>
    </row>
    <row r="4218" spans="1:7" hidden="1">
      <c r="A4218">
        <v>325</v>
      </c>
      <c r="B4218" t="s">
        <v>1291</v>
      </c>
      <c r="C4218" t="s">
        <v>963</v>
      </c>
      <c r="D4218">
        <v>3.01</v>
      </c>
      <c r="E4218">
        <v>18.13</v>
      </c>
      <c r="F4218">
        <v>7.79</v>
      </c>
      <c r="G4218">
        <v>0</v>
      </c>
    </row>
    <row r="4219" spans="1:7" hidden="1">
      <c r="A4219">
        <v>325</v>
      </c>
      <c r="B4219" t="s">
        <v>1291</v>
      </c>
      <c r="C4219" t="s">
        <v>964</v>
      </c>
      <c r="D4219">
        <v>0.13</v>
      </c>
      <c r="E4219">
        <v>21.87</v>
      </c>
      <c r="F4219">
        <v>0.4</v>
      </c>
      <c r="G4219">
        <v>0</v>
      </c>
    </row>
    <row r="4220" spans="1:7" hidden="1">
      <c r="A4220">
        <v>325</v>
      </c>
      <c r="B4220" t="s">
        <v>1291</v>
      </c>
      <c r="C4220" t="s">
        <v>965</v>
      </c>
      <c r="D4220">
        <v>2.38</v>
      </c>
      <c r="E4220">
        <v>24.75</v>
      </c>
      <c r="F4220">
        <v>8.41</v>
      </c>
      <c r="G4220">
        <v>0</v>
      </c>
    </row>
    <row r="4221" spans="1:7">
      <c r="A4221">
        <v>325</v>
      </c>
      <c r="B4221" t="s">
        <v>1291</v>
      </c>
      <c r="C4221" t="s">
        <v>24</v>
      </c>
      <c r="D4221">
        <v>12.69</v>
      </c>
      <c r="E4221">
        <v>20.18</v>
      </c>
      <c r="F4221">
        <v>36.58</v>
      </c>
      <c r="G4221">
        <v>0</v>
      </c>
    </row>
    <row r="4222" spans="1:7" hidden="1">
      <c r="A4222">
        <v>325</v>
      </c>
      <c r="B4222" t="s">
        <v>1291</v>
      </c>
      <c r="C4222" t="s">
        <v>966</v>
      </c>
      <c r="D4222">
        <v>0</v>
      </c>
      <c r="E4222">
        <v>18.05</v>
      </c>
      <c r="F4222">
        <v>0</v>
      </c>
      <c r="G4222">
        <v>0</v>
      </c>
    </row>
    <row r="4223" spans="1:7" hidden="1">
      <c r="A4223">
        <v>325</v>
      </c>
      <c r="B4223" t="s">
        <v>1291</v>
      </c>
      <c r="C4223" t="s">
        <v>967</v>
      </c>
      <c r="D4223">
        <v>0.15</v>
      </c>
      <c r="E4223">
        <v>17.91</v>
      </c>
      <c r="F4223">
        <v>0.37</v>
      </c>
      <c r="G4223">
        <v>0</v>
      </c>
    </row>
    <row r="4224" spans="1:7" hidden="1">
      <c r="A4224">
        <v>325</v>
      </c>
      <c r="B4224" t="s">
        <v>1291</v>
      </c>
      <c r="C4224" t="s">
        <v>968</v>
      </c>
      <c r="D4224">
        <v>1.2</v>
      </c>
      <c r="E4224">
        <v>18.09</v>
      </c>
      <c r="F4224">
        <v>3.1</v>
      </c>
      <c r="G4224">
        <v>0</v>
      </c>
    </row>
    <row r="4225" spans="1:7" hidden="1">
      <c r="A4225">
        <v>325</v>
      </c>
      <c r="B4225" t="s">
        <v>1291</v>
      </c>
      <c r="C4225" t="s">
        <v>969</v>
      </c>
      <c r="D4225">
        <v>0.05</v>
      </c>
      <c r="E4225">
        <v>24.75</v>
      </c>
      <c r="F4225">
        <v>0.19</v>
      </c>
      <c r="G4225">
        <v>0</v>
      </c>
    </row>
    <row r="4226" spans="1:7" hidden="1">
      <c r="A4226">
        <v>325</v>
      </c>
      <c r="B4226" t="s">
        <v>1291</v>
      </c>
      <c r="C4226" t="s">
        <v>970</v>
      </c>
      <c r="D4226">
        <v>0.56000000000000005</v>
      </c>
      <c r="E4226">
        <v>24.75</v>
      </c>
      <c r="F4226">
        <v>2</v>
      </c>
      <c r="G4226">
        <v>0</v>
      </c>
    </row>
    <row r="4227" spans="1:7" hidden="1">
      <c r="A4227">
        <v>326</v>
      </c>
      <c r="B4227" t="s">
        <v>1292</v>
      </c>
      <c r="C4227" t="s">
        <v>959</v>
      </c>
      <c r="D4227">
        <v>6.11</v>
      </c>
      <c r="E4227">
        <v>18.309999999999999</v>
      </c>
      <c r="F4227">
        <v>15.99</v>
      </c>
      <c r="G4227">
        <v>0</v>
      </c>
    </row>
    <row r="4228" spans="1:7" hidden="1">
      <c r="A4228">
        <v>326</v>
      </c>
      <c r="B4228" t="s">
        <v>1292</v>
      </c>
      <c r="C4228" t="s">
        <v>960</v>
      </c>
      <c r="D4228">
        <v>4.1399999999999997</v>
      </c>
      <c r="E4228">
        <v>18.399999999999999</v>
      </c>
      <c r="F4228">
        <v>10.88</v>
      </c>
      <c r="G4228">
        <v>0</v>
      </c>
    </row>
    <row r="4229" spans="1:7" hidden="1">
      <c r="A4229">
        <v>326</v>
      </c>
      <c r="B4229" t="s">
        <v>1292</v>
      </c>
      <c r="C4229" t="s">
        <v>961</v>
      </c>
      <c r="D4229">
        <v>2.5299999999999998</v>
      </c>
      <c r="E4229">
        <v>20.059999999999999</v>
      </c>
      <c r="F4229">
        <v>7.26</v>
      </c>
      <c r="G4229">
        <v>0</v>
      </c>
    </row>
    <row r="4230" spans="1:7" hidden="1">
      <c r="A4230">
        <v>326</v>
      </c>
      <c r="B4230" t="s">
        <v>1292</v>
      </c>
      <c r="C4230" t="s">
        <v>962</v>
      </c>
      <c r="D4230">
        <v>2.0499999999999998</v>
      </c>
      <c r="E4230">
        <v>24.72</v>
      </c>
      <c r="F4230">
        <v>7.24</v>
      </c>
      <c r="G4230">
        <v>0</v>
      </c>
    </row>
    <row r="4231" spans="1:7" hidden="1">
      <c r="A4231">
        <v>326</v>
      </c>
      <c r="B4231" t="s">
        <v>1292</v>
      </c>
      <c r="C4231" t="s">
        <v>963</v>
      </c>
      <c r="D4231">
        <v>2.85</v>
      </c>
      <c r="E4231">
        <v>18.13</v>
      </c>
      <c r="F4231">
        <v>7.39</v>
      </c>
      <c r="G4231">
        <v>0</v>
      </c>
    </row>
    <row r="4232" spans="1:7" hidden="1">
      <c r="A4232">
        <v>326</v>
      </c>
      <c r="B4232" t="s">
        <v>1292</v>
      </c>
      <c r="C4232" t="s">
        <v>964</v>
      </c>
      <c r="D4232">
        <v>0.27</v>
      </c>
      <c r="E4232">
        <v>21.87</v>
      </c>
      <c r="F4232">
        <v>0.84</v>
      </c>
      <c r="G4232">
        <v>0</v>
      </c>
    </row>
    <row r="4233" spans="1:7" hidden="1">
      <c r="A4233">
        <v>326</v>
      </c>
      <c r="B4233" t="s">
        <v>1292</v>
      </c>
      <c r="C4233" t="s">
        <v>965</v>
      </c>
      <c r="D4233">
        <v>2.2599999999999998</v>
      </c>
      <c r="E4233">
        <v>24.75</v>
      </c>
      <c r="F4233">
        <v>7.98</v>
      </c>
      <c r="G4233">
        <v>0</v>
      </c>
    </row>
    <row r="4234" spans="1:7">
      <c r="A4234">
        <v>326</v>
      </c>
      <c r="B4234" t="s">
        <v>1292</v>
      </c>
      <c r="C4234" t="s">
        <v>24</v>
      </c>
      <c r="D4234">
        <v>20.21</v>
      </c>
      <c r="E4234">
        <v>19.940000000000001</v>
      </c>
      <c r="F4234">
        <v>57.57</v>
      </c>
      <c r="G4234">
        <v>0</v>
      </c>
    </row>
    <row r="4235" spans="1:7" hidden="1">
      <c r="A4235">
        <v>326</v>
      </c>
      <c r="B4235" t="s">
        <v>1292</v>
      </c>
      <c r="C4235" t="s">
        <v>966</v>
      </c>
      <c r="D4235">
        <v>0</v>
      </c>
      <c r="E4235">
        <v>18.05</v>
      </c>
      <c r="F4235">
        <v>0</v>
      </c>
      <c r="G4235">
        <v>0</v>
      </c>
    </row>
    <row r="4236" spans="1:7" hidden="1">
      <c r="A4236">
        <v>326</v>
      </c>
      <c r="B4236" t="s">
        <v>1292</v>
      </c>
      <c r="C4236" t="s">
        <v>967</v>
      </c>
      <c r="D4236">
        <v>0.19</v>
      </c>
      <c r="E4236">
        <v>17.91</v>
      </c>
      <c r="F4236">
        <v>0.48</v>
      </c>
      <c r="G4236">
        <v>0</v>
      </c>
    </row>
    <row r="4237" spans="1:7" hidden="1">
      <c r="A4237">
        <v>326</v>
      </c>
      <c r="B4237" t="s">
        <v>1292</v>
      </c>
      <c r="C4237" t="s">
        <v>968</v>
      </c>
      <c r="D4237">
        <v>1.53</v>
      </c>
      <c r="E4237">
        <v>18.09</v>
      </c>
      <c r="F4237">
        <v>3.94</v>
      </c>
      <c r="G4237">
        <v>0</v>
      </c>
    </row>
    <row r="4238" spans="1:7" hidden="1">
      <c r="A4238">
        <v>326</v>
      </c>
      <c r="B4238" t="s">
        <v>1292</v>
      </c>
      <c r="C4238" t="s">
        <v>969</v>
      </c>
      <c r="D4238">
        <v>0.35</v>
      </c>
      <c r="E4238">
        <v>24.75</v>
      </c>
      <c r="F4238">
        <v>1.24</v>
      </c>
      <c r="G4238">
        <v>0</v>
      </c>
    </row>
    <row r="4239" spans="1:7" hidden="1">
      <c r="A4239">
        <v>326</v>
      </c>
      <c r="B4239" t="s">
        <v>1292</v>
      </c>
      <c r="C4239" t="s">
        <v>970</v>
      </c>
      <c r="D4239">
        <v>0.52</v>
      </c>
      <c r="E4239">
        <v>24.75</v>
      </c>
      <c r="F4239">
        <v>1.83</v>
      </c>
      <c r="G4239">
        <v>0</v>
      </c>
    </row>
    <row r="4240" spans="1:7" hidden="1">
      <c r="A4240">
        <v>327</v>
      </c>
      <c r="B4240" t="s">
        <v>1293</v>
      </c>
      <c r="C4240" t="s">
        <v>959</v>
      </c>
      <c r="D4240">
        <v>6.59</v>
      </c>
      <c r="E4240">
        <v>18.309999999999999</v>
      </c>
      <c r="F4240">
        <v>17.23</v>
      </c>
      <c r="G4240">
        <v>0</v>
      </c>
    </row>
    <row r="4241" spans="1:7" hidden="1">
      <c r="A4241">
        <v>327</v>
      </c>
      <c r="B4241" t="s">
        <v>1293</v>
      </c>
      <c r="C4241" t="s">
        <v>960</v>
      </c>
      <c r="D4241">
        <v>4.68</v>
      </c>
      <c r="E4241">
        <v>18.399999999999999</v>
      </c>
      <c r="F4241">
        <v>12.29</v>
      </c>
      <c r="G4241">
        <v>0</v>
      </c>
    </row>
    <row r="4242" spans="1:7" hidden="1">
      <c r="A4242">
        <v>327</v>
      </c>
      <c r="B4242" t="s">
        <v>1293</v>
      </c>
      <c r="C4242" t="s">
        <v>961</v>
      </c>
      <c r="D4242">
        <v>4.0999999999999996</v>
      </c>
      <c r="E4242">
        <v>20.059999999999999</v>
      </c>
      <c r="F4242">
        <v>11.76</v>
      </c>
      <c r="G4242">
        <v>0</v>
      </c>
    </row>
    <row r="4243" spans="1:7" hidden="1">
      <c r="A4243">
        <v>327</v>
      </c>
      <c r="B4243" t="s">
        <v>1293</v>
      </c>
      <c r="C4243" t="s">
        <v>962</v>
      </c>
      <c r="D4243">
        <v>2.06</v>
      </c>
      <c r="E4243">
        <v>24.72</v>
      </c>
      <c r="F4243">
        <v>7.27</v>
      </c>
      <c r="G4243">
        <v>0</v>
      </c>
    </row>
    <row r="4244" spans="1:7" hidden="1">
      <c r="A4244">
        <v>327</v>
      </c>
      <c r="B4244" t="s">
        <v>1293</v>
      </c>
      <c r="C4244" t="s">
        <v>963</v>
      </c>
      <c r="D4244">
        <v>2.97</v>
      </c>
      <c r="E4244">
        <v>18.13</v>
      </c>
      <c r="F4244">
        <v>7.69</v>
      </c>
      <c r="G4244">
        <v>0</v>
      </c>
    </row>
    <row r="4245" spans="1:7" hidden="1">
      <c r="A4245">
        <v>327</v>
      </c>
      <c r="B4245" t="s">
        <v>1293</v>
      </c>
      <c r="C4245" t="s">
        <v>964</v>
      </c>
      <c r="D4245">
        <v>0.17</v>
      </c>
      <c r="E4245">
        <v>21.87</v>
      </c>
      <c r="F4245">
        <v>0.55000000000000004</v>
      </c>
      <c r="G4245">
        <v>0</v>
      </c>
    </row>
    <row r="4246" spans="1:7" hidden="1">
      <c r="A4246">
        <v>327</v>
      </c>
      <c r="B4246" t="s">
        <v>1293</v>
      </c>
      <c r="C4246" t="s">
        <v>965</v>
      </c>
      <c r="D4246">
        <v>2.29</v>
      </c>
      <c r="E4246">
        <v>24.75</v>
      </c>
      <c r="F4246">
        <v>8.1</v>
      </c>
      <c r="G4246">
        <v>0</v>
      </c>
    </row>
    <row r="4247" spans="1:7">
      <c r="A4247">
        <v>327</v>
      </c>
      <c r="B4247" t="s">
        <v>1293</v>
      </c>
      <c r="C4247" t="s">
        <v>24</v>
      </c>
      <c r="D4247">
        <v>22.86</v>
      </c>
      <c r="E4247">
        <v>19.87</v>
      </c>
      <c r="F4247">
        <v>64.89</v>
      </c>
      <c r="G4247">
        <v>0</v>
      </c>
    </row>
    <row r="4248" spans="1:7" hidden="1">
      <c r="A4248">
        <v>327</v>
      </c>
      <c r="B4248" t="s">
        <v>1293</v>
      </c>
      <c r="C4248" t="s">
        <v>966</v>
      </c>
      <c r="D4248">
        <v>0</v>
      </c>
      <c r="E4248">
        <v>18.05</v>
      </c>
      <c r="F4248">
        <v>0</v>
      </c>
      <c r="G4248">
        <v>0</v>
      </c>
    </row>
    <row r="4249" spans="1:7" hidden="1">
      <c r="A4249">
        <v>327</v>
      </c>
      <c r="B4249" t="s">
        <v>1293</v>
      </c>
      <c r="C4249" t="s">
        <v>967</v>
      </c>
      <c r="D4249">
        <v>0.24</v>
      </c>
      <c r="E4249">
        <v>17.91</v>
      </c>
      <c r="F4249">
        <v>0.61</v>
      </c>
      <c r="G4249">
        <v>0</v>
      </c>
    </row>
    <row r="4250" spans="1:7" hidden="1">
      <c r="A4250">
        <v>327</v>
      </c>
      <c r="B4250" t="s">
        <v>1293</v>
      </c>
      <c r="C4250" t="s">
        <v>968</v>
      </c>
      <c r="D4250">
        <v>2.11</v>
      </c>
      <c r="E4250">
        <v>18.09</v>
      </c>
      <c r="F4250">
        <v>5.45</v>
      </c>
      <c r="G4250">
        <v>0</v>
      </c>
    </row>
    <row r="4251" spans="1:7" hidden="1">
      <c r="A4251">
        <v>327</v>
      </c>
      <c r="B4251" t="s">
        <v>1293</v>
      </c>
      <c r="C4251" t="s">
        <v>969</v>
      </c>
      <c r="D4251">
        <v>0.04</v>
      </c>
      <c r="E4251">
        <v>24.75</v>
      </c>
      <c r="F4251">
        <v>0.14000000000000001</v>
      </c>
      <c r="G4251">
        <v>0</v>
      </c>
    </row>
    <row r="4252" spans="1:7" hidden="1">
      <c r="A4252">
        <v>327</v>
      </c>
      <c r="B4252" t="s">
        <v>1293</v>
      </c>
      <c r="C4252" t="s">
        <v>970</v>
      </c>
      <c r="D4252">
        <v>0.66</v>
      </c>
      <c r="E4252">
        <v>24.75</v>
      </c>
      <c r="F4252">
        <v>2.33</v>
      </c>
      <c r="G4252">
        <v>0</v>
      </c>
    </row>
    <row r="4253" spans="1:7" hidden="1">
      <c r="A4253">
        <v>328</v>
      </c>
      <c r="B4253" t="s">
        <v>1294</v>
      </c>
      <c r="C4253" t="s">
        <v>959</v>
      </c>
      <c r="D4253">
        <v>5.63</v>
      </c>
      <c r="E4253">
        <v>18.309999999999999</v>
      </c>
      <c r="F4253">
        <v>14.73</v>
      </c>
      <c r="G4253">
        <v>0.02</v>
      </c>
    </row>
    <row r="4254" spans="1:7" hidden="1">
      <c r="A4254">
        <v>328</v>
      </c>
      <c r="B4254" t="s">
        <v>1294</v>
      </c>
      <c r="C4254" t="s">
        <v>960</v>
      </c>
      <c r="D4254">
        <v>3.84</v>
      </c>
      <c r="E4254">
        <v>18.399999999999999</v>
      </c>
      <c r="F4254">
        <v>10.09</v>
      </c>
      <c r="G4254">
        <v>0.04</v>
      </c>
    </row>
    <row r="4255" spans="1:7" hidden="1">
      <c r="A4255">
        <v>328</v>
      </c>
      <c r="B4255" t="s">
        <v>1294</v>
      </c>
      <c r="C4255" t="s">
        <v>961</v>
      </c>
      <c r="D4255">
        <v>3.5</v>
      </c>
      <c r="E4255">
        <v>20.059999999999999</v>
      </c>
      <c r="F4255">
        <v>10.029999999999999</v>
      </c>
      <c r="G4255">
        <v>0</v>
      </c>
    </row>
    <row r="4256" spans="1:7" hidden="1">
      <c r="A4256">
        <v>328</v>
      </c>
      <c r="B4256" t="s">
        <v>1294</v>
      </c>
      <c r="C4256" t="s">
        <v>962</v>
      </c>
      <c r="D4256">
        <v>2.0499999999999998</v>
      </c>
      <c r="E4256">
        <v>24.72</v>
      </c>
      <c r="F4256">
        <v>7.24</v>
      </c>
      <c r="G4256">
        <v>0.01</v>
      </c>
    </row>
    <row r="4257" spans="1:7" hidden="1">
      <c r="A4257">
        <v>328</v>
      </c>
      <c r="B4257" t="s">
        <v>1294</v>
      </c>
      <c r="C4257" t="s">
        <v>963</v>
      </c>
      <c r="D4257">
        <v>3.03</v>
      </c>
      <c r="E4257">
        <v>18.13</v>
      </c>
      <c r="F4257">
        <v>7.85</v>
      </c>
      <c r="G4257">
        <v>0.01</v>
      </c>
    </row>
    <row r="4258" spans="1:7" hidden="1">
      <c r="A4258">
        <v>328</v>
      </c>
      <c r="B4258" t="s">
        <v>1294</v>
      </c>
      <c r="C4258" t="s">
        <v>964</v>
      </c>
      <c r="D4258">
        <v>0.15</v>
      </c>
      <c r="E4258">
        <v>21.87</v>
      </c>
      <c r="F4258">
        <v>0.47</v>
      </c>
      <c r="G4258">
        <v>0</v>
      </c>
    </row>
    <row r="4259" spans="1:7" hidden="1">
      <c r="A4259">
        <v>328</v>
      </c>
      <c r="B4259" t="s">
        <v>1294</v>
      </c>
      <c r="C4259" t="s">
        <v>965</v>
      </c>
      <c r="D4259">
        <v>2.2999999999999998</v>
      </c>
      <c r="E4259">
        <v>24.75</v>
      </c>
      <c r="F4259">
        <v>8.1300000000000008</v>
      </c>
      <c r="G4259">
        <v>0.01</v>
      </c>
    </row>
    <row r="4260" spans="1:7">
      <c r="A4260">
        <v>328</v>
      </c>
      <c r="B4260" t="s">
        <v>1294</v>
      </c>
      <c r="C4260" t="s">
        <v>24</v>
      </c>
      <c r="D4260">
        <v>20.5</v>
      </c>
      <c r="E4260">
        <v>19.989999999999998</v>
      </c>
      <c r="F4260">
        <v>58.55</v>
      </c>
      <c r="G4260">
        <v>0.09</v>
      </c>
    </row>
    <row r="4261" spans="1:7" hidden="1">
      <c r="A4261">
        <v>328</v>
      </c>
      <c r="B4261" t="s">
        <v>1294</v>
      </c>
      <c r="C4261" t="s">
        <v>966</v>
      </c>
      <c r="D4261">
        <v>0.14000000000000001</v>
      </c>
      <c r="E4261">
        <v>18.05</v>
      </c>
      <c r="F4261">
        <v>0.35</v>
      </c>
      <c r="G4261">
        <v>0.13</v>
      </c>
    </row>
    <row r="4262" spans="1:7" hidden="1">
      <c r="A4262">
        <v>328</v>
      </c>
      <c r="B4262" t="s">
        <v>1294</v>
      </c>
      <c r="C4262" t="s">
        <v>967</v>
      </c>
      <c r="D4262">
        <v>0.02</v>
      </c>
      <c r="E4262">
        <v>17.91</v>
      </c>
      <c r="F4262">
        <v>0.04</v>
      </c>
      <c r="G4262">
        <v>0</v>
      </c>
    </row>
    <row r="4263" spans="1:7" hidden="1">
      <c r="A4263">
        <v>328</v>
      </c>
      <c r="B4263" t="s">
        <v>1294</v>
      </c>
      <c r="C4263" t="s">
        <v>968</v>
      </c>
      <c r="D4263">
        <v>1.97</v>
      </c>
      <c r="E4263">
        <v>18.09</v>
      </c>
      <c r="F4263">
        <v>5.0999999999999996</v>
      </c>
      <c r="G4263">
        <v>0.01</v>
      </c>
    </row>
    <row r="4264" spans="1:7" hidden="1">
      <c r="A4264">
        <v>328</v>
      </c>
      <c r="B4264" t="s">
        <v>1294</v>
      </c>
      <c r="C4264" t="s">
        <v>969</v>
      </c>
      <c r="D4264">
        <v>0.05</v>
      </c>
      <c r="E4264">
        <v>24.75</v>
      </c>
      <c r="F4264">
        <v>0.17</v>
      </c>
      <c r="G4264">
        <v>0</v>
      </c>
    </row>
    <row r="4265" spans="1:7" hidden="1">
      <c r="A4265">
        <v>328</v>
      </c>
      <c r="B4265" t="s">
        <v>1294</v>
      </c>
      <c r="C4265" t="s">
        <v>970</v>
      </c>
      <c r="D4265">
        <v>0.68</v>
      </c>
      <c r="E4265">
        <v>24.75</v>
      </c>
      <c r="F4265">
        <v>2.42</v>
      </c>
      <c r="G4265">
        <v>0</v>
      </c>
    </row>
    <row r="4266" spans="1:7" hidden="1">
      <c r="A4266">
        <v>329</v>
      </c>
      <c r="B4266" t="s">
        <v>1295</v>
      </c>
      <c r="C4266" t="s">
        <v>959</v>
      </c>
      <c r="D4266">
        <v>3.5</v>
      </c>
      <c r="E4266">
        <v>18.309999999999999</v>
      </c>
      <c r="F4266">
        <v>9.16</v>
      </c>
      <c r="G4266">
        <v>7.0000000000000007E-2</v>
      </c>
    </row>
    <row r="4267" spans="1:7" hidden="1">
      <c r="A4267">
        <v>329</v>
      </c>
      <c r="B4267" t="s">
        <v>1295</v>
      </c>
      <c r="C4267" t="s">
        <v>960</v>
      </c>
      <c r="D4267">
        <v>2.87</v>
      </c>
      <c r="E4267">
        <v>18.399999999999999</v>
      </c>
      <c r="F4267">
        <v>7.55</v>
      </c>
      <c r="G4267">
        <v>0.11</v>
      </c>
    </row>
    <row r="4268" spans="1:7" hidden="1">
      <c r="A4268">
        <v>329</v>
      </c>
      <c r="B4268" t="s">
        <v>1295</v>
      </c>
      <c r="C4268" t="s">
        <v>961</v>
      </c>
      <c r="D4268">
        <v>1.63</v>
      </c>
      <c r="E4268">
        <v>20.059999999999999</v>
      </c>
      <c r="F4268">
        <v>4.67</v>
      </c>
      <c r="G4268">
        <v>0.02</v>
      </c>
    </row>
    <row r="4269" spans="1:7" hidden="1">
      <c r="A4269">
        <v>329</v>
      </c>
      <c r="B4269" t="s">
        <v>1295</v>
      </c>
      <c r="C4269" t="s">
        <v>962</v>
      </c>
      <c r="D4269">
        <v>1.06</v>
      </c>
      <c r="E4269">
        <v>24.72</v>
      </c>
      <c r="F4269">
        <v>3.74</v>
      </c>
      <c r="G4269">
        <v>0</v>
      </c>
    </row>
    <row r="4270" spans="1:7" hidden="1">
      <c r="A4270">
        <v>329</v>
      </c>
      <c r="B4270" t="s">
        <v>1295</v>
      </c>
      <c r="C4270" t="s">
        <v>963</v>
      </c>
      <c r="D4270">
        <v>2.52</v>
      </c>
      <c r="E4270">
        <v>18.13</v>
      </c>
      <c r="F4270">
        <v>6.53</v>
      </c>
      <c r="G4270">
        <v>0.02</v>
      </c>
    </row>
    <row r="4271" spans="1:7" hidden="1">
      <c r="A4271">
        <v>329</v>
      </c>
      <c r="B4271" t="s">
        <v>1295</v>
      </c>
      <c r="C4271" t="s">
        <v>964</v>
      </c>
      <c r="D4271">
        <v>0.08</v>
      </c>
      <c r="E4271">
        <v>21.87</v>
      </c>
      <c r="F4271">
        <v>0.23</v>
      </c>
      <c r="G4271">
        <v>0</v>
      </c>
    </row>
    <row r="4272" spans="1:7" hidden="1">
      <c r="A4272">
        <v>329</v>
      </c>
      <c r="B4272" t="s">
        <v>1295</v>
      </c>
      <c r="C4272" t="s">
        <v>965</v>
      </c>
      <c r="D4272">
        <v>2.0699999999999998</v>
      </c>
      <c r="E4272">
        <v>24.75</v>
      </c>
      <c r="F4272">
        <v>7.31</v>
      </c>
      <c r="G4272">
        <v>0.03</v>
      </c>
    </row>
    <row r="4273" spans="1:7">
      <c r="A4273">
        <v>329</v>
      </c>
      <c r="B4273" t="s">
        <v>1295</v>
      </c>
      <c r="C4273" t="s">
        <v>24</v>
      </c>
      <c r="D4273">
        <v>13.73</v>
      </c>
      <c r="E4273">
        <v>19.989999999999998</v>
      </c>
      <c r="F4273">
        <v>39.200000000000003</v>
      </c>
      <c r="G4273">
        <v>0.26</v>
      </c>
    </row>
    <row r="4274" spans="1:7" hidden="1">
      <c r="A4274">
        <v>329</v>
      </c>
      <c r="B4274" t="s">
        <v>1295</v>
      </c>
      <c r="C4274" t="s">
        <v>966</v>
      </c>
      <c r="D4274">
        <v>0.43</v>
      </c>
      <c r="E4274">
        <v>18.05</v>
      </c>
      <c r="F4274">
        <v>1.1000000000000001</v>
      </c>
      <c r="G4274">
        <v>0.42</v>
      </c>
    </row>
    <row r="4275" spans="1:7" hidden="1">
      <c r="A4275">
        <v>329</v>
      </c>
      <c r="B4275" t="s">
        <v>1295</v>
      </c>
      <c r="C4275" t="s">
        <v>967</v>
      </c>
      <c r="D4275">
        <v>0.01</v>
      </c>
      <c r="E4275">
        <v>17.91</v>
      </c>
      <c r="F4275">
        <v>0.02</v>
      </c>
      <c r="G4275">
        <v>0</v>
      </c>
    </row>
    <row r="4276" spans="1:7" hidden="1">
      <c r="A4276">
        <v>329</v>
      </c>
      <c r="B4276" t="s">
        <v>1295</v>
      </c>
      <c r="C4276" t="s">
        <v>968</v>
      </c>
      <c r="D4276">
        <v>1.25</v>
      </c>
      <c r="E4276">
        <v>18.09</v>
      </c>
      <c r="F4276">
        <v>3.23</v>
      </c>
      <c r="G4276">
        <v>0.01</v>
      </c>
    </row>
    <row r="4277" spans="1:7" hidden="1">
      <c r="A4277">
        <v>329</v>
      </c>
      <c r="B4277" t="s">
        <v>1295</v>
      </c>
      <c r="C4277" t="s">
        <v>969</v>
      </c>
      <c r="D4277">
        <v>0.15</v>
      </c>
      <c r="E4277">
        <v>24.75</v>
      </c>
      <c r="F4277">
        <v>0.53</v>
      </c>
      <c r="G4277">
        <v>0</v>
      </c>
    </row>
    <row r="4278" spans="1:7" hidden="1">
      <c r="A4278">
        <v>329</v>
      </c>
      <c r="B4278" t="s">
        <v>1295</v>
      </c>
      <c r="C4278" t="s">
        <v>970</v>
      </c>
      <c r="D4278">
        <v>0.61</v>
      </c>
      <c r="E4278">
        <v>24.75</v>
      </c>
      <c r="F4278">
        <v>2.16</v>
      </c>
      <c r="G4278">
        <v>0.02</v>
      </c>
    </row>
    <row r="4279" spans="1:7" hidden="1">
      <c r="A4279">
        <v>330</v>
      </c>
      <c r="B4279" t="s">
        <v>1296</v>
      </c>
      <c r="C4279" t="s">
        <v>959</v>
      </c>
      <c r="D4279">
        <v>6.4</v>
      </c>
      <c r="E4279">
        <v>18.309999999999999</v>
      </c>
      <c r="F4279">
        <v>16.73</v>
      </c>
      <c r="G4279">
        <v>0.01</v>
      </c>
    </row>
    <row r="4280" spans="1:7" hidden="1">
      <c r="A4280">
        <v>330</v>
      </c>
      <c r="B4280" t="s">
        <v>1296</v>
      </c>
      <c r="C4280" t="s">
        <v>960</v>
      </c>
      <c r="D4280">
        <v>4.3</v>
      </c>
      <c r="E4280">
        <v>18.399999999999999</v>
      </c>
      <c r="F4280">
        <v>11.3</v>
      </c>
      <c r="G4280">
        <v>0.01</v>
      </c>
    </row>
    <row r="4281" spans="1:7" hidden="1">
      <c r="A4281">
        <v>330</v>
      </c>
      <c r="B4281" t="s">
        <v>1296</v>
      </c>
      <c r="C4281" t="s">
        <v>961</v>
      </c>
      <c r="D4281">
        <v>4.38</v>
      </c>
      <c r="E4281">
        <v>20.059999999999999</v>
      </c>
      <c r="F4281">
        <v>12.56</v>
      </c>
      <c r="G4281">
        <v>0</v>
      </c>
    </row>
    <row r="4282" spans="1:7" hidden="1">
      <c r="A4282">
        <v>330</v>
      </c>
      <c r="B4282" t="s">
        <v>1296</v>
      </c>
      <c r="C4282" t="s">
        <v>962</v>
      </c>
      <c r="D4282">
        <v>2.41</v>
      </c>
      <c r="E4282">
        <v>24.72</v>
      </c>
      <c r="F4282">
        <v>8.5</v>
      </c>
      <c r="G4282">
        <v>0.01</v>
      </c>
    </row>
    <row r="4283" spans="1:7" hidden="1">
      <c r="A4283">
        <v>330</v>
      </c>
      <c r="B4283" t="s">
        <v>1296</v>
      </c>
      <c r="C4283" t="s">
        <v>963</v>
      </c>
      <c r="D4283">
        <v>3.29</v>
      </c>
      <c r="E4283">
        <v>18.13</v>
      </c>
      <c r="F4283">
        <v>8.5299999999999994</v>
      </c>
      <c r="G4283">
        <v>0</v>
      </c>
    </row>
    <row r="4284" spans="1:7" hidden="1">
      <c r="A4284">
        <v>330</v>
      </c>
      <c r="B4284" t="s">
        <v>1296</v>
      </c>
      <c r="C4284" t="s">
        <v>964</v>
      </c>
      <c r="D4284">
        <v>0.19</v>
      </c>
      <c r="E4284">
        <v>21.87</v>
      </c>
      <c r="F4284">
        <v>0.59</v>
      </c>
      <c r="G4284">
        <v>0</v>
      </c>
    </row>
    <row r="4285" spans="1:7" hidden="1">
      <c r="A4285">
        <v>330</v>
      </c>
      <c r="B4285" t="s">
        <v>1296</v>
      </c>
      <c r="C4285" t="s">
        <v>965</v>
      </c>
      <c r="D4285">
        <v>2.44</v>
      </c>
      <c r="E4285">
        <v>24.75</v>
      </c>
      <c r="F4285">
        <v>8.61</v>
      </c>
      <c r="G4285">
        <v>0</v>
      </c>
    </row>
    <row r="4286" spans="1:7">
      <c r="A4286">
        <v>330</v>
      </c>
      <c r="B4286" t="s">
        <v>1296</v>
      </c>
      <c r="C4286" t="s">
        <v>24</v>
      </c>
      <c r="D4286">
        <v>23.41</v>
      </c>
      <c r="E4286">
        <v>19.989999999999998</v>
      </c>
      <c r="F4286">
        <v>66.84</v>
      </c>
      <c r="G4286">
        <v>0.03</v>
      </c>
    </row>
    <row r="4287" spans="1:7" hidden="1">
      <c r="A4287">
        <v>330</v>
      </c>
      <c r="B4287" t="s">
        <v>1296</v>
      </c>
      <c r="C4287" t="s">
        <v>966</v>
      </c>
      <c r="D4287">
        <v>0.01</v>
      </c>
      <c r="E4287">
        <v>18.05</v>
      </c>
      <c r="F4287">
        <v>0.02</v>
      </c>
      <c r="G4287">
        <v>0.01</v>
      </c>
    </row>
    <row r="4288" spans="1:7" hidden="1">
      <c r="A4288">
        <v>330</v>
      </c>
      <c r="B4288" t="s">
        <v>1296</v>
      </c>
      <c r="C4288" t="s">
        <v>967</v>
      </c>
      <c r="D4288">
        <v>0.02</v>
      </c>
      <c r="E4288">
        <v>17.91</v>
      </c>
      <c r="F4288">
        <v>0.06</v>
      </c>
      <c r="G4288">
        <v>0</v>
      </c>
    </row>
    <row r="4289" spans="1:7" hidden="1">
      <c r="A4289">
        <v>330</v>
      </c>
      <c r="B4289" t="s">
        <v>1296</v>
      </c>
      <c r="C4289" t="s">
        <v>968</v>
      </c>
      <c r="D4289">
        <v>2.35</v>
      </c>
      <c r="E4289">
        <v>18.09</v>
      </c>
      <c r="F4289">
        <v>6.06</v>
      </c>
      <c r="G4289">
        <v>0.01</v>
      </c>
    </row>
    <row r="4290" spans="1:7" hidden="1">
      <c r="A4290">
        <v>330</v>
      </c>
      <c r="B4290" t="s">
        <v>1296</v>
      </c>
      <c r="C4290" t="s">
        <v>969</v>
      </c>
      <c r="D4290">
        <v>0.01</v>
      </c>
      <c r="E4290">
        <v>24.75</v>
      </c>
      <c r="F4290">
        <v>0.03</v>
      </c>
      <c r="G4290">
        <v>0</v>
      </c>
    </row>
    <row r="4291" spans="1:7" hidden="1">
      <c r="A4291">
        <v>330</v>
      </c>
      <c r="B4291" t="s">
        <v>1296</v>
      </c>
      <c r="C4291" t="s">
        <v>970</v>
      </c>
      <c r="D4291">
        <v>0.71</v>
      </c>
      <c r="E4291">
        <v>24.75</v>
      </c>
      <c r="F4291">
        <v>2.5099999999999998</v>
      </c>
      <c r="G4291">
        <v>0</v>
      </c>
    </row>
    <row r="4292" spans="1:7" hidden="1">
      <c r="A4292">
        <v>331</v>
      </c>
      <c r="B4292" t="s">
        <v>1297</v>
      </c>
      <c r="C4292" t="s">
        <v>959</v>
      </c>
      <c r="D4292">
        <v>7.31</v>
      </c>
      <c r="E4292">
        <v>18.309999999999999</v>
      </c>
      <c r="F4292">
        <v>19.12</v>
      </c>
      <c r="G4292">
        <v>4.1900000000000004</v>
      </c>
    </row>
    <row r="4293" spans="1:7" hidden="1">
      <c r="A4293">
        <v>331</v>
      </c>
      <c r="B4293" t="s">
        <v>1297</v>
      </c>
      <c r="C4293" t="s">
        <v>960</v>
      </c>
      <c r="D4293">
        <v>6.63</v>
      </c>
      <c r="E4293">
        <v>18.399999999999999</v>
      </c>
      <c r="F4293">
        <v>17.420000000000002</v>
      </c>
      <c r="G4293">
        <v>4.8499999999999996</v>
      </c>
    </row>
    <row r="4294" spans="1:7" hidden="1">
      <c r="A4294">
        <v>331</v>
      </c>
      <c r="B4294" t="s">
        <v>1297</v>
      </c>
      <c r="C4294" t="s">
        <v>961</v>
      </c>
      <c r="D4294">
        <v>0.82</v>
      </c>
      <c r="E4294">
        <v>20.059999999999999</v>
      </c>
      <c r="F4294">
        <v>2.34</v>
      </c>
      <c r="G4294">
        <v>0.43</v>
      </c>
    </row>
    <row r="4295" spans="1:7" hidden="1">
      <c r="A4295">
        <v>331</v>
      </c>
      <c r="B4295" t="s">
        <v>1297</v>
      </c>
      <c r="C4295" t="s">
        <v>962</v>
      </c>
      <c r="D4295">
        <v>0.96</v>
      </c>
      <c r="E4295">
        <v>24.72</v>
      </c>
      <c r="F4295">
        <v>3.4</v>
      </c>
      <c r="G4295">
        <v>0.46</v>
      </c>
    </row>
    <row r="4296" spans="1:7" hidden="1">
      <c r="A4296">
        <v>331</v>
      </c>
      <c r="B4296" t="s">
        <v>1297</v>
      </c>
      <c r="C4296" t="s">
        <v>963</v>
      </c>
      <c r="D4296">
        <v>2.5</v>
      </c>
      <c r="E4296">
        <v>18.13</v>
      </c>
      <c r="F4296">
        <v>6.46</v>
      </c>
      <c r="G4296">
        <v>1.23</v>
      </c>
    </row>
    <row r="4297" spans="1:7" hidden="1">
      <c r="A4297">
        <v>331</v>
      </c>
      <c r="B4297" t="s">
        <v>1297</v>
      </c>
      <c r="C4297" t="s">
        <v>964</v>
      </c>
      <c r="D4297">
        <v>0.08</v>
      </c>
      <c r="E4297">
        <v>21.87</v>
      </c>
      <c r="F4297">
        <v>0.25</v>
      </c>
      <c r="G4297">
        <v>0</v>
      </c>
    </row>
    <row r="4298" spans="1:7" hidden="1">
      <c r="A4298">
        <v>331</v>
      </c>
      <c r="B4298" t="s">
        <v>1297</v>
      </c>
      <c r="C4298" t="s">
        <v>965</v>
      </c>
      <c r="D4298">
        <v>2.23</v>
      </c>
      <c r="E4298">
        <v>24.75</v>
      </c>
      <c r="F4298">
        <v>7.89</v>
      </c>
      <c r="G4298">
        <v>0.97</v>
      </c>
    </row>
    <row r="4299" spans="1:7">
      <c r="A4299">
        <v>331</v>
      </c>
      <c r="B4299" t="s">
        <v>1297</v>
      </c>
      <c r="C4299" t="s">
        <v>24</v>
      </c>
      <c r="D4299">
        <v>20.53</v>
      </c>
      <c r="E4299">
        <v>19.399999999999999</v>
      </c>
      <c r="F4299">
        <v>56.89</v>
      </c>
      <c r="G4299">
        <v>12.14</v>
      </c>
    </row>
    <row r="4300" spans="1:7" hidden="1">
      <c r="A4300">
        <v>331</v>
      </c>
      <c r="B4300" t="s">
        <v>1297</v>
      </c>
      <c r="C4300" t="s">
        <v>966</v>
      </c>
      <c r="D4300">
        <v>10.57</v>
      </c>
      <c r="E4300">
        <v>18.05</v>
      </c>
      <c r="F4300">
        <v>27.25</v>
      </c>
      <c r="G4300">
        <v>10.18</v>
      </c>
    </row>
    <row r="4301" spans="1:7" hidden="1">
      <c r="A4301">
        <v>331</v>
      </c>
      <c r="B4301" t="s">
        <v>1297</v>
      </c>
      <c r="C4301" t="s">
        <v>967</v>
      </c>
      <c r="D4301">
        <v>0.1</v>
      </c>
      <c r="E4301">
        <v>17.91</v>
      </c>
      <c r="F4301">
        <v>0.26</v>
      </c>
      <c r="G4301">
        <v>0.04</v>
      </c>
    </row>
    <row r="4302" spans="1:7" hidden="1">
      <c r="A4302">
        <v>331</v>
      </c>
      <c r="B4302" t="s">
        <v>1297</v>
      </c>
      <c r="C4302" t="s">
        <v>968</v>
      </c>
      <c r="D4302">
        <v>1.35</v>
      </c>
      <c r="E4302">
        <v>18.09</v>
      </c>
      <c r="F4302">
        <v>3.5</v>
      </c>
      <c r="G4302">
        <v>0.81</v>
      </c>
    </row>
    <row r="4303" spans="1:7" hidden="1">
      <c r="A4303">
        <v>331</v>
      </c>
      <c r="B4303" t="s">
        <v>1297</v>
      </c>
      <c r="C4303" t="s">
        <v>969</v>
      </c>
      <c r="D4303">
        <v>1.56</v>
      </c>
      <c r="E4303">
        <v>24.75</v>
      </c>
      <c r="F4303">
        <v>5.53</v>
      </c>
      <c r="G4303">
        <v>0.08</v>
      </c>
    </row>
    <row r="4304" spans="1:7" hidden="1">
      <c r="A4304">
        <v>331</v>
      </c>
      <c r="B4304" t="s">
        <v>1297</v>
      </c>
      <c r="C4304" t="s">
        <v>970</v>
      </c>
      <c r="D4304">
        <v>0.91</v>
      </c>
      <c r="E4304">
        <v>24.75</v>
      </c>
      <c r="F4304">
        <v>3.24</v>
      </c>
      <c r="G4304">
        <v>0.45</v>
      </c>
    </row>
    <row r="4305" spans="1:7" hidden="1">
      <c r="A4305">
        <v>332</v>
      </c>
      <c r="B4305" t="s">
        <v>1298</v>
      </c>
      <c r="C4305" t="s">
        <v>959</v>
      </c>
      <c r="D4305">
        <v>7.22</v>
      </c>
      <c r="E4305">
        <v>18.309999999999999</v>
      </c>
      <c r="F4305">
        <v>18.88</v>
      </c>
      <c r="G4305">
        <v>3.12</v>
      </c>
    </row>
    <row r="4306" spans="1:7" hidden="1">
      <c r="A4306">
        <v>332</v>
      </c>
      <c r="B4306" t="s">
        <v>1298</v>
      </c>
      <c r="C4306" t="s">
        <v>960</v>
      </c>
      <c r="D4306">
        <v>5.91</v>
      </c>
      <c r="E4306">
        <v>18.399999999999999</v>
      </c>
      <c r="F4306">
        <v>15.54</v>
      </c>
      <c r="G4306">
        <v>3.61</v>
      </c>
    </row>
    <row r="4307" spans="1:7" hidden="1">
      <c r="A4307">
        <v>332</v>
      </c>
      <c r="B4307" t="s">
        <v>1298</v>
      </c>
      <c r="C4307" t="s">
        <v>961</v>
      </c>
      <c r="D4307">
        <v>1.02</v>
      </c>
      <c r="E4307">
        <v>20.059999999999999</v>
      </c>
      <c r="F4307">
        <v>2.91</v>
      </c>
      <c r="G4307">
        <v>0.44</v>
      </c>
    </row>
    <row r="4308" spans="1:7" hidden="1">
      <c r="A4308">
        <v>332</v>
      </c>
      <c r="B4308" t="s">
        <v>1298</v>
      </c>
      <c r="C4308" t="s">
        <v>962</v>
      </c>
      <c r="D4308">
        <v>0.94</v>
      </c>
      <c r="E4308">
        <v>24.72</v>
      </c>
      <c r="F4308">
        <v>3.33</v>
      </c>
      <c r="G4308">
        <v>0.35</v>
      </c>
    </row>
    <row r="4309" spans="1:7" hidden="1">
      <c r="A4309">
        <v>332</v>
      </c>
      <c r="B4309" t="s">
        <v>1298</v>
      </c>
      <c r="C4309" t="s">
        <v>963</v>
      </c>
      <c r="D4309">
        <v>2.66</v>
      </c>
      <c r="E4309">
        <v>18.13</v>
      </c>
      <c r="F4309">
        <v>6.9</v>
      </c>
      <c r="G4309">
        <v>0.94</v>
      </c>
    </row>
    <row r="4310" spans="1:7" hidden="1">
      <c r="A4310">
        <v>332</v>
      </c>
      <c r="B4310" t="s">
        <v>1298</v>
      </c>
      <c r="C4310" t="s">
        <v>964</v>
      </c>
      <c r="D4310">
        <v>0.1</v>
      </c>
      <c r="E4310">
        <v>21.87</v>
      </c>
      <c r="F4310">
        <v>0.32</v>
      </c>
      <c r="G4310">
        <v>0.08</v>
      </c>
    </row>
    <row r="4311" spans="1:7" hidden="1">
      <c r="A4311">
        <v>332</v>
      </c>
      <c r="B4311" t="s">
        <v>1298</v>
      </c>
      <c r="C4311" t="s">
        <v>965</v>
      </c>
      <c r="D4311">
        <v>1.93</v>
      </c>
      <c r="E4311">
        <v>24.75</v>
      </c>
      <c r="F4311">
        <v>6.82</v>
      </c>
      <c r="G4311">
        <v>0.71</v>
      </c>
    </row>
    <row r="4312" spans="1:7">
      <c r="A4312">
        <v>332</v>
      </c>
      <c r="B4312" t="s">
        <v>1298</v>
      </c>
      <c r="C4312" t="s">
        <v>24</v>
      </c>
      <c r="D4312">
        <v>19.79</v>
      </c>
      <c r="E4312">
        <v>19.350000000000001</v>
      </c>
      <c r="F4312">
        <v>54.7</v>
      </c>
      <c r="G4312">
        <v>9.24</v>
      </c>
    </row>
    <row r="4313" spans="1:7" hidden="1">
      <c r="A4313">
        <v>332</v>
      </c>
      <c r="B4313" t="s">
        <v>1298</v>
      </c>
      <c r="C4313" t="s">
        <v>966</v>
      </c>
      <c r="D4313">
        <v>6.99</v>
      </c>
      <c r="E4313">
        <v>18.05</v>
      </c>
      <c r="F4313">
        <v>18.03</v>
      </c>
      <c r="G4313">
        <v>6.03</v>
      </c>
    </row>
    <row r="4314" spans="1:7" hidden="1">
      <c r="A4314">
        <v>332</v>
      </c>
      <c r="B4314" t="s">
        <v>1298</v>
      </c>
      <c r="C4314" t="s">
        <v>967</v>
      </c>
      <c r="D4314">
        <v>7.0000000000000007E-2</v>
      </c>
      <c r="E4314">
        <v>17.91</v>
      </c>
      <c r="F4314">
        <v>0.18</v>
      </c>
      <c r="G4314">
        <v>0.04</v>
      </c>
    </row>
    <row r="4315" spans="1:7" hidden="1">
      <c r="A4315">
        <v>332</v>
      </c>
      <c r="B4315" t="s">
        <v>1298</v>
      </c>
      <c r="C4315" t="s">
        <v>968</v>
      </c>
      <c r="D4315">
        <v>0.97</v>
      </c>
      <c r="E4315">
        <v>18.09</v>
      </c>
      <c r="F4315">
        <v>2.4900000000000002</v>
      </c>
      <c r="G4315">
        <v>0.5</v>
      </c>
    </row>
    <row r="4316" spans="1:7" hidden="1">
      <c r="A4316">
        <v>332</v>
      </c>
      <c r="B4316" t="s">
        <v>1298</v>
      </c>
      <c r="C4316" t="s">
        <v>969</v>
      </c>
      <c r="D4316">
        <v>1.3</v>
      </c>
      <c r="E4316">
        <v>24.75</v>
      </c>
      <c r="F4316">
        <v>4.5999999999999996</v>
      </c>
      <c r="G4316">
        <v>0.03</v>
      </c>
    </row>
    <row r="4317" spans="1:7" hidden="1">
      <c r="A4317">
        <v>332</v>
      </c>
      <c r="B4317" t="s">
        <v>1298</v>
      </c>
      <c r="C4317" t="s">
        <v>970</v>
      </c>
      <c r="D4317">
        <v>0.54</v>
      </c>
      <c r="E4317">
        <v>24.75</v>
      </c>
      <c r="F4317">
        <v>1.92</v>
      </c>
      <c r="G4317">
        <v>0.23</v>
      </c>
    </row>
    <row r="4318" spans="1:7" hidden="1">
      <c r="A4318">
        <v>333</v>
      </c>
      <c r="B4318" t="s">
        <v>1299</v>
      </c>
      <c r="C4318" t="s">
        <v>959</v>
      </c>
      <c r="D4318">
        <v>3.6</v>
      </c>
      <c r="E4318">
        <v>18.309999999999999</v>
      </c>
      <c r="F4318">
        <v>9.42</v>
      </c>
      <c r="G4318">
        <v>0</v>
      </c>
    </row>
    <row r="4319" spans="1:7" hidden="1">
      <c r="A4319">
        <v>333</v>
      </c>
      <c r="B4319" t="s">
        <v>1299</v>
      </c>
      <c r="C4319" t="s">
        <v>960</v>
      </c>
      <c r="D4319">
        <v>3.16</v>
      </c>
      <c r="E4319">
        <v>18.399999999999999</v>
      </c>
      <c r="F4319">
        <v>8.3000000000000007</v>
      </c>
      <c r="G4319">
        <v>0</v>
      </c>
    </row>
    <row r="4320" spans="1:7" hidden="1">
      <c r="A4320">
        <v>333</v>
      </c>
      <c r="B4320" t="s">
        <v>1299</v>
      </c>
      <c r="C4320" t="s">
        <v>961</v>
      </c>
      <c r="D4320">
        <v>1.22</v>
      </c>
      <c r="E4320">
        <v>20.059999999999999</v>
      </c>
      <c r="F4320">
        <v>3.48</v>
      </c>
      <c r="G4320">
        <v>0</v>
      </c>
    </row>
    <row r="4321" spans="1:7" hidden="1">
      <c r="A4321">
        <v>333</v>
      </c>
      <c r="B4321" t="s">
        <v>1299</v>
      </c>
      <c r="C4321" t="s">
        <v>962</v>
      </c>
      <c r="D4321">
        <v>0.61</v>
      </c>
      <c r="E4321">
        <v>24.72</v>
      </c>
      <c r="F4321">
        <v>2.16</v>
      </c>
      <c r="G4321">
        <v>0</v>
      </c>
    </row>
    <row r="4322" spans="1:7" hidden="1">
      <c r="A4322">
        <v>333</v>
      </c>
      <c r="B4322" t="s">
        <v>1299</v>
      </c>
      <c r="C4322" t="s">
        <v>963</v>
      </c>
      <c r="D4322">
        <v>2.71</v>
      </c>
      <c r="E4322">
        <v>18.13</v>
      </c>
      <c r="F4322">
        <v>7.03</v>
      </c>
      <c r="G4322">
        <v>0</v>
      </c>
    </row>
    <row r="4323" spans="1:7" hidden="1">
      <c r="A4323">
        <v>333</v>
      </c>
      <c r="B4323" t="s">
        <v>1299</v>
      </c>
      <c r="C4323" t="s">
        <v>964</v>
      </c>
      <c r="D4323">
        <v>0.16</v>
      </c>
      <c r="E4323">
        <v>21.87</v>
      </c>
      <c r="F4323">
        <v>0.5</v>
      </c>
      <c r="G4323">
        <v>0</v>
      </c>
    </row>
    <row r="4324" spans="1:7" hidden="1">
      <c r="A4324">
        <v>333</v>
      </c>
      <c r="B4324" t="s">
        <v>1299</v>
      </c>
      <c r="C4324" t="s">
        <v>965</v>
      </c>
      <c r="D4324">
        <v>2.35</v>
      </c>
      <c r="E4324">
        <v>24.75</v>
      </c>
      <c r="F4324">
        <v>8.31</v>
      </c>
      <c r="G4324">
        <v>0</v>
      </c>
    </row>
    <row r="4325" spans="1:7">
      <c r="A4325">
        <v>333</v>
      </c>
      <c r="B4325" t="s">
        <v>1299</v>
      </c>
      <c r="C4325" t="s">
        <v>24</v>
      </c>
      <c r="D4325">
        <v>13.81</v>
      </c>
      <c r="E4325">
        <v>19.87</v>
      </c>
      <c r="F4325">
        <v>39.200000000000003</v>
      </c>
      <c r="G4325">
        <v>0</v>
      </c>
    </row>
    <row r="4326" spans="1:7" hidden="1">
      <c r="A4326">
        <v>333</v>
      </c>
      <c r="B4326" t="s">
        <v>1299</v>
      </c>
      <c r="C4326" t="s">
        <v>966</v>
      </c>
      <c r="D4326">
        <v>1.1499999999999999</v>
      </c>
      <c r="E4326">
        <v>18.05</v>
      </c>
      <c r="F4326">
        <v>2.96</v>
      </c>
      <c r="G4326">
        <v>0.85</v>
      </c>
    </row>
    <row r="4327" spans="1:7" hidden="1">
      <c r="A4327">
        <v>333</v>
      </c>
      <c r="B4327" t="s">
        <v>1299</v>
      </c>
      <c r="C4327" t="s">
        <v>967</v>
      </c>
      <c r="D4327">
        <v>0.17</v>
      </c>
      <c r="E4327">
        <v>17.91</v>
      </c>
      <c r="F4327">
        <v>0.44</v>
      </c>
      <c r="G4327">
        <v>0</v>
      </c>
    </row>
    <row r="4328" spans="1:7" hidden="1">
      <c r="A4328">
        <v>333</v>
      </c>
      <c r="B4328" t="s">
        <v>1299</v>
      </c>
      <c r="C4328" t="s">
        <v>968</v>
      </c>
      <c r="D4328">
        <v>1.96</v>
      </c>
      <c r="E4328">
        <v>18.09</v>
      </c>
      <c r="F4328">
        <v>5.07</v>
      </c>
      <c r="G4328">
        <v>0</v>
      </c>
    </row>
    <row r="4329" spans="1:7" hidden="1">
      <c r="A4329">
        <v>333</v>
      </c>
      <c r="B4329" t="s">
        <v>1299</v>
      </c>
      <c r="C4329" t="s">
        <v>969</v>
      </c>
      <c r="D4329">
        <v>0.44</v>
      </c>
      <c r="E4329">
        <v>24.75</v>
      </c>
      <c r="F4329">
        <v>1.56</v>
      </c>
      <c r="G4329">
        <v>0</v>
      </c>
    </row>
    <row r="4330" spans="1:7" hidden="1">
      <c r="A4330">
        <v>333</v>
      </c>
      <c r="B4330" t="s">
        <v>1299</v>
      </c>
      <c r="C4330" t="s">
        <v>970</v>
      </c>
      <c r="D4330">
        <v>0.65</v>
      </c>
      <c r="E4330">
        <v>24.75</v>
      </c>
      <c r="F4330">
        <v>2.29</v>
      </c>
      <c r="G4330">
        <v>0</v>
      </c>
    </row>
    <row r="4331" spans="1:7" hidden="1">
      <c r="A4331">
        <v>334</v>
      </c>
      <c r="B4331" t="s">
        <v>1300</v>
      </c>
      <c r="C4331" t="s">
        <v>959</v>
      </c>
      <c r="D4331">
        <v>6.03</v>
      </c>
      <c r="E4331">
        <v>18.309999999999999</v>
      </c>
      <c r="F4331">
        <v>15.78</v>
      </c>
      <c r="G4331">
        <v>2.77</v>
      </c>
    </row>
    <row r="4332" spans="1:7" hidden="1">
      <c r="A4332">
        <v>334</v>
      </c>
      <c r="B4332" t="s">
        <v>1300</v>
      </c>
      <c r="C4332" t="s">
        <v>960</v>
      </c>
      <c r="D4332">
        <v>5.32</v>
      </c>
      <c r="E4332">
        <v>18.399999999999999</v>
      </c>
      <c r="F4332">
        <v>13.97</v>
      </c>
      <c r="G4332">
        <v>3.05</v>
      </c>
    </row>
    <row r="4333" spans="1:7" hidden="1">
      <c r="A4333">
        <v>334</v>
      </c>
      <c r="B4333" t="s">
        <v>1300</v>
      </c>
      <c r="C4333" t="s">
        <v>961</v>
      </c>
      <c r="D4333">
        <v>0.89</v>
      </c>
      <c r="E4333">
        <v>20.059999999999999</v>
      </c>
      <c r="F4333">
        <v>2.56</v>
      </c>
      <c r="G4333">
        <v>0.27</v>
      </c>
    </row>
    <row r="4334" spans="1:7" hidden="1">
      <c r="A4334">
        <v>334</v>
      </c>
      <c r="B4334" t="s">
        <v>1300</v>
      </c>
      <c r="C4334" t="s">
        <v>962</v>
      </c>
      <c r="D4334">
        <v>0.79</v>
      </c>
      <c r="E4334">
        <v>24.72</v>
      </c>
      <c r="F4334">
        <v>2.77</v>
      </c>
      <c r="G4334">
        <v>0.28999999999999998</v>
      </c>
    </row>
    <row r="4335" spans="1:7" hidden="1">
      <c r="A4335">
        <v>334</v>
      </c>
      <c r="B4335" t="s">
        <v>1300</v>
      </c>
      <c r="C4335" t="s">
        <v>963</v>
      </c>
      <c r="D4335">
        <v>2.5</v>
      </c>
      <c r="E4335">
        <v>18.13</v>
      </c>
      <c r="F4335">
        <v>6.47</v>
      </c>
      <c r="G4335">
        <v>0.76</v>
      </c>
    </row>
    <row r="4336" spans="1:7" hidden="1">
      <c r="A4336">
        <v>334</v>
      </c>
      <c r="B4336" t="s">
        <v>1300</v>
      </c>
      <c r="C4336" t="s">
        <v>964</v>
      </c>
      <c r="D4336">
        <v>0.11</v>
      </c>
      <c r="E4336">
        <v>21.87</v>
      </c>
      <c r="F4336">
        <v>0.36</v>
      </c>
      <c r="G4336">
        <v>0.02</v>
      </c>
    </row>
    <row r="4337" spans="1:7" hidden="1">
      <c r="A4337">
        <v>334</v>
      </c>
      <c r="B4337" t="s">
        <v>1300</v>
      </c>
      <c r="C4337" t="s">
        <v>965</v>
      </c>
      <c r="D4337">
        <v>2.04</v>
      </c>
      <c r="E4337">
        <v>24.75</v>
      </c>
      <c r="F4337">
        <v>7.21</v>
      </c>
      <c r="G4337">
        <v>0.6</v>
      </c>
    </row>
    <row r="4338" spans="1:7">
      <c r="A4338">
        <v>334</v>
      </c>
      <c r="B4338" t="s">
        <v>1300</v>
      </c>
      <c r="C4338" t="s">
        <v>24</v>
      </c>
      <c r="D4338">
        <v>17.68</v>
      </c>
      <c r="E4338">
        <v>19.45</v>
      </c>
      <c r="F4338">
        <v>49.12</v>
      </c>
      <c r="G4338">
        <v>7.77</v>
      </c>
    </row>
    <row r="4339" spans="1:7" hidden="1">
      <c r="A4339">
        <v>334</v>
      </c>
      <c r="B4339" t="s">
        <v>1300</v>
      </c>
      <c r="C4339" t="s">
        <v>966</v>
      </c>
      <c r="D4339">
        <v>7.86</v>
      </c>
      <c r="E4339">
        <v>18.05</v>
      </c>
      <c r="F4339">
        <v>20.28</v>
      </c>
      <c r="G4339">
        <v>7.23</v>
      </c>
    </row>
    <row r="4340" spans="1:7" hidden="1">
      <c r="A4340">
        <v>334</v>
      </c>
      <c r="B4340" t="s">
        <v>1300</v>
      </c>
      <c r="C4340" t="s">
        <v>967</v>
      </c>
      <c r="D4340">
        <v>0.11</v>
      </c>
      <c r="E4340">
        <v>17.91</v>
      </c>
      <c r="F4340">
        <v>0.28999999999999998</v>
      </c>
      <c r="G4340">
        <v>0.04</v>
      </c>
    </row>
    <row r="4341" spans="1:7" hidden="1">
      <c r="A4341">
        <v>334</v>
      </c>
      <c r="B4341" t="s">
        <v>1300</v>
      </c>
      <c r="C4341" t="s">
        <v>968</v>
      </c>
      <c r="D4341">
        <v>1.26</v>
      </c>
      <c r="E4341">
        <v>18.09</v>
      </c>
      <c r="F4341">
        <v>3.26</v>
      </c>
      <c r="G4341">
        <v>0.41</v>
      </c>
    </row>
    <row r="4342" spans="1:7" hidden="1">
      <c r="A4342">
        <v>334</v>
      </c>
      <c r="B4342" t="s">
        <v>1300</v>
      </c>
      <c r="C4342" t="s">
        <v>969</v>
      </c>
      <c r="D4342">
        <v>1.0900000000000001</v>
      </c>
      <c r="E4342">
        <v>24.75</v>
      </c>
      <c r="F4342">
        <v>3.86</v>
      </c>
      <c r="G4342">
        <v>0.03</v>
      </c>
    </row>
    <row r="4343" spans="1:7" hidden="1">
      <c r="A4343">
        <v>334</v>
      </c>
      <c r="B4343" t="s">
        <v>1300</v>
      </c>
      <c r="C4343" t="s">
        <v>970</v>
      </c>
      <c r="D4343">
        <v>0.62</v>
      </c>
      <c r="E4343">
        <v>24.75</v>
      </c>
      <c r="F4343">
        <v>2.2000000000000002</v>
      </c>
      <c r="G4343">
        <v>0.22</v>
      </c>
    </row>
    <row r="4344" spans="1:7" hidden="1">
      <c r="A4344">
        <v>335</v>
      </c>
      <c r="B4344" t="s">
        <v>1301</v>
      </c>
      <c r="C4344" t="s">
        <v>959</v>
      </c>
      <c r="D4344">
        <v>5.66</v>
      </c>
      <c r="E4344">
        <v>18.309999999999999</v>
      </c>
      <c r="F4344">
        <v>14.81</v>
      </c>
      <c r="G4344">
        <v>0.01</v>
      </c>
    </row>
    <row r="4345" spans="1:7" hidden="1">
      <c r="A4345">
        <v>335</v>
      </c>
      <c r="B4345" t="s">
        <v>1301</v>
      </c>
      <c r="C4345" t="s">
        <v>960</v>
      </c>
      <c r="D4345">
        <v>3.85</v>
      </c>
      <c r="E4345">
        <v>18.399999999999999</v>
      </c>
      <c r="F4345">
        <v>10.11</v>
      </c>
      <c r="G4345">
        <v>0</v>
      </c>
    </row>
    <row r="4346" spans="1:7" hidden="1">
      <c r="A4346">
        <v>335</v>
      </c>
      <c r="B4346" t="s">
        <v>1301</v>
      </c>
      <c r="C4346" t="s">
        <v>961</v>
      </c>
      <c r="D4346">
        <v>2.72</v>
      </c>
      <c r="E4346">
        <v>20.059999999999999</v>
      </c>
      <c r="F4346">
        <v>7.79</v>
      </c>
      <c r="G4346">
        <v>0</v>
      </c>
    </row>
    <row r="4347" spans="1:7" hidden="1">
      <c r="A4347">
        <v>335</v>
      </c>
      <c r="B4347" t="s">
        <v>1301</v>
      </c>
      <c r="C4347" t="s">
        <v>962</v>
      </c>
      <c r="D4347">
        <v>1.32</v>
      </c>
      <c r="E4347">
        <v>24.72</v>
      </c>
      <c r="F4347">
        <v>4.66</v>
      </c>
      <c r="G4347">
        <v>0</v>
      </c>
    </row>
    <row r="4348" spans="1:7" hidden="1">
      <c r="A4348">
        <v>335</v>
      </c>
      <c r="B4348" t="s">
        <v>1301</v>
      </c>
      <c r="C4348" t="s">
        <v>963</v>
      </c>
      <c r="D4348">
        <v>2.89</v>
      </c>
      <c r="E4348">
        <v>18.13</v>
      </c>
      <c r="F4348">
        <v>7.5</v>
      </c>
      <c r="G4348">
        <v>0.03</v>
      </c>
    </row>
    <row r="4349" spans="1:7" hidden="1">
      <c r="A4349">
        <v>335</v>
      </c>
      <c r="B4349" t="s">
        <v>1301</v>
      </c>
      <c r="C4349" t="s">
        <v>964</v>
      </c>
      <c r="D4349">
        <v>0.19</v>
      </c>
      <c r="E4349">
        <v>21.87</v>
      </c>
      <c r="F4349">
        <v>0.57999999999999996</v>
      </c>
      <c r="G4349">
        <v>0</v>
      </c>
    </row>
    <row r="4350" spans="1:7" hidden="1">
      <c r="A4350">
        <v>335</v>
      </c>
      <c r="B4350" t="s">
        <v>1301</v>
      </c>
      <c r="C4350" t="s">
        <v>965</v>
      </c>
      <c r="D4350">
        <v>2.2400000000000002</v>
      </c>
      <c r="E4350">
        <v>24.75</v>
      </c>
      <c r="F4350">
        <v>7.92</v>
      </c>
      <c r="G4350">
        <v>0.01</v>
      </c>
    </row>
    <row r="4351" spans="1:7">
      <c r="A4351">
        <v>335</v>
      </c>
      <c r="B4351" t="s">
        <v>1301</v>
      </c>
      <c r="C4351" t="s">
        <v>24</v>
      </c>
      <c r="D4351">
        <v>18.87</v>
      </c>
      <c r="E4351">
        <v>19.8</v>
      </c>
      <c r="F4351">
        <v>53.38</v>
      </c>
      <c r="G4351">
        <v>0.05</v>
      </c>
    </row>
    <row r="4352" spans="1:7" hidden="1">
      <c r="A4352">
        <v>335</v>
      </c>
      <c r="B4352" t="s">
        <v>1301</v>
      </c>
      <c r="C4352" t="s">
        <v>966</v>
      </c>
      <c r="D4352">
        <v>0</v>
      </c>
      <c r="E4352">
        <v>18.05</v>
      </c>
      <c r="F4352">
        <v>0</v>
      </c>
      <c r="G4352">
        <v>0</v>
      </c>
    </row>
    <row r="4353" spans="1:7" hidden="1">
      <c r="A4353">
        <v>335</v>
      </c>
      <c r="B4353" t="s">
        <v>1301</v>
      </c>
      <c r="C4353" t="s">
        <v>967</v>
      </c>
      <c r="D4353">
        <v>0.32</v>
      </c>
      <c r="E4353">
        <v>17.91</v>
      </c>
      <c r="F4353">
        <v>0.82</v>
      </c>
      <c r="G4353">
        <v>0</v>
      </c>
    </row>
    <row r="4354" spans="1:7" hidden="1">
      <c r="A4354">
        <v>335</v>
      </c>
      <c r="B4354" t="s">
        <v>1301</v>
      </c>
      <c r="C4354" t="s">
        <v>968</v>
      </c>
      <c r="D4354">
        <v>1.76</v>
      </c>
      <c r="E4354">
        <v>18.09</v>
      </c>
      <c r="F4354">
        <v>4.55</v>
      </c>
      <c r="G4354">
        <v>0</v>
      </c>
    </row>
    <row r="4355" spans="1:7" hidden="1">
      <c r="A4355">
        <v>335</v>
      </c>
      <c r="B4355" t="s">
        <v>1301</v>
      </c>
      <c r="C4355" t="s">
        <v>969</v>
      </c>
      <c r="D4355">
        <v>0.1</v>
      </c>
      <c r="E4355">
        <v>24.75</v>
      </c>
      <c r="F4355">
        <v>0.36</v>
      </c>
      <c r="G4355">
        <v>0</v>
      </c>
    </row>
    <row r="4356" spans="1:7" hidden="1">
      <c r="A4356">
        <v>335</v>
      </c>
      <c r="B4356" t="s">
        <v>1301</v>
      </c>
      <c r="C4356" t="s">
        <v>970</v>
      </c>
      <c r="D4356">
        <v>0.57999999999999996</v>
      </c>
      <c r="E4356">
        <v>24.75</v>
      </c>
      <c r="F4356">
        <v>2.04</v>
      </c>
      <c r="G4356">
        <v>0</v>
      </c>
    </row>
    <row r="4357" spans="1:7" hidden="1">
      <c r="A4357">
        <v>336</v>
      </c>
      <c r="B4357" t="s">
        <v>1302</v>
      </c>
      <c r="C4357" t="s">
        <v>959</v>
      </c>
      <c r="D4357">
        <v>4.05</v>
      </c>
      <c r="E4357">
        <v>18.309999999999999</v>
      </c>
      <c r="F4357">
        <v>10.6</v>
      </c>
      <c r="G4357">
        <v>0.01</v>
      </c>
    </row>
    <row r="4358" spans="1:7" hidden="1">
      <c r="A4358">
        <v>336</v>
      </c>
      <c r="B4358" t="s">
        <v>1302</v>
      </c>
      <c r="C4358" t="s">
        <v>960</v>
      </c>
      <c r="D4358">
        <v>2.84</v>
      </c>
      <c r="E4358">
        <v>18.399999999999999</v>
      </c>
      <c r="F4358">
        <v>7.46</v>
      </c>
      <c r="G4358">
        <v>0</v>
      </c>
    </row>
    <row r="4359" spans="1:7" hidden="1">
      <c r="A4359">
        <v>336</v>
      </c>
      <c r="B4359" t="s">
        <v>1302</v>
      </c>
      <c r="C4359" t="s">
        <v>961</v>
      </c>
      <c r="D4359">
        <v>2.0099999999999998</v>
      </c>
      <c r="E4359">
        <v>20.059999999999999</v>
      </c>
      <c r="F4359">
        <v>5.75</v>
      </c>
      <c r="G4359">
        <v>0</v>
      </c>
    </row>
    <row r="4360" spans="1:7" hidden="1">
      <c r="A4360">
        <v>336</v>
      </c>
      <c r="B4360" t="s">
        <v>1302</v>
      </c>
      <c r="C4360" t="s">
        <v>962</v>
      </c>
      <c r="D4360">
        <v>0.88</v>
      </c>
      <c r="E4360">
        <v>24.72</v>
      </c>
      <c r="F4360">
        <v>3.1</v>
      </c>
      <c r="G4360">
        <v>0</v>
      </c>
    </row>
    <row r="4361" spans="1:7" hidden="1">
      <c r="A4361">
        <v>336</v>
      </c>
      <c r="B4361" t="s">
        <v>1302</v>
      </c>
      <c r="C4361" t="s">
        <v>963</v>
      </c>
      <c r="D4361">
        <v>2.5099999999999998</v>
      </c>
      <c r="E4361">
        <v>18.13</v>
      </c>
      <c r="F4361">
        <v>6.51</v>
      </c>
      <c r="G4361">
        <v>0</v>
      </c>
    </row>
    <row r="4362" spans="1:7" hidden="1">
      <c r="A4362">
        <v>336</v>
      </c>
      <c r="B4362" t="s">
        <v>1302</v>
      </c>
      <c r="C4362" t="s">
        <v>964</v>
      </c>
      <c r="D4362">
        <v>0.24</v>
      </c>
      <c r="E4362">
        <v>21.87</v>
      </c>
      <c r="F4362">
        <v>0.76</v>
      </c>
      <c r="G4362">
        <v>0</v>
      </c>
    </row>
    <row r="4363" spans="1:7" hidden="1">
      <c r="A4363">
        <v>336</v>
      </c>
      <c r="B4363" t="s">
        <v>1302</v>
      </c>
      <c r="C4363" t="s">
        <v>965</v>
      </c>
      <c r="D4363">
        <v>2.3199999999999998</v>
      </c>
      <c r="E4363">
        <v>24.75</v>
      </c>
      <c r="F4363">
        <v>8.2100000000000009</v>
      </c>
      <c r="G4363">
        <v>0</v>
      </c>
    </row>
    <row r="4364" spans="1:7">
      <c r="A4364">
        <v>336</v>
      </c>
      <c r="B4364" t="s">
        <v>1302</v>
      </c>
      <c r="C4364" t="s">
        <v>24</v>
      </c>
      <c r="D4364">
        <v>14.85</v>
      </c>
      <c r="E4364">
        <v>19.98</v>
      </c>
      <c r="F4364">
        <v>42.39</v>
      </c>
      <c r="G4364">
        <v>0.02</v>
      </c>
    </row>
    <row r="4365" spans="1:7" hidden="1">
      <c r="A4365">
        <v>336</v>
      </c>
      <c r="B4365" t="s">
        <v>1302</v>
      </c>
      <c r="C4365" t="s">
        <v>966</v>
      </c>
      <c r="D4365">
        <v>0</v>
      </c>
      <c r="E4365">
        <v>18.05</v>
      </c>
      <c r="F4365">
        <v>0</v>
      </c>
      <c r="G4365">
        <v>0</v>
      </c>
    </row>
    <row r="4366" spans="1:7" hidden="1">
      <c r="A4366">
        <v>336</v>
      </c>
      <c r="B4366" t="s">
        <v>1302</v>
      </c>
      <c r="C4366" t="s">
        <v>967</v>
      </c>
      <c r="D4366">
        <v>0.25</v>
      </c>
      <c r="E4366">
        <v>17.91</v>
      </c>
      <c r="F4366">
        <v>0.63</v>
      </c>
      <c r="G4366">
        <v>0</v>
      </c>
    </row>
    <row r="4367" spans="1:7" hidden="1">
      <c r="A4367">
        <v>336</v>
      </c>
      <c r="B4367" t="s">
        <v>1302</v>
      </c>
      <c r="C4367" t="s">
        <v>968</v>
      </c>
      <c r="D4367">
        <v>1.49</v>
      </c>
      <c r="E4367">
        <v>18.09</v>
      </c>
      <c r="F4367">
        <v>3.86</v>
      </c>
      <c r="G4367">
        <v>0</v>
      </c>
    </row>
    <row r="4368" spans="1:7" hidden="1">
      <c r="A4368">
        <v>336</v>
      </c>
      <c r="B4368" t="s">
        <v>1302</v>
      </c>
      <c r="C4368" t="s">
        <v>969</v>
      </c>
      <c r="D4368">
        <v>0.05</v>
      </c>
      <c r="E4368">
        <v>24.75</v>
      </c>
      <c r="F4368">
        <v>0.16</v>
      </c>
      <c r="G4368">
        <v>0</v>
      </c>
    </row>
    <row r="4369" spans="1:7" hidden="1">
      <c r="A4369">
        <v>336</v>
      </c>
      <c r="B4369" t="s">
        <v>1302</v>
      </c>
      <c r="C4369" t="s">
        <v>970</v>
      </c>
      <c r="D4369">
        <v>0.59</v>
      </c>
      <c r="E4369">
        <v>24.75</v>
      </c>
      <c r="F4369">
        <v>2.1</v>
      </c>
      <c r="G4369">
        <v>0</v>
      </c>
    </row>
    <row r="4370" spans="1:7" hidden="1">
      <c r="A4370">
        <v>337</v>
      </c>
      <c r="B4370" t="s">
        <v>1303</v>
      </c>
      <c r="C4370" t="s">
        <v>959</v>
      </c>
      <c r="D4370">
        <v>6.51</v>
      </c>
      <c r="E4370">
        <v>18.309999999999999</v>
      </c>
      <c r="F4370">
        <v>17.04</v>
      </c>
      <c r="G4370">
        <v>0.11</v>
      </c>
    </row>
    <row r="4371" spans="1:7" hidden="1">
      <c r="A4371">
        <v>337</v>
      </c>
      <c r="B4371" t="s">
        <v>1303</v>
      </c>
      <c r="C4371" t="s">
        <v>960</v>
      </c>
      <c r="D4371">
        <v>4.3600000000000003</v>
      </c>
      <c r="E4371">
        <v>18.399999999999999</v>
      </c>
      <c r="F4371">
        <v>11.45</v>
      </c>
      <c r="G4371">
        <v>0.26</v>
      </c>
    </row>
    <row r="4372" spans="1:7" hidden="1">
      <c r="A4372">
        <v>337</v>
      </c>
      <c r="B4372" t="s">
        <v>1303</v>
      </c>
      <c r="C4372" t="s">
        <v>961</v>
      </c>
      <c r="D4372">
        <v>3.09</v>
      </c>
      <c r="E4372">
        <v>20.059999999999999</v>
      </c>
      <c r="F4372">
        <v>8.85</v>
      </c>
      <c r="G4372">
        <v>0</v>
      </c>
    </row>
    <row r="4373" spans="1:7" hidden="1">
      <c r="A4373">
        <v>337</v>
      </c>
      <c r="B4373" t="s">
        <v>1303</v>
      </c>
      <c r="C4373" t="s">
        <v>962</v>
      </c>
      <c r="D4373">
        <v>1.97</v>
      </c>
      <c r="E4373">
        <v>24.72</v>
      </c>
      <c r="F4373">
        <v>6.95</v>
      </c>
      <c r="G4373">
        <v>0.05</v>
      </c>
    </row>
    <row r="4374" spans="1:7" hidden="1">
      <c r="A4374">
        <v>337</v>
      </c>
      <c r="B4374" t="s">
        <v>1303</v>
      </c>
      <c r="C4374" t="s">
        <v>963</v>
      </c>
      <c r="D4374">
        <v>3.31</v>
      </c>
      <c r="E4374">
        <v>18.13</v>
      </c>
      <c r="F4374">
        <v>8.58</v>
      </c>
      <c r="G4374">
        <v>0.1</v>
      </c>
    </row>
    <row r="4375" spans="1:7" hidden="1">
      <c r="A4375">
        <v>337</v>
      </c>
      <c r="B4375" t="s">
        <v>1303</v>
      </c>
      <c r="C4375" t="s">
        <v>964</v>
      </c>
      <c r="D4375">
        <v>0.32</v>
      </c>
      <c r="E4375">
        <v>21.87</v>
      </c>
      <c r="F4375">
        <v>1</v>
      </c>
      <c r="G4375">
        <v>0</v>
      </c>
    </row>
    <row r="4376" spans="1:7" hidden="1">
      <c r="A4376">
        <v>337</v>
      </c>
      <c r="B4376" t="s">
        <v>1303</v>
      </c>
      <c r="C4376" t="s">
        <v>965</v>
      </c>
      <c r="D4376">
        <v>2.48</v>
      </c>
      <c r="E4376">
        <v>24.75</v>
      </c>
      <c r="F4376">
        <v>8.76</v>
      </c>
      <c r="G4376">
        <v>7.0000000000000007E-2</v>
      </c>
    </row>
    <row r="4377" spans="1:7">
      <c r="A4377">
        <v>337</v>
      </c>
      <c r="B4377" t="s">
        <v>1303</v>
      </c>
      <c r="C4377" t="s">
        <v>24</v>
      </c>
      <c r="D4377">
        <v>22.04</v>
      </c>
      <c r="E4377">
        <v>19.89</v>
      </c>
      <c r="F4377">
        <v>62.63</v>
      </c>
      <c r="G4377">
        <v>0.6</v>
      </c>
    </row>
    <row r="4378" spans="1:7" hidden="1">
      <c r="A4378">
        <v>337</v>
      </c>
      <c r="B4378" t="s">
        <v>1303</v>
      </c>
      <c r="C4378" t="s">
        <v>966</v>
      </c>
      <c r="D4378">
        <v>0.28999999999999998</v>
      </c>
      <c r="E4378">
        <v>18.05</v>
      </c>
      <c r="F4378">
        <v>0.75</v>
      </c>
      <c r="G4378">
        <v>0.28999999999999998</v>
      </c>
    </row>
    <row r="4379" spans="1:7" hidden="1">
      <c r="A4379">
        <v>337</v>
      </c>
      <c r="B4379" t="s">
        <v>1303</v>
      </c>
      <c r="C4379" t="s">
        <v>967</v>
      </c>
      <c r="D4379">
        <v>7.0000000000000007E-2</v>
      </c>
      <c r="E4379">
        <v>17.91</v>
      </c>
      <c r="F4379">
        <v>0.17</v>
      </c>
      <c r="G4379">
        <v>0</v>
      </c>
    </row>
    <row r="4380" spans="1:7" hidden="1">
      <c r="A4380">
        <v>337</v>
      </c>
      <c r="B4380" t="s">
        <v>1303</v>
      </c>
      <c r="C4380" t="s">
        <v>968</v>
      </c>
      <c r="D4380">
        <v>2.12</v>
      </c>
      <c r="E4380">
        <v>18.09</v>
      </c>
      <c r="F4380">
        <v>5.48</v>
      </c>
      <c r="G4380">
        <v>0.06</v>
      </c>
    </row>
    <row r="4381" spans="1:7" hidden="1">
      <c r="A4381">
        <v>337</v>
      </c>
      <c r="B4381" t="s">
        <v>1303</v>
      </c>
      <c r="C4381" t="s">
        <v>969</v>
      </c>
      <c r="D4381">
        <v>7.0000000000000007E-2</v>
      </c>
      <c r="E4381">
        <v>24.75</v>
      </c>
      <c r="F4381">
        <v>0.24</v>
      </c>
      <c r="G4381">
        <v>0</v>
      </c>
    </row>
    <row r="4382" spans="1:7" hidden="1">
      <c r="A4382">
        <v>337</v>
      </c>
      <c r="B4382" t="s">
        <v>1303</v>
      </c>
      <c r="C4382" t="s">
        <v>970</v>
      </c>
      <c r="D4382">
        <v>0.76</v>
      </c>
      <c r="E4382">
        <v>24.75</v>
      </c>
      <c r="F4382">
        <v>2.68</v>
      </c>
      <c r="G4382">
        <v>0</v>
      </c>
    </row>
    <row r="4383" spans="1:7" hidden="1">
      <c r="A4383">
        <v>338</v>
      </c>
      <c r="B4383" t="s">
        <v>1304</v>
      </c>
      <c r="C4383" t="s">
        <v>959</v>
      </c>
      <c r="D4383">
        <v>6.1</v>
      </c>
      <c r="E4383">
        <v>18.309999999999999</v>
      </c>
      <c r="F4383">
        <v>15.97</v>
      </c>
      <c r="G4383">
        <v>2.25</v>
      </c>
    </row>
    <row r="4384" spans="1:7" hidden="1">
      <c r="A4384">
        <v>338</v>
      </c>
      <c r="B4384" t="s">
        <v>1304</v>
      </c>
      <c r="C4384" t="s">
        <v>960</v>
      </c>
      <c r="D4384">
        <v>5.9</v>
      </c>
      <c r="E4384">
        <v>18.399999999999999</v>
      </c>
      <c r="F4384">
        <v>15.51</v>
      </c>
      <c r="G4384">
        <v>2.7</v>
      </c>
    </row>
    <row r="4385" spans="1:7" hidden="1">
      <c r="A4385">
        <v>338</v>
      </c>
      <c r="B4385" t="s">
        <v>1304</v>
      </c>
      <c r="C4385" t="s">
        <v>961</v>
      </c>
      <c r="D4385">
        <v>0.81</v>
      </c>
      <c r="E4385">
        <v>20.059999999999999</v>
      </c>
      <c r="F4385">
        <v>2.3199999999999998</v>
      </c>
      <c r="G4385">
        <v>0.22</v>
      </c>
    </row>
    <row r="4386" spans="1:7" hidden="1">
      <c r="A4386">
        <v>338</v>
      </c>
      <c r="B4386" t="s">
        <v>1304</v>
      </c>
      <c r="C4386" t="s">
        <v>962</v>
      </c>
      <c r="D4386">
        <v>0.82</v>
      </c>
      <c r="E4386">
        <v>24.72</v>
      </c>
      <c r="F4386">
        <v>2.9</v>
      </c>
      <c r="G4386">
        <v>0.22</v>
      </c>
    </row>
    <row r="4387" spans="1:7" hidden="1">
      <c r="A4387">
        <v>338</v>
      </c>
      <c r="B4387" t="s">
        <v>1304</v>
      </c>
      <c r="C4387" t="s">
        <v>963</v>
      </c>
      <c r="D4387">
        <v>2.58</v>
      </c>
      <c r="E4387">
        <v>18.13</v>
      </c>
      <c r="F4387">
        <v>6.69</v>
      </c>
      <c r="G4387">
        <v>0.74</v>
      </c>
    </row>
    <row r="4388" spans="1:7" hidden="1">
      <c r="A4388">
        <v>338</v>
      </c>
      <c r="B4388" t="s">
        <v>1304</v>
      </c>
      <c r="C4388" t="s">
        <v>964</v>
      </c>
      <c r="D4388">
        <v>0.13</v>
      </c>
      <c r="E4388">
        <v>21.87</v>
      </c>
      <c r="F4388">
        <v>0.4</v>
      </c>
      <c r="G4388">
        <v>0.01</v>
      </c>
    </row>
    <row r="4389" spans="1:7" hidden="1">
      <c r="A4389">
        <v>338</v>
      </c>
      <c r="B4389" t="s">
        <v>1304</v>
      </c>
      <c r="C4389" t="s">
        <v>965</v>
      </c>
      <c r="D4389">
        <v>1.74</v>
      </c>
      <c r="E4389">
        <v>24.75</v>
      </c>
      <c r="F4389">
        <v>6.15</v>
      </c>
      <c r="G4389">
        <v>0.49</v>
      </c>
    </row>
    <row r="4390" spans="1:7">
      <c r="A4390">
        <v>338</v>
      </c>
      <c r="B4390" t="s">
        <v>1304</v>
      </c>
      <c r="C4390" t="s">
        <v>24</v>
      </c>
      <c r="D4390">
        <v>18.09</v>
      </c>
      <c r="E4390">
        <v>19.329999999999998</v>
      </c>
      <c r="F4390">
        <v>49.94</v>
      </c>
      <c r="G4390">
        <v>6.63</v>
      </c>
    </row>
    <row r="4391" spans="1:7" hidden="1">
      <c r="A4391">
        <v>338</v>
      </c>
      <c r="B4391" t="s">
        <v>1304</v>
      </c>
      <c r="C4391" t="s">
        <v>966</v>
      </c>
      <c r="D4391">
        <v>8.81</v>
      </c>
      <c r="E4391">
        <v>18.05</v>
      </c>
      <c r="F4391">
        <v>22.72</v>
      </c>
      <c r="G4391">
        <v>7.65</v>
      </c>
    </row>
    <row r="4392" spans="1:7" hidden="1">
      <c r="A4392">
        <v>338</v>
      </c>
      <c r="B4392" t="s">
        <v>1304</v>
      </c>
      <c r="C4392" t="s">
        <v>967</v>
      </c>
      <c r="D4392">
        <v>0.19</v>
      </c>
      <c r="E4392">
        <v>17.91</v>
      </c>
      <c r="F4392">
        <v>0.48</v>
      </c>
      <c r="G4392">
        <v>0.03</v>
      </c>
    </row>
    <row r="4393" spans="1:7" hidden="1">
      <c r="A4393">
        <v>338</v>
      </c>
      <c r="B4393" t="s">
        <v>1304</v>
      </c>
      <c r="C4393" t="s">
        <v>968</v>
      </c>
      <c r="D4393">
        <v>0.87</v>
      </c>
      <c r="E4393">
        <v>18.09</v>
      </c>
      <c r="F4393">
        <v>2.25</v>
      </c>
      <c r="G4393">
        <v>0.15</v>
      </c>
    </row>
    <row r="4394" spans="1:7" hidden="1">
      <c r="A4394">
        <v>338</v>
      </c>
      <c r="B4394" t="s">
        <v>1304</v>
      </c>
      <c r="C4394" t="s">
        <v>969</v>
      </c>
      <c r="D4394">
        <v>1.03</v>
      </c>
      <c r="E4394">
        <v>24.75</v>
      </c>
      <c r="F4394">
        <v>3.64</v>
      </c>
      <c r="G4394">
        <v>7.0000000000000007E-2</v>
      </c>
    </row>
    <row r="4395" spans="1:7" hidden="1">
      <c r="A4395">
        <v>338</v>
      </c>
      <c r="B4395" t="s">
        <v>1304</v>
      </c>
      <c r="C4395" t="s">
        <v>970</v>
      </c>
      <c r="D4395">
        <v>0.37</v>
      </c>
      <c r="E4395">
        <v>24.75</v>
      </c>
      <c r="F4395">
        <v>1.32</v>
      </c>
      <c r="G4395">
        <v>0.08</v>
      </c>
    </row>
    <row r="4396" spans="1:7" hidden="1">
      <c r="A4396">
        <v>339</v>
      </c>
      <c r="B4396" t="s">
        <v>1305</v>
      </c>
      <c r="C4396" t="s">
        <v>959</v>
      </c>
      <c r="D4396">
        <v>6.11</v>
      </c>
      <c r="E4396">
        <v>18.309999999999999</v>
      </c>
      <c r="F4396">
        <v>15.99</v>
      </c>
      <c r="G4396">
        <v>2.95</v>
      </c>
    </row>
    <row r="4397" spans="1:7" hidden="1">
      <c r="A4397">
        <v>339</v>
      </c>
      <c r="B4397" t="s">
        <v>1305</v>
      </c>
      <c r="C4397" t="s">
        <v>960</v>
      </c>
      <c r="D4397">
        <v>5.0599999999999996</v>
      </c>
      <c r="E4397">
        <v>18.399999999999999</v>
      </c>
      <c r="F4397">
        <v>13.29</v>
      </c>
      <c r="G4397">
        <v>2.82</v>
      </c>
    </row>
    <row r="4398" spans="1:7" hidden="1">
      <c r="A4398">
        <v>339</v>
      </c>
      <c r="B4398" t="s">
        <v>1305</v>
      </c>
      <c r="C4398" t="s">
        <v>961</v>
      </c>
      <c r="D4398">
        <v>0.71</v>
      </c>
      <c r="E4398">
        <v>20.059999999999999</v>
      </c>
      <c r="F4398">
        <v>2.02</v>
      </c>
      <c r="G4398">
        <v>0.16</v>
      </c>
    </row>
    <row r="4399" spans="1:7" hidden="1">
      <c r="A4399">
        <v>339</v>
      </c>
      <c r="B4399" t="s">
        <v>1305</v>
      </c>
      <c r="C4399" t="s">
        <v>962</v>
      </c>
      <c r="D4399">
        <v>0.7</v>
      </c>
      <c r="E4399">
        <v>24.72</v>
      </c>
      <c r="F4399">
        <v>2.4700000000000002</v>
      </c>
      <c r="G4399">
        <v>0.3</v>
      </c>
    </row>
    <row r="4400" spans="1:7" hidden="1">
      <c r="A4400">
        <v>339</v>
      </c>
      <c r="B4400" t="s">
        <v>1305</v>
      </c>
      <c r="C4400" t="s">
        <v>963</v>
      </c>
      <c r="D4400">
        <v>2.56</v>
      </c>
      <c r="E4400">
        <v>18.13</v>
      </c>
      <c r="F4400">
        <v>6.63</v>
      </c>
      <c r="G4400">
        <v>0.97</v>
      </c>
    </row>
    <row r="4401" spans="1:7" hidden="1">
      <c r="A4401">
        <v>339</v>
      </c>
      <c r="B4401" t="s">
        <v>1305</v>
      </c>
      <c r="C4401" t="s">
        <v>964</v>
      </c>
      <c r="D4401">
        <v>0.15</v>
      </c>
      <c r="E4401">
        <v>21.87</v>
      </c>
      <c r="F4401">
        <v>0.48</v>
      </c>
      <c r="G4401">
        <v>0.02</v>
      </c>
    </row>
    <row r="4402" spans="1:7" hidden="1">
      <c r="A4402">
        <v>339</v>
      </c>
      <c r="B4402" t="s">
        <v>1305</v>
      </c>
      <c r="C4402" t="s">
        <v>965</v>
      </c>
      <c r="D4402">
        <v>1.99</v>
      </c>
      <c r="E4402">
        <v>24.75</v>
      </c>
      <c r="F4402">
        <v>7.02</v>
      </c>
      <c r="G4402">
        <v>0.71</v>
      </c>
    </row>
    <row r="4403" spans="1:7">
      <c r="A4403">
        <v>339</v>
      </c>
      <c r="B4403" t="s">
        <v>1305</v>
      </c>
      <c r="C4403" t="s">
        <v>24</v>
      </c>
      <c r="D4403">
        <v>17.27</v>
      </c>
      <c r="E4403">
        <v>19.41</v>
      </c>
      <c r="F4403">
        <v>47.9</v>
      </c>
      <c r="G4403">
        <v>7.93</v>
      </c>
    </row>
    <row r="4404" spans="1:7" hidden="1">
      <c r="A4404">
        <v>339</v>
      </c>
      <c r="B4404" t="s">
        <v>1305</v>
      </c>
      <c r="C4404" t="s">
        <v>966</v>
      </c>
      <c r="D4404">
        <v>10.56</v>
      </c>
      <c r="E4404">
        <v>18.05</v>
      </c>
      <c r="F4404">
        <v>27.23</v>
      </c>
      <c r="G4404">
        <v>9.59</v>
      </c>
    </row>
    <row r="4405" spans="1:7" hidden="1">
      <c r="A4405">
        <v>339</v>
      </c>
      <c r="B4405" t="s">
        <v>1305</v>
      </c>
      <c r="C4405" t="s">
        <v>967</v>
      </c>
      <c r="D4405">
        <v>0.11</v>
      </c>
      <c r="E4405">
        <v>17.91</v>
      </c>
      <c r="F4405">
        <v>0.28999999999999998</v>
      </c>
      <c r="G4405">
        <v>0.02</v>
      </c>
    </row>
    <row r="4406" spans="1:7" hidden="1">
      <c r="A4406">
        <v>339</v>
      </c>
      <c r="B4406" t="s">
        <v>1305</v>
      </c>
      <c r="C4406" t="s">
        <v>968</v>
      </c>
      <c r="D4406">
        <v>0.76</v>
      </c>
      <c r="E4406">
        <v>18.09</v>
      </c>
      <c r="F4406">
        <v>1.95</v>
      </c>
      <c r="G4406">
        <v>0.18</v>
      </c>
    </row>
    <row r="4407" spans="1:7" hidden="1">
      <c r="A4407">
        <v>339</v>
      </c>
      <c r="B4407" t="s">
        <v>1305</v>
      </c>
      <c r="C4407" t="s">
        <v>969</v>
      </c>
      <c r="D4407">
        <v>0.99</v>
      </c>
      <c r="E4407">
        <v>24.75</v>
      </c>
      <c r="F4407">
        <v>3.51</v>
      </c>
      <c r="G4407">
        <v>0.02</v>
      </c>
    </row>
    <row r="4408" spans="1:7" hidden="1">
      <c r="A4408">
        <v>339</v>
      </c>
      <c r="B4408" t="s">
        <v>1305</v>
      </c>
      <c r="C4408" t="s">
        <v>970</v>
      </c>
      <c r="D4408">
        <v>0.39</v>
      </c>
      <c r="E4408">
        <v>24.75</v>
      </c>
      <c r="F4408">
        <v>1.39</v>
      </c>
      <c r="G4408">
        <v>0.12</v>
      </c>
    </row>
    <row r="4409" spans="1:7" hidden="1">
      <c r="A4409">
        <v>340</v>
      </c>
      <c r="B4409" t="s">
        <v>1306</v>
      </c>
      <c r="C4409" t="s">
        <v>959</v>
      </c>
      <c r="D4409">
        <v>5.22</v>
      </c>
      <c r="E4409">
        <v>18.309999999999999</v>
      </c>
      <c r="F4409">
        <v>13.65</v>
      </c>
      <c r="G4409">
        <v>0</v>
      </c>
    </row>
    <row r="4410" spans="1:7" hidden="1">
      <c r="A4410">
        <v>340</v>
      </c>
      <c r="B4410" t="s">
        <v>1306</v>
      </c>
      <c r="C4410" t="s">
        <v>960</v>
      </c>
      <c r="D4410">
        <v>4.47</v>
      </c>
      <c r="E4410">
        <v>18.399999999999999</v>
      </c>
      <c r="F4410">
        <v>11.75</v>
      </c>
      <c r="G4410">
        <v>0</v>
      </c>
    </row>
    <row r="4411" spans="1:7" hidden="1">
      <c r="A4411">
        <v>340</v>
      </c>
      <c r="B4411" t="s">
        <v>1306</v>
      </c>
      <c r="C4411" t="s">
        <v>961</v>
      </c>
      <c r="D4411">
        <v>1.82</v>
      </c>
      <c r="E4411">
        <v>20.059999999999999</v>
      </c>
      <c r="F4411">
        <v>5.21</v>
      </c>
      <c r="G4411">
        <v>0</v>
      </c>
    </row>
    <row r="4412" spans="1:7" hidden="1">
      <c r="A4412">
        <v>340</v>
      </c>
      <c r="B4412" t="s">
        <v>1306</v>
      </c>
      <c r="C4412" t="s">
        <v>962</v>
      </c>
      <c r="D4412">
        <v>1.33</v>
      </c>
      <c r="E4412">
        <v>24.72</v>
      </c>
      <c r="F4412">
        <v>4.7</v>
      </c>
      <c r="G4412">
        <v>0</v>
      </c>
    </row>
    <row r="4413" spans="1:7" hidden="1">
      <c r="A4413">
        <v>340</v>
      </c>
      <c r="B4413" t="s">
        <v>1306</v>
      </c>
      <c r="C4413" t="s">
        <v>963</v>
      </c>
      <c r="D4413">
        <v>2.09</v>
      </c>
      <c r="E4413">
        <v>18.13</v>
      </c>
      <c r="F4413">
        <v>5.41</v>
      </c>
      <c r="G4413">
        <v>0</v>
      </c>
    </row>
    <row r="4414" spans="1:7" hidden="1">
      <c r="A4414">
        <v>340</v>
      </c>
      <c r="B4414" t="s">
        <v>1306</v>
      </c>
      <c r="C4414" t="s">
        <v>964</v>
      </c>
      <c r="D4414">
        <v>0.17</v>
      </c>
      <c r="E4414">
        <v>21.87</v>
      </c>
      <c r="F4414">
        <v>0.53</v>
      </c>
      <c r="G4414">
        <v>0</v>
      </c>
    </row>
    <row r="4415" spans="1:7" hidden="1">
      <c r="A4415">
        <v>340</v>
      </c>
      <c r="B4415" t="s">
        <v>1306</v>
      </c>
      <c r="C4415" t="s">
        <v>965</v>
      </c>
      <c r="D4415">
        <v>1.53</v>
      </c>
      <c r="E4415">
        <v>24.75</v>
      </c>
      <c r="F4415">
        <v>5.39</v>
      </c>
      <c r="G4415">
        <v>0</v>
      </c>
    </row>
    <row r="4416" spans="1:7">
      <c r="A4416">
        <v>340</v>
      </c>
      <c r="B4416" t="s">
        <v>1306</v>
      </c>
      <c r="C4416" t="s">
        <v>24</v>
      </c>
      <c r="D4416">
        <v>16.62</v>
      </c>
      <c r="E4416">
        <v>19.64</v>
      </c>
      <c r="F4416">
        <v>46.64</v>
      </c>
      <c r="G4416">
        <v>0</v>
      </c>
    </row>
    <row r="4417" spans="1:7" hidden="1">
      <c r="A4417">
        <v>340</v>
      </c>
      <c r="B4417" t="s">
        <v>1306</v>
      </c>
      <c r="C4417" t="s">
        <v>966</v>
      </c>
      <c r="D4417">
        <v>0</v>
      </c>
      <c r="E4417">
        <v>18.05</v>
      </c>
      <c r="F4417">
        <v>0</v>
      </c>
      <c r="G4417">
        <v>0</v>
      </c>
    </row>
    <row r="4418" spans="1:7" hidden="1">
      <c r="A4418">
        <v>340</v>
      </c>
      <c r="B4418" t="s">
        <v>1306</v>
      </c>
      <c r="C4418" t="s">
        <v>967</v>
      </c>
      <c r="D4418">
        <v>0.28000000000000003</v>
      </c>
      <c r="E4418">
        <v>17.91</v>
      </c>
      <c r="F4418">
        <v>0.72</v>
      </c>
      <c r="G4418">
        <v>0</v>
      </c>
    </row>
    <row r="4419" spans="1:7" hidden="1">
      <c r="A4419">
        <v>340</v>
      </c>
      <c r="B4419" t="s">
        <v>1306</v>
      </c>
      <c r="C4419" t="s">
        <v>968</v>
      </c>
      <c r="D4419">
        <v>1.63</v>
      </c>
      <c r="E4419">
        <v>18.09</v>
      </c>
      <c r="F4419">
        <v>4.21</v>
      </c>
      <c r="G4419">
        <v>0</v>
      </c>
    </row>
    <row r="4420" spans="1:7" hidden="1">
      <c r="A4420">
        <v>340</v>
      </c>
      <c r="B4420" t="s">
        <v>1306</v>
      </c>
      <c r="C4420" t="s">
        <v>969</v>
      </c>
      <c r="D4420">
        <v>0.1</v>
      </c>
      <c r="E4420">
        <v>24.75</v>
      </c>
      <c r="F4420">
        <v>0.35</v>
      </c>
      <c r="G4420">
        <v>0</v>
      </c>
    </row>
    <row r="4421" spans="1:7" hidden="1">
      <c r="A4421">
        <v>340</v>
      </c>
      <c r="B4421" t="s">
        <v>1306</v>
      </c>
      <c r="C4421" t="s">
        <v>970</v>
      </c>
      <c r="D4421">
        <v>0.36</v>
      </c>
      <c r="E4421">
        <v>24.75</v>
      </c>
      <c r="F4421">
        <v>1.27</v>
      </c>
      <c r="G4421">
        <v>0</v>
      </c>
    </row>
    <row r="4422" spans="1:7" hidden="1">
      <c r="A4422">
        <v>341</v>
      </c>
      <c r="B4422" t="s">
        <v>1307</v>
      </c>
      <c r="C4422" t="s">
        <v>959</v>
      </c>
      <c r="D4422">
        <v>3.85</v>
      </c>
      <c r="E4422">
        <v>18.309999999999999</v>
      </c>
      <c r="F4422">
        <v>10.07</v>
      </c>
      <c r="G4422">
        <v>0</v>
      </c>
    </row>
    <row r="4423" spans="1:7" hidden="1">
      <c r="A4423">
        <v>341</v>
      </c>
      <c r="B4423" t="s">
        <v>1307</v>
      </c>
      <c r="C4423" t="s">
        <v>960</v>
      </c>
      <c r="D4423">
        <v>3.17</v>
      </c>
      <c r="E4423">
        <v>18.399999999999999</v>
      </c>
      <c r="F4423">
        <v>8.33</v>
      </c>
      <c r="G4423">
        <v>0</v>
      </c>
    </row>
    <row r="4424" spans="1:7" hidden="1">
      <c r="A4424">
        <v>341</v>
      </c>
      <c r="B4424" t="s">
        <v>1307</v>
      </c>
      <c r="C4424" t="s">
        <v>961</v>
      </c>
      <c r="D4424">
        <v>1.62</v>
      </c>
      <c r="E4424">
        <v>20.059999999999999</v>
      </c>
      <c r="F4424">
        <v>4.66</v>
      </c>
      <c r="G4424">
        <v>0</v>
      </c>
    </row>
    <row r="4425" spans="1:7" hidden="1">
      <c r="A4425">
        <v>341</v>
      </c>
      <c r="B4425" t="s">
        <v>1307</v>
      </c>
      <c r="C4425" t="s">
        <v>962</v>
      </c>
      <c r="D4425">
        <v>0.79</v>
      </c>
      <c r="E4425">
        <v>24.72</v>
      </c>
      <c r="F4425">
        <v>2.81</v>
      </c>
      <c r="G4425">
        <v>0</v>
      </c>
    </row>
    <row r="4426" spans="1:7" hidden="1">
      <c r="A4426">
        <v>341</v>
      </c>
      <c r="B4426" t="s">
        <v>1307</v>
      </c>
      <c r="C4426" t="s">
        <v>963</v>
      </c>
      <c r="D4426">
        <v>3.47</v>
      </c>
      <c r="E4426">
        <v>18.13</v>
      </c>
      <c r="F4426">
        <v>8.98</v>
      </c>
      <c r="G4426">
        <v>0</v>
      </c>
    </row>
    <row r="4427" spans="1:7" hidden="1">
      <c r="A4427">
        <v>341</v>
      </c>
      <c r="B4427" t="s">
        <v>1307</v>
      </c>
      <c r="C4427" t="s">
        <v>964</v>
      </c>
      <c r="D4427">
        <v>0.06</v>
      </c>
      <c r="E4427">
        <v>21.87</v>
      </c>
      <c r="F4427">
        <v>0.18</v>
      </c>
      <c r="G4427">
        <v>0</v>
      </c>
    </row>
    <row r="4428" spans="1:7" hidden="1">
      <c r="A4428">
        <v>341</v>
      </c>
      <c r="B4428" t="s">
        <v>1307</v>
      </c>
      <c r="C4428" t="s">
        <v>965</v>
      </c>
      <c r="D4428">
        <v>1.92</v>
      </c>
      <c r="E4428">
        <v>24.75</v>
      </c>
      <c r="F4428">
        <v>6.79</v>
      </c>
      <c r="G4428">
        <v>0</v>
      </c>
    </row>
    <row r="4429" spans="1:7">
      <c r="A4429">
        <v>341</v>
      </c>
      <c r="B4429" t="s">
        <v>1307</v>
      </c>
      <c r="C4429" t="s">
        <v>24</v>
      </c>
      <c r="D4429">
        <v>14.88</v>
      </c>
      <c r="E4429">
        <v>19.670000000000002</v>
      </c>
      <c r="F4429">
        <v>41.81</v>
      </c>
      <c r="G4429">
        <v>0</v>
      </c>
    </row>
    <row r="4430" spans="1:7" hidden="1">
      <c r="A4430">
        <v>341</v>
      </c>
      <c r="B4430" t="s">
        <v>1307</v>
      </c>
      <c r="C4430" t="s">
        <v>966</v>
      </c>
      <c r="D4430">
        <v>0</v>
      </c>
      <c r="E4430">
        <v>18.05</v>
      </c>
      <c r="F4430">
        <v>0</v>
      </c>
      <c r="G4430">
        <v>0</v>
      </c>
    </row>
    <row r="4431" spans="1:7" hidden="1">
      <c r="A4431">
        <v>341</v>
      </c>
      <c r="B4431" t="s">
        <v>1307</v>
      </c>
      <c r="C4431" t="s">
        <v>967</v>
      </c>
      <c r="D4431">
        <v>0.36</v>
      </c>
      <c r="E4431">
        <v>17.91</v>
      </c>
      <c r="F4431">
        <v>0.91</v>
      </c>
      <c r="G4431">
        <v>0</v>
      </c>
    </row>
    <row r="4432" spans="1:7" hidden="1">
      <c r="A4432">
        <v>341</v>
      </c>
      <c r="B4432" t="s">
        <v>1307</v>
      </c>
      <c r="C4432" t="s">
        <v>968</v>
      </c>
      <c r="D4432">
        <v>0.83</v>
      </c>
      <c r="E4432">
        <v>18.09</v>
      </c>
      <c r="F4432">
        <v>2.14</v>
      </c>
      <c r="G4432">
        <v>0.02</v>
      </c>
    </row>
    <row r="4433" spans="1:7" hidden="1">
      <c r="A4433">
        <v>341</v>
      </c>
      <c r="B4433" t="s">
        <v>1307</v>
      </c>
      <c r="C4433" t="s">
        <v>969</v>
      </c>
      <c r="D4433">
        <v>0.1</v>
      </c>
      <c r="E4433">
        <v>24.75</v>
      </c>
      <c r="F4433">
        <v>0.36</v>
      </c>
      <c r="G4433">
        <v>0</v>
      </c>
    </row>
    <row r="4434" spans="1:7" hidden="1">
      <c r="A4434">
        <v>341</v>
      </c>
      <c r="B4434" t="s">
        <v>1307</v>
      </c>
      <c r="C4434" t="s">
        <v>970</v>
      </c>
      <c r="D4434">
        <v>0.44</v>
      </c>
      <c r="E4434">
        <v>24.75</v>
      </c>
      <c r="F4434">
        <v>1.54</v>
      </c>
      <c r="G4434">
        <v>0</v>
      </c>
    </row>
    <row r="4435" spans="1:7" hidden="1">
      <c r="A4435">
        <v>342</v>
      </c>
      <c r="B4435" t="s">
        <v>1308</v>
      </c>
      <c r="C4435" t="s">
        <v>959</v>
      </c>
      <c r="D4435">
        <v>5.7</v>
      </c>
      <c r="E4435">
        <v>18.309999999999999</v>
      </c>
      <c r="F4435">
        <v>14.91</v>
      </c>
      <c r="G4435">
        <v>0</v>
      </c>
    </row>
    <row r="4436" spans="1:7" hidden="1">
      <c r="A4436">
        <v>342</v>
      </c>
      <c r="B4436" t="s">
        <v>1308</v>
      </c>
      <c r="C4436" t="s">
        <v>960</v>
      </c>
      <c r="D4436">
        <v>4.5999999999999996</v>
      </c>
      <c r="E4436">
        <v>18.399999999999999</v>
      </c>
      <c r="F4436">
        <v>12.08</v>
      </c>
      <c r="G4436">
        <v>0</v>
      </c>
    </row>
    <row r="4437" spans="1:7" hidden="1">
      <c r="A4437">
        <v>342</v>
      </c>
      <c r="B4437" t="s">
        <v>1308</v>
      </c>
      <c r="C4437" t="s">
        <v>961</v>
      </c>
      <c r="D4437">
        <v>1.74</v>
      </c>
      <c r="E4437">
        <v>20.059999999999999</v>
      </c>
      <c r="F4437">
        <v>4.99</v>
      </c>
      <c r="G4437">
        <v>0</v>
      </c>
    </row>
    <row r="4438" spans="1:7" hidden="1">
      <c r="A4438">
        <v>342</v>
      </c>
      <c r="B4438" t="s">
        <v>1308</v>
      </c>
      <c r="C4438" t="s">
        <v>962</v>
      </c>
      <c r="D4438">
        <v>1.51</v>
      </c>
      <c r="E4438">
        <v>24.72</v>
      </c>
      <c r="F4438">
        <v>5.34</v>
      </c>
      <c r="G4438">
        <v>0</v>
      </c>
    </row>
    <row r="4439" spans="1:7" hidden="1">
      <c r="A4439">
        <v>342</v>
      </c>
      <c r="B4439" t="s">
        <v>1308</v>
      </c>
      <c r="C4439" t="s">
        <v>963</v>
      </c>
      <c r="D4439">
        <v>1.89</v>
      </c>
      <c r="E4439">
        <v>18.13</v>
      </c>
      <c r="F4439">
        <v>4.9000000000000004</v>
      </c>
      <c r="G4439">
        <v>0</v>
      </c>
    </row>
    <row r="4440" spans="1:7" hidden="1">
      <c r="A4440">
        <v>342</v>
      </c>
      <c r="B4440" t="s">
        <v>1308</v>
      </c>
      <c r="C4440" t="s">
        <v>964</v>
      </c>
      <c r="D4440">
        <v>0.3</v>
      </c>
      <c r="E4440">
        <v>21.87</v>
      </c>
      <c r="F4440">
        <v>0.93</v>
      </c>
      <c r="G4440">
        <v>0</v>
      </c>
    </row>
    <row r="4441" spans="1:7" hidden="1">
      <c r="A4441">
        <v>342</v>
      </c>
      <c r="B4441" t="s">
        <v>1308</v>
      </c>
      <c r="C4441" t="s">
        <v>965</v>
      </c>
      <c r="D4441">
        <v>1.42</v>
      </c>
      <c r="E4441">
        <v>24.75</v>
      </c>
      <c r="F4441">
        <v>5.04</v>
      </c>
      <c r="G4441">
        <v>0</v>
      </c>
    </row>
    <row r="4442" spans="1:7">
      <c r="A4442">
        <v>342</v>
      </c>
      <c r="B4442" t="s">
        <v>1308</v>
      </c>
      <c r="C4442" t="s">
        <v>24</v>
      </c>
      <c r="D4442">
        <v>17.16</v>
      </c>
      <c r="E4442">
        <v>19.649999999999999</v>
      </c>
      <c r="F4442">
        <v>48.19</v>
      </c>
      <c r="G4442">
        <v>0</v>
      </c>
    </row>
    <row r="4443" spans="1:7" hidden="1">
      <c r="A4443">
        <v>342</v>
      </c>
      <c r="B4443" t="s">
        <v>1308</v>
      </c>
      <c r="C4443" t="s">
        <v>966</v>
      </c>
      <c r="D4443">
        <v>0</v>
      </c>
      <c r="E4443">
        <v>18.05</v>
      </c>
      <c r="F4443">
        <v>0</v>
      </c>
      <c r="G4443">
        <v>0</v>
      </c>
    </row>
    <row r="4444" spans="1:7" hidden="1">
      <c r="A4444">
        <v>342</v>
      </c>
      <c r="B4444" t="s">
        <v>1308</v>
      </c>
      <c r="C4444" t="s">
        <v>967</v>
      </c>
      <c r="D4444">
        <v>0.27</v>
      </c>
      <c r="E4444">
        <v>17.91</v>
      </c>
      <c r="F4444">
        <v>0.69</v>
      </c>
      <c r="G4444">
        <v>0</v>
      </c>
    </row>
    <row r="4445" spans="1:7" hidden="1">
      <c r="A4445">
        <v>342</v>
      </c>
      <c r="B4445" t="s">
        <v>1308</v>
      </c>
      <c r="C4445" t="s">
        <v>968</v>
      </c>
      <c r="D4445">
        <v>2.2799999999999998</v>
      </c>
      <c r="E4445">
        <v>18.09</v>
      </c>
      <c r="F4445">
        <v>5.9</v>
      </c>
      <c r="G4445">
        <v>0</v>
      </c>
    </row>
    <row r="4446" spans="1:7" hidden="1">
      <c r="A4446">
        <v>342</v>
      </c>
      <c r="B4446" t="s">
        <v>1308</v>
      </c>
      <c r="C4446" t="s">
        <v>969</v>
      </c>
      <c r="D4446">
        <v>0.04</v>
      </c>
      <c r="E4446">
        <v>24.75</v>
      </c>
      <c r="F4446">
        <v>0.16</v>
      </c>
      <c r="G4446">
        <v>0</v>
      </c>
    </row>
    <row r="4447" spans="1:7" hidden="1">
      <c r="A4447">
        <v>342</v>
      </c>
      <c r="B4447" t="s">
        <v>1308</v>
      </c>
      <c r="C4447" t="s">
        <v>970</v>
      </c>
      <c r="D4447">
        <v>0.36</v>
      </c>
      <c r="E4447">
        <v>24.75</v>
      </c>
      <c r="F4447">
        <v>1.26</v>
      </c>
      <c r="G4447">
        <v>0</v>
      </c>
    </row>
    <row r="4448" spans="1:7" hidden="1">
      <c r="A4448">
        <v>343</v>
      </c>
      <c r="B4448" t="s">
        <v>1309</v>
      </c>
      <c r="C4448" t="s">
        <v>959</v>
      </c>
      <c r="D4448">
        <v>5.44</v>
      </c>
      <c r="E4448">
        <v>18.309999999999999</v>
      </c>
      <c r="F4448">
        <v>14.23</v>
      </c>
      <c r="G4448">
        <v>0</v>
      </c>
    </row>
    <row r="4449" spans="1:7" hidden="1">
      <c r="A4449">
        <v>343</v>
      </c>
      <c r="B4449" t="s">
        <v>1309</v>
      </c>
      <c r="C4449" t="s">
        <v>960</v>
      </c>
      <c r="D4449">
        <v>4.83</v>
      </c>
      <c r="E4449">
        <v>18.399999999999999</v>
      </c>
      <c r="F4449">
        <v>12.69</v>
      </c>
      <c r="G4449">
        <v>0</v>
      </c>
    </row>
    <row r="4450" spans="1:7" hidden="1">
      <c r="A4450">
        <v>343</v>
      </c>
      <c r="B4450" t="s">
        <v>1309</v>
      </c>
      <c r="C4450" t="s">
        <v>961</v>
      </c>
      <c r="D4450">
        <v>1.91</v>
      </c>
      <c r="E4450">
        <v>20.059999999999999</v>
      </c>
      <c r="F4450">
        <v>5.48</v>
      </c>
      <c r="G4450">
        <v>0</v>
      </c>
    </row>
    <row r="4451" spans="1:7" hidden="1">
      <c r="A4451">
        <v>343</v>
      </c>
      <c r="B4451" t="s">
        <v>1309</v>
      </c>
      <c r="C4451" t="s">
        <v>962</v>
      </c>
      <c r="D4451">
        <v>1.42</v>
      </c>
      <c r="E4451">
        <v>24.72</v>
      </c>
      <c r="F4451">
        <v>5.0199999999999996</v>
      </c>
      <c r="G4451">
        <v>0</v>
      </c>
    </row>
    <row r="4452" spans="1:7" hidden="1">
      <c r="A4452">
        <v>343</v>
      </c>
      <c r="B4452" t="s">
        <v>1309</v>
      </c>
      <c r="C4452" t="s">
        <v>963</v>
      </c>
      <c r="D4452">
        <v>1.74</v>
      </c>
      <c r="E4452">
        <v>18.13</v>
      </c>
      <c r="F4452">
        <v>4.5</v>
      </c>
      <c r="G4452">
        <v>0</v>
      </c>
    </row>
    <row r="4453" spans="1:7" hidden="1">
      <c r="A4453">
        <v>343</v>
      </c>
      <c r="B4453" t="s">
        <v>1309</v>
      </c>
      <c r="C4453" t="s">
        <v>964</v>
      </c>
      <c r="D4453">
        <v>0.15</v>
      </c>
      <c r="E4453">
        <v>21.87</v>
      </c>
      <c r="F4453">
        <v>0.46</v>
      </c>
      <c r="G4453">
        <v>0</v>
      </c>
    </row>
    <row r="4454" spans="1:7" hidden="1">
      <c r="A4454">
        <v>343</v>
      </c>
      <c r="B4454" t="s">
        <v>1309</v>
      </c>
      <c r="C4454" t="s">
        <v>965</v>
      </c>
      <c r="D4454">
        <v>1.45</v>
      </c>
      <c r="E4454">
        <v>24.75</v>
      </c>
      <c r="F4454">
        <v>5.1100000000000003</v>
      </c>
      <c r="G4454">
        <v>0</v>
      </c>
    </row>
    <row r="4455" spans="1:7">
      <c r="A4455">
        <v>343</v>
      </c>
      <c r="B4455" t="s">
        <v>1309</v>
      </c>
      <c r="C4455" t="s">
        <v>24</v>
      </c>
      <c r="D4455">
        <v>16.93</v>
      </c>
      <c r="E4455">
        <v>19.63</v>
      </c>
      <c r="F4455">
        <v>47.5</v>
      </c>
      <c r="G4455">
        <v>0</v>
      </c>
    </row>
    <row r="4456" spans="1:7" hidden="1">
      <c r="A4456">
        <v>343</v>
      </c>
      <c r="B4456" t="s">
        <v>1309</v>
      </c>
      <c r="C4456" t="s">
        <v>966</v>
      </c>
      <c r="D4456">
        <v>0</v>
      </c>
      <c r="E4456">
        <v>18.05</v>
      </c>
      <c r="F4456">
        <v>0</v>
      </c>
      <c r="G4456">
        <v>0</v>
      </c>
    </row>
    <row r="4457" spans="1:7" hidden="1">
      <c r="A4457">
        <v>343</v>
      </c>
      <c r="B4457" t="s">
        <v>1309</v>
      </c>
      <c r="C4457" t="s">
        <v>967</v>
      </c>
      <c r="D4457">
        <v>0.26</v>
      </c>
      <c r="E4457">
        <v>17.91</v>
      </c>
      <c r="F4457">
        <v>0.67</v>
      </c>
      <c r="G4457">
        <v>0</v>
      </c>
    </row>
    <row r="4458" spans="1:7" hidden="1">
      <c r="A4458">
        <v>343</v>
      </c>
      <c r="B4458" t="s">
        <v>1309</v>
      </c>
      <c r="C4458" t="s">
        <v>968</v>
      </c>
      <c r="D4458">
        <v>1.6</v>
      </c>
      <c r="E4458">
        <v>18.09</v>
      </c>
      <c r="F4458">
        <v>4.12</v>
      </c>
      <c r="G4458">
        <v>0</v>
      </c>
    </row>
    <row r="4459" spans="1:7" hidden="1">
      <c r="A4459">
        <v>343</v>
      </c>
      <c r="B4459" t="s">
        <v>1309</v>
      </c>
      <c r="C4459" t="s">
        <v>969</v>
      </c>
      <c r="D4459">
        <v>0.12</v>
      </c>
      <c r="E4459">
        <v>24.75</v>
      </c>
      <c r="F4459">
        <v>0.44</v>
      </c>
      <c r="G4459">
        <v>0</v>
      </c>
    </row>
    <row r="4460" spans="1:7" hidden="1">
      <c r="A4460">
        <v>343</v>
      </c>
      <c r="B4460" t="s">
        <v>1309</v>
      </c>
      <c r="C4460" t="s">
        <v>970</v>
      </c>
      <c r="D4460">
        <v>0.33</v>
      </c>
      <c r="E4460">
        <v>24.75</v>
      </c>
      <c r="F4460">
        <v>1.18</v>
      </c>
      <c r="G4460">
        <v>0</v>
      </c>
    </row>
    <row r="4461" spans="1:7" hidden="1">
      <c r="A4461">
        <v>344</v>
      </c>
      <c r="B4461" t="s">
        <v>1310</v>
      </c>
      <c r="C4461" t="s">
        <v>959</v>
      </c>
      <c r="D4461">
        <v>5.57</v>
      </c>
      <c r="E4461">
        <v>18.309999999999999</v>
      </c>
      <c r="F4461">
        <v>14.57</v>
      </c>
      <c r="G4461">
        <v>0.03</v>
      </c>
    </row>
    <row r="4462" spans="1:7" hidden="1">
      <c r="A4462">
        <v>344</v>
      </c>
      <c r="B4462" t="s">
        <v>1310</v>
      </c>
      <c r="C4462" t="s">
        <v>960</v>
      </c>
      <c r="D4462">
        <v>4.18</v>
      </c>
      <c r="E4462">
        <v>18.399999999999999</v>
      </c>
      <c r="F4462">
        <v>10.97</v>
      </c>
      <c r="G4462">
        <v>0.04</v>
      </c>
    </row>
    <row r="4463" spans="1:7" hidden="1">
      <c r="A4463">
        <v>344</v>
      </c>
      <c r="B4463" t="s">
        <v>1310</v>
      </c>
      <c r="C4463" t="s">
        <v>961</v>
      </c>
      <c r="D4463">
        <v>1.97</v>
      </c>
      <c r="E4463">
        <v>20.059999999999999</v>
      </c>
      <c r="F4463">
        <v>5.65</v>
      </c>
      <c r="G4463">
        <v>0</v>
      </c>
    </row>
    <row r="4464" spans="1:7" hidden="1">
      <c r="A4464">
        <v>344</v>
      </c>
      <c r="B4464" t="s">
        <v>1310</v>
      </c>
      <c r="C4464" t="s">
        <v>962</v>
      </c>
      <c r="D4464">
        <v>1.39</v>
      </c>
      <c r="E4464">
        <v>24.72</v>
      </c>
      <c r="F4464">
        <v>4.8899999999999997</v>
      </c>
      <c r="G4464">
        <v>0</v>
      </c>
    </row>
    <row r="4465" spans="1:7" hidden="1">
      <c r="A4465">
        <v>344</v>
      </c>
      <c r="B4465" t="s">
        <v>1310</v>
      </c>
      <c r="C4465" t="s">
        <v>963</v>
      </c>
      <c r="D4465">
        <v>1.84</v>
      </c>
      <c r="E4465">
        <v>18.13</v>
      </c>
      <c r="F4465">
        <v>4.76</v>
      </c>
      <c r="G4465">
        <v>0.01</v>
      </c>
    </row>
    <row r="4466" spans="1:7" hidden="1">
      <c r="A4466">
        <v>344</v>
      </c>
      <c r="B4466" t="s">
        <v>1310</v>
      </c>
      <c r="C4466" t="s">
        <v>964</v>
      </c>
      <c r="D4466">
        <v>0.16</v>
      </c>
      <c r="E4466">
        <v>21.87</v>
      </c>
      <c r="F4466">
        <v>0.51</v>
      </c>
      <c r="G4466">
        <v>0</v>
      </c>
    </row>
    <row r="4467" spans="1:7" hidden="1">
      <c r="A4467">
        <v>344</v>
      </c>
      <c r="B4467" t="s">
        <v>1310</v>
      </c>
      <c r="C4467" t="s">
        <v>965</v>
      </c>
      <c r="D4467">
        <v>1.37</v>
      </c>
      <c r="E4467">
        <v>24.75</v>
      </c>
      <c r="F4467">
        <v>4.83</v>
      </c>
      <c r="G4467">
        <v>0</v>
      </c>
    </row>
    <row r="4468" spans="1:7">
      <c r="A4468">
        <v>344</v>
      </c>
      <c r="B4468" t="s">
        <v>1310</v>
      </c>
      <c r="C4468" t="s">
        <v>24</v>
      </c>
      <c r="D4468">
        <v>16.47</v>
      </c>
      <c r="E4468">
        <v>19.63</v>
      </c>
      <c r="F4468">
        <v>46.19</v>
      </c>
      <c r="G4468">
        <v>0.09</v>
      </c>
    </row>
    <row r="4469" spans="1:7" hidden="1">
      <c r="A4469">
        <v>344</v>
      </c>
      <c r="B4469" t="s">
        <v>1310</v>
      </c>
      <c r="C4469" t="s">
        <v>966</v>
      </c>
      <c r="D4469">
        <v>0.15</v>
      </c>
      <c r="E4469">
        <v>18.05</v>
      </c>
      <c r="F4469">
        <v>0.39</v>
      </c>
      <c r="G4469">
        <v>0.15</v>
      </c>
    </row>
    <row r="4470" spans="1:7" hidden="1">
      <c r="A4470">
        <v>344</v>
      </c>
      <c r="B4470" t="s">
        <v>1310</v>
      </c>
      <c r="C4470" t="s">
        <v>967</v>
      </c>
      <c r="D4470">
        <v>0.03</v>
      </c>
      <c r="E4470">
        <v>17.91</v>
      </c>
      <c r="F4470">
        <v>0.09</v>
      </c>
      <c r="G4470">
        <v>0</v>
      </c>
    </row>
    <row r="4471" spans="1:7" hidden="1">
      <c r="A4471">
        <v>344</v>
      </c>
      <c r="B4471" t="s">
        <v>1310</v>
      </c>
      <c r="C4471" t="s">
        <v>968</v>
      </c>
      <c r="D4471">
        <v>1.81</v>
      </c>
      <c r="E4471">
        <v>18.09</v>
      </c>
      <c r="F4471">
        <v>4.6900000000000004</v>
      </c>
      <c r="G4471">
        <v>0.01</v>
      </c>
    </row>
    <row r="4472" spans="1:7" hidden="1">
      <c r="A4472">
        <v>344</v>
      </c>
      <c r="B4472" t="s">
        <v>1310</v>
      </c>
      <c r="C4472" t="s">
        <v>969</v>
      </c>
      <c r="D4472">
        <v>0.01</v>
      </c>
      <c r="E4472">
        <v>24.75</v>
      </c>
      <c r="F4472">
        <v>0.04</v>
      </c>
      <c r="G4472">
        <v>0</v>
      </c>
    </row>
    <row r="4473" spans="1:7" hidden="1">
      <c r="A4473">
        <v>344</v>
      </c>
      <c r="B4473" t="s">
        <v>1310</v>
      </c>
      <c r="C4473" t="s">
        <v>970</v>
      </c>
      <c r="D4473">
        <v>0.42</v>
      </c>
      <c r="E4473">
        <v>24.75</v>
      </c>
      <c r="F4473">
        <v>1.47</v>
      </c>
      <c r="G4473">
        <v>0</v>
      </c>
    </row>
    <row r="4474" spans="1:7" hidden="1">
      <c r="A4474">
        <v>345</v>
      </c>
      <c r="B4474" t="s">
        <v>1311</v>
      </c>
      <c r="C4474" t="s">
        <v>959</v>
      </c>
      <c r="D4474">
        <v>5.15</v>
      </c>
      <c r="E4474">
        <v>18.309999999999999</v>
      </c>
      <c r="F4474">
        <v>13.47</v>
      </c>
      <c r="G4474">
        <v>0.05</v>
      </c>
    </row>
    <row r="4475" spans="1:7" hidden="1">
      <c r="A4475">
        <v>345</v>
      </c>
      <c r="B4475" t="s">
        <v>1311</v>
      </c>
      <c r="C4475" t="s">
        <v>960</v>
      </c>
      <c r="D4475">
        <v>4.2300000000000004</v>
      </c>
      <c r="E4475">
        <v>18.399999999999999</v>
      </c>
      <c r="F4475">
        <v>11.11</v>
      </c>
      <c r="G4475">
        <v>0.06</v>
      </c>
    </row>
    <row r="4476" spans="1:7" hidden="1">
      <c r="A4476">
        <v>345</v>
      </c>
      <c r="B4476" t="s">
        <v>1311</v>
      </c>
      <c r="C4476" t="s">
        <v>961</v>
      </c>
      <c r="D4476">
        <v>1.95</v>
      </c>
      <c r="E4476">
        <v>20.059999999999999</v>
      </c>
      <c r="F4476">
        <v>5.59</v>
      </c>
      <c r="G4476">
        <v>0</v>
      </c>
    </row>
    <row r="4477" spans="1:7" hidden="1">
      <c r="A4477">
        <v>345</v>
      </c>
      <c r="B4477" t="s">
        <v>1311</v>
      </c>
      <c r="C4477" t="s">
        <v>962</v>
      </c>
      <c r="D4477">
        <v>1.43</v>
      </c>
      <c r="E4477">
        <v>24.72</v>
      </c>
      <c r="F4477">
        <v>5.05</v>
      </c>
      <c r="G4477">
        <v>0</v>
      </c>
    </row>
    <row r="4478" spans="1:7" hidden="1">
      <c r="A4478">
        <v>345</v>
      </c>
      <c r="B4478" t="s">
        <v>1311</v>
      </c>
      <c r="C4478" t="s">
        <v>963</v>
      </c>
      <c r="D4478">
        <v>2.17</v>
      </c>
      <c r="E4478">
        <v>18.13</v>
      </c>
      <c r="F4478">
        <v>5.63</v>
      </c>
      <c r="G4478">
        <v>0</v>
      </c>
    </row>
    <row r="4479" spans="1:7" hidden="1">
      <c r="A4479">
        <v>345</v>
      </c>
      <c r="B4479" t="s">
        <v>1311</v>
      </c>
      <c r="C4479" t="s">
        <v>964</v>
      </c>
      <c r="D4479">
        <v>0.22</v>
      </c>
      <c r="E4479">
        <v>21.87</v>
      </c>
      <c r="F4479">
        <v>0.69</v>
      </c>
      <c r="G4479">
        <v>0</v>
      </c>
    </row>
    <row r="4480" spans="1:7" hidden="1">
      <c r="A4480">
        <v>345</v>
      </c>
      <c r="B4480" t="s">
        <v>1311</v>
      </c>
      <c r="C4480" t="s">
        <v>965</v>
      </c>
      <c r="D4480">
        <v>1.47</v>
      </c>
      <c r="E4480">
        <v>24.75</v>
      </c>
      <c r="F4480">
        <v>5.18</v>
      </c>
      <c r="G4480">
        <v>0</v>
      </c>
    </row>
    <row r="4481" spans="1:7">
      <c r="A4481">
        <v>345</v>
      </c>
      <c r="B4481" t="s">
        <v>1311</v>
      </c>
      <c r="C4481" t="s">
        <v>24</v>
      </c>
      <c r="D4481">
        <v>16.61</v>
      </c>
      <c r="E4481">
        <v>19.68</v>
      </c>
      <c r="F4481">
        <v>46.72</v>
      </c>
      <c r="G4481">
        <v>0.12</v>
      </c>
    </row>
    <row r="4482" spans="1:7" hidden="1">
      <c r="A4482">
        <v>345</v>
      </c>
      <c r="B4482" t="s">
        <v>1311</v>
      </c>
      <c r="C4482" t="s">
        <v>966</v>
      </c>
      <c r="D4482">
        <v>0.16</v>
      </c>
      <c r="E4482">
        <v>18.05</v>
      </c>
      <c r="F4482">
        <v>0.41</v>
      </c>
      <c r="G4482">
        <v>0.15</v>
      </c>
    </row>
    <row r="4483" spans="1:7" hidden="1">
      <c r="A4483">
        <v>345</v>
      </c>
      <c r="B4483" t="s">
        <v>1311</v>
      </c>
      <c r="C4483" t="s">
        <v>967</v>
      </c>
      <c r="D4483">
        <v>0.08</v>
      </c>
      <c r="E4483">
        <v>17.91</v>
      </c>
      <c r="F4483">
        <v>0.21</v>
      </c>
      <c r="G4483">
        <v>0</v>
      </c>
    </row>
    <row r="4484" spans="1:7" hidden="1">
      <c r="A4484">
        <v>345</v>
      </c>
      <c r="B4484" t="s">
        <v>1311</v>
      </c>
      <c r="C4484" t="s">
        <v>968</v>
      </c>
      <c r="D4484">
        <v>2.3199999999999998</v>
      </c>
      <c r="E4484">
        <v>18.09</v>
      </c>
      <c r="F4484">
        <v>6</v>
      </c>
      <c r="G4484">
        <v>0.01</v>
      </c>
    </row>
    <row r="4485" spans="1:7" hidden="1">
      <c r="A4485">
        <v>345</v>
      </c>
      <c r="B4485" t="s">
        <v>1311</v>
      </c>
      <c r="C4485" t="s">
        <v>969</v>
      </c>
      <c r="D4485">
        <v>0.01</v>
      </c>
      <c r="E4485">
        <v>24.75</v>
      </c>
      <c r="F4485">
        <v>0.05</v>
      </c>
      <c r="G4485">
        <v>0</v>
      </c>
    </row>
    <row r="4486" spans="1:7" hidden="1">
      <c r="A4486">
        <v>345</v>
      </c>
      <c r="B4486" t="s">
        <v>1311</v>
      </c>
      <c r="C4486" t="s">
        <v>970</v>
      </c>
      <c r="D4486">
        <v>0.43</v>
      </c>
      <c r="E4486">
        <v>24.75</v>
      </c>
      <c r="F4486">
        <v>1.51</v>
      </c>
      <c r="G4486">
        <v>0</v>
      </c>
    </row>
    <row r="4487" spans="1:7" hidden="1">
      <c r="A4487">
        <v>346</v>
      </c>
      <c r="B4487" t="s">
        <v>1312</v>
      </c>
      <c r="C4487" t="s">
        <v>959</v>
      </c>
      <c r="D4487">
        <v>5.77</v>
      </c>
      <c r="E4487">
        <v>18.309999999999999</v>
      </c>
      <c r="F4487">
        <v>15.09</v>
      </c>
      <c r="G4487">
        <v>0.02</v>
      </c>
    </row>
    <row r="4488" spans="1:7" hidden="1">
      <c r="A4488">
        <v>346</v>
      </c>
      <c r="B4488" t="s">
        <v>1312</v>
      </c>
      <c r="C4488" t="s">
        <v>960</v>
      </c>
      <c r="D4488">
        <v>4.22</v>
      </c>
      <c r="E4488">
        <v>18.399999999999999</v>
      </c>
      <c r="F4488">
        <v>11.09</v>
      </c>
      <c r="G4488">
        <v>0.02</v>
      </c>
    </row>
    <row r="4489" spans="1:7" hidden="1">
      <c r="A4489">
        <v>346</v>
      </c>
      <c r="B4489" t="s">
        <v>1312</v>
      </c>
      <c r="C4489" t="s">
        <v>961</v>
      </c>
      <c r="D4489">
        <v>2.11</v>
      </c>
      <c r="E4489">
        <v>20.059999999999999</v>
      </c>
      <c r="F4489">
        <v>6.06</v>
      </c>
      <c r="G4489">
        <v>0</v>
      </c>
    </row>
    <row r="4490" spans="1:7" hidden="1">
      <c r="A4490">
        <v>346</v>
      </c>
      <c r="B4490" t="s">
        <v>1312</v>
      </c>
      <c r="C4490" t="s">
        <v>962</v>
      </c>
      <c r="D4490">
        <v>1.43</v>
      </c>
      <c r="E4490">
        <v>24.72</v>
      </c>
      <c r="F4490">
        <v>5.07</v>
      </c>
      <c r="G4490">
        <v>0</v>
      </c>
    </row>
    <row r="4491" spans="1:7" hidden="1">
      <c r="A4491">
        <v>346</v>
      </c>
      <c r="B4491" t="s">
        <v>1312</v>
      </c>
      <c r="C4491" t="s">
        <v>963</v>
      </c>
      <c r="D4491">
        <v>1.72</v>
      </c>
      <c r="E4491">
        <v>18.13</v>
      </c>
      <c r="F4491">
        <v>4.47</v>
      </c>
      <c r="G4491">
        <v>0</v>
      </c>
    </row>
    <row r="4492" spans="1:7" hidden="1">
      <c r="A4492">
        <v>346</v>
      </c>
      <c r="B4492" t="s">
        <v>1312</v>
      </c>
      <c r="C4492" t="s">
        <v>964</v>
      </c>
      <c r="D4492">
        <v>0.16</v>
      </c>
      <c r="E4492">
        <v>21.87</v>
      </c>
      <c r="F4492">
        <v>0.5</v>
      </c>
      <c r="G4492">
        <v>0</v>
      </c>
    </row>
    <row r="4493" spans="1:7" hidden="1">
      <c r="A4493">
        <v>346</v>
      </c>
      <c r="B4493" t="s">
        <v>1312</v>
      </c>
      <c r="C4493" t="s">
        <v>965</v>
      </c>
      <c r="D4493">
        <v>1.35</v>
      </c>
      <c r="E4493">
        <v>24.75</v>
      </c>
      <c r="F4493">
        <v>4.78</v>
      </c>
      <c r="G4493">
        <v>0</v>
      </c>
    </row>
    <row r="4494" spans="1:7">
      <c r="A4494">
        <v>346</v>
      </c>
      <c r="B4494" t="s">
        <v>1312</v>
      </c>
      <c r="C4494" t="s">
        <v>24</v>
      </c>
      <c r="D4494">
        <v>16.78</v>
      </c>
      <c r="E4494">
        <v>19.64</v>
      </c>
      <c r="F4494">
        <v>47.07</v>
      </c>
      <c r="G4494">
        <v>0.05</v>
      </c>
    </row>
    <row r="4495" spans="1:7" hidden="1">
      <c r="A4495">
        <v>346</v>
      </c>
      <c r="B4495" t="s">
        <v>1312</v>
      </c>
      <c r="C4495" t="s">
        <v>966</v>
      </c>
      <c r="D4495">
        <v>0.02</v>
      </c>
      <c r="E4495">
        <v>18.05</v>
      </c>
      <c r="F4495">
        <v>0.06</v>
      </c>
      <c r="G4495">
        <v>0.02</v>
      </c>
    </row>
    <row r="4496" spans="1:7" hidden="1">
      <c r="A4496">
        <v>346</v>
      </c>
      <c r="B4496" t="s">
        <v>1312</v>
      </c>
      <c r="C4496" t="s">
        <v>967</v>
      </c>
      <c r="D4496">
        <v>0.02</v>
      </c>
      <c r="E4496">
        <v>17.91</v>
      </c>
      <c r="F4496">
        <v>0.04</v>
      </c>
      <c r="G4496">
        <v>0</v>
      </c>
    </row>
    <row r="4497" spans="1:7" hidden="1">
      <c r="A4497">
        <v>346</v>
      </c>
      <c r="B4497" t="s">
        <v>1312</v>
      </c>
      <c r="C4497" t="s">
        <v>968</v>
      </c>
      <c r="D4497">
        <v>1.7</v>
      </c>
      <c r="E4497">
        <v>18.09</v>
      </c>
      <c r="F4497">
        <v>4.3899999999999997</v>
      </c>
      <c r="G4497">
        <v>0</v>
      </c>
    </row>
    <row r="4498" spans="1:7" hidden="1">
      <c r="A4498">
        <v>346</v>
      </c>
      <c r="B4498" t="s">
        <v>1312</v>
      </c>
      <c r="C4498" t="s">
        <v>969</v>
      </c>
      <c r="D4498">
        <v>0.01</v>
      </c>
      <c r="E4498">
        <v>24.75</v>
      </c>
      <c r="F4498">
        <v>0.03</v>
      </c>
      <c r="G4498">
        <v>0</v>
      </c>
    </row>
    <row r="4499" spans="1:7" hidden="1">
      <c r="A4499">
        <v>346</v>
      </c>
      <c r="B4499" t="s">
        <v>1312</v>
      </c>
      <c r="C4499" t="s">
        <v>970</v>
      </c>
      <c r="D4499">
        <v>0.36</v>
      </c>
      <c r="E4499">
        <v>24.75</v>
      </c>
      <c r="F4499">
        <v>1.29</v>
      </c>
      <c r="G4499">
        <v>0</v>
      </c>
    </row>
    <row r="4500" spans="1:7" hidden="1">
      <c r="A4500">
        <v>347</v>
      </c>
      <c r="B4500" t="s">
        <v>1313</v>
      </c>
      <c r="C4500" t="s">
        <v>959</v>
      </c>
      <c r="D4500">
        <v>2.41</v>
      </c>
      <c r="E4500">
        <v>18.309999999999999</v>
      </c>
      <c r="F4500">
        <v>6.29</v>
      </c>
      <c r="G4500">
        <v>0.37</v>
      </c>
    </row>
    <row r="4501" spans="1:7" hidden="1">
      <c r="A4501">
        <v>347</v>
      </c>
      <c r="B4501" t="s">
        <v>1313</v>
      </c>
      <c r="C4501" t="s">
        <v>960</v>
      </c>
      <c r="D4501">
        <v>1.79</v>
      </c>
      <c r="E4501">
        <v>18.399999999999999</v>
      </c>
      <c r="F4501">
        <v>4.71</v>
      </c>
      <c r="G4501">
        <v>0.35</v>
      </c>
    </row>
    <row r="4502" spans="1:7" hidden="1">
      <c r="A4502">
        <v>347</v>
      </c>
      <c r="B4502" t="s">
        <v>1313</v>
      </c>
      <c r="C4502" t="s">
        <v>961</v>
      </c>
      <c r="D4502">
        <v>0.92</v>
      </c>
      <c r="E4502">
        <v>20.059999999999999</v>
      </c>
      <c r="F4502">
        <v>2.65</v>
      </c>
      <c r="G4502">
        <v>0.06</v>
      </c>
    </row>
    <row r="4503" spans="1:7" hidden="1">
      <c r="A4503">
        <v>347</v>
      </c>
      <c r="B4503" t="s">
        <v>1313</v>
      </c>
      <c r="C4503" t="s">
        <v>962</v>
      </c>
      <c r="D4503">
        <v>0.63</v>
      </c>
      <c r="E4503">
        <v>24.72</v>
      </c>
      <c r="F4503">
        <v>2.2200000000000002</v>
      </c>
      <c r="G4503">
        <v>0.04</v>
      </c>
    </row>
    <row r="4504" spans="1:7" hidden="1">
      <c r="A4504">
        <v>347</v>
      </c>
      <c r="B4504" t="s">
        <v>1313</v>
      </c>
      <c r="C4504" t="s">
        <v>963</v>
      </c>
      <c r="D4504">
        <v>2.39</v>
      </c>
      <c r="E4504">
        <v>18.13</v>
      </c>
      <c r="F4504">
        <v>6.19</v>
      </c>
      <c r="G4504">
        <v>0.14000000000000001</v>
      </c>
    </row>
    <row r="4505" spans="1:7" hidden="1">
      <c r="A4505">
        <v>347</v>
      </c>
      <c r="B4505" t="s">
        <v>1313</v>
      </c>
      <c r="C4505" t="s">
        <v>964</v>
      </c>
      <c r="D4505">
        <v>0.04</v>
      </c>
      <c r="E4505">
        <v>21.87</v>
      </c>
      <c r="F4505">
        <v>0.13</v>
      </c>
      <c r="G4505">
        <v>0</v>
      </c>
    </row>
    <row r="4506" spans="1:7" hidden="1">
      <c r="A4506">
        <v>347</v>
      </c>
      <c r="B4506" t="s">
        <v>1313</v>
      </c>
      <c r="C4506" t="s">
        <v>965</v>
      </c>
      <c r="D4506">
        <v>1.68</v>
      </c>
      <c r="E4506">
        <v>24.75</v>
      </c>
      <c r="F4506">
        <v>5.93</v>
      </c>
      <c r="G4506">
        <v>0.1</v>
      </c>
    </row>
    <row r="4507" spans="1:7">
      <c r="A4507">
        <v>347</v>
      </c>
      <c r="B4507" t="s">
        <v>1313</v>
      </c>
      <c r="C4507" t="s">
        <v>24</v>
      </c>
      <c r="D4507">
        <v>9.86</v>
      </c>
      <c r="E4507">
        <v>19.97</v>
      </c>
      <c r="F4507">
        <v>28.12</v>
      </c>
      <c r="G4507">
        <v>1.05</v>
      </c>
    </row>
    <row r="4508" spans="1:7" hidden="1">
      <c r="A4508">
        <v>347</v>
      </c>
      <c r="B4508" t="s">
        <v>1313</v>
      </c>
      <c r="C4508" t="s">
        <v>966</v>
      </c>
      <c r="D4508">
        <v>1.33</v>
      </c>
      <c r="E4508">
        <v>18.05</v>
      </c>
      <c r="F4508">
        <v>3.44</v>
      </c>
      <c r="G4508">
        <v>0.75</v>
      </c>
    </row>
    <row r="4509" spans="1:7" hidden="1">
      <c r="A4509">
        <v>347</v>
      </c>
      <c r="B4509" t="s">
        <v>1313</v>
      </c>
      <c r="C4509" t="s">
        <v>967</v>
      </c>
      <c r="D4509">
        <v>0.11</v>
      </c>
      <c r="E4509">
        <v>17.91</v>
      </c>
      <c r="F4509">
        <v>0.28999999999999998</v>
      </c>
      <c r="G4509">
        <v>0.01</v>
      </c>
    </row>
    <row r="4510" spans="1:7" hidden="1">
      <c r="A4510">
        <v>347</v>
      </c>
      <c r="B4510" t="s">
        <v>1313</v>
      </c>
      <c r="C4510" t="s">
        <v>968</v>
      </c>
      <c r="D4510">
        <v>0.76</v>
      </c>
      <c r="E4510">
        <v>18.09</v>
      </c>
      <c r="F4510">
        <v>1.97</v>
      </c>
      <c r="G4510">
        <v>0.05</v>
      </c>
    </row>
    <row r="4511" spans="1:7" hidden="1">
      <c r="A4511">
        <v>347</v>
      </c>
      <c r="B4511" t="s">
        <v>1313</v>
      </c>
      <c r="C4511" t="s">
        <v>969</v>
      </c>
      <c r="D4511">
        <v>0.35</v>
      </c>
      <c r="E4511">
        <v>24.75</v>
      </c>
      <c r="F4511">
        <v>1.23</v>
      </c>
      <c r="G4511">
        <v>0.01</v>
      </c>
    </row>
    <row r="4512" spans="1:7" hidden="1">
      <c r="A4512">
        <v>347</v>
      </c>
      <c r="B4512" t="s">
        <v>1313</v>
      </c>
      <c r="C4512" t="s">
        <v>970</v>
      </c>
      <c r="D4512">
        <v>0.37</v>
      </c>
      <c r="E4512">
        <v>24.75</v>
      </c>
      <c r="F4512">
        <v>1.32</v>
      </c>
      <c r="G4512">
        <v>0.04</v>
      </c>
    </row>
    <row r="4513" spans="1:7" hidden="1">
      <c r="A4513">
        <v>348</v>
      </c>
      <c r="B4513" t="s">
        <v>1314</v>
      </c>
      <c r="C4513" t="s">
        <v>959</v>
      </c>
      <c r="D4513">
        <v>2.4</v>
      </c>
      <c r="E4513">
        <v>18.309999999999999</v>
      </c>
      <c r="F4513">
        <v>6.29</v>
      </c>
      <c r="G4513">
        <v>0.37</v>
      </c>
    </row>
    <row r="4514" spans="1:7" hidden="1">
      <c r="A4514">
        <v>348</v>
      </c>
      <c r="B4514" t="s">
        <v>1314</v>
      </c>
      <c r="C4514" t="s">
        <v>960</v>
      </c>
      <c r="D4514">
        <v>1.79</v>
      </c>
      <c r="E4514">
        <v>18.399999999999999</v>
      </c>
      <c r="F4514">
        <v>4.6900000000000004</v>
      </c>
      <c r="G4514">
        <v>0.34</v>
      </c>
    </row>
    <row r="4515" spans="1:7" hidden="1">
      <c r="A4515">
        <v>348</v>
      </c>
      <c r="B4515" t="s">
        <v>1314</v>
      </c>
      <c r="C4515" t="s">
        <v>961</v>
      </c>
      <c r="D4515">
        <v>0.92</v>
      </c>
      <c r="E4515">
        <v>20.059999999999999</v>
      </c>
      <c r="F4515">
        <v>2.63</v>
      </c>
      <c r="G4515">
        <v>0.06</v>
      </c>
    </row>
    <row r="4516" spans="1:7" hidden="1">
      <c r="A4516">
        <v>348</v>
      </c>
      <c r="B4516" t="s">
        <v>1314</v>
      </c>
      <c r="C4516" t="s">
        <v>962</v>
      </c>
      <c r="D4516">
        <v>0.63</v>
      </c>
      <c r="E4516">
        <v>24.72</v>
      </c>
      <c r="F4516">
        <v>2.2200000000000002</v>
      </c>
      <c r="G4516">
        <v>0.04</v>
      </c>
    </row>
    <row r="4517" spans="1:7" hidden="1">
      <c r="A4517">
        <v>348</v>
      </c>
      <c r="B4517" t="s">
        <v>1314</v>
      </c>
      <c r="C4517" t="s">
        <v>963</v>
      </c>
      <c r="D4517">
        <v>2.39</v>
      </c>
      <c r="E4517">
        <v>18.13</v>
      </c>
      <c r="F4517">
        <v>6.2</v>
      </c>
      <c r="G4517">
        <v>0.14000000000000001</v>
      </c>
    </row>
    <row r="4518" spans="1:7" hidden="1">
      <c r="A4518">
        <v>348</v>
      </c>
      <c r="B4518" t="s">
        <v>1314</v>
      </c>
      <c r="C4518" t="s">
        <v>964</v>
      </c>
      <c r="D4518">
        <v>0.04</v>
      </c>
      <c r="E4518">
        <v>21.87</v>
      </c>
      <c r="F4518">
        <v>0.13</v>
      </c>
      <c r="G4518">
        <v>0</v>
      </c>
    </row>
    <row r="4519" spans="1:7" hidden="1">
      <c r="A4519">
        <v>348</v>
      </c>
      <c r="B4519" t="s">
        <v>1314</v>
      </c>
      <c r="C4519" t="s">
        <v>965</v>
      </c>
      <c r="D4519">
        <v>1.68</v>
      </c>
      <c r="E4519">
        <v>24.75</v>
      </c>
      <c r="F4519">
        <v>5.92</v>
      </c>
      <c r="G4519">
        <v>0.1</v>
      </c>
    </row>
    <row r="4520" spans="1:7">
      <c r="A4520">
        <v>348</v>
      </c>
      <c r="B4520" t="s">
        <v>1314</v>
      </c>
      <c r="C4520" t="s">
        <v>24</v>
      </c>
      <c r="D4520">
        <v>9.85</v>
      </c>
      <c r="E4520">
        <v>19.97</v>
      </c>
      <c r="F4520">
        <v>28.09</v>
      </c>
      <c r="G4520">
        <v>1.04</v>
      </c>
    </row>
    <row r="4521" spans="1:7" hidden="1">
      <c r="A4521">
        <v>348</v>
      </c>
      <c r="B4521" t="s">
        <v>1314</v>
      </c>
      <c r="C4521" t="s">
        <v>966</v>
      </c>
      <c r="D4521">
        <v>1.33</v>
      </c>
      <c r="E4521">
        <v>18.05</v>
      </c>
      <c r="F4521">
        <v>3.42</v>
      </c>
      <c r="G4521">
        <v>0.74</v>
      </c>
    </row>
    <row r="4522" spans="1:7" hidden="1">
      <c r="A4522">
        <v>348</v>
      </c>
      <c r="B4522" t="s">
        <v>1314</v>
      </c>
      <c r="C4522" t="s">
        <v>967</v>
      </c>
      <c r="D4522">
        <v>0.11</v>
      </c>
      <c r="E4522">
        <v>17.91</v>
      </c>
      <c r="F4522">
        <v>0.28999999999999998</v>
      </c>
      <c r="G4522">
        <v>0.01</v>
      </c>
    </row>
    <row r="4523" spans="1:7" hidden="1">
      <c r="A4523">
        <v>348</v>
      </c>
      <c r="B4523" t="s">
        <v>1314</v>
      </c>
      <c r="C4523" t="s">
        <v>968</v>
      </c>
      <c r="D4523">
        <v>0.77</v>
      </c>
      <c r="E4523">
        <v>18.09</v>
      </c>
      <c r="F4523">
        <v>1.98</v>
      </c>
      <c r="G4523">
        <v>0.05</v>
      </c>
    </row>
    <row r="4524" spans="1:7" hidden="1">
      <c r="A4524">
        <v>348</v>
      </c>
      <c r="B4524" t="s">
        <v>1314</v>
      </c>
      <c r="C4524" t="s">
        <v>969</v>
      </c>
      <c r="D4524">
        <v>0.34</v>
      </c>
      <c r="E4524">
        <v>24.75</v>
      </c>
      <c r="F4524">
        <v>1.21</v>
      </c>
      <c r="G4524">
        <v>0.01</v>
      </c>
    </row>
    <row r="4525" spans="1:7" hidden="1">
      <c r="A4525">
        <v>348</v>
      </c>
      <c r="B4525" t="s">
        <v>1314</v>
      </c>
      <c r="C4525" t="s">
        <v>970</v>
      </c>
      <c r="D4525">
        <v>0.37</v>
      </c>
      <c r="E4525">
        <v>24.75</v>
      </c>
      <c r="F4525">
        <v>1.32</v>
      </c>
      <c r="G4525">
        <v>0.04</v>
      </c>
    </row>
    <row r="4526" spans="1:7" hidden="1">
      <c r="A4526">
        <v>349</v>
      </c>
      <c r="B4526" t="s">
        <v>1315</v>
      </c>
      <c r="C4526" t="s">
        <v>959</v>
      </c>
      <c r="D4526">
        <v>2.85</v>
      </c>
      <c r="E4526">
        <v>18.309999999999999</v>
      </c>
      <c r="F4526">
        <v>7.46</v>
      </c>
      <c r="G4526">
        <v>0</v>
      </c>
    </row>
    <row r="4527" spans="1:7" hidden="1">
      <c r="A4527">
        <v>349</v>
      </c>
      <c r="B4527" t="s">
        <v>1315</v>
      </c>
      <c r="C4527" t="s">
        <v>960</v>
      </c>
      <c r="D4527">
        <v>2.27</v>
      </c>
      <c r="E4527">
        <v>18.399999999999999</v>
      </c>
      <c r="F4527">
        <v>5.96</v>
      </c>
      <c r="G4527">
        <v>0</v>
      </c>
    </row>
    <row r="4528" spans="1:7" hidden="1">
      <c r="A4528">
        <v>349</v>
      </c>
      <c r="B4528" t="s">
        <v>1315</v>
      </c>
      <c r="C4528" t="s">
        <v>961</v>
      </c>
      <c r="D4528">
        <v>1.29</v>
      </c>
      <c r="E4528">
        <v>20.059999999999999</v>
      </c>
      <c r="F4528">
        <v>3.71</v>
      </c>
      <c r="G4528">
        <v>0</v>
      </c>
    </row>
    <row r="4529" spans="1:7" hidden="1">
      <c r="A4529">
        <v>349</v>
      </c>
      <c r="B4529" t="s">
        <v>1315</v>
      </c>
      <c r="C4529" t="s">
        <v>962</v>
      </c>
      <c r="D4529">
        <v>1.1299999999999999</v>
      </c>
      <c r="E4529">
        <v>24.72</v>
      </c>
      <c r="F4529">
        <v>4</v>
      </c>
      <c r="G4529">
        <v>0</v>
      </c>
    </row>
    <row r="4530" spans="1:7" hidden="1">
      <c r="A4530">
        <v>349</v>
      </c>
      <c r="B4530" t="s">
        <v>1315</v>
      </c>
      <c r="C4530" t="s">
        <v>963</v>
      </c>
      <c r="D4530">
        <v>3.14</v>
      </c>
      <c r="E4530">
        <v>18.13</v>
      </c>
      <c r="F4530">
        <v>8.1199999999999992</v>
      </c>
      <c r="G4530">
        <v>0</v>
      </c>
    </row>
    <row r="4531" spans="1:7" hidden="1">
      <c r="A4531">
        <v>349</v>
      </c>
      <c r="B4531" t="s">
        <v>1315</v>
      </c>
      <c r="C4531" t="s">
        <v>964</v>
      </c>
      <c r="D4531">
        <v>0.19</v>
      </c>
      <c r="E4531">
        <v>21.87</v>
      </c>
      <c r="F4531">
        <v>0.6</v>
      </c>
      <c r="G4531">
        <v>0</v>
      </c>
    </row>
    <row r="4532" spans="1:7" hidden="1">
      <c r="A4532">
        <v>349</v>
      </c>
      <c r="B4532" t="s">
        <v>1315</v>
      </c>
      <c r="C4532" t="s">
        <v>965</v>
      </c>
      <c r="D4532">
        <v>2.2999999999999998</v>
      </c>
      <c r="E4532">
        <v>24.75</v>
      </c>
      <c r="F4532">
        <v>8.14</v>
      </c>
      <c r="G4532">
        <v>0</v>
      </c>
    </row>
    <row r="4533" spans="1:7">
      <c r="A4533">
        <v>349</v>
      </c>
      <c r="B4533" t="s">
        <v>1315</v>
      </c>
      <c r="C4533" t="s">
        <v>24</v>
      </c>
      <c r="D4533">
        <v>13.18</v>
      </c>
      <c r="E4533">
        <v>20.18</v>
      </c>
      <c r="F4533">
        <v>37.99</v>
      </c>
      <c r="G4533">
        <v>0.01</v>
      </c>
    </row>
    <row r="4534" spans="1:7" hidden="1">
      <c r="A4534">
        <v>349</v>
      </c>
      <c r="B4534" t="s">
        <v>1315</v>
      </c>
      <c r="C4534" t="s">
        <v>966</v>
      </c>
      <c r="D4534">
        <v>0</v>
      </c>
      <c r="E4534">
        <v>18.05</v>
      </c>
      <c r="F4534">
        <v>0</v>
      </c>
      <c r="G4534">
        <v>0</v>
      </c>
    </row>
    <row r="4535" spans="1:7" hidden="1">
      <c r="A4535">
        <v>349</v>
      </c>
      <c r="B4535" t="s">
        <v>1315</v>
      </c>
      <c r="C4535" t="s">
        <v>967</v>
      </c>
      <c r="D4535">
        <v>0.31</v>
      </c>
      <c r="E4535">
        <v>17.91</v>
      </c>
      <c r="F4535">
        <v>0.79</v>
      </c>
      <c r="G4535">
        <v>0</v>
      </c>
    </row>
    <row r="4536" spans="1:7" hidden="1">
      <c r="A4536">
        <v>349</v>
      </c>
      <c r="B4536" t="s">
        <v>1315</v>
      </c>
      <c r="C4536" t="s">
        <v>968</v>
      </c>
      <c r="D4536">
        <v>0.77</v>
      </c>
      <c r="E4536">
        <v>18.09</v>
      </c>
      <c r="F4536">
        <v>1.98</v>
      </c>
      <c r="G4536">
        <v>0</v>
      </c>
    </row>
    <row r="4537" spans="1:7" hidden="1">
      <c r="A4537">
        <v>349</v>
      </c>
      <c r="B4537" t="s">
        <v>1315</v>
      </c>
      <c r="C4537" t="s">
        <v>969</v>
      </c>
      <c r="D4537">
        <v>0.14000000000000001</v>
      </c>
      <c r="E4537">
        <v>24.75</v>
      </c>
      <c r="F4537">
        <v>0.51</v>
      </c>
      <c r="G4537">
        <v>0</v>
      </c>
    </row>
    <row r="4538" spans="1:7" hidden="1">
      <c r="A4538">
        <v>349</v>
      </c>
      <c r="B4538" t="s">
        <v>1315</v>
      </c>
      <c r="C4538" t="s">
        <v>970</v>
      </c>
      <c r="D4538">
        <v>0.44</v>
      </c>
      <c r="E4538">
        <v>24.75</v>
      </c>
      <c r="F4538">
        <v>1.54</v>
      </c>
      <c r="G4538">
        <v>0</v>
      </c>
    </row>
    <row r="4539" spans="1:7" hidden="1">
      <c r="A4539">
        <v>350</v>
      </c>
      <c r="B4539" t="s">
        <v>1316</v>
      </c>
      <c r="C4539" t="s">
        <v>959</v>
      </c>
      <c r="D4539">
        <v>2.81</v>
      </c>
      <c r="E4539">
        <v>18.309999999999999</v>
      </c>
      <c r="F4539">
        <v>7.35</v>
      </c>
      <c r="G4539">
        <v>0</v>
      </c>
    </row>
    <row r="4540" spans="1:7" hidden="1">
      <c r="A4540">
        <v>350</v>
      </c>
      <c r="B4540" t="s">
        <v>1316</v>
      </c>
      <c r="C4540" t="s">
        <v>960</v>
      </c>
      <c r="D4540">
        <v>2.19</v>
      </c>
      <c r="E4540">
        <v>18.399999999999999</v>
      </c>
      <c r="F4540">
        <v>5.76</v>
      </c>
      <c r="G4540">
        <v>0</v>
      </c>
    </row>
    <row r="4541" spans="1:7" hidden="1">
      <c r="A4541">
        <v>350</v>
      </c>
      <c r="B4541" t="s">
        <v>1316</v>
      </c>
      <c r="C4541" t="s">
        <v>961</v>
      </c>
      <c r="D4541">
        <v>1.23</v>
      </c>
      <c r="E4541">
        <v>20.059999999999999</v>
      </c>
      <c r="F4541">
        <v>3.53</v>
      </c>
      <c r="G4541">
        <v>0</v>
      </c>
    </row>
    <row r="4542" spans="1:7" hidden="1">
      <c r="A4542">
        <v>350</v>
      </c>
      <c r="B4542" t="s">
        <v>1316</v>
      </c>
      <c r="C4542" t="s">
        <v>962</v>
      </c>
      <c r="D4542">
        <v>1.1299999999999999</v>
      </c>
      <c r="E4542">
        <v>24.72</v>
      </c>
      <c r="F4542">
        <v>3.99</v>
      </c>
      <c r="G4542">
        <v>0</v>
      </c>
    </row>
    <row r="4543" spans="1:7" hidden="1">
      <c r="A4543">
        <v>350</v>
      </c>
      <c r="B4543" t="s">
        <v>1316</v>
      </c>
      <c r="C4543" t="s">
        <v>963</v>
      </c>
      <c r="D4543">
        <v>3.17</v>
      </c>
      <c r="E4543">
        <v>18.13</v>
      </c>
      <c r="F4543">
        <v>8.2100000000000009</v>
      </c>
      <c r="G4543">
        <v>0</v>
      </c>
    </row>
    <row r="4544" spans="1:7" hidden="1">
      <c r="A4544">
        <v>350</v>
      </c>
      <c r="B4544" t="s">
        <v>1316</v>
      </c>
      <c r="C4544" t="s">
        <v>964</v>
      </c>
      <c r="D4544">
        <v>0.19</v>
      </c>
      <c r="E4544">
        <v>21.87</v>
      </c>
      <c r="F4544">
        <v>0.61</v>
      </c>
      <c r="G4544">
        <v>0</v>
      </c>
    </row>
    <row r="4545" spans="1:7" hidden="1">
      <c r="A4545">
        <v>350</v>
      </c>
      <c r="B4545" t="s">
        <v>1316</v>
      </c>
      <c r="C4545" t="s">
        <v>965</v>
      </c>
      <c r="D4545">
        <v>2.31</v>
      </c>
      <c r="E4545">
        <v>24.75</v>
      </c>
      <c r="F4545">
        <v>8.16</v>
      </c>
      <c r="G4545">
        <v>0.01</v>
      </c>
    </row>
    <row r="4546" spans="1:7">
      <c r="A4546">
        <v>350</v>
      </c>
      <c r="B4546" t="s">
        <v>1316</v>
      </c>
      <c r="C4546" t="s">
        <v>24</v>
      </c>
      <c r="D4546">
        <v>13.03</v>
      </c>
      <c r="E4546">
        <v>20.2</v>
      </c>
      <c r="F4546">
        <v>37.61</v>
      </c>
      <c r="G4546">
        <v>0.01</v>
      </c>
    </row>
    <row r="4547" spans="1:7" hidden="1">
      <c r="A4547">
        <v>350</v>
      </c>
      <c r="B4547" t="s">
        <v>1316</v>
      </c>
      <c r="C4547" t="s">
        <v>966</v>
      </c>
      <c r="D4547">
        <v>0</v>
      </c>
      <c r="E4547">
        <v>18.05</v>
      </c>
      <c r="F4547">
        <v>0</v>
      </c>
      <c r="G4547">
        <v>0</v>
      </c>
    </row>
    <row r="4548" spans="1:7" hidden="1">
      <c r="A4548">
        <v>350</v>
      </c>
      <c r="B4548" t="s">
        <v>1316</v>
      </c>
      <c r="C4548" t="s">
        <v>967</v>
      </c>
      <c r="D4548">
        <v>0.31</v>
      </c>
      <c r="E4548">
        <v>17.91</v>
      </c>
      <c r="F4548">
        <v>0.78</v>
      </c>
      <c r="G4548">
        <v>0</v>
      </c>
    </row>
    <row r="4549" spans="1:7" hidden="1">
      <c r="A4549">
        <v>350</v>
      </c>
      <c r="B4549" t="s">
        <v>1316</v>
      </c>
      <c r="C4549" t="s">
        <v>968</v>
      </c>
      <c r="D4549">
        <v>0.76</v>
      </c>
      <c r="E4549">
        <v>18.09</v>
      </c>
      <c r="F4549">
        <v>1.97</v>
      </c>
      <c r="G4549">
        <v>0</v>
      </c>
    </row>
    <row r="4550" spans="1:7" hidden="1">
      <c r="A4550">
        <v>350</v>
      </c>
      <c r="B4550" t="s">
        <v>1316</v>
      </c>
      <c r="C4550" t="s">
        <v>969</v>
      </c>
      <c r="D4550">
        <v>0.15</v>
      </c>
      <c r="E4550">
        <v>24.75</v>
      </c>
      <c r="F4550">
        <v>0.51</v>
      </c>
      <c r="G4550">
        <v>0</v>
      </c>
    </row>
    <row r="4551" spans="1:7" hidden="1">
      <c r="A4551">
        <v>350</v>
      </c>
      <c r="B4551" t="s">
        <v>1316</v>
      </c>
      <c r="C4551" t="s">
        <v>970</v>
      </c>
      <c r="D4551">
        <v>0.44</v>
      </c>
      <c r="E4551">
        <v>24.75</v>
      </c>
      <c r="F4551">
        <v>1.57</v>
      </c>
      <c r="G4551">
        <v>0</v>
      </c>
    </row>
    <row r="4552" spans="1:7" hidden="1">
      <c r="A4552">
        <v>351</v>
      </c>
      <c r="B4552" t="s">
        <v>1317</v>
      </c>
      <c r="C4552" t="s">
        <v>959</v>
      </c>
      <c r="D4552">
        <v>9.09</v>
      </c>
      <c r="E4552">
        <v>18.309999999999999</v>
      </c>
      <c r="F4552">
        <v>23.79</v>
      </c>
      <c r="G4552">
        <v>7.38</v>
      </c>
    </row>
    <row r="4553" spans="1:7" hidden="1">
      <c r="A4553">
        <v>351</v>
      </c>
      <c r="B4553" t="s">
        <v>1317</v>
      </c>
      <c r="C4553" t="s">
        <v>960</v>
      </c>
      <c r="D4553">
        <v>7.6</v>
      </c>
      <c r="E4553">
        <v>18.399999999999999</v>
      </c>
      <c r="F4553">
        <v>19.98</v>
      </c>
      <c r="G4553">
        <v>6.22</v>
      </c>
    </row>
    <row r="4554" spans="1:7" hidden="1">
      <c r="A4554">
        <v>351</v>
      </c>
      <c r="B4554" t="s">
        <v>1317</v>
      </c>
      <c r="C4554" t="s">
        <v>961</v>
      </c>
      <c r="D4554">
        <v>1.43</v>
      </c>
      <c r="E4554">
        <v>20.059999999999999</v>
      </c>
      <c r="F4554">
        <v>4.09</v>
      </c>
      <c r="G4554">
        <v>0.54</v>
      </c>
    </row>
    <row r="4555" spans="1:7" hidden="1">
      <c r="A4555">
        <v>351</v>
      </c>
      <c r="B4555" t="s">
        <v>1317</v>
      </c>
      <c r="C4555" t="s">
        <v>962</v>
      </c>
      <c r="D4555">
        <v>1.03</v>
      </c>
      <c r="E4555">
        <v>24.72</v>
      </c>
      <c r="F4555">
        <v>3.62</v>
      </c>
      <c r="G4555">
        <v>0.68</v>
      </c>
    </row>
    <row r="4556" spans="1:7" hidden="1">
      <c r="A4556">
        <v>351</v>
      </c>
      <c r="B4556" t="s">
        <v>1317</v>
      </c>
      <c r="C4556" t="s">
        <v>963</v>
      </c>
      <c r="D4556">
        <v>2.88</v>
      </c>
      <c r="E4556">
        <v>18.13</v>
      </c>
      <c r="F4556">
        <v>7.45</v>
      </c>
      <c r="G4556">
        <v>2.0699999999999998</v>
      </c>
    </row>
    <row r="4557" spans="1:7" hidden="1">
      <c r="A4557">
        <v>351</v>
      </c>
      <c r="B4557" t="s">
        <v>1317</v>
      </c>
      <c r="C4557" t="s">
        <v>964</v>
      </c>
      <c r="D4557">
        <v>0.21</v>
      </c>
      <c r="E4557">
        <v>21.87</v>
      </c>
      <c r="F4557">
        <v>0.67</v>
      </c>
      <c r="G4557">
        <v>0.14000000000000001</v>
      </c>
    </row>
    <row r="4558" spans="1:7" hidden="1">
      <c r="A4558">
        <v>351</v>
      </c>
      <c r="B4558" t="s">
        <v>1317</v>
      </c>
      <c r="C4558" t="s">
        <v>965</v>
      </c>
      <c r="D4558">
        <v>2.0699999999999998</v>
      </c>
      <c r="E4558">
        <v>24.75</v>
      </c>
      <c r="F4558">
        <v>7.32</v>
      </c>
      <c r="G4558">
        <v>1.45</v>
      </c>
    </row>
    <row r="4559" spans="1:7">
      <c r="A4559">
        <v>351</v>
      </c>
      <c r="B4559" t="s">
        <v>1317</v>
      </c>
      <c r="C4559" t="s">
        <v>24</v>
      </c>
      <c r="D4559">
        <v>24.31</v>
      </c>
      <c r="E4559">
        <v>19.27</v>
      </c>
      <c r="F4559">
        <v>66.92</v>
      </c>
      <c r="G4559">
        <v>18.48</v>
      </c>
    </row>
    <row r="4560" spans="1:7" hidden="1">
      <c r="A4560">
        <v>351</v>
      </c>
      <c r="B4560" t="s">
        <v>1317</v>
      </c>
      <c r="C4560" t="s">
        <v>966</v>
      </c>
      <c r="D4560">
        <v>18.59</v>
      </c>
      <c r="E4560">
        <v>18.05</v>
      </c>
      <c r="F4560">
        <v>47.94</v>
      </c>
      <c r="G4560">
        <v>18.02</v>
      </c>
    </row>
    <row r="4561" spans="1:7" hidden="1">
      <c r="A4561">
        <v>351</v>
      </c>
      <c r="B4561" t="s">
        <v>1317</v>
      </c>
      <c r="C4561" t="s">
        <v>967</v>
      </c>
      <c r="D4561">
        <v>0.23</v>
      </c>
      <c r="E4561">
        <v>17.91</v>
      </c>
      <c r="F4561">
        <v>0.57999999999999996</v>
      </c>
      <c r="G4561">
        <v>0.21</v>
      </c>
    </row>
    <row r="4562" spans="1:7" hidden="1">
      <c r="A4562">
        <v>351</v>
      </c>
      <c r="B4562" t="s">
        <v>1317</v>
      </c>
      <c r="C4562" t="s">
        <v>968</v>
      </c>
      <c r="D4562">
        <v>0.35</v>
      </c>
      <c r="E4562">
        <v>18.09</v>
      </c>
      <c r="F4562">
        <v>0.9</v>
      </c>
      <c r="G4562">
        <v>0.19</v>
      </c>
    </row>
    <row r="4563" spans="1:7" hidden="1">
      <c r="A4563">
        <v>351</v>
      </c>
      <c r="B4563" t="s">
        <v>1317</v>
      </c>
      <c r="C4563" t="s">
        <v>969</v>
      </c>
      <c r="D4563">
        <v>1.48</v>
      </c>
      <c r="E4563">
        <v>24.75</v>
      </c>
      <c r="F4563">
        <v>5.23</v>
      </c>
      <c r="G4563">
        <v>0.01</v>
      </c>
    </row>
    <row r="4564" spans="1:7" hidden="1">
      <c r="A4564">
        <v>351</v>
      </c>
      <c r="B4564" t="s">
        <v>1317</v>
      </c>
      <c r="C4564" t="s">
        <v>970</v>
      </c>
      <c r="D4564">
        <v>0.22</v>
      </c>
      <c r="E4564">
        <v>24.75</v>
      </c>
      <c r="F4564">
        <v>0.77</v>
      </c>
      <c r="G4564">
        <v>0.1</v>
      </c>
    </row>
    <row r="4565" spans="1:7" hidden="1">
      <c r="A4565">
        <v>352</v>
      </c>
      <c r="B4565" t="s">
        <v>1318</v>
      </c>
      <c r="C4565" t="s">
        <v>959</v>
      </c>
      <c r="D4565">
        <v>8.0399999999999991</v>
      </c>
      <c r="E4565">
        <v>18.309999999999999</v>
      </c>
      <c r="F4565">
        <v>21.04</v>
      </c>
      <c r="G4565">
        <v>5.9</v>
      </c>
    </row>
    <row r="4566" spans="1:7" hidden="1">
      <c r="A4566">
        <v>352</v>
      </c>
      <c r="B4566" t="s">
        <v>1318</v>
      </c>
      <c r="C4566" t="s">
        <v>960</v>
      </c>
      <c r="D4566">
        <v>8.11</v>
      </c>
      <c r="E4566">
        <v>18.399999999999999</v>
      </c>
      <c r="F4566">
        <v>21.32</v>
      </c>
      <c r="G4566">
        <v>6.78</v>
      </c>
    </row>
    <row r="4567" spans="1:7" hidden="1">
      <c r="A4567">
        <v>352</v>
      </c>
      <c r="B4567" t="s">
        <v>1318</v>
      </c>
      <c r="C4567" t="s">
        <v>961</v>
      </c>
      <c r="D4567">
        <v>0.85</v>
      </c>
      <c r="E4567">
        <v>20.059999999999999</v>
      </c>
      <c r="F4567">
        <v>2.4500000000000002</v>
      </c>
      <c r="G4567">
        <v>0.64</v>
      </c>
    </row>
    <row r="4568" spans="1:7" hidden="1">
      <c r="A4568">
        <v>352</v>
      </c>
      <c r="B4568" t="s">
        <v>1318</v>
      </c>
      <c r="C4568" t="s">
        <v>962</v>
      </c>
      <c r="D4568">
        <v>1.06</v>
      </c>
      <c r="E4568">
        <v>24.72</v>
      </c>
      <c r="F4568">
        <v>3.73</v>
      </c>
      <c r="G4568">
        <v>0.81</v>
      </c>
    </row>
    <row r="4569" spans="1:7" hidden="1">
      <c r="A4569">
        <v>352</v>
      </c>
      <c r="B4569" t="s">
        <v>1318</v>
      </c>
      <c r="C4569" t="s">
        <v>963</v>
      </c>
      <c r="D4569">
        <v>2.15</v>
      </c>
      <c r="E4569">
        <v>18.13</v>
      </c>
      <c r="F4569">
        <v>5.56</v>
      </c>
      <c r="G4569">
        <v>1.53</v>
      </c>
    </row>
    <row r="4570" spans="1:7" hidden="1">
      <c r="A4570">
        <v>352</v>
      </c>
      <c r="B4570" t="s">
        <v>1318</v>
      </c>
      <c r="C4570" t="s">
        <v>964</v>
      </c>
      <c r="D4570">
        <v>0.1</v>
      </c>
      <c r="E4570">
        <v>21.87</v>
      </c>
      <c r="F4570">
        <v>0.3</v>
      </c>
      <c r="G4570">
        <v>7.0000000000000007E-2</v>
      </c>
    </row>
    <row r="4571" spans="1:7" hidden="1">
      <c r="A4571">
        <v>352</v>
      </c>
      <c r="B4571" t="s">
        <v>1318</v>
      </c>
      <c r="C4571" t="s">
        <v>965</v>
      </c>
      <c r="D4571">
        <v>1.5</v>
      </c>
      <c r="E4571">
        <v>24.75</v>
      </c>
      <c r="F4571">
        <v>5.32</v>
      </c>
      <c r="G4571">
        <v>1.02</v>
      </c>
    </row>
    <row r="4572" spans="1:7">
      <c r="A4572">
        <v>352</v>
      </c>
      <c r="B4572" t="s">
        <v>1318</v>
      </c>
      <c r="C4572" t="s">
        <v>24</v>
      </c>
      <c r="D4572">
        <v>21.81</v>
      </c>
      <c r="E4572">
        <v>19.16</v>
      </c>
      <c r="F4572">
        <v>59.71</v>
      </c>
      <c r="G4572">
        <v>16.760000000000002</v>
      </c>
    </row>
    <row r="4573" spans="1:7" hidden="1">
      <c r="A4573">
        <v>352</v>
      </c>
      <c r="B4573" t="s">
        <v>1318</v>
      </c>
      <c r="C4573" t="s">
        <v>966</v>
      </c>
      <c r="D4573">
        <v>16.18</v>
      </c>
      <c r="E4573">
        <v>18.05</v>
      </c>
      <c r="F4573">
        <v>41.72</v>
      </c>
      <c r="G4573">
        <v>15.34</v>
      </c>
    </row>
    <row r="4574" spans="1:7" hidden="1">
      <c r="A4574">
        <v>352</v>
      </c>
      <c r="B4574" t="s">
        <v>1318</v>
      </c>
      <c r="C4574" t="s">
        <v>967</v>
      </c>
      <c r="D4574">
        <v>0.39</v>
      </c>
      <c r="E4574">
        <v>17.91</v>
      </c>
      <c r="F4574">
        <v>1</v>
      </c>
      <c r="G4574">
        <v>0.23</v>
      </c>
    </row>
    <row r="4575" spans="1:7" hidden="1">
      <c r="A4575">
        <v>352</v>
      </c>
      <c r="B4575" t="s">
        <v>1318</v>
      </c>
      <c r="C4575" t="s">
        <v>968</v>
      </c>
      <c r="D4575">
        <v>0.82</v>
      </c>
      <c r="E4575">
        <v>18.09</v>
      </c>
      <c r="F4575">
        <v>2.12</v>
      </c>
      <c r="G4575">
        <v>0.55000000000000004</v>
      </c>
    </row>
    <row r="4576" spans="1:7" hidden="1">
      <c r="A4576">
        <v>352</v>
      </c>
      <c r="B4576" t="s">
        <v>1318</v>
      </c>
      <c r="C4576" t="s">
        <v>969</v>
      </c>
      <c r="D4576">
        <v>1.77</v>
      </c>
      <c r="E4576">
        <v>24.75</v>
      </c>
      <c r="F4576">
        <v>6.26</v>
      </c>
      <c r="G4576">
        <v>0.02</v>
      </c>
    </row>
    <row r="4577" spans="1:7" hidden="1">
      <c r="A4577">
        <v>352</v>
      </c>
      <c r="B4577" t="s">
        <v>1318</v>
      </c>
      <c r="C4577" t="s">
        <v>970</v>
      </c>
      <c r="D4577">
        <v>0.35</v>
      </c>
      <c r="E4577">
        <v>24.75</v>
      </c>
      <c r="F4577">
        <v>1.24</v>
      </c>
      <c r="G4577">
        <v>0.18</v>
      </c>
    </row>
    <row r="4578" spans="1:7" hidden="1">
      <c r="A4578">
        <v>353</v>
      </c>
      <c r="B4578" t="s">
        <v>1319</v>
      </c>
      <c r="C4578" t="s">
        <v>959</v>
      </c>
      <c r="D4578">
        <v>8.57</v>
      </c>
      <c r="E4578">
        <v>18.309999999999999</v>
      </c>
      <c r="F4578">
        <v>22.43</v>
      </c>
      <c r="G4578">
        <v>5.0599999999999996</v>
      </c>
    </row>
    <row r="4579" spans="1:7" hidden="1">
      <c r="A4579">
        <v>353</v>
      </c>
      <c r="B4579" t="s">
        <v>1319</v>
      </c>
      <c r="C4579" t="s">
        <v>960</v>
      </c>
      <c r="D4579">
        <v>8.5</v>
      </c>
      <c r="E4579">
        <v>18.399999999999999</v>
      </c>
      <c r="F4579">
        <v>22.33</v>
      </c>
      <c r="G4579">
        <v>4.75</v>
      </c>
    </row>
    <row r="4580" spans="1:7" hidden="1">
      <c r="A4580">
        <v>353</v>
      </c>
      <c r="B4580" t="s">
        <v>1319</v>
      </c>
      <c r="C4580" t="s">
        <v>961</v>
      </c>
      <c r="D4580">
        <v>1.47</v>
      </c>
      <c r="E4580">
        <v>20.059999999999999</v>
      </c>
      <c r="F4580">
        <v>4.21</v>
      </c>
      <c r="G4580">
        <v>1.02</v>
      </c>
    </row>
    <row r="4581" spans="1:7" hidden="1">
      <c r="A4581">
        <v>353</v>
      </c>
      <c r="B4581" t="s">
        <v>1319</v>
      </c>
      <c r="C4581" t="s">
        <v>962</v>
      </c>
      <c r="D4581">
        <v>0.94</v>
      </c>
      <c r="E4581">
        <v>24.72</v>
      </c>
      <c r="F4581">
        <v>3.33</v>
      </c>
      <c r="G4581">
        <v>0.26</v>
      </c>
    </row>
    <row r="4582" spans="1:7" hidden="1">
      <c r="A4582">
        <v>353</v>
      </c>
      <c r="B4582" t="s">
        <v>1319</v>
      </c>
      <c r="C4582" t="s">
        <v>963</v>
      </c>
      <c r="D4582">
        <v>3.11</v>
      </c>
      <c r="E4582">
        <v>18.13</v>
      </c>
      <c r="F4582">
        <v>8.07</v>
      </c>
      <c r="G4582">
        <v>1.17</v>
      </c>
    </row>
    <row r="4583" spans="1:7" hidden="1">
      <c r="A4583">
        <v>353</v>
      </c>
      <c r="B4583" t="s">
        <v>1319</v>
      </c>
      <c r="C4583" t="s">
        <v>964</v>
      </c>
      <c r="D4583">
        <v>0.09</v>
      </c>
      <c r="E4583">
        <v>21.87</v>
      </c>
      <c r="F4583">
        <v>0.28999999999999998</v>
      </c>
      <c r="G4583">
        <v>0.02</v>
      </c>
    </row>
    <row r="4584" spans="1:7" hidden="1">
      <c r="A4584">
        <v>353</v>
      </c>
      <c r="B4584" t="s">
        <v>1319</v>
      </c>
      <c r="C4584" t="s">
        <v>965</v>
      </c>
      <c r="D4584">
        <v>3.86</v>
      </c>
      <c r="E4584">
        <v>24.75</v>
      </c>
      <c r="F4584">
        <v>13.65</v>
      </c>
      <c r="G4584">
        <v>1.85</v>
      </c>
    </row>
    <row r="4585" spans="1:7">
      <c r="A4585">
        <v>353</v>
      </c>
      <c r="B4585" t="s">
        <v>1319</v>
      </c>
      <c r="C4585" t="s">
        <v>24</v>
      </c>
      <c r="D4585">
        <v>26.55</v>
      </c>
      <c r="E4585">
        <v>19.59</v>
      </c>
      <c r="F4585">
        <v>74.31</v>
      </c>
      <c r="G4585">
        <v>14.14</v>
      </c>
    </row>
    <row r="4586" spans="1:7" hidden="1">
      <c r="A4586">
        <v>353</v>
      </c>
      <c r="B4586" t="s">
        <v>1319</v>
      </c>
      <c r="C4586" t="s">
        <v>966</v>
      </c>
      <c r="D4586">
        <v>8.6300000000000008</v>
      </c>
      <c r="E4586">
        <v>18.05</v>
      </c>
      <c r="F4586">
        <v>22.27</v>
      </c>
      <c r="G4586">
        <v>7.17</v>
      </c>
    </row>
    <row r="4587" spans="1:7" hidden="1">
      <c r="A4587">
        <v>353</v>
      </c>
      <c r="B4587" t="s">
        <v>1319</v>
      </c>
      <c r="C4587" t="s">
        <v>967</v>
      </c>
      <c r="D4587">
        <v>0.5</v>
      </c>
      <c r="E4587">
        <v>17.91</v>
      </c>
      <c r="F4587">
        <v>1.28</v>
      </c>
      <c r="G4587">
        <v>0.22</v>
      </c>
    </row>
    <row r="4588" spans="1:7" hidden="1">
      <c r="A4588">
        <v>353</v>
      </c>
      <c r="B4588" t="s">
        <v>1319</v>
      </c>
      <c r="C4588" t="s">
        <v>968</v>
      </c>
      <c r="D4588">
        <v>1.28</v>
      </c>
      <c r="E4588">
        <v>18.09</v>
      </c>
      <c r="F4588">
        <v>3.3</v>
      </c>
      <c r="G4588">
        <v>0.53</v>
      </c>
    </row>
    <row r="4589" spans="1:7" hidden="1">
      <c r="A4589">
        <v>353</v>
      </c>
      <c r="B4589" t="s">
        <v>1319</v>
      </c>
      <c r="C4589" t="s">
        <v>969</v>
      </c>
      <c r="D4589">
        <v>1.51</v>
      </c>
      <c r="E4589">
        <v>24.75</v>
      </c>
      <c r="F4589">
        <v>5.34</v>
      </c>
      <c r="G4589">
        <v>0.04</v>
      </c>
    </row>
    <row r="4590" spans="1:7" hidden="1">
      <c r="A4590">
        <v>353</v>
      </c>
      <c r="B4590" t="s">
        <v>1319</v>
      </c>
      <c r="C4590" t="s">
        <v>970</v>
      </c>
      <c r="D4590">
        <v>0.33</v>
      </c>
      <c r="E4590">
        <v>24.75</v>
      </c>
      <c r="F4590">
        <v>1.1599999999999999</v>
      </c>
      <c r="G4590">
        <v>0.18</v>
      </c>
    </row>
    <row r="4591" spans="1:7" hidden="1">
      <c r="A4591">
        <v>354</v>
      </c>
      <c r="B4591" t="s">
        <v>1320</v>
      </c>
      <c r="C4591" t="s">
        <v>959</v>
      </c>
      <c r="D4591">
        <v>8.23</v>
      </c>
      <c r="E4591">
        <v>18.309999999999999</v>
      </c>
      <c r="F4591">
        <v>21.53</v>
      </c>
      <c r="G4591">
        <v>5.39</v>
      </c>
    </row>
    <row r="4592" spans="1:7" hidden="1">
      <c r="A4592">
        <v>354</v>
      </c>
      <c r="B4592" t="s">
        <v>1320</v>
      </c>
      <c r="C4592" t="s">
        <v>960</v>
      </c>
      <c r="D4592">
        <v>7.61</v>
      </c>
      <c r="E4592">
        <v>18.399999999999999</v>
      </c>
      <c r="F4592">
        <v>20</v>
      </c>
      <c r="G4592">
        <v>5.17</v>
      </c>
    </row>
    <row r="4593" spans="1:7" hidden="1">
      <c r="A4593">
        <v>354</v>
      </c>
      <c r="B4593" t="s">
        <v>1320</v>
      </c>
      <c r="C4593" t="s">
        <v>961</v>
      </c>
      <c r="D4593">
        <v>1.36</v>
      </c>
      <c r="E4593">
        <v>20.059999999999999</v>
      </c>
      <c r="F4593">
        <v>3.9</v>
      </c>
      <c r="G4593">
        <v>0.61</v>
      </c>
    </row>
    <row r="4594" spans="1:7" hidden="1">
      <c r="A4594">
        <v>354</v>
      </c>
      <c r="B4594" t="s">
        <v>1320</v>
      </c>
      <c r="C4594" t="s">
        <v>962</v>
      </c>
      <c r="D4594">
        <v>1.03</v>
      </c>
      <c r="E4594">
        <v>24.72</v>
      </c>
      <c r="F4594">
        <v>3.65</v>
      </c>
      <c r="G4594">
        <v>0.52</v>
      </c>
    </row>
    <row r="4595" spans="1:7" hidden="1">
      <c r="A4595">
        <v>354</v>
      </c>
      <c r="B4595" t="s">
        <v>1320</v>
      </c>
      <c r="C4595" t="s">
        <v>963</v>
      </c>
      <c r="D4595">
        <v>2.72</v>
      </c>
      <c r="E4595">
        <v>18.13</v>
      </c>
      <c r="F4595">
        <v>7.03</v>
      </c>
      <c r="G4595">
        <v>1.42</v>
      </c>
    </row>
    <row r="4596" spans="1:7" hidden="1">
      <c r="A4596">
        <v>354</v>
      </c>
      <c r="B4596" t="s">
        <v>1320</v>
      </c>
      <c r="C4596" t="s">
        <v>964</v>
      </c>
      <c r="D4596">
        <v>0.15</v>
      </c>
      <c r="E4596">
        <v>21.87</v>
      </c>
      <c r="F4596">
        <v>0.47</v>
      </c>
      <c r="G4596">
        <v>7.0000000000000007E-2</v>
      </c>
    </row>
    <row r="4597" spans="1:7" hidden="1">
      <c r="A4597">
        <v>354</v>
      </c>
      <c r="B4597" t="s">
        <v>1320</v>
      </c>
      <c r="C4597" t="s">
        <v>965</v>
      </c>
      <c r="D4597">
        <v>2.35</v>
      </c>
      <c r="E4597">
        <v>24.75</v>
      </c>
      <c r="F4597">
        <v>8.31</v>
      </c>
      <c r="G4597">
        <v>1.23</v>
      </c>
    </row>
    <row r="4598" spans="1:7">
      <c r="A4598">
        <v>354</v>
      </c>
      <c r="B4598" t="s">
        <v>1320</v>
      </c>
      <c r="C4598" t="s">
        <v>24</v>
      </c>
      <c r="D4598">
        <v>23.45</v>
      </c>
      <c r="E4598">
        <v>19.37</v>
      </c>
      <c r="F4598">
        <v>64.89</v>
      </c>
      <c r="G4598">
        <v>14.41</v>
      </c>
    </row>
    <row r="4599" spans="1:7" hidden="1">
      <c r="A4599">
        <v>354</v>
      </c>
      <c r="B4599" t="s">
        <v>1320</v>
      </c>
      <c r="C4599" t="s">
        <v>966</v>
      </c>
      <c r="D4599">
        <v>13.7</v>
      </c>
      <c r="E4599">
        <v>18.05</v>
      </c>
      <c r="F4599">
        <v>35.340000000000003</v>
      </c>
      <c r="G4599">
        <v>12.77</v>
      </c>
    </row>
    <row r="4600" spans="1:7" hidden="1">
      <c r="A4600">
        <v>354</v>
      </c>
      <c r="B4600" t="s">
        <v>1320</v>
      </c>
      <c r="C4600" t="s">
        <v>967</v>
      </c>
      <c r="D4600">
        <v>0.34</v>
      </c>
      <c r="E4600">
        <v>17.91</v>
      </c>
      <c r="F4600">
        <v>0.87</v>
      </c>
      <c r="G4600">
        <v>0.19</v>
      </c>
    </row>
    <row r="4601" spans="1:7" hidden="1">
      <c r="A4601">
        <v>354</v>
      </c>
      <c r="B4601" t="s">
        <v>1320</v>
      </c>
      <c r="C4601" t="s">
        <v>968</v>
      </c>
      <c r="D4601">
        <v>0.79</v>
      </c>
      <c r="E4601">
        <v>18.09</v>
      </c>
      <c r="F4601">
        <v>2.0299999999999998</v>
      </c>
      <c r="G4601">
        <v>0.35</v>
      </c>
    </row>
    <row r="4602" spans="1:7" hidden="1">
      <c r="A4602">
        <v>354</v>
      </c>
      <c r="B4602" t="s">
        <v>1320</v>
      </c>
      <c r="C4602" t="s">
        <v>969</v>
      </c>
      <c r="D4602">
        <v>1.56</v>
      </c>
      <c r="E4602">
        <v>24.75</v>
      </c>
      <c r="F4602">
        <v>5.51</v>
      </c>
      <c r="G4602">
        <v>0.02</v>
      </c>
    </row>
    <row r="4603" spans="1:7" hidden="1">
      <c r="A4603">
        <v>354</v>
      </c>
      <c r="B4603" t="s">
        <v>1320</v>
      </c>
      <c r="C4603" t="s">
        <v>970</v>
      </c>
      <c r="D4603">
        <v>0.3</v>
      </c>
      <c r="E4603">
        <v>24.75</v>
      </c>
      <c r="F4603">
        <v>1.06</v>
      </c>
      <c r="G4603">
        <v>0.13</v>
      </c>
    </row>
    <row r="4604" spans="1:7" hidden="1">
      <c r="A4604">
        <v>355</v>
      </c>
      <c r="B4604" t="s">
        <v>1321</v>
      </c>
      <c r="C4604" t="s">
        <v>959</v>
      </c>
      <c r="D4604">
        <v>7.85</v>
      </c>
      <c r="E4604">
        <v>18.309999999999999</v>
      </c>
      <c r="F4604">
        <v>20.53</v>
      </c>
      <c r="G4604">
        <v>5.3</v>
      </c>
    </row>
    <row r="4605" spans="1:7" hidden="1">
      <c r="A4605">
        <v>355</v>
      </c>
      <c r="B4605" t="s">
        <v>1321</v>
      </c>
      <c r="C4605" t="s">
        <v>960</v>
      </c>
      <c r="D4605">
        <v>7.13</v>
      </c>
      <c r="E4605">
        <v>18.399999999999999</v>
      </c>
      <c r="F4605">
        <v>18.75</v>
      </c>
      <c r="G4605">
        <v>5.23</v>
      </c>
    </row>
    <row r="4606" spans="1:7" hidden="1">
      <c r="A4606">
        <v>355</v>
      </c>
      <c r="B4606" t="s">
        <v>1321</v>
      </c>
      <c r="C4606" t="s">
        <v>961</v>
      </c>
      <c r="D4606">
        <v>1.31</v>
      </c>
      <c r="E4606">
        <v>20.059999999999999</v>
      </c>
      <c r="F4606">
        <v>3.74</v>
      </c>
      <c r="G4606">
        <v>0.62</v>
      </c>
    </row>
    <row r="4607" spans="1:7" hidden="1">
      <c r="A4607">
        <v>355</v>
      </c>
      <c r="B4607" t="s">
        <v>1321</v>
      </c>
      <c r="C4607" t="s">
        <v>962</v>
      </c>
      <c r="D4607">
        <v>0.96</v>
      </c>
      <c r="E4607">
        <v>24.72</v>
      </c>
      <c r="F4607">
        <v>3.38</v>
      </c>
      <c r="G4607">
        <v>0.56000000000000005</v>
      </c>
    </row>
    <row r="4608" spans="1:7" hidden="1">
      <c r="A4608">
        <v>355</v>
      </c>
      <c r="B4608" t="s">
        <v>1321</v>
      </c>
      <c r="C4608" t="s">
        <v>963</v>
      </c>
      <c r="D4608">
        <v>2.68</v>
      </c>
      <c r="E4608">
        <v>18.13</v>
      </c>
      <c r="F4608">
        <v>6.95</v>
      </c>
      <c r="G4608">
        <v>1.45</v>
      </c>
    </row>
    <row r="4609" spans="1:7" hidden="1">
      <c r="A4609">
        <v>355</v>
      </c>
      <c r="B4609" t="s">
        <v>1321</v>
      </c>
      <c r="C4609" t="s">
        <v>964</v>
      </c>
      <c r="D4609">
        <v>0.12</v>
      </c>
      <c r="E4609">
        <v>21.87</v>
      </c>
      <c r="F4609">
        <v>0.37</v>
      </c>
      <c r="G4609">
        <v>0.08</v>
      </c>
    </row>
    <row r="4610" spans="1:7" hidden="1">
      <c r="A4610">
        <v>355</v>
      </c>
      <c r="B4610" t="s">
        <v>1321</v>
      </c>
      <c r="C4610" t="s">
        <v>965</v>
      </c>
      <c r="D4610">
        <v>2.38</v>
      </c>
      <c r="E4610">
        <v>24.75</v>
      </c>
      <c r="F4610">
        <v>8.42</v>
      </c>
      <c r="G4610">
        <v>1.3</v>
      </c>
    </row>
    <row r="4611" spans="1:7">
      <c r="A4611">
        <v>355</v>
      </c>
      <c r="B4611" t="s">
        <v>1321</v>
      </c>
      <c r="C4611" t="s">
        <v>24</v>
      </c>
      <c r="D4611">
        <v>22.42</v>
      </c>
      <c r="E4611">
        <v>19.399999999999999</v>
      </c>
      <c r="F4611">
        <v>62.13</v>
      </c>
      <c r="G4611">
        <v>14.52</v>
      </c>
    </row>
    <row r="4612" spans="1:7" hidden="1">
      <c r="A4612">
        <v>355</v>
      </c>
      <c r="B4612" t="s">
        <v>1321</v>
      </c>
      <c r="C4612" t="s">
        <v>966</v>
      </c>
      <c r="D4612">
        <v>14.11</v>
      </c>
      <c r="E4612">
        <v>18.05</v>
      </c>
      <c r="F4612">
        <v>36.39</v>
      </c>
      <c r="G4612">
        <v>13.17</v>
      </c>
    </row>
    <row r="4613" spans="1:7" hidden="1">
      <c r="A4613">
        <v>355</v>
      </c>
      <c r="B4613" t="s">
        <v>1321</v>
      </c>
      <c r="C4613" t="s">
        <v>967</v>
      </c>
      <c r="D4613">
        <v>0.2</v>
      </c>
      <c r="E4613">
        <v>17.91</v>
      </c>
      <c r="F4613">
        <v>0.51</v>
      </c>
      <c r="G4613">
        <v>7.0000000000000007E-2</v>
      </c>
    </row>
    <row r="4614" spans="1:7" hidden="1">
      <c r="A4614">
        <v>355</v>
      </c>
      <c r="B4614" t="s">
        <v>1321</v>
      </c>
      <c r="C4614" t="s">
        <v>968</v>
      </c>
      <c r="D4614">
        <v>0.74</v>
      </c>
      <c r="E4614">
        <v>18.09</v>
      </c>
      <c r="F4614">
        <v>1.9</v>
      </c>
      <c r="G4614">
        <v>0.31</v>
      </c>
    </row>
    <row r="4615" spans="1:7" hidden="1">
      <c r="A4615">
        <v>355</v>
      </c>
      <c r="B4615" t="s">
        <v>1321</v>
      </c>
      <c r="C4615" t="s">
        <v>969</v>
      </c>
      <c r="D4615">
        <v>1.52</v>
      </c>
      <c r="E4615">
        <v>24.75</v>
      </c>
      <c r="F4615">
        <v>5.39</v>
      </c>
      <c r="G4615">
        <v>0.01</v>
      </c>
    </row>
    <row r="4616" spans="1:7" hidden="1">
      <c r="A4616">
        <v>355</v>
      </c>
      <c r="B4616" t="s">
        <v>1321</v>
      </c>
      <c r="C4616" t="s">
        <v>970</v>
      </c>
      <c r="D4616">
        <v>0.3</v>
      </c>
      <c r="E4616">
        <v>24.75</v>
      </c>
      <c r="F4616">
        <v>1.05</v>
      </c>
      <c r="G4616">
        <v>0.14000000000000001</v>
      </c>
    </row>
    <row r="4617" spans="1:7" hidden="1">
      <c r="A4617">
        <v>356</v>
      </c>
      <c r="B4617" t="s">
        <v>1322</v>
      </c>
      <c r="C4617" t="s">
        <v>959</v>
      </c>
      <c r="D4617">
        <v>7.99</v>
      </c>
      <c r="E4617">
        <v>18.309999999999999</v>
      </c>
      <c r="F4617">
        <v>20.9</v>
      </c>
      <c r="G4617">
        <v>0</v>
      </c>
    </row>
    <row r="4618" spans="1:7" hidden="1">
      <c r="A4618">
        <v>356</v>
      </c>
      <c r="B4618" t="s">
        <v>1322</v>
      </c>
      <c r="C4618" t="s">
        <v>960</v>
      </c>
      <c r="D4618">
        <v>6.35</v>
      </c>
      <c r="E4618">
        <v>18.399999999999999</v>
      </c>
      <c r="F4618">
        <v>16.68</v>
      </c>
      <c r="G4618">
        <v>0</v>
      </c>
    </row>
    <row r="4619" spans="1:7" hidden="1">
      <c r="A4619">
        <v>356</v>
      </c>
      <c r="B4619" t="s">
        <v>1322</v>
      </c>
      <c r="C4619" t="s">
        <v>961</v>
      </c>
      <c r="D4619">
        <v>3.57</v>
      </c>
      <c r="E4619">
        <v>20.059999999999999</v>
      </c>
      <c r="F4619">
        <v>10.23</v>
      </c>
      <c r="G4619">
        <v>0</v>
      </c>
    </row>
    <row r="4620" spans="1:7" hidden="1">
      <c r="A4620">
        <v>356</v>
      </c>
      <c r="B4620" t="s">
        <v>1322</v>
      </c>
      <c r="C4620" t="s">
        <v>962</v>
      </c>
      <c r="D4620">
        <v>1.93</v>
      </c>
      <c r="E4620">
        <v>24.72</v>
      </c>
      <c r="F4620">
        <v>6.82</v>
      </c>
      <c r="G4620">
        <v>0</v>
      </c>
    </row>
    <row r="4621" spans="1:7" hidden="1">
      <c r="A4621">
        <v>356</v>
      </c>
      <c r="B4621" t="s">
        <v>1322</v>
      </c>
      <c r="C4621" t="s">
        <v>963</v>
      </c>
      <c r="D4621">
        <v>3.14</v>
      </c>
      <c r="E4621">
        <v>18.13</v>
      </c>
      <c r="F4621">
        <v>8.1300000000000008</v>
      </c>
      <c r="G4621">
        <v>0</v>
      </c>
    </row>
    <row r="4622" spans="1:7" hidden="1">
      <c r="A4622">
        <v>356</v>
      </c>
      <c r="B4622" t="s">
        <v>1322</v>
      </c>
      <c r="C4622" t="s">
        <v>964</v>
      </c>
      <c r="D4622">
        <v>0.17</v>
      </c>
      <c r="E4622">
        <v>21.87</v>
      </c>
      <c r="F4622">
        <v>0.53</v>
      </c>
      <c r="G4622">
        <v>0</v>
      </c>
    </row>
    <row r="4623" spans="1:7" hidden="1">
      <c r="A4623">
        <v>356</v>
      </c>
      <c r="B4623" t="s">
        <v>1322</v>
      </c>
      <c r="C4623" t="s">
        <v>965</v>
      </c>
      <c r="D4623">
        <v>2.85</v>
      </c>
      <c r="E4623">
        <v>24.75</v>
      </c>
      <c r="F4623">
        <v>10.08</v>
      </c>
      <c r="G4623">
        <v>0</v>
      </c>
    </row>
    <row r="4624" spans="1:7">
      <c r="A4624">
        <v>356</v>
      </c>
      <c r="B4624" t="s">
        <v>1322</v>
      </c>
      <c r="C4624" t="s">
        <v>24</v>
      </c>
      <c r="D4624">
        <v>26</v>
      </c>
      <c r="E4624">
        <v>19.760000000000002</v>
      </c>
      <c r="F4624">
        <v>73.38</v>
      </c>
      <c r="G4624">
        <v>0</v>
      </c>
    </row>
    <row r="4625" spans="1:7" hidden="1">
      <c r="A4625">
        <v>356</v>
      </c>
      <c r="B4625" t="s">
        <v>1322</v>
      </c>
      <c r="C4625" t="s">
        <v>966</v>
      </c>
      <c r="D4625">
        <v>0.05</v>
      </c>
      <c r="E4625">
        <v>18.05</v>
      </c>
      <c r="F4625">
        <v>0.12</v>
      </c>
      <c r="G4625">
        <v>0</v>
      </c>
    </row>
    <row r="4626" spans="1:7" hidden="1">
      <c r="A4626">
        <v>356</v>
      </c>
      <c r="B4626" t="s">
        <v>1322</v>
      </c>
      <c r="C4626" t="s">
        <v>967</v>
      </c>
      <c r="D4626">
        <v>1.86</v>
      </c>
      <c r="E4626">
        <v>17.91</v>
      </c>
      <c r="F4626">
        <v>4.7699999999999996</v>
      </c>
      <c r="G4626">
        <v>0</v>
      </c>
    </row>
    <row r="4627" spans="1:7" hidden="1">
      <c r="A4627">
        <v>356</v>
      </c>
      <c r="B4627" t="s">
        <v>1322</v>
      </c>
      <c r="C4627" t="s">
        <v>968</v>
      </c>
      <c r="D4627">
        <v>1.48</v>
      </c>
      <c r="E4627">
        <v>18.09</v>
      </c>
      <c r="F4627">
        <v>3.83</v>
      </c>
      <c r="G4627">
        <v>0</v>
      </c>
    </row>
    <row r="4628" spans="1:7" hidden="1">
      <c r="A4628">
        <v>356</v>
      </c>
      <c r="B4628" t="s">
        <v>1322</v>
      </c>
      <c r="C4628" t="s">
        <v>969</v>
      </c>
      <c r="D4628">
        <v>0.38</v>
      </c>
      <c r="E4628">
        <v>24.75</v>
      </c>
      <c r="F4628">
        <v>1.35</v>
      </c>
      <c r="G4628">
        <v>0</v>
      </c>
    </row>
    <row r="4629" spans="1:7" hidden="1">
      <c r="A4629">
        <v>356</v>
      </c>
      <c r="B4629" t="s">
        <v>1322</v>
      </c>
      <c r="C4629" t="s">
        <v>970</v>
      </c>
      <c r="D4629">
        <v>0.54</v>
      </c>
      <c r="E4629">
        <v>24.75</v>
      </c>
      <c r="F4629">
        <v>1.91</v>
      </c>
      <c r="G4629">
        <v>0</v>
      </c>
    </row>
    <row r="4630" spans="1:7" hidden="1">
      <c r="A4630">
        <v>357</v>
      </c>
      <c r="B4630" t="s">
        <v>1323</v>
      </c>
      <c r="C4630" t="s">
        <v>959</v>
      </c>
      <c r="D4630">
        <v>9.43</v>
      </c>
      <c r="E4630">
        <v>18.309999999999999</v>
      </c>
      <c r="F4630">
        <v>24.66</v>
      </c>
      <c r="G4630">
        <v>1.6</v>
      </c>
    </row>
    <row r="4631" spans="1:7" hidden="1">
      <c r="A4631">
        <v>357</v>
      </c>
      <c r="B4631" t="s">
        <v>1323</v>
      </c>
      <c r="C4631" t="s">
        <v>960</v>
      </c>
      <c r="D4631">
        <v>7.7</v>
      </c>
      <c r="E4631">
        <v>18.399999999999999</v>
      </c>
      <c r="F4631">
        <v>20.239999999999998</v>
      </c>
      <c r="G4631">
        <v>1.95</v>
      </c>
    </row>
    <row r="4632" spans="1:7" hidden="1">
      <c r="A4632">
        <v>357</v>
      </c>
      <c r="B4632" t="s">
        <v>1323</v>
      </c>
      <c r="C4632" t="s">
        <v>961</v>
      </c>
      <c r="D4632">
        <v>2.25</v>
      </c>
      <c r="E4632">
        <v>20.059999999999999</v>
      </c>
      <c r="F4632">
        <v>6.43</v>
      </c>
      <c r="G4632">
        <v>0.35</v>
      </c>
    </row>
    <row r="4633" spans="1:7" hidden="1">
      <c r="A4633">
        <v>357</v>
      </c>
      <c r="B4633" t="s">
        <v>1323</v>
      </c>
      <c r="C4633" t="s">
        <v>962</v>
      </c>
      <c r="D4633">
        <v>1.1299999999999999</v>
      </c>
      <c r="E4633">
        <v>24.72</v>
      </c>
      <c r="F4633">
        <v>3.98</v>
      </c>
      <c r="G4633">
        <v>0.14000000000000001</v>
      </c>
    </row>
    <row r="4634" spans="1:7" hidden="1">
      <c r="A4634">
        <v>357</v>
      </c>
      <c r="B4634" t="s">
        <v>1323</v>
      </c>
      <c r="C4634" t="s">
        <v>963</v>
      </c>
      <c r="D4634">
        <v>2.65</v>
      </c>
      <c r="E4634">
        <v>18.13</v>
      </c>
      <c r="F4634">
        <v>6.85</v>
      </c>
      <c r="G4634">
        <v>0.49</v>
      </c>
    </row>
    <row r="4635" spans="1:7" hidden="1">
      <c r="A4635">
        <v>357</v>
      </c>
      <c r="B4635" t="s">
        <v>1323</v>
      </c>
      <c r="C4635" t="s">
        <v>964</v>
      </c>
      <c r="D4635">
        <v>0.11</v>
      </c>
      <c r="E4635">
        <v>21.87</v>
      </c>
      <c r="F4635">
        <v>0.33</v>
      </c>
      <c r="G4635">
        <v>0.01</v>
      </c>
    </row>
    <row r="4636" spans="1:7" hidden="1">
      <c r="A4636">
        <v>357</v>
      </c>
      <c r="B4636" t="s">
        <v>1323</v>
      </c>
      <c r="C4636" t="s">
        <v>965</v>
      </c>
      <c r="D4636">
        <v>1.69</v>
      </c>
      <c r="E4636">
        <v>24.75</v>
      </c>
      <c r="F4636">
        <v>5.96</v>
      </c>
      <c r="G4636">
        <v>0.27</v>
      </c>
    </row>
    <row r="4637" spans="1:7">
      <c r="A4637">
        <v>357</v>
      </c>
      <c r="B4637" t="s">
        <v>1323</v>
      </c>
      <c r="C4637" t="s">
        <v>24</v>
      </c>
      <c r="D4637">
        <v>24.94</v>
      </c>
      <c r="E4637">
        <v>19.22</v>
      </c>
      <c r="F4637">
        <v>68.45</v>
      </c>
      <c r="G4637">
        <v>4.8</v>
      </c>
    </row>
    <row r="4638" spans="1:7" hidden="1">
      <c r="A4638">
        <v>357</v>
      </c>
      <c r="B4638" t="s">
        <v>1323</v>
      </c>
      <c r="C4638" t="s">
        <v>966</v>
      </c>
      <c r="D4638">
        <v>4.5999999999999996</v>
      </c>
      <c r="E4638">
        <v>18.05</v>
      </c>
      <c r="F4638">
        <v>11.85</v>
      </c>
      <c r="G4638">
        <v>4.08</v>
      </c>
    </row>
    <row r="4639" spans="1:7" hidden="1">
      <c r="A4639">
        <v>357</v>
      </c>
      <c r="B4639" t="s">
        <v>1323</v>
      </c>
      <c r="C4639" t="s">
        <v>967</v>
      </c>
      <c r="D4639">
        <v>0.45</v>
      </c>
      <c r="E4639">
        <v>17.91</v>
      </c>
      <c r="F4639">
        <v>1.1499999999999999</v>
      </c>
      <c r="G4639">
        <v>0.06</v>
      </c>
    </row>
    <row r="4640" spans="1:7" hidden="1">
      <c r="A4640">
        <v>357</v>
      </c>
      <c r="B4640" t="s">
        <v>1323</v>
      </c>
      <c r="C4640" t="s">
        <v>968</v>
      </c>
      <c r="D4640">
        <v>0.75</v>
      </c>
      <c r="E4640">
        <v>18.09</v>
      </c>
      <c r="F4640">
        <v>1.94</v>
      </c>
      <c r="G4640">
        <v>0.12</v>
      </c>
    </row>
    <row r="4641" spans="1:7" hidden="1">
      <c r="A4641">
        <v>357</v>
      </c>
      <c r="B4641" t="s">
        <v>1323</v>
      </c>
      <c r="C4641" t="s">
        <v>969</v>
      </c>
      <c r="D4641">
        <v>0.8</v>
      </c>
      <c r="E4641">
        <v>24.75</v>
      </c>
      <c r="F4641">
        <v>2.82</v>
      </c>
      <c r="G4641">
        <v>0.02</v>
      </c>
    </row>
    <row r="4642" spans="1:7" hidden="1">
      <c r="A4642">
        <v>357</v>
      </c>
      <c r="B4642" t="s">
        <v>1323</v>
      </c>
      <c r="C4642" t="s">
        <v>970</v>
      </c>
      <c r="D4642">
        <v>0.27</v>
      </c>
      <c r="E4642">
        <v>24.75</v>
      </c>
      <c r="F4642">
        <v>0.94</v>
      </c>
      <c r="G4642">
        <v>0.06</v>
      </c>
    </row>
    <row r="4643" spans="1:7" hidden="1">
      <c r="A4643">
        <v>358</v>
      </c>
      <c r="B4643" t="s">
        <v>1324</v>
      </c>
      <c r="C4643" t="s">
        <v>959</v>
      </c>
      <c r="D4643">
        <v>7.1</v>
      </c>
      <c r="E4643">
        <v>18.309999999999999</v>
      </c>
      <c r="F4643">
        <v>18.57</v>
      </c>
      <c r="G4643">
        <v>0</v>
      </c>
    </row>
    <row r="4644" spans="1:7" hidden="1">
      <c r="A4644">
        <v>358</v>
      </c>
      <c r="B4644" t="s">
        <v>1324</v>
      </c>
      <c r="C4644" t="s">
        <v>960</v>
      </c>
      <c r="D4644">
        <v>5.44</v>
      </c>
      <c r="E4644">
        <v>18.399999999999999</v>
      </c>
      <c r="F4644">
        <v>14.29</v>
      </c>
      <c r="G4644">
        <v>0</v>
      </c>
    </row>
    <row r="4645" spans="1:7" hidden="1">
      <c r="A4645">
        <v>358</v>
      </c>
      <c r="B4645" t="s">
        <v>1324</v>
      </c>
      <c r="C4645" t="s">
        <v>961</v>
      </c>
      <c r="D4645">
        <v>3.48</v>
      </c>
      <c r="E4645">
        <v>20.059999999999999</v>
      </c>
      <c r="F4645">
        <v>9.9600000000000009</v>
      </c>
      <c r="G4645">
        <v>0</v>
      </c>
    </row>
    <row r="4646" spans="1:7" hidden="1">
      <c r="A4646">
        <v>358</v>
      </c>
      <c r="B4646" t="s">
        <v>1324</v>
      </c>
      <c r="C4646" t="s">
        <v>962</v>
      </c>
      <c r="D4646">
        <v>2.37</v>
      </c>
      <c r="E4646">
        <v>24.72</v>
      </c>
      <c r="F4646">
        <v>8.3699999999999992</v>
      </c>
      <c r="G4646">
        <v>0</v>
      </c>
    </row>
    <row r="4647" spans="1:7" hidden="1">
      <c r="A4647">
        <v>358</v>
      </c>
      <c r="B4647" t="s">
        <v>1324</v>
      </c>
      <c r="C4647" t="s">
        <v>963</v>
      </c>
      <c r="D4647">
        <v>2.82</v>
      </c>
      <c r="E4647">
        <v>18.13</v>
      </c>
      <c r="F4647">
        <v>7.31</v>
      </c>
      <c r="G4647">
        <v>0</v>
      </c>
    </row>
    <row r="4648" spans="1:7" hidden="1">
      <c r="A4648">
        <v>358</v>
      </c>
      <c r="B4648" t="s">
        <v>1324</v>
      </c>
      <c r="C4648" t="s">
        <v>964</v>
      </c>
      <c r="D4648">
        <v>0.23</v>
      </c>
      <c r="E4648">
        <v>21.87</v>
      </c>
      <c r="F4648">
        <v>0.72</v>
      </c>
      <c r="G4648">
        <v>0</v>
      </c>
    </row>
    <row r="4649" spans="1:7" hidden="1">
      <c r="A4649">
        <v>358</v>
      </c>
      <c r="B4649" t="s">
        <v>1324</v>
      </c>
      <c r="C4649" t="s">
        <v>965</v>
      </c>
      <c r="D4649">
        <v>1.85</v>
      </c>
      <c r="E4649">
        <v>24.75</v>
      </c>
      <c r="F4649">
        <v>6.54</v>
      </c>
      <c r="G4649">
        <v>0</v>
      </c>
    </row>
    <row r="4650" spans="1:7">
      <c r="A4650">
        <v>358</v>
      </c>
      <c r="B4650" t="s">
        <v>1324</v>
      </c>
      <c r="C4650" t="s">
        <v>24</v>
      </c>
      <c r="D4650">
        <v>23.29</v>
      </c>
      <c r="E4650">
        <v>19.77</v>
      </c>
      <c r="F4650">
        <v>65.77</v>
      </c>
      <c r="G4650">
        <v>0</v>
      </c>
    </row>
    <row r="4651" spans="1:7" hidden="1">
      <c r="A4651">
        <v>358</v>
      </c>
      <c r="B4651" t="s">
        <v>1324</v>
      </c>
      <c r="C4651" t="s">
        <v>966</v>
      </c>
      <c r="D4651">
        <v>0</v>
      </c>
      <c r="E4651">
        <v>18.05</v>
      </c>
      <c r="F4651">
        <v>0</v>
      </c>
      <c r="G4651">
        <v>0</v>
      </c>
    </row>
    <row r="4652" spans="1:7" hidden="1">
      <c r="A4652">
        <v>358</v>
      </c>
      <c r="B4652" t="s">
        <v>1324</v>
      </c>
      <c r="C4652" t="s">
        <v>967</v>
      </c>
      <c r="D4652">
        <v>0.24</v>
      </c>
      <c r="E4652">
        <v>17.91</v>
      </c>
      <c r="F4652">
        <v>0.61</v>
      </c>
      <c r="G4652">
        <v>0</v>
      </c>
    </row>
    <row r="4653" spans="1:7" hidden="1">
      <c r="A4653">
        <v>358</v>
      </c>
      <c r="B4653" t="s">
        <v>1324</v>
      </c>
      <c r="C4653" t="s">
        <v>968</v>
      </c>
      <c r="D4653">
        <v>1.49</v>
      </c>
      <c r="E4653">
        <v>18.09</v>
      </c>
      <c r="F4653">
        <v>3.86</v>
      </c>
      <c r="G4653">
        <v>0</v>
      </c>
    </row>
    <row r="4654" spans="1:7" hidden="1">
      <c r="A4654">
        <v>358</v>
      </c>
      <c r="B4654" t="s">
        <v>1324</v>
      </c>
      <c r="C4654" t="s">
        <v>969</v>
      </c>
      <c r="D4654">
        <v>0.04</v>
      </c>
      <c r="E4654">
        <v>24.75</v>
      </c>
      <c r="F4654">
        <v>0.16</v>
      </c>
      <c r="G4654">
        <v>0</v>
      </c>
    </row>
    <row r="4655" spans="1:7" hidden="1">
      <c r="A4655">
        <v>358</v>
      </c>
      <c r="B4655" t="s">
        <v>1324</v>
      </c>
      <c r="C4655" t="s">
        <v>970</v>
      </c>
      <c r="D4655">
        <v>0.45</v>
      </c>
      <c r="E4655">
        <v>24.75</v>
      </c>
      <c r="F4655">
        <v>1.57</v>
      </c>
      <c r="G4655">
        <v>0</v>
      </c>
    </row>
    <row r="4656" spans="1:7" hidden="1">
      <c r="A4656">
        <v>359</v>
      </c>
      <c r="B4656" t="s">
        <v>1325</v>
      </c>
      <c r="C4656" t="s">
        <v>959</v>
      </c>
      <c r="D4656">
        <v>6.56</v>
      </c>
      <c r="E4656">
        <v>18.309999999999999</v>
      </c>
      <c r="F4656">
        <v>17.170000000000002</v>
      </c>
      <c r="G4656">
        <v>0</v>
      </c>
    </row>
    <row r="4657" spans="1:7" hidden="1">
      <c r="A4657">
        <v>359</v>
      </c>
      <c r="B4657" t="s">
        <v>1325</v>
      </c>
      <c r="C4657" t="s">
        <v>960</v>
      </c>
      <c r="D4657">
        <v>5.0999999999999996</v>
      </c>
      <c r="E4657">
        <v>18.399999999999999</v>
      </c>
      <c r="F4657">
        <v>13.41</v>
      </c>
      <c r="G4657">
        <v>0</v>
      </c>
    </row>
    <row r="4658" spans="1:7" hidden="1">
      <c r="A4658">
        <v>359</v>
      </c>
      <c r="B4658" t="s">
        <v>1325</v>
      </c>
      <c r="C4658" t="s">
        <v>961</v>
      </c>
      <c r="D4658">
        <v>4.6900000000000004</v>
      </c>
      <c r="E4658">
        <v>20.059999999999999</v>
      </c>
      <c r="F4658">
        <v>13.45</v>
      </c>
      <c r="G4658">
        <v>0</v>
      </c>
    </row>
    <row r="4659" spans="1:7" hidden="1">
      <c r="A4659">
        <v>359</v>
      </c>
      <c r="B4659" t="s">
        <v>1325</v>
      </c>
      <c r="C4659" t="s">
        <v>962</v>
      </c>
      <c r="D4659">
        <v>2.44</v>
      </c>
      <c r="E4659">
        <v>24.72</v>
      </c>
      <c r="F4659">
        <v>8.6</v>
      </c>
      <c r="G4659">
        <v>0</v>
      </c>
    </row>
    <row r="4660" spans="1:7" hidden="1">
      <c r="A4660">
        <v>359</v>
      </c>
      <c r="B4660" t="s">
        <v>1325</v>
      </c>
      <c r="C4660" t="s">
        <v>963</v>
      </c>
      <c r="D4660">
        <v>3.5</v>
      </c>
      <c r="E4660">
        <v>18.13</v>
      </c>
      <c r="F4660">
        <v>9.08</v>
      </c>
      <c r="G4660">
        <v>0</v>
      </c>
    </row>
    <row r="4661" spans="1:7" hidden="1">
      <c r="A4661">
        <v>359</v>
      </c>
      <c r="B4661" t="s">
        <v>1325</v>
      </c>
      <c r="C4661" t="s">
        <v>964</v>
      </c>
      <c r="D4661">
        <v>0.41</v>
      </c>
      <c r="E4661">
        <v>21.87</v>
      </c>
      <c r="F4661">
        <v>1.28</v>
      </c>
      <c r="G4661">
        <v>0</v>
      </c>
    </row>
    <row r="4662" spans="1:7" hidden="1">
      <c r="A4662">
        <v>359</v>
      </c>
      <c r="B4662" t="s">
        <v>1325</v>
      </c>
      <c r="C4662" t="s">
        <v>965</v>
      </c>
      <c r="D4662">
        <v>2.76</v>
      </c>
      <c r="E4662">
        <v>24.75</v>
      </c>
      <c r="F4662">
        <v>9.74</v>
      </c>
      <c r="G4662">
        <v>0</v>
      </c>
    </row>
    <row r="4663" spans="1:7">
      <c r="A4663">
        <v>359</v>
      </c>
      <c r="B4663" t="s">
        <v>1325</v>
      </c>
      <c r="C4663" t="s">
        <v>24</v>
      </c>
      <c r="D4663">
        <v>25.46</v>
      </c>
      <c r="E4663">
        <v>19.989999999999998</v>
      </c>
      <c r="F4663">
        <v>72.73</v>
      </c>
      <c r="G4663">
        <v>0</v>
      </c>
    </row>
    <row r="4664" spans="1:7" hidden="1">
      <c r="A4664">
        <v>359</v>
      </c>
      <c r="B4664" t="s">
        <v>1325</v>
      </c>
      <c r="C4664" t="s">
        <v>966</v>
      </c>
      <c r="D4664">
        <v>0</v>
      </c>
      <c r="E4664">
        <v>18.05</v>
      </c>
      <c r="F4664">
        <v>0</v>
      </c>
      <c r="G4664">
        <v>0</v>
      </c>
    </row>
    <row r="4665" spans="1:7" hidden="1">
      <c r="A4665">
        <v>359</v>
      </c>
      <c r="B4665" t="s">
        <v>1325</v>
      </c>
      <c r="C4665" t="s">
        <v>967</v>
      </c>
      <c r="D4665">
        <v>0.78</v>
      </c>
      <c r="E4665">
        <v>17.91</v>
      </c>
      <c r="F4665">
        <v>1.99</v>
      </c>
      <c r="G4665">
        <v>0</v>
      </c>
    </row>
    <row r="4666" spans="1:7" hidden="1">
      <c r="A4666">
        <v>359</v>
      </c>
      <c r="B4666" t="s">
        <v>1325</v>
      </c>
      <c r="C4666" t="s">
        <v>968</v>
      </c>
      <c r="D4666">
        <v>2.78</v>
      </c>
      <c r="E4666">
        <v>18.09</v>
      </c>
      <c r="F4666">
        <v>7.18</v>
      </c>
      <c r="G4666">
        <v>0</v>
      </c>
    </row>
    <row r="4667" spans="1:7" hidden="1">
      <c r="A4667">
        <v>359</v>
      </c>
      <c r="B4667" t="s">
        <v>1325</v>
      </c>
      <c r="C4667" t="s">
        <v>969</v>
      </c>
      <c r="D4667">
        <v>0.08</v>
      </c>
      <c r="E4667">
        <v>24.75</v>
      </c>
      <c r="F4667">
        <v>0.28999999999999998</v>
      </c>
      <c r="G4667">
        <v>0</v>
      </c>
    </row>
    <row r="4668" spans="1:7" hidden="1">
      <c r="A4668">
        <v>359</v>
      </c>
      <c r="B4668" t="s">
        <v>1325</v>
      </c>
      <c r="C4668" t="s">
        <v>970</v>
      </c>
      <c r="D4668">
        <v>0.67</v>
      </c>
      <c r="E4668">
        <v>24.75</v>
      </c>
      <c r="F4668">
        <v>2.35</v>
      </c>
      <c r="G4668">
        <v>0</v>
      </c>
    </row>
    <row r="4669" spans="1:7" hidden="1">
      <c r="A4669">
        <v>360</v>
      </c>
      <c r="B4669" t="s">
        <v>1326</v>
      </c>
      <c r="C4669" t="s">
        <v>959</v>
      </c>
      <c r="D4669">
        <v>7.46</v>
      </c>
      <c r="E4669">
        <v>18.309999999999999</v>
      </c>
      <c r="F4669">
        <v>19.52</v>
      </c>
      <c r="G4669">
        <v>0</v>
      </c>
    </row>
    <row r="4670" spans="1:7" hidden="1">
      <c r="A4670">
        <v>360</v>
      </c>
      <c r="B4670" t="s">
        <v>1326</v>
      </c>
      <c r="C4670" t="s">
        <v>960</v>
      </c>
      <c r="D4670">
        <v>5.34</v>
      </c>
      <c r="E4670">
        <v>18.399999999999999</v>
      </c>
      <c r="F4670">
        <v>14.03</v>
      </c>
      <c r="G4670">
        <v>0</v>
      </c>
    </row>
    <row r="4671" spans="1:7" hidden="1">
      <c r="A4671">
        <v>360</v>
      </c>
      <c r="B4671" t="s">
        <v>1326</v>
      </c>
      <c r="C4671" t="s">
        <v>961</v>
      </c>
      <c r="D4671">
        <v>4</v>
      </c>
      <c r="E4671">
        <v>20.059999999999999</v>
      </c>
      <c r="F4671">
        <v>11.46</v>
      </c>
      <c r="G4671">
        <v>0</v>
      </c>
    </row>
    <row r="4672" spans="1:7" hidden="1">
      <c r="A4672">
        <v>360</v>
      </c>
      <c r="B4672" t="s">
        <v>1326</v>
      </c>
      <c r="C4672" t="s">
        <v>962</v>
      </c>
      <c r="D4672">
        <v>2.2200000000000002</v>
      </c>
      <c r="E4672">
        <v>24.72</v>
      </c>
      <c r="F4672">
        <v>7.82</v>
      </c>
      <c r="G4672">
        <v>0</v>
      </c>
    </row>
    <row r="4673" spans="1:7" hidden="1">
      <c r="A4673">
        <v>360</v>
      </c>
      <c r="B4673" t="s">
        <v>1326</v>
      </c>
      <c r="C4673" t="s">
        <v>963</v>
      </c>
      <c r="D4673">
        <v>3.39</v>
      </c>
      <c r="E4673">
        <v>18.13</v>
      </c>
      <c r="F4673">
        <v>8.7799999999999994</v>
      </c>
      <c r="G4673">
        <v>0</v>
      </c>
    </row>
    <row r="4674" spans="1:7" hidden="1">
      <c r="A4674">
        <v>360</v>
      </c>
      <c r="B4674" t="s">
        <v>1326</v>
      </c>
      <c r="C4674" t="s">
        <v>964</v>
      </c>
      <c r="D4674">
        <v>0.25</v>
      </c>
      <c r="E4674">
        <v>21.87</v>
      </c>
      <c r="F4674">
        <v>0.77</v>
      </c>
      <c r="G4674">
        <v>0</v>
      </c>
    </row>
    <row r="4675" spans="1:7" hidden="1">
      <c r="A4675">
        <v>360</v>
      </c>
      <c r="B4675" t="s">
        <v>1326</v>
      </c>
      <c r="C4675" t="s">
        <v>965</v>
      </c>
      <c r="D4675">
        <v>2.23</v>
      </c>
      <c r="E4675">
        <v>24.75</v>
      </c>
      <c r="F4675">
        <v>7.88</v>
      </c>
      <c r="G4675">
        <v>0</v>
      </c>
    </row>
    <row r="4676" spans="1:7">
      <c r="A4676">
        <v>360</v>
      </c>
      <c r="B4676" t="s">
        <v>1326</v>
      </c>
      <c r="C4676" t="s">
        <v>24</v>
      </c>
      <c r="D4676">
        <v>24.88</v>
      </c>
      <c r="E4676">
        <v>19.77</v>
      </c>
      <c r="F4676">
        <v>70.260000000000005</v>
      </c>
      <c r="G4676">
        <v>0</v>
      </c>
    </row>
    <row r="4677" spans="1:7" hidden="1">
      <c r="A4677">
        <v>360</v>
      </c>
      <c r="B4677" t="s">
        <v>1326</v>
      </c>
      <c r="C4677" t="s">
        <v>966</v>
      </c>
      <c r="D4677">
        <v>0</v>
      </c>
      <c r="E4677">
        <v>18.05</v>
      </c>
      <c r="F4677">
        <v>0</v>
      </c>
      <c r="G4677">
        <v>0</v>
      </c>
    </row>
    <row r="4678" spans="1:7" hidden="1">
      <c r="A4678">
        <v>360</v>
      </c>
      <c r="B4678" t="s">
        <v>1326</v>
      </c>
      <c r="C4678" t="s">
        <v>967</v>
      </c>
      <c r="D4678">
        <v>0.28999999999999998</v>
      </c>
      <c r="E4678">
        <v>17.91</v>
      </c>
      <c r="F4678">
        <v>0.73</v>
      </c>
      <c r="G4678">
        <v>0</v>
      </c>
    </row>
    <row r="4679" spans="1:7" hidden="1">
      <c r="A4679">
        <v>360</v>
      </c>
      <c r="B4679" t="s">
        <v>1326</v>
      </c>
      <c r="C4679" t="s">
        <v>968</v>
      </c>
      <c r="D4679">
        <v>2.14</v>
      </c>
      <c r="E4679">
        <v>18.09</v>
      </c>
      <c r="F4679">
        <v>5.54</v>
      </c>
      <c r="G4679">
        <v>0</v>
      </c>
    </row>
    <row r="4680" spans="1:7" hidden="1">
      <c r="A4680">
        <v>360</v>
      </c>
      <c r="B4680" t="s">
        <v>1326</v>
      </c>
      <c r="C4680" t="s">
        <v>969</v>
      </c>
      <c r="D4680">
        <v>0.06</v>
      </c>
      <c r="E4680">
        <v>24.75</v>
      </c>
      <c r="F4680">
        <v>0.21</v>
      </c>
      <c r="G4680">
        <v>0</v>
      </c>
    </row>
    <row r="4681" spans="1:7" hidden="1">
      <c r="A4681">
        <v>360</v>
      </c>
      <c r="B4681" t="s">
        <v>1326</v>
      </c>
      <c r="C4681" t="s">
        <v>970</v>
      </c>
      <c r="D4681">
        <v>0.65</v>
      </c>
      <c r="E4681">
        <v>24.75</v>
      </c>
      <c r="F4681">
        <v>2.29</v>
      </c>
      <c r="G4681">
        <v>0</v>
      </c>
    </row>
    <row r="4682" spans="1:7" hidden="1">
      <c r="A4682">
        <v>361</v>
      </c>
      <c r="B4682" t="s">
        <v>1327</v>
      </c>
      <c r="C4682" t="s">
        <v>959</v>
      </c>
      <c r="D4682">
        <v>6.91</v>
      </c>
      <c r="E4682">
        <v>18.309999999999999</v>
      </c>
      <c r="F4682">
        <v>18.07</v>
      </c>
      <c r="G4682">
        <v>0</v>
      </c>
    </row>
    <row r="4683" spans="1:7" hidden="1">
      <c r="A4683">
        <v>361</v>
      </c>
      <c r="B4683" t="s">
        <v>1327</v>
      </c>
      <c r="C4683" t="s">
        <v>960</v>
      </c>
      <c r="D4683">
        <v>5.53</v>
      </c>
      <c r="E4683">
        <v>18.399999999999999</v>
      </c>
      <c r="F4683">
        <v>14.53</v>
      </c>
      <c r="G4683">
        <v>0</v>
      </c>
    </row>
    <row r="4684" spans="1:7" hidden="1">
      <c r="A4684">
        <v>361</v>
      </c>
      <c r="B4684" t="s">
        <v>1327</v>
      </c>
      <c r="C4684" t="s">
        <v>961</v>
      </c>
      <c r="D4684">
        <v>3.03</v>
      </c>
      <c r="E4684">
        <v>20.059999999999999</v>
      </c>
      <c r="F4684">
        <v>8.68</v>
      </c>
      <c r="G4684">
        <v>0</v>
      </c>
    </row>
    <row r="4685" spans="1:7" hidden="1">
      <c r="A4685">
        <v>361</v>
      </c>
      <c r="B4685" t="s">
        <v>1327</v>
      </c>
      <c r="C4685" t="s">
        <v>962</v>
      </c>
      <c r="D4685">
        <v>2.4700000000000002</v>
      </c>
      <c r="E4685">
        <v>24.72</v>
      </c>
      <c r="F4685">
        <v>8.7100000000000009</v>
      </c>
      <c r="G4685">
        <v>0</v>
      </c>
    </row>
    <row r="4686" spans="1:7" hidden="1">
      <c r="A4686">
        <v>361</v>
      </c>
      <c r="B4686" t="s">
        <v>1327</v>
      </c>
      <c r="C4686" t="s">
        <v>963</v>
      </c>
      <c r="D4686">
        <v>2.39</v>
      </c>
      <c r="E4686">
        <v>18.13</v>
      </c>
      <c r="F4686">
        <v>6.2</v>
      </c>
      <c r="G4686">
        <v>0</v>
      </c>
    </row>
    <row r="4687" spans="1:7" hidden="1">
      <c r="A4687">
        <v>361</v>
      </c>
      <c r="B4687" t="s">
        <v>1327</v>
      </c>
      <c r="C4687" t="s">
        <v>964</v>
      </c>
      <c r="D4687">
        <v>0.21</v>
      </c>
      <c r="E4687">
        <v>21.87</v>
      </c>
      <c r="F4687">
        <v>0.65</v>
      </c>
      <c r="G4687">
        <v>0</v>
      </c>
    </row>
    <row r="4688" spans="1:7" hidden="1">
      <c r="A4688">
        <v>361</v>
      </c>
      <c r="B4688" t="s">
        <v>1327</v>
      </c>
      <c r="C4688" t="s">
        <v>965</v>
      </c>
      <c r="D4688">
        <v>1.52</v>
      </c>
      <c r="E4688">
        <v>24.75</v>
      </c>
      <c r="F4688">
        <v>5.39</v>
      </c>
      <c r="G4688">
        <v>0</v>
      </c>
    </row>
    <row r="4689" spans="1:7">
      <c r="A4689">
        <v>361</v>
      </c>
      <c r="B4689" t="s">
        <v>1327</v>
      </c>
      <c r="C4689" t="s">
        <v>24</v>
      </c>
      <c r="D4689">
        <v>22.06</v>
      </c>
      <c r="E4689">
        <v>19.75</v>
      </c>
      <c r="F4689">
        <v>62.22</v>
      </c>
      <c r="G4689">
        <v>0</v>
      </c>
    </row>
    <row r="4690" spans="1:7" hidden="1">
      <c r="A4690">
        <v>361</v>
      </c>
      <c r="B4690" t="s">
        <v>1327</v>
      </c>
      <c r="C4690" t="s">
        <v>966</v>
      </c>
      <c r="D4690">
        <v>0</v>
      </c>
      <c r="E4690">
        <v>18.05</v>
      </c>
      <c r="F4690">
        <v>0</v>
      </c>
      <c r="G4690">
        <v>0</v>
      </c>
    </row>
    <row r="4691" spans="1:7" hidden="1">
      <c r="A4691">
        <v>361</v>
      </c>
      <c r="B4691" t="s">
        <v>1327</v>
      </c>
      <c r="C4691" t="s">
        <v>967</v>
      </c>
      <c r="D4691">
        <v>0.16</v>
      </c>
      <c r="E4691">
        <v>17.91</v>
      </c>
      <c r="F4691">
        <v>0.4</v>
      </c>
      <c r="G4691">
        <v>0</v>
      </c>
    </row>
    <row r="4692" spans="1:7" hidden="1">
      <c r="A4692">
        <v>361</v>
      </c>
      <c r="B4692" t="s">
        <v>1327</v>
      </c>
      <c r="C4692" t="s">
        <v>968</v>
      </c>
      <c r="D4692">
        <v>0.95</v>
      </c>
      <c r="E4692">
        <v>18.09</v>
      </c>
      <c r="F4692">
        <v>2.4700000000000002</v>
      </c>
      <c r="G4692">
        <v>0</v>
      </c>
    </row>
    <row r="4693" spans="1:7" hidden="1">
      <c r="A4693">
        <v>361</v>
      </c>
      <c r="B4693" t="s">
        <v>1327</v>
      </c>
      <c r="C4693" t="s">
        <v>969</v>
      </c>
      <c r="D4693">
        <v>0.03</v>
      </c>
      <c r="E4693">
        <v>24.75</v>
      </c>
      <c r="F4693">
        <v>0.11</v>
      </c>
      <c r="G4693">
        <v>0</v>
      </c>
    </row>
    <row r="4694" spans="1:7" hidden="1">
      <c r="A4694">
        <v>361</v>
      </c>
      <c r="B4694" t="s">
        <v>1327</v>
      </c>
      <c r="C4694" t="s">
        <v>970</v>
      </c>
      <c r="D4694">
        <v>0.28999999999999998</v>
      </c>
      <c r="E4694">
        <v>24.75</v>
      </c>
      <c r="F4694">
        <v>1.03</v>
      </c>
      <c r="G4694">
        <v>0</v>
      </c>
    </row>
    <row r="4695" spans="1:7" hidden="1">
      <c r="A4695">
        <v>362</v>
      </c>
      <c r="B4695" t="s">
        <v>1328</v>
      </c>
      <c r="C4695" t="s">
        <v>959</v>
      </c>
      <c r="D4695">
        <v>7.07</v>
      </c>
      <c r="E4695">
        <v>18.309999999999999</v>
      </c>
      <c r="F4695">
        <v>18.48</v>
      </c>
      <c r="G4695">
        <v>0</v>
      </c>
    </row>
    <row r="4696" spans="1:7" hidden="1">
      <c r="A4696">
        <v>362</v>
      </c>
      <c r="B4696" t="s">
        <v>1328</v>
      </c>
      <c r="C4696" t="s">
        <v>960</v>
      </c>
      <c r="D4696">
        <v>5.05</v>
      </c>
      <c r="E4696">
        <v>18.399999999999999</v>
      </c>
      <c r="F4696">
        <v>13.26</v>
      </c>
      <c r="G4696">
        <v>0.01</v>
      </c>
    </row>
    <row r="4697" spans="1:7" hidden="1">
      <c r="A4697">
        <v>362</v>
      </c>
      <c r="B4697" t="s">
        <v>1328</v>
      </c>
      <c r="C4697" t="s">
        <v>961</v>
      </c>
      <c r="D4697">
        <v>3.57</v>
      </c>
      <c r="E4697">
        <v>20.059999999999999</v>
      </c>
      <c r="F4697">
        <v>10.220000000000001</v>
      </c>
      <c r="G4697">
        <v>0</v>
      </c>
    </row>
    <row r="4698" spans="1:7" hidden="1">
      <c r="A4698">
        <v>362</v>
      </c>
      <c r="B4698" t="s">
        <v>1328</v>
      </c>
      <c r="C4698" t="s">
        <v>962</v>
      </c>
      <c r="D4698">
        <v>2.5499999999999998</v>
      </c>
      <c r="E4698">
        <v>24.72</v>
      </c>
      <c r="F4698">
        <v>9</v>
      </c>
      <c r="G4698">
        <v>0</v>
      </c>
    </row>
    <row r="4699" spans="1:7" hidden="1">
      <c r="A4699">
        <v>362</v>
      </c>
      <c r="B4699" t="s">
        <v>1328</v>
      </c>
      <c r="C4699" t="s">
        <v>963</v>
      </c>
      <c r="D4699">
        <v>2.81</v>
      </c>
      <c r="E4699">
        <v>18.13</v>
      </c>
      <c r="F4699">
        <v>7.27</v>
      </c>
      <c r="G4699">
        <v>0</v>
      </c>
    </row>
    <row r="4700" spans="1:7" hidden="1">
      <c r="A4700">
        <v>362</v>
      </c>
      <c r="B4700" t="s">
        <v>1328</v>
      </c>
      <c r="C4700" t="s">
        <v>964</v>
      </c>
      <c r="D4700">
        <v>0.25</v>
      </c>
      <c r="E4700">
        <v>21.87</v>
      </c>
      <c r="F4700">
        <v>0.79</v>
      </c>
      <c r="G4700">
        <v>0</v>
      </c>
    </row>
    <row r="4701" spans="1:7" hidden="1">
      <c r="A4701">
        <v>362</v>
      </c>
      <c r="B4701" t="s">
        <v>1328</v>
      </c>
      <c r="C4701" t="s">
        <v>965</v>
      </c>
      <c r="D4701">
        <v>1.87</v>
      </c>
      <c r="E4701">
        <v>24.75</v>
      </c>
      <c r="F4701">
        <v>6.63</v>
      </c>
      <c r="G4701">
        <v>0</v>
      </c>
    </row>
    <row r="4702" spans="1:7">
      <c r="A4702">
        <v>362</v>
      </c>
      <c r="B4702" t="s">
        <v>1328</v>
      </c>
      <c r="C4702" t="s">
        <v>24</v>
      </c>
      <c r="D4702">
        <v>23.16</v>
      </c>
      <c r="E4702">
        <v>19.84</v>
      </c>
      <c r="F4702">
        <v>65.64</v>
      </c>
      <c r="G4702">
        <v>0.02</v>
      </c>
    </row>
    <row r="4703" spans="1:7" hidden="1">
      <c r="A4703">
        <v>362</v>
      </c>
      <c r="B4703" t="s">
        <v>1328</v>
      </c>
      <c r="C4703" t="s">
        <v>966</v>
      </c>
      <c r="D4703">
        <v>0.01</v>
      </c>
      <c r="E4703">
        <v>18.05</v>
      </c>
      <c r="F4703">
        <v>0.04</v>
      </c>
      <c r="G4703">
        <v>0.01</v>
      </c>
    </row>
    <row r="4704" spans="1:7" hidden="1">
      <c r="A4704">
        <v>362</v>
      </c>
      <c r="B4704" t="s">
        <v>1328</v>
      </c>
      <c r="C4704" t="s">
        <v>967</v>
      </c>
      <c r="D4704">
        <v>0.01</v>
      </c>
      <c r="E4704">
        <v>17.91</v>
      </c>
      <c r="F4704">
        <v>0.02</v>
      </c>
      <c r="G4704">
        <v>0</v>
      </c>
    </row>
    <row r="4705" spans="1:7" hidden="1">
      <c r="A4705">
        <v>362</v>
      </c>
      <c r="B4705" t="s">
        <v>1328</v>
      </c>
      <c r="C4705" t="s">
        <v>968</v>
      </c>
      <c r="D4705">
        <v>1.62</v>
      </c>
      <c r="E4705">
        <v>18.09</v>
      </c>
      <c r="F4705">
        <v>4.17</v>
      </c>
      <c r="G4705">
        <v>0</v>
      </c>
    </row>
    <row r="4706" spans="1:7" hidden="1">
      <c r="A4706">
        <v>362</v>
      </c>
      <c r="B4706" t="s">
        <v>1328</v>
      </c>
      <c r="C4706" t="s">
        <v>969</v>
      </c>
      <c r="D4706">
        <v>0.01</v>
      </c>
      <c r="E4706">
        <v>24.75</v>
      </c>
      <c r="F4706">
        <v>0.03</v>
      </c>
      <c r="G4706">
        <v>0</v>
      </c>
    </row>
    <row r="4707" spans="1:7" hidden="1">
      <c r="A4707">
        <v>362</v>
      </c>
      <c r="B4707" t="s">
        <v>1328</v>
      </c>
      <c r="C4707" t="s">
        <v>970</v>
      </c>
      <c r="D4707">
        <v>0.48</v>
      </c>
      <c r="E4707">
        <v>24.75</v>
      </c>
      <c r="F4707">
        <v>1.71</v>
      </c>
      <c r="G4707">
        <v>0</v>
      </c>
    </row>
    <row r="4708" spans="1:7" hidden="1">
      <c r="A4708">
        <v>363</v>
      </c>
      <c r="B4708" t="s">
        <v>1329</v>
      </c>
      <c r="C4708" t="s">
        <v>959</v>
      </c>
      <c r="D4708">
        <v>6.25</v>
      </c>
      <c r="E4708">
        <v>18.309999999999999</v>
      </c>
      <c r="F4708">
        <v>16.36</v>
      </c>
      <c r="G4708">
        <v>0.01</v>
      </c>
    </row>
    <row r="4709" spans="1:7" hidden="1">
      <c r="A4709">
        <v>363</v>
      </c>
      <c r="B4709" t="s">
        <v>1329</v>
      </c>
      <c r="C4709" t="s">
        <v>960</v>
      </c>
      <c r="D4709">
        <v>4.72</v>
      </c>
      <c r="E4709">
        <v>18.399999999999999</v>
      </c>
      <c r="F4709">
        <v>12.39</v>
      </c>
      <c r="G4709">
        <v>0.03</v>
      </c>
    </row>
    <row r="4710" spans="1:7" hidden="1">
      <c r="A4710">
        <v>363</v>
      </c>
      <c r="B4710" t="s">
        <v>1329</v>
      </c>
      <c r="C4710" t="s">
        <v>961</v>
      </c>
      <c r="D4710">
        <v>5.08</v>
      </c>
      <c r="E4710">
        <v>20.059999999999999</v>
      </c>
      <c r="F4710">
        <v>14.56</v>
      </c>
      <c r="G4710">
        <v>0</v>
      </c>
    </row>
    <row r="4711" spans="1:7" hidden="1">
      <c r="A4711">
        <v>363</v>
      </c>
      <c r="B4711" t="s">
        <v>1329</v>
      </c>
      <c r="C4711" t="s">
        <v>962</v>
      </c>
      <c r="D4711">
        <v>2.4</v>
      </c>
      <c r="E4711">
        <v>24.72</v>
      </c>
      <c r="F4711">
        <v>8.49</v>
      </c>
      <c r="G4711">
        <v>0</v>
      </c>
    </row>
    <row r="4712" spans="1:7" hidden="1">
      <c r="A4712">
        <v>363</v>
      </c>
      <c r="B4712" t="s">
        <v>1329</v>
      </c>
      <c r="C4712" t="s">
        <v>963</v>
      </c>
      <c r="D4712">
        <v>3.08</v>
      </c>
      <c r="E4712">
        <v>18.13</v>
      </c>
      <c r="F4712">
        <v>7.98</v>
      </c>
      <c r="G4712">
        <v>0.03</v>
      </c>
    </row>
    <row r="4713" spans="1:7" hidden="1">
      <c r="A4713">
        <v>363</v>
      </c>
      <c r="B4713" t="s">
        <v>1329</v>
      </c>
      <c r="C4713" t="s">
        <v>964</v>
      </c>
      <c r="D4713">
        <v>0.44</v>
      </c>
      <c r="E4713">
        <v>21.87</v>
      </c>
      <c r="F4713">
        <v>1.38</v>
      </c>
      <c r="G4713">
        <v>0</v>
      </c>
    </row>
    <row r="4714" spans="1:7" hidden="1">
      <c r="A4714">
        <v>363</v>
      </c>
      <c r="B4714" t="s">
        <v>1329</v>
      </c>
      <c r="C4714" t="s">
        <v>965</v>
      </c>
      <c r="D4714">
        <v>2.57</v>
      </c>
      <c r="E4714">
        <v>24.75</v>
      </c>
      <c r="F4714">
        <v>9.09</v>
      </c>
      <c r="G4714">
        <v>0.01</v>
      </c>
    </row>
    <row r="4715" spans="1:7">
      <c r="A4715">
        <v>363</v>
      </c>
      <c r="B4715" t="s">
        <v>1329</v>
      </c>
      <c r="C4715" t="s">
        <v>24</v>
      </c>
      <c r="D4715">
        <v>24.55</v>
      </c>
      <c r="E4715">
        <v>20.03</v>
      </c>
      <c r="F4715">
        <v>70.25</v>
      </c>
      <c r="G4715">
        <v>0.08</v>
      </c>
    </row>
    <row r="4716" spans="1:7" hidden="1">
      <c r="A4716">
        <v>363</v>
      </c>
      <c r="B4716" t="s">
        <v>1329</v>
      </c>
      <c r="C4716" t="s">
        <v>966</v>
      </c>
      <c r="D4716">
        <v>0.06</v>
      </c>
      <c r="E4716">
        <v>18.05</v>
      </c>
      <c r="F4716">
        <v>0.16</v>
      </c>
      <c r="G4716">
        <v>0.06</v>
      </c>
    </row>
    <row r="4717" spans="1:7" hidden="1">
      <c r="A4717">
        <v>363</v>
      </c>
      <c r="B4717" t="s">
        <v>1329</v>
      </c>
      <c r="C4717" t="s">
        <v>967</v>
      </c>
      <c r="D4717">
        <v>0.02</v>
      </c>
      <c r="E4717">
        <v>17.91</v>
      </c>
      <c r="F4717">
        <v>0.06</v>
      </c>
      <c r="G4717">
        <v>0</v>
      </c>
    </row>
    <row r="4718" spans="1:7" hidden="1">
      <c r="A4718">
        <v>363</v>
      </c>
      <c r="B4718" t="s">
        <v>1329</v>
      </c>
      <c r="C4718" t="s">
        <v>968</v>
      </c>
      <c r="D4718">
        <v>2.95</v>
      </c>
      <c r="E4718">
        <v>18.09</v>
      </c>
      <c r="F4718">
        <v>7.61</v>
      </c>
      <c r="G4718">
        <v>0</v>
      </c>
    </row>
    <row r="4719" spans="1:7" hidden="1">
      <c r="A4719">
        <v>363</v>
      </c>
      <c r="B4719" t="s">
        <v>1329</v>
      </c>
      <c r="C4719" t="s">
        <v>969</v>
      </c>
      <c r="D4719">
        <v>0.02</v>
      </c>
      <c r="E4719">
        <v>24.75</v>
      </c>
      <c r="F4719">
        <v>0.08</v>
      </c>
      <c r="G4719">
        <v>0</v>
      </c>
    </row>
    <row r="4720" spans="1:7" hidden="1">
      <c r="A4720">
        <v>363</v>
      </c>
      <c r="B4720" t="s">
        <v>1329</v>
      </c>
      <c r="C4720" t="s">
        <v>970</v>
      </c>
      <c r="D4720">
        <v>0.76</v>
      </c>
      <c r="E4720">
        <v>24.75</v>
      </c>
      <c r="F4720">
        <v>2.7</v>
      </c>
      <c r="G4720">
        <v>0</v>
      </c>
    </row>
    <row r="4721" spans="1:7" hidden="1">
      <c r="A4721">
        <v>364</v>
      </c>
      <c r="B4721" t="s">
        <v>1330</v>
      </c>
      <c r="C4721" t="s">
        <v>959</v>
      </c>
      <c r="D4721">
        <v>7.32</v>
      </c>
      <c r="E4721">
        <v>18.309999999999999</v>
      </c>
      <c r="F4721">
        <v>19.14</v>
      </c>
      <c r="G4721">
        <v>0.01</v>
      </c>
    </row>
    <row r="4722" spans="1:7" hidden="1">
      <c r="A4722">
        <v>364</v>
      </c>
      <c r="B4722" t="s">
        <v>1330</v>
      </c>
      <c r="C4722" t="s">
        <v>960</v>
      </c>
      <c r="D4722">
        <v>4.9000000000000004</v>
      </c>
      <c r="E4722">
        <v>18.399999999999999</v>
      </c>
      <c r="F4722">
        <v>12.88</v>
      </c>
      <c r="G4722">
        <v>0.01</v>
      </c>
    </row>
    <row r="4723" spans="1:7" hidden="1">
      <c r="A4723">
        <v>364</v>
      </c>
      <c r="B4723" t="s">
        <v>1330</v>
      </c>
      <c r="C4723" t="s">
        <v>961</v>
      </c>
      <c r="D4723">
        <v>4.21</v>
      </c>
      <c r="E4723">
        <v>20.059999999999999</v>
      </c>
      <c r="F4723">
        <v>12.05</v>
      </c>
      <c r="G4723">
        <v>0</v>
      </c>
    </row>
    <row r="4724" spans="1:7" hidden="1">
      <c r="A4724">
        <v>364</v>
      </c>
      <c r="B4724" t="s">
        <v>1330</v>
      </c>
      <c r="C4724" t="s">
        <v>962</v>
      </c>
      <c r="D4724">
        <v>2.37</v>
      </c>
      <c r="E4724">
        <v>24.72</v>
      </c>
      <c r="F4724">
        <v>8.3699999999999992</v>
      </c>
      <c r="G4724">
        <v>0</v>
      </c>
    </row>
    <row r="4725" spans="1:7" hidden="1">
      <c r="A4725">
        <v>364</v>
      </c>
      <c r="B4725" t="s">
        <v>1330</v>
      </c>
      <c r="C4725" t="s">
        <v>963</v>
      </c>
      <c r="D4725">
        <v>3.44</v>
      </c>
      <c r="E4725">
        <v>18.13</v>
      </c>
      <c r="F4725">
        <v>8.92</v>
      </c>
      <c r="G4725">
        <v>0</v>
      </c>
    </row>
    <row r="4726" spans="1:7" hidden="1">
      <c r="A4726">
        <v>364</v>
      </c>
      <c r="B4726" t="s">
        <v>1330</v>
      </c>
      <c r="C4726" t="s">
        <v>964</v>
      </c>
      <c r="D4726">
        <v>0.26</v>
      </c>
      <c r="E4726">
        <v>21.87</v>
      </c>
      <c r="F4726">
        <v>0.81</v>
      </c>
      <c r="G4726">
        <v>0</v>
      </c>
    </row>
    <row r="4727" spans="1:7" hidden="1">
      <c r="A4727">
        <v>364</v>
      </c>
      <c r="B4727" t="s">
        <v>1330</v>
      </c>
      <c r="C4727" t="s">
        <v>965</v>
      </c>
      <c r="D4727">
        <v>2.2999999999999998</v>
      </c>
      <c r="E4727">
        <v>24.75</v>
      </c>
      <c r="F4727">
        <v>8.14</v>
      </c>
      <c r="G4727">
        <v>0</v>
      </c>
    </row>
    <row r="4728" spans="1:7">
      <c r="A4728">
        <v>364</v>
      </c>
      <c r="B4728" t="s">
        <v>1330</v>
      </c>
      <c r="C4728" t="s">
        <v>24</v>
      </c>
      <c r="D4728">
        <v>24.8</v>
      </c>
      <c r="E4728">
        <v>19.850000000000001</v>
      </c>
      <c r="F4728">
        <v>70.319999999999993</v>
      </c>
      <c r="G4728">
        <v>0.03</v>
      </c>
    </row>
    <row r="4729" spans="1:7" hidden="1">
      <c r="A4729">
        <v>364</v>
      </c>
      <c r="B4729" t="s">
        <v>1330</v>
      </c>
      <c r="C4729" t="s">
        <v>966</v>
      </c>
      <c r="D4729">
        <v>0.03</v>
      </c>
      <c r="E4729">
        <v>18.05</v>
      </c>
      <c r="F4729">
        <v>7.0000000000000007E-2</v>
      </c>
      <c r="G4729">
        <v>0.02</v>
      </c>
    </row>
    <row r="4730" spans="1:7" hidden="1">
      <c r="A4730">
        <v>364</v>
      </c>
      <c r="B4730" t="s">
        <v>1330</v>
      </c>
      <c r="C4730" t="s">
        <v>967</v>
      </c>
      <c r="D4730">
        <v>0.01</v>
      </c>
      <c r="E4730">
        <v>17.91</v>
      </c>
      <c r="F4730">
        <v>0.03</v>
      </c>
      <c r="G4730">
        <v>0</v>
      </c>
    </row>
    <row r="4731" spans="1:7" hidden="1">
      <c r="A4731">
        <v>364</v>
      </c>
      <c r="B4731" t="s">
        <v>1330</v>
      </c>
      <c r="C4731" t="s">
        <v>968</v>
      </c>
      <c r="D4731">
        <v>2.39</v>
      </c>
      <c r="E4731">
        <v>18.09</v>
      </c>
      <c r="F4731">
        <v>6.17</v>
      </c>
      <c r="G4731">
        <v>0</v>
      </c>
    </row>
    <row r="4732" spans="1:7" hidden="1">
      <c r="A4732">
        <v>364</v>
      </c>
      <c r="B4732" t="s">
        <v>1330</v>
      </c>
      <c r="C4732" t="s">
        <v>969</v>
      </c>
      <c r="D4732">
        <v>0.01</v>
      </c>
      <c r="E4732">
        <v>24.75</v>
      </c>
      <c r="F4732">
        <v>0.03</v>
      </c>
      <c r="G4732">
        <v>0</v>
      </c>
    </row>
    <row r="4733" spans="1:7" hidden="1">
      <c r="A4733">
        <v>364</v>
      </c>
      <c r="B4733" t="s">
        <v>1330</v>
      </c>
      <c r="C4733" t="s">
        <v>970</v>
      </c>
      <c r="D4733">
        <v>0.7</v>
      </c>
      <c r="E4733">
        <v>24.75</v>
      </c>
      <c r="F4733">
        <v>2.4700000000000002</v>
      </c>
      <c r="G4733">
        <v>0</v>
      </c>
    </row>
    <row r="4734" spans="1:7" hidden="1">
      <c r="A4734">
        <v>365</v>
      </c>
      <c r="B4734" t="s">
        <v>1331</v>
      </c>
      <c r="C4734" t="s">
        <v>959</v>
      </c>
      <c r="D4734">
        <v>6.96</v>
      </c>
      <c r="E4734">
        <v>18.309999999999999</v>
      </c>
      <c r="F4734">
        <v>18.21</v>
      </c>
      <c r="G4734">
        <v>0</v>
      </c>
    </row>
    <row r="4735" spans="1:7" hidden="1">
      <c r="A4735">
        <v>365</v>
      </c>
      <c r="B4735" t="s">
        <v>1331</v>
      </c>
      <c r="C4735" t="s">
        <v>960</v>
      </c>
      <c r="D4735">
        <v>5.16</v>
      </c>
      <c r="E4735">
        <v>18.399999999999999</v>
      </c>
      <c r="F4735">
        <v>13.56</v>
      </c>
      <c r="G4735">
        <v>0</v>
      </c>
    </row>
    <row r="4736" spans="1:7" hidden="1">
      <c r="A4736">
        <v>365</v>
      </c>
      <c r="B4736" t="s">
        <v>1331</v>
      </c>
      <c r="C4736" t="s">
        <v>961</v>
      </c>
      <c r="D4736">
        <v>3.05</v>
      </c>
      <c r="E4736">
        <v>20.059999999999999</v>
      </c>
      <c r="F4736">
        <v>8.74</v>
      </c>
      <c r="G4736">
        <v>0</v>
      </c>
    </row>
    <row r="4737" spans="1:7" hidden="1">
      <c r="A4737">
        <v>365</v>
      </c>
      <c r="B4737" t="s">
        <v>1331</v>
      </c>
      <c r="C4737" t="s">
        <v>962</v>
      </c>
      <c r="D4737">
        <v>2.67</v>
      </c>
      <c r="E4737">
        <v>24.72</v>
      </c>
      <c r="F4737">
        <v>9.44</v>
      </c>
      <c r="G4737">
        <v>0</v>
      </c>
    </row>
    <row r="4738" spans="1:7" hidden="1">
      <c r="A4738">
        <v>365</v>
      </c>
      <c r="B4738" t="s">
        <v>1331</v>
      </c>
      <c r="C4738" t="s">
        <v>963</v>
      </c>
      <c r="D4738">
        <v>2.37</v>
      </c>
      <c r="E4738">
        <v>18.13</v>
      </c>
      <c r="F4738">
        <v>6.15</v>
      </c>
      <c r="G4738">
        <v>0</v>
      </c>
    </row>
    <row r="4739" spans="1:7" hidden="1">
      <c r="A4739">
        <v>365</v>
      </c>
      <c r="B4739" t="s">
        <v>1331</v>
      </c>
      <c r="C4739" t="s">
        <v>964</v>
      </c>
      <c r="D4739">
        <v>0.23</v>
      </c>
      <c r="E4739">
        <v>21.87</v>
      </c>
      <c r="F4739">
        <v>0.73</v>
      </c>
      <c r="G4739">
        <v>0</v>
      </c>
    </row>
    <row r="4740" spans="1:7" hidden="1">
      <c r="A4740">
        <v>365</v>
      </c>
      <c r="B4740" t="s">
        <v>1331</v>
      </c>
      <c r="C4740" t="s">
        <v>965</v>
      </c>
      <c r="D4740">
        <v>1.55</v>
      </c>
      <c r="E4740">
        <v>24.75</v>
      </c>
      <c r="F4740">
        <v>5.47</v>
      </c>
      <c r="G4740">
        <v>0</v>
      </c>
    </row>
    <row r="4741" spans="1:7">
      <c r="A4741">
        <v>365</v>
      </c>
      <c r="B4741" t="s">
        <v>1331</v>
      </c>
      <c r="C4741" t="s">
        <v>24</v>
      </c>
      <c r="D4741">
        <v>22</v>
      </c>
      <c r="E4741">
        <v>19.82</v>
      </c>
      <c r="F4741">
        <v>62.3</v>
      </c>
      <c r="G4741">
        <v>0.01</v>
      </c>
    </row>
    <row r="4742" spans="1:7" hidden="1">
      <c r="A4742">
        <v>365</v>
      </c>
      <c r="B4742" t="s">
        <v>1331</v>
      </c>
      <c r="C4742" t="s">
        <v>966</v>
      </c>
      <c r="D4742">
        <v>0</v>
      </c>
      <c r="E4742">
        <v>18.05</v>
      </c>
      <c r="F4742">
        <v>0.01</v>
      </c>
      <c r="G4742">
        <v>0</v>
      </c>
    </row>
    <row r="4743" spans="1:7" hidden="1">
      <c r="A4743">
        <v>365</v>
      </c>
      <c r="B4743" t="s">
        <v>1331</v>
      </c>
      <c r="C4743" t="s">
        <v>967</v>
      </c>
      <c r="D4743">
        <v>0.01</v>
      </c>
      <c r="E4743">
        <v>17.91</v>
      </c>
      <c r="F4743">
        <v>0.02</v>
      </c>
      <c r="G4743">
        <v>0</v>
      </c>
    </row>
    <row r="4744" spans="1:7" hidden="1">
      <c r="A4744">
        <v>365</v>
      </c>
      <c r="B4744" t="s">
        <v>1331</v>
      </c>
      <c r="C4744" t="s">
        <v>968</v>
      </c>
      <c r="D4744">
        <v>1.02</v>
      </c>
      <c r="E4744">
        <v>18.09</v>
      </c>
      <c r="F4744">
        <v>2.64</v>
      </c>
      <c r="G4744">
        <v>0</v>
      </c>
    </row>
    <row r="4745" spans="1:7" hidden="1">
      <c r="A4745">
        <v>365</v>
      </c>
      <c r="B4745" t="s">
        <v>1331</v>
      </c>
      <c r="C4745" t="s">
        <v>969</v>
      </c>
      <c r="D4745">
        <v>0.01</v>
      </c>
      <c r="E4745">
        <v>24.75</v>
      </c>
      <c r="F4745">
        <v>0.02</v>
      </c>
      <c r="G4745">
        <v>0</v>
      </c>
    </row>
    <row r="4746" spans="1:7" hidden="1">
      <c r="A4746">
        <v>365</v>
      </c>
      <c r="B4746" t="s">
        <v>1331</v>
      </c>
      <c r="C4746" t="s">
        <v>970</v>
      </c>
      <c r="D4746">
        <v>0.33</v>
      </c>
      <c r="E4746">
        <v>24.75</v>
      </c>
      <c r="F4746">
        <v>1.1599999999999999</v>
      </c>
      <c r="G4746">
        <v>0</v>
      </c>
    </row>
    <row r="4747" spans="1:7" hidden="1">
      <c r="A4747">
        <v>366</v>
      </c>
      <c r="B4747" t="s">
        <v>1332</v>
      </c>
      <c r="C4747" t="s">
        <v>959</v>
      </c>
      <c r="D4747">
        <v>1.86</v>
      </c>
      <c r="E4747">
        <v>18.309999999999999</v>
      </c>
      <c r="F4747">
        <v>4.87</v>
      </c>
      <c r="G4747">
        <v>0.3</v>
      </c>
    </row>
    <row r="4748" spans="1:7" hidden="1">
      <c r="A4748">
        <v>366</v>
      </c>
      <c r="B4748" t="s">
        <v>1332</v>
      </c>
      <c r="C4748" t="s">
        <v>960</v>
      </c>
      <c r="D4748">
        <v>2.36</v>
      </c>
      <c r="E4748">
        <v>18.399999999999999</v>
      </c>
      <c r="F4748">
        <v>6.2</v>
      </c>
      <c r="G4748">
        <v>0.44</v>
      </c>
    </row>
    <row r="4749" spans="1:7" hidden="1">
      <c r="A4749">
        <v>366</v>
      </c>
      <c r="B4749" t="s">
        <v>1332</v>
      </c>
      <c r="C4749" t="s">
        <v>961</v>
      </c>
      <c r="D4749">
        <v>4.4800000000000004</v>
      </c>
      <c r="E4749">
        <v>20.059999999999999</v>
      </c>
      <c r="F4749">
        <v>12.85</v>
      </c>
      <c r="G4749">
        <v>0.43</v>
      </c>
    </row>
    <row r="4750" spans="1:7" hidden="1">
      <c r="A4750">
        <v>366</v>
      </c>
      <c r="B4750" t="s">
        <v>1332</v>
      </c>
      <c r="C4750" t="s">
        <v>962</v>
      </c>
      <c r="D4750">
        <v>0.98</v>
      </c>
      <c r="E4750">
        <v>24.72</v>
      </c>
      <c r="F4750">
        <v>3.47</v>
      </c>
      <c r="G4750">
        <v>0.09</v>
      </c>
    </row>
    <row r="4751" spans="1:7" hidden="1">
      <c r="A4751">
        <v>366</v>
      </c>
      <c r="B4751" t="s">
        <v>1332</v>
      </c>
      <c r="C4751" t="s">
        <v>963</v>
      </c>
      <c r="D4751">
        <v>1.96</v>
      </c>
      <c r="E4751">
        <v>18.13</v>
      </c>
      <c r="F4751">
        <v>5.08</v>
      </c>
      <c r="G4751">
        <v>0.25</v>
      </c>
    </row>
    <row r="4752" spans="1:7" hidden="1">
      <c r="A4752">
        <v>366</v>
      </c>
      <c r="B4752" t="s">
        <v>1332</v>
      </c>
      <c r="C4752" t="s">
        <v>964</v>
      </c>
      <c r="D4752">
        <v>0.15</v>
      </c>
      <c r="E4752">
        <v>21.87</v>
      </c>
      <c r="F4752">
        <v>0.45</v>
      </c>
      <c r="G4752">
        <v>0.01</v>
      </c>
    </row>
    <row r="4753" spans="1:7" hidden="1">
      <c r="A4753">
        <v>366</v>
      </c>
      <c r="B4753" t="s">
        <v>1332</v>
      </c>
      <c r="C4753" t="s">
        <v>965</v>
      </c>
      <c r="D4753">
        <v>1.89</v>
      </c>
      <c r="E4753">
        <v>24.75</v>
      </c>
      <c r="F4753">
        <v>6.7</v>
      </c>
      <c r="G4753">
        <v>0.18</v>
      </c>
    </row>
    <row r="4754" spans="1:7">
      <c r="A4754">
        <v>366</v>
      </c>
      <c r="B4754" t="s">
        <v>1332</v>
      </c>
      <c r="C4754" t="s">
        <v>24</v>
      </c>
      <c r="D4754">
        <v>13.69</v>
      </c>
      <c r="E4754">
        <v>20.260000000000002</v>
      </c>
      <c r="F4754">
        <v>39.61</v>
      </c>
      <c r="G4754">
        <v>1.7</v>
      </c>
    </row>
    <row r="4755" spans="1:7" hidden="1">
      <c r="A4755">
        <v>366</v>
      </c>
      <c r="B4755" t="s">
        <v>1332</v>
      </c>
      <c r="C4755" t="s">
        <v>966</v>
      </c>
      <c r="D4755">
        <v>1.76</v>
      </c>
      <c r="E4755">
        <v>18.05</v>
      </c>
      <c r="F4755">
        <v>4.55</v>
      </c>
      <c r="G4755">
        <v>1.65</v>
      </c>
    </row>
    <row r="4756" spans="1:7" hidden="1">
      <c r="A4756">
        <v>366</v>
      </c>
      <c r="B4756" t="s">
        <v>1332</v>
      </c>
      <c r="C4756" t="s">
        <v>967</v>
      </c>
      <c r="D4756">
        <v>0.22</v>
      </c>
      <c r="E4756">
        <v>17.91</v>
      </c>
      <c r="F4756">
        <v>0.56000000000000005</v>
      </c>
      <c r="G4756">
        <v>0.02</v>
      </c>
    </row>
    <row r="4757" spans="1:7" hidden="1">
      <c r="A4757">
        <v>366</v>
      </c>
      <c r="B4757" t="s">
        <v>1332</v>
      </c>
      <c r="C4757" t="s">
        <v>968</v>
      </c>
      <c r="D4757">
        <v>0.85</v>
      </c>
      <c r="E4757">
        <v>18.09</v>
      </c>
      <c r="F4757">
        <v>2.19</v>
      </c>
      <c r="G4757">
        <v>0.03</v>
      </c>
    </row>
    <row r="4758" spans="1:7" hidden="1">
      <c r="A4758">
        <v>366</v>
      </c>
      <c r="B4758" t="s">
        <v>1332</v>
      </c>
      <c r="C4758" t="s">
        <v>969</v>
      </c>
      <c r="D4758">
        <v>0.39</v>
      </c>
      <c r="E4758">
        <v>24.75</v>
      </c>
      <c r="F4758">
        <v>1.37</v>
      </c>
      <c r="G4758">
        <v>0.01</v>
      </c>
    </row>
    <row r="4759" spans="1:7" hidden="1">
      <c r="A4759">
        <v>366</v>
      </c>
      <c r="B4759" t="s">
        <v>1332</v>
      </c>
      <c r="C4759" t="s">
        <v>970</v>
      </c>
      <c r="D4759">
        <v>0.38</v>
      </c>
      <c r="E4759">
        <v>24.75</v>
      </c>
      <c r="F4759">
        <v>1.35</v>
      </c>
      <c r="G4759">
        <v>0.01</v>
      </c>
    </row>
    <row r="4760" spans="1:7" hidden="1">
      <c r="A4760">
        <v>367</v>
      </c>
      <c r="B4760" t="s">
        <v>1333</v>
      </c>
      <c r="C4760" t="s">
        <v>959</v>
      </c>
      <c r="D4760">
        <v>0.98</v>
      </c>
      <c r="E4760">
        <v>18.309999999999999</v>
      </c>
      <c r="F4760">
        <v>2.56</v>
      </c>
      <c r="G4760">
        <v>0.1</v>
      </c>
    </row>
    <row r="4761" spans="1:7" hidden="1">
      <c r="A4761">
        <v>367</v>
      </c>
      <c r="B4761" t="s">
        <v>1333</v>
      </c>
      <c r="C4761" t="s">
        <v>960</v>
      </c>
      <c r="D4761">
        <v>0.71</v>
      </c>
      <c r="E4761">
        <v>18.399999999999999</v>
      </c>
      <c r="F4761">
        <v>1.86</v>
      </c>
      <c r="G4761">
        <v>0.05</v>
      </c>
    </row>
    <row r="4762" spans="1:7" hidden="1">
      <c r="A4762">
        <v>367</v>
      </c>
      <c r="B4762" t="s">
        <v>1333</v>
      </c>
      <c r="C4762" t="s">
        <v>961</v>
      </c>
      <c r="D4762">
        <v>1.47</v>
      </c>
      <c r="E4762">
        <v>20.059999999999999</v>
      </c>
      <c r="F4762">
        <v>4.21</v>
      </c>
      <c r="G4762">
        <v>7.0000000000000007E-2</v>
      </c>
    </row>
    <row r="4763" spans="1:7" hidden="1">
      <c r="A4763">
        <v>367</v>
      </c>
      <c r="B4763" t="s">
        <v>1333</v>
      </c>
      <c r="C4763" t="s">
        <v>962</v>
      </c>
      <c r="D4763">
        <v>0.41</v>
      </c>
      <c r="E4763">
        <v>24.72</v>
      </c>
      <c r="F4763">
        <v>1.43</v>
      </c>
      <c r="G4763">
        <v>0.02</v>
      </c>
    </row>
    <row r="4764" spans="1:7" hidden="1">
      <c r="A4764">
        <v>367</v>
      </c>
      <c r="B4764" t="s">
        <v>1333</v>
      </c>
      <c r="C4764" t="s">
        <v>963</v>
      </c>
      <c r="D4764">
        <v>1.19</v>
      </c>
      <c r="E4764">
        <v>18.13</v>
      </c>
      <c r="F4764">
        <v>3.09</v>
      </c>
      <c r="G4764">
        <v>0.04</v>
      </c>
    </row>
    <row r="4765" spans="1:7" hidden="1">
      <c r="A4765">
        <v>367</v>
      </c>
      <c r="B4765" t="s">
        <v>1333</v>
      </c>
      <c r="C4765" t="s">
        <v>964</v>
      </c>
      <c r="D4765">
        <v>0.02</v>
      </c>
      <c r="E4765">
        <v>21.87</v>
      </c>
      <c r="F4765">
        <v>0.05</v>
      </c>
      <c r="G4765">
        <v>0</v>
      </c>
    </row>
    <row r="4766" spans="1:7" hidden="1">
      <c r="A4766">
        <v>367</v>
      </c>
      <c r="B4766" t="s">
        <v>1333</v>
      </c>
      <c r="C4766" t="s">
        <v>965</v>
      </c>
      <c r="D4766">
        <v>1.1100000000000001</v>
      </c>
      <c r="E4766">
        <v>24.75</v>
      </c>
      <c r="F4766">
        <v>3.92</v>
      </c>
      <c r="G4766">
        <v>0.02</v>
      </c>
    </row>
    <row r="4767" spans="1:7">
      <c r="A4767">
        <v>367</v>
      </c>
      <c r="B4767" t="s">
        <v>1333</v>
      </c>
      <c r="C4767" t="s">
        <v>24</v>
      </c>
      <c r="D4767">
        <v>5.88</v>
      </c>
      <c r="E4767">
        <v>20.39</v>
      </c>
      <c r="F4767">
        <v>17.12</v>
      </c>
      <c r="G4767">
        <v>0.3</v>
      </c>
    </row>
    <row r="4768" spans="1:7" hidden="1">
      <c r="A4768">
        <v>367</v>
      </c>
      <c r="B4768" t="s">
        <v>1333</v>
      </c>
      <c r="C4768" t="s">
        <v>966</v>
      </c>
      <c r="D4768">
        <v>0.32</v>
      </c>
      <c r="E4768">
        <v>18.05</v>
      </c>
      <c r="F4768">
        <v>0.83</v>
      </c>
      <c r="G4768">
        <v>0.08</v>
      </c>
    </row>
    <row r="4769" spans="1:7" hidden="1">
      <c r="A4769">
        <v>367</v>
      </c>
      <c r="B4769" t="s">
        <v>1333</v>
      </c>
      <c r="C4769" t="s">
        <v>967</v>
      </c>
      <c r="D4769">
        <v>0.12</v>
      </c>
      <c r="E4769">
        <v>17.91</v>
      </c>
      <c r="F4769">
        <v>0.31</v>
      </c>
      <c r="G4769">
        <v>0.01</v>
      </c>
    </row>
    <row r="4770" spans="1:7" hidden="1">
      <c r="A4770">
        <v>367</v>
      </c>
      <c r="B4770" t="s">
        <v>1333</v>
      </c>
      <c r="C4770" t="s">
        <v>968</v>
      </c>
      <c r="D4770">
        <v>0.48</v>
      </c>
      <c r="E4770">
        <v>18.09</v>
      </c>
      <c r="F4770">
        <v>1.24</v>
      </c>
      <c r="G4770">
        <v>0.02</v>
      </c>
    </row>
    <row r="4771" spans="1:7" hidden="1">
      <c r="A4771">
        <v>367</v>
      </c>
      <c r="B4771" t="s">
        <v>1333</v>
      </c>
      <c r="C4771" t="s">
        <v>969</v>
      </c>
      <c r="D4771">
        <v>0.16</v>
      </c>
      <c r="E4771">
        <v>24.75</v>
      </c>
      <c r="F4771">
        <v>0.56999999999999995</v>
      </c>
      <c r="G4771">
        <v>0</v>
      </c>
    </row>
    <row r="4772" spans="1:7" hidden="1">
      <c r="A4772">
        <v>367</v>
      </c>
      <c r="B4772" t="s">
        <v>1333</v>
      </c>
      <c r="C4772" t="s">
        <v>970</v>
      </c>
      <c r="D4772">
        <v>0.38</v>
      </c>
      <c r="E4772">
        <v>24.75</v>
      </c>
      <c r="F4772">
        <v>1.34</v>
      </c>
      <c r="G4772">
        <v>0</v>
      </c>
    </row>
    <row r="4773" spans="1:7" hidden="1">
      <c r="A4773">
        <v>368</v>
      </c>
      <c r="B4773" t="s">
        <v>1334</v>
      </c>
      <c r="C4773" t="s">
        <v>959</v>
      </c>
      <c r="D4773">
        <v>1.92</v>
      </c>
      <c r="E4773">
        <v>18.309999999999999</v>
      </c>
      <c r="F4773">
        <v>5.0199999999999996</v>
      </c>
      <c r="G4773">
        <v>0.31</v>
      </c>
    </row>
    <row r="4774" spans="1:7" hidden="1">
      <c r="A4774">
        <v>368</v>
      </c>
      <c r="B4774" t="s">
        <v>1334</v>
      </c>
      <c r="C4774" t="s">
        <v>960</v>
      </c>
      <c r="D4774">
        <v>2.4700000000000002</v>
      </c>
      <c r="E4774">
        <v>18.399999999999999</v>
      </c>
      <c r="F4774">
        <v>6.48</v>
      </c>
      <c r="G4774">
        <v>0.47</v>
      </c>
    </row>
    <row r="4775" spans="1:7" hidden="1">
      <c r="A4775">
        <v>368</v>
      </c>
      <c r="B4775" t="s">
        <v>1334</v>
      </c>
      <c r="C4775" t="s">
        <v>961</v>
      </c>
      <c r="D4775">
        <v>4.68</v>
      </c>
      <c r="E4775">
        <v>20.059999999999999</v>
      </c>
      <c r="F4775">
        <v>13.41</v>
      </c>
      <c r="G4775">
        <v>0.46</v>
      </c>
    </row>
    <row r="4776" spans="1:7" hidden="1">
      <c r="A4776">
        <v>368</v>
      </c>
      <c r="B4776" t="s">
        <v>1334</v>
      </c>
      <c r="C4776" t="s">
        <v>962</v>
      </c>
      <c r="D4776">
        <v>1.02</v>
      </c>
      <c r="E4776">
        <v>24.72</v>
      </c>
      <c r="F4776">
        <v>3.6</v>
      </c>
      <c r="G4776">
        <v>0.1</v>
      </c>
    </row>
    <row r="4777" spans="1:7" hidden="1">
      <c r="A4777">
        <v>368</v>
      </c>
      <c r="B4777" t="s">
        <v>1334</v>
      </c>
      <c r="C4777" t="s">
        <v>963</v>
      </c>
      <c r="D4777">
        <v>2.0099999999999998</v>
      </c>
      <c r="E4777">
        <v>18.13</v>
      </c>
      <c r="F4777">
        <v>5.22</v>
      </c>
      <c r="G4777">
        <v>0.26</v>
      </c>
    </row>
    <row r="4778" spans="1:7" hidden="1">
      <c r="A4778">
        <v>368</v>
      </c>
      <c r="B4778" t="s">
        <v>1334</v>
      </c>
      <c r="C4778" t="s">
        <v>964</v>
      </c>
      <c r="D4778">
        <v>0.15</v>
      </c>
      <c r="E4778">
        <v>21.87</v>
      </c>
      <c r="F4778">
        <v>0.48</v>
      </c>
      <c r="G4778">
        <v>0.01</v>
      </c>
    </row>
    <row r="4779" spans="1:7" hidden="1">
      <c r="A4779">
        <v>368</v>
      </c>
      <c r="B4779" t="s">
        <v>1334</v>
      </c>
      <c r="C4779" t="s">
        <v>965</v>
      </c>
      <c r="D4779">
        <v>1.95</v>
      </c>
      <c r="E4779">
        <v>24.75</v>
      </c>
      <c r="F4779">
        <v>6.88</v>
      </c>
      <c r="G4779">
        <v>0.19</v>
      </c>
    </row>
    <row r="4780" spans="1:7">
      <c r="A4780">
        <v>368</v>
      </c>
      <c r="B4780" t="s">
        <v>1334</v>
      </c>
      <c r="C4780" t="s">
        <v>24</v>
      </c>
      <c r="D4780">
        <v>14.2</v>
      </c>
      <c r="E4780">
        <v>20.260000000000002</v>
      </c>
      <c r="F4780">
        <v>41.09</v>
      </c>
      <c r="G4780">
        <v>1.79</v>
      </c>
    </row>
    <row r="4781" spans="1:7" hidden="1">
      <c r="A4781">
        <v>368</v>
      </c>
      <c r="B4781" t="s">
        <v>1334</v>
      </c>
      <c r="C4781" t="s">
        <v>966</v>
      </c>
      <c r="D4781">
        <v>1.86</v>
      </c>
      <c r="E4781">
        <v>18.05</v>
      </c>
      <c r="F4781">
        <v>4.79</v>
      </c>
      <c r="G4781">
        <v>1.75</v>
      </c>
    </row>
    <row r="4782" spans="1:7" hidden="1">
      <c r="A4782">
        <v>368</v>
      </c>
      <c r="B4782" t="s">
        <v>1334</v>
      </c>
      <c r="C4782" t="s">
        <v>967</v>
      </c>
      <c r="D4782">
        <v>0.23</v>
      </c>
      <c r="E4782">
        <v>17.91</v>
      </c>
      <c r="F4782">
        <v>0.57999999999999996</v>
      </c>
      <c r="G4782">
        <v>0.02</v>
      </c>
    </row>
    <row r="4783" spans="1:7" hidden="1">
      <c r="A4783">
        <v>368</v>
      </c>
      <c r="B4783" t="s">
        <v>1334</v>
      </c>
      <c r="C4783" t="s">
        <v>968</v>
      </c>
      <c r="D4783">
        <v>0.87</v>
      </c>
      <c r="E4783">
        <v>18.09</v>
      </c>
      <c r="F4783">
        <v>2.25</v>
      </c>
      <c r="G4783">
        <v>0.04</v>
      </c>
    </row>
    <row r="4784" spans="1:7" hidden="1">
      <c r="A4784">
        <v>368</v>
      </c>
      <c r="B4784" t="s">
        <v>1334</v>
      </c>
      <c r="C4784" t="s">
        <v>969</v>
      </c>
      <c r="D4784">
        <v>0.4</v>
      </c>
      <c r="E4784">
        <v>24.75</v>
      </c>
      <c r="F4784">
        <v>1.43</v>
      </c>
      <c r="G4784">
        <v>0.01</v>
      </c>
    </row>
    <row r="4785" spans="1:7" hidden="1">
      <c r="A4785">
        <v>368</v>
      </c>
      <c r="B4785" t="s">
        <v>1334</v>
      </c>
      <c r="C4785" t="s">
        <v>970</v>
      </c>
      <c r="D4785">
        <v>0.38</v>
      </c>
      <c r="E4785">
        <v>24.75</v>
      </c>
      <c r="F4785">
        <v>1.35</v>
      </c>
      <c r="G4785">
        <v>0.02</v>
      </c>
    </row>
    <row r="4786" spans="1:7" hidden="1">
      <c r="A4786">
        <v>369</v>
      </c>
      <c r="B4786" t="s">
        <v>1335</v>
      </c>
      <c r="C4786" t="s">
        <v>959</v>
      </c>
      <c r="D4786">
        <v>1.48</v>
      </c>
      <c r="E4786">
        <v>18.309999999999999</v>
      </c>
      <c r="F4786">
        <v>3.87</v>
      </c>
      <c r="G4786">
        <v>0.12</v>
      </c>
    </row>
    <row r="4787" spans="1:7" hidden="1">
      <c r="A4787">
        <v>369</v>
      </c>
      <c r="B4787" t="s">
        <v>1335</v>
      </c>
      <c r="C4787" t="s">
        <v>960</v>
      </c>
      <c r="D4787">
        <v>1.53</v>
      </c>
      <c r="E4787">
        <v>18.399999999999999</v>
      </c>
      <c r="F4787">
        <v>4.03</v>
      </c>
      <c r="G4787">
        <v>0.15</v>
      </c>
    </row>
    <row r="4788" spans="1:7" hidden="1">
      <c r="A4788">
        <v>369</v>
      </c>
      <c r="B4788" t="s">
        <v>1335</v>
      </c>
      <c r="C4788" t="s">
        <v>961</v>
      </c>
      <c r="D4788">
        <v>2.0499999999999998</v>
      </c>
      <c r="E4788">
        <v>20.059999999999999</v>
      </c>
      <c r="F4788">
        <v>5.88</v>
      </c>
      <c r="G4788">
        <v>0.11</v>
      </c>
    </row>
    <row r="4789" spans="1:7" hidden="1">
      <c r="A4789">
        <v>369</v>
      </c>
      <c r="B4789" t="s">
        <v>1335</v>
      </c>
      <c r="C4789" t="s">
        <v>962</v>
      </c>
      <c r="D4789">
        <v>0.56999999999999995</v>
      </c>
      <c r="E4789">
        <v>24.72</v>
      </c>
      <c r="F4789">
        <v>2</v>
      </c>
      <c r="G4789">
        <v>0.02</v>
      </c>
    </row>
    <row r="4790" spans="1:7" hidden="1">
      <c r="A4790">
        <v>369</v>
      </c>
      <c r="B4790" t="s">
        <v>1335</v>
      </c>
      <c r="C4790" t="s">
        <v>963</v>
      </c>
      <c r="D4790">
        <v>1.65</v>
      </c>
      <c r="E4790">
        <v>18.13</v>
      </c>
      <c r="F4790">
        <v>4.28</v>
      </c>
      <c r="G4790">
        <v>0.11</v>
      </c>
    </row>
    <row r="4791" spans="1:7" hidden="1">
      <c r="A4791">
        <v>369</v>
      </c>
      <c r="B4791" t="s">
        <v>1335</v>
      </c>
      <c r="C4791" t="s">
        <v>964</v>
      </c>
      <c r="D4791">
        <v>0.09</v>
      </c>
      <c r="E4791">
        <v>21.87</v>
      </c>
      <c r="F4791">
        <v>0.27</v>
      </c>
      <c r="G4791">
        <v>0</v>
      </c>
    </row>
    <row r="4792" spans="1:7" hidden="1">
      <c r="A4792">
        <v>369</v>
      </c>
      <c r="B4792" t="s">
        <v>1335</v>
      </c>
      <c r="C4792" t="s">
        <v>965</v>
      </c>
      <c r="D4792">
        <v>1.65</v>
      </c>
      <c r="E4792">
        <v>24.75</v>
      </c>
      <c r="F4792">
        <v>5.83</v>
      </c>
      <c r="G4792">
        <v>0.06</v>
      </c>
    </row>
    <row r="4793" spans="1:7">
      <c r="A4793">
        <v>369</v>
      </c>
      <c r="B4793" t="s">
        <v>1335</v>
      </c>
      <c r="C4793" t="s">
        <v>24</v>
      </c>
      <c r="D4793">
        <v>9.02</v>
      </c>
      <c r="E4793">
        <v>20.3</v>
      </c>
      <c r="F4793">
        <v>26.15</v>
      </c>
      <c r="G4793">
        <v>0.57999999999999996</v>
      </c>
    </row>
    <row r="4794" spans="1:7" hidden="1">
      <c r="A4794">
        <v>369</v>
      </c>
      <c r="B4794" t="s">
        <v>1335</v>
      </c>
      <c r="C4794" t="s">
        <v>966</v>
      </c>
      <c r="D4794">
        <v>0.78</v>
      </c>
      <c r="E4794">
        <v>18.05</v>
      </c>
      <c r="F4794">
        <v>2.02</v>
      </c>
      <c r="G4794">
        <v>0.59</v>
      </c>
    </row>
    <row r="4795" spans="1:7" hidden="1">
      <c r="A4795">
        <v>369</v>
      </c>
      <c r="B4795" t="s">
        <v>1335</v>
      </c>
      <c r="C4795" t="s">
        <v>967</v>
      </c>
      <c r="D4795">
        <v>0.09</v>
      </c>
      <c r="E4795">
        <v>17.91</v>
      </c>
      <c r="F4795">
        <v>0.22</v>
      </c>
      <c r="G4795">
        <v>0.01</v>
      </c>
    </row>
    <row r="4796" spans="1:7" hidden="1">
      <c r="A4796">
        <v>369</v>
      </c>
      <c r="B4796" t="s">
        <v>1335</v>
      </c>
      <c r="C4796" t="s">
        <v>968</v>
      </c>
      <c r="D4796">
        <v>0.74</v>
      </c>
      <c r="E4796">
        <v>18.09</v>
      </c>
      <c r="F4796">
        <v>1.91</v>
      </c>
      <c r="G4796">
        <v>0.03</v>
      </c>
    </row>
    <row r="4797" spans="1:7" hidden="1">
      <c r="A4797">
        <v>369</v>
      </c>
      <c r="B4797" t="s">
        <v>1335</v>
      </c>
      <c r="C4797" t="s">
        <v>969</v>
      </c>
      <c r="D4797">
        <v>0.15</v>
      </c>
      <c r="E4797">
        <v>24.75</v>
      </c>
      <c r="F4797">
        <v>0.54</v>
      </c>
      <c r="G4797">
        <v>0</v>
      </c>
    </row>
    <row r="4798" spans="1:7" hidden="1">
      <c r="A4798">
        <v>369</v>
      </c>
      <c r="B4798" t="s">
        <v>1335</v>
      </c>
      <c r="C4798" t="s">
        <v>970</v>
      </c>
      <c r="D4798">
        <v>0.52</v>
      </c>
      <c r="E4798">
        <v>24.75</v>
      </c>
      <c r="F4798">
        <v>1.83</v>
      </c>
      <c r="G4798">
        <v>0.01</v>
      </c>
    </row>
    <row r="4799" spans="1:7" hidden="1">
      <c r="A4799">
        <v>370</v>
      </c>
      <c r="B4799" t="s">
        <v>1336</v>
      </c>
      <c r="C4799" t="s">
        <v>959</v>
      </c>
      <c r="D4799">
        <v>1.92</v>
      </c>
      <c r="E4799">
        <v>18.309999999999999</v>
      </c>
      <c r="F4799">
        <v>5.0199999999999996</v>
      </c>
      <c r="G4799">
        <v>0.56999999999999995</v>
      </c>
    </row>
    <row r="4800" spans="1:7" hidden="1">
      <c r="A4800">
        <v>370</v>
      </c>
      <c r="B4800" t="s">
        <v>1336</v>
      </c>
      <c r="C4800" t="s">
        <v>960</v>
      </c>
      <c r="D4800">
        <v>2.25</v>
      </c>
      <c r="E4800">
        <v>18.399999999999999</v>
      </c>
      <c r="F4800">
        <v>5.91</v>
      </c>
      <c r="G4800">
        <v>0.73</v>
      </c>
    </row>
    <row r="4801" spans="1:7" hidden="1">
      <c r="A4801">
        <v>370</v>
      </c>
      <c r="B4801" t="s">
        <v>1336</v>
      </c>
      <c r="C4801" t="s">
        <v>961</v>
      </c>
      <c r="D4801">
        <v>2.82</v>
      </c>
      <c r="E4801">
        <v>20.059999999999999</v>
      </c>
      <c r="F4801">
        <v>8.08</v>
      </c>
      <c r="G4801">
        <v>0.62</v>
      </c>
    </row>
    <row r="4802" spans="1:7" hidden="1">
      <c r="A4802">
        <v>370</v>
      </c>
      <c r="B4802" t="s">
        <v>1336</v>
      </c>
      <c r="C4802" t="s">
        <v>962</v>
      </c>
      <c r="D4802">
        <v>0.8</v>
      </c>
      <c r="E4802">
        <v>24.72</v>
      </c>
      <c r="F4802">
        <v>2.82</v>
      </c>
      <c r="G4802">
        <v>0.15</v>
      </c>
    </row>
    <row r="4803" spans="1:7" hidden="1">
      <c r="A4803">
        <v>370</v>
      </c>
      <c r="B4803" t="s">
        <v>1336</v>
      </c>
      <c r="C4803" t="s">
        <v>963</v>
      </c>
      <c r="D4803">
        <v>1.89</v>
      </c>
      <c r="E4803">
        <v>18.13</v>
      </c>
      <c r="F4803">
        <v>4.8899999999999997</v>
      </c>
      <c r="G4803">
        <v>0.49</v>
      </c>
    </row>
    <row r="4804" spans="1:7" hidden="1">
      <c r="A4804">
        <v>370</v>
      </c>
      <c r="B4804" t="s">
        <v>1336</v>
      </c>
      <c r="C4804" t="s">
        <v>964</v>
      </c>
      <c r="D4804">
        <v>0.09</v>
      </c>
      <c r="E4804">
        <v>21.87</v>
      </c>
      <c r="F4804">
        <v>0.27</v>
      </c>
      <c r="G4804">
        <v>0.01</v>
      </c>
    </row>
    <row r="4805" spans="1:7" hidden="1">
      <c r="A4805">
        <v>370</v>
      </c>
      <c r="B4805" t="s">
        <v>1336</v>
      </c>
      <c r="C4805" t="s">
        <v>965</v>
      </c>
      <c r="D4805">
        <v>1.81</v>
      </c>
      <c r="E4805">
        <v>24.75</v>
      </c>
      <c r="F4805">
        <v>6.41</v>
      </c>
      <c r="G4805">
        <v>0.34</v>
      </c>
    </row>
    <row r="4806" spans="1:7">
      <c r="A4806">
        <v>370</v>
      </c>
      <c r="B4806" t="s">
        <v>1336</v>
      </c>
      <c r="C4806" t="s">
        <v>24</v>
      </c>
      <c r="D4806">
        <v>11.57</v>
      </c>
      <c r="E4806">
        <v>20.2</v>
      </c>
      <c r="F4806">
        <v>33.4</v>
      </c>
      <c r="G4806">
        <v>2.91</v>
      </c>
    </row>
    <row r="4807" spans="1:7" hidden="1">
      <c r="A4807">
        <v>370</v>
      </c>
      <c r="B4807" t="s">
        <v>1336</v>
      </c>
      <c r="C4807" t="s">
        <v>966</v>
      </c>
      <c r="D4807">
        <v>3.28</v>
      </c>
      <c r="E4807">
        <v>18.05</v>
      </c>
      <c r="F4807">
        <v>8.4600000000000009</v>
      </c>
      <c r="G4807">
        <v>3.18</v>
      </c>
    </row>
    <row r="4808" spans="1:7" hidden="1">
      <c r="A4808">
        <v>370</v>
      </c>
      <c r="B4808" t="s">
        <v>1336</v>
      </c>
      <c r="C4808" t="s">
        <v>967</v>
      </c>
      <c r="D4808">
        <v>0.13</v>
      </c>
      <c r="E4808">
        <v>17.91</v>
      </c>
      <c r="F4808">
        <v>0.34</v>
      </c>
      <c r="G4808">
        <v>0.03</v>
      </c>
    </row>
    <row r="4809" spans="1:7" hidden="1">
      <c r="A4809">
        <v>370</v>
      </c>
      <c r="B4809" t="s">
        <v>1336</v>
      </c>
      <c r="C4809" t="s">
        <v>968</v>
      </c>
      <c r="D4809">
        <v>0.68</v>
      </c>
      <c r="E4809">
        <v>18.09</v>
      </c>
      <c r="F4809">
        <v>1.76</v>
      </c>
      <c r="G4809">
        <v>0.05</v>
      </c>
    </row>
    <row r="4810" spans="1:7" hidden="1">
      <c r="A4810">
        <v>370</v>
      </c>
      <c r="B4810" t="s">
        <v>1336</v>
      </c>
      <c r="C4810" t="s">
        <v>969</v>
      </c>
      <c r="D4810">
        <v>0.42</v>
      </c>
      <c r="E4810">
        <v>24.75</v>
      </c>
      <c r="F4810">
        <v>1.49</v>
      </c>
      <c r="G4810">
        <v>0.02</v>
      </c>
    </row>
    <row r="4811" spans="1:7" hidden="1">
      <c r="A4811">
        <v>370</v>
      </c>
      <c r="B4811" t="s">
        <v>1336</v>
      </c>
      <c r="C4811" t="s">
        <v>970</v>
      </c>
      <c r="D4811">
        <v>0.34</v>
      </c>
      <c r="E4811">
        <v>24.75</v>
      </c>
      <c r="F4811">
        <v>1.19</v>
      </c>
      <c r="G4811">
        <v>0.02</v>
      </c>
    </row>
    <row r="4812" spans="1:7" hidden="1">
      <c r="A4812">
        <v>371</v>
      </c>
      <c r="B4812" t="s">
        <v>1337</v>
      </c>
      <c r="C4812" t="s">
        <v>959</v>
      </c>
      <c r="D4812">
        <v>2.06</v>
      </c>
      <c r="E4812">
        <v>18.309999999999999</v>
      </c>
      <c r="F4812">
        <v>5.38</v>
      </c>
      <c r="G4812">
        <v>0.71</v>
      </c>
    </row>
    <row r="4813" spans="1:7" hidden="1">
      <c r="A4813">
        <v>371</v>
      </c>
      <c r="B4813" t="s">
        <v>1337</v>
      </c>
      <c r="C4813" t="s">
        <v>960</v>
      </c>
      <c r="D4813">
        <v>2.61</v>
      </c>
      <c r="E4813">
        <v>18.399999999999999</v>
      </c>
      <c r="F4813">
        <v>6.87</v>
      </c>
      <c r="G4813">
        <v>1.17</v>
      </c>
    </row>
    <row r="4814" spans="1:7" hidden="1">
      <c r="A4814">
        <v>371</v>
      </c>
      <c r="B4814" t="s">
        <v>1337</v>
      </c>
      <c r="C4814" t="s">
        <v>961</v>
      </c>
      <c r="D4814">
        <v>3.9</v>
      </c>
      <c r="E4814">
        <v>20.059999999999999</v>
      </c>
      <c r="F4814">
        <v>11.17</v>
      </c>
      <c r="G4814">
        <v>1.2</v>
      </c>
    </row>
    <row r="4815" spans="1:7" hidden="1">
      <c r="A4815">
        <v>371</v>
      </c>
      <c r="B4815" t="s">
        <v>1337</v>
      </c>
      <c r="C4815" t="s">
        <v>962</v>
      </c>
      <c r="D4815">
        <v>0.8</v>
      </c>
      <c r="E4815">
        <v>24.72</v>
      </c>
      <c r="F4815">
        <v>2.82</v>
      </c>
      <c r="G4815">
        <v>0.25</v>
      </c>
    </row>
    <row r="4816" spans="1:7" hidden="1">
      <c r="A4816">
        <v>371</v>
      </c>
      <c r="B4816" t="s">
        <v>1337</v>
      </c>
      <c r="C4816" t="s">
        <v>963</v>
      </c>
      <c r="D4816">
        <v>2.06</v>
      </c>
      <c r="E4816">
        <v>18.13</v>
      </c>
      <c r="F4816">
        <v>5.32</v>
      </c>
      <c r="G4816">
        <v>0.61</v>
      </c>
    </row>
    <row r="4817" spans="1:7" hidden="1">
      <c r="A4817">
        <v>371</v>
      </c>
      <c r="B4817" t="s">
        <v>1337</v>
      </c>
      <c r="C4817" t="s">
        <v>964</v>
      </c>
      <c r="D4817">
        <v>0.12</v>
      </c>
      <c r="E4817">
        <v>21.87</v>
      </c>
      <c r="F4817">
        <v>0.37</v>
      </c>
      <c r="G4817">
        <v>0.02</v>
      </c>
    </row>
    <row r="4818" spans="1:7" hidden="1">
      <c r="A4818">
        <v>371</v>
      </c>
      <c r="B4818" t="s">
        <v>1337</v>
      </c>
      <c r="C4818" t="s">
        <v>965</v>
      </c>
      <c r="D4818">
        <v>1.92</v>
      </c>
      <c r="E4818">
        <v>24.75</v>
      </c>
      <c r="F4818">
        <v>6.79</v>
      </c>
      <c r="G4818">
        <v>0.47</v>
      </c>
    </row>
    <row r="4819" spans="1:7">
      <c r="A4819">
        <v>371</v>
      </c>
      <c r="B4819" t="s">
        <v>1337</v>
      </c>
      <c r="C4819" t="s">
        <v>24</v>
      </c>
      <c r="D4819">
        <v>13.46</v>
      </c>
      <c r="E4819">
        <v>20.14</v>
      </c>
      <c r="F4819">
        <v>38.72</v>
      </c>
      <c r="G4819">
        <v>4.43</v>
      </c>
    </row>
    <row r="4820" spans="1:7" hidden="1">
      <c r="A4820">
        <v>371</v>
      </c>
      <c r="B4820" t="s">
        <v>1337</v>
      </c>
      <c r="C4820" t="s">
        <v>966</v>
      </c>
      <c r="D4820">
        <v>4.3899999999999997</v>
      </c>
      <c r="E4820">
        <v>18.05</v>
      </c>
      <c r="F4820">
        <v>11.31</v>
      </c>
      <c r="G4820">
        <v>4.21</v>
      </c>
    </row>
    <row r="4821" spans="1:7" hidden="1">
      <c r="A4821">
        <v>371</v>
      </c>
      <c r="B4821" t="s">
        <v>1337</v>
      </c>
      <c r="C4821" t="s">
        <v>967</v>
      </c>
      <c r="D4821">
        <v>0.2</v>
      </c>
      <c r="E4821">
        <v>17.91</v>
      </c>
      <c r="F4821">
        <v>0.5</v>
      </c>
      <c r="G4821">
        <v>0.04</v>
      </c>
    </row>
    <row r="4822" spans="1:7" hidden="1">
      <c r="A4822">
        <v>371</v>
      </c>
      <c r="B4822" t="s">
        <v>1337</v>
      </c>
      <c r="C4822" t="s">
        <v>968</v>
      </c>
      <c r="D4822">
        <v>0.71</v>
      </c>
      <c r="E4822">
        <v>18.09</v>
      </c>
      <c r="F4822">
        <v>1.83</v>
      </c>
      <c r="G4822">
        <v>0.08</v>
      </c>
    </row>
    <row r="4823" spans="1:7" hidden="1">
      <c r="A4823">
        <v>371</v>
      </c>
      <c r="B4823" t="s">
        <v>1337</v>
      </c>
      <c r="C4823" t="s">
        <v>969</v>
      </c>
      <c r="D4823">
        <v>0.78</v>
      </c>
      <c r="E4823">
        <v>24.75</v>
      </c>
      <c r="F4823">
        <v>2.77</v>
      </c>
      <c r="G4823">
        <v>0.03</v>
      </c>
    </row>
    <row r="4824" spans="1:7" hidden="1">
      <c r="A4824">
        <v>371</v>
      </c>
      <c r="B4824" t="s">
        <v>1337</v>
      </c>
      <c r="C4824" t="s">
        <v>970</v>
      </c>
      <c r="D4824">
        <v>0.36</v>
      </c>
      <c r="E4824">
        <v>24.75</v>
      </c>
      <c r="F4824">
        <v>1.26</v>
      </c>
      <c r="G4824">
        <v>0.04</v>
      </c>
    </row>
    <row r="4825" spans="1:7" hidden="1">
      <c r="A4825">
        <v>372</v>
      </c>
      <c r="B4825" t="s">
        <v>1338</v>
      </c>
      <c r="C4825" t="s">
        <v>959</v>
      </c>
      <c r="D4825">
        <v>1.92</v>
      </c>
      <c r="E4825">
        <v>18.309999999999999</v>
      </c>
      <c r="F4825">
        <v>5.01</v>
      </c>
      <c r="G4825">
        <v>0.27</v>
      </c>
    </row>
    <row r="4826" spans="1:7" hidden="1">
      <c r="A4826">
        <v>372</v>
      </c>
      <c r="B4826" t="s">
        <v>1338</v>
      </c>
      <c r="C4826" t="s">
        <v>960</v>
      </c>
      <c r="D4826">
        <v>2.5499999999999998</v>
      </c>
      <c r="E4826">
        <v>18.399999999999999</v>
      </c>
      <c r="F4826">
        <v>6.69</v>
      </c>
      <c r="G4826">
        <v>0.46</v>
      </c>
    </row>
    <row r="4827" spans="1:7" hidden="1">
      <c r="A4827">
        <v>372</v>
      </c>
      <c r="B4827" t="s">
        <v>1338</v>
      </c>
      <c r="C4827" t="s">
        <v>961</v>
      </c>
      <c r="D4827">
        <v>5.15</v>
      </c>
      <c r="E4827">
        <v>20.059999999999999</v>
      </c>
      <c r="F4827">
        <v>14.75</v>
      </c>
      <c r="G4827">
        <v>0.5</v>
      </c>
    </row>
    <row r="4828" spans="1:7" hidden="1">
      <c r="A4828">
        <v>372</v>
      </c>
      <c r="B4828" t="s">
        <v>1338</v>
      </c>
      <c r="C4828" t="s">
        <v>962</v>
      </c>
      <c r="D4828">
        <v>0.98</v>
      </c>
      <c r="E4828">
        <v>24.72</v>
      </c>
      <c r="F4828">
        <v>3.45</v>
      </c>
      <c r="G4828">
        <v>0.09</v>
      </c>
    </row>
    <row r="4829" spans="1:7" hidden="1">
      <c r="A4829">
        <v>372</v>
      </c>
      <c r="B4829" t="s">
        <v>1338</v>
      </c>
      <c r="C4829" t="s">
        <v>963</v>
      </c>
      <c r="D4829">
        <v>1.99</v>
      </c>
      <c r="E4829">
        <v>18.13</v>
      </c>
      <c r="F4829">
        <v>5.15</v>
      </c>
      <c r="G4829">
        <v>0.22</v>
      </c>
    </row>
    <row r="4830" spans="1:7" hidden="1">
      <c r="A4830">
        <v>372</v>
      </c>
      <c r="B4830" t="s">
        <v>1338</v>
      </c>
      <c r="C4830" t="s">
        <v>964</v>
      </c>
      <c r="D4830">
        <v>0.15</v>
      </c>
      <c r="E4830">
        <v>21.87</v>
      </c>
      <c r="F4830">
        <v>0.46</v>
      </c>
      <c r="G4830">
        <v>0.01</v>
      </c>
    </row>
    <row r="4831" spans="1:7" hidden="1">
      <c r="A4831">
        <v>372</v>
      </c>
      <c r="B4831" t="s">
        <v>1338</v>
      </c>
      <c r="C4831" t="s">
        <v>965</v>
      </c>
      <c r="D4831">
        <v>2.02</v>
      </c>
      <c r="E4831">
        <v>24.75</v>
      </c>
      <c r="F4831">
        <v>7.14</v>
      </c>
      <c r="G4831">
        <v>0.18</v>
      </c>
    </row>
    <row r="4832" spans="1:7">
      <c r="A4832">
        <v>372</v>
      </c>
      <c r="B4832" t="s">
        <v>1338</v>
      </c>
      <c r="C4832" t="s">
        <v>24</v>
      </c>
      <c r="D4832">
        <v>14.74</v>
      </c>
      <c r="E4832">
        <v>20.25</v>
      </c>
      <c r="F4832">
        <v>42.64</v>
      </c>
      <c r="G4832">
        <v>1.72</v>
      </c>
    </row>
    <row r="4833" spans="1:7" hidden="1">
      <c r="A4833">
        <v>372</v>
      </c>
      <c r="B4833" t="s">
        <v>1338</v>
      </c>
      <c r="C4833" t="s">
        <v>966</v>
      </c>
      <c r="D4833">
        <v>1.6</v>
      </c>
      <c r="E4833">
        <v>18.05</v>
      </c>
      <c r="F4833">
        <v>4.13</v>
      </c>
      <c r="G4833">
        <v>1.48</v>
      </c>
    </row>
    <row r="4834" spans="1:7" hidden="1">
      <c r="A4834">
        <v>372</v>
      </c>
      <c r="B4834" t="s">
        <v>1338</v>
      </c>
      <c r="C4834" t="s">
        <v>967</v>
      </c>
      <c r="D4834">
        <v>0.21</v>
      </c>
      <c r="E4834">
        <v>17.91</v>
      </c>
      <c r="F4834">
        <v>0.55000000000000004</v>
      </c>
      <c r="G4834">
        <v>0.02</v>
      </c>
    </row>
    <row r="4835" spans="1:7" hidden="1">
      <c r="A4835">
        <v>372</v>
      </c>
      <c r="B4835" t="s">
        <v>1338</v>
      </c>
      <c r="C4835" t="s">
        <v>968</v>
      </c>
      <c r="D4835">
        <v>0.79</v>
      </c>
      <c r="E4835">
        <v>18.09</v>
      </c>
      <c r="F4835">
        <v>2.0499999999999998</v>
      </c>
      <c r="G4835">
        <v>0.03</v>
      </c>
    </row>
    <row r="4836" spans="1:7" hidden="1">
      <c r="A4836">
        <v>372</v>
      </c>
      <c r="B4836" t="s">
        <v>1338</v>
      </c>
      <c r="C4836" t="s">
        <v>969</v>
      </c>
      <c r="D4836">
        <v>0.55000000000000004</v>
      </c>
      <c r="E4836">
        <v>24.75</v>
      </c>
      <c r="F4836">
        <v>1.93</v>
      </c>
      <c r="G4836">
        <v>0.01</v>
      </c>
    </row>
    <row r="4837" spans="1:7" hidden="1">
      <c r="A4837">
        <v>372</v>
      </c>
      <c r="B4837" t="s">
        <v>1338</v>
      </c>
      <c r="C4837" t="s">
        <v>970</v>
      </c>
      <c r="D4837">
        <v>0.34</v>
      </c>
      <c r="E4837">
        <v>24.75</v>
      </c>
      <c r="F4837">
        <v>1.19</v>
      </c>
      <c r="G4837">
        <v>0.02</v>
      </c>
    </row>
    <row r="4838" spans="1:7" hidden="1">
      <c r="A4838">
        <v>373</v>
      </c>
      <c r="B4838" t="s">
        <v>1339</v>
      </c>
      <c r="C4838" t="s">
        <v>959</v>
      </c>
      <c r="D4838">
        <v>2.0099999999999998</v>
      </c>
      <c r="E4838">
        <v>18.309999999999999</v>
      </c>
      <c r="F4838">
        <v>5.26</v>
      </c>
      <c r="G4838">
        <v>0.05</v>
      </c>
    </row>
    <row r="4839" spans="1:7" hidden="1">
      <c r="A4839">
        <v>373</v>
      </c>
      <c r="B4839" t="s">
        <v>1339</v>
      </c>
      <c r="C4839" t="s">
        <v>960</v>
      </c>
      <c r="D4839">
        <v>2.63</v>
      </c>
      <c r="E4839">
        <v>18.399999999999999</v>
      </c>
      <c r="F4839">
        <v>6.92</v>
      </c>
      <c r="G4839">
        <v>0.09</v>
      </c>
    </row>
    <row r="4840" spans="1:7" hidden="1">
      <c r="A4840">
        <v>373</v>
      </c>
      <c r="B4840" t="s">
        <v>1339</v>
      </c>
      <c r="C4840" t="s">
        <v>961</v>
      </c>
      <c r="D4840">
        <v>6.23</v>
      </c>
      <c r="E4840">
        <v>20.059999999999999</v>
      </c>
      <c r="F4840">
        <v>17.86</v>
      </c>
      <c r="G4840">
        <v>0.1</v>
      </c>
    </row>
    <row r="4841" spans="1:7" hidden="1">
      <c r="A4841">
        <v>373</v>
      </c>
      <c r="B4841" t="s">
        <v>1339</v>
      </c>
      <c r="C4841" t="s">
        <v>962</v>
      </c>
      <c r="D4841">
        <v>1.19</v>
      </c>
      <c r="E4841">
        <v>24.72</v>
      </c>
      <c r="F4841">
        <v>4.21</v>
      </c>
      <c r="G4841">
        <v>0.02</v>
      </c>
    </row>
    <row r="4842" spans="1:7" hidden="1">
      <c r="A4842">
        <v>373</v>
      </c>
      <c r="B4842" t="s">
        <v>1339</v>
      </c>
      <c r="C4842" t="s">
        <v>963</v>
      </c>
      <c r="D4842">
        <v>2.1</v>
      </c>
      <c r="E4842">
        <v>18.13</v>
      </c>
      <c r="F4842">
        <v>5.44</v>
      </c>
      <c r="G4842">
        <v>0.05</v>
      </c>
    </row>
    <row r="4843" spans="1:7" hidden="1">
      <c r="A4843">
        <v>373</v>
      </c>
      <c r="B4843" t="s">
        <v>1339</v>
      </c>
      <c r="C4843" t="s">
        <v>964</v>
      </c>
      <c r="D4843">
        <v>0.19</v>
      </c>
      <c r="E4843">
        <v>21.87</v>
      </c>
      <c r="F4843">
        <v>0.6</v>
      </c>
      <c r="G4843">
        <v>0</v>
      </c>
    </row>
    <row r="4844" spans="1:7" hidden="1">
      <c r="A4844">
        <v>373</v>
      </c>
      <c r="B4844" t="s">
        <v>1339</v>
      </c>
      <c r="C4844" t="s">
        <v>965</v>
      </c>
      <c r="D4844">
        <v>2.11</v>
      </c>
      <c r="E4844">
        <v>24.75</v>
      </c>
      <c r="F4844">
        <v>7.45</v>
      </c>
      <c r="G4844">
        <v>0.04</v>
      </c>
    </row>
    <row r="4845" spans="1:7">
      <c r="A4845">
        <v>373</v>
      </c>
      <c r="B4845" t="s">
        <v>1339</v>
      </c>
      <c r="C4845" t="s">
        <v>24</v>
      </c>
      <c r="D4845">
        <v>16.46</v>
      </c>
      <c r="E4845">
        <v>20.29</v>
      </c>
      <c r="F4845">
        <v>47.73</v>
      </c>
      <c r="G4845">
        <v>0.35</v>
      </c>
    </row>
    <row r="4846" spans="1:7" hidden="1">
      <c r="A4846">
        <v>373</v>
      </c>
      <c r="B4846" t="s">
        <v>1339</v>
      </c>
      <c r="C4846" t="s">
        <v>966</v>
      </c>
      <c r="D4846">
        <v>0.37</v>
      </c>
      <c r="E4846">
        <v>18.05</v>
      </c>
      <c r="F4846">
        <v>0.95</v>
      </c>
      <c r="G4846">
        <v>0.33</v>
      </c>
    </row>
    <row r="4847" spans="1:7" hidden="1">
      <c r="A4847">
        <v>373</v>
      </c>
      <c r="B4847" t="s">
        <v>1339</v>
      </c>
      <c r="C4847" t="s">
        <v>967</v>
      </c>
      <c r="D4847">
        <v>0.3</v>
      </c>
      <c r="E4847">
        <v>17.91</v>
      </c>
      <c r="F4847">
        <v>0.76</v>
      </c>
      <c r="G4847">
        <v>0.01</v>
      </c>
    </row>
    <row r="4848" spans="1:7" hidden="1">
      <c r="A4848">
        <v>373</v>
      </c>
      <c r="B4848" t="s">
        <v>1339</v>
      </c>
      <c r="C4848" t="s">
        <v>968</v>
      </c>
      <c r="D4848">
        <v>1.1100000000000001</v>
      </c>
      <c r="E4848">
        <v>18.09</v>
      </c>
      <c r="F4848">
        <v>2.86</v>
      </c>
      <c r="G4848">
        <v>0.01</v>
      </c>
    </row>
    <row r="4849" spans="1:7" hidden="1">
      <c r="A4849">
        <v>373</v>
      </c>
      <c r="B4849" t="s">
        <v>1339</v>
      </c>
      <c r="C4849" t="s">
        <v>969</v>
      </c>
      <c r="D4849">
        <v>0.24</v>
      </c>
      <c r="E4849">
        <v>24.75</v>
      </c>
      <c r="F4849">
        <v>0.85</v>
      </c>
      <c r="G4849">
        <v>0.01</v>
      </c>
    </row>
    <row r="4850" spans="1:7" hidden="1">
      <c r="A4850">
        <v>373</v>
      </c>
      <c r="B4850" t="s">
        <v>1339</v>
      </c>
      <c r="C4850" t="s">
        <v>970</v>
      </c>
      <c r="D4850">
        <v>0.39</v>
      </c>
      <c r="E4850">
        <v>24.75</v>
      </c>
      <c r="F4850">
        <v>1.4</v>
      </c>
      <c r="G4850">
        <v>0</v>
      </c>
    </row>
    <row r="4851" spans="1:7" hidden="1">
      <c r="A4851">
        <v>374</v>
      </c>
      <c r="B4851" t="s">
        <v>1340</v>
      </c>
      <c r="C4851" t="s">
        <v>959</v>
      </c>
      <c r="D4851">
        <v>2.0499999999999998</v>
      </c>
      <c r="E4851">
        <v>18.309999999999999</v>
      </c>
      <c r="F4851">
        <v>5.37</v>
      </c>
      <c r="G4851">
        <v>0.02</v>
      </c>
    </row>
    <row r="4852" spans="1:7" hidden="1">
      <c r="A4852">
        <v>374</v>
      </c>
      <c r="B4852" t="s">
        <v>1340</v>
      </c>
      <c r="C4852" t="s">
        <v>960</v>
      </c>
      <c r="D4852">
        <v>2.91</v>
      </c>
      <c r="E4852">
        <v>18.399999999999999</v>
      </c>
      <c r="F4852">
        <v>7.66</v>
      </c>
      <c r="G4852">
        <v>0.04</v>
      </c>
    </row>
    <row r="4853" spans="1:7" hidden="1">
      <c r="A4853">
        <v>374</v>
      </c>
      <c r="B4853" t="s">
        <v>1340</v>
      </c>
      <c r="C4853" t="s">
        <v>961</v>
      </c>
      <c r="D4853">
        <v>7.94</v>
      </c>
      <c r="E4853">
        <v>20.059999999999999</v>
      </c>
      <c r="F4853">
        <v>22.76</v>
      </c>
      <c r="G4853">
        <v>0.06</v>
      </c>
    </row>
    <row r="4854" spans="1:7" hidden="1">
      <c r="A4854">
        <v>374</v>
      </c>
      <c r="B4854" t="s">
        <v>1340</v>
      </c>
      <c r="C4854" t="s">
        <v>962</v>
      </c>
      <c r="D4854">
        <v>1.58</v>
      </c>
      <c r="E4854">
        <v>24.72</v>
      </c>
      <c r="F4854">
        <v>5.57</v>
      </c>
      <c r="G4854">
        <v>0.01</v>
      </c>
    </row>
    <row r="4855" spans="1:7" hidden="1">
      <c r="A4855">
        <v>374</v>
      </c>
      <c r="B4855" t="s">
        <v>1340</v>
      </c>
      <c r="C4855" t="s">
        <v>963</v>
      </c>
      <c r="D4855">
        <v>2.41</v>
      </c>
      <c r="E4855">
        <v>18.13</v>
      </c>
      <c r="F4855">
        <v>6.24</v>
      </c>
      <c r="G4855">
        <v>0.02</v>
      </c>
    </row>
    <row r="4856" spans="1:7" hidden="1">
      <c r="A4856">
        <v>374</v>
      </c>
      <c r="B4856" t="s">
        <v>1340</v>
      </c>
      <c r="C4856" t="s">
        <v>964</v>
      </c>
      <c r="D4856">
        <v>0.26</v>
      </c>
      <c r="E4856">
        <v>21.87</v>
      </c>
      <c r="F4856">
        <v>0.81</v>
      </c>
      <c r="G4856">
        <v>0</v>
      </c>
    </row>
    <row r="4857" spans="1:7" hidden="1">
      <c r="A4857">
        <v>374</v>
      </c>
      <c r="B4857" t="s">
        <v>1340</v>
      </c>
      <c r="C4857" t="s">
        <v>965</v>
      </c>
      <c r="D4857">
        <v>2.2000000000000002</v>
      </c>
      <c r="E4857">
        <v>24.75</v>
      </c>
      <c r="F4857">
        <v>7.79</v>
      </c>
      <c r="G4857">
        <v>0.01</v>
      </c>
    </row>
    <row r="4858" spans="1:7">
      <c r="A4858">
        <v>374</v>
      </c>
      <c r="B4858" t="s">
        <v>1340</v>
      </c>
      <c r="C4858" t="s">
        <v>24</v>
      </c>
      <c r="D4858">
        <v>19.36</v>
      </c>
      <c r="E4858">
        <v>20.32</v>
      </c>
      <c r="F4858">
        <v>56.19</v>
      </c>
      <c r="G4858">
        <v>0.16</v>
      </c>
    </row>
    <row r="4859" spans="1:7" hidden="1">
      <c r="A4859">
        <v>374</v>
      </c>
      <c r="B4859" t="s">
        <v>1340</v>
      </c>
      <c r="C4859" t="s">
        <v>966</v>
      </c>
      <c r="D4859">
        <v>0.13</v>
      </c>
      <c r="E4859">
        <v>18.05</v>
      </c>
      <c r="F4859">
        <v>0.33</v>
      </c>
      <c r="G4859">
        <v>0.11</v>
      </c>
    </row>
    <row r="4860" spans="1:7" hidden="1">
      <c r="A4860">
        <v>374</v>
      </c>
      <c r="B4860" t="s">
        <v>1340</v>
      </c>
      <c r="C4860" t="s">
        <v>967</v>
      </c>
      <c r="D4860">
        <v>0.37</v>
      </c>
      <c r="E4860">
        <v>17.91</v>
      </c>
      <c r="F4860">
        <v>0.95</v>
      </c>
      <c r="G4860">
        <v>0</v>
      </c>
    </row>
    <row r="4861" spans="1:7" hidden="1">
      <c r="A4861">
        <v>374</v>
      </c>
      <c r="B4861" t="s">
        <v>1340</v>
      </c>
      <c r="C4861" t="s">
        <v>968</v>
      </c>
      <c r="D4861">
        <v>1.48</v>
      </c>
      <c r="E4861">
        <v>18.09</v>
      </c>
      <c r="F4861">
        <v>3.83</v>
      </c>
      <c r="G4861">
        <v>0.01</v>
      </c>
    </row>
    <row r="4862" spans="1:7" hidden="1">
      <c r="A4862">
        <v>374</v>
      </c>
      <c r="B4862" t="s">
        <v>1340</v>
      </c>
      <c r="C4862" t="s">
        <v>969</v>
      </c>
      <c r="D4862">
        <v>0.18</v>
      </c>
      <c r="E4862">
        <v>24.75</v>
      </c>
      <c r="F4862">
        <v>0.63</v>
      </c>
      <c r="G4862">
        <v>0</v>
      </c>
    </row>
    <row r="4863" spans="1:7" hidden="1">
      <c r="A4863">
        <v>374</v>
      </c>
      <c r="B4863" t="s">
        <v>1340</v>
      </c>
      <c r="C4863" t="s">
        <v>970</v>
      </c>
      <c r="D4863">
        <v>0.43</v>
      </c>
      <c r="E4863">
        <v>24.75</v>
      </c>
      <c r="F4863">
        <v>1.54</v>
      </c>
      <c r="G4863">
        <v>0</v>
      </c>
    </row>
    <row r="4864" spans="1:7" hidden="1">
      <c r="A4864">
        <v>375</v>
      </c>
      <c r="B4864" t="s">
        <v>1341</v>
      </c>
      <c r="C4864" t="s">
        <v>959</v>
      </c>
      <c r="D4864">
        <v>1.93</v>
      </c>
      <c r="E4864">
        <v>18.309999999999999</v>
      </c>
      <c r="F4864">
        <v>5.0599999999999996</v>
      </c>
      <c r="G4864">
        <v>0</v>
      </c>
    </row>
    <row r="4865" spans="1:7" hidden="1">
      <c r="A4865">
        <v>375</v>
      </c>
      <c r="B4865" t="s">
        <v>1341</v>
      </c>
      <c r="C4865" t="s">
        <v>960</v>
      </c>
      <c r="D4865">
        <v>3.1</v>
      </c>
      <c r="E4865">
        <v>18.399999999999999</v>
      </c>
      <c r="F4865">
        <v>8.14</v>
      </c>
      <c r="G4865">
        <v>0.02</v>
      </c>
    </row>
    <row r="4866" spans="1:7" hidden="1">
      <c r="A4866">
        <v>375</v>
      </c>
      <c r="B4866" t="s">
        <v>1341</v>
      </c>
      <c r="C4866" t="s">
        <v>961</v>
      </c>
      <c r="D4866">
        <v>6.81</v>
      </c>
      <c r="E4866">
        <v>20.059999999999999</v>
      </c>
      <c r="F4866">
        <v>19.5</v>
      </c>
      <c r="G4866">
        <v>0.03</v>
      </c>
    </row>
    <row r="4867" spans="1:7" hidden="1">
      <c r="A4867">
        <v>375</v>
      </c>
      <c r="B4867" t="s">
        <v>1341</v>
      </c>
      <c r="C4867" t="s">
        <v>962</v>
      </c>
      <c r="D4867">
        <v>1.91</v>
      </c>
      <c r="E4867">
        <v>24.72</v>
      </c>
      <c r="F4867">
        <v>6.75</v>
      </c>
      <c r="G4867">
        <v>0</v>
      </c>
    </row>
    <row r="4868" spans="1:7" hidden="1">
      <c r="A4868">
        <v>375</v>
      </c>
      <c r="B4868" t="s">
        <v>1341</v>
      </c>
      <c r="C4868" t="s">
        <v>963</v>
      </c>
      <c r="D4868">
        <v>2.17</v>
      </c>
      <c r="E4868">
        <v>18.13</v>
      </c>
      <c r="F4868">
        <v>5.63</v>
      </c>
      <c r="G4868">
        <v>0.01</v>
      </c>
    </row>
    <row r="4869" spans="1:7" hidden="1">
      <c r="A4869">
        <v>375</v>
      </c>
      <c r="B4869" t="s">
        <v>1341</v>
      </c>
      <c r="C4869" t="s">
        <v>964</v>
      </c>
      <c r="D4869">
        <v>0.32</v>
      </c>
      <c r="E4869">
        <v>21.87</v>
      </c>
      <c r="F4869">
        <v>1.01</v>
      </c>
      <c r="G4869">
        <v>0</v>
      </c>
    </row>
    <row r="4870" spans="1:7" hidden="1">
      <c r="A4870">
        <v>375</v>
      </c>
      <c r="B4870" t="s">
        <v>1341</v>
      </c>
      <c r="C4870" t="s">
        <v>965</v>
      </c>
      <c r="D4870">
        <v>1.96</v>
      </c>
      <c r="E4870">
        <v>24.75</v>
      </c>
      <c r="F4870">
        <v>6.94</v>
      </c>
      <c r="G4870">
        <v>0</v>
      </c>
    </row>
    <row r="4871" spans="1:7">
      <c r="A4871">
        <v>375</v>
      </c>
      <c r="B4871" t="s">
        <v>1341</v>
      </c>
      <c r="C4871" t="s">
        <v>24</v>
      </c>
      <c r="D4871">
        <v>18.21</v>
      </c>
      <c r="E4871">
        <v>20.39</v>
      </c>
      <c r="F4871">
        <v>53.03</v>
      </c>
      <c r="G4871">
        <v>7.0000000000000007E-2</v>
      </c>
    </row>
    <row r="4872" spans="1:7" hidden="1">
      <c r="A4872">
        <v>375</v>
      </c>
      <c r="B4872" t="s">
        <v>1341</v>
      </c>
      <c r="C4872" t="s">
        <v>966</v>
      </c>
      <c r="D4872">
        <v>7.0000000000000007E-2</v>
      </c>
      <c r="E4872">
        <v>18.05</v>
      </c>
      <c r="F4872">
        <v>0.19</v>
      </c>
      <c r="G4872">
        <v>0.06</v>
      </c>
    </row>
    <row r="4873" spans="1:7" hidden="1">
      <c r="A4873">
        <v>375</v>
      </c>
      <c r="B4873" t="s">
        <v>1341</v>
      </c>
      <c r="C4873" t="s">
        <v>967</v>
      </c>
      <c r="D4873">
        <v>0.45</v>
      </c>
      <c r="E4873">
        <v>17.91</v>
      </c>
      <c r="F4873">
        <v>1.1499999999999999</v>
      </c>
      <c r="G4873">
        <v>0</v>
      </c>
    </row>
    <row r="4874" spans="1:7" hidden="1">
      <c r="A4874">
        <v>375</v>
      </c>
      <c r="B4874" t="s">
        <v>1341</v>
      </c>
      <c r="C4874" t="s">
        <v>968</v>
      </c>
      <c r="D4874">
        <v>0.79</v>
      </c>
      <c r="E4874">
        <v>18.09</v>
      </c>
      <c r="F4874">
        <v>2.0499999999999998</v>
      </c>
      <c r="G4874">
        <v>0</v>
      </c>
    </row>
    <row r="4875" spans="1:7" hidden="1">
      <c r="A4875">
        <v>375</v>
      </c>
      <c r="B4875" t="s">
        <v>1341</v>
      </c>
      <c r="C4875" t="s">
        <v>969</v>
      </c>
      <c r="D4875">
        <v>0.16</v>
      </c>
      <c r="E4875">
        <v>24.75</v>
      </c>
      <c r="F4875">
        <v>0.55000000000000004</v>
      </c>
      <c r="G4875">
        <v>0</v>
      </c>
    </row>
    <row r="4876" spans="1:7" hidden="1">
      <c r="A4876">
        <v>375</v>
      </c>
      <c r="B4876" t="s">
        <v>1341</v>
      </c>
      <c r="C4876" t="s">
        <v>970</v>
      </c>
      <c r="D4876">
        <v>0.32</v>
      </c>
      <c r="E4876">
        <v>24.75</v>
      </c>
      <c r="F4876">
        <v>1.1399999999999999</v>
      </c>
      <c r="G4876">
        <v>0</v>
      </c>
    </row>
    <row r="4877" spans="1:7" hidden="1">
      <c r="A4877">
        <v>376</v>
      </c>
      <c r="B4877" t="s">
        <v>1342</v>
      </c>
      <c r="C4877" t="s">
        <v>959</v>
      </c>
      <c r="D4877">
        <v>6.16</v>
      </c>
      <c r="E4877">
        <v>18.309999999999999</v>
      </c>
      <c r="F4877">
        <v>16.11</v>
      </c>
      <c r="G4877">
        <v>1.29</v>
      </c>
    </row>
    <row r="4878" spans="1:7" hidden="1">
      <c r="A4878">
        <v>376</v>
      </c>
      <c r="B4878" t="s">
        <v>1342</v>
      </c>
      <c r="C4878" t="s">
        <v>960</v>
      </c>
      <c r="D4878">
        <v>5.6</v>
      </c>
      <c r="E4878">
        <v>18.399999999999999</v>
      </c>
      <c r="F4878">
        <v>14.72</v>
      </c>
      <c r="G4878">
        <v>1.5</v>
      </c>
    </row>
    <row r="4879" spans="1:7" hidden="1">
      <c r="A4879">
        <v>376</v>
      </c>
      <c r="B4879" t="s">
        <v>1342</v>
      </c>
      <c r="C4879" t="s">
        <v>961</v>
      </c>
      <c r="D4879">
        <v>2.38</v>
      </c>
      <c r="E4879">
        <v>20.059999999999999</v>
      </c>
      <c r="F4879">
        <v>6.83</v>
      </c>
      <c r="G4879">
        <v>0.27</v>
      </c>
    </row>
    <row r="4880" spans="1:7" hidden="1">
      <c r="A4880">
        <v>376</v>
      </c>
      <c r="B4880" t="s">
        <v>1342</v>
      </c>
      <c r="C4880" t="s">
        <v>962</v>
      </c>
      <c r="D4880">
        <v>1.37</v>
      </c>
      <c r="E4880">
        <v>24.72</v>
      </c>
      <c r="F4880">
        <v>4.8499999999999996</v>
      </c>
      <c r="G4880">
        <v>0.17</v>
      </c>
    </row>
    <row r="4881" spans="1:7" hidden="1">
      <c r="A4881">
        <v>376</v>
      </c>
      <c r="B4881" t="s">
        <v>1342</v>
      </c>
      <c r="C4881" t="s">
        <v>963</v>
      </c>
      <c r="D4881">
        <v>3.04</v>
      </c>
      <c r="E4881">
        <v>18.13</v>
      </c>
      <c r="F4881">
        <v>7.89</v>
      </c>
      <c r="G4881">
        <v>0.49</v>
      </c>
    </row>
    <row r="4882" spans="1:7" hidden="1">
      <c r="A4882">
        <v>376</v>
      </c>
      <c r="B4882" t="s">
        <v>1342</v>
      </c>
      <c r="C4882" t="s">
        <v>964</v>
      </c>
      <c r="D4882">
        <v>0.15</v>
      </c>
      <c r="E4882">
        <v>21.87</v>
      </c>
      <c r="F4882">
        <v>0.47</v>
      </c>
      <c r="G4882">
        <v>0.02</v>
      </c>
    </row>
    <row r="4883" spans="1:7" hidden="1">
      <c r="A4883">
        <v>376</v>
      </c>
      <c r="B4883" t="s">
        <v>1342</v>
      </c>
      <c r="C4883" t="s">
        <v>965</v>
      </c>
      <c r="D4883">
        <v>2.1800000000000002</v>
      </c>
      <c r="E4883">
        <v>24.75</v>
      </c>
      <c r="F4883">
        <v>7.7</v>
      </c>
      <c r="G4883">
        <v>0.32</v>
      </c>
    </row>
    <row r="4884" spans="1:7">
      <c r="A4884">
        <v>376</v>
      </c>
      <c r="B4884" t="s">
        <v>1342</v>
      </c>
      <c r="C4884" t="s">
        <v>24</v>
      </c>
      <c r="D4884">
        <v>20.89</v>
      </c>
      <c r="E4884">
        <v>19.63</v>
      </c>
      <c r="F4884">
        <v>58.56</v>
      </c>
      <c r="G4884">
        <v>4.0599999999999996</v>
      </c>
    </row>
    <row r="4885" spans="1:7" hidden="1">
      <c r="A4885">
        <v>376</v>
      </c>
      <c r="B4885" t="s">
        <v>1342</v>
      </c>
      <c r="C4885" t="s">
        <v>966</v>
      </c>
      <c r="D4885">
        <v>3.77</v>
      </c>
      <c r="E4885">
        <v>18.05</v>
      </c>
      <c r="F4885">
        <v>9.73</v>
      </c>
      <c r="G4885">
        <v>3.54</v>
      </c>
    </row>
    <row r="4886" spans="1:7" hidden="1">
      <c r="A4886">
        <v>376</v>
      </c>
      <c r="B4886" t="s">
        <v>1342</v>
      </c>
      <c r="C4886" t="s">
        <v>967</v>
      </c>
      <c r="D4886">
        <v>0.32</v>
      </c>
      <c r="E4886">
        <v>17.91</v>
      </c>
      <c r="F4886">
        <v>0.82</v>
      </c>
      <c r="G4886">
        <v>0.03</v>
      </c>
    </row>
    <row r="4887" spans="1:7" hidden="1">
      <c r="A4887">
        <v>376</v>
      </c>
      <c r="B4887" t="s">
        <v>1342</v>
      </c>
      <c r="C4887" t="s">
        <v>968</v>
      </c>
      <c r="D4887">
        <v>1.17</v>
      </c>
      <c r="E4887">
        <v>18.09</v>
      </c>
      <c r="F4887">
        <v>3.02</v>
      </c>
      <c r="G4887">
        <v>0.08</v>
      </c>
    </row>
    <row r="4888" spans="1:7" hidden="1">
      <c r="A4888">
        <v>376</v>
      </c>
      <c r="B4888" t="s">
        <v>1342</v>
      </c>
      <c r="C4888" t="s">
        <v>969</v>
      </c>
      <c r="D4888">
        <v>0.7</v>
      </c>
      <c r="E4888">
        <v>24.75</v>
      </c>
      <c r="F4888">
        <v>2.48</v>
      </c>
      <c r="G4888">
        <v>0.02</v>
      </c>
    </row>
    <row r="4889" spans="1:7" hidden="1">
      <c r="A4889">
        <v>376</v>
      </c>
      <c r="B4889" t="s">
        <v>1342</v>
      </c>
      <c r="C4889" t="s">
        <v>970</v>
      </c>
      <c r="D4889">
        <v>0.44</v>
      </c>
      <c r="E4889">
        <v>24.75</v>
      </c>
      <c r="F4889">
        <v>1.54</v>
      </c>
      <c r="G4889">
        <v>0.04</v>
      </c>
    </row>
    <row r="4890" spans="1:7" hidden="1">
      <c r="A4890">
        <v>377</v>
      </c>
      <c r="B4890" t="s">
        <v>1343</v>
      </c>
      <c r="C4890" t="s">
        <v>959</v>
      </c>
      <c r="D4890">
        <v>2</v>
      </c>
      <c r="E4890">
        <v>18.309999999999999</v>
      </c>
      <c r="F4890">
        <v>5.22</v>
      </c>
      <c r="G4890">
        <v>0.21</v>
      </c>
    </row>
    <row r="4891" spans="1:7" hidden="1">
      <c r="A4891">
        <v>377</v>
      </c>
      <c r="B4891" t="s">
        <v>1343</v>
      </c>
      <c r="C4891" t="s">
        <v>960</v>
      </c>
      <c r="D4891">
        <v>1.49</v>
      </c>
      <c r="E4891">
        <v>18.399999999999999</v>
      </c>
      <c r="F4891">
        <v>3.91</v>
      </c>
      <c r="G4891">
        <v>0.19</v>
      </c>
    </row>
    <row r="4892" spans="1:7" hidden="1">
      <c r="A4892">
        <v>377</v>
      </c>
      <c r="B4892" t="s">
        <v>1343</v>
      </c>
      <c r="C4892" t="s">
        <v>961</v>
      </c>
      <c r="D4892">
        <v>0.89</v>
      </c>
      <c r="E4892">
        <v>20.059999999999999</v>
      </c>
      <c r="F4892">
        <v>2.54</v>
      </c>
      <c r="G4892">
        <v>0.04</v>
      </c>
    </row>
    <row r="4893" spans="1:7" hidden="1">
      <c r="A4893">
        <v>377</v>
      </c>
      <c r="B4893" t="s">
        <v>1343</v>
      </c>
      <c r="C4893" t="s">
        <v>962</v>
      </c>
      <c r="D4893">
        <v>0.55000000000000004</v>
      </c>
      <c r="E4893">
        <v>24.72</v>
      </c>
      <c r="F4893">
        <v>1.93</v>
      </c>
      <c r="G4893">
        <v>0.04</v>
      </c>
    </row>
    <row r="4894" spans="1:7" hidden="1">
      <c r="A4894">
        <v>377</v>
      </c>
      <c r="B4894" t="s">
        <v>1343</v>
      </c>
      <c r="C4894" t="s">
        <v>963</v>
      </c>
      <c r="D4894">
        <v>2.29</v>
      </c>
      <c r="E4894">
        <v>18.13</v>
      </c>
      <c r="F4894">
        <v>5.94</v>
      </c>
      <c r="G4894">
        <v>0.11</v>
      </c>
    </row>
    <row r="4895" spans="1:7" hidden="1">
      <c r="A4895">
        <v>377</v>
      </c>
      <c r="B4895" t="s">
        <v>1343</v>
      </c>
      <c r="C4895" t="s">
        <v>964</v>
      </c>
      <c r="D4895">
        <v>0.03</v>
      </c>
      <c r="E4895">
        <v>21.87</v>
      </c>
      <c r="F4895">
        <v>0.11</v>
      </c>
      <c r="G4895">
        <v>0</v>
      </c>
    </row>
    <row r="4896" spans="1:7" hidden="1">
      <c r="A4896">
        <v>377</v>
      </c>
      <c r="B4896" t="s">
        <v>1343</v>
      </c>
      <c r="C4896" t="s">
        <v>965</v>
      </c>
      <c r="D4896">
        <v>1.66</v>
      </c>
      <c r="E4896">
        <v>24.75</v>
      </c>
      <c r="F4896">
        <v>5.89</v>
      </c>
      <c r="G4896">
        <v>0.06</v>
      </c>
    </row>
    <row r="4897" spans="1:7">
      <c r="A4897">
        <v>377</v>
      </c>
      <c r="B4897" t="s">
        <v>1343</v>
      </c>
      <c r="C4897" t="s">
        <v>24</v>
      </c>
      <c r="D4897">
        <v>8.91</v>
      </c>
      <c r="E4897">
        <v>20.059999999999999</v>
      </c>
      <c r="F4897">
        <v>25.54</v>
      </c>
      <c r="G4897">
        <v>0.64</v>
      </c>
    </row>
    <row r="4898" spans="1:7" hidden="1">
      <c r="A4898">
        <v>377</v>
      </c>
      <c r="B4898" t="s">
        <v>1343</v>
      </c>
      <c r="C4898" t="s">
        <v>966</v>
      </c>
      <c r="D4898">
        <v>0.74</v>
      </c>
      <c r="E4898">
        <v>18.05</v>
      </c>
      <c r="F4898">
        <v>1.92</v>
      </c>
      <c r="G4898">
        <v>0.32</v>
      </c>
    </row>
    <row r="4899" spans="1:7" hidden="1">
      <c r="A4899">
        <v>377</v>
      </c>
      <c r="B4899" t="s">
        <v>1343</v>
      </c>
      <c r="C4899" t="s">
        <v>967</v>
      </c>
      <c r="D4899">
        <v>0.11</v>
      </c>
      <c r="E4899">
        <v>17.91</v>
      </c>
      <c r="F4899">
        <v>0.28999999999999998</v>
      </c>
      <c r="G4899">
        <v>0</v>
      </c>
    </row>
    <row r="4900" spans="1:7" hidden="1">
      <c r="A4900">
        <v>377</v>
      </c>
      <c r="B4900" t="s">
        <v>1343</v>
      </c>
      <c r="C4900" t="s">
        <v>968</v>
      </c>
      <c r="D4900">
        <v>0.81</v>
      </c>
      <c r="E4900">
        <v>18.09</v>
      </c>
      <c r="F4900">
        <v>2.09</v>
      </c>
      <c r="G4900">
        <v>0.02</v>
      </c>
    </row>
    <row r="4901" spans="1:7" hidden="1">
      <c r="A4901">
        <v>377</v>
      </c>
      <c r="B4901" t="s">
        <v>1343</v>
      </c>
      <c r="C4901" t="s">
        <v>969</v>
      </c>
      <c r="D4901">
        <v>0.27</v>
      </c>
      <c r="E4901">
        <v>24.75</v>
      </c>
      <c r="F4901">
        <v>0.95</v>
      </c>
      <c r="G4901">
        <v>0</v>
      </c>
    </row>
    <row r="4902" spans="1:7" hidden="1">
      <c r="A4902">
        <v>377</v>
      </c>
      <c r="B4902" t="s">
        <v>1343</v>
      </c>
      <c r="C4902" t="s">
        <v>970</v>
      </c>
      <c r="D4902">
        <v>0.47</v>
      </c>
      <c r="E4902">
        <v>24.75</v>
      </c>
      <c r="F4902">
        <v>1.65</v>
      </c>
      <c r="G4902">
        <v>0.03</v>
      </c>
    </row>
    <row r="4903" spans="1:7" hidden="1">
      <c r="A4903">
        <v>378</v>
      </c>
      <c r="B4903" t="s">
        <v>1344</v>
      </c>
      <c r="C4903" t="s">
        <v>959</v>
      </c>
      <c r="D4903">
        <v>6.4</v>
      </c>
      <c r="E4903">
        <v>18.309999999999999</v>
      </c>
      <c r="F4903">
        <v>16.739999999999998</v>
      </c>
      <c r="G4903">
        <v>1.36</v>
      </c>
    </row>
    <row r="4904" spans="1:7" hidden="1">
      <c r="A4904">
        <v>378</v>
      </c>
      <c r="B4904" t="s">
        <v>1344</v>
      </c>
      <c r="C4904" t="s">
        <v>960</v>
      </c>
      <c r="D4904">
        <v>5.84</v>
      </c>
      <c r="E4904">
        <v>18.399999999999999</v>
      </c>
      <c r="F4904">
        <v>15.35</v>
      </c>
      <c r="G4904">
        <v>1.57</v>
      </c>
    </row>
    <row r="4905" spans="1:7" hidden="1">
      <c r="A4905">
        <v>378</v>
      </c>
      <c r="B4905" t="s">
        <v>1344</v>
      </c>
      <c r="C4905" t="s">
        <v>961</v>
      </c>
      <c r="D4905">
        <v>2.4700000000000002</v>
      </c>
      <c r="E4905">
        <v>20.059999999999999</v>
      </c>
      <c r="F4905">
        <v>7.08</v>
      </c>
      <c r="G4905">
        <v>0.28000000000000003</v>
      </c>
    </row>
    <row r="4906" spans="1:7" hidden="1">
      <c r="A4906">
        <v>378</v>
      </c>
      <c r="B4906" t="s">
        <v>1344</v>
      </c>
      <c r="C4906" t="s">
        <v>962</v>
      </c>
      <c r="D4906">
        <v>1.42</v>
      </c>
      <c r="E4906">
        <v>24.72</v>
      </c>
      <c r="F4906">
        <v>5.0199999999999996</v>
      </c>
      <c r="G4906">
        <v>0.18</v>
      </c>
    </row>
    <row r="4907" spans="1:7" hidden="1">
      <c r="A4907">
        <v>378</v>
      </c>
      <c r="B4907" t="s">
        <v>1344</v>
      </c>
      <c r="C4907" t="s">
        <v>963</v>
      </c>
      <c r="D4907">
        <v>3.09</v>
      </c>
      <c r="E4907">
        <v>18.13</v>
      </c>
      <c r="F4907">
        <v>8</v>
      </c>
      <c r="G4907">
        <v>0.51</v>
      </c>
    </row>
    <row r="4908" spans="1:7" hidden="1">
      <c r="A4908">
        <v>378</v>
      </c>
      <c r="B4908" t="s">
        <v>1344</v>
      </c>
      <c r="C4908" t="s">
        <v>964</v>
      </c>
      <c r="D4908">
        <v>0.16</v>
      </c>
      <c r="E4908">
        <v>21.87</v>
      </c>
      <c r="F4908">
        <v>0.49</v>
      </c>
      <c r="G4908">
        <v>0.02</v>
      </c>
    </row>
    <row r="4909" spans="1:7" hidden="1">
      <c r="A4909">
        <v>378</v>
      </c>
      <c r="B4909" t="s">
        <v>1344</v>
      </c>
      <c r="C4909" t="s">
        <v>965</v>
      </c>
      <c r="D4909">
        <v>2.21</v>
      </c>
      <c r="E4909">
        <v>24.75</v>
      </c>
      <c r="F4909">
        <v>7.81</v>
      </c>
      <c r="G4909">
        <v>0.33</v>
      </c>
    </row>
    <row r="4910" spans="1:7">
      <c r="A4910">
        <v>378</v>
      </c>
      <c r="B4910" t="s">
        <v>1344</v>
      </c>
      <c r="C4910" t="s">
        <v>24</v>
      </c>
      <c r="D4910">
        <v>21.59</v>
      </c>
      <c r="E4910">
        <v>19.62</v>
      </c>
      <c r="F4910">
        <v>60.5</v>
      </c>
      <c r="G4910">
        <v>4.26</v>
      </c>
    </row>
    <row r="4911" spans="1:7" hidden="1">
      <c r="A4911">
        <v>378</v>
      </c>
      <c r="B4911" t="s">
        <v>1344</v>
      </c>
      <c r="C4911" t="s">
        <v>966</v>
      </c>
      <c r="D4911">
        <v>3.95</v>
      </c>
      <c r="E4911">
        <v>18.05</v>
      </c>
      <c r="F4911">
        <v>10.19</v>
      </c>
      <c r="G4911">
        <v>3.73</v>
      </c>
    </row>
    <row r="4912" spans="1:7" hidden="1">
      <c r="A4912">
        <v>378</v>
      </c>
      <c r="B4912" t="s">
        <v>1344</v>
      </c>
      <c r="C4912" t="s">
        <v>967</v>
      </c>
      <c r="D4912">
        <v>0.33</v>
      </c>
      <c r="E4912">
        <v>17.91</v>
      </c>
      <c r="F4912">
        <v>0.85</v>
      </c>
      <c r="G4912">
        <v>0.03</v>
      </c>
    </row>
    <row r="4913" spans="1:7" hidden="1">
      <c r="A4913">
        <v>378</v>
      </c>
      <c r="B4913" t="s">
        <v>1344</v>
      </c>
      <c r="C4913" t="s">
        <v>968</v>
      </c>
      <c r="D4913">
        <v>1.19</v>
      </c>
      <c r="E4913">
        <v>18.09</v>
      </c>
      <c r="F4913">
        <v>3.07</v>
      </c>
      <c r="G4913">
        <v>0.08</v>
      </c>
    </row>
    <row r="4914" spans="1:7" hidden="1">
      <c r="A4914">
        <v>378</v>
      </c>
      <c r="B4914" t="s">
        <v>1344</v>
      </c>
      <c r="C4914" t="s">
        <v>969</v>
      </c>
      <c r="D4914">
        <v>0.73</v>
      </c>
      <c r="E4914">
        <v>24.75</v>
      </c>
      <c r="F4914">
        <v>2.57</v>
      </c>
      <c r="G4914">
        <v>0.02</v>
      </c>
    </row>
    <row r="4915" spans="1:7" hidden="1">
      <c r="A4915">
        <v>378</v>
      </c>
      <c r="B4915" t="s">
        <v>1344</v>
      </c>
      <c r="C4915" t="s">
        <v>970</v>
      </c>
      <c r="D4915">
        <v>0.44</v>
      </c>
      <c r="E4915">
        <v>24.75</v>
      </c>
      <c r="F4915">
        <v>1.54</v>
      </c>
      <c r="G4915">
        <v>0.04</v>
      </c>
    </row>
    <row r="4916" spans="1:7" hidden="1">
      <c r="A4916">
        <v>379</v>
      </c>
      <c r="B4916" t="s">
        <v>1345</v>
      </c>
      <c r="C4916" t="s">
        <v>959</v>
      </c>
      <c r="D4916">
        <v>3.82</v>
      </c>
      <c r="E4916">
        <v>18.309999999999999</v>
      </c>
      <c r="F4916">
        <v>9.98</v>
      </c>
      <c r="G4916">
        <v>1.1100000000000001</v>
      </c>
    </row>
    <row r="4917" spans="1:7" hidden="1">
      <c r="A4917">
        <v>379</v>
      </c>
      <c r="B4917" t="s">
        <v>1345</v>
      </c>
      <c r="C4917" t="s">
        <v>960</v>
      </c>
      <c r="D4917">
        <v>3.06</v>
      </c>
      <c r="E4917">
        <v>18.399999999999999</v>
      </c>
      <c r="F4917">
        <v>8.0399999999999991</v>
      </c>
      <c r="G4917">
        <v>1.1399999999999999</v>
      </c>
    </row>
    <row r="4918" spans="1:7" hidden="1">
      <c r="A4918">
        <v>379</v>
      </c>
      <c r="B4918" t="s">
        <v>1345</v>
      </c>
      <c r="C4918" t="s">
        <v>961</v>
      </c>
      <c r="D4918">
        <v>1.19</v>
      </c>
      <c r="E4918">
        <v>20.059999999999999</v>
      </c>
      <c r="F4918">
        <v>3.41</v>
      </c>
      <c r="G4918">
        <v>0.15</v>
      </c>
    </row>
    <row r="4919" spans="1:7" hidden="1">
      <c r="A4919">
        <v>379</v>
      </c>
      <c r="B4919" t="s">
        <v>1345</v>
      </c>
      <c r="C4919" t="s">
        <v>962</v>
      </c>
      <c r="D4919">
        <v>0.85</v>
      </c>
      <c r="E4919">
        <v>24.72</v>
      </c>
      <c r="F4919">
        <v>3.01</v>
      </c>
      <c r="G4919">
        <v>0.12</v>
      </c>
    </row>
    <row r="4920" spans="1:7" hidden="1">
      <c r="A4920">
        <v>379</v>
      </c>
      <c r="B4920" t="s">
        <v>1345</v>
      </c>
      <c r="C4920" t="s">
        <v>963</v>
      </c>
      <c r="D4920">
        <v>3.01</v>
      </c>
      <c r="E4920">
        <v>18.13</v>
      </c>
      <c r="F4920">
        <v>7.79</v>
      </c>
      <c r="G4920">
        <v>0.47</v>
      </c>
    </row>
    <row r="4921" spans="1:7" hidden="1">
      <c r="A4921">
        <v>379</v>
      </c>
      <c r="B4921" t="s">
        <v>1345</v>
      </c>
      <c r="C4921" t="s">
        <v>964</v>
      </c>
      <c r="D4921">
        <v>0.1</v>
      </c>
      <c r="E4921">
        <v>21.87</v>
      </c>
      <c r="F4921">
        <v>0.31</v>
      </c>
      <c r="G4921">
        <v>0.01</v>
      </c>
    </row>
    <row r="4922" spans="1:7" hidden="1">
      <c r="A4922">
        <v>379</v>
      </c>
      <c r="B4922" t="s">
        <v>1345</v>
      </c>
      <c r="C4922" t="s">
        <v>965</v>
      </c>
      <c r="D4922">
        <v>2.15</v>
      </c>
      <c r="E4922">
        <v>24.75</v>
      </c>
      <c r="F4922">
        <v>7.6</v>
      </c>
      <c r="G4922">
        <v>0.28000000000000003</v>
      </c>
    </row>
    <row r="4923" spans="1:7">
      <c r="A4923">
        <v>379</v>
      </c>
      <c r="B4923" t="s">
        <v>1345</v>
      </c>
      <c r="C4923" t="s">
        <v>24</v>
      </c>
      <c r="D4923">
        <v>14.17</v>
      </c>
      <c r="E4923">
        <v>19.829999999999998</v>
      </c>
      <c r="F4923">
        <v>40.130000000000003</v>
      </c>
      <c r="G4923">
        <v>3.27</v>
      </c>
    </row>
    <row r="4924" spans="1:7" hidden="1">
      <c r="A4924">
        <v>379</v>
      </c>
      <c r="B4924" t="s">
        <v>1345</v>
      </c>
      <c r="C4924" t="s">
        <v>966</v>
      </c>
      <c r="D4924">
        <v>3.48</v>
      </c>
      <c r="E4924">
        <v>18.05</v>
      </c>
      <c r="F4924">
        <v>8.98</v>
      </c>
      <c r="G4924">
        <v>3.08</v>
      </c>
    </row>
    <row r="4925" spans="1:7" hidden="1">
      <c r="A4925">
        <v>379</v>
      </c>
      <c r="B4925" t="s">
        <v>1345</v>
      </c>
      <c r="C4925" t="s">
        <v>967</v>
      </c>
      <c r="D4925">
        <v>0.18</v>
      </c>
      <c r="E4925">
        <v>17.91</v>
      </c>
      <c r="F4925">
        <v>0.45</v>
      </c>
      <c r="G4925">
        <v>0.03</v>
      </c>
    </row>
    <row r="4926" spans="1:7" hidden="1">
      <c r="A4926">
        <v>379</v>
      </c>
      <c r="B4926" t="s">
        <v>1345</v>
      </c>
      <c r="C4926" t="s">
        <v>968</v>
      </c>
      <c r="D4926">
        <v>0.8</v>
      </c>
      <c r="E4926">
        <v>18.09</v>
      </c>
      <c r="F4926">
        <v>2.0699999999999998</v>
      </c>
      <c r="G4926">
        <v>0.09</v>
      </c>
    </row>
    <row r="4927" spans="1:7" hidden="1">
      <c r="A4927">
        <v>379</v>
      </c>
      <c r="B4927" t="s">
        <v>1345</v>
      </c>
      <c r="C4927" t="s">
        <v>969</v>
      </c>
      <c r="D4927">
        <v>0.47</v>
      </c>
      <c r="E4927">
        <v>24.75</v>
      </c>
      <c r="F4927">
        <v>1.65</v>
      </c>
      <c r="G4927">
        <v>0.03</v>
      </c>
    </row>
    <row r="4928" spans="1:7" hidden="1">
      <c r="A4928">
        <v>379</v>
      </c>
      <c r="B4928" t="s">
        <v>1345</v>
      </c>
      <c r="C4928" t="s">
        <v>970</v>
      </c>
      <c r="D4928">
        <v>0.43</v>
      </c>
      <c r="E4928">
        <v>24.75</v>
      </c>
      <c r="F4928">
        <v>1.53</v>
      </c>
      <c r="G4928">
        <v>0.03</v>
      </c>
    </row>
    <row r="4929" spans="1:7" hidden="1">
      <c r="A4929">
        <v>380</v>
      </c>
      <c r="B4929" t="s">
        <v>1346</v>
      </c>
      <c r="C4929" t="s">
        <v>959</v>
      </c>
      <c r="D4929">
        <v>5.68</v>
      </c>
      <c r="E4929">
        <v>18.309999999999999</v>
      </c>
      <c r="F4929">
        <v>14.87</v>
      </c>
      <c r="G4929">
        <v>3.07</v>
      </c>
    </row>
    <row r="4930" spans="1:7" hidden="1">
      <c r="A4930">
        <v>380</v>
      </c>
      <c r="B4930" t="s">
        <v>1346</v>
      </c>
      <c r="C4930" t="s">
        <v>960</v>
      </c>
      <c r="D4930">
        <v>5.72</v>
      </c>
      <c r="E4930">
        <v>18.399999999999999</v>
      </c>
      <c r="F4930">
        <v>15.04</v>
      </c>
      <c r="G4930">
        <v>3.43</v>
      </c>
    </row>
    <row r="4931" spans="1:7" hidden="1">
      <c r="A4931">
        <v>380</v>
      </c>
      <c r="B4931" t="s">
        <v>1346</v>
      </c>
      <c r="C4931" t="s">
        <v>961</v>
      </c>
      <c r="D4931">
        <v>1.54</v>
      </c>
      <c r="E4931">
        <v>20.059999999999999</v>
      </c>
      <c r="F4931">
        <v>4.42</v>
      </c>
      <c r="G4931">
        <v>0.54</v>
      </c>
    </row>
    <row r="4932" spans="1:7" hidden="1">
      <c r="A4932">
        <v>380</v>
      </c>
      <c r="B4932" t="s">
        <v>1346</v>
      </c>
      <c r="C4932" t="s">
        <v>962</v>
      </c>
      <c r="D4932">
        <v>0.99</v>
      </c>
      <c r="E4932">
        <v>24.72</v>
      </c>
      <c r="F4932">
        <v>3.49</v>
      </c>
      <c r="G4932">
        <v>0.37</v>
      </c>
    </row>
    <row r="4933" spans="1:7" hidden="1">
      <c r="A4933">
        <v>380</v>
      </c>
      <c r="B4933" t="s">
        <v>1346</v>
      </c>
      <c r="C4933" t="s">
        <v>963</v>
      </c>
      <c r="D4933">
        <v>2.91</v>
      </c>
      <c r="E4933">
        <v>18.13</v>
      </c>
      <c r="F4933">
        <v>7.55</v>
      </c>
      <c r="G4933">
        <v>1.18</v>
      </c>
    </row>
    <row r="4934" spans="1:7" hidden="1">
      <c r="A4934">
        <v>380</v>
      </c>
      <c r="B4934" t="s">
        <v>1346</v>
      </c>
      <c r="C4934" t="s">
        <v>964</v>
      </c>
      <c r="D4934">
        <v>0.12</v>
      </c>
      <c r="E4934">
        <v>21.87</v>
      </c>
      <c r="F4934">
        <v>0.38</v>
      </c>
      <c r="G4934">
        <v>0.05</v>
      </c>
    </row>
    <row r="4935" spans="1:7" hidden="1">
      <c r="A4935">
        <v>380</v>
      </c>
      <c r="B4935" t="s">
        <v>1346</v>
      </c>
      <c r="C4935" t="s">
        <v>965</v>
      </c>
      <c r="D4935">
        <v>2.2000000000000002</v>
      </c>
      <c r="E4935">
        <v>24.75</v>
      </c>
      <c r="F4935">
        <v>7.76</v>
      </c>
      <c r="G4935">
        <v>0.81</v>
      </c>
    </row>
    <row r="4936" spans="1:7">
      <c r="A4936">
        <v>380</v>
      </c>
      <c r="B4936" t="s">
        <v>1346</v>
      </c>
      <c r="C4936" t="s">
        <v>24</v>
      </c>
      <c r="D4936">
        <v>19.170000000000002</v>
      </c>
      <c r="E4936">
        <v>19.54</v>
      </c>
      <c r="F4936">
        <v>53.51</v>
      </c>
      <c r="G4936">
        <v>9.44</v>
      </c>
    </row>
    <row r="4937" spans="1:7" hidden="1">
      <c r="A4937">
        <v>380</v>
      </c>
      <c r="B4937" t="s">
        <v>1346</v>
      </c>
      <c r="C4937" t="s">
        <v>966</v>
      </c>
      <c r="D4937">
        <v>9.32</v>
      </c>
      <c r="E4937">
        <v>18.05</v>
      </c>
      <c r="F4937">
        <v>24.03</v>
      </c>
      <c r="G4937">
        <v>9.02</v>
      </c>
    </row>
    <row r="4938" spans="1:7" hidden="1">
      <c r="A4938">
        <v>380</v>
      </c>
      <c r="B4938" t="s">
        <v>1346</v>
      </c>
      <c r="C4938" t="s">
        <v>967</v>
      </c>
      <c r="D4938">
        <v>0.15</v>
      </c>
      <c r="E4938">
        <v>17.91</v>
      </c>
      <c r="F4938">
        <v>0.39</v>
      </c>
      <c r="G4938">
        <v>0.05</v>
      </c>
    </row>
    <row r="4939" spans="1:7" hidden="1">
      <c r="A4939">
        <v>380</v>
      </c>
      <c r="B4939" t="s">
        <v>1346</v>
      </c>
      <c r="C4939" t="s">
        <v>968</v>
      </c>
      <c r="D4939">
        <v>0.56999999999999995</v>
      </c>
      <c r="E4939">
        <v>18.09</v>
      </c>
      <c r="F4939">
        <v>1.48</v>
      </c>
      <c r="G4939">
        <v>0.18</v>
      </c>
    </row>
    <row r="4940" spans="1:7" hidden="1">
      <c r="A4940">
        <v>380</v>
      </c>
      <c r="B4940" t="s">
        <v>1346</v>
      </c>
      <c r="C4940" t="s">
        <v>969</v>
      </c>
      <c r="D4940">
        <v>1.18</v>
      </c>
      <c r="E4940">
        <v>24.75</v>
      </c>
      <c r="F4940">
        <v>4.18</v>
      </c>
      <c r="G4940">
        <v>0.04</v>
      </c>
    </row>
    <row r="4941" spans="1:7" hidden="1">
      <c r="A4941">
        <v>380</v>
      </c>
      <c r="B4941" t="s">
        <v>1346</v>
      </c>
      <c r="C4941" t="s">
        <v>970</v>
      </c>
      <c r="D4941">
        <v>0.33</v>
      </c>
      <c r="E4941">
        <v>24.75</v>
      </c>
      <c r="F4941">
        <v>1.18</v>
      </c>
      <c r="G4941">
        <v>0.09</v>
      </c>
    </row>
    <row r="4942" spans="1:7" hidden="1">
      <c r="A4942">
        <v>381</v>
      </c>
      <c r="B4942" t="s">
        <v>1347</v>
      </c>
      <c r="C4942" t="s">
        <v>959</v>
      </c>
      <c r="D4942">
        <v>6.76</v>
      </c>
      <c r="E4942">
        <v>18.309999999999999</v>
      </c>
      <c r="F4942">
        <v>17.68</v>
      </c>
      <c r="G4942">
        <v>2.94</v>
      </c>
    </row>
    <row r="4943" spans="1:7" hidden="1">
      <c r="A4943">
        <v>381</v>
      </c>
      <c r="B4943" t="s">
        <v>1347</v>
      </c>
      <c r="C4943" t="s">
        <v>960</v>
      </c>
      <c r="D4943">
        <v>6.57</v>
      </c>
      <c r="E4943">
        <v>18.399999999999999</v>
      </c>
      <c r="F4943">
        <v>17.27</v>
      </c>
      <c r="G4943">
        <v>3.53</v>
      </c>
    </row>
    <row r="4944" spans="1:7" hidden="1">
      <c r="A4944">
        <v>381</v>
      </c>
      <c r="B4944" t="s">
        <v>1347</v>
      </c>
      <c r="C4944" t="s">
        <v>961</v>
      </c>
      <c r="D4944">
        <v>2.06</v>
      </c>
      <c r="E4944">
        <v>20.059999999999999</v>
      </c>
      <c r="F4944">
        <v>5.92</v>
      </c>
      <c r="G4944">
        <v>0.69</v>
      </c>
    </row>
    <row r="4945" spans="1:7" hidden="1">
      <c r="A4945">
        <v>381</v>
      </c>
      <c r="B4945" t="s">
        <v>1347</v>
      </c>
      <c r="C4945" t="s">
        <v>962</v>
      </c>
      <c r="D4945">
        <v>1.18</v>
      </c>
      <c r="E4945">
        <v>24.72</v>
      </c>
      <c r="F4945">
        <v>4.18</v>
      </c>
      <c r="G4945">
        <v>0.44</v>
      </c>
    </row>
    <row r="4946" spans="1:7" hidden="1">
      <c r="A4946">
        <v>381</v>
      </c>
      <c r="B4946" t="s">
        <v>1347</v>
      </c>
      <c r="C4946" t="s">
        <v>963</v>
      </c>
      <c r="D4946">
        <v>3.23</v>
      </c>
      <c r="E4946">
        <v>18.13</v>
      </c>
      <c r="F4946">
        <v>8.36</v>
      </c>
      <c r="G4946">
        <v>1.1100000000000001</v>
      </c>
    </row>
    <row r="4947" spans="1:7" hidden="1">
      <c r="A4947">
        <v>381</v>
      </c>
      <c r="B4947" t="s">
        <v>1347</v>
      </c>
      <c r="C4947" t="s">
        <v>964</v>
      </c>
      <c r="D4947">
        <v>0.13</v>
      </c>
      <c r="E4947">
        <v>21.87</v>
      </c>
      <c r="F4947">
        <v>0.41</v>
      </c>
      <c r="G4947">
        <v>0.03</v>
      </c>
    </row>
    <row r="4948" spans="1:7" hidden="1">
      <c r="A4948">
        <v>381</v>
      </c>
      <c r="B4948" t="s">
        <v>1347</v>
      </c>
      <c r="C4948" t="s">
        <v>965</v>
      </c>
      <c r="D4948">
        <v>2.2200000000000002</v>
      </c>
      <c r="E4948">
        <v>24.75</v>
      </c>
      <c r="F4948">
        <v>7.87</v>
      </c>
      <c r="G4948">
        <v>0.71</v>
      </c>
    </row>
    <row r="4949" spans="1:7">
      <c r="A4949">
        <v>381</v>
      </c>
      <c r="B4949" t="s">
        <v>1347</v>
      </c>
      <c r="C4949" t="s">
        <v>24</v>
      </c>
      <c r="D4949">
        <v>22.16</v>
      </c>
      <c r="E4949">
        <v>19.48</v>
      </c>
      <c r="F4949">
        <v>61.67</v>
      </c>
      <c r="G4949">
        <v>9.4499999999999993</v>
      </c>
    </row>
    <row r="4950" spans="1:7" hidden="1">
      <c r="A4950">
        <v>381</v>
      </c>
      <c r="B4950" t="s">
        <v>1347</v>
      </c>
      <c r="C4950" t="s">
        <v>966</v>
      </c>
      <c r="D4950">
        <v>8.19</v>
      </c>
      <c r="E4950">
        <v>18.05</v>
      </c>
      <c r="F4950">
        <v>21.11</v>
      </c>
      <c r="G4950">
        <v>7.76</v>
      </c>
    </row>
    <row r="4951" spans="1:7" hidden="1">
      <c r="A4951">
        <v>381</v>
      </c>
      <c r="B4951" t="s">
        <v>1347</v>
      </c>
      <c r="C4951" t="s">
        <v>967</v>
      </c>
      <c r="D4951">
        <v>0.21</v>
      </c>
      <c r="E4951">
        <v>17.91</v>
      </c>
      <c r="F4951">
        <v>0.54</v>
      </c>
      <c r="G4951">
        <v>0.04</v>
      </c>
    </row>
    <row r="4952" spans="1:7" hidden="1">
      <c r="A4952">
        <v>381</v>
      </c>
      <c r="B4952" t="s">
        <v>1347</v>
      </c>
      <c r="C4952" t="s">
        <v>968</v>
      </c>
      <c r="D4952">
        <v>0.7</v>
      </c>
      <c r="E4952">
        <v>18.09</v>
      </c>
      <c r="F4952">
        <v>1.8</v>
      </c>
      <c r="G4952">
        <v>0.14000000000000001</v>
      </c>
    </row>
    <row r="4953" spans="1:7" hidden="1">
      <c r="A4953">
        <v>381</v>
      </c>
      <c r="B4953" t="s">
        <v>1347</v>
      </c>
      <c r="C4953" t="s">
        <v>969</v>
      </c>
      <c r="D4953">
        <v>1.56</v>
      </c>
      <c r="E4953">
        <v>24.75</v>
      </c>
      <c r="F4953">
        <v>5.51</v>
      </c>
      <c r="G4953">
        <v>0.04</v>
      </c>
    </row>
    <row r="4954" spans="1:7" hidden="1">
      <c r="A4954">
        <v>381</v>
      </c>
      <c r="B4954" t="s">
        <v>1347</v>
      </c>
      <c r="C4954" t="s">
        <v>970</v>
      </c>
      <c r="D4954">
        <v>0.35</v>
      </c>
      <c r="E4954">
        <v>24.75</v>
      </c>
      <c r="F4954">
        <v>1.24</v>
      </c>
      <c r="G4954">
        <v>0.09</v>
      </c>
    </row>
    <row r="4955" spans="1:7" hidden="1">
      <c r="A4955">
        <v>382</v>
      </c>
      <c r="B4955" t="s">
        <v>1348</v>
      </c>
      <c r="C4955" t="s">
        <v>959</v>
      </c>
      <c r="D4955">
        <v>6.71</v>
      </c>
      <c r="E4955">
        <v>18.309999999999999</v>
      </c>
      <c r="F4955">
        <v>17.55</v>
      </c>
      <c r="G4955">
        <v>0.8</v>
      </c>
    </row>
    <row r="4956" spans="1:7" hidden="1">
      <c r="A4956">
        <v>382</v>
      </c>
      <c r="B4956" t="s">
        <v>1348</v>
      </c>
      <c r="C4956" t="s">
        <v>960</v>
      </c>
      <c r="D4956">
        <v>5.99</v>
      </c>
      <c r="E4956">
        <v>18.399999999999999</v>
      </c>
      <c r="F4956">
        <v>15.75</v>
      </c>
      <c r="G4956">
        <v>1.01</v>
      </c>
    </row>
    <row r="4957" spans="1:7" hidden="1">
      <c r="A4957">
        <v>382</v>
      </c>
      <c r="B4957" t="s">
        <v>1348</v>
      </c>
      <c r="C4957" t="s">
        <v>961</v>
      </c>
      <c r="D4957">
        <v>2.71</v>
      </c>
      <c r="E4957">
        <v>20.059999999999999</v>
      </c>
      <c r="F4957">
        <v>7.76</v>
      </c>
      <c r="G4957">
        <v>0.22</v>
      </c>
    </row>
    <row r="4958" spans="1:7" hidden="1">
      <c r="A4958">
        <v>382</v>
      </c>
      <c r="B4958" t="s">
        <v>1348</v>
      </c>
      <c r="C4958" t="s">
        <v>962</v>
      </c>
      <c r="D4958">
        <v>1.45</v>
      </c>
      <c r="E4958">
        <v>24.72</v>
      </c>
      <c r="F4958">
        <v>5.1100000000000003</v>
      </c>
      <c r="G4958">
        <v>0.13</v>
      </c>
    </row>
    <row r="4959" spans="1:7" hidden="1">
      <c r="A4959">
        <v>382</v>
      </c>
      <c r="B4959" t="s">
        <v>1348</v>
      </c>
      <c r="C4959" t="s">
        <v>963</v>
      </c>
      <c r="D4959">
        <v>3.23</v>
      </c>
      <c r="E4959">
        <v>18.13</v>
      </c>
      <c r="F4959">
        <v>8.36</v>
      </c>
      <c r="G4959">
        <v>0.27</v>
      </c>
    </row>
    <row r="4960" spans="1:7" hidden="1">
      <c r="A4960">
        <v>382</v>
      </c>
      <c r="B4960" t="s">
        <v>1348</v>
      </c>
      <c r="C4960" t="s">
        <v>964</v>
      </c>
      <c r="D4960">
        <v>0.19</v>
      </c>
      <c r="E4960">
        <v>21.87</v>
      </c>
      <c r="F4960">
        <v>0.59</v>
      </c>
      <c r="G4960">
        <v>0.01</v>
      </c>
    </row>
    <row r="4961" spans="1:7" hidden="1">
      <c r="A4961">
        <v>382</v>
      </c>
      <c r="B4961" t="s">
        <v>1348</v>
      </c>
      <c r="C4961" t="s">
        <v>965</v>
      </c>
      <c r="D4961">
        <v>2.35</v>
      </c>
      <c r="E4961">
        <v>24.75</v>
      </c>
      <c r="F4961">
        <v>8.32</v>
      </c>
      <c r="G4961">
        <v>0.18</v>
      </c>
    </row>
    <row r="4962" spans="1:7">
      <c r="A4962">
        <v>382</v>
      </c>
      <c r="B4962" t="s">
        <v>1348</v>
      </c>
      <c r="C4962" t="s">
        <v>24</v>
      </c>
      <c r="D4962">
        <v>22.63</v>
      </c>
      <c r="E4962">
        <v>19.63</v>
      </c>
      <c r="F4962">
        <v>63.44</v>
      </c>
      <c r="G4962">
        <v>2.63</v>
      </c>
    </row>
    <row r="4963" spans="1:7" hidden="1">
      <c r="A4963">
        <v>382</v>
      </c>
      <c r="B4963" t="s">
        <v>1348</v>
      </c>
      <c r="C4963" t="s">
        <v>966</v>
      </c>
      <c r="D4963">
        <v>2.19</v>
      </c>
      <c r="E4963">
        <v>18.05</v>
      </c>
      <c r="F4963">
        <v>5.65</v>
      </c>
      <c r="G4963">
        <v>1.99</v>
      </c>
    </row>
    <row r="4964" spans="1:7" hidden="1">
      <c r="A4964">
        <v>382</v>
      </c>
      <c r="B4964" t="s">
        <v>1348</v>
      </c>
      <c r="C4964" t="s">
        <v>967</v>
      </c>
      <c r="D4964">
        <v>0.39</v>
      </c>
      <c r="E4964">
        <v>17.91</v>
      </c>
      <c r="F4964">
        <v>0.99</v>
      </c>
      <c r="G4964">
        <v>0.03</v>
      </c>
    </row>
    <row r="4965" spans="1:7" hidden="1">
      <c r="A4965">
        <v>382</v>
      </c>
      <c r="B4965" t="s">
        <v>1348</v>
      </c>
      <c r="C4965" t="s">
        <v>968</v>
      </c>
      <c r="D4965">
        <v>1.38</v>
      </c>
      <c r="E4965">
        <v>18.09</v>
      </c>
      <c r="F4965">
        <v>3.55</v>
      </c>
      <c r="G4965">
        <v>0.05</v>
      </c>
    </row>
    <row r="4966" spans="1:7" hidden="1">
      <c r="A4966">
        <v>382</v>
      </c>
      <c r="B4966" t="s">
        <v>1348</v>
      </c>
      <c r="C4966" t="s">
        <v>969</v>
      </c>
      <c r="D4966">
        <v>0.75</v>
      </c>
      <c r="E4966">
        <v>24.75</v>
      </c>
      <c r="F4966">
        <v>2.64</v>
      </c>
      <c r="G4966">
        <v>0.01</v>
      </c>
    </row>
    <row r="4967" spans="1:7" hidden="1">
      <c r="A4967">
        <v>382</v>
      </c>
      <c r="B4967" t="s">
        <v>1348</v>
      </c>
      <c r="C4967" t="s">
        <v>970</v>
      </c>
      <c r="D4967">
        <v>0.47</v>
      </c>
      <c r="E4967">
        <v>24.75</v>
      </c>
      <c r="F4967">
        <v>1.67</v>
      </c>
      <c r="G4967">
        <v>0.02</v>
      </c>
    </row>
    <row r="4968" spans="1:7" hidden="1">
      <c r="A4968">
        <v>383</v>
      </c>
      <c r="B4968" t="s">
        <v>1349</v>
      </c>
      <c r="C4968" t="s">
        <v>959</v>
      </c>
      <c r="D4968">
        <v>6.7</v>
      </c>
      <c r="E4968">
        <v>18.309999999999999</v>
      </c>
      <c r="F4968">
        <v>17.510000000000002</v>
      </c>
      <c r="G4968">
        <v>0.2</v>
      </c>
    </row>
    <row r="4969" spans="1:7" hidden="1">
      <c r="A4969">
        <v>383</v>
      </c>
      <c r="B4969" t="s">
        <v>1349</v>
      </c>
      <c r="C4969" t="s">
        <v>960</v>
      </c>
      <c r="D4969">
        <v>5.91</v>
      </c>
      <c r="E4969">
        <v>18.399999999999999</v>
      </c>
      <c r="F4969">
        <v>15.53</v>
      </c>
      <c r="G4969">
        <v>0.24</v>
      </c>
    </row>
    <row r="4970" spans="1:7" hidden="1">
      <c r="A4970">
        <v>383</v>
      </c>
      <c r="B4970" t="s">
        <v>1349</v>
      </c>
      <c r="C4970" t="s">
        <v>961</v>
      </c>
      <c r="D4970">
        <v>3.5</v>
      </c>
      <c r="E4970">
        <v>20.059999999999999</v>
      </c>
      <c r="F4970">
        <v>10.02</v>
      </c>
      <c r="G4970">
        <v>0.05</v>
      </c>
    </row>
    <row r="4971" spans="1:7" hidden="1">
      <c r="A4971">
        <v>383</v>
      </c>
      <c r="B4971" t="s">
        <v>1349</v>
      </c>
      <c r="C4971" t="s">
        <v>962</v>
      </c>
      <c r="D4971">
        <v>1.62</v>
      </c>
      <c r="E4971">
        <v>24.72</v>
      </c>
      <c r="F4971">
        <v>5.73</v>
      </c>
      <c r="G4971">
        <v>0.02</v>
      </c>
    </row>
    <row r="4972" spans="1:7" hidden="1">
      <c r="A4972">
        <v>383</v>
      </c>
      <c r="B4972" t="s">
        <v>1349</v>
      </c>
      <c r="C4972" t="s">
        <v>963</v>
      </c>
      <c r="D4972">
        <v>3.23</v>
      </c>
      <c r="E4972">
        <v>18.13</v>
      </c>
      <c r="F4972">
        <v>8.36</v>
      </c>
      <c r="G4972">
        <v>0.06</v>
      </c>
    </row>
    <row r="4973" spans="1:7" hidden="1">
      <c r="A4973">
        <v>383</v>
      </c>
      <c r="B4973" t="s">
        <v>1349</v>
      </c>
      <c r="C4973" t="s">
        <v>964</v>
      </c>
      <c r="D4973">
        <v>0.18</v>
      </c>
      <c r="E4973">
        <v>21.87</v>
      </c>
      <c r="F4973">
        <v>0.55000000000000004</v>
      </c>
      <c r="G4973">
        <v>0</v>
      </c>
    </row>
    <row r="4974" spans="1:7" hidden="1">
      <c r="A4974">
        <v>383</v>
      </c>
      <c r="B4974" t="s">
        <v>1349</v>
      </c>
      <c r="C4974" t="s">
        <v>965</v>
      </c>
      <c r="D4974">
        <v>2.34</v>
      </c>
      <c r="E4974">
        <v>24.75</v>
      </c>
      <c r="F4974">
        <v>8.2899999999999991</v>
      </c>
      <c r="G4974">
        <v>0.04</v>
      </c>
    </row>
    <row r="4975" spans="1:7">
      <c r="A4975">
        <v>383</v>
      </c>
      <c r="B4975" t="s">
        <v>1349</v>
      </c>
      <c r="C4975" t="s">
        <v>24</v>
      </c>
      <c r="D4975">
        <v>23.47</v>
      </c>
      <c r="E4975">
        <v>19.68</v>
      </c>
      <c r="F4975">
        <v>66</v>
      </c>
      <c r="G4975">
        <v>0.61</v>
      </c>
    </row>
    <row r="4976" spans="1:7" hidden="1">
      <c r="A4976">
        <v>383</v>
      </c>
      <c r="B4976" t="s">
        <v>1349</v>
      </c>
      <c r="C4976" t="s">
        <v>966</v>
      </c>
      <c r="D4976">
        <v>0.53</v>
      </c>
      <c r="E4976">
        <v>18.05</v>
      </c>
      <c r="F4976">
        <v>1.36</v>
      </c>
      <c r="G4976">
        <v>0.47</v>
      </c>
    </row>
    <row r="4977" spans="1:7" hidden="1">
      <c r="A4977">
        <v>383</v>
      </c>
      <c r="B4977" t="s">
        <v>1349</v>
      </c>
      <c r="C4977" t="s">
        <v>967</v>
      </c>
      <c r="D4977">
        <v>0.51</v>
      </c>
      <c r="E4977">
        <v>17.91</v>
      </c>
      <c r="F4977">
        <v>1.29</v>
      </c>
      <c r="G4977">
        <v>0.01</v>
      </c>
    </row>
    <row r="4978" spans="1:7" hidden="1">
      <c r="A4978">
        <v>383</v>
      </c>
      <c r="B4978" t="s">
        <v>1349</v>
      </c>
      <c r="C4978" t="s">
        <v>968</v>
      </c>
      <c r="D4978">
        <v>2.1800000000000002</v>
      </c>
      <c r="E4978">
        <v>18.09</v>
      </c>
      <c r="F4978">
        <v>5.63</v>
      </c>
      <c r="G4978">
        <v>0.01</v>
      </c>
    </row>
    <row r="4979" spans="1:7" hidden="1">
      <c r="A4979">
        <v>383</v>
      </c>
      <c r="B4979" t="s">
        <v>1349</v>
      </c>
      <c r="C4979" t="s">
        <v>969</v>
      </c>
      <c r="D4979">
        <v>0.25</v>
      </c>
      <c r="E4979">
        <v>24.75</v>
      </c>
      <c r="F4979">
        <v>0.87</v>
      </c>
      <c r="G4979">
        <v>0.01</v>
      </c>
    </row>
    <row r="4980" spans="1:7" hidden="1">
      <c r="A4980">
        <v>383</v>
      </c>
      <c r="B4980" t="s">
        <v>1349</v>
      </c>
      <c r="C4980" t="s">
        <v>970</v>
      </c>
      <c r="D4980">
        <v>0.59</v>
      </c>
      <c r="E4980">
        <v>24.75</v>
      </c>
      <c r="F4980">
        <v>2.1</v>
      </c>
      <c r="G4980">
        <v>0.01</v>
      </c>
    </row>
    <row r="4981" spans="1:7" hidden="1">
      <c r="A4981">
        <v>384</v>
      </c>
      <c r="B4981" t="s">
        <v>1350</v>
      </c>
      <c r="C4981" t="s">
        <v>959</v>
      </c>
      <c r="D4981">
        <v>7.89</v>
      </c>
      <c r="E4981">
        <v>18.309999999999999</v>
      </c>
      <c r="F4981">
        <v>20.64</v>
      </c>
      <c r="G4981">
        <v>0.11</v>
      </c>
    </row>
    <row r="4982" spans="1:7" hidden="1">
      <c r="A4982">
        <v>384</v>
      </c>
      <c r="B4982" t="s">
        <v>1350</v>
      </c>
      <c r="C4982" t="s">
        <v>960</v>
      </c>
      <c r="D4982">
        <v>6.74</v>
      </c>
      <c r="E4982">
        <v>18.399999999999999</v>
      </c>
      <c r="F4982">
        <v>17.7</v>
      </c>
      <c r="G4982">
        <v>0.14000000000000001</v>
      </c>
    </row>
    <row r="4983" spans="1:7" hidden="1">
      <c r="A4983">
        <v>384</v>
      </c>
      <c r="B4983" t="s">
        <v>1350</v>
      </c>
      <c r="C4983" t="s">
        <v>961</v>
      </c>
      <c r="D4983">
        <v>3.64</v>
      </c>
      <c r="E4983">
        <v>20.059999999999999</v>
      </c>
      <c r="F4983">
        <v>10.42</v>
      </c>
      <c r="G4983">
        <v>0.02</v>
      </c>
    </row>
    <row r="4984" spans="1:7" hidden="1">
      <c r="A4984">
        <v>384</v>
      </c>
      <c r="B4984" t="s">
        <v>1350</v>
      </c>
      <c r="C4984" t="s">
        <v>962</v>
      </c>
      <c r="D4984">
        <v>2.04</v>
      </c>
      <c r="E4984">
        <v>24.72</v>
      </c>
      <c r="F4984">
        <v>7.22</v>
      </c>
      <c r="G4984">
        <v>0.01</v>
      </c>
    </row>
    <row r="4985" spans="1:7" hidden="1">
      <c r="A4985">
        <v>384</v>
      </c>
      <c r="B4985" t="s">
        <v>1350</v>
      </c>
      <c r="C4985" t="s">
        <v>963</v>
      </c>
      <c r="D4985">
        <v>3.32</v>
      </c>
      <c r="E4985">
        <v>18.13</v>
      </c>
      <c r="F4985">
        <v>8.6</v>
      </c>
      <c r="G4985">
        <v>0.04</v>
      </c>
    </row>
    <row r="4986" spans="1:7" hidden="1">
      <c r="A4986">
        <v>384</v>
      </c>
      <c r="B4986" t="s">
        <v>1350</v>
      </c>
      <c r="C4986" t="s">
        <v>964</v>
      </c>
      <c r="D4986">
        <v>0.23</v>
      </c>
      <c r="E4986">
        <v>21.87</v>
      </c>
      <c r="F4986">
        <v>0.7</v>
      </c>
      <c r="G4986">
        <v>0</v>
      </c>
    </row>
    <row r="4987" spans="1:7" hidden="1">
      <c r="A4987">
        <v>384</v>
      </c>
      <c r="B4987" t="s">
        <v>1350</v>
      </c>
      <c r="C4987" t="s">
        <v>965</v>
      </c>
      <c r="D4987">
        <v>2.31</v>
      </c>
      <c r="E4987">
        <v>24.75</v>
      </c>
      <c r="F4987">
        <v>8.17</v>
      </c>
      <c r="G4987">
        <v>0.02</v>
      </c>
    </row>
    <row r="4988" spans="1:7">
      <c r="A4988">
        <v>384</v>
      </c>
      <c r="B4988" t="s">
        <v>1350</v>
      </c>
      <c r="C4988" t="s">
        <v>24</v>
      </c>
      <c r="D4988">
        <v>26.16</v>
      </c>
      <c r="E4988">
        <v>19.649999999999999</v>
      </c>
      <c r="F4988">
        <v>73.44</v>
      </c>
      <c r="G4988">
        <v>0.34</v>
      </c>
    </row>
    <row r="4989" spans="1:7" hidden="1">
      <c r="A4989">
        <v>384</v>
      </c>
      <c r="B4989" t="s">
        <v>1350</v>
      </c>
      <c r="C4989" t="s">
        <v>966</v>
      </c>
      <c r="D4989">
        <v>0.33</v>
      </c>
      <c r="E4989">
        <v>18.05</v>
      </c>
      <c r="F4989">
        <v>0.85</v>
      </c>
      <c r="G4989">
        <v>0.3</v>
      </c>
    </row>
    <row r="4990" spans="1:7" hidden="1">
      <c r="A4990">
        <v>384</v>
      </c>
      <c r="B4990" t="s">
        <v>1350</v>
      </c>
      <c r="C4990" t="s">
        <v>967</v>
      </c>
      <c r="D4990">
        <v>0.51</v>
      </c>
      <c r="E4990">
        <v>17.91</v>
      </c>
      <c r="F4990">
        <v>1.31</v>
      </c>
      <c r="G4990">
        <v>0.01</v>
      </c>
    </row>
    <row r="4991" spans="1:7" hidden="1">
      <c r="A4991">
        <v>384</v>
      </c>
      <c r="B4991" t="s">
        <v>1350</v>
      </c>
      <c r="C4991" t="s">
        <v>968</v>
      </c>
      <c r="D4991">
        <v>1.85</v>
      </c>
      <c r="E4991">
        <v>18.09</v>
      </c>
      <c r="F4991">
        <v>4.7699999999999996</v>
      </c>
      <c r="G4991">
        <v>0.01</v>
      </c>
    </row>
    <row r="4992" spans="1:7" hidden="1">
      <c r="A4992">
        <v>384</v>
      </c>
      <c r="B4992" t="s">
        <v>1350</v>
      </c>
      <c r="C4992" t="s">
        <v>969</v>
      </c>
      <c r="D4992">
        <v>0.16</v>
      </c>
      <c r="E4992">
        <v>24.75</v>
      </c>
      <c r="F4992">
        <v>0.57999999999999996</v>
      </c>
      <c r="G4992">
        <v>0</v>
      </c>
    </row>
    <row r="4993" spans="1:7" hidden="1">
      <c r="A4993">
        <v>384</v>
      </c>
      <c r="B4993" t="s">
        <v>1350</v>
      </c>
      <c r="C4993" t="s">
        <v>970</v>
      </c>
      <c r="D4993">
        <v>0.56000000000000005</v>
      </c>
      <c r="E4993">
        <v>24.75</v>
      </c>
      <c r="F4993">
        <v>1.97</v>
      </c>
      <c r="G4993">
        <v>0</v>
      </c>
    </row>
    <row r="4994" spans="1:7" hidden="1">
      <c r="A4994">
        <v>385</v>
      </c>
      <c r="B4994" t="s">
        <v>1351</v>
      </c>
      <c r="C4994" t="s">
        <v>959</v>
      </c>
      <c r="D4994">
        <v>7.46</v>
      </c>
      <c r="E4994">
        <v>18.309999999999999</v>
      </c>
      <c r="F4994">
        <v>19.510000000000002</v>
      </c>
      <c r="G4994">
        <v>0.03</v>
      </c>
    </row>
    <row r="4995" spans="1:7" hidden="1">
      <c r="A4995">
        <v>385</v>
      </c>
      <c r="B4995" t="s">
        <v>1351</v>
      </c>
      <c r="C4995" t="s">
        <v>960</v>
      </c>
      <c r="D4995">
        <v>6.73</v>
      </c>
      <c r="E4995">
        <v>18.399999999999999</v>
      </c>
      <c r="F4995">
        <v>17.68</v>
      </c>
      <c r="G4995">
        <v>0.05</v>
      </c>
    </row>
    <row r="4996" spans="1:7" hidden="1">
      <c r="A4996">
        <v>385</v>
      </c>
      <c r="B4996" t="s">
        <v>1351</v>
      </c>
      <c r="C4996" t="s">
        <v>961</v>
      </c>
      <c r="D4996">
        <v>2.97</v>
      </c>
      <c r="E4996">
        <v>20.059999999999999</v>
      </c>
      <c r="F4996">
        <v>8.51</v>
      </c>
      <c r="G4996">
        <v>0</v>
      </c>
    </row>
    <row r="4997" spans="1:7" hidden="1">
      <c r="A4997">
        <v>385</v>
      </c>
      <c r="B4997" t="s">
        <v>1351</v>
      </c>
      <c r="C4997" t="s">
        <v>962</v>
      </c>
      <c r="D4997">
        <v>2.27</v>
      </c>
      <c r="E4997">
        <v>24.72</v>
      </c>
      <c r="F4997">
        <v>8.01</v>
      </c>
      <c r="G4997">
        <v>0</v>
      </c>
    </row>
    <row r="4998" spans="1:7" hidden="1">
      <c r="A4998">
        <v>385</v>
      </c>
      <c r="B4998" t="s">
        <v>1351</v>
      </c>
      <c r="C4998" t="s">
        <v>963</v>
      </c>
      <c r="D4998">
        <v>2.48</v>
      </c>
      <c r="E4998">
        <v>18.13</v>
      </c>
      <c r="F4998">
        <v>6.43</v>
      </c>
      <c r="G4998">
        <v>0.01</v>
      </c>
    </row>
    <row r="4999" spans="1:7" hidden="1">
      <c r="A4999">
        <v>385</v>
      </c>
      <c r="B4999" t="s">
        <v>1351</v>
      </c>
      <c r="C4999" t="s">
        <v>964</v>
      </c>
      <c r="D4999">
        <v>0.18</v>
      </c>
      <c r="E4999">
        <v>21.87</v>
      </c>
      <c r="F4999">
        <v>0.56999999999999995</v>
      </c>
      <c r="G4999">
        <v>0</v>
      </c>
    </row>
    <row r="5000" spans="1:7" hidden="1">
      <c r="A5000">
        <v>385</v>
      </c>
      <c r="B5000" t="s">
        <v>1351</v>
      </c>
      <c r="C5000" t="s">
        <v>965</v>
      </c>
      <c r="D5000">
        <v>1.64</v>
      </c>
      <c r="E5000">
        <v>24.75</v>
      </c>
      <c r="F5000">
        <v>5.79</v>
      </c>
      <c r="G5000">
        <v>0</v>
      </c>
    </row>
    <row r="5001" spans="1:7">
      <c r="A5001">
        <v>385</v>
      </c>
      <c r="B5001" t="s">
        <v>1351</v>
      </c>
      <c r="C5001" t="s">
        <v>24</v>
      </c>
      <c r="D5001">
        <v>23.73</v>
      </c>
      <c r="E5001">
        <v>19.62</v>
      </c>
      <c r="F5001">
        <v>66.510000000000005</v>
      </c>
      <c r="G5001">
        <v>0.1</v>
      </c>
    </row>
    <row r="5002" spans="1:7" hidden="1">
      <c r="A5002">
        <v>385</v>
      </c>
      <c r="B5002" t="s">
        <v>1351</v>
      </c>
      <c r="C5002" t="s">
        <v>966</v>
      </c>
      <c r="D5002">
        <v>0.09</v>
      </c>
      <c r="E5002">
        <v>18.05</v>
      </c>
      <c r="F5002">
        <v>0.23</v>
      </c>
      <c r="G5002">
        <v>0.08</v>
      </c>
    </row>
    <row r="5003" spans="1:7" hidden="1">
      <c r="A5003">
        <v>385</v>
      </c>
      <c r="B5003" t="s">
        <v>1351</v>
      </c>
      <c r="C5003" t="s">
        <v>967</v>
      </c>
      <c r="D5003">
        <v>0.47</v>
      </c>
      <c r="E5003">
        <v>17.91</v>
      </c>
      <c r="F5003">
        <v>1.21</v>
      </c>
      <c r="G5003">
        <v>0</v>
      </c>
    </row>
    <row r="5004" spans="1:7" hidden="1">
      <c r="A5004">
        <v>385</v>
      </c>
      <c r="B5004" t="s">
        <v>1351</v>
      </c>
      <c r="C5004" t="s">
        <v>968</v>
      </c>
      <c r="D5004">
        <v>0.89</v>
      </c>
      <c r="E5004">
        <v>18.09</v>
      </c>
      <c r="F5004">
        <v>2.2999999999999998</v>
      </c>
      <c r="G5004">
        <v>0</v>
      </c>
    </row>
    <row r="5005" spans="1:7" hidden="1">
      <c r="A5005">
        <v>385</v>
      </c>
      <c r="B5005" t="s">
        <v>1351</v>
      </c>
      <c r="C5005" t="s">
        <v>969</v>
      </c>
      <c r="D5005">
        <v>0.1</v>
      </c>
      <c r="E5005">
        <v>24.75</v>
      </c>
      <c r="F5005">
        <v>0.35</v>
      </c>
      <c r="G5005">
        <v>0</v>
      </c>
    </row>
    <row r="5006" spans="1:7" hidden="1">
      <c r="A5006">
        <v>385</v>
      </c>
      <c r="B5006" t="s">
        <v>1351</v>
      </c>
      <c r="C5006" t="s">
        <v>970</v>
      </c>
      <c r="D5006">
        <v>0.28999999999999998</v>
      </c>
      <c r="E5006">
        <v>24.75</v>
      </c>
      <c r="F5006">
        <v>1.02</v>
      </c>
      <c r="G5006">
        <v>0</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86"/>
  <sheetViews>
    <sheetView topLeftCell="A224" workbookViewId="0">
      <selection activeCell="B253" sqref="B253"/>
    </sheetView>
  </sheetViews>
  <sheetFormatPr defaultColWidth="8.7109375" defaultRowHeight="15"/>
  <cols>
    <col min="1" max="6" width="25" customWidth="1"/>
    <col min="7" max="7" width="80" customWidth="1"/>
  </cols>
  <sheetData>
    <row r="1" spans="1:7">
      <c r="A1" s="2" t="s">
        <v>8</v>
      </c>
      <c r="B1" s="2" t="s">
        <v>1352</v>
      </c>
      <c r="C1" s="2" t="s">
        <v>4</v>
      </c>
      <c r="D1" s="2" t="s">
        <v>1353</v>
      </c>
      <c r="E1" s="2" t="s">
        <v>1354</v>
      </c>
      <c r="F1" s="2" t="s">
        <v>1355</v>
      </c>
      <c r="G1" s="2" t="s">
        <v>9</v>
      </c>
    </row>
    <row r="2" spans="1:7">
      <c r="A2">
        <v>1</v>
      </c>
      <c r="B2" t="s">
        <v>767</v>
      </c>
      <c r="C2" t="s">
        <v>19</v>
      </c>
      <c r="D2" t="s">
        <v>1356</v>
      </c>
      <c r="E2" t="s">
        <v>1357</v>
      </c>
      <c r="F2" t="s">
        <v>1358</v>
      </c>
      <c r="G2" t="s">
        <v>958</v>
      </c>
    </row>
    <row r="3" spans="1:7">
      <c r="A3">
        <v>2</v>
      </c>
      <c r="B3" t="s">
        <v>767</v>
      </c>
      <c r="C3" t="s">
        <v>19</v>
      </c>
      <c r="D3" t="s">
        <v>1356</v>
      </c>
      <c r="E3" t="s">
        <v>1357</v>
      </c>
      <c r="F3" t="s">
        <v>1359</v>
      </c>
      <c r="G3" t="s">
        <v>971</v>
      </c>
    </row>
    <row r="4" spans="1:7">
      <c r="A4">
        <v>3</v>
      </c>
      <c r="B4" t="s">
        <v>767</v>
      </c>
      <c r="C4" t="s">
        <v>19</v>
      </c>
      <c r="D4" t="s">
        <v>1356</v>
      </c>
      <c r="E4" t="s">
        <v>1357</v>
      </c>
      <c r="F4" t="s">
        <v>1360</v>
      </c>
      <c r="G4" t="s">
        <v>972</v>
      </c>
    </row>
    <row r="5" spans="1:7">
      <c r="A5">
        <v>4</v>
      </c>
      <c r="B5" t="s">
        <v>767</v>
      </c>
      <c r="C5" t="s">
        <v>19</v>
      </c>
      <c r="D5" t="s">
        <v>1356</v>
      </c>
      <c r="E5" t="s">
        <v>1357</v>
      </c>
      <c r="F5" t="s">
        <v>1361</v>
      </c>
      <c r="G5" t="s">
        <v>973</v>
      </c>
    </row>
    <row r="6" spans="1:7">
      <c r="A6">
        <v>5</v>
      </c>
      <c r="B6" t="s">
        <v>767</v>
      </c>
      <c r="C6" t="s">
        <v>19</v>
      </c>
      <c r="D6" t="s">
        <v>1356</v>
      </c>
      <c r="E6" t="s">
        <v>1357</v>
      </c>
      <c r="F6" t="s">
        <v>21</v>
      </c>
      <c r="G6" t="s">
        <v>974</v>
      </c>
    </row>
    <row r="7" spans="1:7">
      <c r="A7">
        <v>6</v>
      </c>
      <c r="B7" t="s">
        <v>767</v>
      </c>
      <c r="C7" t="s">
        <v>19</v>
      </c>
      <c r="D7" t="s">
        <v>1356</v>
      </c>
      <c r="E7" t="s">
        <v>1362</v>
      </c>
      <c r="F7" t="s">
        <v>21</v>
      </c>
      <c r="G7" t="s">
        <v>975</v>
      </c>
    </row>
    <row r="8" spans="1:7">
      <c r="A8">
        <v>7</v>
      </c>
      <c r="B8" t="s">
        <v>767</v>
      </c>
      <c r="C8" t="s">
        <v>19</v>
      </c>
      <c r="D8" t="s">
        <v>1356</v>
      </c>
      <c r="E8" t="s">
        <v>1363</v>
      </c>
      <c r="F8" t="s">
        <v>21</v>
      </c>
      <c r="G8" t="s">
        <v>976</v>
      </c>
    </row>
    <row r="9" spans="1:7">
      <c r="A9">
        <v>8</v>
      </c>
      <c r="B9" t="s">
        <v>767</v>
      </c>
      <c r="C9" t="s">
        <v>19</v>
      </c>
      <c r="D9" t="s">
        <v>1356</v>
      </c>
      <c r="E9" t="s">
        <v>20</v>
      </c>
      <c r="F9" t="s">
        <v>21</v>
      </c>
      <c r="G9" t="s">
        <v>977</v>
      </c>
    </row>
    <row r="10" spans="1:7">
      <c r="A10">
        <v>9</v>
      </c>
      <c r="B10" t="s">
        <v>767</v>
      </c>
      <c r="C10" t="s">
        <v>19</v>
      </c>
      <c r="D10" t="s">
        <v>1356</v>
      </c>
      <c r="E10" t="s">
        <v>1357</v>
      </c>
      <c r="F10" t="s">
        <v>1364</v>
      </c>
      <c r="G10" t="s">
        <v>978</v>
      </c>
    </row>
    <row r="11" spans="1:7">
      <c r="A11">
        <v>10</v>
      </c>
      <c r="B11" t="s">
        <v>767</v>
      </c>
      <c r="C11" t="s">
        <v>19</v>
      </c>
      <c r="D11" t="s">
        <v>1356</v>
      </c>
      <c r="E11" t="s">
        <v>1362</v>
      </c>
      <c r="F11" t="s">
        <v>1364</v>
      </c>
      <c r="G11" t="s">
        <v>979</v>
      </c>
    </row>
    <row r="12" spans="1:7">
      <c r="A12">
        <v>11</v>
      </c>
      <c r="B12" t="s">
        <v>767</v>
      </c>
      <c r="C12" t="s">
        <v>19</v>
      </c>
      <c r="D12" t="s">
        <v>1356</v>
      </c>
      <c r="E12" t="s">
        <v>1363</v>
      </c>
      <c r="F12" t="s">
        <v>1364</v>
      </c>
      <c r="G12" t="s">
        <v>980</v>
      </c>
    </row>
    <row r="13" spans="1:7">
      <c r="A13">
        <v>12</v>
      </c>
      <c r="B13" t="s">
        <v>767</v>
      </c>
      <c r="C13" t="s">
        <v>19</v>
      </c>
      <c r="D13" t="s">
        <v>1356</v>
      </c>
      <c r="E13" t="s">
        <v>20</v>
      </c>
      <c r="F13" t="s">
        <v>1364</v>
      </c>
      <c r="G13" t="s">
        <v>981</v>
      </c>
    </row>
    <row r="14" spans="1:7">
      <c r="A14">
        <v>13</v>
      </c>
      <c r="B14" t="s">
        <v>767</v>
      </c>
      <c r="C14" t="s">
        <v>19</v>
      </c>
      <c r="D14" t="s">
        <v>1365</v>
      </c>
      <c r="E14" t="s">
        <v>1357</v>
      </c>
      <c r="F14" t="s">
        <v>1358</v>
      </c>
      <c r="G14" t="s">
        <v>982</v>
      </c>
    </row>
    <row r="15" spans="1:7">
      <c r="A15">
        <v>14</v>
      </c>
      <c r="B15" t="s">
        <v>767</v>
      </c>
      <c r="C15" t="s">
        <v>19</v>
      </c>
      <c r="D15" t="s">
        <v>1365</v>
      </c>
      <c r="E15" t="s">
        <v>1357</v>
      </c>
      <c r="F15" t="s">
        <v>1359</v>
      </c>
      <c r="G15" t="s">
        <v>983</v>
      </c>
    </row>
    <row r="16" spans="1:7">
      <c r="A16">
        <v>15</v>
      </c>
      <c r="B16" t="s">
        <v>767</v>
      </c>
      <c r="C16" t="s">
        <v>19</v>
      </c>
      <c r="D16" t="s">
        <v>1365</v>
      </c>
      <c r="E16" t="s">
        <v>1357</v>
      </c>
      <c r="F16" t="s">
        <v>1360</v>
      </c>
      <c r="G16" t="s">
        <v>984</v>
      </c>
    </row>
    <row r="17" spans="1:7">
      <c r="A17">
        <v>16</v>
      </c>
      <c r="B17" t="s">
        <v>767</v>
      </c>
      <c r="C17" t="s">
        <v>19</v>
      </c>
      <c r="D17" t="s">
        <v>1365</v>
      </c>
      <c r="E17" t="s">
        <v>1357</v>
      </c>
      <c r="F17" t="s">
        <v>1361</v>
      </c>
      <c r="G17" t="s">
        <v>985</v>
      </c>
    </row>
    <row r="18" spans="1:7">
      <c r="A18">
        <v>17</v>
      </c>
      <c r="B18" t="s">
        <v>767</v>
      </c>
      <c r="C18" t="s">
        <v>19</v>
      </c>
      <c r="D18" t="s">
        <v>1365</v>
      </c>
      <c r="E18" t="s">
        <v>1357</v>
      </c>
      <c r="F18" t="s">
        <v>21</v>
      </c>
      <c r="G18" t="s">
        <v>986</v>
      </c>
    </row>
    <row r="19" spans="1:7">
      <c r="A19">
        <v>18</v>
      </c>
      <c r="B19" t="s">
        <v>767</v>
      </c>
      <c r="C19" t="s">
        <v>19</v>
      </c>
      <c r="D19" t="s">
        <v>1365</v>
      </c>
      <c r="E19" t="s">
        <v>1362</v>
      </c>
      <c r="F19" t="s">
        <v>21</v>
      </c>
      <c r="G19" t="s">
        <v>987</v>
      </c>
    </row>
    <row r="20" spans="1:7">
      <c r="A20">
        <v>19</v>
      </c>
      <c r="B20" t="s">
        <v>767</v>
      </c>
      <c r="C20" t="s">
        <v>19</v>
      </c>
      <c r="D20" t="s">
        <v>1365</v>
      </c>
      <c r="E20" t="s">
        <v>1363</v>
      </c>
      <c r="F20" t="s">
        <v>21</v>
      </c>
      <c r="G20" t="s">
        <v>988</v>
      </c>
    </row>
    <row r="21" spans="1:7">
      <c r="A21">
        <v>20</v>
      </c>
      <c r="B21" t="s">
        <v>767</v>
      </c>
      <c r="C21" t="s">
        <v>19</v>
      </c>
      <c r="D21" t="s">
        <v>1365</v>
      </c>
      <c r="E21" t="s">
        <v>20</v>
      </c>
      <c r="F21" t="s">
        <v>21</v>
      </c>
      <c r="G21" t="s">
        <v>989</v>
      </c>
    </row>
    <row r="22" spans="1:7">
      <c r="A22">
        <v>21</v>
      </c>
      <c r="B22" t="s">
        <v>767</v>
      </c>
      <c r="C22" t="s">
        <v>19</v>
      </c>
      <c r="D22" t="s">
        <v>1365</v>
      </c>
      <c r="E22" t="s">
        <v>1357</v>
      </c>
      <c r="F22" t="s">
        <v>1364</v>
      </c>
      <c r="G22" t="s">
        <v>990</v>
      </c>
    </row>
    <row r="23" spans="1:7">
      <c r="A23">
        <v>22</v>
      </c>
      <c r="B23" t="s">
        <v>767</v>
      </c>
      <c r="C23" t="s">
        <v>19</v>
      </c>
      <c r="D23" t="s">
        <v>1365</v>
      </c>
      <c r="E23" t="s">
        <v>1362</v>
      </c>
      <c r="F23" t="s">
        <v>1364</v>
      </c>
      <c r="G23" t="s">
        <v>991</v>
      </c>
    </row>
    <row r="24" spans="1:7">
      <c r="A24">
        <v>23</v>
      </c>
      <c r="B24" t="s">
        <v>767</v>
      </c>
      <c r="C24" t="s">
        <v>19</v>
      </c>
      <c r="D24" t="s">
        <v>1365</v>
      </c>
      <c r="E24" t="s">
        <v>1363</v>
      </c>
      <c r="F24" t="s">
        <v>1364</v>
      </c>
      <c r="G24" t="s">
        <v>992</v>
      </c>
    </row>
    <row r="25" spans="1:7">
      <c r="A25">
        <v>24</v>
      </c>
      <c r="B25" t="s">
        <v>767</v>
      </c>
      <c r="C25" t="s">
        <v>19</v>
      </c>
      <c r="D25" t="s">
        <v>1365</v>
      </c>
      <c r="E25" t="s">
        <v>20</v>
      </c>
      <c r="F25" t="s">
        <v>1364</v>
      </c>
      <c r="G25" t="s">
        <v>993</v>
      </c>
    </row>
    <row r="26" spans="1:7">
      <c r="A26">
        <v>25</v>
      </c>
      <c r="B26" t="s">
        <v>767</v>
      </c>
      <c r="C26" t="s">
        <v>19</v>
      </c>
      <c r="D26" t="s">
        <v>22</v>
      </c>
      <c r="E26" t="s">
        <v>1357</v>
      </c>
      <c r="F26" t="s">
        <v>1358</v>
      </c>
      <c r="G26" t="s">
        <v>994</v>
      </c>
    </row>
    <row r="27" spans="1:7">
      <c r="A27">
        <v>26</v>
      </c>
      <c r="B27" t="s">
        <v>767</v>
      </c>
      <c r="C27" t="s">
        <v>19</v>
      </c>
      <c r="D27" t="s">
        <v>22</v>
      </c>
      <c r="E27" t="s">
        <v>1357</v>
      </c>
      <c r="F27" t="s">
        <v>1359</v>
      </c>
      <c r="G27" t="s">
        <v>995</v>
      </c>
    </row>
    <row r="28" spans="1:7">
      <c r="A28">
        <v>27</v>
      </c>
      <c r="B28" t="s">
        <v>767</v>
      </c>
      <c r="C28" t="s">
        <v>19</v>
      </c>
      <c r="D28" t="s">
        <v>22</v>
      </c>
      <c r="E28" t="s">
        <v>1357</v>
      </c>
      <c r="F28" t="s">
        <v>1360</v>
      </c>
      <c r="G28" t="s">
        <v>996</v>
      </c>
    </row>
    <row r="29" spans="1:7">
      <c r="A29">
        <v>28</v>
      </c>
      <c r="B29" t="s">
        <v>767</v>
      </c>
      <c r="C29" t="s">
        <v>19</v>
      </c>
      <c r="D29" t="s">
        <v>22</v>
      </c>
      <c r="E29" t="s">
        <v>1357</v>
      </c>
      <c r="F29" t="s">
        <v>1361</v>
      </c>
      <c r="G29" t="s">
        <v>997</v>
      </c>
    </row>
    <row r="30" spans="1:7">
      <c r="A30">
        <v>29</v>
      </c>
      <c r="B30" t="s">
        <v>767</v>
      </c>
      <c r="C30" t="s">
        <v>19</v>
      </c>
      <c r="D30" t="s">
        <v>22</v>
      </c>
      <c r="E30" t="s">
        <v>1357</v>
      </c>
      <c r="F30" t="s">
        <v>21</v>
      </c>
      <c r="G30" t="s">
        <v>998</v>
      </c>
    </row>
    <row r="31" spans="1:7">
      <c r="A31">
        <v>30</v>
      </c>
      <c r="B31" t="s">
        <v>767</v>
      </c>
      <c r="C31" t="s">
        <v>19</v>
      </c>
      <c r="D31" t="s">
        <v>22</v>
      </c>
      <c r="E31" t="s">
        <v>1362</v>
      </c>
      <c r="F31" t="s">
        <v>21</v>
      </c>
      <c r="G31" t="s">
        <v>999</v>
      </c>
    </row>
    <row r="32" spans="1:7">
      <c r="A32">
        <v>31</v>
      </c>
      <c r="B32" t="s">
        <v>767</v>
      </c>
      <c r="C32" t="s">
        <v>19</v>
      </c>
      <c r="D32" t="s">
        <v>22</v>
      </c>
      <c r="E32" t="s">
        <v>1363</v>
      </c>
      <c r="F32" t="s">
        <v>21</v>
      </c>
      <c r="G32" t="s">
        <v>1000</v>
      </c>
    </row>
    <row r="33" spans="1:7">
      <c r="A33">
        <v>32</v>
      </c>
      <c r="B33" t="s">
        <v>767</v>
      </c>
      <c r="C33" t="s">
        <v>19</v>
      </c>
      <c r="D33" t="s">
        <v>22</v>
      </c>
      <c r="E33" t="s">
        <v>20</v>
      </c>
      <c r="F33" t="s">
        <v>21</v>
      </c>
      <c r="G33" t="s">
        <v>1001</v>
      </c>
    </row>
    <row r="34" spans="1:7">
      <c r="A34">
        <v>33</v>
      </c>
      <c r="B34" t="s">
        <v>767</v>
      </c>
      <c r="C34" t="s">
        <v>19</v>
      </c>
      <c r="D34" t="s">
        <v>22</v>
      </c>
      <c r="E34" t="s">
        <v>1357</v>
      </c>
      <c r="F34" t="s">
        <v>1364</v>
      </c>
      <c r="G34" t="s">
        <v>1002</v>
      </c>
    </row>
    <row r="35" spans="1:7">
      <c r="A35">
        <v>34</v>
      </c>
      <c r="B35" t="s">
        <v>767</v>
      </c>
      <c r="C35" t="s">
        <v>19</v>
      </c>
      <c r="D35" t="s">
        <v>22</v>
      </c>
      <c r="E35" t="s">
        <v>1362</v>
      </c>
      <c r="F35" t="s">
        <v>1364</v>
      </c>
      <c r="G35" t="s">
        <v>1003</v>
      </c>
    </row>
    <row r="36" spans="1:7">
      <c r="A36">
        <v>35</v>
      </c>
      <c r="B36" t="s">
        <v>767</v>
      </c>
      <c r="C36" t="s">
        <v>19</v>
      </c>
      <c r="D36" t="s">
        <v>22</v>
      </c>
      <c r="E36" t="s">
        <v>1363</v>
      </c>
      <c r="F36" t="s">
        <v>1364</v>
      </c>
      <c r="G36" t="s">
        <v>1004</v>
      </c>
    </row>
    <row r="37" spans="1:7">
      <c r="A37">
        <v>36</v>
      </c>
      <c r="B37" t="s">
        <v>767</v>
      </c>
      <c r="C37" t="s">
        <v>19</v>
      </c>
      <c r="D37" t="s">
        <v>22</v>
      </c>
      <c r="E37" t="s">
        <v>20</v>
      </c>
      <c r="F37" t="s">
        <v>1364</v>
      </c>
      <c r="G37" t="s">
        <v>1005</v>
      </c>
    </row>
    <row r="38" spans="1:7">
      <c r="A38">
        <v>37</v>
      </c>
      <c r="B38" t="s">
        <v>767</v>
      </c>
      <c r="C38" t="s">
        <v>1366</v>
      </c>
      <c r="D38" t="s">
        <v>1356</v>
      </c>
      <c r="E38" t="s">
        <v>1357</v>
      </c>
      <c r="F38" t="s">
        <v>1358</v>
      </c>
      <c r="G38" t="s">
        <v>1006</v>
      </c>
    </row>
    <row r="39" spans="1:7">
      <c r="A39">
        <v>38</v>
      </c>
      <c r="B39" t="s">
        <v>767</v>
      </c>
      <c r="C39" t="s">
        <v>1366</v>
      </c>
      <c r="D39" t="s">
        <v>1356</v>
      </c>
      <c r="E39" t="s">
        <v>1357</v>
      </c>
      <c r="F39" t="s">
        <v>1359</v>
      </c>
      <c r="G39" t="s">
        <v>1007</v>
      </c>
    </row>
    <row r="40" spans="1:7">
      <c r="A40">
        <v>39</v>
      </c>
      <c r="B40" t="s">
        <v>767</v>
      </c>
      <c r="C40" t="s">
        <v>1366</v>
      </c>
      <c r="D40" t="s">
        <v>1356</v>
      </c>
      <c r="E40" t="s">
        <v>1357</v>
      </c>
      <c r="F40" t="s">
        <v>1360</v>
      </c>
      <c r="G40" t="s">
        <v>1008</v>
      </c>
    </row>
    <row r="41" spans="1:7">
      <c r="A41">
        <v>40</v>
      </c>
      <c r="B41" t="s">
        <v>767</v>
      </c>
      <c r="C41" t="s">
        <v>1366</v>
      </c>
      <c r="D41" t="s">
        <v>1356</v>
      </c>
      <c r="E41" t="s">
        <v>1357</v>
      </c>
      <c r="F41" t="s">
        <v>1367</v>
      </c>
      <c r="G41" t="s">
        <v>1009</v>
      </c>
    </row>
    <row r="42" spans="1:7">
      <c r="A42">
        <v>41</v>
      </c>
      <c r="B42" t="s">
        <v>767</v>
      </c>
      <c r="C42" t="s">
        <v>1366</v>
      </c>
      <c r="D42" t="s">
        <v>1356</v>
      </c>
      <c r="E42" t="s">
        <v>1357</v>
      </c>
      <c r="F42" t="s">
        <v>21</v>
      </c>
      <c r="G42" t="s">
        <v>1010</v>
      </c>
    </row>
    <row r="43" spans="1:7">
      <c r="A43">
        <v>42</v>
      </c>
      <c r="B43" t="s">
        <v>767</v>
      </c>
      <c r="C43" t="s">
        <v>1366</v>
      </c>
      <c r="D43" t="s">
        <v>1356</v>
      </c>
      <c r="E43" t="s">
        <v>1362</v>
      </c>
      <c r="F43" t="s">
        <v>21</v>
      </c>
      <c r="G43" t="s">
        <v>1011</v>
      </c>
    </row>
    <row r="44" spans="1:7">
      <c r="A44">
        <v>43</v>
      </c>
      <c r="B44" t="s">
        <v>767</v>
      </c>
      <c r="C44" t="s">
        <v>1366</v>
      </c>
      <c r="D44" t="s">
        <v>1356</v>
      </c>
      <c r="E44" t="s">
        <v>20</v>
      </c>
      <c r="F44" t="s">
        <v>21</v>
      </c>
      <c r="G44" t="s">
        <v>1012</v>
      </c>
    </row>
    <row r="45" spans="1:7">
      <c r="A45">
        <v>44</v>
      </c>
      <c r="B45" t="s">
        <v>767</v>
      </c>
      <c r="C45" t="s">
        <v>1366</v>
      </c>
      <c r="D45" t="s">
        <v>1356</v>
      </c>
      <c r="E45" t="s">
        <v>1357</v>
      </c>
      <c r="F45" t="s">
        <v>1364</v>
      </c>
      <c r="G45" t="s">
        <v>1013</v>
      </c>
    </row>
    <row r="46" spans="1:7">
      <c r="A46">
        <v>45</v>
      </c>
      <c r="B46" t="s">
        <v>767</v>
      </c>
      <c r="C46" t="s">
        <v>1366</v>
      </c>
      <c r="D46" t="s">
        <v>1356</v>
      </c>
      <c r="E46" t="s">
        <v>1362</v>
      </c>
      <c r="F46" t="s">
        <v>1364</v>
      </c>
      <c r="G46" t="s">
        <v>1014</v>
      </c>
    </row>
    <row r="47" spans="1:7">
      <c r="A47">
        <v>46</v>
      </c>
      <c r="B47" t="s">
        <v>767</v>
      </c>
      <c r="C47" t="s">
        <v>1366</v>
      </c>
      <c r="D47" t="s">
        <v>1356</v>
      </c>
      <c r="E47" t="s">
        <v>20</v>
      </c>
      <c r="F47" t="s">
        <v>1364</v>
      </c>
      <c r="G47" t="s">
        <v>1015</v>
      </c>
    </row>
    <row r="48" spans="1:7">
      <c r="A48">
        <v>47</v>
      </c>
      <c r="B48" t="s">
        <v>767</v>
      </c>
      <c r="C48" t="s">
        <v>1366</v>
      </c>
      <c r="D48" t="s">
        <v>1365</v>
      </c>
      <c r="E48" t="s">
        <v>1357</v>
      </c>
      <c r="F48" t="s">
        <v>1367</v>
      </c>
      <c r="G48" t="s">
        <v>1016</v>
      </c>
    </row>
    <row r="49" spans="1:7">
      <c r="A49">
        <v>48</v>
      </c>
      <c r="B49" t="s">
        <v>767</v>
      </c>
      <c r="C49" t="s">
        <v>1366</v>
      </c>
      <c r="D49" t="s">
        <v>1365</v>
      </c>
      <c r="E49" t="s">
        <v>1357</v>
      </c>
      <c r="F49" t="s">
        <v>21</v>
      </c>
      <c r="G49" t="s">
        <v>1017</v>
      </c>
    </row>
    <row r="50" spans="1:7">
      <c r="A50">
        <v>49</v>
      </c>
      <c r="B50" t="s">
        <v>767</v>
      </c>
      <c r="C50" t="s">
        <v>1366</v>
      </c>
      <c r="D50" t="s">
        <v>1365</v>
      </c>
      <c r="E50" t="s">
        <v>1362</v>
      </c>
      <c r="F50" t="s">
        <v>21</v>
      </c>
      <c r="G50" t="s">
        <v>1018</v>
      </c>
    </row>
    <row r="51" spans="1:7">
      <c r="A51">
        <v>50</v>
      </c>
      <c r="B51" t="s">
        <v>767</v>
      </c>
      <c r="C51" t="s">
        <v>1366</v>
      </c>
      <c r="D51" t="s">
        <v>1365</v>
      </c>
      <c r="E51" t="s">
        <v>20</v>
      </c>
      <c r="F51" t="s">
        <v>21</v>
      </c>
      <c r="G51" t="s">
        <v>1019</v>
      </c>
    </row>
    <row r="52" spans="1:7">
      <c r="A52">
        <v>51</v>
      </c>
      <c r="B52" t="s">
        <v>767</v>
      </c>
      <c r="C52" t="s">
        <v>1366</v>
      </c>
      <c r="D52" t="s">
        <v>1365</v>
      </c>
      <c r="E52" t="s">
        <v>1357</v>
      </c>
      <c r="F52" t="s">
        <v>1364</v>
      </c>
      <c r="G52" t="s">
        <v>1020</v>
      </c>
    </row>
    <row r="53" spans="1:7">
      <c r="A53">
        <v>52</v>
      </c>
      <c r="B53" t="s">
        <v>767</v>
      </c>
      <c r="C53" t="s">
        <v>1366</v>
      </c>
      <c r="D53" t="s">
        <v>1365</v>
      </c>
      <c r="E53" t="s">
        <v>1362</v>
      </c>
      <c r="F53" t="s">
        <v>1364</v>
      </c>
      <c r="G53" t="s">
        <v>1021</v>
      </c>
    </row>
    <row r="54" spans="1:7">
      <c r="A54">
        <v>53</v>
      </c>
      <c r="B54" t="s">
        <v>767</v>
      </c>
      <c r="C54" t="s">
        <v>1366</v>
      </c>
      <c r="D54" t="s">
        <v>1365</v>
      </c>
      <c r="E54" t="s">
        <v>20</v>
      </c>
      <c r="F54" t="s">
        <v>1364</v>
      </c>
      <c r="G54" t="s">
        <v>1022</v>
      </c>
    </row>
    <row r="55" spans="1:7">
      <c r="A55">
        <v>54</v>
      </c>
      <c r="B55" t="s">
        <v>767</v>
      </c>
      <c r="C55" t="s">
        <v>1366</v>
      </c>
      <c r="D55" t="s">
        <v>22</v>
      </c>
      <c r="E55" t="s">
        <v>1357</v>
      </c>
      <c r="F55" t="s">
        <v>1367</v>
      </c>
      <c r="G55" t="s">
        <v>1023</v>
      </c>
    </row>
    <row r="56" spans="1:7">
      <c r="A56">
        <v>55</v>
      </c>
      <c r="B56" t="s">
        <v>767</v>
      </c>
      <c r="C56" t="s">
        <v>1366</v>
      </c>
      <c r="D56" t="s">
        <v>22</v>
      </c>
      <c r="E56" t="s">
        <v>1357</v>
      </c>
      <c r="F56" t="s">
        <v>21</v>
      </c>
      <c r="G56" t="s">
        <v>1024</v>
      </c>
    </row>
    <row r="57" spans="1:7">
      <c r="A57">
        <v>56</v>
      </c>
      <c r="B57" t="s">
        <v>767</v>
      </c>
      <c r="C57" t="s">
        <v>1366</v>
      </c>
      <c r="D57" t="s">
        <v>22</v>
      </c>
      <c r="E57" t="s">
        <v>20</v>
      </c>
      <c r="F57" t="s">
        <v>21</v>
      </c>
      <c r="G57" t="s">
        <v>1025</v>
      </c>
    </row>
    <row r="58" spans="1:7">
      <c r="A58">
        <v>57</v>
      </c>
      <c r="B58" t="s">
        <v>767</v>
      </c>
      <c r="C58" t="s">
        <v>1366</v>
      </c>
      <c r="D58" t="s">
        <v>22</v>
      </c>
      <c r="E58" t="s">
        <v>1357</v>
      </c>
      <c r="F58" t="s">
        <v>1364</v>
      </c>
      <c r="G58" t="s">
        <v>1026</v>
      </c>
    </row>
    <row r="59" spans="1:7">
      <c r="A59">
        <v>58</v>
      </c>
      <c r="B59" t="s">
        <v>767</v>
      </c>
      <c r="C59" t="s">
        <v>1366</v>
      </c>
      <c r="D59" t="s">
        <v>22</v>
      </c>
      <c r="E59" t="s">
        <v>20</v>
      </c>
      <c r="F59" t="s">
        <v>1364</v>
      </c>
      <c r="G59" t="s">
        <v>1027</v>
      </c>
    </row>
    <row r="60" spans="1:7">
      <c r="A60">
        <v>59</v>
      </c>
      <c r="B60" t="s">
        <v>767</v>
      </c>
      <c r="C60" t="s">
        <v>1368</v>
      </c>
      <c r="D60" t="s">
        <v>1356</v>
      </c>
      <c r="E60" t="s">
        <v>1357</v>
      </c>
      <c r="F60" t="s">
        <v>1359</v>
      </c>
      <c r="G60" t="s">
        <v>1028</v>
      </c>
    </row>
    <row r="61" spans="1:7">
      <c r="A61">
        <v>60</v>
      </c>
      <c r="B61" t="s">
        <v>767</v>
      </c>
      <c r="C61" t="s">
        <v>1368</v>
      </c>
      <c r="D61" t="s">
        <v>1356</v>
      </c>
      <c r="E61" t="s">
        <v>1357</v>
      </c>
      <c r="F61" t="s">
        <v>1360</v>
      </c>
      <c r="G61" t="s">
        <v>1029</v>
      </c>
    </row>
    <row r="62" spans="1:7">
      <c r="A62">
        <v>61</v>
      </c>
      <c r="B62" t="s">
        <v>767</v>
      </c>
      <c r="C62" t="s">
        <v>1368</v>
      </c>
      <c r="D62" t="s">
        <v>1356</v>
      </c>
      <c r="E62" t="s">
        <v>1357</v>
      </c>
      <c r="F62" t="s">
        <v>1367</v>
      </c>
      <c r="G62" t="s">
        <v>1030</v>
      </c>
    </row>
    <row r="63" spans="1:7">
      <c r="A63">
        <v>62</v>
      </c>
      <c r="B63" t="s">
        <v>767</v>
      </c>
      <c r="C63" t="s">
        <v>1368</v>
      </c>
      <c r="D63" t="s">
        <v>1356</v>
      </c>
      <c r="E63" t="s">
        <v>1357</v>
      </c>
      <c r="F63" t="s">
        <v>21</v>
      </c>
      <c r="G63" t="s">
        <v>1031</v>
      </c>
    </row>
    <row r="64" spans="1:7">
      <c r="A64">
        <v>63</v>
      </c>
      <c r="B64" t="s">
        <v>767</v>
      </c>
      <c r="C64" t="s">
        <v>1368</v>
      </c>
      <c r="D64" t="s">
        <v>1356</v>
      </c>
      <c r="E64" t="s">
        <v>20</v>
      </c>
      <c r="F64" t="s">
        <v>21</v>
      </c>
      <c r="G64" t="s">
        <v>1032</v>
      </c>
    </row>
    <row r="65" spans="1:7">
      <c r="A65">
        <v>64</v>
      </c>
      <c r="B65" t="s">
        <v>767</v>
      </c>
      <c r="C65" t="s">
        <v>1368</v>
      </c>
      <c r="D65" t="s">
        <v>1356</v>
      </c>
      <c r="E65" t="s">
        <v>1357</v>
      </c>
      <c r="F65" t="s">
        <v>1364</v>
      </c>
      <c r="G65" t="s">
        <v>1033</v>
      </c>
    </row>
    <row r="66" spans="1:7">
      <c r="A66">
        <v>65</v>
      </c>
      <c r="B66" t="s">
        <v>767</v>
      </c>
      <c r="C66" t="s">
        <v>1368</v>
      </c>
      <c r="D66" t="s">
        <v>1356</v>
      </c>
      <c r="E66" t="s">
        <v>20</v>
      </c>
      <c r="F66" t="s">
        <v>1364</v>
      </c>
      <c r="G66" t="s">
        <v>1034</v>
      </c>
    </row>
    <row r="67" spans="1:7">
      <c r="A67">
        <v>66</v>
      </c>
      <c r="B67" t="s">
        <v>767</v>
      </c>
      <c r="C67" t="s">
        <v>1368</v>
      </c>
      <c r="D67" t="s">
        <v>1365</v>
      </c>
      <c r="E67" t="s">
        <v>1357</v>
      </c>
      <c r="F67" t="s">
        <v>1367</v>
      </c>
      <c r="G67" t="s">
        <v>1035</v>
      </c>
    </row>
    <row r="68" spans="1:7">
      <c r="A68">
        <v>67</v>
      </c>
      <c r="B68" t="s">
        <v>767</v>
      </c>
      <c r="C68" t="s">
        <v>1368</v>
      </c>
      <c r="D68" t="s">
        <v>1365</v>
      </c>
      <c r="E68" t="s">
        <v>1357</v>
      </c>
      <c r="F68" t="s">
        <v>21</v>
      </c>
      <c r="G68" t="s">
        <v>1036</v>
      </c>
    </row>
    <row r="69" spans="1:7">
      <c r="A69">
        <v>68</v>
      </c>
      <c r="B69" t="s">
        <v>767</v>
      </c>
      <c r="C69" t="s">
        <v>1368</v>
      </c>
      <c r="D69" t="s">
        <v>1365</v>
      </c>
      <c r="E69" t="s">
        <v>1357</v>
      </c>
      <c r="F69" t="s">
        <v>1364</v>
      </c>
      <c r="G69" t="s">
        <v>1037</v>
      </c>
    </row>
    <row r="70" spans="1:7">
      <c r="A70">
        <v>69</v>
      </c>
      <c r="B70" t="s">
        <v>767</v>
      </c>
      <c r="C70" t="s">
        <v>1368</v>
      </c>
      <c r="D70" t="s">
        <v>22</v>
      </c>
      <c r="E70" t="s">
        <v>1357</v>
      </c>
      <c r="F70" t="s">
        <v>1367</v>
      </c>
      <c r="G70" t="s">
        <v>1038</v>
      </c>
    </row>
    <row r="71" spans="1:7">
      <c r="A71">
        <v>70</v>
      </c>
      <c r="B71" t="s">
        <v>767</v>
      </c>
      <c r="C71" t="s">
        <v>1368</v>
      </c>
      <c r="D71" t="s">
        <v>22</v>
      </c>
      <c r="E71" t="s">
        <v>1357</v>
      </c>
      <c r="F71" t="s">
        <v>21</v>
      </c>
      <c r="G71" t="s">
        <v>1039</v>
      </c>
    </row>
    <row r="72" spans="1:7">
      <c r="A72">
        <v>71</v>
      </c>
      <c r="B72" t="s">
        <v>767</v>
      </c>
      <c r="C72" t="s">
        <v>1369</v>
      </c>
      <c r="D72" t="s">
        <v>1356</v>
      </c>
      <c r="E72" t="s">
        <v>1357</v>
      </c>
      <c r="F72" t="s">
        <v>1367</v>
      </c>
      <c r="G72" t="s">
        <v>1040</v>
      </c>
    </row>
    <row r="73" spans="1:7">
      <c r="A73">
        <v>72</v>
      </c>
      <c r="B73" t="s">
        <v>767</v>
      </c>
      <c r="C73" t="s">
        <v>1369</v>
      </c>
      <c r="D73" t="s">
        <v>1356</v>
      </c>
      <c r="E73" t="s">
        <v>1362</v>
      </c>
      <c r="F73" t="s">
        <v>1367</v>
      </c>
      <c r="G73" t="s">
        <v>1041</v>
      </c>
    </row>
    <row r="74" spans="1:7">
      <c r="A74">
        <v>73</v>
      </c>
      <c r="B74" t="s">
        <v>767</v>
      </c>
      <c r="C74" t="s">
        <v>1369</v>
      </c>
      <c r="D74" t="s">
        <v>1356</v>
      </c>
      <c r="E74" t="s">
        <v>1363</v>
      </c>
      <c r="F74" t="s">
        <v>1367</v>
      </c>
      <c r="G74" t="s">
        <v>1042</v>
      </c>
    </row>
    <row r="75" spans="1:7">
      <c r="A75">
        <v>74</v>
      </c>
      <c r="B75" t="s">
        <v>767</v>
      </c>
      <c r="C75" t="s">
        <v>1369</v>
      </c>
      <c r="D75" t="s">
        <v>1356</v>
      </c>
      <c r="E75" t="s">
        <v>1357</v>
      </c>
      <c r="F75" t="s">
        <v>21</v>
      </c>
      <c r="G75" t="s">
        <v>1043</v>
      </c>
    </row>
    <row r="76" spans="1:7">
      <c r="A76">
        <v>75</v>
      </c>
      <c r="B76" t="s">
        <v>767</v>
      </c>
      <c r="C76" t="s">
        <v>1369</v>
      </c>
      <c r="D76" t="s">
        <v>1356</v>
      </c>
      <c r="E76" t="s">
        <v>1363</v>
      </c>
      <c r="F76" t="s">
        <v>21</v>
      </c>
      <c r="G76" t="s">
        <v>1044</v>
      </c>
    </row>
    <row r="77" spans="1:7">
      <c r="A77">
        <v>76</v>
      </c>
      <c r="B77" t="s">
        <v>767</v>
      </c>
      <c r="C77" t="s">
        <v>1369</v>
      </c>
      <c r="D77" t="s">
        <v>1356</v>
      </c>
      <c r="E77" t="s">
        <v>20</v>
      </c>
      <c r="F77" t="s">
        <v>21</v>
      </c>
      <c r="G77" t="s">
        <v>1045</v>
      </c>
    </row>
    <row r="78" spans="1:7">
      <c r="A78">
        <v>77</v>
      </c>
      <c r="B78" t="s">
        <v>767</v>
      </c>
      <c r="C78" t="s">
        <v>1369</v>
      </c>
      <c r="D78" t="s">
        <v>1356</v>
      </c>
      <c r="E78" t="s">
        <v>1357</v>
      </c>
      <c r="F78" t="s">
        <v>1364</v>
      </c>
      <c r="G78" t="s">
        <v>1046</v>
      </c>
    </row>
    <row r="79" spans="1:7">
      <c r="A79">
        <v>78</v>
      </c>
      <c r="B79" t="s">
        <v>767</v>
      </c>
      <c r="C79" t="s">
        <v>1369</v>
      </c>
      <c r="D79" t="s">
        <v>1356</v>
      </c>
      <c r="E79" t="s">
        <v>20</v>
      </c>
      <c r="F79" t="s">
        <v>1364</v>
      </c>
      <c r="G79" t="s">
        <v>1047</v>
      </c>
    </row>
    <row r="80" spans="1:7">
      <c r="A80">
        <v>79</v>
      </c>
      <c r="B80" t="s">
        <v>767</v>
      </c>
      <c r="C80" t="s">
        <v>1369</v>
      </c>
      <c r="D80" t="s">
        <v>1365</v>
      </c>
      <c r="E80" t="s">
        <v>1357</v>
      </c>
      <c r="F80" t="s">
        <v>1367</v>
      </c>
      <c r="G80" t="s">
        <v>1048</v>
      </c>
    </row>
    <row r="81" spans="1:7">
      <c r="A81">
        <v>80</v>
      </c>
      <c r="B81" t="s">
        <v>767</v>
      </c>
      <c r="C81" t="s">
        <v>1369</v>
      </c>
      <c r="D81" t="s">
        <v>1365</v>
      </c>
      <c r="E81" t="s">
        <v>1357</v>
      </c>
      <c r="F81" t="s">
        <v>21</v>
      </c>
      <c r="G81" t="s">
        <v>1049</v>
      </c>
    </row>
    <row r="82" spans="1:7">
      <c r="A82">
        <v>81</v>
      </c>
      <c r="B82" t="s">
        <v>767</v>
      </c>
      <c r="C82" t="s">
        <v>1369</v>
      </c>
      <c r="D82" t="s">
        <v>1365</v>
      </c>
      <c r="E82" t="s">
        <v>20</v>
      </c>
      <c r="F82" t="s">
        <v>21</v>
      </c>
      <c r="G82" t="s">
        <v>1050</v>
      </c>
    </row>
    <row r="83" spans="1:7">
      <c r="A83">
        <v>82</v>
      </c>
      <c r="B83" t="s">
        <v>767</v>
      </c>
      <c r="C83" t="s">
        <v>1369</v>
      </c>
      <c r="D83" t="s">
        <v>1365</v>
      </c>
      <c r="E83" t="s">
        <v>1357</v>
      </c>
      <c r="F83" t="s">
        <v>1364</v>
      </c>
      <c r="G83" t="s">
        <v>1051</v>
      </c>
    </row>
    <row r="84" spans="1:7">
      <c r="A84">
        <v>83</v>
      </c>
      <c r="B84" t="s">
        <v>767</v>
      </c>
      <c r="C84" t="s">
        <v>1369</v>
      </c>
      <c r="D84" t="s">
        <v>1365</v>
      </c>
      <c r="E84" t="s">
        <v>20</v>
      </c>
      <c r="F84" t="s">
        <v>1364</v>
      </c>
      <c r="G84" t="s">
        <v>1052</v>
      </c>
    </row>
    <row r="85" spans="1:7">
      <c r="A85">
        <v>84</v>
      </c>
      <c r="B85" t="s">
        <v>767</v>
      </c>
      <c r="C85" t="s">
        <v>1369</v>
      </c>
      <c r="D85" t="s">
        <v>22</v>
      </c>
      <c r="E85" t="s">
        <v>1357</v>
      </c>
      <c r="F85" t="s">
        <v>1367</v>
      </c>
      <c r="G85" t="s">
        <v>1053</v>
      </c>
    </row>
    <row r="86" spans="1:7">
      <c r="A86">
        <v>85</v>
      </c>
      <c r="B86" t="s">
        <v>767</v>
      </c>
      <c r="C86" t="s">
        <v>1369</v>
      </c>
      <c r="D86" t="s">
        <v>22</v>
      </c>
      <c r="E86" t="s">
        <v>1357</v>
      </c>
      <c r="F86" t="s">
        <v>21</v>
      </c>
      <c r="G86" t="s">
        <v>1054</v>
      </c>
    </row>
    <row r="87" spans="1:7">
      <c r="A87">
        <v>86</v>
      </c>
      <c r="B87" t="s">
        <v>767</v>
      </c>
      <c r="C87" t="s">
        <v>1369</v>
      </c>
      <c r="D87" t="s">
        <v>22</v>
      </c>
      <c r="E87" t="s">
        <v>20</v>
      </c>
      <c r="F87" t="s">
        <v>21</v>
      </c>
      <c r="G87" t="s">
        <v>1055</v>
      </c>
    </row>
    <row r="88" spans="1:7">
      <c r="A88">
        <v>87</v>
      </c>
      <c r="B88" t="s">
        <v>767</v>
      </c>
      <c r="C88" t="s">
        <v>1369</v>
      </c>
      <c r="D88" t="s">
        <v>22</v>
      </c>
      <c r="E88" t="s">
        <v>1357</v>
      </c>
      <c r="F88" t="s">
        <v>1364</v>
      </c>
      <c r="G88" t="s">
        <v>1056</v>
      </c>
    </row>
    <row r="89" spans="1:7">
      <c r="A89">
        <v>88</v>
      </c>
      <c r="B89" t="s">
        <v>767</v>
      </c>
      <c r="C89" t="s">
        <v>1369</v>
      </c>
      <c r="D89" t="s">
        <v>22</v>
      </c>
      <c r="E89" t="s">
        <v>20</v>
      </c>
      <c r="F89" t="s">
        <v>1364</v>
      </c>
      <c r="G89" t="s">
        <v>1057</v>
      </c>
    </row>
    <row r="90" spans="1:7">
      <c r="A90">
        <v>89</v>
      </c>
      <c r="B90" t="s">
        <v>767</v>
      </c>
      <c r="C90" t="s">
        <v>1370</v>
      </c>
      <c r="D90" t="s">
        <v>1356</v>
      </c>
      <c r="E90" t="s">
        <v>1357</v>
      </c>
      <c r="F90" t="s">
        <v>1367</v>
      </c>
      <c r="G90" t="s">
        <v>1058</v>
      </c>
    </row>
    <row r="91" spans="1:7">
      <c r="A91">
        <v>90</v>
      </c>
      <c r="B91" t="s">
        <v>767</v>
      </c>
      <c r="C91" t="s">
        <v>1370</v>
      </c>
      <c r="D91" t="s">
        <v>1365</v>
      </c>
      <c r="E91" t="s">
        <v>1357</v>
      </c>
      <c r="F91" t="s">
        <v>1367</v>
      </c>
      <c r="G91" t="s">
        <v>1059</v>
      </c>
    </row>
    <row r="92" spans="1:7">
      <c r="A92">
        <v>91</v>
      </c>
      <c r="B92" t="s">
        <v>767</v>
      </c>
      <c r="C92" t="s">
        <v>25</v>
      </c>
      <c r="D92" t="s">
        <v>1356</v>
      </c>
      <c r="E92" t="s">
        <v>1357</v>
      </c>
      <c r="F92" t="s">
        <v>1367</v>
      </c>
      <c r="G92" t="s">
        <v>1060</v>
      </c>
    </row>
    <row r="93" spans="1:7">
      <c r="A93">
        <v>92</v>
      </c>
      <c r="B93" t="s">
        <v>767</v>
      </c>
      <c r="C93" t="s">
        <v>25</v>
      </c>
      <c r="D93" t="s">
        <v>1356</v>
      </c>
      <c r="E93" t="s">
        <v>1357</v>
      </c>
      <c r="F93" t="s">
        <v>21</v>
      </c>
      <c r="G93" t="s">
        <v>1061</v>
      </c>
    </row>
    <row r="94" spans="1:7">
      <c r="A94">
        <v>93</v>
      </c>
      <c r="B94" t="s">
        <v>767</v>
      </c>
      <c r="C94" t="s">
        <v>25</v>
      </c>
      <c r="D94" t="s">
        <v>1356</v>
      </c>
      <c r="E94" t="s">
        <v>1371</v>
      </c>
      <c r="F94" t="s">
        <v>21</v>
      </c>
      <c r="G94" t="s">
        <v>1062</v>
      </c>
    </row>
    <row r="95" spans="1:7">
      <c r="A95">
        <v>94</v>
      </c>
      <c r="B95" t="s">
        <v>767</v>
      </c>
      <c r="C95" t="s">
        <v>25</v>
      </c>
      <c r="D95" t="s">
        <v>1356</v>
      </c>
      <c r="E95" t="s">
        <v>26</v>
      </c>
      <c r="F95" t="s">
        <v>21</v>
      </c>
      <c r="G95" t="s">
        <v>1063</v>
      </c>
    </row>
    <row r="96" spans="1:7">
      <c r="A96">
        <v>95</v>
      </c>
      <c r="B96" t="s">
        <v>767</v>
      </c>
      <c r="C96" t="s">
        <v>25</v>
      </c>
      <c r="D96" t="s">
        <v>1356</v>
      </c>
      <c r="E96" t="s">
        <v>28</v>
      </c>
      <c r="F96" t="s">
        <v>21</v>
      </c>
      <c r="G96" t="s">
        <v>1064</v>
      </c>
    </row>
    <row r="97" spans="1:7">
      <c r="A97">
        <v>96</v>
      </c>
      <c r="B97" t="s">
        <v>767</v>
      </c>
      <c r="C97" t="s">
        <v>25</v>
      </c>
      <c r="D97" t="s">
        <v>1356</v>
      </c>
      <c r="E97" t="s">
        <v>1357</v>
      </c>
      <c r="F97" t="s">
        <v>1364</v>
      </c>
      <c r="G97" t="s">
        <v>1065</v>
      </c>
    </row>
    <row r="98" spans="1:7">
      <c r="A98">
        <v>97</v>
      </c>
      <c r="B98" t="s">
        <v>767</v>
      </c>
      <c r="C98" t="s">
        <v>25</v>
      </c>
      <c r="D98" t="s">
        <v>1356</v>
      </c>
      <c r="E98" t="s">
        <v>1371</v>
      </c>
      <c r="F98" t="s">
        <v>1364</v>
      </c>
      <c r="G98" t="s">
        <v>1066</v>
      </c>
    </row>
    <row r="99" spans="1:7">
      <c r="A99">
        <v>98</v>
      </c>
      <c r="B99" t="s">
        <v>767</v>
      </c>
      <c r="C99" t="s">
        <v>25</v>
      </c>
      <c r="D99" t="s">
        <v>1356</v>
      </c>
      <c r="E99" t="s">
        <v>26</v>
      </c>
      <c r="F99" t="s">
        <v>1364</v>
      </c>
      <c r="G99" t="s">
        <v>1067</v>
      </c>
    </row>
    <row r="100" spans="1:7">
      <c r="A100">
        <v>99</v>
      </c>
      <c r="B100" t="s">
        <v>767</v>
      </c>
      <c r="C100" t="s">
        <v>25</v>
      </c>
      <c r="D100" t="s">
        <v>1356</v>
      </c>
      <c r="E100" t="s">
        <v>28</v>
      </c>
      <c r="F100" t="s">
        <v>1364</v>
      </c>
      <c r="G100" t="s">
        <v>1068</v>
      </c>
    </row>
    <row r="101" spans="1:7">
      <c r="A101">
        <v>100</v>
      </c>
      <c r="B101" t="s">
        <v>767</v>
      </c>
      <c r="C101" t="s">
        <v>25</v>
      </c>
      <c r="D101" t="s">
        <v>1365</v>
      </c>
      <c r="E101" t="s">
        <v>1357</v>
      </c>
      <c r="F101" t="s">
        <v>21</v>
      </c>
      <c r="G101" t="s">
        <v>1069</v>
      </c>
    </row>
    <row r="102" spans="1:7">
      <c r="A102">
        <v>101</v>
      </c>
      <c r="B102" t="s">
        <v>767</v>
      </c>
      <c r="C102" t="s">
        <v>25</v>
      </c>
      <c r="D102" t="s">
        <v>1365</v>
      </c>
      <c r="E102" t="s">
        <v>1371</v>
      </c>
      <c r="F102" t="s">
        <v>21</v>
      </c>
      <c r="G102" t="s">
        <v>1070</v>
      </c>
    </row>
    <row r="103" spans="1:7">
      <c r="A103">
        <v>102</v>
      </c>
      <c r="B103" t="s">
        <v>767</v>
      </c>
      <c r="C103" t="s">
        <v>25</v>
      </c>
      <c r="D103" t="s">
        <v>1365</v>
      </c>
      <c r="E103" t="s">
        <v>26</v>
      </c>
      <c r="F103" t="s">
        <v>21</v>
      </c>
      <c r="G103" t="s">
        <v>1071</v>
      </c>
    </row>
    <row r="104" spans="1:7">
      <c r="A104">
        <v>103</v>
      </c>
      <c r="B104" t="s">
        <v>767</v>
      </c>
      <c r="C104" t="s">
        <v>25</v>
      </c>
      <c r="D104" t="s">
        <v>1365</v>
      </c>
      <c r="E104" t="s">
        <v>28</v>
      </c>
      <c r="F104" t="s">
        <v>21</v>
      </c>
      <c r="G104" t="s">
        <v>1072</v>
      </c>
    </row>
    <row r="105" spans="1:7">
      <c r="A105">
        <v>104</v>
      </c>
      <c r="B105" t="s">
        <v>767</v>
      </c>
      <c r="C105" t="s">
        <v>25</v>
      </c>
      <c r="D105" t="s">
        <v>1365</v>
      </c>
      <c r="E105" t="s">
        <v>1357</v>
      </c>
      <c r="F105" t="s">
        <v>1364</v>
      </c>
      <c r="G105" t="s">
        <v>1073</v>
      </c>
    </row>
    <row r="106" spans="1:7">
      <c r="A106">
        <v>105</v>
      </c>
      <c r="B106" t="s">
        <v>767</v>
      </c>
      <c r="C106" t="s">
        <v>25</v>
      </c>
      <c r="D106" t="s">
        <v>1365</v>
      </c>
      <c r="E106" t="s">
        <v>1371</v>
      </c>
      <c r="F106" t="s">
        <v>1364</v>
      </c>
      <c r="G106" t="s">
        <v>1074</v>
      </c>
    </row>
    <row r="107" spans="1:7">
      <c r="A107">
        <v>106</v>
      </c>
      <c r="B107" t="s">
        <v>767</v>
      </c>
      <c r="C107" t="s">
        <v>25</v>
      </c>
      <c r="D107" t="s">
        <v>1365</v>
      </c>
      <c r="E107" t="s">
        <v>26</v>
      </c>
      <c r="F107" t="s">
        <v>1364</v>
      </c>
      <c r="G107" t="s">
        <v>1075</v>
      </c>
    </row>
    <row r="108" spans="1:7">
      <c r="A108">
        <v>107</v>
      </c>
      <c r="B108" t="s">
        <v>767</v>
      </c>
      <c r="C108" t="s">
        <v>25</v>
      </c>
      <c r="D108" t="s">
        <v>22</v>
      </c>
      <c r="E108" t="s">
        <v>1357</v>
      </c>
      <c r="F108" t="s">
        <v>1367</v>
      </c>
      <c r="G108" t="s">
        <v>1076</v>
      </c>
    </row>
    <row r="109" spans="1:7">
      <c r="A109">
        <v>108</v>
      </c>
      <c r="B109" t="s">
        <v>767</v>
      </c>
      <c r="C109" t="s">
        <v>25</v>
      </c>
      <c r="D109" t="s">
        <v>22</v>
      </c>
      <c r="E109" t="s">
        <v>1357</v>
      </c>
      <c r="F109" t="s">
        <v>21</v>
      </c>
      <c r="G109" t="s">
        <v>1077</v>
      </c>
    </row>
    <row r="110" spans="1:7">
      <c r="A110">
        <v>109</v>
      </c>
      <c r="B110" t="s">
        <v>767</v>
      </c>
      <c r="C110" t="s">
        <v>25</v>
      </c>
      <c r="D110" t="s">
        <v>22</v>
      </c>
      <c r="E110" t="s">
        <v>1371</v>
      </c>
      <c r="F110" t="s">
        <v>21</v>
      </c>
      <c r="G110" t="s">
        <v>1078</v>
      </c>
    </row>
    <row r="111" spans="1:7">
      <c r="A111">
        <v>110</v>
      </c>
      <c r="B111" t="s">
        <v>767</v>
      </c>
      <c r="C111" t="s">
        <v>25</v>
      </c>
      <c r="D111" t="s">
        <v>22</v>
      </c>
      <c r="E111" t="s">
        <v>26</v>
      </c>
      <c r="F111" t="s">
        <v>21</v>
      </c>
      <c r="G111" t="s">
        <v>1079</v>
      </c>
    </row>
    <row r="112" spans="1:7">
      <c r="A112">
        <v>111</v>
      </c>
      <c r="B112" t="s">
        <v>767</v>
      </c>
      <c r="C112" t="s">
        <v>25</v>
      </c>
      <c r="D112" t="s">
        <v>22</v>
      </c>
      <c r="E112" t="s">
        <v>28</v>
      </c>
      <c r="F112" t="s">
        <v>21</v>
      </c>
      <c r="G112" t="s">
        <v>1080</v>
      </c>
    </row>
    <row r="113" spans="1:7">
      <c r="A113">
        <v>112</v>
      </c>
      <c r="B113" t="s">
        <v>767</v>
      </c>
      <c r="C113" t="s">
        <v>25</v>
      </c>
      <c r="D113" t="s">
        <v>22</v>
      </c>
      <c r="E113" t="s">
        <v>1357</v>
      </c>
      <c r="F113" t="s">
        <v>1364</v>
      </c>
      <c r="G113" t="s">
        <v>1081</v>
      </c>
    </row>
    <row r="114" spans="1:7">
      <c r="A114">
        <v>113</v>
      </c>
      <c r="B114" t="s">
        <v>767</v>
      </c>
      <c r="C114" t="s">
        <v>25</v>
      </c>
      <c r="D114" t="s">
        <v>22</v>
      </c>
      <c r="E114" t="s">
        <v>1371</v>
      </c>
      <c r="F114" t="s">
        <v>1364</v>
      </c>
      <c r="G114" t="s">
        <v>1082</v>
      </c>
    </row>
    <row r="115" spans="1:7">
      <c r="A115">
        <v>114</v>
      </c>
      <c r="B115" t="s">
        <v>767</v>
      </c>
      <c r="C115" t="s">
        <v>25</v>
      </c>
      <c r="D115" t="s">
        <v>22</v>
      </c>
      <c r="E115" t="s">
        <v>26</v>
      </c>
      <c r="F115" t="s">
        <v>1364</v>
      </c>
      <c r="G115" t="s">
        <v>1083</v>
      </c>
    </row>
    <row r="116" spans="1:7">
      <c r="A116">
        <v>115</v>
      </c>
      <c r="B116" t="s">
        <v>767</v>
      </c>
      <c r="C116" t="s">
        <v>25</v>
      </c>
      <c r="D116" t="s">
        <v>22</v>
      </c>
      <c r="E116" t="s">
        <v>28</v>
      </c>
      <c r="F116" t="s">
        <v>1364</v>
      </c>
      <c r="G116" t="s">
        <v>1084</v>
      </c>
    </row>
    <row r="117" spans="1:7">
      <c r="A117">
        <v>116</v>
      </c>
      <c r="B117" t="s">
        <v>753</v>
      </c>
      <c r="C117" t="s">
        <v>19</v>
      </c>
      <c r="D117" t="s">
        <v>1356</v>
      </c>
      <c r="E117" t="s">
        <v>1357</v>
      </c>
      <c r="F117" t="s">
        <v>1358</v>
      </c>
      <c r="G117" t="s">
        <v>1085</v>
      </c>
    </row>
    <row r="118" spans="1:7">
      <c r="A118">
        <v>117</v>
      </c>
      <c r="B118" t="s">
        <v>753</v>
      </c>
      <c r="C118" t="s">
        <v>19</v>
      </c>
      <c r="D118" t="s">
        <v>1356</v>
      </c>
      <c r="E118" t="s">
        <v>1357</v>
      </c>
      <c r="F118" t="s">
        <v>1359</v>
      </c>
      <c r="G118" t="s">
        <v>1086</v>
      </c>
    </row>
    <row r="119" spans="1:7">
      <c r="A119">
        <v>118</v>
      </c>
      <c r="B119" t="s">
        <v>753</v>
      </c>
      <c r="C119" t="s">
        <v>19</v>
      </c>
      <c r="D119" t="s">
        <v>1356</v>
      </c>
      <c r="E119" t="s">
        <v>1357</v>
      </c>
      <c r="F119" t="s">
        <v>1360</v>
      </c>
      <c r="G119" t="s">
        <v>1087</v>
      </c>
    </row>
    <row r="120" spans="1:7">
      <c r="A120">
        <v>119</v>
      </c>
      <c r="B120" t="s">
        <v>753</v>
      </c>
      <c r="C120" t="s">
        <v>19</v>
      </c>
      <c r="D120" t="s">
        <v>1356</v>
      </c>
      <c r="E120" t="s">
        <v>1357</v>
      </c>
      <c r="F120" t="s">
        <v>1361</v>
      </c>
      <c r="G120" t="s">
        <v>1088</v>
      </c>
    </row>
    <row r="121" spans="1:7">
      <c r="A121">
        <v>120</v>
      </c>
      <c r="B121" t="s">
        <v>753</v>
      </c>
      <c r="C121" t="s">
        <v>19</v>
      </c>
      <c r="D121" t="s">
        <v>1356</v>
      </c>
      <c r="E121" t="s">
        <v>1357</v>
      </c>
      <c r="F121" t="s">
        <v>21</v>
      </c>
      <c r="G121" t="s">
        <v>1089</v>
      </c>
    </row>
    <row r="122" spans="1:7">
      <c r="A122">
        <v>121</v>
      </c>
      <c r="B122" t="s">
        <v>753</v>
      </c>
      <c r="C122" t="s">
        <v>19</v>
      </c>
      <c r="D122" t="s">
        <v>1356</v>
      </c>
      <c r="E122" t="s">
        <v>1362</v>
      </c>
      <c r="F122" t="s">
        <v>21</v>
      </c>
      <c r="G122" t="s">
        <v>1090</v>
      </c>
    </row>
    <row r="123" spans="1:7">
      <c r="A123">
        <v>122</v>
      </c>
      <c r="B123" t="s">
        <v>753</v>
      </c>
      <c r="C123" t="s">
        <v>19</v>
      </c>
      <c r="D123" t="s">
        <v>1356</v>
      </c>
      <c r="E123" t="s">
        <v>1363</v>
      </c>
      <c r="F123" t="s">
        <v>21</v>
      </c>
      <c r="G123" t="s">
        <v>1091</v>
      </c>
    </row>
    <row r="124" spans="1:7">
      <c r="A124">
        <v>123</v>
      </c>
      <c r="B124" t="s">
        <v>753</v>
      </c>
      <c r="C124" t="s">
        <v>19</v>
      </c>
      <c r="D124" t="s">
        <v>1356</v>
      </c>
      <c r="E124" t="s">
        <v>20</v>
      </c>
      <c r="F124" t="s">
        <v>21</v>
      </c>
      <c r="G124" t="s">
        <v>1092</v>
      </c>
    </row>
    <row r="125" spans="1:7">
      <c r="A125">
        <v>124</v>
      </c>
      <c r="B125" t="s">
        <v>753</v>
      </c>
      <c r="C125" t="s">
        <v>19</v>
      </c>
      <c r="D125" t="s">
        <v>1356</v>
      </c>
      <c r="E125" t="s">
        <v>1357</v>
      </c>
      <c r="F125" t="s">
        <v>1364</v>
      </c>
      <c r="G125" t="s">
        <v>1093</v>
      </c>
    </row>
    <row r="126" spans="1:7">
      <c r="A126">
        <v>125</v>
      </c>
      <c r="B126" t="s">
        <v>753</v>
      </c>
      <c r="C126" t="s">
        <v>19</v>
      </c>
      <c r="D126" t="s">
        <v>1356</v>
      </c>
      <c r="E126" t="s">
        <v>1362</v>
      </c>
      <c r="F126" t="s">
        <v>1364</v>
      </c>
      <c r="G126" t="s">
        <v>1094</v>
      </c>
    </row>
    <row r="127" spans="1:7">
      <c r="A127">
        <v>126</v>
      </c>
      <c r="B127" t="s">
        <v>753</v>
      </c>
      <c r="C127" t="s">
        <v>19</v>
      </c>
      <c r="D127" t="s">
        <v>1356</v>
      </c>
      <c r="E127" t="s">
        <v>1363</v>
      </c>
      <c r="F127" t="s">
        <v>1364</v>
      </c>
      <c r="G127" t="s">
        <v>1095</v>
      </c>
    </row>
    <row r="128" spans="1:7">
      <c r="A128">
        <v>127</v>
      </c>
      <c r="B128" t="s">
        <v>753</v>
      </c>
      <c r="C128" t="s">
        <v>19</v>
      </c>
      <c r="D128" t="s">
        <v>1356</v>
      </c>
      <c r="E128" t="s">
        <v>20</v>
      </c>
      <c r="F128" t="s">
        <v>1364</v>
      </c>
      <c r="G128" t="s">
        <v>1096</v>
      </c>
    </row>
    <row r="129" spans="1:7">
      <c r="A129">
        <v>128</v>
      </c>
      <c r="B129" t="s">
        <v>753</v>
      </c>
      <c r="C129" t="s">
        <v>19</v>
      </c>
      <c r="D129" t="s">
        <v>1365</v>
      </c>
      <c r="E129" t="s">
        <v>1357</v>
      </c>
      <c r="F129" t="s">
        <v>1358</v>
      </c>
      <c r="G129" t="s">
        <v>1097</v>
      </c>
    </row>
    <row r="130" spans="1:7">
      <c r="A130">
        <v>129</v>
      </c>
      <c r="B130" t="s">
        <v>753</v>
      </c>
      <c r="C130" t="s">
        <v>19</v>
      </c>
      <c r="D130" t="s">
        <v>1365</v>
      </c>
      <c r="E130" t="s">
        <v>1357</v>
      </c>
      <c r="F130" t="s">
        <v>1359</v>
      </c>
      <c r="G130" t="s">
        <v>1098</v>
      </c>
    </row>
    <row r="131" spans="1:7">
      <c r="A131">
        <v>130</v>
      </c>
      <c r="B131" t="s">
        <v>753</v>
      </c>
      <c r="C131" t="s">
        <v>19</v>
      </c>
      <c r="D131" t="s">
        <v>1365</v>
      </c>
      <c r="E131" t="s">
        <v>1357</v>
      </c>
      <c r="F131" t="s">
        <v>1360</v>
      </c>
      <c r="G131" t="s">
        <v>1099</v>
      </c>
    </row>
    <row r="132" spans="1:7">
      <c r="A132">
        <v>131</v>
      </c>
      <c r="B132" t="s">
        <v>753</v>
      </c>
      <c r="C132" t="s">
        <v>19</v>
      </c>
      <c r="D132" t="s">
        <v>1365</v>
      </c>
      <c r="E132" t="s">
        <v>1357</v>
      </c>
      <c r="F132" t="s">
        <v>1361</v>
      </c>
      <c r="G132" t="s">
        <v>1100</v>
      </c>
    </row>
    <row r="133" spans="1:7">
      <c r="A133">
        <v>132</v>
      </c>
      <c r="B133" t="s">
        <v>753</v>
      </c>
      <c r="C133" t="s">
        <v>19</v>
      </c>
      <c r="D133" t="s">
        <v>1365</v>
      </c>
      <c r="E133" t="s">
        <v>1357</v>
      </c>
      <c r="F133" t="s">
        <v>21</v>
      </c>
      <c r="G133" t="s">
        <v>1101</v>
      </c>
    </row>
    <row r="134" spans="1:7">
      <c r="A134">
        <v>133</v>
      </c>
      <c r="B134" t="s">
        <v>753</v>
      </c>
      <c r="C134" t="s">
        <v>19</v>
      </c>
      <c r="D134" t="s">
        <v>1365</v>
      </c>
      <c r="E134" t="s">
        <v>1362</v>
      </c>
      <c r="F134" t="s">
        <v>21</v>
      </c>
      <c r="G134" t="s">
        <v>1102</v>
      </c>
    </row>
    <row r="135" spans="1:7">
      <c r="A135">
        <v>134</v>
      </c>
      <c r="B135" t="s">
        <v>753</v>
      </c>
      <c r="C135" t="s">
        <v>19</v>
      </c>
      <c r="D135" t="s">
        <v>1365</v>
      </c>
      <c r="E135" t="s">
        <v>1363</v>
      </c>
      <c r="F135" t="s">
        <v>21</v>
      </c>
      <c r="G135" t="s">
        <v>1103</v>
      </c>
    </row>
    <row r="136" spans="1:7">
      <c r="A136">
        <v>135</v>
      </c>
      <c r="B136" t="s">
        <v>753</v>
      </c>
      <c r="C136" t="s">
        <v>19</v>
      </c>
      <c r="D136" t="s">
        <v>1365</v>
      </c>
      <c r="E136" t="s">
        <v>20</v>
      </c>
      <c r="F136" t="s">
        <v>21</v>
      </c>
      <c r="G136" t="s">
        <v>1104</v>
      </c>
    </row>
    <row r="137" spans="1:7">
      <c r="A137">
        <v>136</v>
      </c>
      <c r="B137" t="s">
        <v>753</v>
      </c>
      <c r="C137" t="s">
        <v>19</v>
      </c>
      <c r="D137" t="s">
        <v>1365</v>
      </c>
      <c r="E137" t="s">
        <v>1357</v>
      </c>
      <c r="F137" t="s">
        <v>1364</v>
      </c>
      <c r="G137" t="s">
        <v>1105</v>
      </c>
    </row>
    <row r="138" spans="1:7">
      <c r="A138">
        <v>137</v>
      </c>
      <c r="B138" t="s">
        <v>753</v>
      </c>
      <c r="C138" t="s">
        <v>19</v>
      </c>
      <c r="D138" t="s">
        <v>1365</v>
      </c>
      <c r="E138" t="s">
        <v>1362</v>
      </c>
      <c r="F138" t="s">
        <v>1364</v>
      </c>
      <c r="G138" t="s">
        <v>1106</v>
      </c>
    </row>
    <row r="139" spans="1:7">
      <c r="A139">
        <v>138</v>
      </c>
      <c r="B139" t="s">
        <v>753</v>
      </c>
      <c r="C139" t="s">
        <v>19</v>
      </c>
      <c r="D139" t="s">
        <v>1365</v>
      </c>
      <c r="E139" t="s">
        <v>1363</v>
      </c>
      <c r="F139" t="s">
        <v>1364</v>
      </c>
      <c r="G139" t="s">
        <v>1107</v>
      </c>
    </row>
    <row r="140" spans="1:7">
      <c r="A140">
        <v>139</v>
      </c>
      <c r="B140" t="s">
        <v>753</v>
      </c>
      <c r="C140" t="s">
        <v>19</v>
      </c>
      <c r="D140" t="s">
        <v>1365</v>
      </c>
      <c r="E140" t="s">
        <v>20</v>
      </c>
      <c r="F140" t="s">
        <v>1364</v>
      </c>
      <c r="G140" t="s">
        <v>1108</v>
      </c>
    </row>
    <row r="141" spans="1:7">
      <c r="A141">
        <v>140</v>
      </c>
      <c r="B141" t="s">
        <v>753</v>
      </c>
      <c r="C141" t="s">
        <v>19</v>
      </c>
      <c r="D141" t="s">
        <v>22</v>
      </c>
      <c r="E141" t="s">
        <v>1357</v>
      </c>
      <c r="F141" t="s">
        <v>1359</v>
      </c>
      <c r="G141" t="s">
        <v>1109</v>
      </c>
    </row>
    <row r="142" spans="1:7">
      <c r="A142">
        <v>141</v>
      </c>
      <c r="B142" t="s">
        <v>753</v>
      </c>
      <c r="C142" t="s">
        <v>19</v>
      </c>
      <c r="D142" t="s">
        <v>22</v>
      </c>
      <c r="E142" t="s">
        <v>1357</v>
      </c>
      <c r="F142" t="s">
        <v>1360</v>
      </c>
      <c r="G142" t="s">
        <v>1110</v>
      </c>
    </row>
    <row r="143" spans="1:7">
      <c r="A143">
        <v>142</v>
      </c>
      <c r="B143" t="s">
        <v>753</v>
      </c>
      <c r="C143" t="s">
        <v>19</v>
      </c>
      <c r="D143" t="s">
        <v>22</v>
      </c>
      <c r="E143" t="s">
        <v>1357</v>
      </c>
      <c r="F143" t="s">
        <v>1361</v>
      </c>
      <c r="G143" t="s">
        <v>1111</v>
      </c>
    </row>
    <row r="144" spans="1:7">
      <c r="A144">
        <v>143</v>
      </c>
      <c r="B144" t="s">
        <v>753</v>
      </c>
      <c r="C144" t="s">
        <v>19</v>
      </c>
      <c r="D144" t="s">
        <v>22</v>
      </c>
      <c r="E144" t="s">
        <v>1357</v>
      </c>
      <c r="F144" t="s">
        <v>21</v>
      </c>
      <c r="G144" t="s">
        <v>1112</v>
      </c>
    </row>
    <row r="145" spans="1:7">
      <c r="A145">
        <v>144</v>
      </c>
      <c r="B145" t="s">
        <v>753</v>
      </c>
      <c r="C145" t="s">
        <v>19</v>
      </c>
      <c r="D145" t="s">
        <v>22</v>
      </c>
      <c r="E145" t="s">
        <v>1362</v>
      </c>
      <c r="F145" t="s">
        <v>21</v>
      </c>
      <c r="G145" t="s">
        <v>1113</v>
      </c>
    </row>
    <row r="146" spans="1:7">
      <c r="A146">
        <v>145</v>
      </c>
      <c r="B146" t="s">
        <v>753</v>
      </c>
      <c r="C146" t="s">
        <v>19</v>
      </c>
      <c r="D146" t="s">
        <v>22</v>
      </c>
      <c r="E146" t="s">
        <v>1363</v>
      </c>
      <c r="F146" t="s">
        <v>21</v>
      </c>
      <c r="G146" t="s">
        <v>1114</v>
      </c>
    </row>
    <row r="147" spans="1:7">
      <c r="A147">
        <v>146</v>
      </c>
      <c r="B147" t="s">
        <v>753</v>
      </c>
      <c r="C147" t="s">
        <v>19</v>
      </c>
      <c r="D147" t="s">
        <v>22</v>
      </c>
      <c r="E147" t="s">
        <v>20</v>
      </c>
      <c r="F147" t="s">
        <v>21</v>
      </c>
      <c r="G147" t="s">
        <v>23</v>
      </c>
    </row>
    <row r="148" spans="1:7">
      <c r="A148">
        <v>147</v>
      </c>
      <c r="B148" t="s">
        <v>753</v>
      </c>
      <c r="C148" t="s">
        <v>19</v>
      </c>
      <c r="D148" t="s">
        <v>22</v>
      </c>
      <c r="E148" t="s">
        <v>1357</v>
      </c>
      <c r="F148" t="s">
        <v>1364</v>
      </c>
      <c r="G148" t="s">
        <v>1115</v>
      </c>
    </row>
    <row r="149" spans="1:7">
      <c r="A149">
        <v>148</v>
      </c>
      <c r="B149" t="s">
        <v>753</v>
      </c>
      <c r="C149" t="s">
        <v>19</v>
      </c>
      <c r="D149" t="s">
        <v>22</v>
      </c>
      <c r="E149" t="s">
        <v>1362</v>
      </c>
      <c r="F149" t="s">
        <v>1364</v>
      </c>
      <c r="G149" t="s">
        <v>1116</v>
      </c>
    </row>
    <row r="150" spans="1:7">
      <c r="A150">
        <v>149</v>
      </c>
      <c r="B150" t="s">
        <v>753</v>
      </c>
      <c r="C150" t="s">
        <v>19</v>
      </c>
      <c r="D150" t="s">
        <v>22</v>
      </c>
      <c r="E150" t="s">
        <v>1363</v>
      </c>
      <c r="F150" t="s">
        <v>1364</v>
      </c>
      <c r="G150" t="s">
        <v>1117</v>
      </c>
    </row>
    <row r="151" spans="1:7">
      <c r="A151">
        <v>150</v>
      </c>
      <c r="B151" t="s">
        <v>753</v>
      </c>
      <c r="C151" t="s">
        <v>19</v>
      </c>
      <c r="D151" t="s">
        <v>22</v>
      </c>
      <c r="E151" t="s">
        <v>20</v>
      </c>
      <c r="F151" t="s">
        <v>1364</v>
      </c>
      <c r="G151" t="s">
        <v>1118</v>
      </c>
    </row>
    <row r="152" spans="1:7">
      <c r="A152">
        <v>151</v>
      </c>
      <c r="B152" t="s">
        <v>753</v>
      </c>
      <c r="C152" t="s">
        <v>1366</v>
      </c>
      <c r="D152" t="s">
        <v>1356</v>
      </c>
      <c r="E152" t="s">
        <v>1357</v>
      </c>
      <c r="F152" t="s">
        <v>1358</v>
      </c>
      <c r="G152" t="s">
        <v>1119</v>
      </c>
    </row>
    <row r="153" spans="1:7">
      <c r="A153">
        <v>152</v>
      </c>
      <c r="B153" t="s">
        <v>753</v>
      </c>
      <c r="C153" t="s">
        <v>1366</v>
      </c>
      <c r="D153" t="s">
        <v>1356</v>
      </c>
      <c r="E153" t="s">
        <v>1357</v>
      </c>
      <c r="F153" t="s">
        <v>1359</v>
      </c>
      <c r="G153" t="s">
        <v>1120</v>
      </c>
    </row>
    <row r="154" spans="1:7">
      <c r="A154">
        <v>153</v>
      </c>
      <c r="B154" t="s">
        <v>753</v>
      </c>
      <c r="C154" t="s">
        <v>1366</v>
      </c>
      <c r="D154" t="s">
        <v>1356</v>
      </c>
      <c r="E154" t="s">
        <v>1357</v>
      </c>
      <c r="F154" t="s">
        <v>1360</v>
      </c>
      <c r="G154" t="s">
        <v>1121</v>
      </c>
    </row>
    <row r="155" spans="1:7">
      <c r="A155">
        <v>154</v>
      </c>
      <c r="B155" t="s">
        <v>753</v>
      </c>
      <c r="C155" t="s">
        <v>1366</v>
      </c>
      <c r="D155" t="s">
        <v>1356</v>
      </c>
      <c r="E155" t="s">
        <v>1357</v>
      </c>
      <c r="F155" t="s">
        <v>1361</v>
      </c>
      <c r="G155" t="s">
        <v>1122</v>
      </c>
    </row>
    <row r="156" spans="1:7">
      <c r="A156">
        <v>155</v>
      </c>
      <c r="B156" t="s">
        <v>753</v>
      </c>
      <c r="C156" t="s">
        <v>1366</v>
      </c>
      <c r="D156" t="s">
        <v>1356</v>
      </c>
      <c r="E156" t="s">
        <v>1357</v>
      </c>
      <c r="F156" t="s">
        <v>21</v>
      </c>
      <c r="G156" t="s">
        <v>1123</v>
      </c>
    </row>
    <row r="157" spans="1:7">
      <c r="A157">
        <v>156</v>
      </c>
      <c r="B157" t="s">
        <v>753</v>
      </c>
      <c r="C157" t="s">
        <v>1366</v>
      </c>
      <c r="D157" t="s">
        <v>1356</v>
      </c>
      <c r="E157" t="s">
        <v>1362</v>
      </c>
      <c r="F157" t="s">
        <v>21</v>
      </c>
      <c r="G157" t="s">
        <v>1124</v>
      </c>
    </row>
    <row r="158" spans="1:7">
      <c r="A158">
        <v>157</v>
      </c>
      <c r="B158" t="s">
        <v>753</v>
      </c>
      <c r="C158" t="s">
        <v>1366</v>
      </c>
      <c r="D158" t="s">
        <v>1356</v>
      </c>
      <c r="E158" t="s">
        <v>1363</v>
      </c>
      <c r="F158" t="s">
        <v>21</v>
      </c>
      <c r="G158" t="s">
        <v>1125</v>
      </c>
    </row>
    <row r="159" spans="1:7">
      <c r="A159">
        <v>158</v>
      </c>
      <c r="B159" t="s">
        <v>753</v>
      </c>
      <c r="C159" t="s">
        <v>1366</v>
      </c>
      <c r="D159" t="s">
        <v>1356</v>
      </c>
      <c r="E159" t="s">
        <v>20</v>
      </c>
      <c r="F159" t="s">
        <v>21</v>
      </c>
      <c r="G159" t="s">
        <v>1126</v>
      </c>
    </row>
    <row r="160" spans="1:7">
      <c r="A160">
        <v>159</v>
      </c>
      <c r="B160" t="s">
        <v>753</v>
      </c>
      <c r="C160" t="s">
        <v>1366</v>
      </c>
      <c r="D160" t="s">
        <v>1356</v>
      </c>
      <c r="E160" t="s">
        <v>1357</v>
      </c>
      <c r="F160" t="s">
        <v>1364</v>
      </c>
      <c r="G160" t="s">
        <v>1127</v>
      </c>
    </row>
    <row r="161" spans="1:7">
      <c r="A161">
        <v>160</v>
      </c>
      <c r="B161" t="s">
        <v>753</v>
      </c>
      <c r="C161" t="s">
        <v>1366</v>
      </c>
      <c r="D161" t="s">
        <v>1356</v>
      </c>
      <c r="E161" t="s">
        <v>1362</v>
      </c>
      <c r="F161" t="s">
        <v>1364</v>
      </c>
      <c r="G161" t="s">
        <v>1128</v>
      </c>
    </row>
    <row r="162" spans="1:7">
      <c r="A162">
        <v>161</v>
      </c>
      <c r="B162" t="s">
        <v>753</v>
      </c>
      <c r="C162" t="s">
        <v>1366</v>
      </c>
      <c r="D162" t="s">
        <v>1356</v>
      </c>
      <c r="E162" t="s">
        <v>1363</v>
      </c>
      <c r="F162" t="s">
        <v>1364</v>
      </c>
      <c r="G162" t="s">
        <v>1129</v>
      </c>
    </row>
    <row r="163" spans="1:7">
      <c r="A163">
        <v>162</v>
      </c>
      <c r="B163" t="s">
        <v>753</v>
      </c>
      <c r="C163" t="s">
        <v>1366</v>
      </c>
      <c r="D163" t="s">
        <v>1356</v>
      </c>
      <c r="E163" t="s">
        <v>20</v>
      </c>
      <c r="F163" t="s">
        <v>1364</v>
      </c>
      <c r="G163" t="s">
        <v>1130</v>
      </c>
    </row>
    <row r="164" spans="1:7">
      <c r="A164">
        <v>163</v>
      </c>
      <c r="B164" t="s">
        <v>753</v>
      </c>
      <c r="C164" t="s">
        <v>1366</v>
      </c>
      <c r="D164" t="s">
        <v>1365</v>
      </c>
      <c r="E164" t="s">
        <v>1357</v>
      </c>
      <c r="F164" t="s">
        <v>1358</v>
      </c>
      <c r="G164" t="s">
        <v>1131</v>
      </c>
    </row>
    <row r="165" spans="1:7">
      <c r="A165">
        <v>164</v>
      </c>
      <c r="B165" t="s">
        <v>753</v>
      </c>
      <c r="C165" t="s">
        <v>1366</v>
      </c>
      <c r="D165" t="s">
        <v>1365</v>
      </c>
      <c r="E165" t="s">
        <v>1357</v>
      </c>
      <c r="F165" t="s">
        <v>1359</v>
      </c>
      <c r="G165" t="s">
        <v>1132</v>
      </c>
    </row>
    <row r="166" spans="1:7">
      <c r="A166">
        <v>165</v>
      </c>
      <c r="B166" t="s">
        <v>753</v>
      </c>
      <c r="C166" t="s">
        <v>1366</v>
      </c>
      <c r="D166" t="s">
        <v>1365</v>
      </c>
      <c r="E166" t="s">
        <v>1357</v>
      </c>
      <c r="F166" t="s">
        <v>1360</v>
      </c>
      <c r="G166" t="s">
        <v>1133</v>
      </c>
    </row>
    <row r="167" spans="1:7">
      <c r="A167">
        <v>166</v>
      </c>
      <c r="B167" t="s">
        <v>753</v>
      </c>
      <c r="C167" t="s">
        <v>1366</v>
      </c>
      <c r="D167" t="s">
        <v>1365</v>
      </c>
      <c r="E167" t="s">
        <v>1357</v>
      </c>
      <c r="F167" t="s">
        <v>1361</v>
      </c>
      <c r="G167" t="s">
        <v>1134</v>
      </c>
    </row>
    <row r="168" spans="1:7">
      <c r="A168">
        <v>167</v>
      </c>
      <c r="B168" t="s">
        <v>753</v>
      </c>
      <c r="C168" t="s">
        <v>1366</v>
      </c>
      <c r="D168" t="s">
        <v>1365</v>
      </c>
      <c r="E168" t="s">
        <v>1357</v>
      </c>
      <c r="F168" t="s">
        <v>21</v>
      </c>
      <c r="G168" t="s">
        <v>1135</v>
      </c>
    </row>
    <row r="169" spans="1:7">
      <c r="A169">
        <v>168</v>
      </c>
      <c r="B169" t="s">
        <v>753</v>
      </c>
      <c r="C169" t="s">
        <v>1366</v>
      </c>
      <c r="D169" t="s">
        <v>1365</v>
      </c>
      <c r="E169" t="s">
        <v>1362</v>
      </c>
      <c r="F169" t="s">
        <v>21</v>
      </c>
      <c r="G169" t="s">
        <v>1136</v>
      </c>
    </row>
    <row r="170" spans="1:7">
      <c r="A170">
        <v>169</v>
      </c>
      <c r="B170" t="s">
        <v>753</v>
      </c>
      <c r="C170" t="s">
        <v>1366</v>
      </c>
      <c r="D170" t="s">
        <v>1365</v>
      </c>
      <c r="E170" t="s">
        <v>1363</v>
      </c>
      <c r="F170" t="s">
        <v>21</v>
      </c>
      <c r="G170" t="s">
        <v>1137</v>
      </c>
    </row>
    <row r="171" spans="1:7">
      <c r="A171">
        <v>170</v>
      </c>
      <c r="B171" t="s">
        <v>753</v>
      </c>
      <c r="C171" t="s">
        <v>1366</v>
      </c>
      <c r="D171" t="s">
        <v>1365</v>
      </c>
      <c r="E171" t="s">
        <v>20</v>
      </c>
      <c r="F171" t="s">
        <v>21</v>
      </c>
      <c r="G171" t="s">
        <v>1138</v>
      </c>
    </row>
    <row r="172" spans="1:7">
      <c r="A172">
        <v>171</v>
      </c>
      <c r="B172" t="s">
        <v>753</v>
      </c>
      <c r="C172" t="s">
        <v>1366</v>
      </c>
      <c r="D172" t="s">
        <v>1365</v>
      </c>
      <c r="E172" t="s">
        <v>1357</v>
      </c>
      <c r="F172" t="s">
        <v>1364</v>
      </c>
      <c r="G172" t="s">
        <v>1139</v>
      </c>
    </row>
    <row r="173" spans="1:7">
      <c r="A173">
        <v>172</v>
      </c>
      <c r="B173" t="s">
        <v>753</v>
      </c>
      <c r="C173" t="s">
        <v>1366</v>
      </c>
      <c r="D173" t="s">
        <v>1365</v>
      </c>
      <c r="E173" t="s">
        <v>1362</v>
      </c>
      <c r="F173" t="s">
        <v>1364</v>
      </c>
      <c r="G173" t="s">
        <v>1140</v>
      </c>
    </row>
    <row r="174" spans="1:7">
      <c r="A174">
        <v>173</v>
      </c>
      <c r="B174" t="s">
        <v>753</v>
      </c>
      <c r="C174" t="s">
        <v>1366</v>
      </c>
      <c r="D174" t="s">
        <v>1365</v>
      </c>
      <c r="E174" t="s">
        <v>1363</v>
      </c>
      <c r="F174" t="s">
        <v>1364</v>
      </c>
      <c r="G174" t="s">
        <v>1141</v>
      </c>
    </row>
    <row r="175" spans="1:7">
      <c r="A175">
        <v>174</v>
      </c>
      <c r="B175" t="s">
        <v>753</v>
      </c>
      <c r="C175" t="s">
        <v>1366</v>
      </c>
      <c r="D175" t="s">
        <v>1365</v>
      </c>
      <c r="E175" t="s">
        <v>20</v>
      </c>
      <c r="F175" t="s">
        <v>1364</v>
      </c>
      <c r="G175" t="s">
        <v>1142</v>
      </c>
    </row>
    <row r="176" spans="1:7">
      <c r="A176">
        <v>175</v>
      </c>
      <c r="B176" t="s">
        <v>753</v>
      </c>
      <c r="C176" t="s">
        <v>1366</v>
      </c>
      <c r="D176" t="s">
        <v>22</v>
      </c>
      <c r="E176" t="s">
        <v>1357</v>
      </c>
      <c r="F176" t="s">
        <v>21</v>
      </c>
      <c r="G176" t="s">
        <v>1143</v>
      </c>
    </row>
    <row r="177" spans="1:7">
      <c r="A177">
        <v>176</v>
      </c>
      <c r="B177" t="s">
        <v>753</v>
      </c>
      <c r="C177" t="s">
        <v>1366</v>
      </c>
      <c r="D177" t="s">
        <v>22</v>
      </c>
      <c r="E177" t="s">
        <v>20</v>
      </c>
      <c r="F177" t="s">
        <v>21</v>
      </c>
      <c r="G177" t="s">
        <v>1144</v>
      </c>
    </row>
    <row r="178" spans="1:7">
      <c r="A178">
        <v>177</v>
      </c>
      <c r="B178" t="s">
        <v>753</v>
      </c>
      <c r="C178" t="s">
        <v>1366</v>
      </c>
      <c r="D178" t="s">
        <v>22</v>
      </c>
      <c r="E178" t="s">
        <v>1357</v>
      </c>
      <c r="F178" t="s">
        <v>1364</v>
      </c>
      <c r="G178" t="s">
        <v>1145</v>
      </c>
    </row>
    <row r="179" spans="1:7">
      <c r="A179">
        <v>178</v>
      </c>
      <c r="B179" t="s">
        <v>753</v>
      </c>
      <c r="C179" t="s">
        <v>1366</v>
      </c>
      <c r="D179" t="s">
        <v>22</v>
      </c>
      <c r="E179" t="s">
        <v>20</v>
      </c>
      <c r="F179" t="s">
        <v>1364</v>
      </c>
      <c r="G179" t="s">
        <v>1146</v>
      </c>
    </row>
    <row r="180" spans="1:7">
      <c r="A180">
        <v>179</v>
      </c>
      <c r="B180" t="s">
        <v>753</v>
      </c>
      <c r="C180" t="s">
        <v>1368</v>
      </c>
      <c r="D180" t="s">
        <v>1356</v>
      </c>
      <c r="E180" t="s">
        <v>1357</v>
      </c>
      <c r="F180" t="s">
        <v>1367</v>
      </c>
      <c r="G180" t="s">
        <v>1147</v>
      </c>
    </row>
    <row r="181" spans="1:7">
      <c r="A181">
        <v>180</v>
      </c>
      <c r="B181" t="s">
        <v>753</v>
      </c>
      <c r="C181" t="s">
        <v>1368</v>
      </c>
      <c r="D181" t="s">
        <v>1356</v>
      </c>
      <c r="E181" t="s">
        <v>1357</v>
      </c>
      <c r="F181" t="s">
        <v>21</v>
      </c>
      <c r="G181" t="s">
        <v>1148</v>
      </c>
    </row>
    <row r="182" spans="1:7">
      <c r="A182">
        <v>181</v>
      </c>
      <c r="B182" t="s">
        <v>753</v>
      </c>
      <c r="C182" t="s">
        <v>1368</v>
      </c>
      <c r="D182" t="s">
        <v>1356</v>
      </c>
      <c r="E182" t="s">
        <v>1357</v>
      </c>
      <c r="F182" t="s">
        <v>1364</v>
      </c>
      <c r="G182" t="s">
        <v>1149</v>
      </c>
    </row>
    <row r="183" spans="1:7">
      <c r="A183">
        <v>182</v>
      </c>
      <c r="B183" t="s">
        <v>753</v>
      </c>
      <c r="C183" t="s">
        <v>1368</v>
      </c>
      <c r="D183" t="s">
        <v>1365</v>
      </c>
      <c r="E183" t="s">
        <v>1357</v>
      </c>
      <c r="F183" t="s">
        <v>1367</v>
      </c>
      <c r="G183" t="s">
        <v>1150</v>
      </c>
    </row>
    <row r="184" spans="1:7">
      <c r="A184">
        <v>183</v>
      </c>
      <c r="B184" t="s">
        <v>753</v>
      </c>
      <c r="C184" t="s">
        <v>1368</v>
      </c>
      <c r="D184" t="s">
        <v>1365</v>
      </c>
      <c r="E184" t="s">
        <v>1357</v>
      </c>
      <c r="F184" t="s">
        <v>21</v>
      </c>
      <c r="G184" t="s">
        <v>1151</v>
      </c>
    </row>
    <row r="185" spans="1:7">
      <c r="A185">
        <v>184</v>
      </c>
      <c r="B185" t="s">
        <v>753</v>
      </c>
      <c r="C185" t="s">
        <v>1368</v>
      </c>
      <c r="D185" t="s">
        <v>1365</v>
      </c>
      <c r="E185" t="s">
        <v>1357</v>
      </c>
      <c r="F185" t="s">
        <v>1364</v>
      </c>
      <c r="G185" t="s">
        <v>1152</v>
      </c>
    </row>
    <row r="186" spans="1:7">
      <c r="A186">
        <v>185</v>
      </c>
      <c r="B186" t="s">
        <v>753</v>
      </c>
      <c r="C186" t="s">
        <v>1369</v>
      </c>
      <c r="D186" t="s">
        <v>1356</v>
      </c>
      <c r="E186" t="s">
        <v>1357</v>
      </c>
      <c r="F186" t="s">
        <v>1367</v>
      </c>
      <c r="G186" t="s">
        <v>1153</v>
      </c>
    </row>
    <row r="187" spans="1:7">
      <c r="A187">
        <v>186</v>
      </c>
      <c r="B187" t="s">
        <v>753</v>
      </c>
      <c r="C187" t="s">
        <v>1369</v>
      </c>
      <c r="D187" t="s">
        <v>1356</v>
      </c>
      <c r="E187" t="s">
        <v>1362</v>
      </c>
      <c r="F187" t="s">
        <v>1367</v>
      </c>
      <c r="G187" t="s">
        <v>1154</v>
      </c>
    </row>
    <row r="188" spans="1:7">
      <c r="A188">
        <v>187</v>
      </c>
      <c r="B188" t="s">
        <v>753</v>
      </c>
      <c r="C188" t="s">
        <v>1369</v>
      </c>
      <c r="D188" t="s">
        <v>1356</v>
      </c>
      <c r="E188" t="s">
        <v>1357</v>
      </c>
      <c r="F188" t="s">
        <v>21</v>
      </c>
      <c r="G188" t="s">
        <v>1155</v>
      </c>
    </row>
    <row r="189" spans="1:7">
      <c r="A189">
        <v>188</v>
      </c>
      <c r="B189" t="s">
        <v>753</v>
      </c>
      <c r="C189" t="s">
        <v>1369</v>
      </c>
      <c r="D189" t="s">
        <v>1356</v>
      </c>
      <c r="E189" t="s">
        <v>1363</v>
      </c>
      <c r="F189" t="s">
        <v>21</v>
      </c>
      <c r="G189" t="s">
        <v>1156</v>
      </c>
    </row>
    <row r="190" spans="1:7">
      <c r="A190">
        <v>189</v>
      </c>
      <c r="B190" t="s">
        <v>753</v>
      </c>
      <c r="C190" t="s">
        <v>1369</v>
      </c>
      <c r="D190" t="s">
        <v>1356</v>
      </c>
      <c r="E190" t="s">
        <v>20</v>
      </c>
      <c r="F190" t="s">
        <v>21</v>
      </c>
      <c r="G190" t="s">
        <v>1157</v>
      </c>
    </row>
    <row r="191" spans="1:7">
      <c r="A191">
        <v>190</v>
      </c>
      <c r="B191" t="s">
        <v>753</v>
      </c>
      <c r="C191" t="s">
        <v>1369</v>
      </c>
      <c r="D191" t="s">
        <v>1356</v>
      </c>
      <c r="E191" t="s">
        <v>1357</v>
      </c>
      <c r="F191" t="s">
        <v>1364</v>
      </c>
      <c r="G191" t="s">
        <v>1158</v>
      </c>
    </row>
    <row r="192" spans="1:7">
      <c r="A192">
        <v>191</v>
      </c>
      <c r="B192" t="s">
        <v>753</v>
      </c>
      <c r="C192" t="s">
        <v>1369</v>
      </c>
      <c r="D192" t="s">
        <v>1356</v>
      </c>
      <c r="E192" t="s">
        <v>1363</v>
      </c>
      <c r="F192" t="s">
        <v>1364</v>
      </c>
      <c r="G192" t="s">
        <v>1159</v>
      </c>
    </row>
    <row r="193" spans="1:7">
      <c r="A193">
        <v>192</v>
      </c>
      <c r="B193" t="s">
        <v>753</v>
      </c>
      <c r="C193" t="s">
        <v>1369</v>
      </c>
      <c r="D193" t="s">
        <v>1356</v>
      </c>
      <c r="E193" t="s">
        <v>20</v>
      </c>
      <c r="F193" t="s">
        <v>1364</v>
      </c>
      <c r="G193" t="s">
        <v>1160</v>
      </c>
    </row>
    <row r="194" spans="1:7">
      <c r="A194">
        <v>193</v>
      </c>
      <c r="B194" t="s">
        <v>753</v>
      </c>
      <c r="C194" t="s">
        <v>1369</v>
      </c>
      <c r="D194" t="s">
        <v>1365</v>
      </c>
      <c r="E194" t="s">
        <v>1357</v>
      </c>
      <c r="F194" t="s">
        <v>1367</v>
      </c>
      <c r="G194" t="s">
        <v>1161</v>
      </c>
    </row>
    <row r="195" spans="1:7">
      <c r="A195">
        <v>194</v>
      </c>
      <c r="B195" t="s">
        <v>753</v>
      </c>
      <c r="C195" t="s">
        <v>1369</v>
      </c>
      <c r="D195" t="s">
        <v>1365</v>
      </c>
      <c r="E195" t="s">
        <v>1357</v>
      </c>
      <c r="F195" t="s">
        <v>21</v>
      </c>
      <c r="G195" t="s">
        <v>1162</v>
      </c>
    </row>
    <row r="196" spans="1:7">
      <c r="A196">
        <v>195</v>
      </c>
      <c r="B196" t="s">
        <v>753</v>
      </c>
      <c r="C196" t="s">
        <v>1369</v>
      </c>
      <c r="D196" t="s">
        <v>1365</v>
      </c>
      <c r="E196" t="s">
        <v>1363</v>
      </c>
      <c r="F196" t="s">
        <v>21</v>
      </c>
      <c r="G196" t="s">
        <v>1163</v>
      </c>
    </row>
    <row r="197" spans="1:7">
      <c r="A197">
        <v>196</v>
      </c>
      <c r="B197" t="s">
        <v>753</v>
      </c>
      <c r="C197" t="s">
        <v>1369</v>
      </c>
      <c r="D197" t="s">
        <v>1365</v>
      </c>
      <c r="E197" t="s">
        <v>20</v>
      </c>
      <c r="F197" t="s">
        <v>21</v>
      </c>
      <c r="G197" t="s">
        <v>1164</v>
      </c>
    </row>
    <row r="198" spans="1:7">
      <c r="A198">
        <v>197</v>
      </c>
      <c r="B198" t="s">
        <v>753</v>
      </c>
      <c r="C198" t="s">
        <v>1369</v>
      </c>
      <c r="D198" t="s">
        <v>1365</v>
      </c>
      <c r="E198" t="s">
        <v>1357</v>
      </c>
      <c r="F198" t="s">
        <v>1364</v>
      </c>
      <c r="G198" t="s">
        <v>1165</v>
      </c>
    </row>
    <row r="199" spans="1:7">
      <c r="A199">
        <v>198</v>
      </c>
      <c r="B199" t="s">
        <v>753</v>
      </c>
      <c r="C199" t="s">
        <v>1369</v>
      </c>
      <c r="D199" t="s">
        <v>1365</v>
      </c>
      <c r="E199" t="s">
        <v>1363</v>
      </c>
      <c r="F199" t="s">
        <v>1364</v>
      </c>
      <c r="G199" t="s">
        <v>1166</v>
      </c>
    </row>
    <row r="200" spans="1:7">
      <c r="A200">
        <v>199</v>
      </c>
      <c r="B200" t="s">
        <v>753</v>
      </c>
      <c r="C200" t="s">
        <v>1369</v>
      </c>
      <c r="D200" t="s">
        <v>1365</v>
      </c>
      <c r="E200" t="s">
        <v>20</v>
      </c>
      <c r="F200" t="s">
        <v>1364</v>
      </c>
      <c r="G200" t="s">
        <v>1167</v>
      </c>
    </row>
    <row r="201" spans="1:7">
      <c r="A201">
        <v>200</v>
      </c>
      <c r="B201" t="s">
        <v>753</v>
      </c>
      <c r="C201" t="s">
        <v>1369</v>
      </c>
      <c r="D201" t="s">
        <v>22</v>
      </c>
      <c r="E201" t="s">
        <v>1357</v>
      </c>
      <c r="F201" t="s">
        <v>21</v>
      </c>
      <c r="G201" t="s">
        <v>1168</v>
      </c>
    </row>
    <row r="202" spans="1:7">
      <c r="A202">
        <v>201</v>
      </c>
      <c r="B202" t="s">
        <v>753</v>
      </c>
      <c r="C202" t="s">
        <v>1369</v>
      </c>
      <c r="D202" t="s">
        <v>22</v>
      </c>
      <c r="E202" t="s">
        <v>20</v>
      </c>
      <c r="F202" t="s">
        <v>21</v>
      </c>
      <c r="G202" t="s">
        <v>1169</v>
      </c>
    </row>
    <row r="203" spans="1:7">
      <c r="A203">
        <v>202</v>
      </c>
      <c r="B203" t="s">
        <v>753</v>
      </c>
      <c r="C203" t="s">
        <v>1369</v>
      </c>
      <c r="D203" t="s">
        <v>22</v>
      </c>
      <c r="E203" t="s">
        <v>1357</v>
      </c>
      <c r="F203" t="s">
        <v>1364</v>
      </c>
      <c r="G203" t="s">
        <v>1170</v>
      </c>
    </row>
    <row r="204" spans="1:7">
      <c r="A204">
        <v>203</v>
      </c>
      <c r="B204" t="s">
        <v>753</v>
      </c>
      <c r="C204" t="s">
        <v>1369</v>
      </c>
      <c r="D204" t="s">
        <v>22</v>
      </c>
      <c r="E204" t="s">
        <v>20</v>
      </c>
      <c r="F204" t="s">
        <v>1364</v>
      </c>
      <c r="G204" t="s">
        <v>1171</v>
      </c>
    </row>
    <row r="205" spans="1:7">
      <c r="A205">
        <v>204</v>
      </c>
      <c r="B205" t="s">
        <v>753</v>
      </c>
      <c r="C205" t="s">
        <v>1372</v>
      </c>
      <c r="D205" t="s">
        <v>1356</v>
      </c>
      <c r="E205" t="s">
        <v>1357</v>
      </c>
      <c r="F205" t="s">
        <v>1367</v>
      </c>
      <c r="G205" t="s">
        <v>1172</v>
      </c>
    </row>
    <row r="206" spans="1:7">
      <c r="A206">
        <v>205</v>
      </c>
      <c r="B206" t="s">
        <v>753</v>
      </c>
      <c r="C206" t="s">
        <v>1372</v>
      </c>
      <c r="D206" t="s">
        <v>1356</v>
      </c>
      <c r="E206" t="s">
        <v>1362</v>
      </c>
      <c r="F206" t="s">
        <v>1367</v>
      </c>
      <c r="G206" t="s">
        <v>1173</v>
      </c>
    </row>
    <row r="207" spans="1:7">
      <c r="A207">
        <v>206</v>
      </c>
      <c r="B207" t="s">
        <v>753</v>
      </c>
      <c r="C207" t="s">
        <v>1372</v>
      </c>
      <c r="D207" t="s">
        <v>1356</v>
      </c>
      <c r="E207" t="s">
        <v>1357</v>
      </c>
      <c r="F207" t="s">
        <v>21</v>
      </c>
      <c r="G207" t="s">
        <v>1174</v>
      </c>
    </row>
    <row r="208" spans="1:7">
      <c r="A208">
        <v>207</v>
      </c>
      <c r="B208" t="s">
        <v>753</v>
      </c>
      <c r="C208" t="s">
        <v>1372</v>
      </c>
      <c r="D208" t="s">
        <v>1365</v>
      </c>
      <c r="E208" t="s">
        <v>1357</v>
      </c>
      <c r="F208" t="s">
        <v>1367</v>
      </c>
      <c r="G208" t="s">
        <v>1175</v>
      </c>
    </row>
    <row r="209" spans="1:7">
      <c r="A209">
        <v>208</v>
      </c>
      <c r="B209" t="s">
        <v>753</v>
      </c>
      <c r="C209" t="s">
        <v>1372</v>
      </c>
      <c r="D209" t="s">
        <v>1365</v>
      </c>
      <c r="E209" t="s">
        <v>1362</v>
      </c>
      <c r="F209" t="s">
        <v>1367</v>
      </c>
      <c r="G209" t="s">
        <v>1176</v>
      </c>
    </row>
    <row r="210" spans="1:7">
      <c r="A210">
        <v>209</v>
      </c>
      <c r="B210" t="s">
        <v>753</v>
      </c>
      <c r="C210" t="s">
        <v>1370</v>
      </c>
      <c r="D210" t="s">
        <v>1356</v>
      </c>
      <c r="E210" t="s">
        <v>1357</v>
      </c>
      <c r="F210" t="s">
        <v>1358</v>
      </c>
      <c r="G210" t="s">
        <v>1177</v>
      </c>
    </row>
    <row r="211" spans="1:7">
      <c r="A211">
        <v>210</v>
      </c>
      <c r="B211" t="s">
        <v>753</v>
      </c>
      <c r="C211" t="s">
        <v>1370</v>
      </c>
      <c r="D211" t="s">
        <v>1356</v>
      </c>
      <c r="E211" t="s">
        <v>1357</v>
      </c>
      <c r="F211" t="s">
        <v>1359</v>
      </c>
      <c r="G211" t="s">
        <v>1178</v>
      </c>
    </row>
    <row r="212" spans="1:7">
      <c r="A212">
        <v>211</v>
      </c>
      <c r="B212" t="s">
        <v>753</v>
      </c>
      <c r="C212" t="s">
        <v>1370</v>
      </c>
      <c r="D212" t="s">
        <v>1356</v>
      </c>
      <c r="E212" t="s">
        <v>1357</v>
      </c>
      <c r="F212" t="s">
        <v>1360</v>
      </c>
      <c r="G212" t="s">
        <v>1179</v>
      </c>
    </row>
    <row r="213" spans="1:7">
      <c r="A213">
        <v>212</v>
      </c>
      <c r="B213" t="s">
        <v>753</v>
      </c>
      <c r="C213" t="s">
        <v>1370</v>
      </c>
      <c r="D213" t="s">
        <v>1356</v>
      </c>
      <c r="E213" t="s">
        <v>1357</v>
      </c>
      <c r="F213" t="s">
        <v>1361</v>
      </c>
      <c r="G213" t="s">
        <v>1180</v>
      </c>
    </row>
    <row r="214" spans="1:7">
      <c r="A214">
        <v>213</v>
      </c>
      <c r="B214" t="s">
        <v>753</v>
      </c>
      <c r="C214" t="s">
        <v>1370</v>
      </c>
      <c r="D214" t="s">
        <v>1356</v>
      </c>
      <c r="E214" t="s">
        <v>1357</v>
      </c>
      <c r="F214" t="s">
        <v>21</v>
      </c>
      <c r="G214" t="s">
        <v>1181</v>
      </c>
    </row>
    <row r="215" spans="1:7">
      <c r="A215">
        <v>214</v>
      </c>
      <c r="B215" t="s">
        <v>753</v>
      </c>
      <c r="C215" t="s">
        <v>1370</v>
      </c>
      <c r="D215" t="s">
        <v>1356</v>
      </c>
      <c r="E215" t="s">
        <v>1362</v>
      </c>
      <c r="F215" t="s">
        <v>21</v>
      </c>
      <c r="G215" t="s">
        <v>1182</v>
      </c>
    </row>
    <row r="216" spans="1:7">
      <c r="A216">
        <v>215</v>
      </c>
      <c r="B216" t="s">
        <v>753</v>
      </c>
      <c r="C216" t="s">
        <v>1370</v>
      </c>
      <c r="D216" t="s">
        <v>1356</v>
      </c>
      <c r="E216" t="s">
        <v>1363</v>
      </c>
      <c r="F216" t="s">
        <v>21</v>
      </c>
      <c r="G216" t="s">
        <v>1183</v>
      </c>
    </row>
    <row r="217" spans="1:7">
      <c r="A217">
        <v>216</v>
      </c>
      <c r="B217" t="s">
        <v>753</v>
      </c>
      <c r="C217" t="s">
        <v>1370</v>
      </c>
      <c r="D217" t="s">
        <v>1356</v>
      </c>
      <c r="E217" t="s">
        <v>20</v>
      </c>
      <c r="F217" t="s">
        <v>21</v>
      </c>
      <c r="G217" t="s">
        <v>1184</v>
      </c>
    </row>
    <row r="218" spans="1:7">
      <c r="A218">
        <v>217</v>
      </c>
      <c r="B218" t="s">
        <v>753</v>
      </c>
      <c r="C218" t="s">
        <v>1370</v>
      </c>
      <c r="D218" t="s">
        <v>1356</v>
      </c>
      <c r="E218" t="s">
        <v>1357</v>
      </c>
      <c r="F218" t="s">
        <v>1364</v>
      </c>
      <c r="G218" t="s">
        <v>1185</v>
      </c>
    </row>
    <row r="219" spans="1:7">
      <c r="A219">
        <v>218</v>
      </c>
      <c r="B219" t="s">
        <v>753</v>
      </c>
      <c r="C219" t="s">
        <v>1370</v>
      </c>
      <c r="D219" t="s">
        <v>1356</v>
      </c>
      <c r="E219" t="s">
        <v>1362</v>
      </c>
      <c r="F219" t="s">
        <v>1364</v>
      </c>
      <c r="G219" t="s">
        <v>1186</v>
      </c>
    </row>
    <row r="220" spans="1:7">
      <c r="A220">
        <v>219</v>
      </c>
      <c r="B220" t="s">
        <v>753</v>
      </c>
      <c r="C220" t="s">
        <v>1370</v>
      </c>
      <c r="D220" t="s">
        <v>1356</v>
      </c>
      <c r="E220" t="s">
        <v>1363</v>
      </c>
      <c r="F220" t="s">
        <v>1364</v>
      </c>
      <c r="G220" t="s">
        <v>1187</v>
      </c>
    </row>
    <row r="221" spans="1:7">
      <c r="A221">
        <v>220</v>
      </c>
      <c r="B221" t="s">
        <v>753</v>
      </c>
      <c r="C221" t="s">
        <v>1370</v>
      </c>
      <c r="D221" t="s">
        <v>1356</v>
      </c>
      <c r="E221" t="s">
        <v>20</v>
      </c>
      <c r="F221" t="s">
        <v>1364</v>
      </c>
      <c r="G221" t="s">
        <v>1188</v>
      </c>
    </row>
    <row r="222" spans="1:7">
      <c r="A222">
        <v>221</v>
      </c>
      <c r="B222" t="s">
        <v>753</v>
      </c>
      <c r="C222" t="s">
        <v>1370</v>
      </c>
      <c r="D222" t="s">
        <v>1365</v>
      </c>
      <c r="E222" t="s">
        <v>1357</v>
      </c>
      <c r="F222" t="s">
        <v>1358</v>
      </c>
      <c r="G222" t="s">
        <v>1189</v>
      </c>
    </row>
    <row r="223" spans="1:7">
      <c r="A223">
        <v>222</v>
      </c>
      <c r="B223" t="s">
        <v>753</v>
      </c>
      <c r="C223" t="s">
        <v>1370</v>
      </c>
      <c r="D223" t="s">
        <v>1365</v>
      </c>
      <c r="E223" t="s">
        <v>1357</v>
      </c>
      <c r="F223" t="s">
        <v>1359</v>
      </c>
      <c r="G223" t="s">
        <v>1190</v>
      </c>
    </row>
    <row r="224" spans="1:7">
      <c r="A224">
        <v>223</v>
      </c>
      <c r="B224" t="s">
        <v>753</v>
      </c>
      <c r="C224" t="s">
        <v>1370</v>
      </c>
      <c r="D224" t="s">
        <v>1365</v>
      </c>
      <c r="E224" t="s">
        <v>1357</v>
      </c>
      <c r="F224" t="s">
        <v>1360</v>
      </c>
      <c r="G224" t="s">
        <v>1191</v>
      </c>
    </row>
    <row r="225" spans="1:7">
      <c r="A225">
        <v>224</v>
      </c>
      <c r="B225" t="s">
        <v>753</v>
      </c>
      <c r="C225" t="s">
        <v>1370</v>
      </c>
      <c r="D225" t="s">
        <v>1365</v>
      </c>
      <c r="E225" t="s">
        <v>1357</v>
      </c>
      <c r="F225" t="s">
        <v>1361</v>
      </c>
      <c r="G225" t="s">
        <v>1192</v>
      </c>
    </row>
    <row r="226" spans="1:7">
      <c r="A226">
        <v>225</v>
      </c>
      <c r="B226" t="s">
        <v>753</v>
      </c>
      <c r="C226" t="s">
        <v>1370</v>
      </c>
      <c r="D226" t="s">
        <v>1365</v>
      </c>
      <c r="E226" t="s">
        <v>1357</v>
      </c>
      <c r="F226" t="s">
        <v>21</v>
      </c>
      <c r="G226" t="s">
        <v>1193</v>
      </c>
    </row>
    <row r="227" spans="1:7">
      <c r="A227">
        <v>226</v>
      </c>
      <c r="B227" t="s">
        <v>753</v>
      </c>
      <c r="C227" t="s">
        <v>1370</v>
      </c>
      <c r="D227" t="s">
        <v>1365</v>
      </c>
      <c r="E227" t="s">
        <v>1362</v>
      </c>
      <c r="F227" t="s">
        <v>21</v>
      </c>
      <c r="G227" t="s">
        <v>1194</v>
      </c>
    </row>
    <row r="228" spans="1:7">
      <c r="A228">
        <v>227</v>
      </c>
      <c r="B228" t="s">
        <v>753</v>
      </c>
      <c r="C228" t="s">
        <v>1370</v>
      </c>
      <c r="D228" t="s">
        <v>1365</v>
      </c>
      <c r="E228" t="s">
        <v>1363</v>
      </c>
      <c r="F228" t="s">
        <v>21</v>
      </c>
      <c r="G228" t="s">
        <v>1195</v>
      </c>
    </row>
    <row r="229" spans="1:7">
      <c r="A229">
        <v>228</v>
      </c>
      <c r="B229" t="s">
        <v>753</v>
      </c>
      <c r="C229" t="s">
        <v>1370</v>
      </c>
      <c r="D229" t="s">
        <v>1365</v>
      </c>
      <c r="E229" t="s">
        <v>20</v>
      </c>
      <c r="F229" t="s">
        <v>21</v>
      </c>
      <c r="G229" t="s">
        <v>1196</v>
      </c>
    </row>
    <row r="230" spans="1:7">
      <c r="A230">
        <v>229</v>
      </c>
      <c r="B230" t="s">
        <v>753</v>
      </c>
      <c r="C230" t="s">
        <v>1370</v>
      </c>
      <c r="D230" t="s">
        <v>1365</v>
      </c>
      <c r="E230" t="s">
        <v>1357</v>
      </c>
      <c r="F230" t="s">
        <v>1364</v>
      </c>
      <c r="G230" t="s">
        <v>1197</v>
      </c>
    </row>
    <row r="231" spans="1:7">
      <c r="A231">
        <v>230</v>
      </c>
      <c r="B231" t="s">
        <v>753</v>
      </c>
      <c r="C231" t="s">
        <v>1370</v>
      </c>
      <c r="D231" t="s">
        <v>1365</v>
      </c>
      <c r="E231" t="s">
        <v>1362</v>
      </c>
      <c r="F231" t="s">
        <v>1364</v>
      </c>
      <c r="G231" t="s">
        <v>1198</v>
      </c>
    </row>
    <row r="232" spans="1:7">
      <c r="A232">
        <v>231</v>
      </c>
      <c r="B232" t="s">
        <v>753</v>
      </c>
      <c r="C232" t="s">
        <v>1370</v>
      </c>
      <c r="D232" t="s">
        <v>1365</v>
      </c>
      <c r="E232" t="s">
        <v>1363</v>
      </c>
      <c r="F232" t="s">
        <v>1364</v>
      </c>
      <c r="G232" t="s">
        <v>1199</v>
      </c>
    </row>
    <row r="233" spans="1:7">
      <c r="A233">
        <v>232</v>
      </c>
      <c r="B233" t="s">
        <v>753</v>
      </c>
      <c r="C233" t="s">
        <v>1370</v>
      </c>
      <c r="D233" t="s">
        <v>1365</v>
      </c>
      <c r="E233" t="s">
        <v>20</v>
      </c>
      <c r="F233" t="s">
        <v>1364</v>
      </c>
      <c r="G233" t="s">
        <v>1200</v>
      </c>
    </row>
    <row r="234" spans="1:7">
      <c r="A234">
        <v>233</v>
      </c>
      <c r="B234" t="s">
        <v>753</v>
      </c>
      <c r="C234" t="s">
        <v>1370</v>
      </c>
      <c r="D234" t="s">
        <v>22</v>
      </c>
      <c r="E234" t="s">
        <v>1357</v>
      </c>
      <c r="F234" t="s">
        <v>21</v>
      </c>
      <c r="G234" t="s">
        <v>1201</v>
      </c>
    </row>
    <row r="235" spans="1:7">
      <c r="A235">
        <v>234</v>
      </c>
      <c r="B235" t="s">
        <v>753</v>
      </c>
      <c r="C235" t="s">
        <v>25</v>
      </c>
      <c r="D235" t="s">
        <v>1356</v>
      </c>
      <c r="E235" t="s">
        <v>1357</v>
      </c>
      <c r="F235" t="s">
        <v>1367</v>
      </c>
      <c r="G235" t="s">
        <v>1202</v>
      </c>
    </row>
    <row r="236" spans="1:7">
      <c r="A236">
        <v>235</v>
      </c>
      <c r="B236" t="s">
        <v>753</v>
      </c>
      <c r="C236" t="s">
        <v>25</v>
      </c>
      <c r="D236" t="s">
        <v>1356</v>
      </c>
      <c r="E236" t="s">
        <v>1357</v>
      </c>
      <c r="F236" t="s">
        <v>21</v>
      </c>
      <c r="G236" t="s">
        <v>1203</v>
      </c>
    </row>
    <row r="237" spans="1:7">
      <c r="A237">
        <v>236</v>
      </c>
      <c r="B237" t="s">
        <v>753</v>
      </c>
      <c r="C237" t="s">
        <v>25</v>
      </c>
      <c r="D237" t="s">
        <v>1356</v>
      </c>
      <c r="E237" t="s">
        <v>1371</v>
      </c>
      <c r="F237" t="s">
        <v>21</v>
      </c>
      <c r="G237" t="s">
        <v>1204</v>
      </c>
    </row>
    <row r="238" spans="1:7">
      <c r="A238">
        <v>237</v>
      </c>
      <c r="B238" t="s">
        <v>753</v>
      </c>
      <c r="C238" t="s">
        <v>25</v>
      </c>
      <c r="D238" t="s">
        <v>1356</v>
      </c>
      <c r="E238" t="s">
        <v>26</v>
      </c>
      <c r="F238" t="s">
        <v>21</v>
      </c>
      <c r="G238" t="s">
        <v>1205</v>
      </c>
    </row>
    <row r="239" spans="1:7">
      <c r="A239">
        <v>238</v>
      </c>
      <c r="B239" t="s">
        <v>753</v>
      </c>
      <c r="C239" t="s">
        <v>25</v>
      </c>
      <c r="D239" t="s">
        <v>1356</v>
      </c>
      <c r="E239" t="s">
        <v>28</v>
      </c>
      <c r="F239" t="s">
        <v>21</v>
      </c>
      <c r="G239" t="s">
        <v>1206</v>
      </c>
    </row>
    <row r="240" spans="1:7">
      <c r="A240">
        <v>239</v>
      </c>
      <c r="B240" t="s">
        <v>753</v>
      </c>
      <c r="C240" t="s">
        <v>25</v>
      </c>
      <c r="D240" t="s">
        <v>1356</v>
      </c>
      <c r="E240" t="s">
        <v>1357</v>
      </c>
      <c r="F240" t="s">
        <v>1364</v>
      </c>
      <c r="G240" t="s">
        <v>1207</v>
      </c>
    </row>
    <row r="241" spans="1:7">
      <c r="A241">
        <v>240</v>
      </c>
      <c r="B241" t="s">
        <v>753</v>
      </c>
      <c r="C241" t="s">
        <v>25</v>
      </c>
      <c r="D241" t="s">
        <v>1356</v>
      </c>
      <c r="E241" t="s">
        <v>1371</v>
      </c>
      <c r="F241" t="s">
        <v>1364</v>
      </c>
      <c r="G241" t="s">
        <v>1208</v>
      </c>
    </row>
    <row r="242" spans="1:7">
      <c r="A242">
        <v>241</v>
      </c>
      <c r="B242" t="s">
        <v>753</v>
      </c>
      <c r="C242" t="s">
        <v>25</v>
      </c>
      <c r="D242" t="s">
        <v>1356</v>
      </c>
      <c r="E242" t="s">
        <v>26</v>
      </c>
      <c r="F242" t="s">
        <v>1364</v>
      </c>
      <c r="G242" t="s">
        <v>1209</v>
      </c>
    </row>
    <row r="243" spans="1:7">
      <c r="A243">
        <v>242</v>
      </c>
      <c r="B243" t="s">
        <v>753</v>
      </c>
      <c r="C243" t="s">
        <v>25</v>
      </c>
      <c r="D243" t="s">
        <v>1356</v>
      </c>
      <c r="E243" t="s">
        <v>28</v>
      </c>
      <c r="F243" t="s">
        <v>1364</v>
      </c>
      <c r="G243" t="s">
        <v>1210</v>
      </c>
    </row>
    <row r="244" spans="1:7">
      <c r="A244">
        <v>243</v>
      </c>
      <c r="B244" t="s">
        <v>753</v>
      </c>
      <c r="C244" t="s">
        <v>25</v>
      </c>
      <c r="D244" t="s">
        <v>1365</v>
      </c>
      <c r="E244" t="s">
        <v>1357</v>
      </c>
      <c r="F244" t="s">
        <v>21</v>
      </c>
      <c r="G244" t="s">
        <v>1211</v>
      </c>
    </row>
    <row r="245" spans="1:7">
      <c r="A245">
        <v>244</v>
      </c>
      <c r="B245" t="s">
        <v>753</v>
      </c>
      <c r="C245" t="s">
        <v>25</v>
      </c>
      <c r="D245" t="s">
        <v>1365</v>
      </c>
      <c r="E245" t="s">
        <v>1371</v>
      </c>
      <c r="F245" t="s">
        <v>21</v>
      </c>
      <c r="G245" t="s">
        <v>1212</v>
      </c>
    </row>
    <row r="246" spans="1:7">
      <c r="A246">
        <v>245</v>
      </c>
      <c r="B246" t="s">
        <v>753</v>
      </c>
      <c r="C246" t="s">
        <v>25</v>
      </c>
      <c r="D246" t="s">
        <v>1365</v>
      </c>
      <c r="E246" t="s">
        <v>26</v>
      </c>
      <c r="F246" t="s">
        <v>21</v>
      </c>
      <c r="G246" t="s">
        <v>1213</v>
      </c>
    </row>
    <row r="247" spans="1:7">
      <c r="A247">
        <v>246</v>
      </c>
      <c r="B247" t="s">
        <v>753</v>
      </c>
      <c r="C247" t="s">
        <v>25</v>
      </c>
      <c r="D247" t="s">
        <v>1365</v>
      </c>
      <c r="E247" t="s">
        <v>1357</v>
      </c>
      <c r="F247" t="s">
        <v>1364</v>
      </c>
      <c r="G247" t="s">
        <v>1214</v>
      </c>
    </row>
    <row r="248" spans="1:7">
      <c r="A248">
        <v>247</v>
      </c>
      <c r="B248" t="s">
        <v>753</v>
      </c>
      <c r="C248" t="s">
        <v>25</v>
      </c>
      <c r="D248" t="s">
        <v>1365</v>
      </c>
      <c r="E248" t="s">
        <v>1371</v>
      </c>
      <c r="F248" t="s">
        <v>1364</v>
      </c>
      <c r="G248" t="s">
        <v>1215</v>
      </c>
    </row>
    <row r="249" spans="1:7">
      <c r="A249">
        <v>248</v>
      </c>
      <c r="B249" t="s">
        <v>753</v>
      </c>
      <c r="C249" t="s">
        <v>25</v>
      </c>
      <c r="D249" t="s">
        <v>1365</v>
      </c>
      <c r="E249" t="s">
        <v>26</v>
      </c>
      <c r="F249" t="s">
        <v>1364</v>
      </c>
      <c r="G249" t="s">
        <v>1216</v>
      </c>
    </row>
    <row r="250" spans="1:7">
      <c r="A250">
        <v>249</v>
      </c>
      <c r="B250" t="s">
        <v>753</v>
      </c>
      <c r="C250" t="s">
        <v>25</v>
      </c>
      <c r="D250" t="s">
        <v>22</v>
      </c>
      <c r="E250" t="s">
        <v>1357</v>
      </c>
      <c r="F250" t="s">
        <v>1367</v>
      </c>
      <c r="G250" t="s">
        <v>1217</v>
      </c>
    </row>
    <row r="251" spans="1:7">
      <c r="A251">
        <v>250</v>
      </c>
      <c r="B251" t="s">
        <v>753</v>
      </c>
      <c r="C251" t="s">
        <v>25</v>
      </c>
      <c r="D251" t="s">
        <v>22</v>
      </c>
      <c r="E251" t="s">
        <v>1357</v>
      </c>
      <c r="F251" t="s">
        <v>21</v>
      </c>
      <c r="G251" t="s">
        <v>1218</v>
      </c>
    </row>
    <row r="252" spans="1:7">
      <c r="A252">
        <v>251</v>
      </c>
      <c r="B252" t="s">
        <v>753</v>
      </c>
      <c r="C252" t="s">
        <v>25</v>
      </c>
      <c r="D252" t="s">
        <v>22</v>
      </c>
      <c r="E252" t="s">
        <v>1371</v>
      </c>
      <c r="F252" t="s">
        <v>21</v>
      </c>
      <c r="G252" t="s">
        <v>1219</v>
      </c>
    </row>
    <row r="253" spans="1:7">
      <c r="A253">
        <v>252</v>
      </c>
      <c r="B253" t="s">
        <v>753</v>
      </c>
      <c r="C253" t="s">
        <v>25</v>
      </c>
      <c r="D253" t="s">
        <v>22</v>
      </c>
      <c r="E253" t="s">
        <v>26</v>
      </c>
      <c r="F253" t="s">
        <v>21</v>
      </c>
      <c r="G253" t="s">
        <v>27</v>
      </c>
    </row>
    <row r="254" spans="1:7">
      <c r="A254">
        <v>253</v>
      </c>
      <c r="B254" t="s">
        <v>753</v>
      </c>
      <c r="C254" t="s">
        <v>25</v>
      </c>
      <c r="D254" t="s">
        <v>22</v>
      </c>
      <c r="E254" t="s">
        <v>28</v>
      </c>
      <c r="F254" t="s">
        <v>21</v>
      </c>
      <c r="G254" t="s">
        <v>29</v>
      </c>
    </row>
    <row r="255" spans="1:7">
      <c r="A255">
        <v>254</v>
      </c>
      <c r="B255" t="s">
        <v>753</v>
      </c>
      <c r="C255" t="s">
        <v>25</v>
      </c>
      <c r="D255" t="s">
        <v>22</v>
      </c>
      <c r="E255" t="s">
        <v>1357</v>
      </c>
      <c r="F255" t="s">
        <v>1364</v>
      </c>
      <c r="G255" t="s">
        <v>1220</v>
      </c>
    </row>
    <row r="256" spans="1:7">
      <c r="A256">
        <v>255</v>
      </c>
      <c r="B256" t="s">
        <v>753</v>
      </c>
      <c r="C256" t="s">
        <v>25</v>
      </c>
      <c r="D256" t="s">
        <v>22</v>
      </c>
      <c r="E256" t="s">
        <v>1371</v>
      </c>
      <c r="F256" t="s">
        <v>1364</v>
      </c>
      <c r="G256" t="s">
        <v>1221</v>
      </c>
    </row>
    <row r="257" spans="1:7">
      <c r="A257">
        <v>256</v>
      </c>
      <c r="B257" t="s">
        <v>753</v>
      </c>
      <c r="C257" t="s">
        <v>25</v>
      </c>
      <c r="D257" t="s">
        <v>22</v>
      </c>
      <c r="E257" t="s">
        <v>26</v>
      </c>
      <c r="F257" t="s">
        <v>1364</v>
      </c>
      <c r="G257" t="s">
        <v>1222</v>
      </c>
    </row>
    <row r="258" spans="1:7">
      <c r="A258">
        <v>257</v>
      </c>
      <c r="B258" t="s">
        <v>753</v>
      </c>
      <c r="C258" t="s">
        <v>25</v>
      </c>
      <c r="D258" t="s">
        <v>22</v>
      </c>
      <c r="E258" t="s">
        <v>28</v>
      </c>
      <c r="F258" t="s">
        <v>1364</v>
      </c>
      <c r="G258" t="s">
        <v>1223</v>
      </c>
    </row>
    <row r="259" spans="1:7">
      <c r="A259">
        <v>258</v>
      </c>
      <c r="B259" t="s">
        <v>1373</v>
      </c>
      <c r="C259" t="s">
        <v>19</v>
      </c>
      <c r="E259" t="s">
        <v>1357</v>
      </c>
      <c r="F259" t="s">
        <v>1359</v>
      </c>
      <c r="G259" t="s">
        <v>1224</v>
      </c>
    </row>
    <row r="260" spans="1:7">
      <c r="A260">
        <v>259</v>
      </c>
      <c r="B260" t="s">
        <v>1373</v>
      </c>
      <c r="C260" t="s">
        <v>19</v>
      </c>
      <c r="E260" t="s">
        <v>1357</v>
      </c>
      <c r="F260" t="s">
        <v>1360</v>
      </c>
      <c r="G260" t="s">
        <v>1225</v>
      </c>
    </row>
    <row r="261" spans="1:7">
      <c r="A261">
        <v>260</v>
      </c>
      <c r="B261" t="s">
        <v>1373</v>
      </c>
      <c r="C261" t="s">
        <v>19</v>
      </c>
      <c r="E261" t="s">
        <v>1357</v>
      </c>
      <c r="F261" t="s">
        <v>1361</v>
      </c>
      <c r="G261" t="s">
        <v>1226</v>
      </c>
    </row>
    <row r="262" spans="1:7">
      <c r="A262">
        <v>261</v>
      </c>
      <c r="B262" t="s">
        <v>1373</v>
      </c>
      <c r="C262" t="s">
        <v>19</v>
      </c>
      <c r="E262" t="s">
        <v>1357</v>
      </c>
      <c r="F262" t="s">
        <v>1367</v>
      </c>
      <c r="G262" t="s">
        <v>1227</v>
      </c>
    </row>
    <row r="263" spans="1:7">
      <c r="A263">
        <v>262</v>
      </c>
      <c r="B263" t="s">
        <v>1373</v>
      </c>
      <c r="C263" t="s">
        <v>19</v>
      </c>
      <c r="E263" t="s">
        <v>1357</v>
      </c>
      <c r="F263" t="s">
        <v>21</v>
      </c>
      <c r="G263" t="s">
        <v>1228</v>
      </c>
    </row>
    <row r="264" spans="1:7">
      <c r="A264">
        <v>263</v>
      </c>
      <c r="B264" t="s">
        <v>1373</v>
      </c>
      <c r="C264" t="s">
        <v>19</v>
      </c>
      <c r="E264" t="s">
        <v>1362</v>
      </c>
      <c r="F264" t="s">
        <v>21</v>
      </c>
      <c r="G264" t="s">
        <v>1229</v>
      </c>
    </row>
    <row r="265" spans="1:7">
      <c r="A265">
        <v>264</v>
      </c>
      <c r="B265" t="s">
        <v>1373</v>
      </c>
      <c r="C265" t="s">
        <v>19</v>
      </c>
      <c r="E265" t="s">
        <v>1363</v>
      </c>
      <c r="F265" t="s">
        <v>21</v>
      </c>
      <c r="G265" t="s">
        <v>1230</v>
      </c>
    </row>
    <row r="266" spans="1:7">
      <c r="A266">
        <v>265</v>
      </c>
      <c r="B266" t="s">
        <v>1373</v>
      </c>
      <c r="C266" t="s">
        <v>19</v>
      </c>
      <c r="E266" t="s">
        <v>20</v>
      </c>
      <c r="F266" t="s">
        <v>21</v>
      </c>
      <c r="G266" t="s">
        <v>1231</v>
      </c>
    </row>
    <row r="267" spans="1:7">
      <c r="A267">
        <v>266</v>
      </c>
      <c r="B267" t="s">
        <v>1373</v>
      </c>
      <c r="C267" t="s">
        <v>19</v>
      </c>
      <c r="E267" t="s">
        <v>1357</v>
      </c>
      <c r="F267" t="s">
        <v>1374</v>
      </c>
      <c r="G267" t="s">
        <v>1232</v>
      </c>
    </row>
    <row r="268" spans="1:7">
      <c r="A268">
        <v>267</v>
      </c>
      <c r="B268" t="s">
        <v>1373</v>
      </c>
      <c r="C268" t="s">
        <v>19</v>
      </c>
      <c r="E268" t="s">
        <v>1362</v>
      </c>
      <c r="F268" t="s">
        <v>1374</v>
      </c>
      <c r="G268" t="s">
        <v>1233</v>
      </c>
    </row>
    <row r="269" spans="1:7">
      <c r="A269">
        <v>268</v>
      </c>
      <c r="B269" t="s">
        <v>1373</v>
      </c>
      <c r="C269" t="s">
        <v>19</v>
      </c>
      <c r="E269" t="s">
        <v>1363</v>
      </c>
      <c r="F269" t="s">
        <v>1374</v>
      </c>
      <c r="G269" t="s">
        <v>1234</v>
      </c>
    </row>
    <row r="270" spans="1:7">
      <c r="A270">
        <v>269</v>
      </c>
      <c r="B270" t="s">
        <v>1373</v>
      </c>
      <c r="C270" t="s">
        <v>19</v>
      </c>
      <c r="E270" t="s">
        <v>20</v>
      </c>
      <c r="F270" t="s">
        <v>1374</v>
      </c>
      <c r="G270" t="s">
        <v>1235</v>
      </c>
    </row>
    <row r="271" spans="1:7">
      <c r="A271">
        <v>270</v>
      </c>
      <c r="B271" t="s">
        <v>1373</v>
      </c>
      <c r="C271" t="s">
        <v>1366</v>
      </c>
      <c r="E271" t="s">
        <v>1357</v>
      </c>
      <c r="F271" t="s">
        <v>1360</v>
      </c>
      <c r="G271" t="s">
        <v>1236</v>
      </c>
    </row>
    <row r="272" spans="1:7">
      <c r="A272">
        <v>271</v>
      </c>
      <c r="B272" t="s">
        <v>1373</v>
      </c>
      <c r="C272" t="s">
        <v>1366</v>
      </c>
      <c r="E272" t="s">
        <v>1357</v>
      </c>
      <c r="F272" t="s">
        <v>1361</v>
      </c>
      <c r="G272" t="s">
        <v>1237</v>
      </c>
    </row>
    <row r="273" spans="1:7">
      <c r="A273">
        <v>272</v>
      </c>
      <c r="B273" t="s">
        <v>1373</v>
      </c>
      <c r="C273" t="s">
        <v>1366</v>
      </c>
      <c r="E273" t="s">
        <v>1357</v>
      </c>
      <c r="F273" t="s">
        <v>1367</v>
      </c>
      <c r="G273" t="s">
        <v>1238</v>
      </c>
    </row>
    <row r="274" spans="1:7">
      <c r="A274">
        <v>273</v>
      </c>
      <c r="B274" t="s">
        <v>1373</v>
      </c>
      <c r="C274" t="s">
        <v>1366</v>
      </c>
      <c r="E274" t="s">
        <v>1357</v>
      </c>
      <c r="F274" t="s">
        <v>21</v>
      </c>
      <c r="G274" t="s">
        <v>1239</v>
      </c>
    </row>
    <row r="275" spans="1:7">
      <c r="A275">
        <v>274</v>
      </c>
      <c r="B275" t="s">
        <v>1373</v>
      </c>
      <c r="C275" t="s">
        <v>1366</v>
      </c>
      <c r="E275" t="s">
        <v>1362</v>
      </c>
      <c r="F275" t="s">
        <v>21</v>
      </c>
      <c r="G275" t="s">
        <v>1240</v>
      </c>
    </row>
    <row r="276" spans="1:7">
      <c r="A276">
        <v>275</v>
      </c>
      <c r="B276" t="s">
        <v>1373</v>
      </c>
      <c r="C276" t="s">
        <v>1366</v>
      </c>
      <c r="E276" t="s">
        <v>1363</v>
      </c>
      <c r="F276" t="s">
        <v>21</v>
      </c>
      <c r="G276" t="s">
        <v>1241</v>
      </c>
    </row>
    <row r="277" spans="1:7">
      <c r="A277">
        <v>276</v>
      </c>
      <c r="B277" t="s">
        <v>1373</v>
      </c>
      <c r="C277" t="s">
        <v>1366</v>
      </c>
      <c r="E277" t="s">
        <v>20</v>
      </c>
      <c r="F277" t="s">
        <v>21</v>
      </c>
      <c r="G277" t="s">
        <v>1242</v>
      </c>
    </row>
    <row r="278" spans="1:7">
      <c r="A278">
        <v>277</v>
      </c>
      <c r="B278" t="s">
        <v>1373</v>
      </c>
      <c r="C278" t="s">
        <v>1366</v>
      </c>
      <c r="E278" t="s">
        <v>1357</v>
      </c>
      <c r="F278" t="s">
        <v>1374</v>
      </c>
      <c r="G278" t="s">
        <v>1243</v>
      </c>
    </row>
    <row r="279" spans="1:7">
      <c r="A279">
        <v>278</v>
      </c>
      <c r="B279" t="s">
        <v>1373</v>
      </c>
      <c r="C279" t="s">
        <v>1366</v>
      </c>
      <c r="E279" t="s">
        <v>1362</v>
      </c>
      <c r="F279" t="s">
        <v>1374</v>
      </c>
      <c r="G279" t="s">
        <v>1244</v>
      </c>
    </row>
    <row r="280" spans="1:7">
      <c r="A280">
        <v>279</v>
      </c>
      <c r="B280" t="s">
        <v>1373</v>
      </c>
      <c r="C280" t="s">
        <v>1366</v>
      </c>
      <c r="E280" t="s">
        <v>20</v>
      </c>
      <c r="F280" t="s">
        <v>1374</v>
      </c>
      <c r="G280" t="s">
        <v>1245</v>
      </c>
    </row>
    <row r="281" spans="1:7">
      <c r="A281">
        <v>280</v>
      </c>
      <c r="B281" t="s">
        <v>1373</v>
      </c>
      <c r="C281" t="s">
        <v>1368</v>
      </c>
      <c r="E281" t="s">
        <v>1357</v>
      </c>
      <c r="F281" t="s">
        <v>1361</v>
      </c>
      <c r="G281" t="s">
        <v>1246</v>
      </c>
    </row>
    <row r="282" spans="1:7">
      <c r="A282">
        <v>281</v>
      </c>
      <c r="B282" t="s">
        <v>1373</v>
      </c>
      <c r="C282" t="s">
        <v>1368</v>
      </c>
      <c r="E282" t="s">
        <v>1357</v>
      </c>
      <c r="F282" t="s">
        <v>1367</v>
      </c>
      <c r="G282" t="s">
        <v>1247</v>
      </c>
    </row>
    <row r="283" spans="1:7">
      <c r="A283">
        <v>282</v>
      </c>
      <c r="B283" t="s">
        <v>1373</v>
      </c>
      <c r="C283" t="s">
        <v>1368</v>
      </c>
      <c r="E283" t="s">
        <v>1357</v>
      </c>
      <c r="F283" t="s">
        <v>21</v>
      </c>
      <c r="G283" t="s">
        <v>1248</v>
      </c>
    </row>
    <row r="284" spans="1:7">
      <c r="A284">
        <v>283</v>
      </c>
      <c r="B284" t="s">
        <v>1373</v>
      </c>
      <c r="C284" t="s">
        <v>1368</v>
      </c>
      <c r="E284" t="s">
        <v>1362</v>
      </c>
      <c r="F284" t="s">
        <v>21</v>
      </c>
      <c r="G284" t="s">
        <v>1249</v>
      </c>
    </row>
    <row r="285" spans="1:7">
      <c r="A285">
        <v>284</v>
      </c>
      <c r="B285" t="s">
        <v>1373</v>
      </c>
      <c r="C285" t="s">
        <v>1368</v>
      </c>
      <c r="E285" t="s">
        <v>1363</v>
      </c>
      <c r="F285" t="s">
        <v>21</v>
      </c>
      <c r="G285" t="s">
        <v>1250</v>
      </c>
    </row>
    <row r="286" spans="1:7">
      <c r="A286">
        <v>285</v>
      </c>
      <c r="B286" t="s">
        <v>1373</v>
      </c>
      <c r="C286" t="s">
        <v>1368</v>
      </c>
      <c r="E286" t="s">
        <v>1357</v>
      </c>
      <c r="F286" t="s">
        <v>1374</v>
      </c>
      <c r="G286" t="s">
        <v>1251</v>
      </c>
    </row>
    <row r="287" spans="1:7">
      <c r="A287">
        <v>286</v>
      </c>
      <c r="B287" t="s">
        <v>1373</v>
      </c>
      <c r="C287" t="s">
        <v>1369</v>
      </c>
      <c r="E287" t="s">
        <v>1357</v>
      </c>
      <c r="F287" t="s">
        <v>1367</v>
      </c>
      <c r="G287" t="s">
        <v>1252</v>
      </c>
    </row>
    <row r="288" spans="1:7">
      <c r="A288">
        <v>287</v>
      </c>
      <c r="B288" t="s">
        <v>1373</v>
      </c>
      <c r="C288" t="s">
        <v>1369</v>
      </c>
      <c r="E288" t="s">
        <v>1357</v>
      </c>
      <c r="F288" t="s">
        <v>21</v>
      </c>
      <c r="G288" t="s">
        <v>1253</v>
      </c>
    </row>
    <row r="289" spans="1:7">
      <c r="A289">
        <v>288</v>
      </c>
      <c r="B289" t="s">
        <v>1373</v>
      </c>
      <c r="C289" t="s">
        <v>1369</v>
      </c>
      <c r="E289" t="s">
        <v>1362</v>
      </c>
      <c r="F289" t="s">
        <v>21</v>
      </c>
      <c r="G289" t="s">
        <v>1254</v>
      </c>
    </row>
    <row r="290" spans="1:7">
      <c r="A290">
        <v>289</v>
      </c>
      <c r="B290" t="s">
        <v>1373</v>
      </c>
      <c r="C290" t="s">
        <v>1369</v>
      </c>
      <c r="E290" t="s">
        <v>1363</v>
      </c>
      <c r="F290" t="s">
        <v>21</v>
      </c>
      <c r="G290" t="s">
        <v>1255</v>
      </c>
    </row>
    <row r="291" spans="1:7">
      <c r="A291">
        <v>290</v>
      </c>
      <c r="B291" t="s">
        <v>1373</v>
      </c>
      <c r="C291" t="s">
        <v>1369</v>
      </c>
      <c r="E291" t="s">
        <v>20</v>
      </c>
      <c r="F291" t="s">
        <v>21</v>
      </c>
      <c r="G291" t="s">
        <v>1256</v>
      </c>
    </row>
    <row r="292" spans="1:7">
      <c r="A292">
        <v>291</v>
      </c>
      <c r="B292" t="s">
        <v>1373</v>
      </c>
      <c r="C292" t="s">
        <v>1369</v>
      </c>
      <c r="E292" t="s">
        <v>1357</v>
      </c>
      <c r="F292" t="s">
        <v>1374</v>
      </c>
      <c r="G292" t="s">
        <v>1257</v>
      </c>
    </row>
    <row r="293" spans="1:7">
      <c r="A293">
        <v>292</v>
      </c>
      <c r="B293" t="s">
        <v>1373</v>
      </c>
      <c r="C293" t="s">
        <v>1369</v>
      </c>
      <c r="E293" t="s">
        <v>1362</v>
      </c>
      <c r="F293" t="s">
        <v>1374</v>
      </c>
      <c r="G293" t="s">
        <v>1258</v>
      </c>
    </row>
    <row r="294" spans="1:7">
      <c r="A294">
        <v>293</v>
      </c>
      <c r="B294" t="s">
        <v>1373</v>
      </c>
      <c r="C294" t="s">
        <v>1369</v>
      </c>
      <c r="E294" t="s">
        <v>1363</v>
      </c>
      <c r="F294" t="s">
        <v>1374</v>
      </c>
      <c r="G294" t="s">
        <v>1259</v>
      </c>
    </row>
    <row r="295" spans="1:7">
      <c r="A295">
        <v>294</v>
      </c>
      <c r="B295" t="s">
        <v>1373</v>
      </c>
      <c r="C295" t="s">
        <v>1369</v>
      </c>
      <c r="E295" t="s">
        <v>20</v>
      </c>
      <c r="F295" t="s">
        <v>1374</v>
      </c>
      <c r="G295" t="s">
        <v>1260</v>
      </c>
    </row>
    <row r="296" spans="1:7">
      <c r="A296">
        <v>295</v>
      </c>
      <c r="B296" t="s">
        <v>1373</v>
      </c>
      <c r="C296" t="s">
        <v>1372</v>
      </c>
      <c r="E296" t="s">
        <v>1357</v>
      </c>
      <c r="F296" t="s">
        <v>1367</v>
      </c>
      <c r="G296" t="s">
        <v>1261</v>
      </c>
    </row>
    <row r="297" spans="1:7">
      <c r="A297">
        <v>296</v>
      </c>
      <c r="B297" t="s">
        <v>1373</v>
      </c>
      <c r="C297" t="s">
        <v>1372</v>
      </c>
      <c r="E297" t="s">
        <v>1362</v>
      </c>
      <c r="F297" t="s">
        <v>1367</v>
      </c>
      <c r="G297" t="s">
        <v>1262</v>
      </c>
    </row>
    <row r="298" spans="1:7">
      <c r="A298">
        <v>297</v>
      </c>
      <c r="B298" t="s">
        <v>1373</v>
      </c>
      <c r="C298" t="s">
        <v>1372</v>
      </c>
      <c r="E298" t="s">
        <v>1357</v>
      </c>
      <c r="F298" t="s">
        <v>21</v>
      </c>
      <c r="G298" t="s">
        <v>1263</v>
      </c>
    </row>
    <row r="299" spans="1:7">
      <c r="A299">
        <v>298</v>
      </c>
      <c r="B299" t="s">
        <v>1373</v>
      </c>
      <c r="C299" t="s">
        <v>1372</v>
      </c>
      <c r="E299" t="s">
        <v>1362</v>
      </c>
      <c r="F299" t="s">
        <v>21</v>
      </c>
      <c r="G299" t="s">
        <v>1264</v>
      </c>
    </row>
    <row r="300" spans="1:7">
      <c r="A300">
        <v>299</v>
      </c>
      <c r="B300" t="s">
        <v>1373</v>
      </c>
      <c r="C300" t="s">
        <v>1370</v>
      </c>
      <c r="E300" t="s">
        <v>1357</v>
      </c>
      <c r="F300" t="s">
        <v>21</v>
      </c>
      <c r="G300" t="s">
        <v>1265</v>
      </c>
    </row>
    <row r="301" spans="1:7">
      <c r="A301">
        <v>300</v>
      </c>
      <c r="B301" t="s">
        <v>1373</v>
      </c>
      <c r="C301" t="s">
        <v>25</v>
      </c>
      <c r="E301" t="s">
        <v>1357</v>
      </c>
      <c r="F301" t="s">
        <v>21</v>
      </c>
      <c r="G301" t="s">
        <v>1266</v>
      </c>
    </row>
    <row r="302" spans="1:7">
      <c r="A302">
        <v>301</v>
      </c>
      <c r="B302" t="s">
        <v>1373</v>
      </c>
      <c r="C302" t="s">
        <v>25</v>
      </c>
      <c r="E302" t="s">
        <v>1371</v>
      </c>
      <c r="F302" t="s">
        <v>21</v>
      </c>
      <c r="G302" t="s">
        <v>1267</v>
      </c>
    </row>
    <row r="303" spans="1:7">
      <c r="A303">
        <v>302</v>
      </c>
      <c r="B303" t="s">
        <v>1373</v>
      </c>
      <c r="C303" t="s">
        <v>25</v>
      </c>
      <c r="E303" t="s">
        <v>26</v>
      </c>
      <c r="F303" t="s">
        <v>21</v>
      </c>
      <c r="G303" t="s">
        <v>1268</v>
      </c>
    </row>
    <row r="304" spans="1:7">
      <c r="A304">
        <v>303</v>
      </c>
      <c r="B304" t="s">
        <v>1373</v>
      </c>
      <c r="C304" t="s">
        <v>25</v>
      </c>
      <c r="E304" t="s">
        <v>28</v>
      </c>
      <c r="F304" t="s">
        <v>21</v>
      </c>
      <c r="G304" t="s">
        <v>1269</v>
      </c>
    </row>
    <row r="305" spans="1:7">
      <c r="A305">
        <v>304</v>
      </c>
      <c r="B305" t="s">
        <v>1373</v>
      </c>
      <c r="C305" t="s">
        <v>25</v>
      </c>
      <c r="E305" t="s">
        <v>1357</v>
      </c>
      <c r="F305" t="s">
        <v>1374</v>
      </c>
      <c r="G305" t="s">
        <v>1270</v>
      </c>
    </row>
    <row r="306" spans="1:7">
      <c r="A306">
        <v>305</v>
      </c>
      <c r="B306" t="s">
        <v>1373</v>
      </c>
      <c r="C306" t="s">
        <v>25</v>
      </c>
      <c r="E306" t="s">
        <v>1371</v>
      </c>
      <c r="F306" t="s">
        <v>1374</v>
      </c>
      <c r="G306" t="s">
        <v>1271</v>
      </c>
    </row>
    <row r="307" spans="1:7">
      <c r="A307">
        <v>306</v>
      </c>
      <c r="B307" t="s">
        <v>1373</v>
      </c>
      <c r="C307" t="s">
        <v>25</v>
      </c>
      <c r="E307" t="s">
        <v>26</v>
      </c>
      <c r="F307" t="s">
        <v>1374</v>
      </c>
      <c r="G307" t="s">
        <v>1272</v>
      </c>
    </row>
    <row r="308" spans="1:7">
      <c r="A308">
        <v>307</v>
      </c>
      <c r="B308" t="s">
        <v>1373</v>
      </c>
      <c r="C308" t="s">
        <v>25</v>
      </c>
      <c r="E308" t="s">
        <v>28</v>
      </c>
      <c r="F308" t="s">
        <v>1374</v>
      </c>
      <c r="G308" t="s">
        <v>1273</v>
      </c>
    </row>
    <row r="309" spans="1:7">
      <c r="A309">
        <v>308</v>
      </c>
      <c r="B309" t="s">
        <v>1375</v>
      </c>
      <c r="C309" t="s">
        <v>19</v>
      </c>
      <c r="E309" t="s">
        <v>1357</v>
      </c>
      <c r="F309" t="s">
        <v>1358</v>
      </c>
      <c r="G309" t="s">
        <v>1274</v>
      </c>
    </row>
    <row r="310" spans="1:7">
      <c r="A310">
        <v>309</v>
      </c>
      <c r="B310" t="s">
        <v>1375</v>
      </c>
      <c r="C310" t="s">
        <v>19</v>
      </c>
      <c r="E310" t="s">
        <v>1357</v>
      </c>
      <c r="F310" t="s">
        <v>1359</v>
      </c>
      <c r="G310" t="s">
        <v>1275</v>
      </c>
    </row>
    <row r="311" spans="1:7">
      <c r="A311">
        <v>310</v>
      </c>
      <c r="B311" t="s">
        <v>1375</v>
      </c>
      <c r="C311" t="s">
        <v>19</v>
      </c>
      <c r="E311" t="s">
        <v>1357</v>
      </c>
      <c r="F311" t="s">
        <v>1360</v>
      </c>
      <c r="G311" t="s">
        <v>1276</v>
      </c>
    </row>
    <row r="312" spans="1:7">
      <c r="A312">
        <v>311</v>
      </c>
      <c r="B312" t="s">
        <v>1375</v>
      </c>
      <c r="C312" t="s">
        <v>19</v>
      </c>
      <c r="E312" t="s">
        <v>1357</v>
      </c>
      <c r="F312" t="s">
        <v>1361</v>
      </c>
      <c r="G312" t="s">
        <v>1277</v>
      </c>
    </row>
    <row r="313" spans="1:7">
      <c r="A313">
        <v>312</v>
      </c>
      <c r="B313" t="s">
        <v>1375</v>
      </c>
      <c r="C313" t="s">
        <v>19</v>
      </c>
      <c r="E313" t="s">
        <v>1357</v>
      </c>
      <c r="F313" t="s">
        <v>21</v>
      </c>
      <c r="G313" t="s">
        <v>1278</v>
      </c>
    </row>
    <row r="314" spans="1:7">
      <c r="A314">
        <v>313</v>
      </c>
      <c r="B314" t="s">
        <v>1375</v>
      </c>
      <c r="C314" t="s">
        <v>19</v>
      </c>
      <c r="E314" t="s">
        <v>1362</v>
      </c>
      <c r="F314" t="s">
        <v>21</v>
      </c>
      <c r="G314" t="s">
        <v>1279</v>
      </c>
    </row>
    <row r="315" spans="1:7">
      <c r="A315">
        <v>314</v>
      </c>
      <c r="B315" t="s">
        <v>1375</v>
      </c>
      <c r="C315" t="s">
        <v>19</v>
      </c>
      <c r="E315" t="s">
        <v>1363</v>
      </c>
      <c r="F315" t="s">
        <v>21</v>
      </c>
      <c r="G315" t="s">
        <v>1280</v>
      </c>
    </row>
    <row r="316" spans="1:7">
      <c r="A316">
        <v>315</v>
      </c>
      <c r="B316" t="s">
        <v>1375</v>
      </c>
      <c r="C316" t="s">
        <v>19</v>
      </c>
      <c r="E316" t="s">
        <v>20</v>
      </c>
      <c r="F316" t="s">
        <v>21</v>
      </c>
      <c r="G316" t="s">
        <v>1281</v>
      </c>
    </row>
    <row r="317" spans="1:7">
      <c r="A317">
        <v>316</v>
      </c>
      <c r="B317" t="s">
        <v>1375</v>
      </c>
      <c r="C317" t="s">
        <v>19</v>
      </c>
      <c r="E317" t="s">
        <v>1357</v>
      </c>
      <c r="F317" t="s">
        <v>1374</v>
      </c>
      <c r="G317" t="s">
        <v>1282</v>
      </c>
    </row>
    <row r="318" spans="1:7">
      <c r="A318">
        <v>317</v>
      </c>
      <c r="B318" t="s">
        <v>1375</v>
      </c>
      <c r="C318" t="s">
        <v>19</v>
      </c>
      <c r="E318" t="s">
        <v>1362</v>
      </c>
      <c r="F318" t="s">
        <v>1374</v>
      </c>
      <c r="G318" t="s">
        <v>1283</v>
      </c>
    </row>
    <row r="319" spans="1:7">
      <c r="A319">
        <v>318</v>
      </c>
      <c r="B319" t="s">
        <v>1375</v>
      </c>
      <c r="C319" t="s">
        <v>19</v>
      </c>
      <c r="E319" t="s">
        <v>1363</v>
      </c>
      <c r="F319" t="s">
        <v>1374</v>
      </c>
      <c r="G319" t="s">
        <v>1284</v>
      </c>
    </row>
    <row r="320" spans="1:7">
      <c r="A320">
        <v>319</v>
      </c>
      <c r="B320" t="s">
        <v>1375</v>
      </c>
      <c r="C320" t="s">
        <v>19</v>
      </c>
      <c r="E320" t="s">
        <v>20</v>
      </c>
      <c r="F320" t="s">
        <v>1374</v>
      </c>
      <c r="G320" t="s">
        <v>1285</v>
      </c>
    </row>
    <row r="321" spans="1:7">
      <c r="A321">
        <v>320</v>
      </c>
      <c r="B321" t="s">
        <v>1375</v>
      </c>
      <c r="C321" t="s">
        <v>1366</v>
      </c>
      <c r="E321" t="s">
        <v>1357</v>
      </c>
      <c r="F321" t="s">
        <v>1358</v>
      </c>
      <c r="G321" t="s">
        <v>1286</v>
      </c>
    </row>
    <row r="322" spans="1:7">
      <c r="A322">
        <v>321</v>
      </c>
      <c r="B322" t="s">
        <v>1375</v>
      </c>
      <c r="C322" t="s">
        <v>1366</v>
      </c>
      <c r="E322" t="s">
        <v>1357</v>
      </c>
      <c r="F322" t="s">
        <v>1359</v>
      </c>
      <c r="G322" t="s">
        <v>1287</v>
      </c>
    </row>
    <row r="323" spans="1:7">
      <c r="A323">
        <v>322</v>
      </c>
      <c r="B323" t="s">
        <v>1375</v>
      </c>
      <c r="C323" t="s">
        <v>1366</v>
      </c>
      <c r="E323" t="s">
        <v>1357</v>
      </c>
      <c r="F323" t="s">
        <v>1360</v>
      </c>
      <c r="G323" t="s">
        <v>1288</v>
      </c>
    </row>
    <row r="324" spans="1:7">
      <c r="A324">
        <v>323</v>
      </c>
      <c r="B324" t="s">
        <v>1375</v>
      </c>
      <c r="C324" t="s">
        <v>1366</v>
      </c>
      <c r="E324" t="s">
        <v>1357</v>
      </c>
      <c r="F324" t="s">
        <v>1361</v>
      </c>
      <c r="G324" t="s">
        <v>1289</v>
      </c>
    </row>
    <row r="325" spans="1:7">
      <c r="A325">
        <v>324</v>
      </c>
      <c r="B325" t="s">
        <v>1375</v>
      </c>
      <c r="C325" t="s">
        <v>1366</v>
      </c>
      <c r="E325" t="s">
        <v>1357</v>
      </c>
      <c r="F325" t="s">
        <v>21</v>
      </c>
      <c r="G325" t="s">
        <v>1290</v>
      </c>
    </row>
    <row r="326" spans="1:7">
      <c r="A326">
        <v>325</v>
      </c>
      <c r="B326" t="s">
        <v>1375</v>
      </c>
      <c r="C326" t="s">
        <v>1366</v>
      </c>
      <c r="E326" t="s">
        <v>1362</v>
      </c>
      <c r="F326" t="s">
        <v>21</v>
      </c>
      <c r="G326" t="s">
        <v>1291</v>
      </c>
    </row>
    <row r="327" spans="1:7">
      <c r="A327">
        <v>326</v>
      </c>
      <c r="B327" t="s">
        <v>1375</v>
      </c>
      <c r="C327" t="s">
        <v>1366</v>
      </c>
      <c r="E327" t="s">
        <v>1363</v>
      </c>
      <c r="F327" t="s">
        <v>21</v>
      </c>
      <c r="G327" t="s">
        <v>1292</v>
      </c>
    </row>
    <row r="328" spans="1:7">
      <c r="A328">
        <v>327</v>
      </c>
      <c r="B328" t="s">
        <v>1375</v>
      </c>
      <c r="C328" t="s">
        <v>1366</v>
      </c>
      <c r="E328" t="s">
        <v>20</v>
      </c>
      <c r="F328" t="s">
        <v>21</v>
      </c>
      <c r="G328" t="s">
        <v>1293</v>
      </c>
    </row>
    <row r="329" spans="1:7">
      <c r="A329">
        <v>328</v>
      </c>
      <c r="B329" t="s">
        <v>1375</v>
      </c>
      <c r="C329" t="s">
        <v>1366</v>
      </c>
      <c r="E329" t="s">
        <v>1357</v>
      </c>
      <c r="F329" t="s">
        <v>1374</v>
      </c>
      <c r="G329" t="s">
        <v>1294</v>
      </c>
    </row>
    <row r="330" spans="1:7">
      <c r="A330">
        <v>329</v>
      </c>
      <c r="B330" t="s">
        <v>1375</v>
      </c>
      <c r="C330" t="s">
        <v>1366</v>
      </c>
      <c r="E330" t="s">
        <v>1362</v>
      </c>
      <c r="F330" t="s">
        <v>1374</v>
      </c>
      <c r="G330" t="s">
        <v>1295</v>
      </c>
    </row>
    <row r="331" spans="1:7">
      <c r="A331">
        <v>330</v>
      </c>
      <c r="B331" t="s">
        <v>1375</v>
      </c>
      <c r="C331" t="s">
        <v>1366</v>
      </c>
      <c r="E331" t="s">
        <v>20</v>
      </c>
      <c r="F331" t="s">
        <v>1374</v>
      </c>
      <c r="G331" t="s">
        <v>1296</v>
      </c>
    </row>
    <row r="332" spans="1:7">
      <c r="A332">
        <v>331</v>
      </c>
      <c r="B332" t="s">
        <v>1375</v>
      </c>
      <c r="C332" t="s">
        <v>1368</v>
      </c>
      <c r="E332" t="s">
        <v>1357</v>
      </c>
      <c r="F332" t="s">
        <v>1359</v>
      </c>
      <c r="G332" t="s">
        <v>1297</v>
      </c>
    </row>
    <row r="333" spans="1:7">
      <c r="A333">
        <v>332</v>
      </c>
      <c r="B333" t="s">
        <v>1375</v>
      </c>
      <c r="C333" t="s">
        <v>1368</v>
      </c>
      <c r="E333" t="s">
        <v>1357</v>
      </c>
      <c r="F333" t="s">
        <v>1360</v>
      </c>
      <c r="G333" t="s">
        <v>1298</v>
      </c>
    </row>
    <row r="334" spans="1:7">
      <c r="A334">
        <v>333</v>
      </c>
      <c r="B334" t="s">
        <v>1375</v>
      </c>
      <c r="C334" t="s">
        <v>1368</v>
      </c>
      <c r="E334" t="s">
        <v>1357</v>
      </c>
      <c r="F334" t="s">
        <v>1361</v>
      </c>
      <c r="G334" t="s">
        <v>1299</v>
      </c>
    </row>
    <row r="335" spans="1:7">
      <c r="A335">
        <v>334</v>
      </c>
      <c r="B335" t="s">
        <v>1375</v>
      </c>
      <c r="C335" t="s">
        <v>1368</v>
      </c>
      <c r="E335" t="s">
        <v>1357</v>
      </c>
      <c r="F335" t="s">
        <v>1367</v>
      </c>
      <c r="G335" t="s">
        <v>1300</v>
      </c>
    </row>
    <row r="336" spans="1:7">
      <c r="A336">
        <v>335</v>
      </c>
      <c r="B336" t="s">
        <v>1375</v>
      </c>
      <c r="C336" t="s">
        <v>1368</v>
      </c>
      <c r="E336" t="s">
        <v>1357</v>
      </c>
      <c r="F336" t="s">
        <v>21</v>
      </c>
      <c r="G336" t="s">
        <v>1301</v>
      </c>
    </row>
    <row r="337" spans="1:7">
      <c r="A337">
        <v>336</v>
      </c>
      <c r="B337" t="s">
        <v>1375</v>
      </c>
      <c r="C337" t="s">
        <v>1368</v>
      </c>
      <c r="E337" t="s">
        <v>1362</v>
      </c>
      <c r="F337" t="s">
        <v>21</v>
      </c>
      <c r="G337" t="s">
        <v>1302</v>
      </c>
    </row>
    <row r="338" spans="1:7">
      <c r="A338">
        <v>337</v>
      </c>
      <c r="B338" t="s">
        <v>1375</v>
      </c>
      <c r="C338" t="s">
        <v>1368</v>
      </c>
      <c r="E338" t="s">
        <v>1357</v>
      </c>
      <c r="F338" t="s">
        <v>1374</v>
      </c>
      <c r="G338" t="s">
        <v>1303</v>
      </c>
    </row>
    <row r="339" spans="1:7">
      <c r="A339">
        <v>338</v>
      </c>
      <c r="B339" t="s">
        <v>1375</v>
      </c>
      <c r="C339" t="s">
        <v>1369</v>
      </c>
      <c r="E339" t="s">
        <v>1357</v>
      </c>
      <c r="F339" t="s">
        <v>1367</v>
      </c>
      <c r="G339" t="s">
        <v>1304</v>
      </c>
    </row>
    <row r="340" spans="1:7">
      <c r="A340">
        <v>339</v>
      </c>
      <c r="B340" t="s">
        <v>1375</v>
      </c>
      <c r="C340" t="s">
        <v>1369</v>
      </c>
      <c r="E340" t="s">
        <v>1362</v>
      </c>
      <c r="F340" t="s">
        <v>1367</v>
      </c>
      <c r="G340" t="s">
        <v>1305</v>
      </c>
    </row>
    <row r="341" spans="1:7">
      <c r="A341">
        <v>340</v>
      </c>
      <c r="B341" t="s">
        <v>1375</v>
      </c>
      <c r="C341" t="s">
        <v>1369</v>
      </c>
      <c r="E341" t="s">
        <v>1357</v>
      </c>
      <c r="F341" t="s">
        <v>21</v>
      </c>
      <c r="G341" t="s">
        <v>1306</v>
      </c>
    </row>
    <row r="342" spans="1:7">
      <c r="A342">
        <v>341</v>
      </c>
      <c r="B342" t="s">
        <v>1375</v>
      </c>
      <c r="C342" t="s">
        <v>1369</v>
      </c>
      <c r="E342" t="s">
        <v>1362</v>
      </c>
      <c r="F342" t="s">
        <v>21</v>
      </c>
      <c r="G342" t="s">
        <v>1307</v>
      </c>
    </row>
    <row r="343" spans="1:7">
      <c r="A343">
        <v>342</v>
      </c>
      <c r="B343" t="s">
        <v>1375</v>
      </c>
      <c r="C343" t="s">
        <v>1369</v>
      </c>
      <c r="E343" t="s">
        <v>1363</v>
      </c>
      <c r="F343" t="s">
        <v>21</v>
      </c>
      <c r="G343" t="s">
        <v>1308</v>
      </c>
    </row>
    <row r="344" spans="1:7">
      <c r="A344">
        <v>343</v>
      </c>
      <c r="B344" t="s">
        <v>1375</v>
      </c>
      <c r="C344" t="s">
        <v>1369</v>
      </c>
      <c r="E344" t="s">
        <v>20</v>
      </c>
      <c r="F344" t="s">
        <v>21</v>
      </c>
      <c r="G344" t="s">
        <v>1309</v>
      </c>
    </row>
    <row r="345" spans="1:7">
      <c r="A345">
        <v>344</v>
      </c>
      <c r="B345" t="s">
        <v>1375</v>
      </c>
      <c r="C345" t="s">
        <v>1369</v>
      </c>
      <c r="E345" t="s">
        <v>1357</v>
      </c>
      <c r="F345" t="s">
        <v>1374</v>
      </c>
      <c r="G345" t="s">
        <v>1310</v>
      </c>
    </row>
    <row r="346" spans="1:7">
      <c r="A346">
        <v>345</v>
      </c>
      <c r="B346" t="s">
        <v>1375</v>
      </c>
      <c r="C346" t="s">
        <v>1369</v>
      </c>
      <c r="E346" t="s">
        <v>1363</v>
      </c>
      <c r="F346" t="s">
        <v>1374</v>
      </c>
      <c r="G346" t="s">
        <v>1311</v>
      </c>
    </row>
    <row r="347" spans="1:7">
      <c r="A347">
        <v>346</v>
      </c>
      <c r="B347" t="s">
        <v>1375</v>
      </c>
      <c r="C347" t="s">
        <v>1369</v>
      </c>
      <c r="E347" t="s">
        <v>20</v>
      </c>
      <c r="F347" t="s">
        <v>1374</v>
      </c>
      <c r="G347" t="s">
        <v>1312</v>
      </c>
    </row>
    <row r="348" spans="1:7">
      <c r="A348">
        <v>347</v>
      </c>
      <c r="B348" t="s">
        <v>1375</v>
      </c>
      <c r="C348" t="s">
        <v>1372</v>
      </c>
      <c r="E348" t="s">
        <v>1357</v>
      </c>
      <c r="F348" t="s">
        <v>1367</v>
      </c>
      <c r="G348" t="s">
        <v>1313</v>
      </c>
    </row>
    <row r="349" spans="1:7">
      <c r="A349">
        <v>348</v>
      </c>
      <c r="B349" t="s">
        <v>1375</v>
      </c>
      <c r="C349" t="s">
        <v>1372</v>
      </c>
      <c r="E349" t="s">
        <v>1362</v>
      </c>
      <c r="F349" t="s">
        <v>1367</v>
      </c>
      <c r="G349" t="s">
        <v>1314</v>
      </c>
    </row>
    <row r="350" spans="1:7">
      <c r="A350">
        <v>349</v>
      </c>
      <c r="B350" t="s">
        <v>1375</v>
      </c>
      <c r="C350" t="s">
        <v>1372</v>
      </c>
      <c r="E350" t="s">
        <v>1357</v>
      </c>
      <c r="F350" t="s">
        <v>21</v>
      </c>
      <c r="G350" t="s">
        <v>1315</v>
      </c>
    </row>
    <row r="351" spans="1:7">
      <c r="A351">
        <v>350</v>
      </c>
      <c r="B351" t="s">
        <v>1375</v>
      </c>
      <c r="C351" t="s">
        <v>1372</v>
      </c>
      <c r="E351" t="s">
        <v>1362</v>
      </c>
      <c r="F351" t="s">
        <v>21</v>
      </c>
      <c r="G351" t="s">
        <v>1316</v>
      </c>
    </row>
    <row r="352" spans="1:7">
      <c r="A352">
        <v>351</v>
      </c>
      <c r="B352" t="s">
        <v>1375</v>
      </c>
      <c r="C352" t="s">
        <v>1370</v>
      </c>
      <c r="E352" t="s">
        <v>1357</v>
      </c>
      <c r="F352" t="s">
        <v>1358</v>
      </c>
      <c r="G352" t="s">
        <v>1317</v>
      </c>
    </row>
    <row r="353" spans="1:7">
      <c r="A353">
        <v>352</v>
      </c>
      <c r="B353" t="s">
        <v>1375</v>
      </c>
      <c r="C353" t="s">
        <v>1370</v>
      </c>
      <c r="E353" t="s">
        <v>1357</v>
      </c>
      <c r="F353" t="s">
        <v>1359</v>
      </c>
      <c r="G353" t="s">
        <v>1318</v>
      </c>
    </row>
    <row r="354" spans="1:7">
      <c r="A354">
        <v>353</v>
      </c>
      <c r="B354" t="s">
        <v>1375</v>
      </c>
      <c r="C354" t="s">
        <v>1370</v>
      </c>
      <c r="E354" t="s">
        <v>1357</v>
      </c>
      <c r="F354" t="s">
        <v>1360</v>
      </c>
      <c r="G354" t="s">
        <v>1319</v>
      </c>
    </row>
    <row r="355" spans="1:7">
      <c r="A355">
        <v>354</v>
      </c>
      <c r="B355" t="s">
        <v>1375</v>
      </c>
      <c r="C355" t="s">
        <v>1370</v>
      </c>
      <c r="E355" t="s">
        <v>1357</v>
      </c>
      <c r="F355" t="s">
        <v>1367</v>
      </c>
      <c r="G355" t="s">
        <v>1320</v>
      </c>
    </row>
    <row r="356" spans="1:7">
      <c r="A356">
        <v>355</v>
      </c>
      <c r="B356" t="s">
        <v>1375</v>
      </c>
      <c r="C356" t="s">
        <v>1370</v>
      </c>
      <c r="E356" t="s">
        <v>1362</v>
      </c>
      <c r="F356" t="s">
        <v>1367</v>
      </c>
      <c r="G356" t="s">
        <v>1321</v>
      </c>
    </row>
    <row r="357" spans="1:7">
      <c r="A357">
        <v>356</v>
      </c>
      <c r="B357" t="s">
        <v>1375</v>
      </c>
      <c r="C357" t="s">
        <v>1370</v>
      </c>
      <c r="E357" t="s">
        <v>1357</v>
      </c>
      <c r="F357" t="s">
        <v>21</v>
      </c>
      <c r="G357" t="s">
        <v>1322</v>
      </c>
    </row>
    <row r="358" spans="1:7">
      <c r="A358">
        <v>357</v>
      </c>
      <c r="B358" t="s">
        <v>1375</v>
      </c>
      <c r="C358" t="s">
        <v>25</v>
      </c>
      <c r="E358" t="s">
        <v>1357</v>
      </c>
      <c r="F358" t="s">
        <v>1367</v>
      </c>
      <c r="G358" t="s">
        <v>1323</v>
      </c>
    </row>
    <row r="359" spans="1:7">
      <c r="A359">
        <v>358</v>
      </c>
      <c r="B359" t="s">
        <v>1375</v>
      </c>
      <c r="C359" t="s">
        <v>25</v>
      </c>
      <c r="E359" t="s">
        <v>1357</v>
      </c>
      <c r="F359" t="s">
        <v>21</v>
      </c>
      <c r="G359" t="s">
        <v>1324</v>
      </c>
    </row>
    <row r="360" spans="1:7">
      <c r="A360">
        <v>359</v>
      </c>
      <c r="B360" t="s">
        <v>1375</v>
      </c>
      <c r="C360" t="s">
        <v>25</v>
      </c>
      <c r="E360" t="s">
        <v>1371</v>
      </c>
      <c r="F360" t="s">
        <v>21</v>
      </c>
      <c r="G360" t="s">
        <v>1325</v>
      </c>
    </row>
    <row r="361" spans="1:7">
      <c r="A361">
        <v>360</v>
      </c>
      <c r="B361" t="s">
        <v>1375</v>
      </c>
      <c r="C361" t="s">
        <v>25</v>
      </c>
      <c r="E361" t="s">
        <v>26</v>
      </c>
      <c r="F361" t="s">
        <v>21</v>
      </c>
      <c r="G361" t="s">
        <v>1326</v>
      </c>
    </row>
    <row r="362" spans="1:7">
      <c r="A362">
        <v>361</v>
      </c>
      <c r="B362" t="s">
        <v>1375</v>
      </c>
      <c r="C362" t="s">
        <v>25</v>
      </c>
      <c r="E362" t="s">
        <v>28</v>
      </c>
      <c r="F362" t="s">
        <v>21</v>
      </c>
      <c r="G362" t="s">
        <v>1327</v>
      </c>
    </row>
    <row r="363" spans="1:7">
      <c r="A363">
        <v>362</v>
      </c>
      <c r="B363" t="s">
        <v>1375</v>
      </c>
      <c r="C363" t="s">
        <v>25</v>
      </c>
      <c r="E363" t="s">
        <v>1357</v>
      </c>
      <c r="F363" t="s">
        <v>1374</v>
      </c>
      <c r="G363" t="s">
        <v>1328</v>
      </c>
    </row>
    <row r="364" spans="1:7">
      <c r="A364">
        <v>363</v>
      </c>
      <c r="B364" t="s">
        <v>1375</v>
      </c>
      <c r="C364" t="s">
        <v>25</v>
      </c>
      <c r="E364" t="s">
        <v>1371</v>
      </c>
      <c r="F364" t="s">
        <v>1374</v>
      </c>
      <c r="G364" t="s">
        <v>1329</v>
      </c>
    </row>
    <row r="365" spans="1:7">
      <c r="A365">
        <v>364</v>
      </c>
      <c r="B365" t="s">
        <v>1375</v>
      </c>
      <c r="C365" t="s">
        <v>25</v>
      </c>
      <c r="E365" t="s">
        <v>26</v>
      </c>
      <c r="F365" t="s">
        <v>1374</v>
      </c>
      <c r="G365" t="s">
        <v>1330</v>
      </c>
    </row>
    <row r="366" spans="1:7">
      <c r="A366">
        <v>365</v>
      </c>
      <c r="B366" t="s">
        <v>1375</v>
      </c>
      <c r="C366" t="s">
        <v>25</v>
      </c>
      <c r="E366" t="s">
        <v>28</v>
      </c>
      <c r="F366" t="s">
        <v>1374</v>
      </c>
      <c r="G366" t="s">
        <v>1331</v>
      </c>
    </row>
    <row r="367" spans="1:7">
      <c r="A367">
        <v>366</v>
      </c>
      <c r="B367" t="s">
        <v>1376</v>
      </c>
      <c r="C367" t="s">
        <v>750</v>
      </c>
      <c r="E367" t="s">
        <v>1377</v>
      </c>
      <c r="F367" t="s">
        <v>750</v>
      </c>
      <c r="G367" t="s">
        <v>1332</v>
      </c>
    </row>
    <row r="368" spans="1:7">
      <c r="A368">
        <v>367</v>
      </c>
      <c r="B368" t="s">
        <v>1376</v>
      </c>
      <c r="C368" t="s">
        <v>750</v>
      </c>
      <c r="E368" t="s">
        <v>1378</v>
      </c>
      <c r="F368" t="s">
        <v>750</v>
      </c>
      <c r="G368" t="s">
        <v>1333</v>
      </c>
    </row>
    <row r="369" spans="1:7">
      <c r="A369">
        <v>368</v>
      </c>
      <c r="B369" t="s">
        <v>1376</v>
      </c>
      <c r="C369" t="s">
        <v>750</v>
      </c>
      <c r="E369" t="s">
        <v>1379</v>
      </c>
      <c r="F369" t="s">
        <v>750</v>
      </c>
      <c r="G369" t="s">
        <v>1334</v>
      </c>
    </row>
    <row r="370" spans="1:7">
      <c r="A370">
        <v>369</v>
      </c>
      <c r="B370" t="s">
        <v>1376</v>
      </c>
      <c r="C370" t="s">
        <v>750</v>
      </c>
      <c r="E370" t="s">
        <v>1380</v>
      </c>
      <c r="F370" t="s">
        <v>750</v>
      </c>
      <c r="G370" t="s">
        <v>1335</v>
      </c>
    </row>
    <row r="371" spans="1:7">
      <c r="A371">
        <v>370</v>
      </c>
      <c r="B371" t="s">
        <v>1376</v>
      </c>
      <c r="C371" t="s">
        <v>750</v>
      </c>
      <c r="E371" t="s">
        <v>1381</v>
      </c>
      <c r="F371" t="s">
        <v>750</v>
      </c>
      <c r="G371" t="s">
        <v>1336</v>
      </c>
    </row>
    <row r="372" spans="1:7">
      <c r="A372">
        <v>371</v>
      </c>
      <c r="B372" t="s">
        <v>1376</v>
      </c>
      <c r="C372" t="s">
        <v>750</v>
      </c>
      <c r="E372" t="s">
        <v>1382</v>
      </c>
      <c r="F372" t="s">
        <v>750</v>
      </c>
      <c r="G372" t="s">
        <v>1337</v>
      </c>
    </row>
    <row r="373" spans="1:7">
      <c r="A373">
        <v>372</v>
      </c>
      <c r="B373" t="s">
        <v>1376</v>
      </c>
      <c r="C373" t="s">
        <v>750</v>
      </c>
      <c r="E373" t="s">
        <v>1383</v>
      </c>
      <c r="F373" t="s">
        <v>750</v>
      </c>
      <c r="G373" t="s">
        <v>1338</v>
      </c>
    </row>
    <row r="374" spans="1:7">
      <c r="A374">
        <v>373</v>
      </c>
      <c r="B374" t="s">
        <v>1376</v>
      </c>
      <c r="C374" t="s">
        <v>750</v>
      </c>
      <c r="E374" t="s">
        <v>1384</v>
      </c>
      <c r="F374" t="s">
        <v>750</v>
      </c>
      <c r="G374" t="s">
        <v>1339</v>
      </c>
    </row>
    <row r="375" spans="1:7">
      <c r="A375">
        <v>374</v>
      </c>
      <c r="B375" t="s">
        <v>1376</v>
      </c>
      <c r="C375" t="s">
        <v>750</v>
      </c>
      <c r="E375" t="s">
        <v>1385</v>
      </c>
      <c r="F375" t="s">
        <v>750</v>
      </c>
      <c r="G375" t="s">
        <v>1340</v>
      </c>
    </row>
    <row r="376" spans="1:7">
      <c r="A376">
        <v>375</v>
      </c>
      <c r="B376" t="s">
        <v>1376</v>
      </c>
      <c r="C376" t="s">
        <v>750</v>
      </c>
      <c r="E376" t="s">
        <v>1386</v>
      </c>
      <c r="F376" t="s">
        <v>750</v>
      </c>
      <c r="G376" t="s">
        <v>1341</v>
      </c>
    </row>
    <row r="377" spans="1:7">
      <c r="A377">
        <v>376</v>
      </c>
      <c r="B377" t="s">
        <v>1387</v>
      </c>
      <c r="C377" t="s">
        <v>750</v>
      </c>
      <c r="E377" t="s">
        <v>1377</v>
      </c>
      <c r="F377" t="s">
        <v>750</v>
      </c>
      <c r="G377" t="s">
        <v>1342</v>
      </c>
    </row>
    <row r="378" spans="1:7">
      <c r="A378">
        <v>377</v>
      </c>
      <c r="B378" t="s">
        <v>1387</v>
      </c>
      <c r="C378" t="s">
        <v>750</v>
      </c>
      <c r="E378" t="s">
        <v>1378</v>
      </c>
      <c r="F378" t="s">
        <v>750</v>
      </c>
      <c r="G378" t="s">
        <v>1343</v>
      </c>
    </row>
    <row r="379" spans="1:7">
      <c r="A379">
        <v>378</v>
      </c>
      <c r="B379" t="s">
        <v>1387</v>
      </c>
      <c r="C379" t="s">
        <v>750</v>
      </c>
      <c r="E379" t="s">
        <v>1379</v>
      </c>
      <c r="F379" t="s">
        <v>750</v>
      </c>
      <c r="G379" t="s">
        <v>1344</v>
      </c>
    </row>
    <row r="380" spans="1:7">
      <c r="A380">
        <v>379</v>
      </c>
      <c r="B380" t="s">
        <v>1387</v>
      </c>
      <c r="C380" t="s">
        <v>750</v>
      </c>
      <c r="E380" t="s">
        <v>1380</v>
      </c>
      <c r="F380" t="s">
        <v>750</v>
      </c>
      <c r="G380" t="s">
        <v>1345</v>
      </c>
    </row>
    <row r="381" spans="1:7">
      <c r="A381">
        <v>380</v>
      </c>
      <c r="B381" t="s">
        <v>1387</v>
      </c>
      <c r="C381" t="s">
        <v>750</v>
      </c>
      <c r="E381" t="s">
        <v>1381</v>
      </c>
      <c r="F381" t="s">
        <v>750</v>
      </c>
      <c r="G381" t="s">
        <v>1346</v>
      </c>
    </row>
    <row r="382" spans="1:7">
      <c r="A382">
        <v>381</v>
      </c>
      <c r="B382" t="s">
        <v>1387</v>
      </c>
      <c r="C382" t="s">
        <v>750</v>
      </c>
      <c r="E382" t="s">
        <v>1382</v>
      </c>
      <c r="F382" t="s">
        <v>750</v>
      </c>
      <c r="G382" t="s">
        <v>1347</v>
      </c>
    </row>
    <row r="383" spans="1:7">
      <c r="A383">
        <v>382</v>
      </c>
      <c r="B383" t="s">
        <v>1387</v>
      </c>
      <c r="C383" t="s">
        <v>750</v>
      </c>
      <c r="E383" t="s">
        <v>1383</v>
      </c>
      <c r="F383" t="s">
        <v>750</v>
      </c>
      <c r="G383" t="s">
        <v>1348</v>
      </c>
    </row>
    <row r="384" spans="1:7">
      <c r="A384">
        <v>383</v>
      </c>
      <c r="B384" t="s">
        <v>1387</v>
      </c>
      <c r="C384" t="s">
        <v>750</v>
      </c>
      <c r="E384" t="s">
        <v>1384</v>
      </c>
      <c r="F384" t="s">
        <v>750</v>
      </c>
      <c r="G384" t="s">
        <v>1349</v>
      </c>
    </row>
    <row r="385" spans="1:7">
      <c r="A385">
        <v>384</v>
      </c>
      <c r="B385" t="s">
        <v>1387</v>
      </c>
      <c r="C385" t="s">
        <v>750</v>
      </c>
      <c r="E385" t="s">
        <v>1385</v>
      </c>
      <c r="F385" t="s">
        <v>750</v>
      </c>
      <c r="G385" t="s">
        <v>1350</v>
      </c>
    </row>
    <row r="386" spans="1:7">
      <c r="A386">
        <v>385</v>
      </c>
      <c r="B386" t="s">
        <v>1387</v>
      </c>
      <c r="C386" t="s">
        <v>750</v>
      </c>
      <c r="E386" t="s">
        <v>1386</v>
      </c>
      <c r="F386" t="s">
        <v>750</v>
      </c>
      <c r="G386" t="s">
        <v>1351</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86"/>
  <sheetViews>
    <sheetView topLeftCell="D121" workbookViewId="0">
      <selection activeCell="F129" sqref="F129"/>
    </sheetView>
  </sheetViews>
  <sheetFormatPr defaultColWidth="8.7109375" defaultRowHeight="15"/>
  <cols>
    <col min="1" max="1" width="15" customWidth="1"/>
    <col min="2" max="2" width="80" customWidth="1"/>
    <col min="3" max="16" width="15" customWidth="1"/>
  </cols>
  <sheetData>
    <row r="1" spans="1:16">
      <c r="A1" s="2" t="s">
        <v>8</v>
      </c>
      <c r="B1" s="2" t="s">
        <v>9</v>
      </c>
      <c r="C1" s="2" t="s">
        <v>1388</v>
      </c>
      <c r="D1" s="2" t="s">
        <v>1389</v>
      </c>
      <c r="E1" s="2" t="s">
        <v>1390</v>
      </c>
      <c r="F1" s="2" t="s">
        <v>1391</v>
      </c>
      <c r="G1" s="2" t="s">
        <v>1392</v>
      </c>
      <c r="H1" s="2" t="s">
        <v>1393</v>
      </c>
      <c r="I1" s="2" t="s">
        <v>1394</v>
      </c>
      <c r="J1" s="2" t="s">
        <v>1395</v>
      </c>
      <c r="K1" s="2" t="s">
        <v>1396</v>
      </c>
      <c r="L1" s="2" t="s">
        <v>1397</v>
      </c>
      <c r="M1" s="2" t="s">
        <v>1398</v>
      </c>
      <c r="N1" s="2" t="s">
        <v>1399</v>
      </c>
      <c r="O1" s="2" t="s">
        <v>1400</v>
      </c>
      <c r="P1" s="2" t="s">
        <v>1401</v>
      </c>
    </row>
    <row r="2" spans="1:16">
      <c r="A2">
        <v>1</v>
      </c>
      <c r="B2" t="s">
        <v>958</v>
      </c>
      <c r="C2">
        <v>103.6</v>
      </c>
      <c r="D2">
        <v>89.7</v>
      </c>
      <c r="E2">
        <v>103.8</v>
      </c>
      <c r="F2">
        <v>91.5</v>
      </c>
      <c r="G2">
        <v>99</v>
      </c>
      <c r="H2">
        <v>102.4</v>
      </c>
      <c r="I2">
        <v>98.8</v>
      </c>
      <c r="J2">
        <v>102.9</v>
      </c>
      <c r="K2">
        <v>100.3</v>
      </c>
      <c r="L2">
        <v>99.5</v>
      </c>
      <c r="M2" t="s">
        <v>1402</v>
      </c>
      <c r="N2" t="s">
        <v>1403</v>
      </c>
      <c r="O2" t="s">
        <v>755</v>
      </c>
      <c r="P2" t="s">
        <v>755</v>
      </c>
    </row>
    <row r="3" spans="1:16">
      <c r="A3">
        <v>2</v>
      </c>
      <c r="B3" t="s">
        <v>971</v>
      </c>
      <c r="C3">
        <v>102.4</v>
      </c>
      <c r="D3">
        <v>92.7</v>
      </c>
      <c r="E3">
        <v>103.2</v>
      </c>
      <c r="F3">
        <v>90.5</v>
      </c>
      <c r="G3">
        <v>99.2</v>
      </c>
      <c r="H3">
        <v>102.6</v>
      </c>
      <c r="I3">
        <v>98</v>
      </c>
      <c r="J3">
        <v>105.9</v>
      </c>
      <c r="K3">
        <v>101.3</v>
      </c>
      <c r="L3">
        <v>96.2</v>
      </c>
      <c r="M3" t="s">
        <v>1404</v>
      </c>
      <c r="N3" t="s">
        <v>1405</v>
      </c>
      <c r="O3" t="s">
        <v>755</v>
      </c>
      <c r="P3" t="s">
        <v>755</v>
      </c>
    </row>
    <row r="4" spans="1:16">
      <c r="A4">
        <v>3</v>
      </c>
      <c r="B4" t="s">
        <v>972</v>
      </c>
      <c r="C4">
        <v>103.5</v>
      </c>
      <c r="D4">
        <v>84.2</v>
      </c>
      <c r="E4">
        <v>103.2</v>
      </c>
      <c r="F4">
        <v>84.8</v>
      </c>
      <c r="G4">
        <v>99.4</v>
      </c>
      <c r="H4">
        <v>102.2</v>
      </c>
      <c r="I4">
        <v>99.9</v>
      </c>
      <c r="J4">
        <v>100.2</v>
      </c>
      <c r="K4">
        <v>99.5</v>
      </c>
      <c r="L4">
        <v>103</v>
      </c>
      <c r="M4" t="s">
        <v>1406</v>
      </c>
      <c r="N4" t="s">
        <v>1407</v>
      </c>
      <c r="O4" t="s">
        <v>755</v>
      </c>
      <c r="P4" t="s">
        <v>755</v>
      </c>
    </row>
    <row r="5" spans="1:16">
      <c r="A5">
        <v>4</v>
      </c>
      <c r="B5" t="s">
        <v>973</v>
      </c>
      <c r="C5">
        <v>103.7</v>
      </c>
      <c r="D5">
        <v>74.599999999999994</v>
      </c>
      <c r="E5">
        <v>97</v>
      </c>
      <c r="F5">
        <v>119.4</v>
      </c>
      <c r="G5">
        <v>99.7</v>
      </c>
      <c r="H5">
        <v>102.5</v>
      </c>
      <c r="I5">
        <v>98.5</v>
      </c>
      <c r="J5">
        <v>108.2</v>
      </c>
      <c r="K5">
        <v>100.7</v>
      </c>
      <c r="L5">
        <v>96.4</v>
      </c>
      <c r="M5" t="s">
        <v>1408</v>
      </c>
      <c r="N5" t="s">
        <v>1409</v>
      </c>
      <c r="O5" t="s">
        <v>755</v>
      </c>
      <c r="P5" t="s">
        <v>755</v>
      </c>
    </row>
    <row r="6" spans="1:16">
      <c r="A6">
        <v>5</v>
      </c>
      <c r="B6" t="s">
        <v>974</v>
      </c>
      <c r="C6">
        <v>104.3</v>
      </c>
      <c r="D6">
        <v>82.2</v>
      </c>
      <c r="E6">
        <v>100.2</v>
      </c>
      <c r="F6">
        <v>98.9</v>
      </c>
      <c r="G6">
        <v>99.6</v>
      </c>
      <c r="H6">
        <v>102</v>
      </c>
      <c r="I6">
        <v>98.8</v>
      </c>
      <c r="J6">
        <v>105.4</v>
      </c>
      <c r="K6">
        <v>100.3</v>
      </c>
      <c r="L6">
        <v>98.1</v>
      </c>
      <c r="M6" t="s">
        <v>1410</v>
      </c>
      <c r="N6" t="s">
        <v>1411</v>
      </c>
      <c r="O6" t="s">
        <v>755</v>
      </c>
      <c r="P6" t="s">
        <v>755</v>
      </c>
    </row>
    <row r="7" spans="1:16">
      <c r="A7">
        <v>6</v>
      </c>
      <c r="B7" t="s">
        <v>975</v>
      </c>
      <c r="C7">
        <v>106.9</v>
      </c>
      <c r="D7">
        <v>90.4</v>
      </c>
      <c r="E7">
        <v>99.1</v>
      </c>
      <c r="F7">
        <v>102.3</v>
      </c>
      <c r="G7">
        <v>99.6</v>
      </c>
      <c r="H7">
        <v>100.7</v>
      </c>
      <c r="I7">
        <v>97</v>
      </c>
      <c r="J7">
        <v>104.5</v>
      </c>
      <c r="K7">
        <v>101.1</v>
      </c>
      <c r="L7">
        <v>98</v>
      </c>
      <c r="M7" t="s">
        <v>1412</v>
      </c>
      <c r="N7" t="s">
        <v>1413</v>
      </c>
      <c r="O7" t="s">
        <v>755</v>
      </c>
      <c r="P7" t="s">
        <v>755</v>
      </c>
    </row>
    <row r="8" spans="1:16">
      <c r="A8">
        <v>7</v>
      </c>
      <c r="B8" t="s">
        <v>976</v>
      </c>
      <c r="C8">
        <v>103.2</v>
      </c>
      <c r="D8">
        <v>77.5</v>
      </c>
      <c r="E8">
        <v>99.5</v>
      </c>
      <c r="F8">
        <v>102.4</v>
      </c>
      <c r="G8">
        <v>99.7</v>
      </c>
      <c r="H8">
        <v>102.7</v>
      </c>
      <c r="I8">
        <v>98.9</v>
      </c>
      <c r="J8">
        <v>109.1</v>
      </c>
      <c r="K8">
        <v>100.2</v>
      </c>
      <c r="L8">
        <v>96.2</v>
      </c>
      <c r="M8" t="s">
        <v>1414</v>
      </c>
      <c r="N8" t="s">
        <v>1415</v>
      </c>
      <c r="O8" t="s">
        <v>755</v>
      </c>
      <c r="P8" t="s">
        <v>755</v>
      </c>
    </row>
    <row r="9" spans="1:16">
      <c r="A9">
        <v>8</v>
      </c>
      <c r="B9" t="s">
        <v>977</v>
      </c>
      <c r="C9">
        <v>101.5</v>
      </c>
      <c r="D9">
        <v>80.8</v>
      </c>
      <c r="E9">
        <v>99.7</v>
      </c>
      <c r="F9">
        <v>101.2</v>
      </c>
      <c r="G9">
        <v>99.9</v>
      </c>
      <c r="H9">
        <v>101.9</v>
      </c>
      <c r="I9">
        <v>99.6</v>
      </c>
      <c r="J9">
        <v>105.5</v>
      </c>
      <c r="K9">
        <v>100.1</v>
      </c>
      <c r="L9">
        <v>98.6</v>
      </c>
      <c r="M9" t="s">
        <v>1416</v>
      </c>
      <c r="N9" t="s">
        <v>1417</v>
      </c>
      <c r="O9" t="s">
        <v>755</v>
      </c>
      <c r="P9" t="s">
        <v>755</v>
      </c>
    </row>
    <row r="10" spans="1:16">
      <c r="A10">
        <v>9</v>
      </c>
      <c r="B10" t="s">
        <v>978</v>
      </c>
      <c r="C10">
        <v>104.3</v>
      </c>
      <c r="D10">
        <v>83.8</v>
      </c>
      <c r="E10">
        <v>100</v>
      </c>
      <c r="F10">
        <v>100</v>
      </c>
      <c r="G10">
        <v>99.6</v>
      </c>
      <c r="H10">
        <v>101.6</v>
      </c>
      <c r="I10">
        <v>98.7</v>
      </c>
      <c r="J10">
        <v>104.9</v>
      </c>
      <c r="K10">
        <v>100.3</v>
      </c>
      <c r="L10">
        <v>98.5</v>
      </c>
      <c r="M10" t="s">
        <v>1418</v>
      </c>
      <c r="N10" t="s">
        <v>1419</v>
      </c>
      <c r="O10" t="s">
        <v>755</v>
      </c>
      <c r="P10" t="s">
        <v>755</v>
      </c>
    </row>
    <row r="11" spans="1:16">
      <c r="A11">
        <v>10</v>
      </c>
      <c r="B11" t="s">
        <v>979</v>
      </c>
      <c r="C11">
        <v>107.7</v>
      </c>
      <c r="D11">
        <v>88.8</v>
      </c>
      <c r="E11">
        <v>109.2</v>
      </c>
      <c r="F11">
        <v>86.8</v>
      </c>
      <c r="G11">
        <v>99.6</v>
      </c>
      <c r="H11">
        <v>100.7</v>
      </c>
      <c r="I11">
        <v>96.1</v>
      </c>
      <c r="J11">
        <v>105.8</v>
      </c>
      <c r="K11">
        <v>101.1</v>
      </c>
      <c r="L11">
        <v>98.2</v>
      </c>
      <c r="M11" t="s">
        <v>1420</v>
      </c>
      <c r="N11" t="s">
        <v>1421</v>
      </c>
      <c r="O11" t="s">
        <v>755</v>
      </c>
      <c r="P11" t="s">
        <v>755</v>
      </c>
    </row>
    <row r="12" spans="1:16">
      <c r="A12">
        <v>11</v>
      </c>
      <c r="B12" t="s">
        <v>980</v>
      </c>
      <c r="C12">
        <v>101.5</v>
      </c>
      <c r="D12">
        <v>89.2</v>
      </c>
      <c r="E12">
        <v>99.6</v>
      </c>
      <c r="F12">
        <v>99.3</v>
      </c>
      <c r="G12">
        <v>99.8</v>
      </c>
      <c r="H12">
        <v>101.9</v>
      </c>
      <c r="I12">
        <v>99</v>
      </c>
      <c r="J12">
        <v>107.8</v>
      </c>
      <c r="K12">
        <v>100.6</v>
      </c>
      <c r="L12">
        <v>94.6</v>
      </c>
      <c r="M12" t="s">
        <v>1422</v>
      </c>
      <c r="N12" t="s">
        <v>1423</v>
      </c>
      <c r="O12" t="s">
        <v>755</v>
      </c>
      <c r="P12" t="s">
        <v>755</v>
      </c>
    </row>
    <row r="13" spans="1:16">
      <c r="A13">
        <v>12</v>
      </c>
      <c r="B13" t="s">
        <v>981</v>
      </c>
      <c r="C13">
        <v>101.1</v>
      </c>
      <c r="D13">
        <v>85.8</v>
      </c>
      <c r="E13">
        <v>99.5</v>
      </c>
      <c r="F13">
        <v>104.6</v>
      </c>
      <c r="G13">
        <v>99.8</v>
      </c>
      <c r="H13">
        <v>102.4</v>
      </c>
      <c r="I13">
        <v>99.4</v>
      </c>
      <c r="J13">
        <v>108.2</v>
      </c>
      <c r="K13">
        <v>100.4</v>
      </c>
      <c r="L13">
        <v>93.7</v>
      </c>
      <c r="M13" t="s">
        <v>1424</v>
      </c>
      <c r="N13" t="s">
        <v>1425</v>
      </c>
      <c r="O13" t="s">
        <v>755</v>
      </c>
      <c r="P13" t="s">
        <v>755</v>
      </c>
    </row>
    <row r="14" spans="1:16">
      <c r="A14">
        <v>13</v>
      </c>
      <c r="B14" t="s">
        <v>982</v>
      </c>
      <c r="C14">
        <v>104.3</v>
      </c>
      <c r="D14">
        <v>83.9</v>
      </c>
      <c r="E14">
        <v>102.8</v>
      </c>
      <c r="F14">
        <v>90.8</v>
      </c>
      <c r="G14">
        <v>99.6</v>
      </c>
      <c r="H14">
        <v>101.3</v>
      </c>
      <c r="I14">
        <v>98.8</v>
      </c>
      <c r="J14">
        <v>104.8</v>
      </c>
      <c r="K14">
        <v>99.2</v>
      </c>
      <c r="L14">
        <v>102.8</v>
      </c>
      <c r="M14" t="s">
        <v>1426</v>
      </c>
      <c r="N14" t="s">
        <v>1427</v>
      </c>
      <c r="O14" t="s">
        <v>755</v>
      </c>
      <c r="P14" t="s">
        <v>755</v>
      </c>
    </row>
    <row r="15" spans="1:16">
      <c r="A15">
        <v>14</v>
      </c>
      <c r="B15" t="s">
        <v>983</v>
      </c>
      <c r="C15">
        <v>102.6</v>
      </c>
      <c r="D15">
        <v>89.6</v>
      </c>
      <c r="E15">
        <v>103.1</v>
      </c>
      <c r="F15">
        <v>87.3</v>
      </c>
      <c r="G15">
        <v>99.8</v>
      </c>
      <c r="H15">
        <v>101.1</v>
      </c>
      <c r="I15">
        <v>97.7</v>
      </c>
      <c r="J15">
        <v>109.9</v>
      </c>
      <c r="K15">
        <v>100.4</v>
      </c>
      <c r="L15">
        <v>97.9</v>
      </c>
      <c r="M15" t="s">
        <v>1428</v>
      </c>
      <c r="N15" t="s">
        <v>1429</v>
      </c>
      <c r="O15" t="s">
        <v>755</v>
      </c>
      <c r="P15" t="s">
        <v>755</v>
      </c>
    </row>
    <row r="16" spans="1:16">
      <c r="A16">
        <v>15</v>
      </c>
      <c r="B16" t="s">
        <v>984</v>
      </c>
      <c r="C16">
        <v>102.6</v>
      </c>
      <c r="D16">
        <v>85.2</v>
      </c>
      <c r="E16">
        <v>102.7</v>
      </c>
      <c r="F16">
        <v>83.1</v>
      </c>
      <c r="G16">
        <v>99.9</v>
      </c>
      <c r="H16">
        <v>100.3</v>
      </c>
      <c r="I16">
        <v>99.4</v>
      </c>
      <c r="J16">
        <v>104.4</v>
      </c>
      <c r="K16">
        <v>99.4</v>
      </c>
      <c r="L16">
        <v>103.4</v>
      </c>
      <c r="M16" t="s">
        <v>1430</v>
      </c>
      <c r="N16" t="s">
        <v>1431</v>
      </c>
      <c r="O16" t="s">
        <v>755</v>
      </c>
      <c r="P16" t="s">
        <v>755</v>
      </c>
    </row>
    <row r="17" spans="1:16">
      <c r="A17">
        <v>16</v>
      </c>
      <c r="B17" t="s">
        <v>985</v>
      </c>
      <c r="C17">
        <v>102.8</v>
      </c>
      <c r="D17">
        <v>77.3</v>
      </c>
      <c r="E17">
        <v>97.2</v>
      </c>
      <c r="F17">
        <v>121</v>
      </c>
      <c r="G17">
        <v>99.7</v>
      </c>
      <c r="H17">
        <v>102.9</v>
      </c>
      <c r="I17">
        <v>98.5</v>
      </c>
      <c r="J17">
        <v>112</v>
      </c>
      <c r="K17">
        <v>101</v>
      </c>
      <c r="L17">
        <v>92.1</v>
      </c>
      <c r="M17" t="s">
        <v>1432</v>
      </c>
      <c r="N17" t="s">
        <v>1433</v>
      </c>
      <c r="O17" t="s">
        <v>755</v>
      </c>
      <c r="P17" t="s">
        <v>755</v>
      </c>
    </row>
    <row r="18" spans="1:16">
      <c r="A18">
        <v>17</v>
      </c>
      <c r="B18" t="s">
        <v>986</v>
      </c>
      <c r="C18">
        <v>103.7</v>
      </c>
      <c r="D18">
        <v>84.6</v>
      </c>
      <c r="E18">
        <v>100</v>
      </c>
      <c r="F18">
        <v>100.4</v>
      </c>
      <c r="G18">
        <v>99.6</v>
      </c>
      <c r="H18">
        <v>101.8</v>
      </c>
      <c r="I18">
        <v>98.7</v>
      </c>
      <c r="J18">
        <v>106.3</v>
      </c>
      <c r="K18">
        <v>100.4</v>
      </c>
      <c r="L18">
        <v>97.2</v>
      </c>
      <c r="M18" t="s">
        <v>1434</v>
      </c>
      <c r="N18" t="s">
        <v>1435</v>
      </c>
      <c r="O18" t="s">
        <v>755</v>
      </c>
      <c r="P18" t="s">
        <v>755</v>
      </c>
    </row>
    <row r="19" spans="1:16">
      <c r="A19">
        <v>18</v>
      </c>
      <c r="B19" t="s">
        <v>987</v>
      </c>
      <c r="C19">
        <v>105.8</v>
      </c>
      <c r="D19">
        <v>91.1</v>
      </c>
      <c r="E19">
        <v>98.2</v>
      </c>
      <c r="F19">
        <v>103.8</v>
      </c>
      <c r="G19">
        <v>99.8</v>
      </c>
      <c r="H19">
        <v>100.4</v>
      </c>
      <c r="I19">
        <v>97.2</v>
      </c>
      <c r="J19">
        <v>104.7</v>
      </c>
      <c r="K19">
        <v>101</v>
      </c>
      <c r="L19">
        <v>98</v>
      </c>
      <c r="M19" t="s">
        <v>1436</v>
      </c>
      <c r="N19" t="s">
        <v>1437</v>
      </c>
      <c r="O19" t="s">
        <v>755</v>
      </c>
      <c r="P19" t="s">
        <v>755</v>
      </c>
    </row>
    <row r="20" spans="1:16">
      <c r="A20">
        <v>19</v>
      </c>
      <c r="B20" t="s">
        <v>988</v>
      </c>
      <c r="C20">
        <v>101.6</v>
      </c>
      <c r="D20">
        <v>86.5</v>
      </c>
      <c r="E20">
        <v>99.8</v>
      </c>
      <c r="F20">
        <v>98.3</v>
      </c>
      <c r="G20">
        <v>99.8</v>
      </c>
      <c r="H20">
        <v>102.9</v>
      </c>
      <c r="I20">
        <v>99.4</v>
      </c>
      <c r="J20">
        <v>108.3</v>
      </c>
      <c r="K20">
        <v>100.3</v>
      </c>
      <c r="L20">
        <v>93.8</v>
      </c>
      <c r="M20" t="s">
        <v>1438</v>
      </c>
      <c r="N20" t="s">
        <v>1439</v>
      </c>
      <c r="O20" t="s">
        <v>755</v>
      </c>
      <c r="P20" t="s">
        <v>755</v>
      </c>
    </row>
    <row r="21" spans="1:16">
      <c r="A21">
        <v>20</v>
      </c>
      <c r="B21" t="s">
        <v>989</v>
      </c>
      <c r="C21">
        <v>101.1</v>
      </c>
      <c r="D21">
        <v>83.7</v>
      </c>
      <c r="E21">
        <v>100.2</v>
      </c>
      <c r="F21">
        <v>98.3</v>
      </c>
      <c r="G21">
        <v>100</v>
      </c>
      <c r="H21">
        <v>99.7</v>
      </c>
      <c r="I21">
        <v>99.7</v>
      </c>
      <c r="J21">
        <v>106.3</v>
      </c>
      <c r="K21">
        <v>99.8</v>
      </c>
      <c r="L21">
        <v>101.1</v>
      </c>
      <c r="M21" t="s">
        <v>1440</v>
      </c>
      <c r="N21" t="s">
        <v>1441</v>
      </c>
      <c r="O21" t="s">
        <v>755</v>
      </c>
      <c r="P21" t="s">
        <v>755</v>
      </c>
    </row>
    <row r="22" spans="1:16">
      <c r="A22">
        <v>21</v>
      </c>
      <c r="B22" t="s">
        <v>990</v>
      </c>
      <c r="C22">
        <v>103.8</v>
      </c>
      <c r="D22">
        <v>85.8</v>
      </c>
      <c r="E22">
        <v>99.7</v>
      </c>
      <c r="F22">
        <v>101.9</v>
      </c>
      <c r="G22">
        <v>99.8</v>
      </c>
      <c r="H22">
        <v>100.9</v>
      </c>
      <c r="I22">
        <v>98.5</v>
      </c>
      <c r="J22">
        <v>105.7</v>
      </c>
      <c r="K22">
        <v>100.3</v>
      </c>
      <c r="L22">
        <v>98.5</v>
      </c>
      <c r="M22" t="s">
        <v>1442</v>
      </c>
      <c r="N22" t="s">
        <v>1443</v>
      </c>
      <c r="O22" t="s">
        <v>755</v>
      </c>
      <c r="P22" t="s">
        <v>755</v>
      </c>
    </row>
    <row r="23" spans="1:16">
      <c r="A23">
        <v>22</v>
      </c>
      <c r="B23" t="s">
        <v>991</v>
      </c>
      <c r="C23">
        <v>106.8</v>
      </c>
      <c r="D23">
        <v>89</v>
      </c>
      <c r="E23">
        <v>105.8</v>
      </c>
      <c r="F23">
        <v>91.1</v>
      </c>
      <c r="G23">
        <v>99.9</v>
      </c>
      <c r="H23">
        <v>100.2</v>
      </c>
      <c r="I23">
        <v>96.3</v>
      </c>
      <c r="J23">
        <v>106.1</v>
      </c>
      <c r="K23">
        <v>100.7</v>
      </c>
      <c r="L23">
        <v>98.6</v>
      </c>
      <c r="M23" t="s">
        <v>1444</v>
      </c>
      <c r="N23" t="s">
        <v>1445</v>
      </c>
      <c r="O23" t="s">
        <v>755</v>
      </c>
      <c r="P23" t="s">
        <v>755</v>
      </c>
    </row>
    <row r="24" spans="1:16">
      <c r="A24">
        <v>23</v>
      </c>
      <c r="B24" t="s">
        <v>992</v>
      </c>
      <c r="C24">
        <v>100.3</v>
      </c>
      <c r="D24">
        <v>97.6</v>
      </c>
      <c r="E24">
        <v>102.5</v>
      </c>
      <c r="F24">
        <v>73</v>
      </c>
      <c r="G24">
        <v>99.9</v>
      </c>
      <c r="H24">
        <v>101</v>
      </c>
      <c r="I24">
        <v>99.2</v>
      </c>
      <c r="J24">
        <v>107.5</v>
      </c>
      <c r="K24">
        <v>100.5</v>
      </c>
      <c r="L24">
        <v>94.4</v>
      </c>
      <c r="M24" t="s">
        <v>1446</v>
      </c>
      <c r="N24" t="s">
        <v>1447</v>
      </c>
      <c r="O24" t="s">
        <v>755</v>
      </c>
      <c r="P24" t="s">
        <v>801</v>
      </c>
    </row>
    <row r="25" spans="1:16">
      <c r="A25">
        <v>24</v>
      </c>
      <c r="B25" t="s">
        <v>993</v>
      </c>
      <c r="C25">
        <v>100.7</v>
      </c>
      <c r="D25">
        <v>91.4</v>
      </c>
      <c r="E25">
        <v>100</v>
      </c>
      <c r="F25">
        <v>104.9</v>
      </c>
      <c r="G25">
        <v>100</v>
      </c>
      <c r="H25">
        <v>99.7</v>
      </c>
      <c r="I25">
        <v>99.9</v>
      </c>
      <c r="J25">
        <v>103.3</v>
      </c>
      <c r="K25">
        <v>99.9</v>
      </c>
      <c r="L25">
        <v>100.7</v>
      </c>
      <c r="M25" t="s">
        <v>1448</v>
      </c>
      <c r="N25" t="s">
        <v>1449</v>
      </c>
      <c r="O25" t="s">
        <v>755</v>
      </c>
      <c r="P25" t="s">
        <v>801</v>
      </c>
    </row>
    <row r="26" spans="1:16">
      <c r="A26">
        <v>25</v>
      </c>
      <c r="B26" t="s">
        <v>994</v>
      </c>
      <c r="C26">
        <v>99.4</v>
      </c>
      <c r="D26">
        <v>98.8</v>
      </c>
      <c r="E26">
        <v>100.8</v>
      </c>
      <c r="F26">
        <v>99.7</v>
      </c>
      <c r="G26">
        <v>98.3</v>
      </c>
      <c r="H26">
        <v>102.7</v>
      </c>
      <c r="I26">
        <v>99.2</v>
      </c>
      <c r="J26">
        <v>100.6</v>
      </c>
      <c r="K26">
        <v>103.2</v>
      </c>
      <c r="L26">
        <v>95.7</v>
      </c>
      <c r="M26" t="s">
        <v>1450</v>
      </c>
      <c r="N26" t="s">
        <v>1451</v>
      </c>
      <c r="O26" t="s">
        <v>755</v>
      </c>
      <c r="P26" t="s">
        <v>755</v>
      </c>
    </row>
    <row r="27" spans="1:16">
      <c r="A27">
        <v>26</v>
      </c>
      <c r="B27" t="s">
        <v>995</v>
      </c>
      <c r="C27">
        <v>100.6</v>
      </c>
      <c r="D27">
        <v>98.3</v>
      </c>
      <c r="E27">
        <v>100.4</v>
      </c>
      <c r="F27">
        <v>99.3</v>
      </c>
      <c r="G27">
        <v>98.4</v>
      </c>
      <c r="H27">
        <v>103.2</v>
      </c>
      <c r="I27">
        <v>98.6</v>
      </c>
      <c r="J27">
        <v>102.3</v>
      </c>
      <c r="K27">
        <v>103.2</v>
      </c>
      <c r="L27">
        <v>94</v>
      </c>
      <c r="M27" t="s">
        <v>1452</v>
      </c>
      <c r="N27" t="s">
        <v>1453</v>
      </c>
      <c r="O27" t="s">
        <v>755</v>
      </c>
      <c r="P27" t="s">
        <v>755</v>
      </c>
    </row>
    <row r="28" spans="1:16">
      <c r="A28">
        <v>27</v>
      </c>
      <c r="B28" t="s">
        <v>996</v>
      </c>
      <c r="C28">
        <v>104.5</v>
      </c>
      <c r="D28">
        <v>86.4</v>
      </c>
      <c r="E28">
        <v>102.2</v>
      </c>
      <c r="F28">
        <v>93.5</v>
      </c>
      <c r="G28">
        <v>98.6</v>
      </c>
      <c r="H28">
        <v>103.9</v>
      </c>
      <c r="I28">
        <v>101.2</v>
      </c>
      <c r="J28">
        <v>94.9</v>
      </c>
      <c r="K28">
        <v>100.1</v>
      </c>
      <c r="L28">
        <v>101.5</v>
      </c>
      <c r="M28" t="s">
        <v>1454</v>
      </c>
      <c r="N28" t="s">
        <v>1455</v>
      </c>
      <c r="O28" t="s">
        <v>755</v>
      </c>
      <c r="P28" t="s">
        <v>755</v>
      </c>
    </row>
    <row r="29" spans="1:16">
      <c r="A29">
        <v>28</v>
      </c>
      <c r="B29" t="s">
        <v>997</v>
      </c>
      <c r="C29">
        <v>106.1</v>
      </c>
      <c r="D29">
        <v>72.400000000000006</v>
      </c>
      <c r="E29">
        <v>94.3</v>
      </c>
      <c r="F29">
        <v>124.8</v>
      </c>
      <c r="G29">
        <v>99.8</v>
      </c>
      <c r="H29">
        <v>101.3</v>
      </c>
      <c r="I29">
        <v>98.5</v>
      </c>
      <c r="J29">
        <v>102.7</v>
      </c>
      <c r="K29">
        <v>100.1</v>
      </c>
      <c r="L29">
        <v>102.1</v>
      </c>
      <c r="M29" t="s">
        <v>1456</v>
      </c>
      <c r="N29" t="s">
        <v>1447</v>
      </c>
      <c r="O29" t="s">
        <v>755</v>
      </c>
      <c r="P29" t="s">
        <v>801</v>
      </c>
    </row>
    <row r="30" spans="1:16">
      <c r="A30">
        <v>29</v>
      </c>
      <c r="B30" t="s">
        <v>998</v>
      </c>
      <c r="C30">
        <v>106.1</v>
      </c>
      <c r="D30">
        <v>75.5</v>
      </c>
      <c r="E30">
        <v>100.9</v>
      </c>
      <c r="F30">
        <v>95</v>
      </c>
      <c r="G30">
        <v>99.4</v>
      </c>
      <c r="H30">
        <v>102.6</v>
      </c>
      <c r="I30">
        <v>99.1</v>
      </c>
      <c r="J30">
        <v>103.1</v>
      </c>
      <c r="K30">
        <v>99.9</v>
      </c>
      <c r="L30">
        <v>100.6</v>
      </c>
      <c r="M30" t="s">
        <v>1457</v>
      </c>
      <c r="N30" t="s">
        <v>1458</v>
      </c>
      <c r="O30" t="s">
        <v>755</v>
      </c>
      <c r="P30" t="s">
        <v>755</v>
      </c>
    </row>
    <row r="31" spans="1:16">
      <c r="A31">
        <v>30</v>
      </c>
      <c r="B31" t="s">
        <v>999</v>
      </c>
      <c r="C31">
        <v>110.3</v>
      </c>
      <c r="D31">
        <v>91.9</v>
      </c>
      <c r="E31">
        <v>105.9</v>
      </c>
      <c r="F31">
        <v>96.2</v>
      </c>
      <c r="G31">
        <v>98.8</v>
      </c>
      <c r="H31">
        <v>101.2</v>
      </c>
      <c r="I31">
        <v>95.4</v>
      </c>
      <c r="J31">
        <v>103.9</v>
      </c>
      <c r="K31">
        <v>102.8</v>
      </c>
      <c r="L31">
        <v>97.1</v>
      </c>
      <c r="M31" t="s">
        <v>1459</v>
      </c>
      <c r="N31" t="s">
        <v>1460</v>
      </c>
      <c r="O31" t="s">
        <v>755</v>
      </c>
      <c r="P31" t="s">
        <v>755</v>
      </c>
    </row>
    <row r="32" spans="1:16">
      <c r="A32">
        <v>31</v>
      </c>
      <c r="B32" t="s">
        <v>1000</v>
      </c>
      <c r="C32">
        <v>108.6</v>
      </c>
      <c r="D32">
        <v>64.3</v>
      </c>
      <c r="E32">
        <v>96.5</v>
      </c>
      <c r="F32">
        <v>116.6</v>
      </c>
      <c r="G32">
        <v>99.7</v>
      </c>
      <c r="H32">
        <v>101.8</v>
      </c>
      <c r="I32">
        <v>97.2</v>
      </c>
      <c r="J32">
        <v>109.9</v>
      </c>
      <c r="K32">
        <v>100.2</v>
      </c>
      <c r="L32">
        <v>99.8</v>
      </c>
      <c r="M32" t="s">
        <v>1461</v>
      </c>
      <c r="N32" t="s">
        <v>1462</v>
      </c>
      <c r="O32" t="s">
        <v>755</v>
      </c>
      <c r="P32" t="s">
        <v>801</v>
      </c>
    </row>
    <row r="33" spans="1:16">
      <c r="A33">
        <v>32</v>
      </c>
      <c r="B33" t="s">
        <v>1001</v>
      </c>
      <c r="C33">
        <v>101.9</v>
      </c>
      <c r="D33">
        <v>79.2</v>
      </c>
      <c r="E33">
        <v>99.2</v>
      </c>
      <c r="F33">
        <v>99.9</v>
      </c>
      <c r="G33">
        <v>99.6</v>
      </c>
      <c r="H33">
        <v>103.8</v>
      </c>
      <c r="I33">
        <v>99.7</v>
      </c>
      <c r="J33">
        <v>103.1</v>
      </c>
      <c r="K33">
        <v>100.4</v>
      </c>
      <c r="L33">
        <v>97.3</v>
      </c>
      <c r="M33" t="s">
        <v>1463</v>
      </c>
      <c r="N33" t="s">
        <v>1464</v>
      </c>
      <c r="O33" t="s">
        <v>755</v>
      </c>
      <c r="P33" t="s">
        <v>755</v>
      </c>
    </row>
    <row r="34" spans="1:16">
      <c r="A34">
        <v>33</v>
      </c>
      <c r="B34" t="s">
        <v>1002</v>
      </c>
      <c r="C34">
        <v>105.8</v>
      </c>
      <c r="D34">
        <v>78.400000000000006</v>
      </c>
      <c r="E34">
        <v>100.6</v>
      </c>
      <c r="F34">
        <v>95.3</v>
      </c>
      <c r="G34">
        <v>99.1</v>
      </c>
      <c r="H34">
        <v>103.4</v>
      </c>
      <c r="I34">
        <v>99.3</v>
      </c>
      <c r="J34">
        <v>102.7</v>
      </c>
      <c r="K34">
        <v>100.3</v>
      </c>
      <c r="L34">
        <v>98.6</v>
      </c>
      <c r="M34" t="s">
        <v>1465</v>
      </c>
      <c r="N34" t="s">
        <v>1466</v>
      </c>
      <c r="O34" t="s">
        <v>755</v>
      </c>
      <c r="P34" t="s">
        <v>755</v>
      </c>
    </row>
    <row r="35" spans="1:16">
      <c r="A35">
        <v>34</v>
      </c>
      <c r="B35" t="s">
        <v>1003</v>
      </c>
      <c r="C35">
        <v>107.3</v>
      </c>
      <c r="D35">
        <v>93.7</v>
      </c>
      <c r="E35">
        <v>133</v>
      </c>
      <c r="F35">
        <v>70.7</v>
      </c>
      <c r="G35">
        <v>97.9</v>
      </c>
      <c r="H35">
        <v>102.2</v>
      </c>
      <c r="I35">
        <v>94.4</v>
      </c>
      <c r="J35">
        <v>104.9</v>
      </c>
      <c r="K35">
        <v>104.2</v>
      </c>
      <c r="L35">
        <v>95.8</v>
      </c>
      <c r="M35" t="s">
        <v>1467</v>
      </c>
      <c r="N35" t="s">
        <v>1468</v>
      </c>
      <c r="O35" t="s">
        <v>755</v>
      </c>
      <c r="P35" t="s">
        <v>755</v>
      </c>
    </row>
    <row r="36" spans="1:16">
      <c r="A36">
        <v>35</v>
      </c>
      <c r="B36" t="s">
        <v>1004</v>
      </c>
      <c r="C36">
        <v>105.5</v>
      </c>
      <c r="D36">
        <v>78.2</v>
      </c>
      <c r="E36">
        <v>87.8</v>
      </c>
      <c r="F36">
        <v>145.19999999999999</v>
      </c>
      <c r="G36">
        <v>99.2</v>
      </c>
      <c r="H36">
        <v>103.3</v>
      </c>
      <c r="I36">
        <v>98.6</v>
      </c>
      <c r="J36">
        <v>106.9</v>
      </c>
      <c r="K36">
        <v>101</v>
      </c>
      <c r="L36">
        <v>94.8</v>
      </c>
      <c r="M36" t="s">
        <v>1469</v>
      </c>
      <c r="N36" t="s">
        <v>1470</v>
      </c>
      <c r="O36" t="s">
        <v>755</v>
      </c>
      <c r="P36" t="s">
        <v>801</v>
      </c>
    </row>
    <row r="37" spans="1:16">
      <c r="A37">
        <v>36</v>
      </c>
      <c r="B37" t="s">
        <v>1005</v>
      </c>
      <c r="C37">
        <v>101.7</v>
      </c>
      <c r="D37">
        <v>82.2</v>
      </c>
      <c r="E37">
        <v>99.2</v>
      </c>
      <c r="F37">
        <v>100.2</v>
      </c>
      <c r="G37">
        <v>99.6</v>
      </c>
      <c r="H37">
        <v>104.4</v>
      </c>
      <c r="I37">
        <v>99</v>
      </c>
      <c r="J37">
        <v>109.5</v>
      </c>
      <c r="K37">
        <v>101.1</v>
      </c>
      <c r="L37">
        <v>89.3</v>
      </c>
      <c r="M37" t="s">
        <v>1471</v>
      </c>
      <c r="N37" t="s">
        <v>1472</v>
      </c>
      <c r="O37" t="s">
        <v>755</v>
      </c>
      <c r="P37" t="s">
        <v>801</v>
      </c>
    </row>
    <row r="38" spans="1:16">
      <c r="A38">
        <v>37</v>
      </c>
      <c r="B38" t="s">
        <v>1006</v>
      </c>
      <c r="C38">
        <v>120.5</v>
      </c>
      <c r="D38">
        <v>84.4</v>
      </c>
      <c r="E38">
        <v>104.2</v>
      </c>
      <c r="F38">
        <v>97.6</v>
      </c>
      <c r="G38">
        <v>96.7</v>
      </c>
      <c r="H38">
        <v>102.8</v>
      </c>
      <c r="I38">
        <v>96.3</v>
      </c>
      <c r="J38">
        <v>100.4</v>
      </c>
      <c r="K38">
        <v>100.3</v>
      </c>
      <c r="L38">
        <v>101.2</v>
      </c>
      <c r="M38" t="s">
        <v>1473</v>
      </c>
      <c r="N38" t="s">
        <v>1474</v>
      </c>
      <c r="O38" t="s">
        <v>801</v>
      </c>
      <c r="P38" t="s">
        <v>801</v>
      </c>
    </row>
    <row r="39" spans="1:16">
      <c r="A39">
        <v>38</v>
      </c>
      <c r="B39" t="s">
        <v>1007</v>
      </c>
      <c r="C39">
        <v>103.8</v>
      </c>
      <c r="D39">
        <v>98</v>
      </c>
      <c r="E39">
        <v>115.5</v>
      </c>
      <c r="F39">
        <v>81</v>
      </c>
      <c r="G39">
        <v>98.3</v>
      </c>
      <c r="H39">
        <v>101.7</v>
      </c>
      <c r="I39">
        <v>98.2</v>
      </c>
      <c r="J39">
        <v>102.9</v>
      </c>
      <c r="K39">
        <v>98.1</v>
      </c>
      <c r="L39">
        <v>101.2</v>
      </c>
      <c r="M39" t="s">
        <v>1474</v>
      </c>
      <c r="N39" t="s">
        <v>1475</v>
      </c>
      <c r="O39" t="s">
        <v>801</v>
      </c>
      <c r="P39" t="s">
        <v>801</v>
      </c>
    </row>
    <row r="40" spans="1:16">
      <c r="A40">
        <v>39</v>
      </c>
      <c r="B40" t="s">
        <v>1008</v>
      </c>
      <c r="C40">
        <v>103.9</v>
      </c>
      <c r="D40">
        <v>89.7</v>
      </c>
      <c r="E40">
        <v>100.1</v>
      </c>
      <c r="F40">
        <v>97.5</v>
      </c>
      <c r="G40">
        <v>100.2</v>
      </c>
      <c r="H40">
        <v>99.4</v>
      </c>
      <c r="I40">
        <v>97.5</v>
      </c>
      <c r="J40">
        <v>106.2</v>
      </c>
      <c r="K40">
        <v>100.3</v>
      </c>
      <c r="L40">
        <v>100.3</v>
      </c>
      <c r="M40" t="s">
        <v>1476</v>
      </c>
      <c r="N40" t="s">
        <v>1477</v>
      </c>
      <c r="O40" t="s">
        <v>801</v>
      </c>
      <c r="P40" t="s">
        <v>801</v>
      </c>
    </row>
    <row r="41" spans="1:16">
      <c r="A41">
        <v>40</v>
      </c>
      <c r="B41" t="s">
        <v>1009</v>
      </c>
      <c r="C41">
        <v>108.5</v>
      </c>
      <c r="D41">
        <v>88.4</v>
      </c>
      <c r="E41">
        <v>99.6</v>
      </c>
      <c r="F41">
        <v>99.3</v>
      </c>
      <c r="G41">
        <v>99.1</v>
      </c>
      <c r="H41">
        <v>101.3</v>
      </c>
      <c r="I41">
        <v>101.4</v>
      </c>
      <c r="J41">
        <v>97.6</v>
      </c>
      <c r="K41">
        <v>96.2</v>
      </c>
      <c r="L41">
        <v>106.2</v>
      </c>
      <c r="M41" t="s">
        <v>1478</v>
      </c>
      <c r="N41" t="s">
        <v>1479</v>
      </c>
      <c r="O41" t="s">
        <v>755</v>
      </c>
      <c r="P41" t="s">
        <v>755</v>
      </c>
    </row>
    <row r="42" spans="1:16">
      <c r="A42">
        <v>41</v>
      </c>
      <c r="B42" t="s">
        <v>1010</v>
      </c>
      <c r="C42">
        <v>104.3</v>
      </c>
      <c r="D42">
        <v>83.6</v>
      </c>
      <c r="E42">
        <v>110.2</v>
      </c>
      <c r="F42">
        <v>60.3</v>
      </c>
      <c r="G42">
        <v>99.9</v>
      </c>
      <c r="H42">
        <v>100.2</v>
      </c>
      <c r="I42">
        <v>103.1</v>
      </c>
      <c r="J42">
        <v>87.3</v>
      </c>
      <c r="K42">
        <v>90.5</v>
      </c>
      <c r="L42">
        <v>138.80000000000001</v>
      </c>
      <c r="M42" t="s">
        <v>1480</v>
      </c>
      <c r="N42" t="s">
        <v>1481</v>
      </c>
      <c r="O42" t="s">
        <v>755</v>
      </c>
      <c r="P42" t="s">
        <v>755</v>
      </c>
    </row>
    <row r="43" spans="1:16">
      <c r="A43">
        <v>42</v>
      </c>
      <c r="B43" t="s">
        <v>1011</v>
      </c>
      <c r="C43">
        <v>102</v>
      </c>
      <c r="D43">
        <v>101</v>
      </c>
      <c r="E43">
        <v>141.1</v>
      </c>
      <c r="F43">
        <v>84</v>
      </c>
      <c r="G43">
        <v>100.4</v>
      </c>
      <c r="H43">
        <v>99.3</v>
      </c>
      <c r="I43">
        <v>110.8</v>
      </c>
      <c r="J43">
        <v>94.7</v>
      </c>
      <c r="K43">
        <v>86</v>
      </c>
      <c r="L43">
        <v>106.9</v>
      </c>
      <c r="M43" t="s">
        <v>1482</v>
      </c>
      <c r="N43" t="s">
        <v>1483</v>
      </c>
      <c r="O43" t="s">
        <v>801</v>
      </c>
      <c r="P43" t="s">
        <v>755</v>
      </c>
    </row>
    <row r="44" spans="1:16">
      <c r="A44">
        <v>43</v>
      </c>
      <c r="B44" t="s">
        <v>1012</v>
      </c>
      <c r="C44">
        <v>102</v>
      </c>
      <c r="D44">
        <v>75.099999999999994</v>
      </c>
      <c r="E44">
        <v>104</v>
      </c>
      <c r="F44">
        <v>51.5</v>
      </c>
      <c r="G44">
        <v>99.7</v>
      </c>
      <c r="H44">
        <v>103.7</v>
      </c>
      <c r="I44">
        <v>99.8</v>
      </c>
      <c r="J44">
        <v>102.5</v>
      </c>
      <c r="K44">
        <v>99.4</v>
      </c>
      <c r="L44">
        <v>108.1</v>
      </c>
      <c r="M44" t="s">
        <v>1484</v>
      </c>
      <c r="N44" t="s">
        <v>1485</v>
      </c>
      <c r="O44" t="s">
        <v>755</v>
      </c>
      <c r="P44" t="s">
        <v>801</v>
      </c>
    </row>
    <row r="45" spans="1:16">
      <c r="A45">
        <v>44</v>
      </c>
      <c r="B45" t="s">
        <v>1013</v>
      </c>
      <c r="C45">
        <v>106.9</v>
      </c>
      <c r="D45">
        <v>72.599999999999994</v>
      </c>
      <c r="E45">
        <v>107.2</v>
      </c>
      <c r="F45">
        <v>72.2</v>
      </c>
      <c r="G45">
        <v>100</v>
      </c>
      <c r="H45">
        <v>99.8</v>
      </c>
      <c r="I45">
        <v>103.6</v>
      </c>
      <c r="J45">
        <v>84.9</v>
      </c>
      <c r="K45">
        <v>87.7</v>
      </c>
      <c r="L45">
        <v>151.5</v>
      </c>
      <c r="M45" t="s">
        <v>1486</v>
      </c>
      <c r="N45" t="s">
        <v>1487</v>
      </c>
      <c r="O45" t="s">
        <v>755</v>
      </c>
      <c r="P45" t="s">
        <v>755</v>
      </c>
    </row>
    <row r="46" spans="1:16">
      <c r="A46">
        <v>45</v>
      </c>
      <c r="B46" t="s">
        <v>1014</v>
      </c>
      <c r="C46">
        <v>121.4</v>
      </c>
      <c r="D46">
        <v>93.7</v>
      </c>
      <c r="E46">
        <v>139</v>
      </c>
      <c r="F46">
        <v>87.6</v>
      </c>
      <c r="G46">
        <v>98.9</v>
      </c>
      <c r="H46">
        <v>99.8</v>
      </c>
      <c r="I46">
        <v>112</v>
      </c>
      <c r="J46">
        <v>94.8</v>
      </c>
      <c r="K46">
        <v>81.7</v>
      </c>
      <c r="L46">
        <v>107.8</v>
      </c>
      <c r="M46" t="s">
        <v>1488</v>
      </c>
      <c r="N46" t="s">
        <v>1489</v>
      </c>
      <c r="O46" t="s">
        <v>801</v>
      </c>
      <c r="P46" t="s">
        <v>755</v>
      </c>
    </row>
    <row r="47" spans="1:16">
      <c r="A47">
        <v>46</v>
      </c>
      <c r="B47" t="s">
        <v>1015</v>
      </c>
      <c r="C47">
        <v>102</v>
      </c>
      <c r="D47">
        <v>70.599999999999994</v>
      </c>
      <c r="E47">
        <v>102.6</v>
      </c>
      <c r="F47">
        <v>64.599999999999994</v>
      </c>
      <c r="G47">
        <v>99.7</v>
      </c>
      <c r="H47">
        <v>104.6</v>
      </c>
      <c r="I47">
        <v>100</v>
      </c>
      <c r="J47">
        <v>99.5</v>
      </c>
      <c r="K47">
        <v>99</v>
      </c>
      <c r="L47">
        <v>114.8</v>
      </c>
      <c r="M47" t="s">
        <v>1490</v>
      </c>
      <c r="N47" t="s">
        <v>1491</v>
      </c>
      <c r="O47" t="s">
        <v>755</v>
      </c>
      <c r="P47" t="s">
        <v>801</v>
      </c>
    </row>
    <row r="48" spans="1:16">
      <c r="A48">
        <v>47</v>
      </c>
      <c r="B48" t="s">
        <v>1016</v>
      </c>
      <c r="C48">
        <v>108.1</v>
      </c>
      <c r="D48">
        <v>84.5</v>
      </c>
      <c r="E48">
        <v>98.9</v>
      </c>
      <c r="F48">
        <v>99.6</v>
      </c>
      <c r="G48">
        <v>98.4</v>
      </c>
      <c r="H48">
        <v>103.2</v>
      </c>
      <c r="I48">
        <v>100.9</v>
      </c>
      <c r="J48">
        <v>98.4</v>
      </c>
      <c r="K48">
        <v>98.8</v>
      </c>
      <c r="L48">
        <v>102.5</v>
      </c>
      <c r="M48" t="s">
        <v>1492</v>
      </c>
      <c r="N48" t="s">
        <v>1493</v>
      </c>
      <c r="O48" t="s">
        <v>755</v>
      </c>
      <c r="P48" t="s">
        <v>801</v>
      </c>
    </row>
    <row r="49" spans="1:16">
      <c r="A49">
        <v>48</v>
      </c>
      <c r="B49" t="s">
        <v>1017</v>
      </c>
      <c r="C49">
        <v>104.4</v>
      </c>
      <c r="D49">
        <v>88.2</v>
      </c>
      <c r="E49">
        <v>118.1</v>
      </c>
      <c r="F49">
        <v>49.8</v>
      </c>
      <c r="G49">
        <v>100</v>
      </c>
      <c r="H49">
        <v>99.9</v>
      </c>
      <c r="I49">
        <v>103.8</v>
      </c>
      <c r="J49">
        <v>89.5</v>
      </c>
      <c r="K49">
        <v>89.8</v>
      </c>
      <c r="L49">
        <v>128.4</v>
      </c>
      <c r="M49" t="s">
        <v>1494</v>
      </c>
      <c r="N49" t="s">
        <v>1495</v>
      </c>
      <c r="O49" t="s">
        <v>755</v>
      </c>
      <c r="P49" t="s">
        <v>755</v>
      </c>
    </row>
    <row r="50" spans="1:16">
      <c r="A50">
        <v>49</v>
      </c>
      <c r="B50" t="s">
        <v>1018</v>
      </c>
      <c r="C50">
        <v>97.2</v>
      </c>
      <c r="D50">
        <v>102.1</v>
      </c>
      <c r="E50">
        <v>171.2</v>
      </c>
      <c r="F50">
        <v>69.5</v>
      </c>
      <c r="G50">
        <v>101.6</v>
      </c>
      <c r="H50">
        <v>99.1</v>
      </c>
      <c r="I50">
        <v>108.8</v>
      </c>
      <c r="J50">
        <v>96.2</v>
      </c>
      <c r="K50">
        <v>87</v>
      </c>
      <c r="L50">
        <v>105.7</v>
      </c>
      <c r="M50" t="s">
        <v>1496</v>
      </c>
      <c r="N50" t="s">
        <v>1497</v>
      </c>
      <c r="O50" t="s">
        <v>801</v>
      </c>
      <c r="P50" t="s">
        <v>801</v>
      </c>
    </row>
    <row r="51" spans="1:16">
      <c r="A51">
        <v>50</v>
      </c>
      <c r="B51" t="s">
        <v>1019</v>
      </c>
      <c r="C51">
        <v>102.6</v>
      </c>
      <c r="D51">
        <v>69.5</v>
      </c>
      <c r="E51">
        <v>104.4</v>
      </c>
      <c r="F51">
        <v>49.9</v>
      </c>
      <c r="G51">
        <v>99.7</v>
      </c>
      <c r="H51">
        <v>102.9</v>
      </c>
      <c r="I51">
        <v>99.6</v>
      </c>
      <c r="J51">
        <v>105</v>
      </c>
      <c r="K51">
        <v>99.2</v>
      </c>
      <c r="L51">
        <v>110.2</v>
      </c>
      <c r="M51" t="s">
        <v>1498</v>
      </c>
      <c r="N51" t="s">
        <v>1499</v>
      </c>
      <c r="O51" t="s">
        <v>755</v>
      </c>
      <c r="P51" t="s">
        <v>801</v>
      </c>
    </row>
    <row r="52" spans="1:16">
      <c r="A52">
        <v>51</v>
      </c>
      <c r="B52" t="s">
        <v>1020</v>
      </c>
      <c r="C52">
        <v>109.8</v>
      </c>
      <c r="D52">
        <v>74.5</v>
      </c>
      <c r="E52">
        <v>118.8</v>
      </c>
      <c r="F52">
        <v>51.1</v>
      </c>
      <c r="G52">
        <v>100.1</v>
      </c>
      <c r="H52">
        <v>99.7</v>
      </c>
      <c r="I52">
        <v>104.4</v>
      </c>
      <c r="J52">
        <v>88.5</v>
      </c>
      <c r="K52">
        <v>85.8</v>
      </c>
      <c r="L52">
        <v>137.5</v>
      </c>
      <c r="M52" t="s">
        <v>1500</v>
      </c>
      <c r="N52" t="s">
        <v>1501</v>
      </c>
      <c r="O52" t="s">
        <v>755</v>
      </c>
      <c r="P52" t="s">
        <v>755</v>
      </c>
    </row>
    <row r="53" spans="1:16">
      <c r="A53">
        <v>52</v>
      </c>
      <c r="B53" t="s">
        <v>1021</v>
      </c>
      <c r="C53">
        <v>120.8</v>
      </c>
      <c r="D53">
        <v>93.3</v>
      </c>
      <c r="E53">
        <v>190.7</v>
      </c>
      <c r="F53">
        <v>68.7</v>
      </c>
      <c r="G53">
        <v>99.4</v>
      </c>
      <c r="H53">
        <v>100</v>
      </c>
      <c r="I53">
        <v>108.6</v>
      </c>
      <c r="J53">
        <v>97</v>
      </c>
      <c r="K53">
        <v>82.6</v>
      </c>
      <c r="L53">
        <v>106.2</v>
      </c>
      <c r="M53" t="s">
        <v>1502</v>
      </c>
      <c r="N53" t="s">
        <v>1503</v>
      </c>
      <c r="O53" t="s">
        <v>801</v>
      </c>
      <c r="P53" t="s">
        <v>801</v>
      </c>
    </row>
    <row r="54" spans="1:16">
      <c r="A54">
        <v>53</v>
      </c>
      <c r="B54" t="s">
        <v>1022</v>
      </c>
      <c r="C54">
        <v>103.4</v>
      </c>
      <c r="D54">
        <v>57.2</v>
      </c>
      <c r="E54">
        <v>102.8</v>
      </c>
      <c r="F54">
        <v>65.3</v>
      </c>
      <c r="G54">
        <v>99.6</v>
      </c>
      <c r="H54">
        <v>104.9</v>
      </c>
      <c r="I54">
        <v>99.9</v>
      </c>
      <c r="J54">
        <v>101.2</v>
      </c>
      <c r="K54">
        <v>98.5</v>
      </c>
      <c r="L54">
        <v>119.8</v>
      </c>
      <c r="M54" t="s">
        <v>1504</v>
      </c>
      <c r="N54" t="s">
        <v>1505</v>
      </c>
      <c r="O54" t="s">
        <v>755</v>
      </c>
      <c r="P54" t="s">
        <v>801</v>
      </c>
    </row>
    <row r="55" spans="1:16">
      <c r="A55">
        <v>54</v>
      </c>
      <c r="B55" t="s">
        <v>1023</v>
      </c>
      <c r="C55">
        <v>109.3</v>
      </c>
      <c r="D55">
        <v>93.2</v>
      </c>
      <c r="E55">
        <v>94.9</v>
      </c>
      <c r="F55">
        <v>105</v>
      </c>
      <c r="G55">
        <v>102</v>
      </c>
      <c r="H55">
        <v>98.2</v>
      </c>
      <c r="I55">
        <v>102.8</v>
      </c>
      <c r="J55">
        <v>96.7</v>
      </c>
      <c r="K55">
        <v>88</v>
      </c>
      <c r="L55">
        <v>110.7</v>
      </c>
      <c r="M55" t="s">
        <v>1506</v>
      </c>
      <c r="N55" t="s">
        <v>1507</v>
      </c>
      <c r="O55" t="s">
        <v>801</v>
      </c>
      <c r="P55" t="s">
        <v>801</v>
      </c>
    </row>
    <row r="56" spans="1:16">
      <c r="A56">
        <v>55</v>
      </c>
      <c r="B56" t="s">
        <v>1024</v>
      </c>
      <c r="C56">
        <v>104.5</v>
      </c>
      <c r="D56">
        <v>70.400000000000006</v>
      </c>
      <c r="E56">
        <v>102.3</v>
      </c>
      <c r="F56">
        <v>87.4</v>
      </c>
      <c r="G56">
        <v>99.4</v>
      </c>
      <c r="H56">
        <v>103.2</v>
      </c>
      <c r="I56">
        <v>101.7</v>
      </c>
      <c r="J56">
        <v>87.6</v>
      </c>
      <c r="K56">
        <v>94</v>
      </c>
      <c r="L56">
        <v>143.5</v>
      </c>
      <c r="M56" t="s">
        <v>1508</v>
      </c>
      <c r="N56" t="s">
        <v>1509</v>
      </c>
      <c r="O56" t="s">
        <v>755</v>
      </c>
      <c r="P56" t="s">
        <v>801</v>
      </c>
    </row>
    <row r="57" spans="1:16">
      <c r="A57">
        <v>56</v>
      </c>
      <c r="B57" t="s">
        <v>1025</v>
      </c>
      <c r="C57">
        <v>101.4</v>
      </c>
      <c r="D57">
        <v>80.3</v>
      </c>
      <c r="E57">
        <v>103.7</v>
      </c>
      <c r="F57">
        <v>53.1</v>
      </c>
      <c r="G57">
        <v>99.6</v>
      </c>
      <c r="H57">
        <v>104.7</v>
      </c>
      <c r="I57">
        <v>100</v>
      </c>
      <c r="J57">
        <v>100.5</v>
      </c>
      <c r="K57">
        <v>99.8</v>
      </c>
      <c r="L57">
        <v>104.1</v>
      </c>
      <c r="M57" t="s">
        <v>1510</v>
      </c>
      <c r="N57" t="s">
        <v>1511</v>
      </c>
      <c r="O57" t="s">
        <v>755</v>
      </c>
      <c r="P57" t="s">
        <v>801</v>
      </c>
    </row>
    <row r="58" spans="1:16">
      <c r="A58">
        <v>57</v>
      </c>
      <c r="B58" t="s">
        <v>1026</v>
      </c>
      <c r="C58">
        <v>104.1</v>
      </c>
      <c r="D58">
        <v>68.3</v>
      </c>
      <c r="E58">
        <v>96.7</v>
      </c>
      <c r="F58">
        <v>132</v>
      </c>
      <c r="G58">
        <v>99.5</v>
      </c>
      <c r="H58">
        <v>102.9</v>
      </c>
      <c r="I58">
        <v>101.9</v>
      </c>
      <c r="J58">
        <v>83.4</v>
      </c>
      <c r="K58">
        <v>93.9</v>
      </c>
      <c r="L58">
        <v>153.19999999999999</v>
      </c>
      <c r="M58" t="s">
        <v>1512</v>
      </c>
      <c r="N58" t="s">
        <v>1513</v>
      </c>
      <c r="O58" t="s">
        <v>755</v>
      </c>
      <c r="P58" t="s">
        <v>801</v>
      </c>
    </row>
    <row r="59" spans="1:16">
      <c r="A59">
        <v>58</v>
      </c>
      <c r="B59" t="s">
        <v>1027</v>
      </c>
      <c r="C59">
        <v>101</v>
      </c>
      <c r="D59">
        <v>83.6</v>
      </c>
      <c r="E59">
        <v>102.3</v>
      </c>
      <c r="F59">
        <v>64.599999999999994</v>
      </c>
      <c r="G59">
        <v>99.7</v>
      </c>
      <c r="H59">
        <v>104.6</v>
      </c>
      <c r="I59">
        <v>100.1</v>
      </c>
      <c r="J59">
        <v>98.6</v>
      </c>
      <c r="K59">
        <v>99.7</v>
      </c>
      <c r="L59">
        <v>105.9</v>
      </c>
      <c r="M59" t="s">
        <v>1514</v>
      </c>
      <c r="N59" t="s">
        <v>1515</v>
      </c>
      <c r="O59" t="s">
        <v>755</v>
      </c>
      <c r="P59" t="s">
        <v>801</v>
      </c>
    </row>
    <row r="60" spans="1:16">
      <c r="A60">
        <v>59</v>
      </c>
      <c r="B60" t="s">
        <v>1028</v>
      </c>
      <c r="C60">
        <v>104.7</v>
      </c>
      <c r="D60">
        <v>91.5</v>
      </c>
      <c r="E60">
        <v>91.5</v>
      </c>
      <c r="F60">
        <v>109.4</v>
      </c>
      <c r="G60">
        <v>100.1</v>
      </c>
      <c r="H60">
        <v>100.2</v>
      </c>
      <c r="I60">
        <v>100.6</v>
      </c>
      <c r="J60">
        <v>99.6</v>
      </c>
      <c r="K60">
        <v>99.9</v>
      </c>
      <c r="L60">
        <v>101.3</v>
      </c>
      <c r="M60" t="s">
        <v>1516</v>
      </c>
      <c r="N60" t="s">
        <v>1517</v>
      </c>
      <c r="O60" t="s">
        <v>801</v>
      </c>
      <c r="P60" t="s">
        <v>801</v>
      </c>
    </row>
    <row r="61" spans="1:16">
      <c r="A61">
        <v>60</v>
      </c>
      <c r="B61" t="s">
        <v>1029</v>
      </c>
      <c r="C61">
        <v>105.6</v>
      </c>
      <c r="D61">
        <v>86.6</v>
      </c>
      <c r="E61">
        <v>106</v>
      </c>
      <c r="F61">
        <v>86.3</v>
      </c>
      <c r="G61">
        <v>100.2</v>
      </c>
      <c r="H61">
        <v>99.9</v>
      </c>
      <c r="I61">
        <v>95.2</v>
      </c>
      <c r="J61">
        <v>109.6</v>
      </c>
      <c r="K61">
        <v>101</v>
      </c>
      <c r="L61">
        <v>99.8</v>
      </c>
      <c r="M61" t="s">
        <v>1518</v>
      </c>
      <c r="N61" t="s">
        <v>1519</v>
      </c>
      <c r="O61" t="s">
        <v>801</v>
      </c>
      <c r="P61" t="s">
        <v>801</v>
      </c>
    </row>
    <row r="62" spans="1:16">
      <c r="A62">
        <v>61</v>
      </c>
      <c r="B62" t="s">
        <v>1030</v>
      </c>
      <c r="C62">
        <v>109.6</v>
      </c>
      <c r="D62">
        <v>84.3</v>
      </c>
      <c r="E62">
        <v>90.6</v>
      </c>
      <c r="F62">
        <v>112.5</v>
      </c>
      <c r="G62">
        <v>100.4</v>
      </c>
      <c r="H62">
        <v>99.5</v>
      </c>
      <c r="I62">
        <v>96.8</v>
      </c>
      <c r="J62">
        <v>104.9</v>
      </c>
      <c r="K62">
        <v>100.7</v>
      </c>
      <c r="L62">
        <v>100.3</v>
      </c>
      <c r="M62" t="s">
        <v>1520</v>
      </c>
      <c r="N62" t="s">
        <v>1495</v>
      </c>
      <c r="O62" t="s">
        <v>755</v>
      </c>
      <c r="P62" t="s">
        <v>755</v>
      </c>
    </row>
    <row r="63" spans="1:16">
      <c r="A63">
        <v>62</v>
      </c>
      <c r="B63" t="s">
        <v>1031</v>
      </c>
      <c r="C63">
        <v>108.2</v>
      </c>
      <c r="D63">
        <v>76.2</v>
      </c>
      <c r="E63">
        <v>106.8</v>
      </c>
      <c r="F63">
        <v>82.5</v>
      </c>
      <c r="G63">
        <v>101.2</v>
      </c>
      <c r="H63">
        <v>96.5</v>
      </c>
      <c r="I63">
        <v>99.5</v>
      </c>
      <c r="J63">
        <v>101.5</v>
      </c>
      <c r="K63">
        <v>85.8</v>
      </c>
      <c r="L63">
        <v>140.5</v>
      </c>
      <c r="M63" t="s">
        <v>1521</v>
      </c>
      <c r="N63" t="s">
        <v>1472</v>
      </c>
      <c r="O63" t="s">
        <v>755</v>
      </c>
      <c r="P63" t="s">
        <v>801</v>
      </c>
    </row>
    <row r="64" spans="1:16">
      <c r="A64">
        <v>63</v>
      </c>
      <c r="B64" t="s">
        <v>1032</v>
      </c>
      <c r="C64">
        <v>105.3</v>
      </c>
      <c r="D64">
        <v>57.9</v>
      </c>
      <c r="E64">
        <v>103.6</v>
      </c>
      <c r="F64">
        <v>71.599999999999994</v>
      </c>
      <c r="G64">
        <v>100.7</v>
      </c>
      <c r="H64">
        <v>94.7</v>
      </c>
      <c r="I64">
        <v>96.5</v>
      </c>
      <c r="J64">
        <v>128.1</v>
      </c>
      <c r="K64">
        <v>100.3</v>
      </c>
      <c r="L64">
        <v>97.8</v>
      </c>
      <c r="M64" t="s">
        <v>1522</v>
      </c>
      <c r="N64" t="s">
        <v>1523</v>
      </c>
      <c r="O64" t="s">
        <v>755</v>
      </c>
      <c r="P64" t="s">
        <v>801</v>
      </c>
    </row>
    <row r="65" spans="1:16">
      <c r="A65">
        <v>64</v>
      </c>
      <c r="B65" t="s">
        <v>1033</v>
      </c>
      <c r="C65">
        <v>107.5</v>
      </c>
      <c r="D65">
        <v>80.8</v>
      </c>
      <c r="E65">
        <v>96</v>
      </c>
      <c r="F65">
        <v>111.1</v>
      </c>
      <c r="G65">
        <v>101.1</v>
      </c>
      <c r="H65">
        <v>97.4</v>
      </c>
      <c r="I65">
        <v>99.1</v>
      </c>
      <c r="J65">
        <v>102.3</v>
      </c>
      <c r="K65">
        <v>89.2</v>
      </c>
      <c r="L65">
        <v>127.6</v>
      </c>
      <c r="M65" t="s">
        <v>1524</v>
      </c>
      <c r="N65" t="s">
        <v>1525</v>
      </c>
      <c r="O65" t="s">
        <v>755</v>
      </c>
      <c r="P65" t="s">
        <v>801</v>
      </c>
    </row>
    <row r="66" spans="1:16">
      <c r="A66">
        <v>65</v>
      </c>
      <c r="B66" t="s">
        <v>1034</v>
      </c>
      <c r="C66">
        <v>104.2</v>
      </c>
      <c r="D66">
        <v>70.2</v>
      </c>
      <c r="E66">
        <v>105.4</v>
      </c>
      <c r="F66">
        <v>61.9</v>
      </c>
      <c r="G66">
        <v>100.8</v>
      </c>
      <c r="H66">
        <v>94.6</v>
      </c>
      <c r="I66">
        <v>95.8</v>
      </c>
      <c r="J66">
        <v>129.9</v>
      </c>
      <c r="K66">
        <v>103.3</v>
      </c>
      <c r="L66">
        <v>76.8</v>
      </c>
      <c r="M66" t="s">
        <v>1503</v>
      </c>
      <c r="N66" t="s">
        <v>1526</v>
      </c>
      <c r="O66" t="s">
        <v>801</v>
      </c>
      <c r="P66" t="s">
        <v>801</v>
      </c>
    </row>
    <row r="67" spans="1:16">
      <c r="A67">
        <v>66</v>
      </c>
      <c r="B67" t="s">
        <v>1035</v>
      </c>
      <c r="C67">
        <v>106</v>
      </c>
      <c r="D67">
        <v>89.6</v>
      </c>
      <c r="E67">
        <v>90.9</v>
      </c>
      <c r="F67">
        <v>113.9</v>
      </c>
      <c r="G67">
        <v>101.4</v>
      </c>
      <c r="H67">
        <v>97.7</v>
      </c>
      <c r="I67">
        <v>98.6</v>
      </c>
      <c r="J67">
        <v>102.7</v>
      </c>
      <c r="K67">
        <v>97.2</v>
      </c>
      <c r="L67">
        <v>105</v>
      </c>
      <c r="M67" t="s">
        <v>1527</v>
      </c>
      <c r="N67" t="s">
        <v>1528</v>
      </c>
      <c r="O67" t="s">
        <v>755</v>
      </c>
      <c r="P67" t="s">
        <v>801</v>
      </c>
    </row>
    <row r="68" spans="1:16">
      <c r="A68">
        <v>67</v>
      </c>
      <c r="B68" t="s">
        <v>1036</v>
      </c>
      <c r="C68">
        <v>108.4</v>
      </c>
      <c r="D68">
        <v>75.8</v>
      </c>
      <c r="E68">
        <v>101.9</v>
      </c>
      <c r="F68">
        <v>95.5</v>
      </c>
      <c r="G68">
        <v>102.1</v>
      </c>
      <c r="H68">
        <v>93.9</v>
      </c>
      <c r="I68">
        <v>99.2</v>
      </c>
      <c r="J68">
        <v>102.2</v>
      </c>
      <c r="K68">
        <v>84.1</v>
      </c>
      <c r="L68">
        <v>146.1</v>
      </c>
      <c r="M68" t="s">
        <v>1529</v>
      </c>
      <c r="N68" t="s">
        <v>1530</v>
      </c>
      <c r="O68" t="s">
        <v>755</v>
      </c>
      <c r="P68" t="s">
        <v>801</v>
      </c>
    </row>
    <row r="69" spans="1:16">
      <c r="A69">
        <v>68</v>
      </c>
      <c r="B69" t="s">
        <v>1037</v>
      </c>
      <c r="C69">
        <v>108.4</v>
      </c>
      <c r="D69">
        <v>79.599999999999994</v>
      </c>
      <c r="E69">
        <v>89</v>
      </c>
      <c r="F69">
        <v>127.1</v>
      </c>
      <c r="G69">
        <v>102.2</v>
      </c>
      <c r="H69">
        <v>94.7</v>
      </c>
      <c r="I69">
        <v>99</v>
      </c>
      <c r="J69">
        <v>102.1</v>
      </c>
      <c r="K69">
        <v>85</v>
      </c>
      <c r="L69">
        <v>136.6</v>
      </c>
      <c r="M69" t="s">
        <v>1531</v>
      </c>
      <c r="N69" t="s">
        <v>1532</v>
      </c>
      <c r="O69" t="s">
        <v>755</v>
      </c>
      <c r="P69" t="s">
        <v>801</v>
      </c>
    </row>
    <row r="70" spans="1:16">
      <c r="A70">
        <v>69</v>
      </c>
      <c r="B70" t="s">
        <v>1038</v>
      </c>
      <c r="C70">
        <v>117.4</v>
      </c>
      <c r="D70">
        <v>77</v>
      </c>
      <c r="E70">
        <v>81.400000000000006</v>
      </c>
      <c r="F70">
        <v>120.2</v>
      </c>
      <c r="G70">
        <v>98.3</v>
      </c>
      <c r="H70">
        <v>101.9</v>
      </c>
      <c r="I70">
        <v>93.4</v>
      </c>
      <c r="J70">
        <v>107.3</v>
      </c>
      <c r="K70">
        <v>109.3</v>
      </c>
      <c r="L70">
        <v>92.9</v>
      </c>
      <c r="M70" t="s">
        <v>1533</v>
      </c>
      <c r="N70" t="s">
        <v>1534</v>
      </c>
      <c r="O70" t="s">
        <v>801</v>
      </c>
      <c r="P70" t="s">
        <v>801</v>
      </c>
    </row>
    <row r="71" spans="1:16">
      <c r="A71">
        <v>70</v>
      </c>
      <c r="B71" t="s">
        <v>1039</v>
      </c>
      <c r="C71">
        <v>107.2</v>
      </c>
      <c r="D71">
        <v>78.099999999999994</v>
      </c>
      <c r="E71">
        <v>115.8</v>
      </c>
      <c r="F71">
        <v>60.6</v>
      </c>
      <c r="G71">
        <v>99.3</v>
      </c>
      <c r="H71">
        <v>101.7</v>
      </c>
      <c r="I71">
        <v>100.5</v>
      </c>
      <c r="J71">
        <v>99.5</v>
      </c>
      <c r="K71">
        <v>90.3</v>
      </c>
      <c r="L71">
        <v>127.1</v>
      </c>
      <c r="M71" t="s">
        <v>1535</v>
      </c>
      <c r="N71" t="s">
        <v>1511</v>
      </c>
      <c r="O71" t="s">
        <v>801</v>
      </c>
      <c r="P71" t="s">
        <v>801</v>
      </c>
    </row>
    <row r="72" spans="1:16">
      <c r="A72">
        <v>71</v>
      </c>
      <c r="B72" t="s">
        <v>1040</v>
      </c>
      <c r="C72">
        <v>101.1</v>
      </c>
      <c r="D72">
        <v>98.6</v>
      </c>
      <c r="E72">
        <v>91.4</v>
      </c>
      <c r="F72">
        <v>110.3</v>
      </c>
      <c r="G72">
        <v>100.8</v>
      </c>
      <c r="H72">
        <v>99.1</v>
      </c>
      <c r="I72">
        <v>99.7</v>
      </c>
      <c r="J72">
        <v>100.8</v>
      </c>
      <c r="K72">
        <v>100.6</v>
      </c>
      <c r="L72">
        <v>91</v>
      </c>
      <c r="M72" t="s">
        <v>1536</v>
      </c>
      <c r="N72" t="s">
        <v>1537</v>
      </c>
      <c r="O72" t="s">
        <v>755</v>
      </c>
      <c r="P72" t="s">
        <v>755</v>
      </c>
    </row>
    <row r="73" spans="1:16">
      <c r="A73">
        <v>72</v>
      </c>
      <c r="B73" t="s">
        <v>1041</v>
      </c>
      <c r="C73">
        <v>93</v>
      </c>
      <c r="D73">
        <v>107.3</v>
      </c>
      <c r="E73">
        <v>73.2</v>
      </c>
      <c r="F73">
        <v>123.9</v>
      </c>
      <c r="G73">
        <v>103.9</v>
      </c>
      <c r="H73">
        <v>96.1</v>
      </c>
      <c r="I73">
        <v>100.3</v>
      </c>
      <c r="J73">
        <v>99.8</v>
      </c>
      <c r="K73">
        <v>119.9</v>
      </c>
      <c r="L73">
        <v>84.2</v>
      </c>
      <c r="M73" t="s">
        <v>1474</v>
      </c>
      <c r="N73" t="s">
        <v>1538</v>
      </c>
      <c r="O73" t="s">
        <v>801</v>
      </c>
      <c r="P73" t="s">
        <v>801</v>
      </c>
    </row>
    <row r="74" spans="1:16">
      <c r="A74">
        <v>73</v>
      </c>
      <c r="B74" t="s">
        <v>1042</v>
      </c>
      <c r="C74">
        <v>110.1</v>
      </c>
      <c r="D74">
        <v>78.8</v>
      </c>
      <c r="E74">
        <v>116.6</v>
      </c>
      <c r="F74">
        <v>62</v>
      </c>
      <c r="G74">
        <v>99.7</v>
      </c>
      <c r="H74">
        <v>100.9</v>
      </c>
      <c r="I74">
        <v>96.6</v>
      </c>
      <c r="J74">
        <v>106.8</v>
      </c>
      <c r="K74">
        <v>84.1</v>
      </c>
      <c r="L74">
        <v>138</v>
      </c>
      <c r="M74" t="s">
        <v>1539</v>
      </c>
      <c r="N74" t="s">
        <v>1540</v>
      </c>
      <c r="O74" t="s">
        <v>801</v>
      </c>
      <c r="P74" t="s">
        <v>801</v>
      </c>
    </row>
    <row r="75" spans="1:16">
      <c r="A75">
        <v>74</v>
      </c>
      <c r="B75" t="s">
        <v>1043</v>
      </c>
      <c r="C75">
        <v>104.1</v>
      </c>
      <c r="D75">
        <v>86.3</v>
      </c>
      <c r="E75">
        <v>114.9</v>
      </c>
      <c r="F75">
        <v>50.1</v>
      </c>
      <c r="G75">
        <v>98.4</v>
      </c>
      <c r="H75">
        <v>105.5</v>
      </c>
      <c r="I75">
        <v>100.5</v>
      </c>
      <c r="J75">
        <v>98.2</v>
      </c>
      <c r="K75">
        <v>104.2</v>
      </c>
      <c r="L75">
        <v>92.4</v>
      </c>
      <c r="M75" t="s">
        <v>1541</v>
      </c>
      <c r="N75" t="s">
        <v>1542</v>
      </c>
      <c r="O75" t="s">
        <v>755</v>
      </c>
      <c r="P75" t="s">
        <v>755</v>
      </c>
    </row>
    <row r="76" spans="1:16">
      <c r="A76">
        <v>75</v>
      </c>
      <c r="B76" t="s">
        <v>1044</v>
      </c>
      <c r="C76">
        <v>112.1</v>
      </c>
      <c r="D76">
        <v>65.5</v>
      </c>
      <c r="E76">
        <v>112.7</v>
      </c>
      <c r="F76">
        <v>68.599999999999994</v>
      </c>
      <c r="G76">
        <v>96</v>
      </c>
      <c r="H76">
        <v>110.3</v>
      </c>
      <c r="I76">
        <v>102</v>
      </c>
      <c r="J76">
        <v>95.4</v>
      </c>
      <c r="K76">
        <v>99.4</v>
      </c>
      <c r="L76">
        <v>105.1</v>
      </c>
      <c r="M76" t="s">
        <v>1543</v>
      </c>
      <c r="N76" t="s">
        <v>1544</v>
      </c>
      <c r="O76" t="s">
        <v>801</v>
      </c>
      <c r="P76" t="s">
        <v>801</v>
      </c>
    </row>
    <row r="77" spans="1:16">
      <c r="A77">
        <v>76</v>
      </c>
      <c r="B77" t="s">
        <v>1045</v>
      </c>
      <c r="C77">
        <v>101.4</v>
      </c>
      <c r="D77">
        <v>97.2</v>
      </c>
      <c r="E77">
        <v>115.3</v>
      </c>
      <c r="F77">
        <v>28.9</v>
      </c>
      <c r="G77">
        <v>99.5</v>
      </c>
      <c r="H77">
        <v>102.1</v>
      </c>
      <c r="I77">
        <v>99.3</v>
      </c>
      <c r="J77">
        <v>102.1</v>
      </c>
      <c r="K77">
        <v>116.2</v>
      </c>
      <c r="L77">
        <v>45.7</v>
      </c>
      <c r="M77" t="s">
        <v>1545</v>
      </c>
      <c r="N77" t="s">
        <v>1546</v>
      </c>
      <c r="O77" t="s">
        <v>755</v>
      </c>
      <c r="P77" t="s">
        <v>801</v>
      </c>
    </row>
    <row r="78" spans="1:16">
      <c r="A78">
        <v>77</v>
      </c>
      <c r="B78" t="s">
        <v>1046</v>
      </c>
      <c r="C78">
        <v>105.1</v>
      </c>
      <c r="D78">
        <v>83.2</v>
      </c>
      <c r="E78">
        <v>118.8</v>
      </c>
      <c r="F78">
        <v>35.299999999999997</v>
      </c>
      <c r="G78">
        <v>98.2</v>
      </c>
      <c r="H78">
        <v>106.1</v>
      </c>
      <c r="I78">
        <v>100.1</v>
      </c>
      <c r="J78">
        <v>99.6</v>
      </c>
      <c r="K78">
        <v>109.7</v>
      </c>
      <c r="L78">
        <v>77.2</v>
      </c>
      <c r="M78" t="s">
        <v>1547</v>
      </c>
      <c r="N78" t="s">
        <v>1548</v>
      </c>
      <c r="O78" t="s">
        <v>755</v>
      </c>
      <c r="P78" t="s">
        <v>801</v>
      </c>
    </row>
    <row r="79" spans="1:16">
      <c r="A79">
        <v>78</v>
      </c>
      <c r="B79" t="s">
        <v>1047</v>
      </c>
      <c r="C79">
        <v>103.1</v>
      </c>
      <c r="D79">
        <v>91.4</v>
      </c>
      <c r="E79">
        <v>111.8</v>
      </c>
      <c r="F79">
        <v>30.8</v>
      </c>
      <c r="G79">
        <v>99.5</v>
      </c>
      <c r="H79">
        <v>102.1</v>
      </c>
      <c r="I79">
        <v>99</v>
      </c>
      <c r="J79">
        <v>103.7</v>
      </c>
      <c r="K79">
        <v>119</v>
      </c>
      <c r="L79">
        <v>30.5</v>
      </c>
      <c r="M79" t="s">
        <v>1549</v>
      </c>
      <c r="N79" t="s">
        <v>1550</v>
      </c>
      <c r="O79" t="s">
        <v>755</v>
      </c>
      <c r="P79" t="s">
        <v>801</v>
      </c>
    </row>
    <row r="80" spans="1:16">
      <c r="A80">
        <v>79</v>
      </c>
      <c r="B80" t="s">
        <v>1048</v>
      </c>
      <c r="C80">
        <v>100.4</v>
      </c>
      <c r="D80">
        <v>99.9</v>
      </c>
      <c r="E80">
        <v>88.5</v>
      </c>
      <c r="F80">
        <v>127.4</v>
      </c>
      <c r="G80">
        <v>101.6</v>
      </c>
      <c r="H80">
        <v>96.8</v>
      </c>
      <c r="I80">
        <v>99.9</v>
      </c>
      <c r="J80">
        <v>98.9</v>
      </c>
      <c r="K80">
        <v>96.5</v>
      </c>
      <c r="L80">
        <v>110.8</v>
      </c>
      <c r="M80" t="s">
        <v>1551</v>
      </c>
      <c r="N80" t="s">
        <v>1538</v>
      </c>
      <c r="O80" t="s">
        <v>755</v>
      </c>
      <c r="P80" t="s">
        <v>801</v>
      </c>
    </row>
    <row r="81" spans="1:16">
      <c r="A81">
        <v>80</v>
      </c>
      <c r="B81" t="s">
        <v>1049</v>
      </c>
      <c r="C81">
        <v>106.8</v>
      </c>
      <c r="D81">
        <v>69.400000000000006</v>
      </c>
      <c r="E81">
        <v>106.3</v>
      </c>
      <c r="F81">
        <v>69.900000000000006</v>
      </c>
      <c r="G81">
        <v>98.4</v>
      </c>
      <c r="H81">
        <v>106.7</v>
      </c>
      <c r="I81">
        <v>100</v>
      </c>
      <c r="J81">
        <v>100.3</v>
      </c>
      <c r="K81">
        <v>100</v>
      </c>
      <c r="L81">
        <v>105.9</v>
      </c>
      <c r="M81" t="s">
        <v>1552</v>
      </c>
      <c r="N81" t="s">
        <v>1532</v>
      </c>
      <c r="O81" t="s">
        <v>755</v>
      </c>
      <c r="P81" t="s">
        <v>801</v>
      </c>
    </row>
    <row r="82" spans="1:16">
      <c r="A82">
        <v>81</v>
      </c>
      <c r="B82" t="s">
        <v>1050</v>
      </c>
      <c r="C82">
        <v>103.6</v>
      </c>
      <c r="D82">
        <v>80</v>
      </c>
      <c r="E82">
        <v>109.4</v>
      </c>
      <c r="F82">
        <v>35.9</v>
      </c>
      <c r="G82">
        <v>98.8</v>
      </c>
      <c r="H82">
        <v>107.1</v>
      </c>
      <c r="I82">
        <v>100</v>
      </c>
      <c r="J82">
        <v>100</v>
      </c>
      <c r="K82">
        <v>116.1</v>
      </c>
      <c r="L82">
        <v>13.6</v>
      </c>
      <c r="M82" t="s">
        <v>1553</v>
      </c>
      <c r="N82" t="s">
        <v>1554</v>
      </c>
      <c r="O82" t="s">
        <v>755</v>
      </c>
      <c r="P82" t="s">
        <v>801</v>
      </c>
    </row>
    <row r="83" spans="1:16">
      <c r="A83">
        <v>82</v>
      </c>
      <c r="B83" t="s">
        <v>1051</v>
      </c>
      <c r="C83">
        <v>107.3</v>
      </c>
      <c r="D83">
        <v>66.8</v>
      </c>
      <c r="E83">
        <v>104.9</v>
      </c>
      <c r="F83">
        <v>73.2</v>
      </c>
      <c r="G83">
        <v>97.9</v>
      </c>
      <c r="H83">
        <v>108.8</v>
      </c>
      <c r="I83">
        <v>100.7</v>
      </c>
      <c r="J83">
        <v>98</v>
      </c>
      <c r="K83">
        <v>96</v>
      </c>
      <c r="L83">
        <v>123.9</v>
      </c>
      <c r="M83" t="s">
        <v>1423</v>
      </c>
      <c r="N83" t="s">
        <v>1555</v>
      </c>
      <c r="O83" t="s">
        <v>755</v>
      </c>
      <c r="P83" t="s">
        <v>801</v>
      </c>
    </row>
    <row r="84" spans="1:16">
      <c r="A84">
        <v>83</v>
      </c>
      <c r="B84" t="s">
        <v>1052</v>
      </c>
      <c r="C84">
        <v>105.2</v>
      </c>
      <c r="D84">
        <v>65.900000000000006</v>
      </c>
      <c r="E84">
        <v>105.3</v>
      </c>
      <c r="F84">
        <v>40.6</v>
      </c>
      <c r="G84">
        <v>98.5</v>
      </c>
      <c r="H84">
        <v>111.1</v>
      </c>
      <c r="I84">
        <v>100.2</v>
      </c>
      <c r="J84">
        <v>98.5</v>
      </c>
      <c r="K84">
        <v>112.2</v>
      </c>
      <c r="L84">
        <v>19</v>
      </c>
      <c r="M84" t="s">
        <v>1556</v>
      </c>
      <c r="N84" t="s">
        <v>1557</v>
      </c>
      <c r="O84" t="s">
        <v>801</v>
      </c>
      <c r="P84" t="s">
        <v>801</v>
      </c>
    </row>
    <row r="85" spans="1:16">
      <c r="A85">
        <v>84</v>
      </c>
      <c r="B85" t="s">
        <v>1053</v>
      </c>
      <c r="C85">
        <v>98.2</v>
      </c>
      <c r="D85">
        <v>101.7</v>
      </c>
      <c r="E85">
        <v>94.6</v>
      </c>
      <c r="F85">
        <v>92.9</v>
      </c>
      <c r="G85">
        <v>100.2</v>
      </c>
      <c r="H85">
        <v>100.7</v>
      </c>
      <c r="I85">
        <v>100.9</v>
      </c>
      <c r="J85">
        <v>100.9</v>
      </c>
      <c r="K85">
        <v>95.5</v>
      </c>
      <c r="L85">
        <v>60.5</v>
      </c>
      <c r="M85" t="s">
        <v>1558</v>
      </c>
      <c r="N85" t="s">
        <v>1482</v>
      </c>
      <c r="O85" t="s">
        <v>801</v>
      </c>
      <c r="P85" t="s">
        <v>801</v>
      </c>
    </row>
    <row r="86" spans="1:16">
      <c r="A86">
        <v>85</v>
      </c>
      <c r="B86" t="s">
        <v>1054</v>
      </c>
      <c r="C86">
        <v>97.2</v>
      </c>
      <c r="D86">
        <v>104.2</v>
      </c>
      <c r="E86">
        <v>124.3</v>
      </c>
      <c r="F86">
        <v>39.5</v>
      </c>
      <c r="G86">
        <v>98.1</v>
      </c>
      <c r="H86">
        <v>105.1</v>
      </c>
      <c r="I86">
        <v>101.5</v>
      </c>
      <c r="J86">
        <v>96</v>
      </c>
      <c r="K86">
        <v>110.7</v>
      </c>
      <c r="L86">
        <v>80.7</v>
      </c>
      <c r="M86" t="s">
        <v>1559</v>
      </c>
      <c r="N86" t="s">
        <v>1560</v>
      </c>
      <c r="O86" t="s">
        <v>755</v>
      </c>
      <c r="P86" t="s">
        <v>801</v>
      </c>
    </row>
    <row r="87" spans="1:16">
      <c r="A87">
        <v>86</v>
      </c>
      <c r="B87" t="s">
        <v>1055</v>
      </c>
      <c r="C87">
        <v>97.1</v>
      </c>
      <c r="D87">
        <v>111.6</v>
      </c>
      <c r="E87">
        <v>120.4</v>
      </c>
      <c r="F87">
        <v>25.8</v>
      </c>
      <c r="G87">
        <v>99.9</v>
      </c>
      <c r="H87">
        <v>100.3</v>
      </c>
      <c r="I87">
        <v>99.2</v>
      </c>
      <c r="J87">
        <v>101.8</v>
      </c>
      <c r="K87">
        <v>119.5</v>
      </c>
      <c r="L87">
        <v>49.7</v>
      </c>
      <c r="M87" t="s">
        <v>1561</v>
      </c>
      <c r="N87" t="s">
        <v>1562</v>
      </c>
      <c r="O87" t="s">
        <v>755</v>
      </c>
      <c r="P87" t="s">
        <v>801</v>
      </c>
    </row>
    <row r="88" spans="1:16">
      <c r="A88">
        <v>87</v>
      </c>
      <c r="B88" t="s">
        <v>1056</v>
      </c>
      <c r="C88">
        <v>98.7</v>
      </c>
      <c r="D88">
        <v>100.3</v>
      </c>
      <c r="E88">
        <v>132.5</v>
      </c>
      <c r="F88">
        <v>17.3</v>
      </c>
      <c r="G88">
        <v>98.3</v>
      </c>
      <c r="H88">
        <v>104.9</v>
      </c>
      <c r="I88">
        <v>100.1</v>
      </c>
      <c r="J88">
        <v>99.2</v>
      </c>
      <c r="K88">
        <v>122.3</v>
      </c>
      <c r="L88">
        <v>55.9</v>
      </c>
      <c r="M88" t="s">
        <v>1563</v>
      </c>
      <c r="N88" t="s">
        <v>1564</v>
      </c>
      <c r="O88" t="s">
        <v>755</v>
      </c>
      <c r="P88" t="s">
        <v>801</v>
      </c>
    </row>
    <row r="89" spans="1:16">
      <c r="A89">
        <v>88</v>
      </c>
      <c r="B89" t="s">
        <v>1057</v>
      </c>
      <c r="C89">
        <v>98.1</v>
      </c>
      <c r="D89">
        <v>110.2</v>
      </c>
      <c r="E89">
        <v>117.7</v>
      </c>
      <c r="F89">
        <v>26.9</v>
      </c>
      <c r="G89">
        <v>100.3</v>
      </c>
      <c r="H89">
        <v>99</v>
      </c>
      <c r="I89">
        <v>98.5</v>
      </c>
      <c r="J89">
        <v>104.2</v>
      </c>
      <c r="K89">
        <v>125.9</v>
      </c>
      <c r="L89">
        <v>31</v>
      </c>
      <c r="M89" t="s">
        <v>1565</v>
      </c>
      <c r="N89" t="s">
        <v>1544</v>
      </c>
      <c r="O89" t="s">
        <v>755</v>
      </c>
      <c r="P89" t="s">
        <v>801</v>
      </c>
    </row>
    <row r="90" spans="1:16">
      <c r="A90">
        <v>89</v>
      </c>
      <c r="B90" t="s">
        <v>1058</v>
      </c>
      <c r="C90">
        <v>113.1</v>
      </c>
      <c r="D90">
        <v>78.900000000000006</v>
      </c>
      <c r="E90">
        <v>100.6</v>
      </c>
      <c r="F90">
        <v>91.3</v>
      </c>
      <c r="G90">
        <v>100.1</v>
      </c>
      <c r="H90">
        <v>100.3</v>
      </c>
      <c r="I90">
        <v>96.3</v>
      </c>
      <c r="J90">
        <v>107.9</v>
      </c>
      <c r="K90">
        <v>85.3</v>
      </c>
      <c r="L90">
        <v>126</v>
      </c>
      <c r="M90" t="s">
        <v>1566</v>
      </c>
      <c r="N90" t="s">
        <v>1567</v>
      </c>
      <c r="O90" t="s">
        <v>801</v>
      </c>
      <c r="P90" t="s">
        <v>801</v>
      </c>
    </row>
    <row r="91" spans="1:16">
      <c r="A91">
        <v>90</v>
      </c>
      <c r="B91" t="s">
        <v>1059</v>
      </c>
      <c r="C91">
        <v>104.9</v>
      </c>
      <c r="D91">
        <v>91</v>
      </c>
      <c r="E91">
        <v>104.1</v>
      </c>
      <c r="F91">
        <v>79.900000000000006</v>
      </c>
      <c r="G91">
        <v>100.4</v>
      </c>
      <c r="H91">
        <v>99.9</v>
      </c>
      <c r="I91">
        <v>94.7</v>
      </c>
      <c r="J91">
        <v>113.6</v>
      </c>
      <c r="K91">
        <v>98.3</v>
      </c>
      <c r="L91">
        <v>108.4</v>
      </c>
      <c r="M91" t="s">
        <v>1568</v>
      </c>
      <c r="N91" t="s">
        <v>1569</v>
      </c>
      <c r="O91" t="s">
        <v>801</v>
      </c>
      <c r="P91" t="s">
        <v>801</v>
      </c>
    </row>
    <row r="92" spans="1:16">
      <c r="A92">
        <v>91</v>
      </c>
      <c r="B92" t="s">
        <v>1060</v>
      </c>
      <c r="C92">
        <v>102.5</v>
      </c>
      <c r="D92">
        <v>79.3</v>
      </c>
      <c r="E92">
        <v>101.7</v>
      </c>
      <c r="F92">
        <v>90.5</v>
      </c>
      <c r="G92">
        <v>100.2</v>
      </c>
      <c r="H92">
        <v>98.8</v>
      </c>
      <c r="I92">
        <v>99.1</v>
      </c>
      <c r="J92">
        <v>106.9</v>
      </c>
      <c r="K92">
        <v>89</v>
      </c>
      <c r="L92">
        <v>189.4</v>
      </c>
      <c r="M92" t="s">
        <v>1570</v>
      </c>
      <c r="N92" t="s">
        <v>1571</v>
      </c>
      <c r="O92" t="s">
        <v>755</v>
      </c>
      <c r="P92" t="s">
        <v>801</v>
      </c>
    </row>
    <row r="93" spans="1:16">
      <c r="A93">
        <v>92</v>
      </c>
      <c r="B93" t="s">
        <v>1061</v>
      </c>
      <c r="C93">
        <v>102.1</v>
      </c>
      <c r="D93">
        <v>64.2</v>
      </c>
      <c r="E93">
        <v>100.6</v>
      </c>
      <c r="F93">
        <v>91.7</v>
      </c>
      <c r="G93">
        <v>99.9</v>
      </c>
      <c r="H93">
        <v>101.9</v>
      </c>
      <c r="I93">
        <v>99.5</v>
      </c>
      <c r="J93">
        <v>108.6</v>
      </c>
      <c r="K93">
        <v>96.1</v>
      </c>
      <c r="L93">
        <v>171.9</v>
      </c>
      <c r="M93" t="s">
        <v>1572</v>
      </c>
      <c r="N93" t="s">
        <v>1573</v>
      </c>
      <c r="O93" t="s">
        <v>755</v>
      </c>
      <c r="P93" t="s">
        <v>755</v>
      </c>
    </row>
    <row r="94" spans="1:16">
      <c r="A94">
        <v>93</v>
      </c>
      <c r="B94" t="s">
        <v>1062</v>
      </c>
      <c r="C94">
        <v>101.6</v>
      </c>
      <c r="D94">
        <v>70.599999999999994</v>
      </c>
      <c r="E94">
        <v>96.7</v>
      </c>
      <c r="F94">
        <v>175.4</v>
      </c>
      <c r="G94">
        <v>100.1</v>
      </c>
      <c r="H94">
        <v>97.3</v>
      </c>
      <c r="I94">
        <v>100.2</v>
      </c>
      <c r="J94">
        <v>92.9</v>
      </c>
      <c r="K94">
        <v>87.5</v>
      </c>
      <c r="L94">
        <v>361.6</v>
      </c>
      <c r="M94" t="s">
        <v>1574</v>
      </c>
      <c r="N94" t="s">
        <v>1575</v>
      </c>
      <c r="O94" t="s">
        <v>755</v>
      </c>
      <c r="P94" t="s">
        <v>801</v>
      </c>
    </row>
    <row r="95" spans="1:16">
      <c r="A95">
        <v>94</v>
      </c>
      <c r="B95" t="s">
        <v>1063</v>
      </c>
      <c r="C95">
        <v>101.7</v>
      </c>
      <c r="D95">
        <v>68.599999999999994</v>
      </c>
      <c r="E95">
        <v>101</v>
      </c>
      <c r="F95">
        <v>81.3</v>
      </c>
      <c r="G95">
        <v>100.1</v>
      </c>
      <c r="H95">
        <v>99.1</v>
      </c>
      <c r="I95">
        <v>99.3</v>
      </c>
      <c r="J95">
        <v>112.4</v>
      </c>
      <c r="K95">
        <v>97.5</v>
      </c>
      <c r="L95">
        <v>150.1</v>
      </c>
      <c r="M95" t="s">
        <v>1576</v>
      </c>
      <c r="N95" t="s">
        <v>1577</v>
      </c>
      <c r="O95" t="s">
        <v>755</v>
      </c>
      <c r="P95" t="s">
        <v>801</v>
      </c>
    </row>
    <row r="96" spans="1:16">
      <c r="A96">
        <v>95</v>
      </c>
      <c r="B96" t="s">
        <v>1064</v>
      </c>
      <c r="C96">
        <v>102.8</v>
      </c>
      <c r="D96">
        <v>60.1</v>
      </c>
      <c r="E96">
        <v>101</v>
      </c>
      <c r="F96">
        <v>88.2</v>
      </c>
      <c r="G96">
        <v>99.7</v>
      </c>
      <c r="H96">
        <v>104.3</v>
      </c>
      <c r="I96">
        <v>99.5</v>
      </c>
      <c r="J96">
        <v>107</v>
      </c>
      <c r="K96">
        <v>100.8</v>
      </c>
      <c r="L96">
        <v>96.5</v>
      </c>
      <c r="M96" t="s">
        <v>1578</v>
      </c>
      <c r="N96" t="s">
        <v>1579</v>
      </c>
      <c r="O96" t="s">
        <v>755</v>
      </c>
      <c r="P96" t="s">
        <v>801</v>
      </c>
    </row>
    <row r="97" spans="1:16">
      <c r="A97">
        <v>96</v>
      </c>
      <c r="B97" t="s">
        <v>1065</v>
      </c>
      <c r="C97">
        <v>102.2</v>
      </c>
      <c r="D97">
        <v>62</v>
      </c>
      <c r="E97">
        <v>100.7</v>
      </c>
      <c r="F97">
        <v>90.1</v>
      </c>
      <c r="G97">
        <v>99.9</v>
      </c>
      <c r="H97">
        <v>102.2</v>
      </c>
      <c r="I97">
        <v>99.5</v>
      </c>
      <c r="J97">
        <v>108.6</v>
      </c>
      <c r="K97">
        <v>94.9</v>
      </c>
      <c r="L97">
        <v>200.1</v>
      </c>
      <c r="M97" t="s">
        <v>1580</v>
      </c>
      <c r="N97" t="s">
        <v>1581</v>
      </c>
      <c r="O97" t="s">
        <v>755</v>
      </c>
      <c r="P97" t="s">
        <v>755</v>
      </c>
    </row>
    <row r="98" spans="1:16">
      <c r="A98">
        <v>97</v>
      </c>
      <c r="B98" t="s">
        <v>1066</v>
      </c>
      <c r="C98">
        <v>101.7</v>
      </c>
      <c r="D98">
        <v>72.3</v>
      </c>
      <c r="E98">
        <v>94</v>
      </c>
      <c r="F98">
        <v>206</v>
      </c>
      <c r="G98">
        <v>100.1</v>
      </c>
      <c r="H98">
        <v>97.7</v>
      </c>
      <c r="I98">
        <v>100.6</v>
      </c>
      <c r="J98">
        <v>88.4</v>
      </c>
      <c r="K98">
        <v>81.599999999999994</v>
      </c>
      <c r="L98">
        <v>418.7</v>
      </c>
      <c r="M98" t="s">
        <v>1582</v>
      </c>
      <c r="N98" t="s">
        <v>1583</v>
      </c>
      <c r="O98" t="s">
        <v>755</v>
      </c>
      <c r="P98" t="s">
        <v>801</v>
      </c>
    </row>
    <row r="99" spans="1:16">
      <c r="A99">
        <v>98</v>
      </c>
      <c r="B99" t="s">
        <v>1067</v>
      </c>
      <c r="C99">
        <v>101.6</v>
      </c>
      <c r="D99">
        <v>65.900000000000006</v>
      </c>
      <c r="E99">
        <v>101.6</v>
      </c>
      <c r="F99">
        <v>66.900000000000006</v>
      </c>
      <c r="G99">
        <v>100</v>
      </c>
      <c r="H99">
        <v>100.1</v>
      </c>
      <c r="I99">
        <v>99.4</v>
      </c>
      <c r="J99">
        <v>112.2</v>
      </c>
      <c r="K99">
        <v>96.9</v>
      </c>
      <c r="L99">
        <v>179.3</v>
      </c>
      <c r="M99" t="s">
        <v>1584</v>
      </c>
      <c r="N99" t="s">
        <v>1585</v>
      </c>
      <c r="O99" t="s">
        <v>755</v>
      </c>
      <c r="P99" t="s">
        <v>801</v>
      </c>
    </row>
    <row r="100" spans="1:16">
      <c r="A100">
        <v>99</v>
      </c>
      <c r="B100" t="s">
        <v>1068</v>
      </c>
      <c r="C100">
        <v>103.1</v>
      </c>
      <c r="D100">
        <v>57.5</v>
      </c>
      <c r="E100">
        <v>101</v>
      </c>
      <c r="F100">
        <v>87.6</v>
      </c>
      <c r="G100">
        <v>99.7</v>
      </c>
      <c r="H100">
        <v>103.8</v>
      </c>
      <c r="I100">
        <v>99.4</v>
      </c>
      <c r="J100">
        <v>108.2</v>
      </c>
      <c r="K100">
        <v>100.1</v>
      </c>
      <c r="L100">
        <v>108</v>
      </c>
      <c r="M100" t="s">
        <v>1586</v>
      </c>
      <c r="N100" t="s">
        <v>1587</v>
      </c>
      <c r="O100" t="s">
        <v>755</v>
      </c>
      <c r="P100" t="s">
        <v>801</v>
      </c>
    </row>
    <row r="101" spans="1:16">
      <c r="A101">
        <v>100</v>
      </c>
      <c r="B101" t="s">
        <v>1069</v>
      </c>
      <c r="C101">
        <v>101.2</v>
      </c>
      <c r="D101">
        <v>77.5</v>
      </c>
      <c r="E101">
        <v>100.6</v>
      </c>
      <c r="F101">
        <v>81.2</v>
      </c>
      <c r="G101">
        <v>100</v>
      </c>
      <c r="H101">
        <v>100.5</v>
      </c>
      <c r="I101">
        <v>99.9</v>
      </c>
      <c r="J101">
        <v>100.7</v>
      </c>
      <c r="K101">
        <v>90.9</v>
      </c>
      <c r="L101">
        <v>297</v>
      </c>
      <c r="M101" t="s">
        <v>1588</v>
      </c>
      <c r="N101" t="s">
        <v>1477</v>
      </c>
      <c r="O101" t="s">
        <v>755</v>
      </c>
      <c r="P101" t="s">
        <v>801</v>
      </c>
    </row>
    <row r="102" spans="1:16">
      <c r="A102">
        <v>101</v>
      </c>
      <c r="B102" t="s">
        <v>1070</v>
      </c>
      <c r="C102">
        <v>101</v>
      </c>
      <c r="D102">
        <v>86.8</v>
      </c>
      <c r="E102">
        <v>100.4</v>
      </c>
      <c r="F102">
        <v>105</v>
      </c>
      <c r="G102">
        <v>100.5</v>
      </c>
      <c r="H102">
        <v>89.8</v>
      </c>
      <c r="I102">
        <v>100.8</v>
      </c>
      <c r="J102">
        <v>77.599999999999994</v>
      </c>
      <c r="K102">
        <v>79.400000000000006</v>
      </c>
      <c r="L102">
        <v>540</v>
      </c>
      <c r="M102" t="s">
        <v>1589</v>
      </c>
      <c r="N102" t="s">
        <v>926</v>
      </c>
      <c r="O102" t="s">
        <v>755</v>
      </c>
      <c r="P102" t="s">
        <v>801</v>
      </c>
    </row>
    <row r="103" spans="1:16">
      <c r="A103">
        <v>102</v>
      </c>
      <c r="B103" t="s">
        <v>1071</v>
      </c>
      <c r="C103">
        <v>100.6</v>
      </c>
      <c r="D103">
        <v>84</v>
      </c>
      <c r="E103">
        <v>100.2</v>
      </c>
      <c r="F103">
        <v>85.9</v>
      </c>
      <c r="G103">
        <v>100.1</v>
      </c>
      <c r="H103">
        <v>98.6</v>
      </c>
      <c r="I103">
        <v>99.6</v>
      </c>
      <c r="J103">
        <v>110.4</v>
      </c>
      <c r="K103">
        <v>101.1</v>
      </c>
      <c r="L103">
        <v>77.5</v>
      </c>
      <c r="M103" t="s">
        <v>1590</v>
      </c>
      <c r="N103" t="s">
        <v>1591</v>
      </c>
      <c r="O103" t="s">
        <v>755</v>
      </c>
      <c r="P103" t="s">
        <v>801</v>
      </c>
    </row>
    <row r="104" spans="1:16">
      <c r="A104">
        <v>103</v>
      </c>
      <c r="B104" t="s">
        <v>1072</v>
      </c>
      <c r="C104">
        <v>103.5</v>
      </c>
      <c r="D104">
        <v>61.3</v>
      </c>
      <c r="E104">
        <v>101.6</v>
      </c>
      <c r="F104">
        <v>58.9</v>
      </c>
      <c r="G104">
        <v>99.2</v>
      </c>
      <c r="H104">
        <v>109.1</v>
      </c>
      <c r="I104">
        <v>100.1</v>
      </c>
      <c r="J104">
        <v>98.9</v>
      </c>
      <c r="K104">
        <v>81.7</v>
      </c>
      <c r="L104">
        <v>306.39999999999998</v>
      </c>
      <c r="M104" t="s">
        <v>1592</v>
      </c>
      <c r="N104" t="s">
        <v>941</v>
      </c>
      <c r="O104" t="s">
        <v>755</v>
      </c>
      <c r="P104" t="s">
        <v>801</v>
      </c>
    </row>
    <row r="105" spans="1:16">
      <c r="A105">
        <v>104</v>
      </c>
      <c r="B105" t="s">
        <v>1073</v>
      </c>
      <c r="C105">
        <v>101.2</v>
      </c>
      <c r="D105">
        <v>75.7</v>
      </c>
      <c r="E105">
        <v>100.1</v>
      </c>
      <c r="F105">
        <v>88</v>
      </c>
      <c r="G105">
        <v>99.9</v>
      </c>
      <c r="H105">
        <v>102.7</v>
      </c>
      <c r="I105">
        <v>100.1</v>
      </c>
      <c r="J105">
        <v>98.1</v>
      </c>
      <c r="K105">
        <v>89.3</v>
      </c>
      <c r="L105">
        <v>326.60000000000002</v>
      </c>
      <c r="M105" t="s">
        <v>1593</v>
      </c>
      <c r="N105" t="s">
        <v>1594</v>
      </c>
      <c r="O105" t="s">
        <v>755</v>
      </c>
      <c r="P105" t="s">
        <v>801</v>
      </c>
    </row>
    <row r="106" spans="1:16">
      <c r="A106">
        <v>105</v>
      </c>
      <c r="B106" t="s">
        <v>1074</v>
      </c>
      <c r="C106">
        <v>100.7</v>
      </c>
      <c r="D106">
        <v>89</v>
      </c>
      <c r="E106">
        <v>98.7</v>
      </c>
      <c r="F106">
        <v>125.7</v>
      </c>
      <c r="G106">
        <v>100.5</v>
      </c>
      <c r="H106">
        <v>91.7</v>
      </c>
      <c r="I106">
        <v>101.2</v>
      </c>
      <c r="J106">
        <v>78.599999999999994</v>
      </c>
      <c r="K106">
        <v>77.7</v>
      </c>
      <c r="L106">
        <v>489.7</v>
      </c>
      <c r="M106" t="s">
        <v>1595</v>
      </c>
      <c r="N106" t="s">
        <v>917</v>
      </c>
      <c r="O106" t="s">
        <v>755</v>
      </c>
      <c r="P106" t="s">
        <v>801</v>
      </c>
    </row>
    <row r="107" spans="1:16">
      <c r="A107">
        <v>106</v>
      </c>
      <c r="B107" t="s">
        <v>1075</v>
      </c>
      <c r="C107">
        <v>100.8</v>
      </c>
      <c r="D107">
        <v>79.900000000000006</v>
      </c>
      <c r="E107">
        <v>100.4</v>
      </c>
      <c r="F107">
        <v>81.8</v>
      </c>
      <c r="G107">
        <v>99.9</v>
      </c>
      <c r="H107">
        <v>103.2</v>
      </c>
      <c r="I107">
        <v>99.8</v>
      </c>
      <c r="J107">
        <v>106.2</v>
      </c>
      <c r="K107">
        <v>100.7</v>
      </c>
      <c r="L107">
        <v>83.7</v>
      </c>
      <c r="M107" t="s">
        <v>1596</v>
      </c>
      <c r="N107" t="s">
        <v>1597</v>
      </c>
      <c r="O107" t="s">
        <v>755</v>
      </c>
      <c r="P107" t="s">
        <v>801</v>
      </c>
    </row>
    <row r="108" spans="1:16">
      <c r="A108">
        <v>107</v>
      </c>
      <c r="B108" t="s">
        <v>1076</v>
      </c>
      <c r="C108">
        <v>100.3</v>
      </c>
      <c r="D108">
        <v>96.7</v>
      </c>
      <c r="E108">
        <v>105.3</v>
      </c>
      <c r="F108">
        <v>70</v>
      </c>
      <c r="G108">
        <v>100.6</v>
      </c>
      <c r="H108">
        <v>96.4</v>
      </c>
      <c r="I108">
        <v>99.7</v>
      </c>
      <c r="J108">
        <v>102</v>
      </c>
      <c r="K108">
        <v>60.2</v>
      </c>
      <c r="L108">
        <v>350</v>
      </c>
      <c r="M108" t="s">
        <v>1598</v>
      </c>
      <c r="N108" t="s">
        <v>1591</v>
      </c>
      <c r="O108" t="s">
        <v>755</v>
      </c>
      <c r="P108" t="s">
        <v>801</v>
      </c>
    </row>
    <row r="109" spans="1:16">
      <c r="A109">
        <v>108</v>
      </c>
      <c r="B109" t="s">
        <v>1077</v>
      </c>
      <c r="C109">
        <v>102.3</v>
      </c>
      <c r="D109">
        <v>61.3</v>
      </c>
      <c r="E109">
        <v>100.6</v>
      </c>
      <c r="F109">
        <v>94.4</v>
      </c>
      <c r="G109">
        <v>99.9</v>
      </c>
      <c r="H109">
        <v>102</v>
      </c>
      <c r="I109">
        <v>99.4</v>
      </c>
      <c r="J109">
        <v>110</v>
      </c>
      <c r="K109">
        <v>98.6</v>
      </c>
      <c r="L109">
        <v>123.8</v>
      </c>
      <c r="M109" t="s">
        <v>1599</v>
      </c>
      <c r="N109" t="s">
        <v>1600</v>
      </c>
      <c r="O109" t="s">
        <v>755</v>
      </c>
      <c r="P109" t="s">
        <v>755</v>
      </c>
    </row>
    <row r="110" spans="1:16">
      <c r="A110">
        <v>109</v>
      </c>
      <c r="B110" t="s">
        <v>1078</v>
      </c>
      <c r="C110">
        <v>102.3</v>
      </c>
      <c r="D110">
        <v>55.3</v>
      </c>
      <c r="E110">
        <v>94.7</v>
      </c>
      <c r="F110">
        <v>210.2</v>
      </c>
      <c r="G110">
        <v>99.8</v>
      </c>
      <c r="H110">
        <v>103</v>
      </c>
      <c r="I110">
        <v>99.7</v>
      </c>
      <c r="J110">
        <v>105.3</v>
      </c>
      <c r="K110">
        <v>101.3</v>
      </c>
      <c r="L110">
        <v>75.2</v>
      </c>
      <c r="M110" t="s">
        <v>1601</v>
      </c>
      <c r="N110" t="s">
        <v>941</v>
      </c>
      <c r="O110" t="s">
        <v>755</v>
      </c>
      <c r="P110" t="s">
        <v>801</v>
      </c>
    </row>
    <row r="111" spans="1:16">
      <c r="A111">
        <v>110</v>
      </c>
      <c r="B111" t="s">
        <v>1079</v>
      </c>
      <c r="C111">
        <v>102</v>
      </c>
      <c r="D111">
        <v>64.8</v>
      </c>
      <c r="E111">
        <v>101.2</v>
      </c>
      <c r="F111">
        <v>80.3</v>
      </c>
      <c r="G111">
        <v>100.1</v>
      </c>
      <c r="H111">
        <v>99.1</v>
      </c>
      <c r="I111">
        <v>99.3</v>
      </c>
      <c r="J111">
        <v>112.6</v>
      </c>
      <c r="K111">
        <v>95.6</v>
      </c>
      <c r="L111">
        <v>179.9</v>
      </c>
      <c r="M111" t="s">
        <v>1602</v>
      </c>
      <c r="N111" t="s">
        <v>1603</v>
      </c>
      <c r="O111" t="s">
        <v>755</v>
      </c>
      <c r="P111" t="s">
        <v>801</v>
      </c>
    </row>
    <row r="112" spans="1:16">
      <c r="A112">
        <v>111</v>
      </c>
      <c r="B112" t="s">
        <v>1080</v>
      </c>
      <c r="C112">
        <v>102.7</v>
      </c>
      <c r="D112">
        <v>59.9</v>
      </c>
      <c r="E112">
        <v>100.9</v>
      </c>
      <c r="F112">
        <v>91.6</v>
      </c>
      <c r="G112">
        <v>99.8</v>
      </c>
      <c r="H112">
        <v>103.7</v>
      </c>
      <c r="I112">
        <v>99.4</v>
      </c>
      <c r="J112">
        <v>108</v>
      </c>
      <c r="K112">
        <v>102.3</v>
      </c>
      <c r="L112">
        <v>74.599999999999994</v>
      </c>
      <c r="M112" t="s">
        <v>1604</v>
      </c>
      <c r="N112" t="s">
        <v>1503</v>
      </c>
      <c r="O112" t="s">
        <v>755</v>
      </c>
      <c r="P112" t="s">
        <v>801</v>
      </c>
    </row>
    <row r="113" spans="1:16">
      <c r="A113">
        <v>112</v>
      </c>
      <c r="B113" t="s">
        <v>1081</v>
      </c>
      <c r="C113">
        <v>102.5</v>
      </c>
      <c r="D113">
        <v>59.2</v>
      </c>
      <c r="E113">
        <v>100.8</v>
      </c>
      <c r="F113">
        <v>90.8</v>
      </c>
      <c r="G113">
        <v>99.9</v>
      </c>
      <c r="H113">
        <v>102</v>
      </c>
      <c r="I113">
        <v>99.3</v>
      </c>
      <c r="J113">
        <v>110.3</v>
      </c>
      <c r="K113">
        <v>97.2</v>
      </c>
      <c r="L113">
        <v>159</v>
      </c>
      <c r="M113" t="s">
        <v>1605</v>
      </c>
      <c r="N113" t="s">
        <v>1606</v>
      </c>
      <c r="O113" t="s">
        <v>755</v>
      </c>
      <c r="P113" t="s">
        <v>755</v>
      </c>
    </row>
    <row r="114" spans="1:16">
      <c r="A114">
        <v>113</v>
      </c>
      <c r="B114" t="s">
        <v>1082</v>
      </c>
      <c r="C114">
        <v>102.6</v>
      </c>
      <c r="D114">
        <v>56.8</v>
      </c>
      <c r="E114">
        <v>92.1</v>
      </c>
      <c r="F114">
        <v>237.8</v>
      </c>
      <c r="G114">
        <v>99.9</v>
      </c>
      <c r="H114">
        <v>102.1</v>
      </c>
      <c r="I114">
        <v>100.2</v>
      </c>
      <c r="J114">
        <v>95.8</v>
      </c>
      <c r="K114">
        <v>90.4</v>
      </c>
      <c r="L114">
        <v>267</v>
      </c>
      <c r="M114" t="s">
        <v>1607</v>
      </c>
      <c r="N114" t="s">
        <v>938</v>
      </c>
      <c r="O114" t="s">
        <v>755</v>
      </c>
      <c r="P114" t="s">
        <v>801</v>
      </c>
    </row>
    <row r="115" spans="1:16">
      <c r="A115">
        <v>114</v>
      </c>
      <c r="B115" t="s">
        <v>1083</v>
      </c>
      <c r="C115">
        <v>101.9</v>
      </c>
      <c r="D115">
        <v>62.4</v>
      </c>
      <c r="E115">
        <v>101.9</v>
      </c>
      <c r="F115">
        <v>63.3</v>
      </c>
      <c r="G115">
        <v>100</v>
      </c>
      <c r="H115">
        <v>99.3</v>
      </c>
      <c r="I115">
        <v>99.3</v>
      </c>
      <c r="J115">
        <v>113.2</v>
      </c>
      <c r="K115">
        <v>95.3</v>
      </c>
      <c r="L115">
        <v>213.6</v>
      </c>
      <c r="M115" t="s">
        <v>1608</v>
      </c>
      <c r="N115" t="s">
        <v>1558</v>
      </c>
      <c r="O115" t="s">
        <v>755</v>
      </c>
      <c r="P115" t="s">
        <v>801</v>
      </c>
    </row>
    <row r="116" spans="1:16">
      <c r="A116">
        <v>115</v>
      </c>
      <c r="B116" t="s">
        <v>1084</v>
      </c>
      <c r="C116">
        <v>103</v>
      </c>
      <c r="D116">
        <v>58</v>
      </c>
      <c r="E116">
        <v>101.1</v>
      </c>
      <c r="F116">
        <v>89</v>
      </c>
      <c r="G116">
        <v>99.8</v>
      </c>
      <c r="H116">
        <v>103.3</v>
      </c>
      <c r="I116">
        <v>99.3</v>
      </c>
      <c r="J116">
        <v>109.1</v>
      </c>
      <c r="K116">
        <v>102.1</v>
      </c>
      <c r="L116">
        <v>79.8</v>
      </c>
      <c r="M116" t="s">
        <v>1609</v>
      </c>
      <c r="N116" t="s">
        <v>1560</v>
      </c>
      <c r="O116" t="s">
        <v>755</v>
      </c>
      <c r="P116" t="s">
        <v>801</v>
      </c>
    </row>
    <row r="117" spans="1:16">
      <c r="A117">
        <v>116</v>
      </c>
      <c r="B117" t="s">
        <v>1085</v>
      </c>
      <c r="C117">
        <v>98.1</v>
      </c>
      <c r="D117">
        <v>107</v>
      </c>
      <c r="E117">
        <v>101.7</v>
      </c>
      <c r="F117">
        <v>93.7</v>
      </c>
      <c r="G117">
        <v>99.8</v>
      </c>
      <c r="H117">
        <v>100.8</v>
      </c>
      <c r="I117">
        <v>97.8</v>
      </c>
      <c r="J117">
        <v>108.8</v>
      </c>
      <c r="K117">
        <v>101.8</v>
      </c>
      <c r="L117">
        <v>92.6</v>
      </c>
      <c r="M117" t="s">
        <v>1610</v>
      </c>
      <c r="N117" t="s">
        <v>1611</v>
      </c>
      <c r="O117" t="s">
        <v>755</v>
      </c>
      <c r="P117" t="s">
        <v>755</v>
      </c>
    </row>
    <row r="118" spans="1:16">
      <c r="A118">
        <v>117</v>
      </c>
      <c r="B118" t="s">
        <v>1086</v>
      </c>
      <c r="C118">
        <v>99.8</v>
      </c>
      <c r="D118">
        <v>99.5</v>
      </c>
      <c r="E118">
        <v>102.5</v>
      </c>
      <c r="F118">
        <v>91.3</v>
      </c>
      <c r="G118">
        <v>99.3</v>
      </c>
      <c r="H118">
        <v>102.6</v>
      </c>
      <c r="I118">
        <v>99.6</v>
      </c>
      <c r="J118">
        <v>101</v>
      </c>
      <c r="K118">
        <v>100.9</v>
      </c>
      <c r="L118">
        <v>97.7</v>
      </c>
      <c r="M118" t="s">
        <v>1612</v>
      </c>
      <c r="N118" t="s">
        <v>1613</v>
      </c>
      <c r="O118" t="s">
        <v>755</v>
      </c>
      <c r="P118" t="s">
        <v>755</v>
      </c>
    </row>
    <row r="119" spans="1:16">
      <c r="A119">
        <v>118</v>
      </c>
      <c r="B119" t="s">
        <v>1087</v>
      </c>
      <c r="C119">
        <v>100.2</v>
      </c>
      <c r="D119">
        <v>98.7</v>
      </c>
      <c r="E119">
        <v>100.9</v>
      </c>
      <c r="F119">
        <v>96.3</v>
      </c>
      <c r="G119">
        <v>99.9</v>
      </c>
      <c r="H119">
        <v>100.6</v>
      </c>
      <c r="I119">
        <v>99.9</v>
      </c>
      <c r="J119">
        <v>100.3</v>
      </c>
      <c r="K119">
        <v>99.9</v>
      </c>
      <c r="L119">
        <v>100.2</v>
      </c>
      <c r="M119" t="s">
        <v>1614</v>
      </c>
      <c r="N119" t="s">
        <v>1615</v>
      </c>
      <c r="O119" t="s">
        <v>755</v>
      </c>
      <c r="P119" t="s">
        <v>755</v>
      </c>
    </row>
    <row r="120" spans="1:16">
      <c r="A120">
        <v>119</v>
      </c>
      <c r="B120" t="s">
        <v>1088</v>
      </c>
      <c r="C120">
        <v>100.4</v>
      </c>
      <c r="D120">
        <v>97.1</v>
      </c>
      <c r="E120">
        <v>102.6</v>
      </c>
      <c r="F120">
        <v>79.8</v>
      </c>
      <c r="G120">
        <v>99.4</v>
      </c>
      <c r="H120">
        <v>104.7</v>
      </c>
      <c r="I120">
        <v>99.8</v>
      </c>
      <c r="J120">
        <v>101.7</v>
      </c>
      <c r="K120">
        <v>100.7</v>
      </c>
      <c r="L120">
        <v>94.1</v>
      </c>
      <c r="M120" t="s">
        <v>1616</v>
      </c>
      <c r="N120" t="s">
        <v>1617</v>
      </c>
      <c r="O120" t="s">
        <v>755</v>
      </c>
      <c r="P120" t="s">
        <v>755</v>
      </c>
    </row>
    <row r="121" spans="1:16">
      <c r="A121">
        <v>120</v>
      </c>
      <c r="B121" t="s">
        <v>1089</v>
      </c>
      <c r="C121">
        <v>103.5</v>
      </c>
      <c r="D121">
        <v>84.5</v>
      </c>
      <c r="E121">
        <v>107</v>
      </c>
      <c r="F121">
        <v>70.400000000000006</v>
      </c>
      <c r="G121">
        <v>99.4</v>
      </c>
      <c r="H121">
        <v>102.9</v>
      </c>
      <c r="I121">
        <v>99.6</v>
      </c>
      <c r="J121">
        <v>101.5</v>
      </c>
      <c r="K121">
        <v>99.5</v>
      </c>
      <c r="L121">
        <v>102.3</v>
      </c>
      <c r="M121" t="s">
        <v>1618</v>
      </c>
      <c r="N121" t="s">
        <v>1619</v>
      </c>
      <c r="O121" t="s">
        <v>755</v>
      </c>
      <c r="P121" t="s">
        <v>755</v>
      </c>
    </row>
    <row r="122" spans="1:16">
      <c r="A122">
        <v>121</v>
      </c>
      <c r="B122" t="s">
        <v>1090</v>
      </c>
      <c r="C122">
        <v>104.5</v>
      </c>
      <c r="D122">
        <v>92.4</v>
      </c>
      <c r="E122">
        <v>104.6</v>
      </c>
      <c r="F122">
        <v>93.6</v>
      </c>
      <c r="G122">
        <v>99.8</v>
      </c>
      <c r="H122">
        <v>100.4</v>
      </c>
      <c r="I122">
        <v>99.5</v>
      </c>
      <c r="J122">
        <v>100.5</v>
      </c>
      <c r="K122">
        <v>98.8</v>
      </c>
      <c r="L122">
        <v>102.1</v>
      </c>
      <c r="M122" t="s">
        <v>1620</v>
      </c>
      <c r="N122" t="s">
        <v>1621</v>
      </c>
      <c r="O122" t="s">
        <v>755</v>
      </c>
      <c r="P122" t="s">
        <v>755</v>
      </c>
    </row>
    <row r="123" spans="1:16">
      <c r="A123">
        <v>122</v>
      </c>
      <c r="B123" t="s">
        <v>1091</v>
      </c>
      <c r="C123">
        <v>101.5</v>
      </c>
      <c r="D123">
        <v>86</v>
      </c>
      <c r="E123">
        <v>102.5</v>
      </c>
      <c r="F123">
        <v>80.599999999999994</v>
      </c>
      <c r="G123">
        <v>99.5</v>
      </c>
      <c r="H123">
        <v>104</v>
      </c>
      <c r="I123">
        <v>99.4</v>
      </c>
      <c r="J123">
        <v>106.4</v>
      </c>
      <c r="K123">
        <v>100.5</v>
      </c>
      <c r="L123">
        <v>95.7</v>
      </c>
      <c r="M123" t="s">
        <v>1622</v>
      </c>
      <c r="N123" t="s">
        <v>1623</v>
      </c>
      <c r="O123" t="s">
        <v>755</v>
      </c>
      <c r="P123" t="s">
        <v>755</v>
      </c>
    </row>
    <row r="124" spans="1:16">
      <c r="A124">
        <v>123</v>
      </c>
      <c r="B124" t="s">
        <v>1092</v>
      </c>
      <c r="C124">
        <v>100.9</v>
      </c>
      <c r="D124">
        <v>87.7</v>
      </c>
      <c r="E124">
        <v>100.7</v>
      </c>
      <c r="F124">
        <v>93.1</v>
      </c>
      <c r="G124">
        <v>99.8</v>
      </c>
      <c r="H124">
        <v>103.5</v>
      </c>
      <c r="I124">
        <v>99.9</v>
      </c>
      <c r="J124">
        <v>100</v>
      </c>
      <c r="K124">
        <v>100</v>
      </c>
      <c r="L124">
        <v>100.2</v>
      </c>
      <c r="M124" t="s">
        <v>1624</v>
      </c>
      <c r="N124" t="s">
        <v>1625</v>
      </c>
      <c r="O124" t="s">
        <v>755</v>
      </c>
      <c r="P124" t="s">
        <v>755</v>
      </c>
    </row>
    <row r="125" spans="1:16">
      <c r="A125">
        <v>124</v>
      </c>
      <c r="B125" t="s">
        <v>1093</v>
      </c>
      <c r="C125">
        <v>103.6</v>
      </c>
      <c r="D125">
        <v>86.1</v>
      </c>
      <c r="E125">
        <v>102.6</v>
      </c>
      <c r="F125">
        <v>89.5</v>
      </c>
      <c r="G125">
        <v>99.4</v>
      </c>
      <c r="H125">
        <v>102.3</v>
      </c>
      <c r="I125">
        <v>98.9</v>
      </c>
      <c r="J125">
        <v>103.7</v>
      </c>
      <c r="K125">
        <v>100.2</v>
      </c>
      <c r="L125">
        <v>99.7</v>
      </c>
      <c r="M125" t="s">
        <v>1626</v>
      </c>
      <c r="N125" t="s">
        <v>1627</v>
      </c>
      <c r="O125" t="s">
        <v>755</v>
      </c>
      <c r="P125" t="s">
        <v>755</v>
      </c>
    </row>
    <row r="126" spans="1:16">
      <c r="A126">
        <v>125</v>
      </c>
      <c r="B126" t="s">
        <v>1094</v>
      </c>
      <c r="C126">
        <v>104.1</v>
      </c>
      <c r="D126">
        <v>92.8</v>
      </c>
      <c r="E126">
        <v>107.9</v>
      </c>
      <c r="F126">
        <v>85.7</v>
      </c>
      <c r="G126">
        <v>99.9</v>
      </c>
      <c r="H126">
        <v>100.2</v>
      </c>
      <c r="I126">
        <v>98.5</v>
      </c>
      <c r="J126">
        <v>102.3</v>
      </c>
      <c r="K126">
        <v>99.1</v>
      </c>
      <c r="L126">
        <v>101.7</v>
      </c>
      <c r="M126" t="s">
        <v>1628</v>
      </c>
      <c r="N126" t="s">
        <v>1629</v>
      </c>
      <c r="O126" t="s">
        <v>755</v>
      </c>
      <c r="P126" t="s">
        <v>755</v>
      </c>
    </row>
    <row r="127" spans="1:16">
      <c r="A127">
        <v>126</v>
      </c>
      <c r="B127" t="s">
        <v>1095</v>
      </c>
      <c r="C127">
        <v>100.8</v>
      </c>
      <c r="D127">
        <v>93.7</v>
      </c>
      <c r="E127">
        <v>102.9</v>
      </c>
      <c r="F127">
        <v>79.5</v>
      </c>
      <c r="G127">
        <v>99.5</v>
      </c>
      <c r="H127">
        <v>103.7</v>
      </c>
      <c r="I127">
        <v>98.5</v>
      </c>
      <c r="J127">
        <v>113.8</v>
      </c>
      <c r="K127">
        <v>101.6</v>
      </c>
      <c r="L127">
        <v>86.8</v>
      </c>
      <c r="M127" t="s">
        <v>1435</v>
      </c>
      <c r="N127" t="s">
        <v>1630</v>
      </c>
      <c r="O127" t="s">
        <v>755</v>
      </c>
      <c r="P127" t="s">
        <v>755</v>
      </c>
    </row>
    <row r="128" spans="1:16">
      <c r="A128">
        <v>127</v>
      </c>
      <c r="B128" t="s">
        <v>1096</v>
      </c>
      <c r="C128">
        <v>100.9</v>
      </c>
      <c r="D128">
        <v>87.4</v>
      </c>
      <c r="E128">
        <v>99.5</v>
      </c>
      <c r="F128">
        <v>110.7</v>
      </c>
      <c r="G128">
        <v>99.7</v>
      </c>
      <c r="H128">
        <v>104.1</v>
      </c>
      <c r="I128">
        <v>99.4</v>
      </c>
      <c r="J128">
        <v>107.8</v>
      </c>
      <c r="K128">
        <v>100.6</v>
      </c>
      <c r="L128">
        <v>91.2</v>
      </c>
      <c r="M128" t="s">
        <v>1631</v>
      </c>
      <c r="N128" t="s">
        <v>1632</v>
      </c>
      <c r="O128" t="s">
        <v>755</v>
      </c>
      <c r="P128" t="s">
        <v>801</v>
      </c>
    </row>
    <row r="129" spans="1:16">
      <c r="A129">
        <v>128</v>
      </c>
      <c r="B129" t="s">
        <v>1097</v>
      </c>
      <c r="C129">
        <v>97.3</v>
      </c>
      <c r="D129">
        <v>109.9</v>
      </c>
      <c r="E129">
        <v>100.9</v>
      </c>
      <c r="F129">
        <v>96.1</v>
      </c>
      <c r="G129">
        <v>99.8</v>
      </c>
      <c r="H129">
        <v>100.8</v>
      </c>
      <c r="I129">
        <v>97.4</v>
      </c>
      <c r="J129">
        <v>110.8</v>
      </c>
      <c r="K129">
        <v>103</v>
      </c>
      <c r="L129">
        <v>88.1</v>
      </c>
      <c r="M129" t="s">
        <v>1633</v>
      </c>
      <c r="N129" t="s">
        <v>1607</v>
      </c>
      <c r="O129" t="s">
        <v>755</v>
      </c>
      <c r="P129" t="s">
        <v>755</v>
      </c>
    </row>
    <row r="130" spans="1:16">
      <c r="A130">
        <v>129</v>
      </c>
      <c r="B130" t="s">
        <v>1098</v>
      </c>
      <c r="C130">
        <v>98.9</v>
      </c>
      <c r="D130">
        <v>104</v>
      </c>
      <c r="E130">
        <v>101.6</v>
      </c>
      <c r="F130">
        <v>93.5</v>
      </c>
      <c r="G130">
        <v>99.3</v>
      </c>
      <c r="H130">
        <v>102.6</v>
      </c>
      <c r="I130">
        <v>100</v>
      </c>
      <c r="J130">
        <v>99.6</v>
      </c>
      <c r="K130">
        <v>101.3</v>
      </c>
      <c r="L130">
        <v>95.3</v>
      </c>
      <c r="M130" t="s">
        <v>1634</v>
      </c>
      <c r="N130" t="s">
        <v>1635</v>
      </c>
      <c r="O130" t="s">
        <v>755</v>
      </c>
      <c r="P130" t="s">
        <v>755</v>
      </c>
    </row>
    <row r="131" spans="1:16">
      <c r="A131">
        <v>130</v>
      </c>
      <c r="B131" t="s">
        <v>1099</v>
      </c>
      <c r="C131">
        <v>100</v>
      </c>
      <c r="D131">
        <v>100.4</v>
      </c>
      <c r="E131">
        <v>100.1</v>
      </c>
      <c r="F131">
        <v>99.9</v>
      </c>
      <c r="G131">
        <v>100</v>
      </c>
      <c r="H131">
        <v>100</v>
      </c>
      <c r="I131">
        <v>100.3</v>
      </c>
      <c r="J131">
        <v>98.6</v>
      </c>
      <c r="K131">
        <v>99.7</v>
      </c>
      <c r="L131">
        <v>100.9</v>
      </c>
      <c r="M131" t="s">
        <v>1636</v>
      </c>
      <c r="N131" t="s">
        <v>1637</v>
      </c>
      <c r="O131" t="s">
        <v>755</v>
      </c>
      <c r="P131" t="s">
        <v>755</v>
      </c>
    </row>
    <row r="132" spans="1:16">
      <c r="A132">
        <v>131</v>
      </c>
      <c r="B132" t="s">
        <v>1100</v>
      </c>
      <c r="C132">
        <v>100.4</v>
      </c>
      <c r="D132">
        <v>97</v>
      </c>
      <c r="E132">
        <v>101.8</v>
      </c>
      <c r="F132">
        <v>85.3</v>
      </c>
      <c r="G132">
        <v>99.3</v>
      </c>
      <c r="H132">
        <v>105.8</v>
      </c>
      <c r="I132">
        <v>99.9</v>
      </c>
      <c r="J132">
        <v>100.4</v>
      </c>
      <c r="K132">
        <v>100.9</v>
      </c>
      <c r="L132">
        <v>92.4</v>
      </c>
      <c r="M132" t="s">
        <v>1638</v>
      </c>
      <c r="N132" t="s">
        <v>1639</v>
      </c>
      <c r="O132" t="s">
        <v>755</v>
      </c>
      <c r="P132" t="s">
        <v>801</v>
      </c>
    </row>
    <row r="133" spans="1:16">
      <c r="A133">
        <v>132</v>
      </c>
      <c r="B133" t="s">
        <v>1101</v>
      </c>
      <c r="C133">
        <v>103.4</v>
      </c>
      <c r="D133">
        <v>85.1</v>
      </c>
      <c r="E133">
        <v>107.7</v>
      </c>
      <c r="F133">
        <v>68.7</v>
      </c>
      <c r="G133">
        <v>99.3</v>
      </c>
      <c r="H133">
        <v>102.8</v>
      </c>
      <c r="I133">
        <v>99.5</v>
      </c>
      <c r="J133">
        <v>102.1</v>
      </c>
      <c r="K133">
        <v>99.7</v>
      </c>
      <c r="L133">
        <v>101.7</v>
      </c>
      <c r="M133" t="s">
        <v>1640</v>
      </c>
      <c r="N133" t="s">
        <v>1641</v>
      </c>
      <c r="O133" t="s">
        <v>755</v>
      </c>
      <c r="P133" t="s">
        <v>755</v>
      </c>
    </row>
    <row r="134" spans="1:16">
      <c r="A134">
        <v>133</v>
      </c>
      <c r="B134" t="s">
        <v>1102</v>
      </c>
      <c r="C134">
        <v>103.8</v>
      </c>
      <c r="D134">
        <v>93.1</v>
      </c>
      <c r="E134">
        <v>102.8</v>
      </c>
      <c r="F134">
        <v>96.3</v>
      </c>
      <c r="G134">
        <v>99.8</v>
      </c>
      <c r="H134">
        <v>100.4</v>
      </c>
      <c r="I134">
        <v>99.3</v>
      </c>
      <c r="J134">
        <v>101</v>
      </c>
      <c r="K134">
        <v>99.2</v>
      </c>
      <c r="L134">
        <v>101.4</v>
      </c>
      <c r="M134" t="s">
        <v>1642</v>
      </c>
      <c r="N134" t="s">
        <v>1643</v>
      </c>
      <c r="O134" t="s">
        <v>755</v>
      </c>
      <c r="P134" t="s">
        <v>755</v>
      </c>
    </row>
    <row r="135" spans="1:16">
      <c r="A135">
        <v>134</v>
      </c>
      <c r="B135" t="s">
        <v>1103</v>
      </c>
      <c r="C135">
        <v>101.4</v>
      </c>
      <c r="D135">
        <v>85.8</v>
      </c>
      <c r="E135">
        <v>102</v>
      </c>
      <c r="F135">
        <v>84.6</v>
      </c>
      <c r="G135">
        <v>99.6</v>
      </c>
      <c r="H135">
        <v>103.6</v>
      </c>
      <c r="I135">
        <v>99.5</v>
      </c>
      <c r="J135">
        <v>106.3</v>
      </c>
      <c r="K135">
        <v>100.4</v>
      </c>
      <c r="L135">
        <v>96.7</v>
      </c>
      <c r="M135" t="s">
        <v>1644</v>
      </c>
      <c r="N135" t="s">
        <v>1645</v>
      </c>
      <c r="O135" t="s">
        <v>755</v>
      </c>
      <c r="P135" t="s">
        <v>755</v>
      </c>
    </row>
    <row r="136" spans="1:16">
      <c r="A136">
        <v>135</v>
      </c>
      <c r="B136" t="s">
        <v>1104</v>
      </c>
      <c r="C136">
        <v>100.6</v>
      </c>
      <c r="D136">
        <v>90.3</v>
      </c>
      <c r="E136">
        <v>100.8</v>
      </c>
      <c r="F136">
        <v>87</v>
      </c>
      <c r="G136">
        <v>99.7</v>
      </c>
      <c r="H136">
        <v>105.5</v>
      </c>
      <c r="I136">
        <v>99.9</v>
      </c>
      <c r="J136">
        <v>99.6</v>
      </c>
      <c r="K136">
        <v>100.3</v>
      </c>
      <c r="L136">
        <v>95.7</v>
      </c>
      <c r="M136" t="s">
        <v>1646</v>
      </c>
      <c r="N136" t="s">
        <v>1539</v>
      </c>
      <c r="O136" t="s">
        <v>755</v>
      </c>
      <c r="P136" t="s">
        <v>801</v>
      </c>
    </row>
    <row r="137" spans="1:16">
      <c r="A137">
        <v>136</v>
      </c>
      <c r="B137" t="s">
        <v>1105</v>
      </c>
      <c r="C137">
        <v>103.5</v>
      </c>
      <c r="D137">
        <v>86.8</v>
      </c>
      <c r="E137">
        <v>102.9</v>
      </c>
      <c r="F137">
        <v>88.6</v>
      </c>
      <c r="G137">
        <v>99.3</v>
      </c>
      <c r="H137">
        <v>102.4</v>
      </c>
      <c r="I137">
        <v>98.8</v>
      </c>
      <c r="J137">
        <v>103.9</v>
      </c>
      <c r="K137">
        <v>100.4</v>
      </c>
      <c r="L137">
        <v>99</v>
      </c>
      <c r="M137" t="s">
        <v>1647</v>
      </c>
      <c r="N137" t="s">
        <v>1648</v>
      </c>
      <c r="O137" t="s">
        <v>755</v>
      </c>
      <c r="P137" t="s">
        <v>755</v>
      </c>
    </row>
    <row r="138" spans="1:16">
      <c r="A138">
        <v>137</v>
      </c>
      <c r="B138" t="s">
        <v>1106</v>
      </c>
      <c r="C138">
        <v>103.9</v>
      </c>
      <c r="D138">
        <v>92.9</v>
      </c>
      <c r="E138">
        <v>105.8</v>
      </c>
      <c r="F138">
        <v>88</v>
      </c>
      <c r="G138">
        <v>99.9</v>
      </c>
      <c r="H138">
        <v>100.3</v>
      </c>
      <c r="I138">
        <v>98.4</v>
      </c>
      <c r="J138">
        <v>102.5</v>
      </c>
      <c r="K138">
        <v>99.5</v>
      </c>
      <c r="L138">
        <v>101.2</v>
      </c>
      <c r="M138" t="s">
        <v>1649</v>
      </c>
      <c r="N138" t="s">
        <v>1650</v>
      </c>
      <c r="O138" t="s">
        <v>755</v>
      </c>
      <c r="P138" t="s">
        <v>755</v>
      </c>
    </row>
    <row r="139" spans="1:16">
      <c r="A139">
        <v>138</v>
      </c>
      <c r="B139" t="s">
        <v>1107</v>
      </c>
      <c r="C139">
        <v>100.6</v>
      </c>
      <c r="D139">
        <v>95</v>
      </c>
      <c r="E139">
        <v>103.1</v>
      </c>
      <c r="F139">
        <v>78</v>
      </c>
      <c r="G139">
        <v>99.5</v>
      </c>
      <c r="H139">
        <v>103.3</v>
      </c>
      <c r="I139">
        <v>98.7</v>
      </c>
      <c r="J139">
        <v>112</v>
      </c>
      <c r="K139">
        <v>101.3</v>
      </c>
      <c r="L139">
        <v>88.4</v>
      </c>
      <c r="M139" t="s">
        <v>1426</v>
      </c>
      <c r="N139" t="s">
        <v>1503</v>
      </c>
      <c r="O139" t="s">
        <v>755</v>
      </c>
      <c r="P139" t="s">
        <v>801</v>
      </c>
    </row>
    <row r="140" spans="1:16">
      <c r="A140">
        <v>139</v>
      </c>
      <c r="B140" t="s">
        <v>1108</v>
      </c>
      <c r="C140">
        <v>100.4</v>
      </c>
      <c r="D140">
        <v>91.7</v>
      </c>
      <c r="E140">
        <v>100.2</v>
      </c>
      <c r="F140">
        <v>97.5</v>
      </c>
      <c r="G140">
        <v>99.6</v>
      </c>
      <c r="H140">
        <v>107.8</v>
      </c>
      <c r="I140">
        <v>99.2</v>
      </c>
      <c r="J140">
        <v>110.6</v>
      </c>
      <c r="K140">
        <v>101.2</v>
      </c>
      <c r="L140">
        <v>80.7</v>
      </c>
      <c r="M140" t="s">
        <v>1651</v>
      </c>
      <c r="N140" t="s">
        <v>1652</v>
      </c>
      <c r="O140" t="s">
        <v>755</v>
      </c>
      <c r="P140" t="s">
        <v>801</v>
      </c>
    </row>
    <row r="141" spans="1:16">
      <c r="A141">
        <v>140</v>
      </c>
      <c r="B141" t="s">
        <v>1109</v>
      </c>
      <c r="C141">
        <v>105.9</v>
      </c>
      <c r="D141">
        <v>88.2</v>
      </c>
      <c r="E141">
        <v>105.5</v>
      </c>
      <c r="F141">
        <v>92.6</v>
      </c>
      <c r="G141">
        <v>99.1</v>
      </c>
      <c r="H141">
        <v>101.3</v>
      </c>
      <c r="I141">
        <v>97.7</v>
      </c>
      <c r="J141">
        <v>103</v>
      </c>
      <c r="K141">
        <v>99</v>
      </c>
      <c r="L141">
        <v>102.7</v>
      </c>
      <c r="M141" t="s">
        <v>1653</v>
      </c>
      <c r="N141" t="s">
        <v>1654</v>
      </c>
      <c r="O141" t="s">
        <v>801</v>
      </c>
      <c r="P141" t="s">
        <v>801</v>
      </c>
    </row>
    <row r="142" spans="1:16">
      <c r="A142">
        <v>141</v>
      </c>
      <c r="B142" t="s">
        <v>1110</v>
      </c>
      <c r="C142">
        <v>101.8</v>
      </c>
      <c r="D142">
        <v>93.1</v>
      </c>
      <c r="E142">
        <v>106.6</v>
      </c>
      <c r="F142">
        <v>84.5</v>
      </c>
      <c r="G142">
        <v>98.4</v>
      </c>
      <c r="H142">
        <v>103.8</v>
      </c>
      <c r="I142">
        <v>96.6</v>
      </c>
      <c r="J142">
        <v>107.9</v>
      </c>
      <c r="K142">
        <v>103.2</v>
      </c>
      <c r="L142">
        <v>93.9</v>
      </c>
      <c r="M142" t="s">
        <v>1655</v>
      </c>
      <c r="N142" t="s">
        <v>1656</v>
      </c>
      <c r="O142" t="s">
        <v>755</v>
      </c>
      <c r="P142" t="s">
        <v>801</v>
      </c>
    </row>
    <row r="143" spans="1:16">
      <c r="A143">
        <v>142</v>
      </c>
      <c r="B143" t="s">
        <v>1111</v>
      </c>
      <c r="C143">
        <v>100.6</v>
      </c>
      <c r="D143">
        <v>95.3</v>
      </c>
      <c r="E143">
        <v>109.4</v>
      </c>
      <c r="F143">
        <v>59.6</v>
      </c>
      <c r="G143">
        <v>99.8</v>
      </c>
      <c r="H143">
        <v>101.2</v>
      </c>
      <c r="I143">
        <v>99.2</v>
      </c>
      <c r="J143">
        <v>105.8</v>
      </c>
      <c r="K143">
        <v>99.4</v>
      </c>
      <c r="L143">
        <v>101.2</v>
      </c>
      <c r="M143" t="s">
        <v>1657</v>
      </c>
      <c r="N143" t="s">
        <v>1658</v>
      </c>
      <c r="O143" t="s">
        <v>755</v>
      </c>
      <c r="P143" t="s">
        <v>801</v>
      </c>
    </row>
    <row r="144" spans="1:16">
      <c r="A144">
        <v>143</v>
      </c>
      <c r="B144" t="s">
        <v>1112</v>
      </c>
      <c r="C144">
        <v>103.7</v>
      </c>
      <c r="D144">
        <v>80.7</v>
      </c>
      <c r="E144">
        <v>104</v>
      </c>
      <c r="F144">
        <v>80.7</v>
      </c>
      <c r="G144">
        <v>99.4</v>
      </c>
      <c r="H144">
        <v>103.1</v>
      </c>
      <c r="I144">
        <v>100.2</v>
      </c>
      <c r="J144">
        <v>99.4</v>
      </c>
      <c r="K144">
        <v>99</v>
      </c>
      <c r="L144">
        <v>105</v>
      </c>
      <c r="M144" t="s">
        <v>1659</v>
      </c>
      <c r="N144" t="s">
        <v>1660</v>
      </c>
      <c r="O144" t="s">
        <v>755</v>
      </c>
      <c r="P144" t="s">
        <v>755</v>
      </c>
    </row>
    <row r="145" spans="1:16">
      <c r="A145">
        <v>144</v>
      </c>
      <c r="B145" t="s">
        <v>1113</v>
      </c>
      <c r="C145">
        <v>111.3</v>
      </c>
      <c r="D145">
        <v>86.8</v>
      </c>
      <c r="E145">
        <v>124</v>
      </c>
      <c r="F145">
        <v>74.2</v>
      </c>
      <c r="G145">
        <v>99.5</v>
      </c>
      <c r="H145">
        <v>100.6</v>
      </c>
      <c r="I145">
        <v>103.2</v>
      </c>
      <c r="J145">
        <v>96.2</v>
      </c>
      <c r="K145">
        <v>92.3</v>
      </c>
      <c r="L145">
        <v>109.1</v>
      </c>
      <c r="M145" t="s">
        <v>1577</v>
      </c>
      <c r="N145" t="s">
        <v>1661</v>
      </c>
      <c r="O145" t="s">
        <v>801</v>
      </c>
      <c r="P145" t="s">
        <v>801</v>
      </c>
    </row>
    <row r="146" spans="1:16">
      <c r="A146">
        <v>145</v>
      </c>
      <c r="B146" t="s">
        <v>1114</v>
      </c>
      <c r="C146">
        <v>101.3</v>
      </c>
      <c r="D146">
        <v>90.6</v>
      </c>
      <c r="E146">
        <v>105</v>
      </c>
      <c r="F146">
        <v>65.2</v>
      </c>
      <c r="G146">
        <v>99.3</v>
      </c>
      <c r="H146">
        <v>105.5</v>
      </c>
      <c r="I146">
        <v>99.2</v>
      </c>
      <c r="J146">
        <v>105.8</v>
      </c>
      <c r="K146">
        <v>101.1</v>
      </c>
      <c r="L146">
        <v>91.3</v>
      </c>
      <c r="M146" t="s">
        <v>1662</v>
      </c>
      <c r="N146" t="s">
        <v>1663</v>
      </c>
      <c r="O146" t="s">
        <v>755</v>
      </c>
      <c r="P146" t="s">
        <v>801</v>
      </c>
    </row>
    <row r="147" spans="1:16">
      <c r="A147">
        <v>146</v>
      </c>
      <c r="B147" t="s">
        <v>23</v>
      </c>
      <c r="C147">
        <v>101.6</v>
      </c>
      <c r="D147">
        <v>84.7</v>
      </c>
      <c r="E147">
        <v>100.3</v>
      </c>
      <c r="F147">
        <v>101.8</v>
      </c>
      <c r="G147">
        <v>99.9</v>
      </c>
      <c r="H147">
        <v>100.4</v>
      </c>
      <c r="I147">
        <v>100.1</v>
      </c>
      <c r="J147">
        <v>100</v>
      </c>
      <c r="K147">
        <v>99.2</v>
      </c>
      <c r="L147">
        <v>107.3</v>
      </c>
      <c r="M147" t="s">
        <v>1664</v>
      </c>
      <c r="N147" t="s">
        <v>1538</v>
      </c>
      <c r="O147" t="s">
        <v>755</v>
      </c>
      <c r="P147" t="s">
        <v>801</v>
      </c>
    </row>
    <row r="148" spans="1:16">
      <c r="A148">
        <v>147</v>
      </c>
      <c r="B148" t="s">
        <v>1115</v>
      </c>
      <c r="C148">
        <v>103.8</v>
      </c>
      <c r="D148">
        <v>82.4</v>
      </c>
      <c r="E148">
        <v>101.6</v>
      </c>
      <c r="F148">
        <v>94.8</v>
      </c>
      <c r="G148">
        <v>99.6</v>
      </c>
      <c r="H148">
        <v>101.8</v>
      </c>
      <c r="I148">
        <v>99.3</v>
      </c>
      <c r="J148">
        <v>103.8</v>
      </c>
      <c r="K148">
        <v>99.5</v>
      </c>
      <c r="L148">
        <v>102</v>
      </c>
      <c r="M148" t="s">
        <v>1665</v>
      </c>
      <c r="N148" t="s">
        <v>1666</v>
      </c>
      <c r="O148" t="s">
        <v>755</v>
      </c>
      <c r="P148" t="s">
        <v>755</v>
      </c>
    </row>
    <row r="149" spans="1:16">
      <c r="A149">
        <v>148</v>
      </c>
      <c r="B149" t="s">
        <v>1116</v>
      </c>
      <c r="C149">
        <v>106.1</v>
      </c>
      <c r="D149">
        <v>94.1</v>
      </c>
      <c r="E149">
        <v>135.19999999999999</v>
      </c>
      <c r="F149">
        <v>66</v>
      </c>
      <c r="G149">
        <v>100.5</v>
      </c>
      <c r="H149">
        <v>99.4</v>
      </c>
      <c r="I149">
        <v>100.5</v>
      </c>
      <c r="J149">
        <v>99.3</v>
      </c>
      <c r="K149">
        <v>92.9</v>
      </c>
      <c r="L149">
        <v>107.3</v>
      </c>
      <c r="M149" t="s">
        <v>1667</v>
      </c>
      <c r="N149" t="s">
        <v>1668</v>
      </c>
      <c r="O149" t="s">
        <v>801</v>
      </c>
      <c r="P149" t="s">
        <v>801</v>
      </c>
    </row>
    <row r="150" spans="1:16">
      <c r="A150">
        <v>149</v>
      </c>
      <c r="B150" t="s">
        <v>1117</v>
      </c>
      <c r="C150">
        <v>101.4</v>
      </c>
      <c r="D150">
        <v>90.2</v>
      </c>
      <c r="E150">
        <v>102.3</v>
      </c>
      <c r="F150">
        <v>84.1</v>
      </c>
      <c r="G150">
        <v>99.3</v>
      </c>
      <c r="H150">
        <v>104.6</v>
      </c>
      <c r="I150">
        <v>97.3</v>
      </c>
      <c r="J150">
        <v>119</v>
      </c>
      <c r="K150">
        <v>102.7</v>
      </c>
      <c r="L150">
        <v>81.2</v>
      </c>
      <c r="M150" t="s">
        <v>1669</v>
      </c>
      <c r="N150" t="s">
        <v>1670</v>
      </c>
      <c r="O150" t="s">
        <v>755</v>
      </c>
      <c r="P150" t="s">
        <v>801</v>
      </c>
    </row>
    <row r="151" spans="1:16">
      <c r="A151">
        <v>150</v>
      </c>
      <c r="B151" t="s">
        <v>1118</v>
      </c>
      <c r="C151">
        <v>101.9</v>
      </c>
      <c r="D151">
        <v>83</v>
      </c>
      <c r="E151">
        <v>97.7</v>
      </c>
      <c r="F151">
        <v>129.9</v>
      </c>
      <c r="G151">
        <v>100</v>
      </c>
      <c r="H151">
        <v>99.5</v>
      </c>
      <c r="I151">
        <v>99.7</v>
      </c>
      <c r="J151">
        <v>103.8</v>
      </c>
      <c r="K151">
        <v>99.4</v>
      </c>
      <c r="L151">
        <v>104.6</v>
      </c>
      <c r="M151" t="s">
        <v>1671</v>
      </c>
      <c r="N151" t="s">
        <v>1488</v>
      </c>
      <c r="O151" t="s">
        <v>755</v>
      </c>
      <c r="P151" t="s">
        <v>801</v>
      </c>
    </row>
    <row r="152" spans="1:16">
      <c r="A152">
        <v>151</v>
      </c>
      <c r="B152" t="s">
        <v>1119</v>
      </c>
      <c r="C152">
        <v>102.2</v>
      </c>
      <c r="D152">
        <v>93.8</v>
      </c>
      <c r="E152">
        <v>106.7</v>
      </c>
      <c r="F152">
        <v>83.9</v>
      </c>
      <c r="G152">
        <v>100</v>
      </c>
      <c r="H152">
        <v>100.1</v>
      </c>
      <c r="I152">
        <v>94</v>
      </c>
      <c r="J152">
        <v>113.8</v>
      </c>
      <c r="K152">
        <v>97</v>
      </c>
      <c r="L152">
        <v>108.4</v>
      </c>
      <c r="M152" t="s">
        <v>1672</v>
      </c>
      <c r="N152" t="s">
        <v>1673</v>
      </c>
      <c r="O152" t="s">
        <v>755</v>
      </c>
      <c r="P152" t="s">
        <v>755</v>
      </c>
    </row>
    <row r="153" spans="1:16">
      <c r="A153">
        <v>152</v>
      </c>
      <c r="B153" t="s">
        <v>1120</v>
      </c>
      <c r="C153">
        <v>101.1</v>
      </c>
      <c r="D153">
        <v>96.6</v>
      </c>
      <c r="E153">
        <v>103.4</v>
      </c>
      <c r="F153">
        <v>88.7</v>
      </c>
      <c r="G153">
        <v>98.8</v>
      </c>
      <c r="H153">
        <v>103.8</v>
      </c>
      <c r="I153">
        <v>101.2</v>
      </c>
      <c r="J153">
        <v>96.2</v>
      </c>
      <c r="K153">
        <v>98.6</v>
      </c>
      <c r="L153">
        <v>104.4</v>
      </c>
      <c r="M153" t="s">
        <v>1674</v>
      </c>
      <c r="N153" t="s">
        <v>1675</v>
      </c>
      <c r="O153" t="s">
        <v>755</v>
      </c>
      <c r="P153" t="s">
        <v>755</v>
      </c>
    </row>
    <row r="154" spans="1:16">
      <c r="A154">
        <v>153</v>
      </c>
      <c r="B154" t="s">
        <v>1121</v>
      </c>
      <c r="C154">
        <v>100.4</v>
      </c>
      <c r="D154">
        <v>99.2</v>
      </c>
      <c r="E154">
        <v>100.5</v>
      </c>
      <c r="F154">
        <v>99.2</v>
      </c>
      <c r="G154">
        <v>99.4</v>
      </c>
      <c r="H154">
        <v>103.2</v>
      </c>
      <c r="I154">
        <v>100.8</v>
      </c>
      <c r="J154">
        <v>95</v>
      </c>
      <c r="K154">
        <v>100.1</v>
      </c>
      <c r="L154">
        <v>97.8</v>
      </c>
      <c r="M154" t="s">
        <v>1676</v>
      </c>
      <c r="N154" t="s">
        <v>1673</v>
      </c>
      <c r="O154" t="s">
        <v>755</v>
      </c>
      <c r="P154" t="s">
        <v>801</v>
      </c>
    </row>
    <row r="155" spans="1:16">
      <c r="A155">
        <v>154</v>
      </c>
      <c r="B155" t="s">
        <v>1122</v>
      </c>
      <c r="C155">
        <v>101.6</v>
      </c>
      <c r="D155">
        <v>87.6</v>
      </c>
      <c r="E155">
        <v>101.1</v>
      </c>
      <c r="F155">
        <v>95.7</v>
      </c>
      <c r="G155">
        <v>99.2</v>
      </c>
      <c r="H155">
        <v>106.7</v>
      </c>
      <c r="I155">
        <v>101.4</v>
      </c>
      <c r="J155">
        <v>86.7</v>
      </c>
      <c r="K155">
        <v>98.1</v>
      </c>
      <c r="L155">
        <v>114.5</v>
      </c>
      <c r="M155" t="s">
        <v>1677</v>
      </c>
      <c r="N155" t="s">
        <v>1544</v>
      </c>
      <c r="O155" t="s">
        <v>755</v>
      </c>
      <c r="P155" t="s">
        <v>801</v>
      </c>
    </row>
    <row r="156" spans="1:16">
      <c r="A156">
        <v>155</v>
      </c>
      <c r="B156" t="s">
        <v>1123</v>
      </c>
      <c r="C156">
        <v>105.4</v>
      </c>
      <c r="D156">
        <v>72.599999999999994</v>
      </c>
      <c r="E156">
        <v>106.7</v>
      </c>
      <c r="F156">
        <v>66.7</v>
      </c>
      <c r="G156">
        <v>99.8</v>
      </c>
      <c r="H156">
        <v>101.2</v>
      </c>
      <c r="I156">
        <v>100.3</v>
      </c>
      <c r="J156">
        <v>98.7</v>
      </c>
      <c r="K156">
        <v>93.6</v>
      </c>
      <c r="L156">
        <v>131.9</v>
      </c>
      <c r="M156" t="s">
        <v>1644</v>
      </c>
      <c r="N156" t="s">
        <v>1678</v>
      </c>
      <c r="O156" t="s">
        <v>755</v>
      </c>
      <c r="P156" t="s">
        <v>755</v>
      </c>
    </row>
    <row r="157" spans="1:16">
      <c r="A157">
        <v>156</v>
      </c>
      <c r="B157" t="s">
        <v>1124</v>
      </c>
      <c r="C157">
        <v>114</v>
      </c>
      <c r="D157">
        <v>84.4</v>
      </c>
      <c r="E157">
        <v>121</v>
      </c>
      <c r="F157">
        <v>77.2</v>
      </c>
      <c r="G157">
        <v>100.2</v>
      </c>
      <c r="H157">
        <v>100</v>
      </c>
      <c r="I157">
        <v>97.1</v>
      </c>
      <c r="J157">
        <v>102.8</v>
      </c>
      <c r="K157">
        <v>93.3</v>
      </c>
      <c r="L157">
        <v>107.3</v>
      </c>
      <c r="M157" t="s">
        <v>1581</v>
      </c>
      <c r="N157" t="s">
        <v>1679</v>
      </c>
      <c r="O157" t="s">
        <v>755</v>
      </c>
      <c r="P157" t="s">
        <v>755</v>
      </c>
    </row>
    <row r="158" spans="1:16">
      <c r="A158">
        <v>157</v>
      </c>
      <c r="B158" t="s">
        <v>1125</v>
      </c>
      <c r="C158">
        <v>102.1</v>
      </c>
      <c r="D158">
        <v>83.7</v>
      </c>
      <c r="E158">
        <v>104.1</v>
      </c>
      <c r="F158">
        <v>70.2</v>
      </c>
      <c r="G158">
        <v>99.3</v>
      </c>
      <c r="H158">
        <v>105.3</v>
      </c>
      <c r="I158">
        <v>100</v>
      </c>
      <c r="J158">
        <v>102.1</v>
      </c>
      <c r="K158">
        <v>99.4</v>
      </c>
      <c r="L158">
        <v>101.4</v>
      </c>
      <c r="M158" t="s">
        <v>1680</v>
      </c>
      <c r="N158" t="s">
        <v>1532</v>
      </c>
      <c r="O158" t="s">
        <v>755</v>
      </c>
      <c r="P158" t="s">
        <v>801</v>
      </c>
    </row>
    <row r="159" spans="1:16">
      <c r="A159">
        <v>158</v>
      </c>
      <c r="B159" t="s">
        <v>1126</v>
      </c>
      <c r="C159">
        <v>101</v>
      </c>
      <c r="D159">
        <v>83.8</v>
      </c>
      <c r="E159">
        <v>99.1</v>
      </c>
      <c r="F159">
        <v>117.6</v>
      </c>
      <c r="G159">
        <v>100.1</v>
      </c>
      <c r="H159">
        <v>97.7</v>
      </c>
      <c r="I159">
        <v>99.7</v>
      </c>
      <c r="J159">
        <v>105.1</v>
      </c>
      <c r="K159">
        <v>99</v>
      </c>
      <c r="L159">
        <v>116.1</v>
      </c>
      <c r="M159" t="s">
        <v>1681</v>
      </c>
      <c r="N159" t="s">
        <v>1682</v>
      </c>
      <c r="O159" t="s">
        <v>755</v>
      </c>
      <c r="P159" t="s">
        <v>801</v>
      </c>
    </row>
    <row r="160" spans="1:16">
      <c r="A160">
        <v>159</v>
      </c>
      <c r="B160" t="s">
        <v>1127</v>
      </c>
      <c r="C160">
        <v>106.4</v>
      </c>
      <c r="D160">
        <v>71</v>
      </c>
      <c r="E160">
        <v>108</v>
      </c>
      <c r="F160">
        <v>63.7</v>
      </c>
      <c r="G160">
        <v>99.7</v>
      </c>
      <c r="H160">
        <v>101.7</v>
      </c>
      <c r="I160">
        <v>101.3</v>
      </c>
      <c r="J160">
        <v>93.5</v>
      </c>
      <c r="K160">
        <v>90.7</v>
      </c>
      <c r="L160">
        <v>142.69999999999999</v>
      </c>
      <c r="M160" t="s">
        <v>1683</v>
      </c>
      <c r="N160" t="s">
        <v>1684</v>
      </c>
      <c r="O160" t="s">
        <v>755</v>
      </c>
      <c r="P160" t="s">
        <v>755</v>
      </c>
    </row>
    <row r="161" spans="1:16">
      <c r="A161">
        <v>160</v>
      </c>
      <c r="B161" t="s">
        <v>1128</v>
      </c>
      <c r="C161">
        <v>112.3</v>
      </c>
      <c r="D161">
        <v>87.2</v>
      </c>
      <c r="E161">
        <v>130.69999999999999</v>
      </c>
      <c r="F161">
        <v>70.8</v>
      </c>
      <c r="G161">
        <v>99.8</v>
      </c>
      <c r="H161">
        <v>100.3</v>
      </c>
      <c r="I161">
        <v>101.2</v>
      </c>
      <c r="J161">
        <v>98</v>
      </c>
      <c r="K161">
        <v>89.4</v>
      </c>
      <c r="L161">
        <v>111.3</v>
      </c>
      <c r="M161" t="s">
        <v>1685</v>
      </c>
      <c r="N161" t="s">
        <v>1686</v>
      </c>
      <c r="O161" t="s">
        <v>755</v>
      </c>
      <c r="P161" t="s">
        <v>755</v>
      </c>
    </row>
    <row r="162" spans="1:16">
      <c r="A162">
        <v>161</v>
      </c>
      <c r="B162" t="s">
        <v>1129</v>
      </c>
      <c r="C162">
        <v>103.3</v>
      </c>
      <c r="D162">
        <v>75.599999999999994</v>
      </c>
      <c r="E162">
        <v>106.7</v>
      </c>
      <c r="F162">
        <v>47.4</v>
      </c>
      <c r="G162">
        <v>98.6</v>
      </c>
      <c r="H162">
        <v>111</v>
      </c>
      <c r="I162">
        <v>100.4</v>
      </c>
      <c r="J162">
        <v>99.2</v>
      </c>
      <c r="K162">
        <v>99.4</v>
      </c>
      <c r="L162">
        <v>98.8</v>
      </c>
      <c r="M162" t="s">
        <v>1687</v>
      </c>
      <c r="N162" t="s">
        <v>1511</v>
      </c>
      <c r="O162" t="s">
        <v>755</v>
      </c>
      <c r="P162" t="s">
        <v>801</v>
      </c>
    </row>
    <row r="163" spans="1:16">
      <c r="A163">
        <v>162</v>
      </c>
      <c r="B163" t="s">
        <v>1130</v>
      </c>
      <c r="C163">
        <v>101.4</v>
      </c>
      <c r="D163">
        <v>75.900000000000006</v>
      </c>
      <c r="E163">
        <v>99.2</v>
      </c>
      <c r="F163">
        <v>113.9</v>
      </c>
      <c r="G163">
        <v>100.2</v>
      </c>
      <c r="H163">
        <v>96.8</v>
      </c>
      <c r="I163">
        <v>99.3</v>
      </c>
      <c r="J163">
        <v>111.3</v>
      </c>
      <c r="K163">
        <v>99</v>
      </c>
      <c r="L163">
        <v>119.5</v>
      </c>
      <c r="M163" t="s">
        <v>1688</v>
      </c>
      <c r="N163" t="s">
        <v>1477</v>
      </c>
      <c r="O163" t="s">
        <v>755</v>
      </c>
      <c r="P163" t="s">
        <v>801</v>
      </c>
    </row>
    <row r="164" spans="1:16">
      <c r="A164">
        <v>163</v>
      </c>
      <c r="B164" t="s">
        <v>1131</v>
      </c>
      <c r="C164">
        <v>101.2</v>
      </c>
      <c r="D164">
        <v>95.9</v>
      </c>
      <c r="E164">
        <v>105.9</v>
      </c>
      <c r="F164">
        <v>84.6</v>
      </c>
      <c r="G164">
        <v>100.1</v>
      </c>
      <c r="H164">
        <v>99.9</v>
      </c>
      <c r="I164">
        <v>93.3</v>
      </c>
      <c r="J164">
        <v>117</v>
      </c>
      <c r="K164">
        <v>99.5</v>
      </c>
      <c r="L164">
        <v>102.4</v>
      </c>
      <c r="M164" t="s">
        <v>1689</v>
      </c>
      <c r="N164" t="s">
        <v>1690</v>
      </c>
      <c r="O164" t="s">
        <v>755</v>
      </c>
      <c r="P164" t="s">
        <v>801</v>
      </c>
    </row>
    <row r="165" spans="1:16">
      <c r="A165">
        <v>164</v>
      </c>
      <c r="B165" t="s">
        <v>1132</v>
      </c>
      <c r="C165">
        <v>100.6</v>
      </c>
      <c r="D165">
        <v>97.9</v>
      </c>
      <c r="E165">
        <v>102.4</v>
      </c>
      <c r="F165">
        <v>91.6</v>
      </c>
      <c r="G165">
        <v>99.2</v>
      </c>
      <c r="H165">
        <v>102.8</v>
      </c>
      <c r="I165">
        <v>101.5</v>
      </c>
      <c r="J165">
        <v>94.6</v>
      </c>
      <c r="K165">
        <v>98.3</v>
      </c>
      <c r="L165">
        <v>106.8</v>
      </c>
      <c r="M165" t="s">
        <v>1691</v>
      </c>
      <c r="N165" t="s">
        <v>1587</v>
      </c>
      <c r="O165" t="s">
        <v>755</v>
      </c>
      <c r="P165" t="s">
        <v>801</v>
      </c>
    </row>
    <row r="166" spans="1:16">
      <c r="A166">
        <v>165</v>
      </c>
      <c r="B166" t="s">
        <v>1133</v>
      </c>
      <c r="C166">
        <v>99.7</v>
      </c>
      <c r="D166">
        <v>103.2</v>
      </c>
      <c r="E166">
        <v>101.2</v>
      </c>
      <c r="F166">
        <v>94.4</v>
      </c>
      <c r="G166">
        <v>99.6</v>
      </c>
      <c r="H166">
        <v>102.3</v>
      </c>
      <c r="I166">
        <v>100.5</v>
      </c>
      <c r="J166">
        <v>96</v>
      </c>
      <c r="K166">
        <v>100.1</v>
      </c>
      <c r="L166">
        <v>97.3</v>
      </c>
      <c r="M166" t="s">
        <v>1692</v>
      </c>
      <c r="N166" t="s">
        <v>1693</v>
      </c>
      <c r="O166" t="s">
        <v>755</v>
      </c>
      <c r="P166" t="s">
        <v>801</v>
      </c>
    </row>
    <row r="167" spans="1:16">
      <c r="A167">
        <v>166</v>
      </c>
      <c r="B167" t="s">
        <v>1134</v>
      </c>
      <c r="C167">
        <v>101.1</v>
      </c>
      <c r="D167">
        <v>91.1</v>
      </c>
      <c r="E167">
        <v>101.2</v>
      </c>
      <c r="F167">
        <v>95.2</v>
      </c>
      <c r="G167">
        <v>99.5</v>
      </c>
      <c r="H167">
        <v>105.4</v>
      </c>
      <c r="I167">
        <v>101.5</v>
      </c>
      <c r="J167">
        <v>84.3</v>
      </c>
      <c r="K167">
        <v>97.8</v>
      </c>
      <c r="L167">
        <v>118</v>
      </c>
      <c r="M167" t="s">
        <v>1694</v>
      </c>
      <c r="N167" t="s">
        <v>1594</v>
      </c>
      <c r="O167" t="s">
        <v>755</v>
      </c>
      <c r="P167" t="s">
        <v>801</v>
      </c>
    </row>
    <row r="168" spans="1:16">
      <c r="A168">
        <v>167</v>
      </c>
      <c r="B168" t="s">
        <v>1135</v>
      </c>
      <c r="C168">
        <v>106.6</v>
      </c>
      <c r="D168">
        <v>70.900000000000006</v>
      </c>
      <c r="E168">
        <v>110</v>
      </c>
      <c r="F168">
        <v>57.7</v>
      </c>
      <c r="G168">
        <v>99.6</v>
      </c>
      <c r="H168">
        <v>102</v>
      </c>
      <c r="I168">
        <v>99.8</v>
      </c>
      <c r="J168">
        <v>101.1</v>
      </c>
      <c r="K168">
        <v>93.8</v>
      </c>
      <c r="L168">
        <v>126.7</v>
      </c>
      <c r="M168" t="s">
        <v>1695</v>
      </c>
      <c r="N168" t="s">
        <v>1689</v>
      </c>
      <c r="O168" t="s">
        <v>755</v>
      </c>
      <c r="P168" t="s">
        <v>755</v>
      </c>
    </row>
    <row r="169" spans="1:16">
      <c r="A169">
        <v>168</v>
      </c>
      <c r="B169" t="s">
        <v>1136</v>
      </c>
      <c r="C169">
        <v>114.4</v>
      </c>
      <c r="D169">
        <v>83.5</v>
      </c>
      <c r="E169">
        <v>121.6</v>
      </c>
      <c r="F169">
        <v>75.900000000000006</v>
      </c>
      <c r="G169">
        <v>100.4</v>
      </c>
      <c r="H169">
        <v>99.8</v>
      </c>
      <c r="I169">
        <v>97.6</v>
      </c>
      <c r="J169">
        <v>102.3</v>
      </c>
      <c r="K169">
        <v>91.9</v>
      </c>
      <c r="L169">
        <v>109</v>
      </c>
      <c r="M169" t="s">
        <v>1696</v>
      </c>
      <c r="N169" t="s">
        <v>1606</v>
      </c>
      <c r="O169" t="s">
        <v>755</v>
      </c>
      <c r="P169" t="s">
        <v>755</v>
      </c>
    </row>
    <row r="170" spans="1:16">
      <c r="A170">
        <v>169</v>
      </c>
      <c r="B170" t="s">
        <v>1137</v>
      </c>
      <c r="C170">
        <v>102</v>
      </c>
      <c r="D170">
        <v>83.7</v>
      </c>
      <c r="E170">
        <v>103</v>
      </c>
      <c r="F170">
        <v>78.900000000000006</v>
      </c>
      <c r="G170">
        <v>99.1</v>
      </c>
      <c r="H170">
        <v>107.6</v>
      </c>
      <c r="I170">
        <v>100.1</v>
      </c>
      <c r="J170">
        <v>101.3</v>
      </c>
      <c r="K170">
        <v>100.1</v>
      </c>
      <c r="L170">
        <v>94.6</v>
      </c>
      <c r="M170" t="s">
        <v>1697</v>
      </c>
      <c r="N170" t="s">
        <v>1698</v>
      </c>
      <c r="O170" t="s">
        <v>755</v>
      </c>
      <c r="P170" t="s">
        <v>801</v>
      </c>
    </row>
    <row r="171" spans="1:16">
      <c r="A171">
        <v>170</v>
      </c>
      <c r="B171" t="s">
        <v>1138</v>
      </c>
      <c r="C171">
        <v>101.2</v>
      </c>
      <c r="D171">
        <v>79.099999999999994</v>
      </c>
      <c r="E171">
        <v>102.6</v>
      </c>
      <c r="F171">
        <v>59.6</v>
      </c>
      <c r="G171">
        <v>99.9</v>
      </c>
      <c r="H171">
        <v>101</v>
      </c>
      <c r="I171">
        <v>98.9</v>
      </c>
      <c r="J171">
        <v>118.9</v>
      </c>
      <c r="K171">
        <v>100.4</v>
      </c>
      <c r="L171">
        <v>94.9</v>
      </c>
      <c r="M171" t="s">
        <v>1699</v>
      </c>
      <c r="N171" t="s">
        <v>1700</v>
      </c>
      <c r="O171" t="s">
        <v>755</v>
      </c>
      <c r="P171" t="s">
        <v>801</v>
      </c>
    </row>
    <row r="172" spans="1:16">
      <c r="A172">
        <v>171</v>
      </c>
      <c r="B172" t="s">
        <v>1139</v>
      </c>
      <c r="C172">
        <v>107.7</v>
      </c>
      <c r="D172">
        <v>71.400000000000006</v>
      </c>
      <c r="E172">
        <v>113.3</v>
      </c>
      <c r="F172">
        <v>52.1</v>
      </c>
      <c r="G172">
        <v>99.4</v>
      </c>
      <c r="H172">
        <v>102.3</v>
      </c>
      <c r="I172">
        <v>101.1</v>
      </c>
      <c r="J172">
        <v>95.7</v>
      </c>
      <c r="K172">
        <v>90.5</v>
      </c>
      <c r="L172">
        <v>135.4</v>
      </c>
      <c r="M172" t="s">
        <v>1701</v>
      </c>
      <c r="N172" t="s">
        <v>1459</v>
      </c>
      <c r="O172" t="s">
        <v>755</v>
      </c>
      <c r="P172" t="s">
        <v>755</v>
      </c>
    </row>
    <row r="173" spans="1:16">
      <c r="A173">
        <v>172</v>
      </c>
      <c r="B173" t="s">
        <v>1140</v>
      </c>
      <c r="C173">
        <v>112.9</v>
      </c>
      <c r="D173">
        <v>86.6</v>
      </c>
      <c r="E173">
        <v>133.9</v>
      </c>
      <c r="F173">
        <v>67.900000000000006</v>
      </c>
      <c r="G173">
        <v>99.9</v>
      </c>
      <c r="H173">
        <v>100.2</v>
      </c>
      <c r="I173">
        <v>101.2</v>
      </c>
      <c r="J173">
        <v>97.9</v>
      </c>
      <c r="K173">
        <v>87.8</v>
      </c>
      <c r="L173">
        <v>112.9</v>
      </c>
      <c r="M173" t="s">
        <v>1702</v>
      </c>
      <c r="N173" t="s">
        <v>1703</v>
      </c>
      <c r="O173" t="s">
        <v>755</v>
      </c>
      <c r="P173" t="s">
        <v>755</v>
      </c>
    </row>
    <row r="174" spans="1:16">
      <c r="A174">
        <v>173</v>
      </c>
      <c r="B174" t="s">
        <v>1141</v>
      </c>
      <c r="C174">
        <v>103</v>
      </c>
      <c r="D174">
        <v>74.900000000000006</v>
      </c>
      <c r="E174">
        <v>105</v>
      </c>
      <c r="F174">
        <v>55.6</v>
      </c>
      <c r="G174">
        <v>98.3</v>
      </c>
      <c r="H174">
        <v>115.8</v>
      </c>
      <c r="I174">
        <v>100.6</v>
      </c>
      <c r="J174">
        <v>97.5</v>
      </c>
      <c r="K174">
        <v>100.7</v>
      </c>
      <c r="L174">
        <v>86.6</v>
      </c>
      <c r="M174" t="s">
        <v>1704</v>
      </c>
      <c r="N174" t="s">
        <v>1705</v>
      </c>
      <c r="O174" t="s">
        <v>755</v>
      </c>
      <c r="P174" t="s">
        <v>801</v>
      </c>
    </row>
    <row r="175" spans="1:16">
      <c r="A175">
        <v>174</v>
      </c>
      <c r="B175" t="s">
        <v>1142</v>
      </c>
      <c r="C175">
        <v>101.6</v>
      </c>
      <c r="D175">
        <v>73.3</v>
      </c>
      <c r="E175">
        <v>104.4</v>
      </c>
      <c r="F175">
        <v>32.5</v>
      </c>
      <c r="G175">
        <v>100.1</v>
      </c>
      <c r="H175">
        <v>98.4</v>
      </c>
      <c r="I175">
        <v>98.6</v>
      </c>
      <c r="J175">
        <v>121.7</v>
      </c>
      <c r="K175">
        <v>99.2</v>
      </c>
      <c r="L175">
        <v>114.7</v>
      </c>
      <c r="M175" t="s">
        <v>1706</v>
      </c>
      <c r="N175" t="s">
        <v>1707</v>
      </c>
      <c r="O175" t="s">
        <v>755</v>
      </c>
      <c r="P175" t="s">
        <v>801</v>
      </c>
    </row>
    <row r="176" spans="1:16">
      <c r="A176">
        <v>175</v>
      </c>
      <c r="B176" t="s">
        <v>1143</v>
      </c>
      <c r="C176">
        <v>102.5</v>
      </c>
      <c r="D176">
        <v>80.2</v>
      </c>
      <c r="E176">
        <v>98.9</v>
      </c>
      <c r="F176">
        <v>108.1</v>
      </c>
      <c r="G176">
        <v>100.3</v>
      </c>
      <c r="H176">
        <v>97.5</v>
      </c>
      <c r="I176">
        <v>100.8</v>
      </c>
      <c r="J176">
        <v>93.6</v>
      </c>
      <c r="K176">
        <v>94.4</v>
      </c>
      <c r="L176">
        <v>145.5</v>
      </c>
      <c r="M176" t="s">
        <v>1708</v>
      </c>
      <c r="N176" t="s">
        <v>1709</v>
      </c>
      <c r="O176" t="s">
        <v>755</v>
      </c>
      <c r="P176" t="s">
        <v>801</v>
      </c>
    </row>
    <row r="177" spans="1:16">
      <c r="A177">
        <v>176</v>
      </c>
      <c r="B177" t="s">
        <v>1144</v>
      </c>
      <c r="C177">
        <v>100.7</v>
      </c>
      <c r="D177">
        <v>91.1</v>
      </c>
      <c r="E177">
        <v>94.3</v>
      </c>
      <c r="F177">
        <v>196.2</v>
      </c>
      <c r="G177">
        <v>100.4</v>
      </c>
      <c r="H177">
        <v>93.2</v>
      </c>
      <c r="I177">
        <v>100.8</v>
      </c>
      <c r="J177">
        <v>87.1</v>
      </c>
      <c r="K177">
        <v>96.8</v>
      </c>
      <c r="L177">
        <v>149.80000000000001</v>
      </c>
      <c r="M177" t="s">
        <v>1710</v>
      </c>
      <c r="N177" t="s">
        <v>1515</v>
      </c>
      <c r="O177" t="s">
        <v>755</v>
      </c>
      <c r="P177" t="s">
        <v>801</v>
      </c>
    </row>
    <row r="178" spans="1:16">
      <c r="A178">
        <v>177</v>
      </c>
      <c r="B178" t="s">
        <v>1145</v>
      </c>
      <c r="C178">
        <v>103.6</v>
      </c>
      <c r="D178">
        <v>67.900000000000006</v>
      </c>
      <c r="E178">
        <v>96.7</v>
      </c>
      <c r="F178">
        <v>125.3</v>
      </c>
      <c r="G178">
        <v>100.2</v>
      </c>
      <c r="H178">
        <v>98.7</v>
      </c>
      <c r="I178">
        <v>100.7</v>
      </c>
      <c r="J178">
        <v>92.6</v>
      </c>
      <c r="K178">
        <v>93.8</v>
      </c>
      <c r="L178">
        <v>157.80000000000001</v>
      </c>
      <c r="M178" t="s">
        <v>1697</v>
      </c>
      <c r="N178" t="s">
        <v>1711</v>
      </c>
      <c r="O178" t="s">
        <v>755</v>
      </c>
      <c r="P178" t="s">
        <v>801</v>
      </c>
    </row>
    <row r="179" spans="1:16">
      <c r="A179">
        <v>178</v>
      </c>
      <c r="B179" t="s">
        <v>1146</v>
      </c>
      <c r="C179">
        <v>101.2</v>
      </c>
      <c r="D179">
        <v>79.8</v>
      </c>
      <c r="E179">
        <v>92.6</v>
      </c>
      <c r="F179">
        <v>238.1</v>
      </c>
      <c r="G179">
        <v>100.3</v>
      </c>
      <c r="H179">
        <v>94.3</v>
      </c>
      <c r="I179">
        <v>100.1</v>
      </c>
      <c r="J179">
        <v>96.8</v>
      </c>
      <c r="K179">
        <v>98.7</v>
      </c>
      <c r="L179">
        <v>126.7</v>
      </c>
      <c r="M179" t="s">
        <v>1712</v>
      </c>
      <c r="N179" t="s">
        <v>1713</v>
      </c>
      <c r="O179" t="s">
        <v>755</v>
      </c>
      <c r="P179" t="s">
        <v>801</v>
      </c>
    </row>
    <row r="180" spans="1:16">
      <c r="A180">
        <v>179</v>
      </c>
      <c r="B180" t="s">
        <v>1147</v>
      </c>
      <c r="C180">
        <v>102.5</v>
      </c>
      <c r="D180">
        <v>95.8</v>
      </c>
      <c r="E180">
        <v>99.3</v>
      </c>
      <c r="F180">
        <v>102.3</v>
      </c>
      <c r="G180">
        <v>99.7</v>
      </c>
      <c r="H180">
        <v>100.3</v>
      </c>
      <c r="I180">
        <v>96.9</v>
      </c>
      <c r="J180">
        <v>105.2</v>
      </c>
      <c r="K180">
        <v>104.1</v>
      </c>
      <c r="L180">
        <v>92.8</v>
      </c>
      <c r="M180" t="s">
        <v>1714</v>
      </c>
      <c r="N180" t="s">
        <v>1522</v>
      </c>
      <c r="O180" t="s">
        <v>755</v>
      </c>
      <c r="P180" t="s">
        <v>755</v>
      </c>
    </row>
    <row r="181" spans="1:16">
      <c r="A181">
        <v>180</v>
      </c>
      <c r="B181" t="s">
        <v>1148</v>
      </c>
      <c r="C181">
        <v>102.2</v>
      </c>
      <c r="D181">
        <v>93.2</v>
      </c>
      <c r="E181">
        <v>111.3</v>
      </c>
      <c r="F181">
        <v>70.2</v>
      </c>
      <c r="G181">
        <v>99.5</v>
      </c>
      <c r="H181">
        <v>101</v>
      </c>
      <c r="I181">
        <v>100.8</v>
      </c>
      <c r="J181">
        <v>99.9</v>
      </c>
      <c r="K181">
        <v>92.4</v>
      </c>
      <c r="L181">
        <v>118.9</v>
      </c>
      <c r="M181" t="s">
        <v>1715</v>
      </c>
      <c r="N181" t="s">
        <v>1503</v>
      </c>
      <c r="O181" t="s">
        <v>755</v>
      </c>
      <c r="P181" t="s">
        <v>801</v>
      </c>
    </row>
    <row r="182" spans="1:16">
      <c r="A182">
        <v>181</v>
      </c>
      <c r="B182" t="s">
        <v>1149</v>
      </c>
      <c r="C182">
        <v>103.4</v>
      </c>
      <c r="D182">
        <v>91.1</v>
      </c>
      <c r="E182">
        <v>101.2</v>
      </c>
      <c r="F182">
        <v>93.2</v>
      </c>
      <c r="G182">
        <v>98.9</v>
      </c>
      <c r="H182">
        <v>101.9</v>
      </c>
      <c r="I182">
        <v>101.1</v>
      </c>
      <c r="J182">
        <v>99.7</v>
      </c>
      <c r="K182">
        <v>95.7</v>
      </c>
      <c r="L182">
        <v>110.7</v>
      </c>
      <c r="M182" t="s">
        <v>1716</v>
      </c>
      <c r="N182" t="s">
        <v>1717</v>
      </c>
      <c r="O182" t="s">
        <v>755</v>
      </c>
      <c r="P182" t="s">
        <v>801</v>
      </c>
    </row>
    <row r="183" spans="1:16">
      <c r="A183">
        <v>182</v>
      </c>
      <c r="B183" t="s">
        <v>1150</v>
      </c>
      <c r="C183">
        <v>102.7</v>
      </c>
      <c r="D183">
        <v>95.7</v>
      </c>
      <c r="E183">
        <v>96.8</v>
      </c>
      <c r="F183">
        <v>105.7</v>
      </c>
      <c r="G183">
        <v>99.4</v>
      </c>
      <c r="H183">
        <v>100.8</v>
      </c>
      <c r="I183">
        <v>98.2</v>
      </c>
      <c r="J183">
        <v>103.3</v>
      </c>
      <c r="K183">
        <v>104.9</v>
      </c>
      <c r="L183">
        <v>91.5</v>
      </c>
      <c r="M183" t="s">
        <v>1718</v>
      </c>
      <c r="N183" t="s">
        <v>1556</v>
      </c>
      <c r="O183" t="s">
        <v>755</v>
      </c>
      <c r="P183" t="s">
        <v>801</v>
      </c>
    </row>
    <row r="184" spans="1:16">
      <c r="A184">
        <v>183</v>
      </c>
      <c r="B184" t="s">
        <v>1151</v>
      </c>
      <c r="C184">
        <v>104.9</v>
      </c>
      <c r="D184">
        <v>90</v>
      </c>
      <c r="E184">
        <v>120.2</v>
      </c>
      <c r="F184">
        <v>62.3</v>
      </c>
      <c r="G184">
        <v>98.9</v>
      </c>
      <c r="H184">
        <v>102.3</v>
      </c>
      <c r="I184">
        <v>99.3</v>
      </c>
      <c r="J184">
        <v>101.2</v>
      </c>
      <c r="K184">
        <v>92.4</v>
      </c>
      <c r="L184">
        <v>115.3</v>
      </c>
      <c r="M184" t="s">
        <v>1719</v>
      </c>
      <c r="N184" t="s">
        <v>1720</v>
      </c>
      <c r="O184" t="s">
        <v>755</v>
      </c>
      <c r="P184" t="s">
        <v>801</v>
      </c>
    </row>
    <row r="185" spans="1:16">
      <c r="A185">
        <v>184</v>
      </c>
      <c r="B185" t="s">
        <v>1152</v>
      </c>
      <c r="C185">
        <v>104.8</v>
      </c>
      <c r="D185">
        <v>91.4</v>
      </c>
      <c r="E185">
        <v>104.9</v>
      </c>
      <c r="F185">
        <v>92.9</v>
      </c>
      <c r="G185">
        <v>98.8</v>
      </c>
      <c r="H185">
        <v>102.1</v>
      </c>
      <c r="I185">
        <v>100.4</v>
      </c>
      <c r="J185">
        <v>99.2</v>
      </c>
      <c r="K185">
        <v>94.9</v>
      </c>
      <c r="L185">
        <v>109</v>
      </c>
      <c r="M185" t="s">
        <v>1721</v>
      </c>
      <c r="N185" t="s">
        <v>1722</v>
      </c>
      <c r="O185" t="s">
        <v>755</v>
      </c>
      <c r="P185" t="s">
        <v>801</v>
      </c>
    </row>
    <row r="186" spans="1:16">
      <c r="A186">
        <v>185</v>
      </c>
      <c r="B186" t="s">
        <v>1153</v>
      </c>
      <c r="C186">
        <v>100.9</v>
      </c>
      <c r="D186">
        <v>98.8</v>
      </c>
      <c r="E186">
        <v>95.7</v>
      </c>
      <c r="F186">
        <v>107.6</v>
      </c>
      <c r="G186">
        <v>98.5</v>
      </c>
      <c r="H186">
        <v>103</v>
      </c>
      <c r="I186">
        <v>103.1</v>
      </c>
      <c r="J186">
        <v>94</v>
      </c>
      <c r="K186">
        <v>113.6</v>
      </c>
      <c r="L186">
        <v>65.3</v>
      </c>
      <c r="M186" t="s">
        <v>1723</v>
      </c>
      <c r="N186" t="s">
        <v>1724</v>
      </c>
      <c r="O186" t="s">
        <v>755</v>
      </c>
      <c r="P186" t="s">
        <v>801</v>
      </c>
    </row>
    <row r="187" spans="1:16">
      <c r="A187">
        <v>186</v>
      </c>
      <c r="B187" t="s">
        <v>1154</v>
      </c>
      <c r="C187">
        <v>102.5</v>
      </c>
      <c r="D187">
        <v>97.2</v>
      </c>
      <c r="E187">
        <v>98.7</v>
      </c>
      <c r="F187">
        <v>101</v>
      </c>
      <c r="G187">
        <v>96.9</v>
      </c>
      <c r="H187">
        <v>104.4</v>
      </c>
      <c r="I187">
        <v>104.2</v>
      </c>
      <c r="J187">
        <v>94.5</v>
      </c>
      <c r="K187">
        <v>114.5</v>
      </c>
      <c r="L187">
        <v>69.599999999999994</v>
      </c>
      <c r="M187" t="s">
        <v>1668</v>
      </c>
      <c r="N187" t="s">
        <v>1470</v>
      </c>
      <c r="O187" t="s">
        <v>801</v>
      </c>
      <c r="P187" t="s">
        <v>801</v>
      </c>
    </row>
    <row r="188" spans="1:16">
      <c r="A188">
        <v>187</v>
      </c>
      <c r="B188" t="s">
        <v>1155</v>
      </c>
      <c r="C188">
        <v>106.8</v>
      </c>
      <c r="D188">
        <v>79.599999999999994</v>
      </c>
      <c r="E188">
        <v>105.8</v>
      </c>
      <c r="F188">
        <v>84.2</v>
      </c>
      <c r="G188">
        <v>99.7</v>
      </c>
      <c r="H188">
        <v>101</v>
      </c>
      <c r="I188">
        <v>97.2</v>
      </c>
      <c r="J188">
        <v>108.2</v>
      </c>
      <c r="K188">
        <v>105.9</v>
      </c>
      <c r="L188">
        <v>86</v>
      </c>
      <c r="M188" t="s">
        <v>1725</v>
      </c>
      <c r="N188" t="s">
        <v>1726</v>
      </c>
      <c r="O188" t="s">
        <v>755</v>
      </c>
      <c r="P188" t="s">
        <v>755</v>
      </c>
    </row>
    <row r="189" spans="1:16">
      <c r="A189">
        <v>188</v>
      </c>
      <c r="B189" t="s">
        <v>1156</v>
      </c>
      <c r="C189">
        <v>112.1</v>
      </c>
      <c r="D189">
        <v>65.400000000000006</v>
      </c>
      <c r="E189">
        <v>90.7</v>
      </c>
      <c r="F189">
        <v>125.4</v>
      </c>
      <c r="G189">
        <v>100</v>
      </c>
      <c r="H189">
        <v>99.9</v>
      </c>
      <c r="I189">
        <v>96.6</v>
      </c>
      <c r="J189">
        <v>109.8</v>
      </c>
      <c r="K189">
        <v>82.2</v>
      </c>
      <c r="L189">
        <v>153.69999999999999</v>
      </c>
      <c r="M189" t="s">
        <v>1686</v>
      </c>
      <c r="N189" t="s">
        <v>1727</v>
      </c>
      <c r="O189" t="s">
        <v>755</v>
      </c>
      <c r="P189" t="s">
        <v>801</v>
      </c>
    </row>
    <row r="190" spans="1:16">
      <c r="A190">
        <v>189</v>
      </c>
      <c r="B190" t="s">
        <v>1157</v>
      </c>
      <c r="C190">
        <v>102.3</v>
      </c>
      <c r="D190">
        <v>88.4</v>
      </c>
      <c r="E190">
        <v>116</v>
      </c>
      <c r="F190">
        <v>38.299999999999997</v>
      </c>
      <c r="G190">
        <v>99.9</v>
      </c>
      <c r="H190">
        <v>100.4</v>
      </c>
      <c r="I190">
        <v>98.1</v>
      </c>
      <c r="J190">
        <v>108.2</v>
      </c>
      <c r="K190">
        <v>113.9</v>
      </c>
      <c r="L190">
        <v>47.8</v>
      </c>
      <c r="M190" t="s">
        <v>1728</v>
      </c>
      <c r="N190" t="s">
        <v>1535</v>
      </c>
      <c r="O190" t="s">
        <v>755</v>
      </c>
      <c r="P190" t="s">
        <v>801</v>
      </c>
    </row>
    <row r="191" spans="1:16">
      <c r="A191">
        <v>190</v>
      </c>
      <c r="B191" t="s">
        <v>1158</v>
      </c>
      <c r="C191">
        <v>107.4</v>
      </c>
      <c r="D191">
        <v>78.8</v>
      </c>
      <c r="E191">
        <v>105.6</v>
      </c>
      <c r="F191">
        <v>86.2</v>
      </c>
      <c r="G191">
        <v>99.4</v>
      </c>
      <c r="H191">
        <v>101.6</v>
      </c>
      <c r="I191">
        <v>97.4</v>
      </c>
      <c r="J191">
        <v>107.6</v>
      </c>
      <c r="K191">
        <v>108</v>
      </c>
      <c r="L191">
        <v>80.3</v>
      </c>
      <c r="M191" t="s">
        <v>1729</v>
      </c>
      <c r="N191" t="s">
        <v>1730</v>
      </c>
      <c r="O191" t="s">
        <v>755</v>
      </c>
      <c r="P191" t="s">
        <v>755</v>
      </c>
    </row>
    <row r="192" spans="1:16">
      <c r="A192">
        <v>191</v>
      </c>
      <c r="B192" t="s">
        <v>1159</v>
      </c>
      <c r="C192">
        <v>113.9</v>
      </c>
      <c r="D192">
        <v>58.8</v>
      </c>
      <c r="E192">
        <v>91.5</v>
      </c>
      <c r="F192">
        <v>125.7</v>
      </c>
      <c r="G192">
        <v>100.8</v>
      </c>
      <c r="H192">
        <v>97.4</v>
      </c>
      <c r="I192">
        <v>94.9</v>
      </c>
      <c r="J192">
        <v>115.2</v>
      </c>
      <c r="K192">
        <v>82.6</v>
      </c>
      <c r="L192">
        <v>152</v>
      </c>
      <c r="M192" t="s">
        <v>1731</v>
      </c>
      <c r="N192" t="s">
        <v>1513</v>
      </c>
      <c r="O192" t="s">
        <v>755</v>
      </c>
      <c r="P192" t="s">
        <v>801</v>
      </c>
    </row>
    <row r="193" spans="1:16">
      <c r="A193">
        <v>192</v>
      </c>
      <c r="B193" t="s">
        <v>1160</v>
      </c>
      <c r="C193">
        <v>103.4</v>
      </c>
      <c r="D193">
        <v>87</v>
      </c>
      <c r="E193">
        <v>115.1</v>
      </c>
      <c r="F193">
        <v>44.1</v>
      </c>
      <c r="G193">
        <v>99.6</v>
      </c>
      <c r="H193">
        <v>101.3</v>
      </c>
      <c r="I193">
        <v>98.1</v>
      </c>
      <c r="J193">
        <v>107.5</v>
      </c>
      <c r="K193">
        <v>113.3</v>
      </c>
      <c r="L193">
        <v>52.2</v>
      </c>
      <c r="M193" t="s">
        <v>1732</v>
      </c>
      <c r="N193" t="s">
        <v>1534</v>
      </c>
      <c r="O193" t="s">
        <v>755</v>
      </c>
      <c r="P193" t="s">
        <v>801</v>
      </c>
    </row>
    <row r="194" spans="1:16">
      <c r="A194">
        <v>193</v>
      </c>
      <c r="B194" t="s">
        <v>1161</v>
      </c>
      <c r="C194">
        <v>99</v>
      </c>
      <c r="D194">
        <v>103.3</v>
      </c>
      <c r="E194">
        <v>93.7</v>
      </c>
      <c r="F194">
        <v>113.7</v>
      </c>
      <c r="G194">
        <v>99.6</v>
      </c>
      <c r="H194">
        <v>101</v>
      </c>
      <c r="I194">
        <v>101.9</v>
      </c>
      <c r="J194">
        <v>94.9</v>
      </c>
      <c r="K194">
        <v>129</v>
      </c>
      <c r="L194">
        <v>33</v>
      </c>
      <c r="M194" t="s">
        <v>1733</v>
      </c>
      <c r="N194" t="s">
        <v>1734</v>
      </c>
      <c r="O194" t="s">
        <v>755</v>
      </c>
      <c r="P194" t="s">
        <v>801</v>
      </c>
    </row>
    <row r="195" spans="1:16">
      <c r="A195">
        <v>194</v>
      </c>
      <c r="B195" t="s">
        <v>1162</v>
      </c>
      <c r="C195">
        <v>106.4</v>
      </c>
      <c r="D195">
        <v>74.099999999999994</v>
      </c>
      <c r="E195">
        <v>100.6</v>
      </c>
      <c r="F195">
        <v>97.6</v>
      </c>
      <c r="G195">
        <v>99.5</v>
      </c>
      <c r="H195">
        <v>102</v>
      </c>
      <c r="I195">
        <v>98</v>
      </c>
      <c r="J195">
        <v>108.1</v>
      </c>
      <c r="K195">
        <v>97.5</v>
      </c>
      <c r="L195">
        <v>112.3</v>
      </c>
      <c r="M195" t="s">
        <v>1735</v>
      </c>
      <c r="N195" t="s">
        <v>1736</v>
      </c>
      <c r="O195" t="s">
        <v>755</v>
      </c>
      <c r="P195" t="s">
        <v>801</v>
      </c>
    </row>
    <row r="196" spans="1:16">
      <c r="A196">
        <v>195</v>
      </c>
      <c r="B196" t="s">
        <v>1163</v>
      </c>
      <c r="C196">
        <v>113.9</v>
      </c>
      <c r="D196">
        <v>50.1</v>
      </c>
      <c r="E196">
        <v>97.6</v>
      </c>
      <c r="F196">
        <v>104</v>
      </c>
      <c r="G196">
        <v>100.6</v>
      </c>
      <c r="H196">
        <v>97.8</v>
      </c>
      <c r="I196">
        <v>94.1</v>
      </c>
      <c r="J196">
        <v>121.4</v>
      </c>
      <c r="K196">
        <v>82.8</v>
      </c>
      <c r="L196">
        <v>164.3</v>
      </c>
      <c r="M196" t="s">
        <v>1737</v>
      </c>
      <c r="N196" t="s">
        <v>1738</v>
      </c>
      <c r="O196" t="s">
        <v>755</v>
      </c>
      <c r="P196" t="s">
        <v>801</v>
      </c>
    </row>
    <row r="197" spans="1:16">
      <c r="A197">
        <v>196</v>
      </c>
      <c r="B197" t="s">
        <v>1164</v>
      </c>
      <c r="C197">
        <v>97.6</v>
      </c>
      <c r="D197">
        <v>110.7</v>
      </c>
      <c r="E197">
        <v>108.1</v>
      </c>
      <c r="F197">
        <v>52.7</v>
      </c>
      <c r="G197">
        <v>100.5</v>
      </c>
      <c r="H197">
        <v>96.6</v>
      </c>
      <c r="I197">
        <v>99.6</v>
      </c>
      <c r="J197">
        <v>104.8</v>
      </c>
      <c r="K197">
        <v>115.3</v>
      </c>
      <c r="L197">
        <v>6.6</v>
      </c>
      <c r="M197" t="s">
        <v>1423</v>
      </c>
      <c r="N197" t="s">
        <v>1739</v>
      </c>
      <c r="O197" t="s">
        <v>755</v>
      </c>
      <c r="P197" t="s">
        <v>801</v>
      </c>
    </row>
    <row r="198" spans="1:16">
      <c r="A198">
        <v>197</v>
      </c>
      <c r="B198" t="s">
        <v>1165</v>
      </c>
      <c r="C198">
        <v>107.2</v>
      </c>
      <c r="D198">
        <v>75.2</v>
      </c>
      <c r="E198">
        <v>102.4</v>
      </c>
      <c r="F198">
        <v>93.1</v>
      </c>
      <c r="G198">
        <v>99.1</v>
      </c>
      <c r="H198">
        <v>102.4</v>
      </c>
      <c r="I198">
        <v>98</v>
      </c>
      <c r="J198">
        <v>107.7</v>
      </c>
      <c r="K198">
        <v>100.6</v>
      </c>
      <c r="L198">
        <v>99.6</v>
      </c>
      <c r="M198" t="s">
        <v>1687</v>
      </c>
      <c r="N198" t="s">
        <v>1740</v>
      </c>
      <c r="O198" t="s">
        <v>755</v>
      </c>
      <c r="P198" t="s">
        <v>801</v>
      </c>
    </row>
    <row r="199" spans="1:16">
      <c r="A199">
        <v>198</v>
      </c>
      <c r="B199" t="s">
        <v>1166</v>
      </c>
      <c r="C199">
        <v>114.2</v>
      </c>
      <c r="D199">
        <v>51.8</v>
      </c>
      <c r="E199">
        <v>104.8</v>
      </c>
      <c r="F199">
        <v>85</v>
      </c>
      <c r="G199">
        <v>101.7</v>
      </c>
      <c r="H199">
        <v>94.2</v>
      </c>
      <c r="I199">
        <v>91.6</v>
      </c>
      <c r="J199">
        <v>128.30000000000001</v>
      </c>
      <c r="K199">
        <v>86.1</v>
      </c>
      <c r="L199">
        <v>147.69999999999999</v>
      </c>
      <c r="M199" t="s">
        <v>1741</v>
      </c>
      <c r="N199" t="s">
        <v>1742</v>
      </c>
      <c r="O199" t="s">
        <v>801</v>
      </c>
      <c r="P199" t="s">
        <v>801</v>
      </c>
    </row>
    <row r="200" spans="1:16">
      <c r="A200">
        <v>199</v>
      </c>
      <c r="B200" t="s">
        <v>1167</v>
      </c>
      <c r="C200">
        <v>99.8</v>
      </c>
      <c r="D200">
        <v>104.5</v>
      </c>
      <c r="E200">
        <v>105.2</v>
      </c>
      <c r="F200">
        <v>68.2</v>
      </c>
      <c r="G200">
        <v>99.6</v>
      </c>
      <c r="H200">
        <v>100.5</v>
      </c>
      <c r="I200">
        <v>100.1</v>
      </c>
      <c r="J200">
        <v>100.8</v>
      </c>
      <c r="K200">
        <v>112.2</v>
      </c>
      <c r="L200">
        <v>21.2</v>
      </c>
      <c r="M200" t="s">
        <v>1743</v>
      </c>
      <c r="N200" t="s">
        <v>1744</v>
      </c>
      <c r="O200" t="s">
        <v>755</v>
      </c>
      <c r="P200" t="s">
        <v>801</v>
      </c>
    </row>
    <row r="201" spans="1:16">
      <c r="A201">
        <v>200</v>
      </c>
      <c r="B201" t="s">
        <v>1168</v>
      </c>
      <c r="C201">
        <v>105.9</v>
      </c>
      <c r="D201">
        <v>86.6</v>
      </c>
      <c r="E201">
        <v>112.3</v>
      </c>
      <c r="F201">
        <v>75</v>
      </c>
      <c r="G201">
        <v>100</v>
      </c>
      <c r="H201">
        <v>100.1</v>
      </c>
      <c r="I201">
        <v>96.9</v>
      </c>
      <c r="J201">
        <v>106.6</v>
      </c>
      <c r="K201">
        <v>119.7</v>
      </c>
      <c r="L201">
        <v>60</v>
      </c>
      <c r="M201" t="s">
        <v>1549</v>
      </c>
      <c r="N201" t="s">
        <v>1745</v>
      </c>
      <c r="O201" t="s">
        <v>755</v>
      </c>
      <c r="P201" t="s">
        <v>801</v>
      </c>
    </row>
    <row r="202" spans="1:16">
      <c r="A202">
        <v>201</v>
      </c>
      <c r="B202" t="s">
        <v>1169</v>
      </c>
      <c r="C202">
        <v>106.7</v>
      </c>
      <c r="D202">
        <v>79.3</v>
      </c>
      <c r="E202">
        <v>124</v>
      </c>
      <c r="F202">
        <v>32</v>
      </c>
      <c r="G202">
        <v>99.4</v>
      </c>
      <c r="H202">
        <v>102</v>
      </c>
      <c r="I202">
        <v>97</v>
      </c>
      <c r="J202">
        <v>108.7</v>
      </c>
      <c r="K202">
        <v>112.8</v>
      </c>
      <c r="L202">
        <v>66.2</v>
      </c>
      <c r="M202" t="s">
        <v>1746</v>
      </c>
      <c r="N202" t="s">
        <v>1747</v>
      </c>
      <c r="O202" t="s">
        <v>755</v>
      </c>
      <c r="P202" t="s">
        <v>801</v>
      </c>
    </row>
    <row r="203" spans="1:16">
      <c r="A203">
        <v>202</v>
      </c>
      <c r="B203" t="s">
        <v>1170</v>
      </c>
      <c r="C203">
        <v>106.5</v>
      </c>
      <c r="D203">
        <v>84.2</v>
      </c>
      <c r="E203">
        <v>108.3</v>
      </c>
      <c r="F203">
        <v>83.5</v>
      </c>
      <c r="G203">
        <v>99.7</v>
      </c>
      <c r="H203">
        <v>100.9</v>
      </c>
      <c r="I203">
        <v>97.3</v>
      </c>
      <c r="J203">
        <v>106</v>
      </c>
      <c r="K203">
        <v>118.8</v>
      </c>
      <c r="L203">
        <v>61.7</v>
      </c>
      <c r="M203" t="s">
        <v>1748</v>
      </c>
      <c r="N203" t="s">
        <v>1546</v>
      </c>
      <c r="O203" t="s">
        <v>755</v>
      </c>
      <c r="P203" t="s">
        <v>801</v>
      </c>
    </row>
    <row r="204" spans="1:16">
      <c r="A204">
        <v>203</v>
      </c>
      <c r="B204" t="s">
        <v>1171</v>
      </c>
      <c r="C204">
        <v>106.1</v>
      </c>
      <c r="D204">
        <v>82.1</v>
      </c>
      <c r="E204">
        <v>125.3</v>
      </c>
      <c r="F204">
        <v>34.299999999999997</v>
      </c>
      <c r="G204">
        <v>99.7</v>
      </c>
      <c r="H204">
        <v>101.2</v>
      </c>
      <c r="I204">
        <v>96.8</v>
      </c>
      <c r="J204">
        <v>108.6</v>
      </c>
      <c r="K204">
        <v>114.9</v>
      </c>
      <c r="L204">
        <v>64</v>
      </c>
      <c r="M204" t="s">
        <v>1749</v>
      </c>
      <c r="N204" t="s">
        <v>1491</v>
      </c>
      <c r="O204" t="s">
        <v>755</v>
      </c>
      <c r="P204" t="s">
        <v>801</v>
      </c>
    </row>
    <row r="205" spans="1:16">
      <c r="A205">
        <v>204</v>
      </c>
      <c r="B205" t="s">
        <v>1172</v>
      </c>
      <c r="C205">
        <v>104.1</v>
      </c>
      <c r="D205">
        <v>93.6</v>
      </c>
      <c r="E205">
        <v>105.8</v>
      </c>
      <c r="F205">
        <v>90</v>
      </c>
      <c r="G205">
        <v>96.4</v>
      </c>
      <c r="H205">
        <v>106</v>
      </c>
      <c r="I205">
        <v>95.2</v>
      </c>
      <c r="J205">
        <v>107.1</v>
      </c>
      <c r="K205">
        <v>109.9</v>
      </c>
      <c r="L205">
        <v>84.7</v>
      </c>
      <c r="M205" t="s">
        <v>1507</v>
      </c>
      <c r="N205" t="s">
        <v>1709</v>
      </c>
      <c r="O205" t="s">
        <v>801</v>
      </c>
      <c r="P205" t="s">
        <v>801</v>
      </c>
    </row>
    <row r="206" spans="1:16">
      <c r="A206">
        <v>205</v>
      </c>
      <c r="B206" t="s">
        <v>1173</v>
      </c>
      <c r="C206">
        <v>104</v>
      </c>
      <c r="D206">
        <v>94.3</v>
      </c>
      <c r="E206">
        <v>107.1</v>
      </c>
      <c r="F206">
        <v>89</v>
      </c>
      <c r="G206">
        <v>95.9</v>
      </c>
      <c r="H206">
        <v>106.2</v>
      </c>
      <c r="I206">
        <v>92.6</v>
      </c>
      <c r="J206">
        <v>110.3</v>
      </c>
      <c r="K206">
        <v>113.9</v>
      </c>
      <c r="L206">
        <v>80.2</v>
      </c>
      <c r="M206" t="s">
        <v>1558</v>
      </c>
      <c r="N206" t="s">
        <v>1750</v>
      </c>
      <c r="O206" t="s">
        <v>801</v>
      </c>
      <c r="P206" t="s">
        <v>801</v>
      </c>
    </row>
    <row r="207" spans="1:16">
      <c r="A207">
        <v>206</v>
      </c>
      <c r="B207" t="s">
        <v>1174</v>
      </c>
      <c r="C207">
        <v>109.4</v>
      </c>
      <c r="D207">
        <v>90</v>
      </c>
      <c r="E207">
        <v>73.099999999999994</v>
      </c>
      <c r="F207">
        <v>132.19999999999999</v>
      </c>
      <c r="G207">
        <v>102.5</v>
      </c>
      <c r="H207">
        <v>96.3</v>
      </c>
      <c r="I207">
        <v>99.1</v>
      </c>
      <c r="J207">
        <v>101.2</v>
      </c>
      <c r="K207">
        <v>89.1</v>
      </c>
      <c r="L207">
        <v>114</v>
      </c>
      <c r="M207" t="s">
        <v>1751</v>
      </c>
      <c r="N207" t="s">
        <v>1534</v>
      </c>
      <c r="O207" t="s">
        <v>801</v>
      </c>
      <c r="P207" t="s">
        <v>801</v>
      </c>
    </row>
    <row r="208" spans="1:16">
      <c r="A208">
        <v>207</v>
      </c>
      <c r="B208" t="s">
        <v>1175</v>
      </c>
      <c r="C208">
        <v>103.3</v>
      </c>
      <c r="D208">
        <v>94.1</v>
      </c>
      <c r="E208">
        <v>105.1</v>
      </c>
      <c r="F208">
        <v>89.3</v>
      </c>
      <c r="G208">
        <v>96.3</v>
      </c>
      <c r="H208">
        <v>106.7</v>
      </c>
      <c r="I208">
        <v>93.5</v>
      </c>
      <c r="J208">
        <v>110.9</v>
      </c>
      <c r="K208">
        <v>113</v>
      </c>
      <c r="L208">
        <v>78.099999999999994</v>
      </c>
      <c r="M208" t="s">
        <v>1752</v>
      </c>
      <c r="N208" t="s">
        <v>1753</v>
      </c>
      <c r="O208" t="s">
        <v>801</v>
      </c>
      <c r="P208" t="s">
        <v>801</v>
      </c>
    </row>
    <row r="209" spans="1:16">
      <c r="A209">
        <v>208</v>
      </c>
      <c r="B209" t="s">
        <v>1176</v>
      </c>
      <c r="C209">
        <v>103.3</v>
      </c>
      <c r="D209">
        <v>94.5</v>
      </c>
      <c r="E209">
        <v>106.7</v>
      </c>
      <c r="F209">
        <v>87.4</v>
      </c>
      <c r="G209">
        <v>95.9</v>
      </c>
      <c r="H209">
        <v>107</v>
      </c>
      <c r="I209">
        <v>91</v>
      </c>
      <c r="J209">
        <v>114.2</v>
      </c>
      <c r="K209">
        <v>116.4</v>
      </c>
      <c r="L209">
        <v>74.099999999999994</v>
      </c>
      <c r="M209" t="s">
        <v>1506</v>
      </c>
      <c r="N209" t="s">
        <v>1477</v>
      </c>
      <c r="O209" t="s">
        <v>801</v>
      </c>
      <c r="P209" t="s">
        <v>801</v>
      </c>
    </row>
    <row r="210" spans="1:16">
      <c r="A210">
        <v>209</v>
      </c>
      <c r="B210" t="s">
        <v>1177</v>
      </c>
      <c r="C210">
        <v>100.2</v>
      </c>
      <c r="D210">
        <v>99.9</v>
      </c>
      <c r="E210">
        <v>107.5</v>
      </c>
      <c r="F210">
        <v>90.6</v>
      </c>
      <c r="G210">
        <v>98.2</v>
      </c>
      <c r="H210">
        <v>102.2</v>
      </c>
      <c r="I210">
        <v>98.2</v>
      </c>
      <c r="J210">
        <v>101.6</v>
      </c>
      <c r="K210">
        <v>91</v>
      </c>
      <c r="L210">
        <v>115</v>
      </c>
      <c r="M210" t="s">
        <v>1754</v>
      </c>
      <c r="N210" t="s">
        <v>1755</v>
      </c>
      <c r="O210" t="s">
        <v>755</v>
      </c>
      <c r="P210" t="s">
        <v>755</v>
      </c>
    </row>
    <row r="211" spans="1:16">
      <c r="A211">
        <v>210</v>
      </c>
      <c r="B211" t="s">
        <v>1178</v>
      </c>
      <c r="C211">
        <v>99.3</v>
      </c>
      <c r="D211">
        <v>100.7</v>
      </c>
      <c r="E211">
        <v>104.3</v>
      </c>
      <c r="F211">
        <v>92.6</v>
      </c>
      <c r="G211">
        <v>99.7</v>
      </c>
      <c r="H211">
        <v>100.7</v>
      </c>
      <c r="I211">
        <v>99.3</v>
      </c>
      <c r="J211">
        <v>101.1</v>
      </c>
      <c r="K211">
        <v>90.6</v>
      </c>
      <c r="L211">
        <v>118.4</v>
      </c>
      <c r="M211" t="s">
        <v>1756</v>
      </c>
      <c r="N211" t="s">
        <v>1757</v>
      </c>
      <c r="O211" t="s">
        <v>755</v>
      </c>
      <c r="P211" t="s">
        <v>755</v>
      </c>
    </row>
    <row r="212" spans="1:16">
      <c r="A212">
        <v>211</v>
      </c>
      <c r="B212" t="s">
        <v>1179</v>
      </c>
      <c r="C212">
        <v>99.8</v>
      </c>
      <c r="D212">
        <v>101.8</v>
      </c>
      <c r="E212">
        <v>101.2</v>
      </c>
      <c r="F212">
        <v>95.6</v>
      </c>
      <c r="G212">
        <v>99.4</v>
      </c>
      <c r="H212">
        <v>101.4</v>
      </c>
      <c r="I212">
        <v>100.3</v>
      </c>
      <c r="J212">
        <v>99.1</v>
      </c>
      <c r="K212">
        <v>105.1</v>
      </c>
      <c r="L212">
        <v>83</v>
      </c>
      <c r="M212" t="s">
        <v>1758</v>
      </c>
      <c r="N212" t="s">
        <v>1759</v>
      </c>
      <c r="O212" t="s">
        <v>755</v>
      </c>
      <c r="P212" t="s">
        <v>755</v>
      </c>
    </row>
    <row r="213" spans="1:16">
      <c r="A213">
        <v>212</v>
      </c>
      <c r="B213" t="s">
        <v>1180</v>
      </c>
      <c r="C213">
        <v>101</v>
      </c>
      <c r="D213">
        <v>94.5</v>
      </c>
      <c r="E213">
        <v>108.7</v>
      </c>
      <c r="F213">
        <v>62.2</v>
      </c>
      <c r="G213">
        <v>99.1</v>
      </c>
      <c r="H213">
        <v>104.2</v>
      </c>
      <c r="I213">
        <v>100.1</v>
      </c>
      <c r="J213">
        <v>99.3</v>
      </c>
      <c r="K213">
        <v>87.8</v>
      </c>
      <c r="L213">
        <v>158.69999999999999</v>
      </c>
      <c r="M213" t="s">
        <v>1760</v>
      </c>
      <c r="N213" t="s">
        <v>1516</v>
      </c>
      <c r="O213" t="s">
        <v>755</v>
      </c>
      <c r="P213" t="s">
        <v>801</v>
      </c>
    </row>
    <row r="214" spans="1:16">
      <c r="A214">
        <v>213</v>
      </c>
      <c r="B214" t="s">
        <v>1181</v>
      </c>
      <c r="C214">
        <v>102.5</v>
      </c>
      <c r="D214">
        <v>89.4</v>
      </c>
      <c r="E214">
        <v>106.9</v>
      </c>
      <c r="F214">
        <v>82.6</v>
      </c>
      <c r="G214">
        <v>99</v>
      </c>
      <c r="H214">
        <v>103.8</v>
      </c>
      <c r="I214">
        <v>101.1</v>
      </c>
      <c r="J214">
        <v>96.8</v>
      </c>
      <c r="K214">
        <v>80.599999999999994</v>
      </c>
      <c r="L214">
        <v>161.69999999999999</v>
      </c>
      <c r="M214" t="s">
        <v>1761</v>
      </c>
      <c r="N214" t="s">
        <v>1762</v>
      </c>
      <c r="O214" t="s">
        <v>755</v>
      </c>
      <c r="P214" t="s">
        <v>755</v>
      </c>
    </row>
    <row r="215" spans="1:16">
      <c r="A215">
        <v>214</v>
      </c>
      <c r="B215" t="s">
        <v>1182</v>
      </c>
      <c r="C215">
        <v>103.9</v>
      </c>
      <c r="D215">
        <v>92.6</v>
      </c>
      <c r="E215">
        <v>82</v>
      </c>
      <c r="F215">
        <v>121.1</v>
      </c>
      <c r="G215">
        <v>97</v>
      </c>
      <c r="H215">
        <v>103.2</v>
      </c>
      <c r="I215">
        <v>102</v>
      </c>
      <c r="J215">
        <v>99.1</v>
      </c>
      <c r="K215">
        <v>111.4</v>
      </c>
      <c r="L215">
        <v>92</v>
      </c>
      <c r="M215" t="s">
        <v>1675</v>
      </c>
      <c r="N215" t="s">
        <v>1749</v>
      </c>
      <c r="O215" t="s">
        <v>755</v>
      </c>
      <c r="P215" t="s">
        <v>755</v>
      </c>
    </row>
    <row r="216" spans="1:16">
      <c r="A216">
        <v>215</v>
      </c>
      <c r="B216" t="s">
        <v>1183</v>
      </c>
      <c r="C216">
        <v>100.5</v>
      </c>
      <c r="D216">
        <v>96.1</v>
      </c>
      <c r="E216">
        <v>100.9</v>
      </c>
      <c r="F216">
        <v>100.6</v>
      </c>
      <c r="G216">
        <v>100.2</v>
      </c>
      <c r="H216">
        <v>100.6</v>
      </c>
      <c r="I216">
        <v>101.6</v>
      </c>
      <c r="J216">
        <v>90.1</v>
      </c>
      <c r="K216">
        <v>71.900000000000006</v>
      </c>
      <c r="L216">
        <v>230.5</v>
      </c>
      <c r="M216" t="s">
        <v>1763</v>
      </c>
      <c r="N216" t="s">
        <v>1764</v>
      </c>
      <c r="O216" t="s">
        <v>755</v>
      </c>
      <c r="P216" t="s">
        <v>801</v>
      </c>
    </row>
    <row r="217" spans="1:16">
      <c r="A217">
        <v>216</v>
      </c>
      <c r="B217" t="s">
        <v>1184</v>
      </c>
      <c r="C217">
        <v>99.6</v>
      </c>
      <c r="D217">
        <v>100.7</v>
      </c>
      <c r="E217">
        <v>104.4</v>
      </c>
      <c r="F217">
        <v>73</v>
      </c>
      <c r="G217">
        <v>99.9</v>
      </c>
      <c r="H217">
        <v>101</v>
      </c>
      <c r="I217">
        <v>100.5</v>
      </c>
      <c r="J217">
        <v>96.1</v>
      </c>
      <c r="K217">
        <v>90.1</v>
      </c>
      <c r="L217">
        <v>191.8</v>
      </c>
      <c r="M217" t="s">
        <v>1765</v>
      </c>
      <c r="N217" t="s">
        <v>1766</v>
      </c>
      <c r="O217" t="s">
        <v>755</v>
      </c>
      <c r="P217" t="s">
        <v>801</v>
      </c>
    </row>
    <row r="218" spans="1:16">
      <c r="A218">
        <v>217</v>
      </c>
      <c r="B218" t="s">
        <v>1185</v>
      </c>
      <c r="C218">
        <v>104.6</v>
      </c>
      <c r="D218">
        <v>87.8</v>
      </c>
      <c r="E218">
        <v>101.4</v>
      </c>
      <c r="F218">
        <v>88.4</v>
      </c>
      <c r="G218">
        <v>98.3</v>
      </c>
      <c r="H218">
        <v>104.7</v>
      </c>
      <c r="I218">
        <v>101.7</v>
      </c>
      <c r="J218">
        <v>96.1</v>
      </c>
      <c r="K218">
        <v>81.2</v>
      </c>
      <c r="L218">
        <v>151.1</v>
      </c>
      <c r="M218" t="s">
        <v>1508</v>
      </c>
      <c r="N218" t="s">
        <v>1767</v>
      </c>
      <c r="O218" t="s">
        <v>755</v>
      </c>
      <c r="P218" t="s">
        <v>755</v>
      </c>
    </row>
    <row r="219" spans="1:16">
      <c r="A219">
        <v>218</v>
      </c>
      <c r="B219" t="s">
        <v>1186</v>
      </c>
      <c r="C219">
        <v>107.3</v>
      </c>
      <c r="D219">
        <v>92.8</v>
      </c>
      <c r="E219">
        <v>103.5</v>
      </c>
      <c r="F219">
        <v>86.1</v>
      </c>
      <c r="G219">
        <v>95.8</v>
      </c>
      <c r="H219">
        <v>104.1</v>
      </c>
      <c r="I219">
        <v>99.5</v>
      </c>
      <c r="J219">
        <v>101.1</v>
      </c>
      <c r="K219">
        <v>118.4</v>
      </c>
      <c r="L219">
        <v>88.1</v>
      </c>
      <c r="M219" t="s">
        <v>1768</v>
      </c>
      <c r="N219" t="s">
        <v>1769</v>
      </c>
      <c r="O219" t="s">
        <v>801</v>
      </c>
      <c r="P219" t="s">
        <v>755</v>
      </c>
    </row>
    <row r="220" spans="1:16">
      <c r="A220">
        <v>219</v>
      </c>
      <c r="B220" t="s">
        <v>1187</v>
      </c>
      <c r="C220">
        <v>101</v>
      </c>
      <c r="D220">
        <v>96.2</v>
      </c>
      <c r="E220">
        <v>105.8</v>
      </c>
      <c r="F220">
        <v>74.599999999999994</v>
      </c>
      <c r="G220">
        <v>100.3</v>
      </c>
      <c r="H220">
        <v>98.7</v>
      </c>
      <c r="I220">
        <v>100.7</v>
      </c>
      <c r="J220">
        <v>94.8</v>
      </c>
      <c r="K220">
        <v>69.2</v>
      </c>
      <c r="L220">
        <v>252.5</v>
      </c>
      <c r="M220" t="s">
        <v>1522</v>
      </c>
      <c r="N220" t="s">
        <v>1511</v>
      </c>
      <c r="O220" t="s">
        <v>755</v>
      </c>
      <c r="P220" t="s">
        <v>801</v>
      </c>
    </row>
    <row r="221" spans="1:16">
      <c r="A221">
        <v>220</v>
      </c>
      <c r="B221" t="s">
        <v>1188</v>
      </c>
      <c r="C221">
        <v>99.8</v>
      </c>
      <c r="D221">
        <v>99.4</v>
      </c>
      <c r="E221">
        <v>106</v>
      </c>
      <c r="F221">
        <v>53.4</v>
      </c>
      <c r="G221">
        <v>99.8</v>
      </c>
      <c r="H221">
        <v>101.8</v>
      </c>
      <c r="I221">
        <v>100.5</v>
      </c>
      <c r="J221">
        <v>95.4</v>
      </c>
      <c r="K221">
        <v>86.1</v>
      </c>
      <c r="L221">
        <v>239</v>
      </c>
      <c r="M221" t="s">
        <v>1723</v>
      </c>
      <c r="N221" t="s">
        <v>1575</v>
      </c>
      <c r="O221" t="s">
        <v>755</v>
      </c>
      <c r="P221" t="s">
        <v>801</v>
      </c>
    </row>
    <row r="222" spans="1:16">
      <c r="A222">
        <v>221</v>
      </c>
      <c r="B222" t="s">
        <v>1189</v>
      </c>
      <c r="C222">
        <v>99.9</v>
      </c>
      <c r="D222">
        <v>100.3</v>
      </c>
      <c r="E222">
        <v>106.8</v>
      </c>
      <c r="F222">
        <v>91</v>
      </c>
      <c r="G222">
        <v>98.1</v>
      </c>
      <c r="H222">
        <v>102.5</v>
      </c>
      <c r="I222">
        <v>98.8</v>
      </c>
      <c r="J222">
        <v>101</v>
      </c>
      <c r="K222">
        <v>94.9</v>
      </c>
      <c r="L222">
        <v>110.4</v>
      </c>
      <c r="M222" t="s">
        <v>1770</v>
      </c>
      <c r="N222" t="s">
        <v>1771</v>
      </c>
      <c r="O222" t="s">
        <v>755</v>
      </c>
      <c r="P222" t="s">
        <v>755</v>
      </c>
    </row>
    <row r="223" spans="1:16">
      <c r="A223">
        <v>222</v>
      </c>
      <c r="B223" t="s">
        <v>1190</v>
      </c>
      <c r="C223">
        <v>98.8</v>
      </c>
      <c r="D223">
        <v>101.6</v>
      </c>
      <c r="E223">
        <v>103.9</v>
      </c>
      <c r="F223">
        <v>92.4</v>
      </c>
      <c r="G223">
        <v>99.6</v>
      </c>
      <c r="H223">
        <v>100.9</v>
      </c>
      <c r="I223">
        <v>99.3</v>
      </c>
      <c r="J223">
        <v>101.3</v>
      </c>
      <c r="K223">
        <v>99.2</v>
      </c>
      <c r="L223">
        <v>104.9</v>
      </c>
      <c r="M223" t="s">
        <v>1772</v>
      </c>
      <c r="N223" t="s">
        <v>1773</v>
      </c>
      <c r="O223" t="s">
        <v>755</v>
      </c>
      <c r="P223" t="s">
        <v>755</v>
      </c>
    </row>
    <row r="224" spans="1:16">
      <c r="A224">
        <v>223</v>
      </c>
      <c r="B224" t="s">
        <v>1191</v>
      </c>
      <c r="C224">
        <v>99.6</v>
      </c>
      <c r="D224">
        <v>102.4</v>
      </c>
      <c r="E224">
        <v>101</v>
      </c>
      <c r="F224">
        <v>95.6</v>
      </c>
      <c r="G224">
        <v>99.4</v>
      </c>
      <c r="H224">
        <v>101.5</v>
      </c>
      <c r="I224">
        <v>100.5</v>
      </c>
      <c r="J224">
        <v>98.5</v>
      </c>
      <c r="K224">
        <v>105.4</v>
      </c>
      <c r="L224">
        <v>81.3</v>
      </c>
      <c r="M224" t="s">
        <v>1774</v>
      </c>
      <c r="N224" t="s">
        <v>1479</v>
      </c>
      <c r="O224" t="s">
        <v>755</v>
      </c>
      <c r="P224" t="s">
        <v>755</v>
      </c>
    </row>
    <row r="225" spans="1:16">
      <c r="A225">
        <v>224</v>
      </c>
      <c r="B225" t="s">
        <v>1192</v>
      </c>
      <c r="C225">
        <v>100.9</v>
      </c>
      <c r="D225">
        <v>94.5</v>
      </c>
      <c r="E225">
        <v>108.8</v>
      </c>
      <c r="F225">
        <v>57.5</v>
      </c>
      <c r="G225">
        <v>99.1</v>
      </c>
      <c r="H225">
        <v>104.5</v>
      </c>
      <c r="I225">
        <v>100.5</v>
      </c>
      <c r="J225">
        <v>97.4</v>
      </c>
      <c r="K225">
        <v>84.5</v>
      </c>
      <c r="L225">
        <v>182.7</v>
      </c>
      <c r="M225" t="s">
        <v>1775</v>
      </c>
      <c r="N225" t="s">
        <v>1776</v>
      </c>
      <c r="O225" t="s">
        <v>755</v>
      </c>
      <c r="P225" t="s">
        <v>801</v>
      </c>
    </row>
    <row r="226" spans="1:16">
      <c r="A226">
        <v>225</v>
      </c>
      <c r="B226" t="s">
        <v>1193</v>
      </c>
      <c r="C226">
        <v>102</v>
      </c>
      <c r="D226">
        <v>91.5</v>
      </c>
      <c r="E226">
        <v>105.9</v>
      </c>
      <c r="F226">
        <v>87</v>
      </c>
      <c r="G226">
        <v>99.2</v>
      </c>
      <c r="H226">
        <v>103</v>
      </c>
      <c r="I226">
        <v>101</v>
      </c>
      <c r="J226">
        <v>97.2</v>
      </c>
      <c r="K226">
        <v>84.6</v>
      </c>
      <c r="L226">
        <v>146.69999999999999</v>
      </c>
      <c r="M226" t="s">
        <v>1777</v>
      </c>
      <c r="N226" t="s">
        <v>1778</v>
      </c>
      <c r="O226" t="s">
        <v>755</v>
      </c>
      <c r="P226" t="s">
        <v>755</v>
      </c>
    </row>
    <row r="227" spans="1:16">
      <c r="A227">
        <v>226</v>
      </c>
      <c r="B227" t="s">
        <v>1194</v>
      </c>
      <c r="C227">
        <v>101.9</v>
      </c>
      <c r="D227">
        <v>94.4</v>
      </c>
      <c r="E227">
        <v>78.900000000000006</v>
      </c>
      <c r="F227">
        <v>124.5</v>
      </c>
      <c r="G227">
        <v>97.4</v>
      </c>
      <c r="H227">
        <v>102.8</v>
      </c>
      <c r="I227">
        <v>101.6</v>
      </c>
      <c r="J227">
        <v>99.5</v>
      </c>
      <c r="K227">
        <v>117.6</v>
      </c>
      <c r="L227">
        <v>86.3</v>
      </c>
      <c r="M227" t="s">
        <v>1653</v>
      </c>
      <c r="N227" t="s">
        <v>1779</v>
      </c>
      <c r="O227" t="s">
        <v>801</v>
      </c>
      <c r="P227" t="s">
        <v>801</v>
      </c>
    </row>
    <row r="228" spans="1:16">
      <c r="A228">
        <v>227</v>
      </c>
      <c r="B228" t="s">
        <v>1195</v>
      </c>
      <c r="C228">
        <v>99.7</v>
      </c>
      <c r="D228">
        <v>102.3</v>
      </c>
      <c r="E228">
        <v>99.4</v>
      </c>
      <c r="F228">
        <v>108.9</v>
      </c>
      <c r="G228">
        <v>100.7</v>
      </c>
      <c r="H228">
        <v>98.5</v>
      </c>
      <c r="I228">
        <v>101.9</v>
      </c>
      <c r="J228">
        <v>87.2</v>
      </c>
      <c r="K228">
        <v>71.3</v>
      </c>
      <c r="L228">
        <v>232</v>
      </c>
      <c r="M228" t="s">
        <v>1780</v>
      </c>
      <c r="N228" t="s">
        <v>1781</v>
      </c>
      <c r="O228" t="s">
        <v>755</v>
      </c>
      <c r="P228" t="s">
        <v>801</v>
      </c>
    </row>
    <row r="229" spans="1:16">
      <c r="A229">
        <v>228</v>
      </c>
      <c r="B229" t="s">
        <v>1196</v>
      </c>
      <c r="C229">
        <v>98.8</v>
      </c>
      <c r="D229">
        <v>105.7</v>
      </c>
      <c r="E229">
        <v>105.4</v>
      </c>
      <c r="F229">
        <v>64.3</v>
      </c>
      <c r="G229">
        <v>100</v>
      </c>
      <c r="H229">
        <v>100.3</v>
      </c>
      <c r="I229">
        <v>100.5</v>
      </c>
      <c r="J229">
        <v>97.2</v>
      </c>
      <c r="K229">
        <v>98.7</v>
      </c>
      <c r="L229">
        <v>124.9</v>
      </c>
      <c r="M229" t="s">
        <v>1782</v>
      </c>
      <c r="N229" t="s">
        <v>1783</v>
      </c>
      <c r="O229" t="s">
        <v>755</v>
      </c>
      <c r="P229" t="s">
        <v>801</v>
      </c>
    </row>
    <row r="230" spans="1:16">
      <c r="A230">
        <v>229</v>
      </c>
      <c r="B230" t="s">
        <v>1197</v>
      </c>
      <c r="C230">
        <v>104.4</v>
      </c>
      <c r="D230">
        <v>89.2</v>
      </c>
      <c r="E230">
        <v>99.8</v>
      </c>
      <c r="F230">
        <v>91.3</v>
      </c>
      <c r="G230">
        <v>98.4</v>
      </c>
      <c r="H230">
        <v>104.4</v>
      </c>
      <c r="I230">
        <v>101.3</v>
      </c>
      <c r="J230">
        <v>96.9</v>
      </c>
      <c r="K230">
        <v>87.6</v>
      </c>
      <c r="L230">
        <v>133.19999999999999</v>
      </c>
      <c r="M230" t="s">
        <v>1784</v>
      </c>
      <c r="N230" t="s">
        <v>1785</v>
      </c>
      <c r="O230" t="s">
        <v>755</v>
      </c>
      <c r="P230" t="s">
        <v>755</v>
      </c>
    </row>
    <row r="231" spans="1:16">
      <c r="A231">
        <v>230</v>
      </c>
      <c r="B231" t="s">
        <v>1198</v>
      </c>
      <c r="C231">
        <v>105.5</v>
      </c>
      <c r="D231">
        <v>94.1</v>
      </c>
      <c r="E231">
        <v>102.1</v>
      </c>
      <c r="F231">
        <v>87.1</v>
      </c>
      <c r="G231">
        <v>96</v>
      </c>
      <c r="H231">
        <v>104</v>
      </c>
      <c r="I231">
        <v>98.5</v>
      </c>
      <c r="J231">
        <v>102</v>
      </c>
      <c r="K231">
        <v>128.69999999999999</v>
      </c>
      <c r="L231">
        <v>80</v>
      </c>
      <c r="M231" t="s">
        <v>1786</v>
      </c>
      <c r="N231" t="s">
        <v>1787</v>
      </c>
      <c r="O231" t="s">
        <v>801</v>
      </c>
      <c r="P231" t="s">
        <v>755</v>
      </c>
    </row>
    <row r="232" spans="1:16">
      <c r="A232">
        <v>231</v>
      </c>
      <c r="B232" t="s">
        <v>1199</v>
      </c>
      <c r="C232">
        <v>100.7</v>
      </c>
      <c r="D232">
        <v>99.2</v>
      </c>
      <c r="E232">
        <v>104.5</v>
      </c>
      <c r="F232">
        <v>77.7</v>
      </c>
      <c r="G232">
        <v>101.1</v>
      </c>
      <c r="H232">
        <v>95.8</v>
      </c>
      <c r="I232">
        <v>100.7</v>
      </c>
      <c r="J232">
        <v>93.4</v>
      </c>
      <c r="K232">
        <v>63.6</v>
      </c>
      <c r="L232">
        <v>273.3</v>
      </c>
      <c r="M232" t="s">
        <v>1787</v>
      </c>
      <c r="N232" t="s">
        <v>1742</v>
      </c>
      <c r="O232" t="s">
        <v>755</v>
      </c>
      <c r="P232" t="s">
        <v>801</v>
      </c>
    </row>
    <row r="233" spans="1:16">
      <c r="A233">
        <v>232</v>
      </c>
      <c r="B233" t="s">
        <v>1200</v>
      </c>
      <c r="C233">
        <v>98.9</v>
      </c>
      <c r="D233">
        <v>108.5</v>
      </c>
      <c r="E233">
        <v>106.1</v>
      </c>
      <c r="F233">
        <v>47.8</v>
      </c>
      <c r="G233">
        <v>99.8</v>
      </c>
      <c r="H233">
        <v>102.7</v>
      </c>
      <c r="I233">
        <v>100.6</v>
      </c>
      <c r="J233">
        <v>93.2</v>
      </c>
      <c r="K233">
        <v>98.3</v>
      </c>
      <c r="L233">
        <v>132.80000000000001</v>
      </c>
      <c r="M233" t="s">
        <v>1788</v>
      </c>
      <c r="N233" t="s">
        <v>1789</v>
      </c>
      <c r="O233" t="s">
        <v>755</v>
      </c>
      <c r="P233" t="s">
        <v>801</v>
      </c>
    </row>
    <row r="234" spans="1:16">
      <c r="A234">
        <v>233</v>
      </c>
      <c r="B234" t="s">
        <v>1201</v>
      </c>
      <c r="C234">
        <v>105.6</v>
      </c>
      <c r="D234">
        <v>75.2</v>
      </c>
      <c r="E234">
        <v>111.5</v>
      </c>
      <c r="F234">
        <v>55.4</v>
      </c>
      <c r="G234">
        <v>98</v>
      </c>
      <c r="H234">
        <v>108.2</v>
      </c>
      <c r="I234">
        <v>101</v>
      </c>
      <c r="J234">
        <v>96.4</v>
      </c>
      <c r="K234">
        <v>51.6</v>
      </c>
      <c r="L234">
        <v>300.5</v>
      </c>
      <c r="M234" t="s">
        <v>1790</v>
      </c>
      <c r="N234" t="s">
        <v>1791</v>
      </c>
      <c r="O234" t="s">
        <v>755</v>
      </c>
      <c r="P234" t="s">
        <v>801</v>
      </c>
    </row>
    <row r="235" spans="1:16">
      <c r="A235">
        <v>234</v>
      </c>
      <c r="B235" t="s">
        <v>1202</v>
      </c>
      <c r="C235">
        <v>101.7</v>
      </c>
      <c r="D235">
        <v>83</v>
      </c>
      <c r="E235">
        <v>92</v>
      </c>
      <c r="F235">
        <v>181.3</v>
      </c>
      <c r="G235">
        <v>100.2</v>
      </c>
      <c r="H235">
        <v>97.7</v>
      </c>
      <c r="I235">
        <v>100.3</v>
      </c>
      <c r="J235">
        <v>96.9</v>
      </c>
      <c r="K235">
        <v>96.6</v>
      </c>
      <c r="L235">
        <v>138.1</v>
      </c>
      <c r="M235" t="s">
        <v>1792</v>
      </c>
      <c r="N235" t="s">
        <v>1583</v>
      </c>
      <c r="O235" t="s">
        <v>755</v>
      </c>
      <c r="P235" t="s">
        <v>801</v>
      </c>
    </row>
    <row r="236" spans="1:16">
      <c r="A236">
        <v>235</v>
      </c>
      <c r="B236" t="s">
        <v>1203</v>
      </c>
      <c r="C236">
        <v>101.2</v>
      </c>
      <c r="D236">
        <v>80.3</v>
      </c>
      <c r="E236">
        <v>101</v>
      </c>
      <c r="F236">
        <v>88.8</v>
      </c>
      <c r="G236">
        <v>99.8</v>
      </c>
      <c r="H236">
        <v>103</v>
      </c>
      <c r="I236">
        <v>99.6</v>
      </c>
      <c r="J236">
        <v>106.5</v>
      </c>
      <c r="K236">
        <v>97.8</v>
      </c>
      <c r="L236">
        <v>129.30000000000001</v>
      </c>
      <c r="M236" t="s">
        <v>1793</v>
      </c>
      <c r="N236" t="s">
        <v>1794</v>
      </c>
      <c r="O236" t="s">
        <v>755</v>
      </c>
      <c r="P236" t="s">
        <v>755</v>
      </c>
    </row>
    <row r="237" spans="1:16">
      <c r="A237">
        <v>236</v>
      </c>
      <c r="B237" t="s">
        <v>1204</v>
      </c>
      <c r="C237">
        <v>101</v>
      </c>
      <c r="D237">
        <v>85</v>
      </c>
      <c r="E237">
        <v>100.2</v>
      </c>
      <c r="F237">
        <v>90.7</v>
      </c>
      <c r="G237">
        <v>99.9</v>
      </c>
      <c r="H237">
        <v>102.4</v>
      </c>
      <c r="I237">
        <v>99.7</v>
      </c>
      <c r="J237">
        <v>104.4</v>
      </c>
      <c r="K237">
        <v>97.1</v>
      </c>
      <c r="L237">
        <v>163.69999999999999</v>
      </c>
      <c r="M237" t="s">
        <v>1795</v>
      </c>
      <c r="N237" t="s">
        <v>1569</v>
      </c>
      <c r="O237" t="s">
        <v>755</v>
      </c>
      <c r="P237" t="s">
        <v>801</v>
      </c>
    </row>
    <row r="238" spans="1:16">
      <c r="A238">
        <v>237</v>
      </c>
      <c r="B238" t="s">
        <v>1205</v>
      </c>
      <c r="C238">
        <v>100.9</v>
      </c>
      <c r="D238">
        <v>84.4</v>
      </c>
      <c r="E238">
        <v>100.7</v>
      </c>
      <c r="F238">
        <v>95.9</v>
      </c>
      <c r="G238">
        <v>99.9</v>
      </c>
      <c r="H238">
        <v>101.7</v>
      </c>
      <c r="I238">
        <v>99.7</v>
      </c>
      <c r="J238">
        <v>106.1</v>
      </c>
      <c r="K238">
        <v>97.2</v>
      </c>
      <c r="L238">
        <v>117.8</v>
      </c>
      <c r="M238" t="s">
        <v>1796</v>
      </c>
      <c r="N238" t="s">
        <v>1797</v>
      </c>
      <c r="O238" t="s">
        <v>755</v>
      </c>
      <c r="P238" t="s">
        <v>755</v>
      </c>
    </row>
    <row r="239" spans="1:16">
      <c r="A239">
        <v>238</v>
      </c>
      <c r="B239" t="s">
        <v>1206</v>
      </c>
      <c r="C239">
        <v>101.9</v>
      </c>
      <c r="D239">
        <v>72</v>
      </c>
      <c r="E239">
        <v>102.3</v>
      </c>
      <c r="F239">
        <v>76.900000000000006</v>
      </c>
      <c r="G239">
        <v>99.7</v>
      </c>
      <c r="H239">
        <v>104.8</v>
      </c>
      <c r="I239">
        <v>99.4</v>
      </c>
      <c r="J239">
        <v>107.7</v>
      </c>
      <c r="K239">
        <v>101.2</v>
      </c>
      <c r="L239">
        <v>97.6</v>
      </c>
      <c r="M239" t="s">
        <v>1798</v>
      </c>
      <c r="N239" t="s">
        <v>1799</v>
      </c>
      <c r="O239" t="s">
        <v>755</v>
      </c>
      <c r="P239" t="s">
        <v>801</v>
      </c>
    </row>
    <row r="240" spans="1:16">
      <c r="A240">
        <v>239</v>
      </c>
      <c r="B240" t="s">
        <v>1207</v>
      </c>
      <c r="C240">
        <v>101.3</v>
      </c>
      <c r="D240">
        <v>78.7</v>
      </c>
      <c r="E240">
        <v>100.7</v>
      </c>
      <c r="F240">
        <v>95.2</v>
      </c>
      <c r="G240">
        <v>99.8</v>
      </c>
      <c r="H240">
        <v>102.8</v>
      </c>
      <c r="I240">
        <v>99.6</v>
      </c>
      <c r="J240">
        <v>106.7</v>
      </c>
      <c r="K240">
        <v>95.9</v>
      </c>
      <c r="L240">
        <v>158.6</v>
      </c>
      <c r="M240" t="s">
        <v>1800</v>
      </c>
      <c r="N240" t="s">
        <v>1801</v>
      </c>
      <c r="O240" t="s">
        <v>755</v>
      </c>
      <c r="P240" t="s">
        <v>755</v>
      </c>
    </row>
    <row r="241" spans="1:16">
      <c r="A241">
        <v>240</v>
      </c>
      <c r="B241" t="s">
        <v>1208</v>
      </c>
      <c r="C241">
        <v>101.2</v>
      </c>
      <c r="D241">
        <v>83.5</v>
      </c>
      <c r="E241">
        <v>100.1</v>
      </c>
      <c r="F241">
        <v>99.8</v>
      </c>
      <c r="G241">
        <v>99.9</v>
      </c>
      <c r="H241">
        <v>101.6</v>
      </c>
      <c r="I241">
        <v>99.7</v>
      </c>
      <c r="J241">
        <v>104.2</v>
      </c>
      <c r="K241">
        <v>93.2</v>
      </c>
      <c r="L241">
        <v>210.5</v>
      </c>
      <c r="M241" t="s">
        <v>1754</v>
      </c>
      <c r="N241" t="s">
        <v>1540</v>
      </c>
      <c r="O241" t="s">
        <v>755</v>
      </c>
      <c r="P241" t="s">
        <v>801</v>
      </c>
    </row>
    <row r="242" spans="1:16">
      <c r="A242">
        <v>241</v>
      </c>
      <c r="B242" t="s">
        <v>1209</v>
      </c>
      <c r="C242">
        <v>101</v>
      </c>
      <c r="D242">
        <v>83</v>
      </c>
      <c r="E242">
        <v>100.6</v>
      </c>
      <c r="F242">
        <v>96.4</v>
      </c>
      <c r="G242">
        <v>99.9</v>
      </c>
      <c r="H242">
        <v>101.5</v>
      </c>
      <c r="I242">
        <v>99.7</v>
      </c>
      <c r="J242">
        <v>106.8</v>
      </c>
      <c r="K242">
        <v>96.8</v>
      </c>
      <c r="L242">
        <v>126.2</v>
      </c>
      <c r="M242" t="s">
        <v>1802</v>
      </c>
      <c r="N242" t="s">
        <v>1441</v>
      </c>
      <c r="O242" t="s">
        <v>755</v>
      </c>
      <c r="P242" t="s">
        <v>755</v>
      </c>
    </row>
    <row r="243" spans="1:16">
      <c r="A243">
        <v>242</v>
      </c>
      <c r="B243" t="s">
        <v>1210</v>
      </c>
      <c r="C243">
        <v>102</v>
      </c>
      <c r="D243">
        <v>68.5</v>
      </c>
      <c r="E243">
        <v>101.9</v>
      </c>
      <c r="F243">
        <v>82</v>
      </c>
      <c r="G243">
        <v>99.7</v>
      </c>
      <c r="H243">
        <v>105.2</v>
      </c>
      <c r="I243">
        <v>99.5</v>
      </c>
      <c r="J243">
        <v>108.3</v>
      </c>
      <c r="K243">
        <v>99</v>
      </c>
      <c r="L243">
        <v>131.80000000000001</v>
      </c>
      <c r="M243" t="s">
        <v>1803</v>
      </c>
      <c r="N243" t="s">
        <v>1804</v>
      </c>
      <c r="O243" t="s">
        <v>755</v>
      </c>
      <c r="P243" t="s">
        <v>801</v>
      </c>
    </row>
    <row r="244" spans="1:16">
      <c r="A244">
        <v>243</v>
      </c>
      <c r="B244" t="s">
        <v>1211</v>
      </c>
      <c r="C244">
        <v>101</v>
      </c>
      <c r="D244">
        <v>82.9</v>
      </c>
      <c r="E244">
        <v>99.5</v>
      </c>
      <c r="F244">
        <v>108</v>
      </c>
      <c r="G244">
        <v>100</v>
      </c>
      <c r="H244">
        <v>100.1</v>
      </c>
      <c r="I244">
        <v>99.7</v>
      </c>
      <c r="J244">
        <v>106.3</v>
      </c>
      <c r="K244">
        <v>93.4</v>
      </c>
      <c r="L244">
        <v>191.2</v>
      </c>
      <c r="M244" t="s">
        <v>1805</v>
      </c>
      <c r="N244" t="s">
        <v>1652</v>
      </c>
      <c r="O244" t="s">
        <v>755</v>
      </c>
      <c r="P244" t="s">
        <v>801</v>
      </c>
    </row>
    <row r="245" spans="1:16">
      <c r="A245">
        <v>244</v>
      </c>
      <c r="B245" t="s">
        <v>1212</v>
      </c>
      <c r="C245">
        <v>100.6</v>
      </c>
      <c r="D245">
        <v>89.8</v>
      </c>
      <c r="E245">
        <v>99.9</v>
      </c>
      <c r="F245">
        <v>100.5</v>
      </c>
      <c r="G245">
        <v>100.4</v>
      </c>
      <c r="H245">
        <v>93.4</v>
      </c>
      <c r="I245">
        <v>99.3</v>
      </c>
      <c r="J245">
        <v>110.8</v>
      </c>
      <c r="K245">
        <v>93.4</v>
      </c>
      <c r="L245">
        <v>210.5</v>
      </c>
      <c r="M245" t="s">
        <v>1806</v>
      </c>
      <c r="N245" t="s">
        <v>1807</v>
      </c>
      <c r="O245" t="s">
        <v>755</v>
      </c>
      <c r="P245" t="s">
        <v>801</v>
      </c>
    </row>
    <row r="246" spans="1:16">
      <c r="A246">
        <v>245</v>
      </c>
      <c r="B246" t="s">
        <v>1213</v>
      </c>
      <c r="C246">
        <v>100.9</v>
      </c>
      <c r="D246">
        <v>86.7</v>
      </c>
      <c r="E246">
        <v>98.5</v>
      </c>
      <c r="F246">
        <v>126.2</v>
      </c>
      <c r="G246">
        <v>99.9</v>
      </c>
      <c r="H246">
        <v>100.6</v>
      </c>
      <c r="I246">
        <v>99.8</v>
      </c>
      <c r="J246">
        <v>104.7</v>
      </c>
      <c r="K246">
        <v>94.3</v>
      </c>
      <c r="L246">
        <v>123.6</v>
      </c>
      <c r="M246" t="s">
        <v>1808</v>
      </c>
      <c r="N246" t="s">
        <v>1809</v>
      </c>
      <c r="O246" t="s">
        <v>755</v>
      </c>
      <c r="P246" t="s">
        <v>801</v>
      </c>
    </row>
    <row r="247" spans="1:16">
      <c r="A247">
        <v>246</v>
      </c>
      <c r="B247" t="s">
        <v>1214</v>
      </c>
      <c r="C247">
        <v>101</v>
      </c>
      <c r="D247">
        <v>83.6</v>
      </c>
      <c r="E247">
        <v>99.7</v>
      </c>
      <c r="F247">
        <v>102.1</v>
      </c>
      <c r="G247">
        <v>100.1</v>
      </c>
      <c r="H247">
        <v>97.8</v>
      </c>
      <c r="I247">
        <v>99.6</v>
      </c>
      <c r="J247">
        <v>108.9</v>
      </c>
      <c r="K247">
        <v>91.1</v>
      </c>
      <c r="L247">
        <v>222.8</v>
      </c>
      <c r="M247" t="s">
        <v>1810</v>
      </c>
      <c r="N247" t="s">
        <v>1776</v>
      </c>
      <c r="O247" t="s">
        <v>755</v>
      </c>
      <c r="P247" t="s">
        <v>801</v>
      </c>
    </row>
    <row r="248" spans="1:16">
      <c r="A248">
        <v>247</v>
      </c>
      <c r="B248" t="s">
        <v>1215</v>
      </c>
      <c r="C248">
        <v>100.8</v>
      </c>
      <c r="D248">
        <v>88.3</v>
      </c>
      <c r="E248">
        <v>98.8</v>
      </c>
      <c r="F248">
        <v>111.7</v>
      </c>
      <c r="G248">
        <v>100.6</v>
      </c>
      <c r="H248">
        <v>92.5</v>
      </c>
      <c r="I248">
        <v>99.2</v>
      </c>
      <c r="J248">
        <v>110.7</v>
      </c>
      <c r="K248">
        <v>89.1</v>
      </c>
      <c r="L248">
        <v>242.1</v>
      </c>
      <c r="M248" t="s">
        <v>1811</v>
      </c>
      <c r="N248" t="s">
        <v>1812</v>
      </c>
      <c r="O248" t="s">
        <v>755</v>
      </c>
      <c r="P248" t="s">
        <v>801</v>
      </c>
    </row>
    <row r="249" spans="1:16">
      <c r="A249">
        <v>248</v>
      </c>
      <c r="B249" t="s">
        <v>1216</v>
      </c>
      <c r="C249">
        <v>100.8</v>
      </c>
      <c r="D249">
        <v>88.1</v>
      </c>
      <c r="E249">
        <v>100.5</v>
      </c>
      <c r="F249">
        <v>85.5</v>
      </c>
      <c r="G249">
        <v>100</v>
      </c>
      <c r="H249">
        <v>98.3</v>
      </c>
      <c r="I249">
        <v>99.6</v>
      </c>
      <c r="J249">
        <v>109.5</v>
      </c>
      <c r="K249">
        <v>93.6</v>
      </c>
      <c r="L249">
        <v>138.6</v>
      </c>
      <c r="M249" t="s">
        <v>1813</v>
      </c>
      <c r="N249" t="s">
        <v>1705</v>
      </c>
      <c r="O249" t="s">
        <v>755</v>
      </c>
      <c r="P249" t="s">
        <v>801</v>
      </c>
    </row>
    <row r="250" spans="1:16">
      <c r="A250">
        <v>249</v>
      </c>
      <c r="B250" t="s">
        <v>1217</v>
      </c>
      <c r="C250">
        <v>102.6</v>
      </c>
      <c r="D250">
        <v>76.099999999999994</v>
      </c>
      <c r="E250">
        <v>86.7</v>
      </c>
      <c r="F250">
        <v>221.2</v>
      </c>
      <c r="G250">
        <v>100.6</v>
      </c>
      <c r="H250">
        <v>94.8</v>
      </c>
      <c r="I250">
        <v>100.2</v>
      </c>
      <c r="J250">
        <v>98.8</v>
      </c>
      <c r="K250">
        <v>87.3</v>
      </c>
      <c r="L250">
        <v>220.5</v>
      </c>
      <c r="M250" t="s">
        <v>1814</v>
      </c>
      <c r="N250" t="s">
        <v>1815</v>
      </c>
      <c r="O250" t="s">
        <v>755</v>
      </c>
      <c r="P250" t="s">
        <v>801</v>
      </c>
    </row>
    <row r="251" spans="1:16">
      <c r="A251">
        <v>250</v>
      </c>
      <c r="B251" t="s">
        <v>1218</v>
      </c>
      <c r="C251">
        <v>101.3</v>
      </c>
      <c r="D251">
        <v>79.599999999999994</v>
      </c>
      <c r="E251">
        <v>101.5</v>
      </c>
      <c r="F251">
        <v>82.8</v>
      </c>
      <c r="G251">
        <v>99.8</v>
      </c>
      <c r="H251">
        <v>103.7</v>
      </c>
      <c r="I251">
        <v>99.6</v>
      </c>
      <c r="J251">
        <v>106.6</v>
      </c>
      <c r="K251">
        <v>102</v>
      </c>
      <c r="L251">
        <v>70</v>
      </c>
      <c r="M251" t="s">
        <v>1816</v>
      </c>
      <c r="N251" t="s">
        <v>1817</v>
      </c>
      <c r="O251" t="s">
        <v>755</v>
      </c>
      <c r="P251" t="s">
        <v>755</v>
      </c>
    </row>
    <row r="252" spans="1:16">
      <c r="A252">
        <v>251</v>
      </c>
      <c r="B252" t="s">
        <v>1219</v>
      </c>
      <c r="C252">
        <v>101.5</v>
      </c>
      <c r="D252">
        <v>77.7</v>
      </c>
      <c r="E252">
        <v>100.4</v>
      </c>
      <c r="F252">
        <v>82.1</v>
      </c>
      <c r="G252">
        <v>99.4</v>
      </c>
      <c r="H252">
        <v>112.7</v>
      </c>
      <c r="I252">
        <v>99.9</v>
      </c>
      <c r="J252">
        <v>97.9</v>
      </c>
      <c r="K252">
        <v>105.8</v>
      </c>
      <c r="L252">
        <v>0</v>
      </c>
      <c r="M252" t="s">
        <v>1818</v>
      </c>
      <c r="N252" t="s">
        <v>1597</v>
      </c>
      <c r="O252" t="s">
        <v>755</v>
      </c>
      <c r="P252" t="s">
        <v>801</v>
      </c>
    </row>
    <row r="253" spans="1:16">
      <c r="A253">
        <v>252</v>
      </c>
      <c r="B253" t="s">
        <v>27</v>
      </c>
      <c r="C253">
        <v>100.9</v>
      </c>
      <c r="D253">
        <v>83.8</v>
      </c>
      <c r="E253">
        <v>101.2</v>
      </c>
      <c r="F253">
        <v>88.5</v>
      </c>
      <c r="G253">
        <v>99.9</v>
      </c>
      <c r="H253">
        <v>101.9</v>
      </c>
      <c r="I253">
        <v>99.6</v>
      </c>
      <c r="J253">
        <v>106.4</v>
      </c>
      <c r="K253">
        <v>98.9</v>
      </c>
      <c r="L253">
        <v>115.6</v>
      </c>
      <c r="M253" t="s">
        <v>1819</v>
      </c>
      <c r="N253" t="s">
        <v>1543</v>
      </c>
      <c r="O253" t="s">
        <v>755</v>
      </c>
      <c r="P253" t="s">
        <v>801</v>
      </c>
    </row>
    <row r="254" spans="1:16">
      <c r="A254">
        <v>253</v>
      </c>
      <c r="B254" t="s">
        <v>29</v>
      </c>
      <c r="C254">
        <v>101.9</v>
      </c>
      <c r="D254">
        <v>74.900000000000006</v>
      </c>
      <c r="E254">
        <v>101.8</v>
      </c>
      <c r="F254">
        <v>83.4</v>
      </c>
      <c r="G254">
        <v>99.7</v>
      </c>
      <c r="H254">
        <v>103.7</v>
      </c>
      <c r="I254">
        <v>99.4</v>
      </c>
      <c r="J254">
        <v>107.8</v>
      </c>
      <c r="K254">
        <v>107.5</v>
      </c>
      <c r="L254">
        <v>9.1</v>
      </c>
      <c r="M254" t="s">
        <v>1820</v>
      </c>
      <c r="N254" t="s">
        <v>1736</v>
      </c>
      <c r="O254" t="s">
        <v>755</v>
      </c>
      <c r="P254" t="s">
        <v>801</v>
      </c>
    </row>
    <row r="255" spans="1:16">
      <c r="A255">
        <v>254</v>
      </c>
      <c r="B255" t="s">
        <v>1220</v>
      </c>
      <c r="C255">
        <v>101.4</v>
      </c>
      <c r="D255">
        <v>77.2</v>
      </c>
      <c r="E255">
        <v>101</v>
      </c>
      <c r="F255">
        <v>93</v>
      </c>
      <c r="G255">
        <v>99.7</v>
      </c>
      <c r="H255">
        <v>104.1</v>
      </c>
      <c r="I255">
        <v>99.6</v>
      </c>
      <c r="J255">
        <v>106.2</v>
      </c>
      <c r="K255">
        <v>100.8</v>
      </c>
      <c r="L255">
        <v>87</v>
      </c>
      <c r="M255" t="s">
        <v>1821</v>
      </c>
      <c r="N255" t="s">
        <v>1822</v>
      </c>
      <c r="O255" t="s">
        <v>755</v>
      </c>
      <c r="P255" t="s">
        <v>755</v>
      </c>
    </row>
    <row r="256" spans="1:16">
      <c r="A256">
        <v>255</v>
      </c>
      <c r="B256" t="s">
        <v>1221</v>
      </c>
      <c r="C256">
        <v>101.6</v>
      </c>
      <c r="D256">
        <v>75.2</v>
      </c>
      <c r="E256">
        <v>100.7</v>
      </c>
      <c r="F256">
        <v>91.6</v>
      </c>
      <c r="G256">
        <v>99.3</v>
      </c>
      <c r="H256">
        <v>112.8</v>
      </c>
      <c r="I256">
        <v>99.9</v>
      </c>
      <c r="J256">
        <v>97.5</v>
      </c>
      <c r="K256">
        <v>105.8</v>
      </c>
      <c r="L256">
        <v>0</v>
      </c>
      <c r="M256" t="s">
        <v>1823</v>
      </c>
      <c r="N256" t="s">
        <v>1824</v>
      </c>
      <c r="O256" t="s">
        <v>755</v>
      </c>
      <c r="P256" t="s">
        <v>801</v>
      </c>
    </row>
    <row r="257" spans="1:16">
      <c r="A257">
        <v>256</v>
      </c>
      <c r="B257" t="s">
        <v>1222</v>
      </c>
      <c r="C257">
        <v>101</v>
      </c>
      <c r="D257">
        <v>81.8</v>
      </c>
      <c r="E257">
        <v>100.7</v>
      </c>
      <c r="F257">
        <v>98.5</v>
      </c>
      <c r="G257">
        <v>99.8</v>
      </c>
      <c r="H257">
        <v>102.3</v>
      </c>
      <c r="I257">
        <v>99.7</v>
      </c>
      <c r="J257">
        <v>106.1</v>
      </c>
      <c r="K257">
        <v>98.5</v>
      </c>
      <c r="L257">
        <v>123</v>
      </c>
      <c r="M257" t="s">
        <v>1825</v>
      </c>
      <c r="N257" t="s">
        <v>1826</v>
      </c>
      <c r="O257" t="s">
        <v>755</v>
      </c>
      <c r="P257" t="s">
        <v>801</v>
      </c>
    </row>
    <row r="258" spans="1:16">
      <c r="A258">
        <v>257</v>
      </c>
      <c r="B258" t="s">
        <v>1223</v>
      </c>
      <c r="C258">
        <v>101.9</v>
      </c>
      <c r="D258">
        <v>71.2</v>
      </c>
      <c r="E258">
        <v>101.4</v>
      </c>
      <c r="F258">
        <v>88.5</v>
      </c>
      <c r="G258">
        <v>99.7</v>
      </c>
      <c r="H258">
        <v>104.4</v>
      </c>
      <c r="I258">
        <v>99.4</v>
      </c>
      <c r="J258">
        <v>108.1</v>
      </c>
      <c r="K258">
        <v>106.5</v>
      </c>
      <c r="L258">
        <v>16</v>
      </c>
      <c r="M258" t="s">
        <v>1827</v>
      </c>
      <c r="N258" t="s">
        <v>1751</v>
      </c>
      <c r="O258" t="s">
        <v>755</v>
      </c>
      <c r="P258" t="s">
        <v>801</v>
      </c>
    </row>
    <row r="259" spans="1:16">
      <c r="A259">
        <v>258</v>
      </c>
      <c r="B259" t="s">
        <v>1224</v>
      </c>
      <c r="C259">
        <v>101.8</v>
      </c>
      <c r="D259">
        <v>98.4</v>
      </c>
      <c r="E259">
        <v>103.5</v>
      </c>
      <c r="F259">
        <v>95.8</v>
      </c>
      <c r="G259">
        <v>99</v>
      </c>
      <c r="H259">
        <v>101.3</v>
      </c>
      <c r="I259">
        <v>96.9</v>
      </c>
      <c r="J259">
        <v>103.4</v>
      </c>
      <c r="K259">
        <v>103.1</v>
      </c>
      <c r="L259">
        <v>96</v>
      </c>
      <c r="M259" t="s">
        <v>1666</v>
      </c>
      <c r="N259" t="s">
        <v>1828</v>
      </c>
      <c r="O259" t="s">
        <v>755</v>
      </c>
      <c r="P259" t="s">
        <v>801</v>
      </c>
    </row>
    <row r="260" spans="1:16">
      <c r="A260">
        <v>259</v>
      </c>
      <c r="B260" t="s">
        <v>1225</v>
      </c>
      <c r="C260">
        <v>103.7</v>
      </c>
      <c r="D260">
        <v>92.7</v>
      </c>
      <c r="E260">
        <v>97.4</v>
      </c>
      <c r="F260">
        <v>104.6</v>
      </c>
      <c r="G260">
        <v>100.3</v>
      </c>
      <c r="H260">
        <v>99.6</v>
      </c>
      <c r="I260">
        <v>101.6</v>
      </c>
      <c r="J260">
        <v>96.3</v>
      </c>
      <c r="K260">
        <v>97.7</v>
      </c>
      <c r="L260">
        <v>104.8</v>
      </c>
      <c r="M260" t="s">
        <v>1829</v>
      </c>
      <c r="N260" t="s">
        <v>1830</v>
      </c>
      <c r="O260" t="s">
        <v>755</v>
      </c>
      <c r="P260" t="s">
        <v>755</v>
      </c>
    </row>
    <row r="261" spans="1:16">
      <c r="A261">
        <v>260</v>
      </c>
      <c r="B261" t="s">
        <v>1226</v>
      </c>
      <c r="C261">
        <v>105.5</v>
      </c>
      <c r="D261">
        <v>84.8</v>
      </c>
      <c r="E261">
        <v>99.9</v>
      </c>
      <c r="F261">
        <v>101.2</v>
      </c>
      <c r="G261">
        <v>100.6</v>
      </c>
      <c r="H261">
        <v>98.4</v>
      </c>
      <c r="I261">
        <v>104.1</v>
      </c>
      <c r="J261">
        <v>88.8</v>
      </c>
      <c r="K261">
        <v>94</v>
      </c>
      <c r="L261">
        <v>116.2</v>
      </c>
      <c r="M261" t="s">
        <v>1831</v>
      </c>
      <c r="N261" t="s">
        <v>1565</v>
      </c>
      <c r="O261" t="s">
        <v>755</v>
      </c>
      <c r="P261" t="s">
        <v>755</v>
      </c>
    </row>
    <row r="262" spans="1:16">
      <c r="A262">
        <v>261</v>
      </c>
      <c r="B262" t="s">
        <v>1227</v>
      </c>
      <c r="C262">
        <v>103.8</v>
      </c>
      <c r="D262">
        <v>92.9</v>
      </c>
      <c r="E262">
        <v>95.1</v>
      </c>
      <c r="F262">
        <v>109.6</v>
      </c>
      <c r="G262">
        <v>100.3</v>
      </c>
      <c r="H262">
        <v>99.5</v>
      </c>
      <c r="I262">
        <v>102.2</v>
      </c>
      <c r="J262">
        <v>95.4</v>
      </c>
      <c r="K262">
        <v>97.3</v>
      </c>
      <c r="L262">
        <v>105.4</v>
      </c>
      <c r="M262" t="s">
        <v>1832</v>
      </c>
      <c r="N262" t="s">
        <v>1833</v>
      </c>
      <c r="O262" t="s">
        <v>755</v>
      </c>
      <c r="P262" t="s">
        <v>755</v>
      </c>
    </row>
    <row r="263" spans="1:16">
      <c r="A263">
        <v>262</v>
      </c>
      <c r="B263" t="s">
        <v>1228</v>
      </c>
      <c r="C263">
        <v>109.9</v>
      </c>
      <c r="D263">
        <v>87</v>
      </c>
      <c r="E263">
        <v>106.2</v>
      </c>
      <c r="F263">
        <v>91.4</v>
      </c>
      <c r="G263">
        <v>99.5</v>
      </c>
      <c r="H263">
        <v>100.7</v>
      </c>
      <c r="I263">
        <v>99.4</v>
      </c>
      <c r="J263">
        <v>101</v>
      </c>
      <c r="K263">
        <v>98.6</v>
      </c>
      <c r="L263">
        <v>101.6</v>
      </c>
      <c r="M263" t="s">
        <v>1834</v>
      </c>
      <c r="N263" t="s">
        <v>1835</v>
      </c>
      <c r="O263" t="s">
        <v>755</v>
      </c>
      <c r="P263" t="s">
        <v>755</v>
      </c>
    </row>
    <row r="264" spans="1:16">
      <c r="A264">
        <v>263</v>
      </c>
      <c r="B264" t="s">
        <v>1229</v>
      </c>
      <c r="C264">
        <v>107.1</v>
      </c>
      <c r="D264">
        <v>92</v>
      </c>
      <c r="E264">
        <v>108.7</v>
      </c>
      <c r="F264">
        <v>89.2</v>
      </c>
      <c r="G264">
        <v>99.7</v>
      </c>
      <c r="H264">
        <v>100.4</v>
      </c>
      <c r="I264">
        <v>99.9</v>
      </c>
      <c r="J264">
        <v>100.5</v>
      </c>
      <c r="K264">
        <v>98.7</v>
      </c>
      <c r="L264">
        <v>101</v>
      </c>
      <c r="M264" t="s">
        <v>1836</v>
      </c>
      <c r="N264" t="s">
        <v>1837</v>
      </c>
      <c r="O264" t="s">
        <v>755</v>
      </c>
      <c r="P264" t="s">
        <v>755</v>
      </c>
    </row>
    <row r="265" spans="1:16">
      <c r="A265">
        <v>264</v>
      </c>
      <c r="B265" t="s">
        <v>1230</v>
      </c>
      <c r="C265">
        <v>109.4</v>
      </c>
      <c r="D265">
        <v>83.6</v>
      </c>
      <c r="E265">
        <v>102.7</v>
      </c>
      <c r="F265">
        <v>96.7</v>
      </c>
      <c r="G265">
        <v>99.7</v>
      </c>
      <c r="H265">
        <v>100.5</v>
      </c>
      <c r="I265">
        <v>100.2</v>
      </c>
      <c r="J265">
        <v>99.2</v>
      </c>
      <c r="K265">
        <v>97.4</v>
      </c>
      <c r="L265">
        <v>104.9</v>
      </c>
      <c r="M265" t="s">
        <v>1838</v>
      </c>
      <c r="N265" t="s">
        <v>1839</v>
      </c>
      <c r="O265" t="s">
        <v>755</v>
      </c>
      <c r="P265" t="s">
        <v>755</v>
      </c>
    </row>
    <row r="266" spans="1:16">
      <c r="A266">
        <v>265</v>
      </c>
      <c r="B266" t="s">
        <v>1231</v>
      </c>
      <c r="C266">
        <v>108.4</v>
      </c>
      <c r="D266">
        <v>82.1</v>
      </c>
      <c r="E266">
        <v>100.6</v>
      </c>
      <c r="F266">
        <v>101.5</v>
      </c>
      <c r="G266">
        <v>99.6</v>
      </c>
      <c r="H266">
        <v>101</v>
      </c>
      <c r="I266">
        <v>96.7</v>
      </c>
      <c r="J266">
        <v>107.8</v>
      </c>
      <c r="K266">
        <v>100.8</v>
      </c>
      <c r="L266">
        <v>97.3</v>
      </c>
      <c r="M266" t="s">
        <v>1840</v>
      </c>
      <c r="N266" t="s">
        <v>1841</v>
      </c>
      <c r="O266" t="s">
        <v>755</v>
      </c>
      <c r="P266" t="s">
        <v>755</v>
      </c>
    </row>
    <row r="267" spans="1:16">
      <c r="A267">
        <v>266</v>
      </c>
      <c r="B267" t="s">
        <v>1232</v>
      </c>
      <c r="C267">
        <v>116.3</v>
      </c>
      <c r="D267">
        <v>84.4</v>
      </c>
      <c r="E267">
        <v>99.7</v>
      </c>
      <c r="F267">
        <v>101.4</v>
      </c>
      <c r="G267">
        <v>98.9</v>
      </c>
      <c r="H267">
        <v>101</v>
      </c>
      <c r="I267">
        <v>96.7</v>
      </c>
      <c r="J267">
        <v>103.4</v>
      </c>
      <c r="K267">
        <v>100</v>
      </c>
      <c r="L267">
        <v>99.8</v>
      </c>
      <c r="M267" t="s">
        <v>1842</v>
      </c>
      <c r="N267" t="s">
        <v>1843</v>
      </c>
      <c r="O267" t="s">
        <v>755</v>
      </c>
      <c r="P267" t="s">
        <v>755</v>
      </c>
    </row>
    <row r="268" spans="1:16">
      <c r="A268">
        <v>267</v>
      </c>
      <c r="B268" t="s">
        <v>1233</v>
      </c>
      <c r="C268">
        <v>119.5</v>
      </c>
      <c r="D268">
        <v>88.4</v>
      </c>
      <c r="E268">
        <v>106.4</v>
      </c>
      <c r="F268">
        <v>96.7</v>
      </c>
      <c r="G268">
        <v>98.6</v>
      </c>
      <c r="H268">
        <v>100.8</v>
      </c>
      <c r="I268">
        <v>95.3</v>
      </c>
      <c r="J268">
        <v>103.1</v>
      </c>
      <c r="K268">
        <v>101</v>
      </c>
      <c r="L268">
        <v>99.1</v>
      </c>
      <c r="M268" t="s">
        <v>1452</v>
      </c>
      <c r="N268" t="s">
        <v>1844</v>
      </c>
      <c r="O268" t="s">
        <v>755</v>
      </c>
      <c r="P268" t="s">
        <v>755</v>
      </c>
    </row>
    <row r="269" spans="1:16">
      <c r="A269">
        <v>268</v>
      </c>
      <c r="B269" t="s">
        <v>1234</v>
      </c>
      <c r="C269">
        <v>109.4</v>
      </c>
      <c r="D269">
        <v>85.2</v>
      </c>
      <c r="E269">
        <v>95.7</v>
      </c>
      <c r="F269">
        <v>107.8</v>
      </c>
      <c r="G269">
        <v>99.4</v>
      </c>
      <c r="H269">
        <v>100.7</v>
      </c>
      <c r="I269">
        <v>98.7</v>
      </c>
      <c r="J269">
        <v>102.3</v>
      </c>
      <c r="K269">
        <v>99.4</v>
      </c>
      <c r="L269">
        <v>101.1</v>
      </c>
      <c r="M269" t="s">
        <v>1845</v>
      </c>
      <c r="N269" t="s">
        <v>1846</v>
      </c>
      <c r="O269" t="s">
        <v>755</v>
      </c>
      <c r="P269" t="s">
        <v>755</v>
      </c>
    </row>
    <row r="270" spans="1:16">
      <c r="A270">
        <v>269</v>
      </c>
      <c r="B270" t="s">
        <v>1235</v>
      </c>
      <c r="C270">
        <v>109</v>
      </c>
      <c r="D270">
        <v>83.7</v>
      </c>
      <c r="E270">
        <v>95.6</v>
      </c>
      <c r="F270">
        <v>112.6</v>
      </c>
      <c r="G270">
        <v>99.7</v>
      </c>
      <c r="H270">
        <v>100.5</v>
      </c>
      <c r="I270">
        <v>96.3</v>
      </c>
      <c r="J270">
        <v>107.3</v>
      </c>
      <c r="K270">
        <v>100.9</v>
      </c>
      <c r="L270">
        <v>97.7</v>
      </c>
      <c r="M270" t="s">
        <v>1847</v>
      </c>
      <c r="N270" t="s">
        <v>1460</v>
      </c>
      <c r="O270" t="s">
        <v>755</v>
      </c>
      <c r="P270" t="s">
        <v>755</v>
      </c>
    </row>
    <row r="271" spans="1:16">
      <c r="A271">
        <v>270</v>
      </c>
      <c r="B271" t="s">
        <v>1236</v>
      </c>
      <c r="C271">
        <v>103.8</v>
      </c>
      <c r="D271">
        <v>87.4</v>
      </c>
      <c r="E271">
        <v>103.3</v>
      </c>
      <c r="F271">
        <v>90.2</v>
      </c>
      <c r="G271">
        <v>98.7</v>
      </c>
      <c r="H271">
        <v>103.8</v>
      </c>
      <c r="I271">
        <v>101</v>
      </c>
      <c r="J271">
        <v>96.4</v>
      </c>
      <c r="K271">
        <v>100.4</v>
      </c>
      <c r="L271">
        <v>100.1</v>
      </c>
      <c r="M271" t="s">
        <v>1848</v>
      </c>
      <c r="N271" t="s">
        <v>1509</v>
      </c>
      <c r="O271" t="s">
        <v>755</v>
      </c>
      <c r="P271" t="s">
        <v>801</v>
      </c>
    </row>
    <row r="272" spans="1:16">
      <c r="A272">
        <v>271</v>
      </c>
      <c r="B272" t="s">
        <v>1237</v>
      </c>
      <c r="C272">
        <v>96.3</v>
      </c>
      <c r="D272">
        <v>129</v>
      </c>
      <c r="E272">
        <v>101.4</v>
      </c>
      <c r="F272">
        <v>99.7</v>
      </c>
      <c r="G272">
        <v>99.2</v>
      </c>
      <c r="H272">
        <v>103.7</v>
      </c>
      <c r="I272">
        <v>99.9</v>
      </c>
      <c r="J272">
        <v>100.1</v>
      </c>
      <c r="K272">
        <v>102.5</v>
      </c>
      <c r="L272">
        <v>86.3</v>
      </c>
      <c r="M272" t="s">
        <v>1849</v>
      </c>
      <c r="N272" t="s">
        <v>1538</v>
      </c>
      <c r="O272" t="s">
        <v>755</v>
      </c>
      <c r="P272" t="s">
        <v>801</v>
      </c>
    </row>
    <row r="273" spans="1:16">
      <c r="A273">
        <v>272</v>
      </c>
      <c r="B273" t="s">
        <v>1238</v>
      </c>
      <c r="C273">
        <v>97.8</v>
      </c>
      <c r="D273">
        <v>109.9</v>
      </c>
      <c r="E273">
        <v>97</v>
      </c>
      <c r="F273">
        <v>114.5</v>
      </c>
      <c r="G273">
        <v>99.4</v>
      </c>
      <c r="H273">
        <v>101.8</v>
      </c>
      <c r="I273">
        <v>99</v>
      </c>
      <c r="J273">
        <v>103.4</v>
      </c>
      <c r="K273">
        <v>103.3</v>
      </c>
      <c r="L273">
        <v>88.5</v>
      </c>
      <c r="M273" t="s">
        <v>1850</v>
      </c>
      <c r="N273" t="s">
        <v>1851</v>
      </c>
      <c r="O273" t="s">
        <v>755</v>
      </c>
      <c r="P273" t="s">
        <v>755</v>
      </c>
    </row>
    <row r="274" spans="1:16">
      <c r="A274">
        <v>273</v>
      </c>
      <c r="B274" t="s">
        <v>1239</v>
      </c>
      <c r="C274">
        <v>104.2</v>
      </c>
      <c r="D274">
        <v>88.7</v>
      </c>
      <c r="E274">
        <v>103.4</v>
      </c>
      <c r="F274">
        <v>93.2</v>
      </c>
      <c r="G274">
        <v>99.5</v>
      </c>
      <c r="H274">
        <v>100.7</v>
      </c>
      <c r="I274">
        <v>99</v>
      </c>
      <c r="J274">
        <v>101.3</v>
      </c>
      <c r="K274">
        <v>101</v>
      </c>
      <c r="L274">
        <v>100.6</v>
      </c>
      <c r="M274" t="s">
        <v>1852</v>
      </c>
      <c r="N274" t="s">
        <v>1853</v>
      </c>
      <c r="O274" t="s">
        <v>755</v>
      </c>
      <c r="P274" t="s">
        <v>755</v>
      </c>
    </row>
    <row r="275" spans="1:16">
      <c r="A275">
        <v>274</v>
      </c>
      <c r="B275" t="s">
        <v>1240</v>
      </c>
      <c r="C275">
        <v>99.3</v>
      </c>
      <c r="D275">
        <v>95.7</v>
      </c>
      <c r="E275">
        <v>98.1</v>
      </c>
      <c r="F275">
        <v>102</v>
      </c>
      <c r="G275">
        <v>99.3</v>
      </c>
      <c r="H275">
        <v>100.9</v>
      </c>
      <c r="I275">
        <v>98.6</v>
      </c>
      <c r="J275">
        <v>102</v>
      </c>
      <c r="K275">
        <v>103.5</v>
      </c>
      <c r="L275">
        <v>96.5</v>
      </c>
      <c r="M275" t="s">
        <v>1854</v>
      </c>
      <c r="N275" t="s">
        <v>1855</v>
      </c>
      <c r="O275" t="s">
        <v>755</v>
      </c>
      <c r="P275" t="s">
        <v>755</v>
      </c>
    </row>
    <row r="276" spans="1:16">
      <c r="A276">
        <v>275</v>
      </c>
      <c r="B276" t="s">
        <v>1241</v>
      </c>
      <c r="C276">
        <v>99.6</v>
      </c>
      <c r="D276">
        <v>95.5</v>
      </c>
      <c r="E276">
        <v>107.8</v>
      </c>
      <c r="F276">
        <v>94.5</v>
      </c>
      <c r="G276">
        <v>100.7</v>
      </c>
      <c r="H276">
        <v>98.9</v>
      </c>
      <c r="I276">
        <v>103</v>
      </c>
      <c r="J276">
        <v>96.8</v>
      </c>
      <c r="K276">
        <v>92.9</v>
      </c>
      <c r="L276">
        <v>110.6</v>
      </c>
      <c r="M276" t="s">
        <v>1856</v>
      </c>
      <c r="N276" t="s">
        <v>1473</v>
      </c>
      <c r="O276" t="s">
        <v>801</v>
      </c>
      <c r="P276" t="s">
        <v>801</v>
      </c>
    </row>
    <row r="277" spans="1:16">
      <c r="A277">
        <v>276</v>
      </c>
      <c r="B277" t="s">
        <v>1242</v>
      </c>
      <c r="C277">
        <v>115.5</v>
      </c>
      <c r="D277">
        <v>69.3</v>
      </c>
      <c r="E277">
        <v>127</v>
      </c>
      <c r="F277">
        <v>41.4</v>
      </c>
      <c r="G277">
        <v>100</v>
      </c>
      <c r="H277">
        <v>100.3</v>
      </c>
      <c r="I277">
        <v>98.5</v>
      </c>
      <c r="J277">
        <v>101.6</v>
      </c>
      <c r="K277">
        <v>90.9</v>
      </c>
      <c r="L277">
        <v>121.1</v>
      </c>
      <c r="M277" t="s">
        <v>1857</v>
      </c>
      <c r="N277" t="s">
        <v>1858</v>
      </c>
      <c r="O277" t="s">
        <v>755</v>
      </c>
      <c r="P277" t="s">
        <v>801</v>
      </c>
    </row>
    <row r="278" spans="1:16">
      <c r="A278">
        <v>277</v>
      </c>
      <c r="B278" t="s">
        <v>1243</v>
      </c>
      <c r="C278">
        <v>126.5</v>
      </c>
      <c r="D278">
        <v>77</v>
      </c>
      <c r="E278">
        <v>128.30000000000001</v>
      </c>
      <c r="F278">
        <v>74.400000000000006</v>
      </c>
      <c r="G278">
        <v>99.6</v>
      </c>
      <c r="H278">
        <v>100.1</v>
      </c>
      <c r="I278">
        <v>99.5</v>
      </c>
      <c r="J278">
        <v>99.9</v>
      </c>
      <c r="K278">
        <v>86.2</v>
      </c>
      <c r="L278">
        <v>113.5</v>
      </c>
      <c r="M278" t="s">
        <v>1859</v>
      </c>
      <c r="N278" t="s">
        <v>1860</v>
      </c>
      <c r="O278" t="s">
        <v>755</v>
      </c>
      <c r="P278" t="s">
        <v>755</v>
      </c>
    </row>
    <row r="279" spans="1:16">
      <c r="A279">
        <v>278</v>
      </c>
      <c r="B279" t="s">
        <v>1244</v>
      </c>
      <c r="C279">
        <v>154.1</v>
      </c>
      <c r="D279">
        <v>84.4</v>
      </c>
      <c r="E279">
        <v>164.9</v>
      </c>
      <c r="F279">
        <v>78.099999999999994</v>
      </c>
      <c r="G279">
        <v>97.4</v>
      </c>
      <c r="H279">
        <v>100.4</v>
      </c>
      <c r="I279">
        <v>98.9</v>
      </c>
      <c r="J279">
        <v>99.4</v>
      </c>
      <c r="K279">
        <v>85.7</v>
      </c>
      <c r="L279">
        <v>106.2</v>
      </c>
      <c r="M279" t="s">
        <v>1544</v>
      </c>
      <c r="N279" t="s">
        <v>1861</v>
      </c>
      <c r="O279" t="s">
        <v>801</v>
      </c>
      <c r="P279" t="s">
        <v>755</v>
      </c>
    </row>
    <row r="280" spans="1:16">
      <c r="A280">
        <v>279</v>
      </c>
      <c r="B280" t="s">
        <v>1245</v>
      </c>
      <c r="C280">
        <v>111.9</v>
      </c>
      <c r="D280">
        <v>74.599999999999994</v>
      </c>
      <c r="E280">
        <v>123.7</v>
      </c>
      <c r="F280">
        <v>47.4</v>
      </c>
      <c r="G280">
        <v>100.1</v>
      </c>
      <c r="H280">
        <v>99.9</v>
      </c>
      <c r="I280">
        <v>95.7</v>
      </c>
      <c r="J280">
        <v>108.4</v>
      </c>
      <c r="K280">
        <v>98.7</v>
      </c>
      <c r="L280">
        <v>104.5</v>
      </c>
      <c r="M280" t="s">
        <v>1862</v>
      </c>
      <c r="N280" t="s">
        <v>1534</v>
      </c>
      <c r="O280" t="s">
        <v>755</v>
      </c>
      <c r="P280" t="s">
        <v>801</v>
      </c>
    </row>
    <row r="281" spans="1:16">
      <c r="A281">
        <v>280</v>
      </c>
      <c r="B281" t="s">
        <v>1246</v>
      </c>
      <c r="C281">
        <v>104.4</v>
      </c>
      <c r="D281">
        <v>87.1</v>
      </c>
      <c r="E281">
        <v>115.3</v>
      </c>
      <c r="F281">
        <v>55.4</v>
      </c>
      <c r="G281">
        <v>98.7</v>
      </c>
      <c r="H281">
        <v>103.9</v>
      </c>
      <c r="I281">
        <v>91.8</v>
      </c>
      <c r="J281">
        <v>124</v>
      </c>
      <c r="K281">
        <v>117</v>
      </c>
      <c r="L281">
        <v>50.6</v>
      </c>
      <c r="M281" t="s">
        <v>1863</v>
      </c>
      <c r="N281" t="s">
        <v>1864</v>
      </c>
      <c r="O281" t="s">
        <v>801</v>
      </c>
      <c r="P281" t="s">
        <v>801</v>
      </c>
    </row>
    <row r="282" spans="1:16">
      <c r="A282">
        <v>281</v>
      </c>
      <c r="B282" t="s">
        <v>1247</v>
      </c>
      <c r="C282">
        <v>112.4</v>
      </c>
      <c r="D282">
        <v>77.7</v>
      </c>
      <c r="E282">
        <v>101.5</v>
      </c>
      <c r="F282">
        <v>97.6</v>
      </c>
      <c r="G282">
        <v>99.1</v>
      </c>
      <c r="H282">
        <v>101.5</v>
      </c>
      <c r="I282">
        <v>93.4</v>
      </c>
      <c r="J282">
        <v>111.2</v>
      </c>
      <c r="K282">
        <v>110.4</v>
      </c>
      <c r="L282">
        <v>82.9</v>
      </c>
      <c r="M282" t="s">
        <v>1536</v>
      </c>
      <c r="N282" t="s">
        <v>1441</v>
      </c>
      <c r="O282" t="s">
        <v>755</v>
      </c>
      <c r="P282" t="s">
        <v>755</v>
      </c>
    </row>
    <row r="283" spans="1:16">
      <c r="A283">
        <v>282</v>
      </c>
      <c r="B283" t="s">
        <v>1248</v>
      </c>
      <c r="C283">
        <v>105.2</v>
      </c>
      <c r="D283">
        <v>92.5</v>
      </c>
      <c r="E283">
        <v>91.1</v>
      </c>
      <c r="F283">
        <v>104.7</v>
      </c>
      <c r="G283">
        <v>98.3</v>
      </c>
      <c r="H283">
        <v>102.5</v>
      </c>
      <c r="I283">
        <v>103.7</v>
      </c>
      <c r="J283">
        <v>95</v>
      </c>
      <c r="K283">
        <v>93</v>
      </c>
      <c r="L283">
        <v>110.4</v>
      </c>
      <c r="M283" t="s">
        <v>1865</v>
      </c>
      <c r="N283" t="s">
        <v>1866</v>
      </c>
      <c r="O283" t="s">
        <v>755</v>
      </c>
      <c r="P283" t="s">
        <v>755</v>
      </c>
    </row>
    <row r="284" spans="1:16">
      <c r="A284">
        <v>283</v>
      </c>
      <c r="B284" t="s">
        <v>1249</v>
      </c>
      <c r="C284">
        <v>103.2</v>
      </c>
      <c r="D284">
        <v>95.5</v>
      </c>
      <c r="E284">
        <v>92.7</v>
      </c>
      <c r="F284">
        <v>101</v>
      </c>
      <c r="G284">
        <v>97.9</v>
      </c>
      <c r="H284">
        <v>102.9</v>
      </c>
      <c r="I284">
        <v>104.7</v>
      </c>
      <c r="J284">
        <v>93.4</v>
      </c>
      <c r="K284">
        <v>93.5</v>
      </c>
      <c r="L284">
        <v>110.6</v>
      </c>
      <c r="M284" t="s">
        <v>1867</v>
      </c>
      <c r="N284" t="s">
        <v>1669</v>
      </c>
      <c r="O284" t="s">
        <v>755</v>
      </c>
      <c r="P284" t="s">
        <v>755</v>
      </c>
    </row>
    <row r="285" spans="1:16">
      <c r="A285">
        <v>284</v>
      </c>
      <c r="B285" t="s">
        <v>1250</v>
      </c>
      <c r="C285">
        <v>98.4</v>
      </c>
      <c r="D285">
        <v>103.5</v>
      </c>
      <c r="E285">
        <v>48.8</v>
      </c>
      <c r="F285">
        <v>172.6</v>
      </c>
      <c r="G285">
        <v>101.2</v>
      </c>
      <c r="H285">
        <v>98.8</v>
      </c>
      <c r="I285">
        <v>106</v>
      </c>
      <c r="J285">
        <v>91.4</v>
      </c>
      <c r="K285">
        <v>80.099999999999994</v>
      </c>
      <c r="L285">
        <v>124.9</v>
      </c>
      <c r="M285" t="s">
        <v>1868</v>
      </c>
      <c r="N285" t="s">
        <v>1663</v>
      </c>
      <c r="O285" t="s">
        <v>801</v>
      </c>
      <c r="P285" t="s">
        <v>801</v>
      </c>
    </row>
    <row r="286" spans="1:16">
      <c r="A286">
        <v>285</v>
      </c>
      <c r="B286" t="s">
        <v>1251</v>
      </c>
      <c r="C286">
        <v>115.4</v>
      </c>
      <c r="D286">
        <v>89.8</v>
      </c>
      <c r="E286">
        <v>93.8</v>
      </c>
      <c r="F286">
        <v>91.9</v>
      </c>
      <c r="G286">
        <v>98.2</v>
      </c>
      <c r="H286">
        <v>101.1</v>
      </c>
      <c r="I286">
        <v>99.3</v>
      </c>
      <c r="J286">
        <v>100.8</v>
      </c>
      <c r="K286">
        <v>95.7</v>
      </c>
      <c r="L286">
        <v>104.2</v>
      </c>
      <c r="M286" t="s">
        <v>1869</v>
      </c>
      <c r="N286" t="s">
        <v>1675</v>
      </c>
      <c r="O286" t="s">
        <v>801</v>
      </c>
      <c r="P286" t="s">
        <v>755</v>
      </c>
    </row>
    <row r="287" spans="1:16">
      <c r="A287">
        <v>286</v>
      </c>
      <c r="B287" t="s">
        <v>1252</v>
      </c>
      <c r="C287">
        <v>107.4</v>
      </c>
      <c r="D287">
        <v>91.4</v>
      </c>
      <c r="E287">
        <v>107.8</v>
      </c>
      <c r="F287">
        <v>86.6</v>
      </c>
      <c r="G287">
        <v>100.3</v>
      </c>
      <c r="H287">
        <v>99.1</v>
      </c>
      <c r="I287">
        <v>100.6</v>
      </c>
      <c r="J287">
        <v>99.9</v>
      </c>
      <c r="K287">
        <v>76</v>
      </c>
      <c r="L287">
        <v>130.6</v>
      </c>
      <c r="M287" t="s">
        <v>1799</v>
      </c>
      <c r="N287" t="s">
        <v>1558</v>
      </c>
      <c r="O287" t="s">
        <v>801</v>
      </c>
      <c r="P287" t="s">
        <v>801</v>
      </c>
    </row>
    <row r="288" spans="1:16">
      <c r="A288">
        <v>287</v>
      </c>
      <c r="B288" t="s">
        <v>1253</v>
      </c>
      <c r="C288">
        <v>110.3</v>
      </c>
      <c r="D288">
        <v>87.7</v>
      </c>
      <c r="E288">
        <v>102</v>
      </c>
      <c r="F288">
        <v>99.3</v>
      </c>
      <c r="G288">
        <v>98.8</v>
      </c>
      <c r="H288">
        <v>101.3</v>
      </c>
      <c r="I288">
        <v>98.1</v>
      </c>
      <c r="J288">
        <v>101.9</v>
      </c>
      <c r="K288">
        <v>132.30000000000001</v>
      </c>
      <c r="L288">
        <v>71.7</v>
      </c>
      <c r="M288" t="s">
        <v>1870</v>
      </c>
      <c r="N288" t="s">
        <v>1871</v>
      </c>
      <c r="O288" t="s">
        <v>755</v>
      </c>
      <c r="P288" t="s">
        <v>755</v>
      </c>
    </row>
    <row r="289" spans="1:16">
      <c r="A289">
        <v>288</v>
      </c>
      <c r="B289" t="s">
        <v>1254</v>
      </c>
      <c r="C289">
        <v>101.9</v>
      </c>
      <c r="D289">
        <v>94.3</v>
      </c>
      <c r="E289">
        <v>99.4</v>
      </c>
      <c r="F289">
        <v>99.2</v>
      </c>
      <c r="G289">
        <v>97.3</v>
      </c>
      <c r="H289">
        <v>103.5</v>
      </c>
      <c r="I289">
        <v>101</v>
      </c>
      <c r="J289">
        <v>98.8</v>
      </c>
      <c r="K289">
        <v>123.2</v>
      </c>
      <c r="L289">
        <v>76.400000000000006</v>
      </c>
      <c r="M289" t="s">
        <v>1872</v>
      </c>
      <c r="N289" t="s">
        <v>1607</v>
      </c>
      <c r="O289" t="s">
        <v>755</v>
      </c>
      <c r="P289" t="s">
        <v>755</v>
      </c>
    </row>
    <row r="290" spans="1:16">
      <c r="A290">
        <v>289</v>
      </c>
      <c r="B290" t="s">
        <v>1255</v>
      </c>
      <c r="C290">
        <v>108.6</v>
      </c>
      <c r="D290">
        <v>88.7</v>
      </c>
      <c r="E290">
        <v>113.3</v>
      </c>
      <c r="F290">
        <v>88.8</v>
      </c>
      <c r="G290">
        <v>99.4</v>
      </c>
      <c r="H290">
        <v>100.1</v>
      </c>
      <c r="I290">
        <v>98.6</v>
      </c>
      <c r="J290">
        <v>102.1</v>
      </c>
      <c r="K290">
        <v>119.8</v>
      </c>
      <c r="L290">
        <v>91.1</v>
      </c>
      <c r="M290" t="s">
        <v>1873</v>
      </c>
      <c r="N290" t="s">
        <v>1874</v>
      </c>
      <c r="O290" t="s">
        <v>755</v>
      </c>
      <c r="P290" t="s">
        <v>755</v>
      </c>
    </row>
    <row r="291" spans="1:16">
      <c r="A291">
        <v>290</v>
      </c>
      <c r="B291" t="s">
        <v>1256</v>
      </c>
      <c r="C291">
        <v>118</v>
      </c>
      <c r="D291">
        <v>82.6</v>
      </c>
      <c r="E291">
        <v>98</v>
      </c>
      <c r="F291">
        <v>104.1</v>
      </c>
      <c r="G291">
        <v>99.7</v>
      </c>
      <c r="H291">
        <v>100.5</v>
      </c>
      <c r="I291">
        <v>96.1</v>
      </c>
      <c r="J291">
        <v>103.5</v>
      </c>
      <c r="K291">
        <v>153.30000000000001</v>
      </c>
      <c r="L291">
        <v>46.2</v>
      </c>
      <c r="M291" t="s">
        <v>1875</v>
      </c>
      <c r="N291" t="s">
        <v>1876</v>
      </c>
      <c r="O291" t="s">
        <v>755</v>
      </c>
      <c r="P291" t="s">
        <v>755</v>
      </c>
    </row>
    <row r="292" spans="1:16">
      <c r="A292">
        <v>291</v>
      </c>
      <c r="B292" t="s">
        <v>1257</v>
      </c>
      <c r="C292">
        <v>122.2</v>
      </c>
      <c r="D292">
        <v>87.5</v>
      </c>
      <c r="E292">
        <v>103.7</v>
      </c>
      <c r="F292">
        <v>97.4</v>
      </c>
      <c r="G292">
        <v>100</v>
      </c>
      <c r="H292">
        <v>100.2</v>
      </c>
      <c r="I292">
        <v>95.4</v>
      </c>
      <c r="J292">
        <v>102.4</v>
      </c>
      <c r="K292">
        <v>122.8</v>
      </c>
      <c r="L292">
        <v>85.8</v>
      </c>
      <c r="M292" t="s">
        <v>1877</v>
      </c>
      <c r="N292" t="s">
        <v>1878</v>
      </c>
      <c r="O292" t="s">
        <v>755</v>
      </c>
      <c r="P292" t="s">
        <v>755</v>
      </c>
    </row>
    <row r="293" spans="1:16">
      <c r="A293">
        <v>292</v>
      </c>
      <c r="B293" t="s">
        <v>1258</v>
      </c>
      <c r="C293">
        <v>133.6</v>
      </c>
      <c r="D293">
        <v>88.9</v>
      </c>
      <c r="E293">
        <v>44.7</v>
      </c>
      <c r="F293">
        <v>115.4</v>
      </c>
      <c r="G293">
        <v>97.5</v>
      </c>
      <c r="H293">
        <v>101.1</v>
      </c>
      <c r="I293">
        <v>97.1</v>
      </c>
      <c r="J293">
        <v>100.7</v>
      </c>
      <c r="K293">
        <v>143.19999999999999</v>
      </c>
      <c r="L293">
        <v>85.2</v>
      </c>
      <c r="M293" t="s">
        <v>1742</v>
      </c>
      <c r="N293" t="s">
        <v>1879</v>
      </c>
      <c r="O293" t="s">
        <v>801</v>
      </c>
      <c r="P293" t="s">
        <v>801</v>
      </c>
    </row>
    <row r="294" spans="1:16">
      <c r="A294">
        <v>293</v>
      </c>
      <c r="B294" t="s">
        <v>1259</v>
      </c>
      <c r="C294">
        <v>112.9</v>
      </c>
      <c r="D294">
        <v>92</v>
      </c>
      <c r="E294">
        <v>108.8</v>
      </c>
      <c r="F294">
        <v>91.3</v>
      </c>
      <c r="G294">
        <v>100.7</v>
      </c>
      <c r="H294">
        <v>99.4</v>
      </c>
      <c r="I294">
        <v>95.9</v>
      </c>
      <c r="J294">
        <v>102.6</v>
      </c>
      <c r="K294">
        <v>139.30000000000001</v>
      </c>
      <c r="L294">
        <v>87.7</v>
      </c>
      <c r="M294" t="s">
        <v>1880</v>
      </c>
      <c r="N294" t="s">
        <v>1881</v>
      </c>
      <c r="O294" t="s">
        <v>801</v>
      </c>
      <c r="P294" t="s">
        <v>755</v>
      </c>
    </row>
    <row r="295" spans="1:16">
      <c r="A295">
        <v>294</v>
      </c>
      <c r="B295" t="s">
        <v>1260</v>
      </c>
      <c r="C295">
        <v>122</v>
      </c>
      <c r="D295">
        <v>85.3</v>
      </c>
      <c r="E295">
        <v>125.3</v>
      </c>
      <c r="F295">
        <v>83.2</v>
      </c>
      <c r="G295">
        <v>101</v>
      </c>
      <c r="H295">
        <v>99.8</v>
      </c>
      <c r="I295">
        <v>93.9</v>
      </c>
      <c r="J295">
        <v>103.7</v>
      </c>
      <c r="K295">
        <v>134.1</v>
      </c>
      <c r="L295">
        <v>68</v>
      </c>
      <c r="M295" t="s">
        <v>1769</v>
      </c>
      <c r="N295" t="s">
        <v>1882</v>
      </c>
      <c r="O295" t="s">
        <v>755</v>
      </c>
      <c r="P295" t="s">
        <v>755</v>
      </c>
    </row>
    <row r="296" spans="1:16">
      <c r="A296">
        <v>295</v>
      </c>
      <c r="B296" t="s">
        <v>1261</v>
      </c>
      <c r="C296">
        <v>98.9</v>
      </c>
      <c r="D296">
        <v>101.6</v>
      </c>
      <c r="E296">
        <v>102.9</v>
      </c>
      <c r="F296">
        <v>93.3</v>
      </c>
      <c r="G296">
        <v>99.5</v>
      </c>
      <c r="H296">
        <v>101.7</v>
      </c>
      <c r="I296">
        <v>100.2</v>
      </c>
      <c r="J296">
        <v>99.6</v>
      </c>
      <c r="K296">
        <v>101.2</v>
      </c>
      <c r="L296">
        <v>95.8</v>
      </c>
      <c r="M296" t="s">
        <v>1883</v>
      </c>
      <c r="N296" t="s">
        <v>1884</v>
      </c>
      <c r="O296" t="s">
        <v>755</v>
      </c>
      <c r="P296" t="s">
        <v>755</v>
      </c>
    </row>
    <row r="297" spans="1:16">
      <c r="A297">
        <v>296</v>
      </c>
      <c r="B297" t="s">
        <v>1262</v>
      </c>
      <c r="C297">
        <v>98.9</v>
      </c>
      <c r="D297">
        <v>101.6</v>
      </c>
      <c r="E297">
        <v>103</v>
      </c>
      <c r="F297">
        <v>93</v>
      </c>
      <c r="G297">
        <v>99.5</v>
      </c>
      <c r="H297">
        <v>101.7</v>
      </c>
      <c r="I297">
        <v>100.2</v>
      </c>
      <c r="J297">
        <v>99.5</v>
      </c>
      <c r="K297">
        <v>101.1</v>
      </c>
      <c r="L297">
        <v>96.1</v>
      </c>
      <c r="M297" t="s">
        <v>1885</v>
      </c>
      <c r="N297" t="s">
        <v>1886</v>
      </c>
      <c r="O297" t="s">
        <v>755</v>
      </c>
      <c r="P297" t="s">
        <v>755</v>
      </c>
    </row>
    <row r="298" spans="1:16">
      <c r="A298">
        <v>297</v>
      </c>
      <c r="B298" t="s">
        <v>1263</v>
      </c>
      <c r="C298">
        <v>109.2</v>
      </c>
      <c r="D298">
        <v>84</v>
      </c>
      <c r="E298">
        <v>106.6</v>
      </c>
      <c r="F298">
        <v>86.3</v>
      </c>
      <c r="G298">
        <v>100.6</v>
      </c>
      <c r="H298">
        <v>99.1</v>
      </c>
      <c r="I298">
        <v>103.9</v>
      </c>
      <c r="J298">
        <v>92.7</v>
      </c>
      <c r="K298">
        <v>89.1</v>
      </c>
      <c r="L298">
        <v>119.7</v>
      </c>
      <c r="M298" t="s">
        <v>1887</v>
      </c>
      <c r="N298" t="s">
        <v>1888</v>
      </c>
      <c r="O298" t="s">
        <v>755</v>
      </c>
      <c r="P298" t="s">
        <v>755</v>
      </c>
    </row>
    <row r="299" spans="1:16">
      <c r="A299">
        <v>298</v>
      </c>
      <c r="B299" t="s">
        <v>1264</v>
      </c>
      <c r="C299">
        <v>110.1</v>
      </c>
      <c r="D299">
        <v>82.3</v>
      </c>
      <c r="E299">
        <v>106.5</v>
      </c>
      <c r="F299">
        <v>86.3</v>
      </c>
      <c r="G299">
        <v>100.6</v>
      </c>
      <c r="H299">
        <v>99.1</v>
      </c>
      <c r="I299">
        <v>103.9</v>
      </c>
      <c r="J299">
        <v>92.6</v>
      </c>
      <c r="K299">
        <v>88.9</v>
      </c>
      <c r="L299">
        <v>120.1</v>
      </c>
      <c r="M299" t="s">
        <v>1725</v>
      </c>
      <c r="N299" t="s">
        <v>1889</v>
      </c>
      <c r="O299" t="s">
        <v>755</v>
      </c>
      <c r="P299" t="s">
        <v>755</v>
      </c>
    </row>
    <row r="300" spans="1:16">
      <c r="A300">
        <v>299</v>
      </c>
      <c r="B300" t="s">
        <v>1265</v>
      </c>
      <c r="C300">
        <v>107.2</v>
      </c>
      <c r="D300">
        <v>69.2</v>
      </c>
      <c r="E300">
        <v>95.4</v>
      </c>
      <c r="F300">
        <v>103</v>
      </c>
      <c r="G300">
        <v>101.7</v>
      </c>
      <c r="H300">
        <v>96.6</v>
      </c>
      <c r="I300">
        <v>97.2</v>
      </c>
      <c r="J300">
        <v>109.1</v>
      </c>
      <c r="K300">
        <v>94</v>
      </c>
      <c r="L300">
        <v>123.8</v>
      </c>
      <c r="M300" t="s">
        <v>1890</v>
      </c>
      <c r="N300" t="s">
        <v>1753</v>
      </c>
      <c r="O300" t="s">
        <v>801</v>
      </c>
      <c r="P300" t="s">
        <v>801</v>
      </c>
    </row>
    <row r="301" spans="1:16">
      <c r="A301">
        <v>300</v>
      </c>
      <c r="B301" t="s">
        <v>1266</v>
      </c>
      <c r="C301">
        <v>108.9</v>
      </c>
      <c r="D301">
        <v>71.099999999999994</v>
      </c>
      <c r="E301">
        <v>101.8</v>
      </c>
      <c r="F301">
        <v>94.6</v>
      </c>
      <c r="G301">
        <v>100</v>
      </c>
      <c r="H301">
        <v>99.9</v>
      </c>
      <c r="I301">
        <v>97.9</v>
      </c>
      <c r="J301">
        <v>106.8</v>
      </c>
      <c r="K301">
        <v>80.099999999999994</v>
      </c>
      <c r="L301">
        <v>165.4</v>
      </c>
      <c r="M301" t="s">
        <v>1891</v>
      </c>
      <c r="N301" t="s">
        <v>1892</v>
      </c>
      <c r="O301" t="s">
        <v>755</v>
      </c>
      <c r="P301" t="s">
        <v>755</v>
      </c>
    </row>
    <row r="302" spans="1:16">
      <c r="A302">
        <v>301</v>
      </c>
      <c r="B302" t="s">
        <v>1267</v>
      </c>
      <c r="C302">
        <v>108.7</v>
      </c>
      <c r="D302">
        <v>72.3</v>
      </c>
      <c r="E302">
        <v>99.5</v>
      </c>
      <c r="F302">
        <v>104.4</v>
      </c>
      <c r="G302">
        <v>100.2</v>
      </c>
      <c r="H302">
        <v>99.3</v>
      </c>
      <c r="I302">
        <v>100</v>
      </c>
      <c r="J302">
        <v>100</v>
      </c>
      <c r="K302">
        <v>68.599999999999994</v>
      </c>
      <c r="L302">
        <v>196.5</v>
      </c>
      <c r="M302" t="s">
        <v>1893</v>
      </c>
      <c r="N302" t="s">
        <v>1764</v>
      </c>
      <c r="O302" t="s">
        <v>755</v>
      </c>
      <c r="P302" t="s">
        <v>801</v>
      </c>
    </row>
    <row r="303" spans="1:16">
      <c r="A303">
        <v>302</v>
      </c>
      <c r="B303" t="s">
        <v>1268</v>
      </c>
      <c r="C303">
        <v>110.5</v>
      </c>
      <c r="D303">
        <v>72.099999999999994</v>
      </c>
      <c r="E303">
        <v>103.4</v>
      </c>
      <c r="F303">
        <v>91.9</v>
      </c>
      <c r="G303">
        <v>100</v>
      </c>
      <c r="H303">
        <v>100.4</v>
      </c>
      <c r="I303">
        <v>97</v>
      </c>
      <c r="J303">
        <v>107.5</v>
      </c>
      <c r="K303">
        <v>89.2</v>
      </c>
      <c r="L303">
        <v>125</v>
      </c>
      <c r="M303" t="s">
        <v>1894</v>
      </c>
      <c r="N303" t="s">
        <v>1895</v>
      </c>
      <c r="O303" t="s">
        <v>755</v>
      </c>
      <c r="P303" t="s">
        <v>755</v>
      </c>
    </row>
    <row r="304" spans="1:16">
      <c r="A304">
        <v>303</v>
      </c>
      <c r="B304" t="s">
        <v>1269</v>
      </c>
      <c r="C304">
        <v>107.9</v>
      </c>
      <c r="D304">
        <v>67.7</v>
      </c>
      <c r="E304">
        <v>102.6</v>
      </c>
      <c r="F304">
        <v>87.7</v>
      </c>
      <c r="G304">
        <v>99.9</v>
      </c>
      <c r="H304">
        <v>100.3</v>
      </c>
      <c r="I304">
        <v>98.1</v>
      </c>
      <c r="J304">
        <v>108.1</v>
      </c>
      <c r="K304">
        <v>99.3</v>
      </c>
      <c r="L304">
        <v>108.3</v>
      </c>
      <c r="M304" t="s">
        <v>1896</v>
      </c>
      <c r="N304" t="s">
        <v>1897</v>
      </c>
      <c r="O304" t="s">
        <v>755</v>
      </c>
      <c r="P304" t="s">
        <v>755</v>
      </c>
    </row>
    <row r="305" spans="1:16">
      <c r="A305">
        <v>304</v>
      </c>
      <c r="B305" t="s">
        <v>1270</v>
      </c>
      <c r="C305">
        <v>110.4</v>
      </c>
      <c r="D305">
        <v>71.400000000000006</v>
      </c>
      <c r="E305">
        <v>103.8</v>
      </c>
      <c r="F305">
        <v>88.6</v>
      </c>
      <c r="G305">
        <v>100.1</v>
      </c>
      <c r="H305">
        <v>99.6</v>
      </c>
      <c r="I305">
        <v>97</v>
      </c>
      <c r="J305">
        <v>108.3</v>
      </c>
      <c r="K305">
        <v>89</v>
      </c>
      <c r="L305">
        <v>132</v>
      </c>
      <c r="M305" t="s">
        <v>1898</v>
      </c>
      <c r="N305" t="s">
        <v>1899</v>
      </c>
      <c r="O305" t="s">
        <v>755</v>
      </c>
      <c r="P305" t="s">
        <v>755</v>
      </c>
    </row>
    <row r="306" spans="1:16">
      <c r="A306">
        <v>305</v>
      </c>
      <c r="B306" t="s">
        <v>1271</v>
      </c>
      <c r="C306">
        <v>109.4</v>
      </c>
      <c r="D306">
        <v>77.2</v>
      </c>
      <c r="E306">
        <v>106.4</v>
      </c>
      <c r="F306">
        <v>90.5</v>
      </c>
      <c r="G306">
        <v>100.4</v>
      </c>
      <c r="H306">
        <v>99.1</v>
      </c>
      <c r="I306">
        <v>98.1</v>
      </c>
      <c r="J306">
        <v>104.4</v>
      </c>
      <c r="K306">
        <v>65.099999999999994</v>
      </c>
      <c r="L306">
        <v>180.9</v>
      </c>
      <c r="M306" t="s">
        <v>1720</v>
      </c>
      <c r="N306" t="s">
        <v>1900</v>
      </c>
      <c r="O306" t="s">
        <v>801</v>
      </c>
      <c r="P306" t="s">
        <v>801</v>
      </c>
    </row>
    <row r="307" spans="1:16">
      <c r="A307">
        <v>306</v>
      </c>
      <c r="B307" t="s">
        <v>1272</v>
      </c>
      <c r="C307">
        <v>112.2</v>
      </c>
      <c r="D307">
        <v>71.2</v>
      </c>
      <c r="E307">
        <v>105.7</v>
      </c>
      <c r="F307">
        <v>84.9</v>
      </c>
      <c r="G307">
        <v>100</v>
      </c>
      <c r="H307">
        <v>100.1</v>
      </c>
      <c r="I307">
        <v>96.4</v>
      </c>
      <c r="J307">
        <v>108.5</v>
      </c>
      <c r="K307">
        <v>91.1</v>
      </c>
      <c r="L307">
        <v>121.4</v>
      </c>
      <c r="M307" t="s">
        <v>1901</v>
      </c>
      <c r="N307" t="s">
        <v>1589</v>
      </c>
      <c r="O307" t="s">
        <v>755</v>
      </c>
      <c r="P307" t="s">
        <v>755</v>
      </c>
    </row>
    <row r="308" spans="1:16">
      <c r="A308">
        <v>307</v>
      </c>
      <c r="B308" t="s">
        <v>1273</v>
      </c>
      <c r="C308">
        <v>109.3</v>
      </c>
      <c r="D308">
        <v>68.900000000000006</v>
      </c>
      <c r="E308">
        <v>102.8</v>
      </c>
      <c r="F308">
        <v>88.4</v>
      </c>
      <c r="G308">
        <v>100</v>
      </c>
      <c r="H308">
        <v>99.7</v>
      </c>
      <c r="I308">
        <v>97.5</v>
      </c>
      <c r="J308">
        <v>109</v>
      </c>
      <c r="K308">
        <v>115.1</v>
      </c>
      <c r="L308">
        <v>55.5</v>
      </c>
      <c r="M308" t="s">
        <v>1902</v>
      </c>
      <c r="N308" t="s">
        <v>1903</v>
      </c>
      <c r="O308" t="s">
        <v>755</v>
      </c>
      <c r="P308" t="s">
        <v>755</v>
      </c>
    </row>
    <row r="309" spans="1:16">
      <c r="A309">
        <v>308</v>
      </c>
      <c r="B309" t="s">
        <v>1274</v>
      </c>
      <c r="C309">
        <v>90</v>
      </c>
      <c r="D309">
        <v>105.8</v>
      </c>
      <c r="E309">
        <v>79</v>
      </c>
      <c r="F309">
        <v>121.4</v>
      </c>
      <c r="G309">
        <v>100.1</v>
      </c>
      <c r="H309">
        <v>100</v>
      </c>
      <c r="I309">
        <v>95.9</v>
      </c>
      <c r="J309">
        <v>103.5</v>
      </c>
      <c r="K309">
        <v>115.1</v>
      </c>
      <c r="L309">
        <v>86.5</v>
      </c>
      <c r="M309" t="s">
        <v>1904</v>
      </c>
      <c r="N309" t="s">
        <v>1522</v>
      </c>
      <c r="O309" t="s">
        <v>755</v>
      </c>
      <c r="P309" t="s">
        <v>755</v>
      </c>
    </row>
    <row r="310" spans="1:16">
      <c r="A310">
        <v>309</v>
      </c>
      <c r="B310" t="s">
        <v>1275</v>
      </c>
      <c r="C310">
        <v>102.8</v>
      </c>
      <c r="D310">
        <v>97.2</v>
      </c>
      <c r="E310">
        <v>95</v>
      </c>
      <c r="F310">
        <v>105.1</v>
      </c>
      <c r="G310">
        <v>99.1</v>
      </c>
      <c r="H310">
        <v>101.2</v>
      </c>
      <c r="I310">
        <v>98.6</v>
      </c>
      <c r="J310">
        <v>101.5</v>
      </c>
      <c r="K310">
        <v>103.2</v>
      </c>
      <c r="L310">
        <v>96.2</v>
      </c>
      <c r="M310" t="s">
        <v>1905</v>
      </c>
      <c r="N310" t="s">
        <v>1906</v>
      </c>
      <c r="O310" t="s">
        <v>755</v>
      </c>
      <c r="P310" t="s">
        <v>755</v>
      </c>
    </row>
    <row r="311" spans="1:16">
      <c r="A311">
        <v>310</v>
      </c>
      <c r="B311" t="s">
        <v>1276</v>
      </c>
      <c r="C311">
        <v>101.7</v>
      </c>
      <c r="D311">
        <v>97.9</v>
      </c>
      <c r="E311">
        <v>100</v>
      </c>
      <c r="F311">
        <v>98.9</v>
      </c>
      <c r="G311">
        <v>99.6</v>
      </c>
      <c r="H311">
        <v>100.7</v>
      </c>
      <c r="I311">
        <v>99.8</v>
      </c>
      <c r="J311">
        <v>100.1</v>
      </c>
      <c r="K311">
        <v>100.3</v>
      </c>
      <c r="L311">
        <v>99.7</v>
      </c>
      <c r="M311" t="s">
        <v>1907</v>
      </c>
      <c r="N311" t="s">
        <v>1908</v>
      </c>
      <c r="O311" t="s">
        <v>755</v>
      </c>
      <c r="P311" t="s">
        <v>755</v>
      </c>
    </row>
    <row r="312" spans="1:16">
      <c r="A312">
        <v>311</v>
      </c>
      <c r="B312" t="s">
        <v>1277</v>
      </c>
      <c r="C312">
        <v>93.8</v>
      </c>
      <c r="D312">
        <v>109.6</v>
      </c>
      <c r="E312">
        <v>95.1</v>
      </c>
      <c r="F312">
        <v>109.4</v>
      </c>
      <c r="G312">
        <v>98.9</v>
      </c>
      <c r="H312">
        <v>102.2</v>
      </c>
      <c r="I312">
        <v>104</v>
      </c>
      <c r="J312">
        <v>93.2</v>
      </c>
      <c r="K312">
        <v>102.6</v>
      </c>
      <c r="L312">
        <v>95.5</v>
      </c>
      <c r="M312" t="s">
        <v>1909</v>
      </c>
      <c r="N312" t="s">
        <v>1910</v>
      </c>
      <c r="O312" t="s">
        <v>755</v>
      </c>
      <c r="P312" t="s">
        <v>755</v>
      </c>
    </row>
    <row r="313" spans="1:16">
      <c r="A313">
        <v>312</v>
      </c>
      <c r="B313" t="s">
        <v>1278</v>
      </c>
      <c r="C313">
        <v>106.7</v>
      </c>
      <c r="D313">
        <v>89.4</v>
      </c>
      <c r="E313">
        <v>103.7</v>
      </c>
      <c r="F313">
        <v>94.7</v>
      </c>
      <c r="G313">
        <v>99.1</v>
      </c>
      <c r="H313">
        <v>101.3</v>
      </c>
      <c r="I313">
        <v>99.2</v>
      </c>
      <c r="J313">
        <v>101.3</v>
      </c>
      <c r="K313">
        <v>99.7</v>
      </c>
      <c r="L313">
        <v>100.5</v>
      </c>
      <c r="M313" t="s">
        <v>1911</v>
      </c>
      <c r="N313" t="s">
        <v>1912</v>
      </c>
      <c r="O313" t="s">
        <v>755</v>
      </c>
      <c r="P313" t="s">
        <v>755</v>
      </c>
    </row>
    <row r="314" spans="1:16">
      <c r="A314">
        <v>313</v>
      </c>
      <c r="B314" t="s">
        <v>1279</v>
      </c>
      <c r="C314">
        <v>102.7</v>
      </c>
      <c r="D314">
        <v>97.5</v>
      </c>
      <c r="E314">
        <v>98.9</v>
      </c>
      <c r="F314">
        <v>102.2</v>
      </c>
      <c r="G314">
        <v>99.5</v>
      </c>
      <c r="H314">
        <v>100.5</v>
      </c>
      <c r="I314">
        <v>99.5</v>
      </c>
      <c r="J314">
        <v>100.5</v>
      </c>
      <c r="K314">
        <v>100.5</v>
      </c>
      <c r="L314">
        <v>99.4</v>
      </c>
      <c r="M314" t="s">
        <v>1913</v>
      </c>
      <c r="N314" t="s">
        <v>1914</v>
      </c>
      <c r="O314" t="s">
        <v>755</v>
      </c>
      <c r="P314" t="s">
        <v>755</v>
      </c>
    </row>
    <row r="315" spans="1:16">
      <c r="A315">
        <v>314</v>
      </c>
      <c r="B315" t="s">
        <v>1280</v>
      </c>
      <c r="C315">
        <v>105.8</v>
      </c>
      <c r="D315">
        <v>88.6</v>
      </c>
      <c r="E315">
        <v>104.5</v>
      </c>
      <c r="F315">
        <v>90.6</v>
      </c>
      <c r="G315">
        <v>99.2</v>
      </c>
      <c r="H315">
        <v>101.8</v>
      </c>
      <c r="I315">
        <v>98.3</v>
      </c>
      <c r="J315">
        <v>103.2</v>
      </c>
      <c r="K315">
        <v>100.3</v>
      </c>
      <c r="L315">
        <v>99.3</v>
      </c>
      <c r="M315" t="s">
        <v>1915</v>
      </c>
      <c r="N315" t="s">
        <v>1916</v>
      </c>
      <c r="O315" t="s">
        <v>755</v>
      </c>
      <c r="P315" t="s">
        <v>755</v>
      </c>
    </row>
    <row r="316" spans="1:16">
      <c r="A316">
        <v>315</v>
      </c>
      <c r="B316" t="s">
        <v>1281</v>
      </c>
      <c r="C316">
        <v>103.6</v>
      </c>
      <c r="D316">
        <v>87.4</v>
      </c>
      <c r="E316">
        <v>98</v>
      </c>
      <c r="F316">
        <v>106.1</v>
      </c>
      <c r="G316">
        <v>99.9</v>
      </c>
      <c r="H316">
        <v>100.2</v>
      </c>
      <c r="I316">
        <v>98.6</v>
      </c>
      <c r="J316">
        <v>104.7</v>
      </c>
      <c r="K316">
        <v>99.8</v>
      </c>
      <c r="L316">
        <v>101</v>
      </c>
      <c r="M316" t="s">
        <v>1917</v>
      </c>
      <c r="N316" t="s">
        <v>1918</v>
      </c>
      <c r="O316" t="s">
        <v>755</v>
      </c>
      <c r="P316" t="s">
        <v>755</v>
      </c>
    </row>
    <row r="317" spans="1:16">
      <c r="A317">
        <v>316</v>
      </c>
      <c r="B317" t="s">
        <v>1282</v>
      </c>
      <c r="C317">
        <v>110.5</v>
      </c>
      <c r="D317">
        <v>87.4</v>
      </c>
      <c r="E317">
        <v>104.5</v>
      </c>
      <c r="F317">
        <v>93.6</v>
      </c>
      <c r="G317">
        <v>98.5</v>
      </c>
      <c r="H317">
        <v>101.8</v>
      </c>
      <c r="I317">
        <v>99.2</v>
      </c>
      <c r="J317">
        <v>101.1</v>
      </c>
      <c r="K317">
        <v>99.3</v>
      </c>
      <c r="L317">
        <v>100.9</v>
      </c>
      <c r="M317" t="s">
        <v>1919</v>
      </c>
      <c r="N317" t="s">
        <v>1920</v>
      </c>
      <c r="O317" t="s">
        <v>755</v>
      </c>
      <c r="P317" t="s">
        <v>755</v>
      </c>
    </row>
    <row r="318" spans="1:16">
      <c r="A318">
        <v>317</v>
      </c>
      <c r="B318" t="s">
        <v>1283</v>
      </c>
      <c r="C318">
        <v>111.5</v>
      </c>
      <c r="D318">
        <v>93.7</v>
      </c>
      <c r="E318">
        <v>97.6</v>
      </c>
      <c r="F318">
        <v>98.8</v>
      </c>
      <c r="G318">
        <v>98.7</v>
      </c>
      <c r="H318">
        <v>100.7</v>
      </c>
      <c r="I318">
        <v>97.1</v>
      </c>
      <c r="J318">
        <v>101.8</v>
      </c>
      <c r="K318">
        <v>101</v>
      </c>
      <c r="L318">
        <v>99.4</v>
      </c>
      <c r="M318" t="s">
        <v>1921</v>
      </c>
      <c r="N318" t="s">
        <v>1922</v>
      </c>
      <c r="O318" t="s">
        <v>755</v>
      </c>
      <c r="P318" t="s">
        <v>755</v>
      </c>
    </row>
    <row r="319" spans="1:16">
      <c r="A319">
        <v>318</v>
      </c>
      <c r="B319" t="s">
        <v>1284</v>
      </c>
      <c r="C319">
        <v>105.8</v>
      </c>
      <c r="D319">
        <v>89.7</v>
      </c>
      <c r="E319">
        <v>106.6</v>
      </c>
      <c r="F319">
        <v>88.8</v>
      </c>
      <c r="G319">
        <v>98.7</v>
      </c>
      <c r="H319">
        <v>102.3</v>
      </c>
      <c r="I319">
        <v>99.2</v>
      </c>
      <c r="J319">
        <v>101.6</v>
      </c>
      <c r="K319">
        <v>100.4</v>
      </c>
      <c r="L319">
        <v>99.2</v>
      </c>
      <c r="M319" t="s">
        <v>1923</v>
      </c>
      <c r="N319" t="s">
        <v>1924</v>
      </c>
      <c r="O319" t="s">
        <v>755</v>
      </c>
      <c r="P319" t="s">
        <v>755</v>
      </c>
    </row>
    <row r="320" spans="1:16">
      <c r="A320">
        <v>319</v>
      </c>
      <c r="B320" t="s">
        <v>1285</v>
      </c>
      <c r="C320">
        <v>104.7</v>
      </c>
      <c r="D320">
        <v>86.9</v>
      </c>
      <c r="E320">
        <v>98.9</v>
      </c>
      <c r="F320">
        <v>104.4</v>
      </c>
      <c r="G320">
        <v>99.6</v>
      </c>
      <c r="H320">
        <v>100.9</v>
      </c>
      <c r="I320">
        <v>98.8</v>
      </c>
      <c r="J320">
        <v>103.1</v>
      </c>
      <c r="K320">
        <v>99.7</v>
      </c>
      <c r="L320">
        <v>101.3</v>
      </c>
      <c r="M320" t="s">
        <v>1925</v>
      </c>
      <c r="N320" t="s">
        <v>1926</v>
      </c>
      <c r="O320" t="s">
        <v>755</v>
      </c>
      <c r="P320" t="s">
        <v>755</v>
      </c>
    </row>
    <row r="321" spans="1:16">
      <c r="A321">
        <v>320</v>
      </c>
      <c r="B321" t="s">
        <v>1286</v>
      </c>
      <c r="C321">
        <v>97.1</v>
      </c>
      <c r="D321">
        <v>104.2</v>
      </c>
      <c r="E321">
        <v>106.8</v>
      </c>
      <c r="F321">
        <v>93.5</v>
      </c>
      <c r="G321">
        <v>100.7</v>
      </c>
      <c r="H321">
        <v>98.5</v>
      </c>
      <c r="I321">
        <v>94.5</v>
      </c>
      <c r="J321">
        <v>105.9</v>
      </c>
      <c r="K321">
        <v>100.1</v>
      </c>
      <c r="L321">
        <v>100.6</v>
      </c>
      <c r="M321" t="s">
        <v>1927</v>
      </c>
      <c r="N321" t="s">
        <v>1928</v>
      </c>
      <c r="O321" t="s">
        <v>801</v>
      </c>
      <c r="P321" t="s">
        <v>801</v>
      </c>
    </row>
    <row r="322" spans="1:16">
      <c r="A322">
        <v>321</v>
      </c>
      <c r="B322" t="s">
        <v>1287</v>
      </c>
      <c r="C322">
        <v>99.4</v>
      </c>
      <c r="D322">
        <v>100.9</v>
      </c>
      <c r="E322">
        <v>88.4</v>
      </c>
      <c r="F322">
        <v>117.6</v>
      </c>
      <c r="G322">
        <v>100.5</v>
      </c>
      <c r="H322">
        <v>99.2</v>
      </c>
      <c r="I322">
        <v>102</v>
      </c>
      <c r="J322">
        <v>96.1</v>
      </c>
      <c r="K322">
        <v>101.2</v>
      </c>
      <c r="L322">
        <v>99</v>
      </c>
      <c r="M322" t="s">
        <v>1929</v>
      </c>
      <c r="N322" t="s">
        <v>1462</v>
      </c>
      <c r="O322" t="s">
        <v>755</v>
      </c>
      <c r="P322" t="s">
        <v>801</v>
      </c>
    </row>
    <row r="323" spans="1:16">
      <c r="A323">
        <v>322</v>
      </c>
      <c r="B323" t="s">
        <v>1288</v>
      </c>
      <c r="C323">
        <v>97.3</v>
      </c>
      <c r="D323">
        <v>105.4</v>
      </c>
      <c r="E323">
        <v>83.5</v>
      </c>
      <c r="F323">
        <v>132.19999999999999</v>
      </c>
      <c r="G323">
        <v>101.6</v>
      </c>
      <c r="H323">
        <v>96.8</v>
      </c>
      <c r="I323">
        <v>104.9</v>
      </c>
      <c r="J323">
        <v>90.1</v>
      </c>
      <c r="K323">
        <v>95.7</v>
      </c>
      <c r="L323">
        <v>109</v>
      </c>
      <c r="M323" t="s">
        <v>1662</v>
      </c>
      <c r="N323" t="s">
        <v>1542</v>
      </c>
      <c r="O323" t="s">
        <v>755</v>
      </c>
      <c r="P323" t="s">
        <v>755</v>
      </c>
    </row>
    <row r="324" spans="1:16">
      <c r="A324">
        <v>323</v>
      </c>
      <c r="B324" t="s">
        <v>1289</v>
      </c>
      <c r="C324">
        <v>93.3</v>
      </c>
      <c r="D324">
        <v>132.9</v>
      </c>
      <c r="E324">
        <v>95.2</v>
      </c>
      <c r="F324">
        <v>126.8</v>
      </c>
      <c r="G324">
        <v>99.7</v>
      </c>
      <c r="H324">
        <v>100.8</v>
      </c>
      <c r="I324">
        <v>100.5</v>
      </c>
      <c r="J324">
        <v>97.1</v>
      </c>
      <c r="K324">
        <v>102.6</v>
      </c>
      <c r="L324">
        <v>88.6</v>
      </c>
      <c r="M324" t="s">
        <v>1930</v>
      </c>
      <c r="N324" t="s">
        <v>1639</v>
      </c>
      <c r="O324" t="s">
        <v>755</v>
      </c>
      <c r="P324" t="s">
        <v>801</v>
      </c>
    </row>
    <row r="325" spans="1:16">
      <c r="A325">
        <v>324</v>
      </c>
      <c r="B325" t="s">
        <v>1290</v>
      </c>
      <c r="C325">
        <v>106</v>
      </c>
      <c r="D325">
        <v>87.7</v>
      </c>
      <c r="E325">
        <v>102.1</v>
      </c>
      <c r="F325">
        <v>93.4</v>
      </c>
      <c r="G325">
        <v>99.8</v>
      </c>
      <c r="H325">
        <v>100.3</v>
      </c>
      <c r="I325">
        <v>103.1</v>
      </c>
      <c r="J325">
        <v>94.2</v>
      </c>
      <c r="K325">
        <v>92.8</v>
      </c>
      <c r="L325">
        <v>114.3</v>
      </c>
      <c r="M325" t="s">
        <v>1931</v>
      </c>
      <c r="N325" t="s">
        <v>1871</v>
      </c>
      <c r="O325" t="s">
        <v>755</v>
      </c>
      <c r="P325" t="s">
        <v>755</v>
      </c>
    </row>
    <row r="326" spans="1:16">
      <c r="A326">
        <v>325</v>
      </c>
      <c r="B326" t="s">
        <v>1291</v>
      </c>
      <c r="C326">
        <v>101.2</v>
      </c>
      <c r="D326">
        <v>97.2</v>
      </c>
      <c r="E326">
        <v>96.4</v>
      </c>
      <c r="F326">
        <v>103.8</v>
      </c>
      <c r="G326">
        <v>100.2</v>
      </c>
      <c r="H326">
        <v>99.7</v>
      </c>
      <c r="I326">
        <v>103.7</v>
      </c>
      <c r="J326">
        <v>94.5</v>
      </c>
      <c r="K326">
        <v>95.3</v>
      </c>
      <c r="L326">
        <v>107.6</v>
      </c>
      <c r="M326" t="s">
        <v>1932</v>
      </c>
      <c r="N326" t="s">
        <v>1933</v>
      </c>
      <c r="O326" t="s">
        <v>755</v>
      </c>
      <c r="P326" t="s">
        <v>755</v>
      </c>
    </row>
    <row r="327" spans="1:16">
      <c r="A327">
        <v>326</v>
      </c>
      <c r="B327" t="s">
        <v>1292</v>
      </c>
      <c r="C327">
        <v>114.4</v>
      </c>
      <c r="D327">
        <v>81.8</v>
      </c>
      <c r="E327">
        <v>111.1</v>
      </c>
      <c r="F327">
        <v>87.4</v>
      </c>
      <c r="G327">
        <v>99.6</v>
      </c>
      <c r="H327">
        <v>100.5</v>
      </c>
      <c r="I327">
        <v>95.8</v>
      </c>
      <c r="J327">
        <v>105</v>
      </c>
      <c r="K327">
        <v>95.5</v>
      </c>
      <c r="L327">
        <v>105.8</v>
      </c>
      <c r="M327" t="s">
        <v>1528</v>
      </c>
      <c r="N327" t="s">
        <v>1934</v>
      </c>
      <c r="O327" t="s">
        <v>801</v>
      </c>
      <c r="P327" t="s">
        <v>801</v>
      </c>
    </row>
    <row r="328" spans="1:16">
      <c r="A328">
        <v>327</v>
      </c>
      <c r="B328" t="s">
        <v>1293</v>
      </c>
      <c r="C328">
        <v>103.2</v>
      </c>
      <c r="D328">
        <v>89.3</v>
      </c>
      <c r="E328">
        <v>101.6</v>
      </c>
      <c r="F328">
        <v>89</v>
      </c>
      <c r="G328">
        <v>100</v>
      </c>
      <c r="H328">
        <v>100</v>
      </c>
      <c r="I328">
        <v>101.1</v>
      </c>
      <c r="J328">
        <v>96</v>
      </c>
      <c r="K328">
        <v>93.9</v>
      </c>
      <c r="L328">
        <v>122.2</v>
      </c>
      <c r="M328" t="s">
        <v>1935</v>
      </c>
      <c r="N328" t="s">
        <v>1743</v>
      </c>
      <c r="O328" t="s">
        <v>755</v>
      </c>
      <c r="P328" t="s">
        <v>755</v>
      </c>
    </row>
    <row r="329" spans="1:16">
      <c r="A329">
        <v>328</v>
      </c>
      <c r="B329" t="s">
        <v>1294</v>
      </c>
      <c r="C329">
        <v>115.4</v>
      </c>
      <c r="D329">
        <v>78.8</v>
      </c>
      <c r="E329">
        <v>111.9</v>
      </c>
      <c r="F329">
        <v>81.400000000000006</v>
      </c>
      <c r="G329">
        <v>99.4</v>
      </c>
      <c r="H329">
        <v>101</v>
      </c>
      <c r="I329">
        <v>103</v>
      </c>
      <c r="J329">
        <v>96.5</v>
      </c>
      <c r="K329">
        <v>82.3</v>
      </c>
      <c r="L329">
        <v>123.1</v>
      </c>
      <c r="M329" t="s">
        <v>1936</v>
      </c>
      <c r="N329" t="s">
        <v>1937</v>
      </c>
      <c r="O329" t="s">
        <v>755</v>
      </c>
      <c r="P329" t="s">
        <v>755</v>
      </c>
    </row>
    <row r="330" spans="1:16">
      <c r="A330">
        <v>329</v>
      </c>
      <c r="B330" t="s">
        <v>1295</v>
      </c>
      <c r="C330">
        <v>126.3</v>
      </c>
      <c r="D330">
        <v>91.2</v>
      </c>
      <c r="E330">
        <v>150.5</v>
      </c>
      <c r="F330">
        <v>83.9</v>
      </c>
      <c r="G330">
        <v>96.9</v>
      </c>
      <c r="H330">
        <v>101.2</v>
      </c>
      <c r="I330">
        <v>98.8</v>
      </c>
      <c r="J330">
        <v>101.9</v>
      </c>
      <c r="K330">
        <v>94.4</v>
      </c>
      <c r="L330">
        <v>99.8</v>
      </c>
      <c r="M330" t="s">
        <v>1900</v>
      </c>
      <c r="N330" t="s">
        <v>1938</v>
      </c>
      <c r="O330" t="s">
        <v>801</v>
      </c>
      <c r="P330" t="s">
        <v>755</v>
      </c>
    </row>
    <row r="331" spans="1:16">
      <c r="A331">
        <v>330</v>
      </c>
      <c r="B331" t="s">
        <v>1296</v>
      </c>
      <c r="C331">
        <v>104.1</v>
      </c>
      <c r="D331">
        <v>87.4</v>
      </c>
      <c r="E331">
        <v>103.9</v>
      </c>
      <c r="F331">
        <v>83.9</v>
      </c>
      <c r="G331">
        <v>100</v>
      </c>
      <c r="H331">
        <v>99.9</v>
      </c>
      <c r="I331">
        <v>100.3</v>
      </c>
      <c r="J331">
        <v>98.3</v>
      </c>
      <c r="K331">
        <v>93.4</v>
      </c>
      <c r="L331">
        <v>122.2</v>
      </c>
      <c r="M331" t="s">
        <v>1939</v>
      </c>
      <c r="N331" t="s">
        <v>1462</v>
      </c>
      <c r="O331" t="s">
        <v>755</v>
      </c>
      <c r="P331" t="s">
        <v>801</v>
      </c>
    </row>
    <row r="332" spans="1:16">
      <c r="A332">
        <v>331</v>
      </c>
      <c r="B332" t="s">
        <v>1297</v>
      </c>
      <c r="C332">
        <v>86.1</v>
      </c>
      <c r="D332">
        <v>107.2</v>
      </c>
      <c r="E332">
        <v>113.4</v>
      </c>
      <c r="F332">
        <v>93.4</v>
      </c>
      <c r="G332">
        <v>103.5</v>
      </c>
      <c r="H332">
        <v>98.4</v>
      </c>
      <c r="I332">
        <v>94.3</v>
      </c>
      <c r="J332">
        <v>103.2</v>
      </c>
      <c r="K332">
        <v>100.8</v>
      </c>
      <c r="L332">
        <v>98.1</v>
      </c>
      <c r="M332" t="s">
        <v>1940</v>
      </c>
      <c r="N332" t="s">
        <v>1941</v>
      </c>
      <c r="O332" t="s">
        <v>801</v>
      </c>
      <c r="P332" t="s">
        <v>801</v>
      </c>
    </row>
    <row r="333" spans="1:16">
      <c r="A333">
        <v>332</v>
      </c>
      <c r="B333" t="s">
        <v>1298</v>
      </c>
      <c r="C333">
        <v>89.3</v>
      </c>
      <c r="D333">
        <v>111.8</v>
      </c>
      <c r="E333">
        <v>77.5</v>
      </c>
      <c r="F333">
        <v>121.1</v>
      </c>
      <c r="G333">
        <v>99.1</v>
      </c>
      <c r="H333">
        <v>100</v>
      </c>
      <c r="I333">
        <v>109.3</v>
      </c>
      <c r="J333">
        <v>93.1</v>
      </c>
      <c r="K333">
        <v>108.2</v>
      </c>
      <c r="L333">
        <v>90.5</v>
      </c>
      <c r="M333" t="s">
        <v>1534</v>
      </c>
      <c r="N333" t="s">
        <v>1942</v>
      </c>
      <c r="O333" t="s">
        <v>801</v>
      </c>
      <c r="P333" t="s">
        <v>801</v>
      </c>
    </row>
    <row r="334" spans="1:16">
      <c r="A334">
        <v>333</v>
      </c>
      <c r="B334" t="s">
        <v>1299</v>
      </c>
      <c r="C334">
        <v>95.5</v>
      </c>
      <c r="D334">
        <v>106.7</v>
      </c>
      <c r="E334">
        <v>76.7</v>
      </c>
      <c r="F334">
        <v>101.3</v>
      </c>
      <c r="G334">
        <v>100</v>
      </c>
      <c r="H334">
        <v>101</v>
      </c>
      <c r="I334">
        <v>98.7</v>
      </c>
      <c r="J334">
        <v>102.8</v>
      </c>
      <c r="K334">
        <v>110.2</v>
      </c>
      <c r="L334">
        <v>86.1</v>
      </c>
      <c r="M334" t="s">
        <v>1668</v>
      </c>
      <c r="N334" t="s">
        <v>1943</v>
      </c>
      <c r="O334" t="s">
        <v>801</v>
      </c>
      <c r="P334" t="s">
        <v>801</v>
      </c>
    </row>
    <row r="335" spans="1:16">
      <c r="A335">
        <v>334</v>
      </c>
      <c r="B335" t="s">
        <v>1300</v>
      </c>
      <c r="C335">
        <v>89.1</v>
      </c>
      <c r="D335">
        <v>109.5</v>
      </c>
      <c r="E335">
        <v>80.8</v>
      </c>
      <c r="F335">
        <v>112.4</v>
      </c>
      <c r="G335">
        <v>100.9</v>
      </c>
      <c r="H335">
        <v>99.2</v>
      </c>
      <c r="I335">
        <v>103.3</v>
      </c>
      <c r="J335">
        <v>98.2</v>
      </c>
      <c r="K335">
        <v>110.6</v>
      </c>
      <c r="L335">
        <v>91.3</v>
      </c>
      <c r="M335" t="s">
        <v>1944</v>
      </c>
      <c r="N335" t="s">
        <v>1945</v>
      </c>
      <c r="O335" t="s">
        <v>755</v>
      </c>
      <c r="P335" t="s">
        <v>755</v>
      </c>
    </row>
    <row r="336" spans="1:16">
      <c r="A336">
        <v>335</v>
      </c>
      <c r="B336" t="s">
        <v>1301</v>
      </c>
      <c r="C336">
        <v>101.9</v>
      </c>
      <c r="D336">
        <v>94.3</v>
      </c>
      <c r="E336">
        <v>109.5</v>
      </c>
      <c r="F336">
        <v>89.8</v>
      </c>
      <c r="G336">
        <v>100.8</v>
      </c>
      <c r="H336">
        <v>99.1</v>
      </c>
      <c r="I336">
        <v>100.5</v>
      </c>
      <c r="J336">
        <v>98.8</v>
      </c>
      <c r="K336">
        <v>90.2</v>
      </c>
      <c r="L336">
        <v>116.5</v>
      </c>
      <c r="M336" t="s">
        <v>1559</v>
      </c>
      <c r="N336" t="s">
        <v>1857</v>
      </c>
      <c r="O336" t="s">
        <v>755</v>
      </c>
      <c r="P336" t="s">
        <v>755</v>
      </c>
    </row>
    <row r="337" spans="1:16">
      <c r="A337">
        <v>336</v>
      </c>
      <c r="B337" t="s">
        <v>1302</v>
      </c>
      <c r="C337">
        <v>94.3</v>
      </c>
      <c r="D337">
        <v>99.4</v>
      </c>
      <c r="E337">
        <v>126.7</v>
      </c>
      <c r="F337">
        <v>72.099999999999994</v>
      </c>
      <c r="G337">
        <v>100.9</v>
      </c>
      <c r="H337">
        <v>99.5</v>
      </c>
      <c r="I337">
        <v>100.2</v>
      </c>
      <c r="J337">
        <v>99.4</v>
      </c>
      <c r="K337">
        <v>96.4</v>
      </c>
      <c r="L337">
        <v>108</v>
      </c>
      <c r="M337" t="s">
        <v>1577</v>
      </c>
      <c r="N337" t="s">
        <v>1946</v>
      </c>
      <c r="O337" t="s">
        <v>801</v>
      </c>
      <c r="P337" t="s">
        <v>801</v>
      </c>
    </row>
    <row r="338" spans="1:16">
      <c r="A338">
        <v>337</v>
      </c>
      <c r="B338" t="s">
        <v>1303</v>
      </c>
      <c r="C338">
        <v>118.5</v>
      </c>
      <c r="D338">
        <v>84.4</v>
      </c>
      <c r="E338">
        <v>82.1</v>
      </c>
      <c r="F338">
        <v>116</v>
      </c>
      <c r="G338">
        <v>97.7</v>
      </c>
      <c r="H338">
        <v>101.8</v>
      </c>
      <c r="I338">
        <v>99.1</v>
      </c>
      <c r="J338">
        <v>99.5</v>
      </c>
      <c r="K338">
        <v>91</v>
      </c>
      <c r="L338">
        <v>112.8</v>
      </c>
      <c r="M338" t="s">
        <v>1947</v>
      </c>
      <c r="N338" t="s">
        <v>1717</v>
      </c>
      <c r="O338" t="s">
        <v>801</v>
      </c>
      <c r="P338" t="s">
        <v>801</v>
      </c>
    </row>
    <row r="339" spans="1:16">
      <c r="A339">
        <v>338</v>
      </c>
      <c r="B339" t="s">
        <v>1304</v>
      </c>
      <c r="C339">
        <v>98</v>
      </c>
      <c r="D339">
        <v>102</v>
      </c>
      <c r="E339">
        <v>80.900000000000006</v>
      </c>
      <c r="F339">
        <v>113.5</v>
      </c>
      <c r="G339">
        <v>100.4</v>
      </c>
      <c r="H339">
        <v>99.7</v>
      </c>
      <c r="I339">
        <v>102.7</v>
      </c>
      <c r="J339">
        <v>97.9</v>
      </c>
      <c r="K339">
        <v>125.6</v>
      </c>
      <c r="L339">
        <v>81.099999999999994</v>
      </c>
      <c r="M339" t="s">
        <v>1948</v>
      </c>
      <c r="N339" t="s">
        <v>1949</v>
      </c>
      <c r="O339" t="s">
        <v>755</v>
      </c>
      <c r="P339" t="s">
        <v>755</v>
      </c>
    </row>
    <row r="340" spans="1:16">
      <c r="A340">
        <v>339</v>
      </c>
      <c r="B340" t="s">
        <v>1305</v>
      </c>
      <c r="C340">
        <v>94.4</v>
      </c>
      <c r="D340">
        <v>104.5</v>
      </c>
      <c r="E340">
        <v>73.8</v>
      </c>
      <c r="F340">
        <v>117.2</v>
      </c>
      <c r="G340">
        <v>98.4</v>
      </c>
      <c r="H340">
        <v>101</v>
      </c>
      <c r="I340">
        <v>107.7</v>
      </c>
      <c r="J340">
        <v>94.6</v>
      </c>
      <c r="K340">
        <v>144.80000000000001</v>
      </c>
      <c r="L340">
        <v>72.5</v>
      </c>
      <c r="M340" t="s">
        <v>1752</v>
      </c>
      <c r="N340" t="s">
        <v>1950</v>
      </c>
      <c r="O340" t="s">
        <v>801</v>
      </c>
      <c r="P340" t="s">
        <v>755</v>
      </c>
    </row>
    <row r="341" spans="1:16">
      <c r="A341">
        <v>340</v>
      </c>
      <c r="B341" t="s">
        <v>1306</v>
      </c>
      <c r="C341">
        <v>106.2</v>
      </c>
      <c r="D341">
        <v>95.1</v>
      </c>
      <c r="E341">
        <v>98.4</v>
      </c>
      <c r="F341">
        <v>103.4</v>
      </c>
      <c r="G341">
        <v>100</v>
      </c>
      <c r="H341">
        <v>99.9</v>
      </c>
      <c r="I341">
        <v>98.3</v>
      </c>
      <c r="J341">
        <v>101.3</v>
      </c>
      <c r="K341">
        <v>102.8</v>
      </c>
      <c r="L341">
        <v>100.5</v>
      </c>
      <c r="M341" t="s">
        <v>1951</v>
      </c>
      <c r="N341" t="s">
        <v>1952</v>
      </c>
      <c r="O341" t="s">
        <v>755</v>
      </c>
      <c r="P341" t="s">
        <v>755</v>
      </c>
    </row>
    <row r="342" spans="1:16">
      <c r="A342">
        <v>341</v>
      </c>
      <c r="B342" t="s">
        <v>1307</v>
      </c>
      <c r="C342">
        <v>102.7</v>
      </c>
      <c r="D342">
        <v>98.5</v>
      </c>
      <c r="E342">
        <v>80.099999999999994</v>
      </c>
      <c r="F342">
        <v>121.8</v>
      </c>
      <c r="G342">
        <v>101.7</v>
      </c>
      <c r="H342">
        <v>98.4</v>
      </c>
      <c r="I342">
        <v>95.2</v>
      </c>
      <c r="J342">
        <v>104</v>
      </c>
      <c r="K342">
        <v>132.80000000000001</v>
      </c>
      <c r="L342">
        <v>70.400000000000006</v>
      </c>
      <c r="M342" t="s">
        <v>1953</v>
      </c>
      <c r="N342" t="s">
        <v>1556</v>
      </c>
      <c r="O342" t="s">
        <v>801</v>
      </c>
      <c r="P342" t="s">
        <v>801</v>
      </c>
    </row>
    <row r="343" spans="1:16">
      <c r="A343">
        <v>342</v>
      </c>
      <c r="B343" t="s">
        <v>1308</v>
      </c>
      <c r="C343">
        <v>103</v>
      </c>
      <c r="D343">
        <v>98.2</v>
      </c>
      <c r="E343">
        <v>105.2</v>
      </c>
      <c r="F343">
        <v>97.5</v>
      </c>
      <c r="G343">
        <v>99.6</v>
      </c>
      <c r="H343">
        <v>100.2</v>
      </c>
      <c r="I343">
        <v>100.8</v>
      </c>
      <c r="J343">
        <v>99.5</v>
      </c>
      <c r="K343">
        <v>48.9</v>
      </c>
      <c r="L343">
        <v>134.1</v>
      </c>
      <c r="M343" t="s">
        <v>1954</v>
      </c>
      <c r="N343" t="s">
        <v>1955</v>
      </c>
      <c r="O343" t="s">
        <v>755</v>
      </c>
      <c r="P343" t="s">
        <v>755</v>
      </c>
    </row>
    <row r="344" spans="1:16">
      <c r="A344">
        <v>343</v>
      </c>
      <c r="B344" t="s">
        <v>1309</v>
      </c>
      <c r="C344">
        <v>108.7</v>
      </c>
      <c r="D344">
        <v>92.3</v>
      </c>
      <c r="E344">
        <v>102</v>
      </c>
      <c r="F344">
        <v>100.8</v>
      </c>
      <c r="G344">
        <v>99.7</v>
      </c>
      <c r="H344">
        <v>100.1</v>
      </c>
      <c r="I344">
        <v>98</v>
      </c>
      <c r="J344">
        <v>101.9</v>
      </c>
      <c r="K344">
        <v>107.2</v>
      </c>
      <c r="L344">
        <v>97.3</v>
      </c>
      <c r="M344" t="s">
        <v>1956</v>
      </c>
      <c r="N344" t="s">
        <v>1957</v>
      </c>
      <c r="O344" t="s">
        <v>755</v>
      </c>
      <c r="P344" t="s">
        <v>755</v>
      </c>
    </row>
    <row r="345" spans="1:16">
      <c r="A345">
        <v>344</v>
      </c>
      <c r="B345" t="s">
        <v>1310</v>
      </c>
      <c r="C345">
        <v>115.4</v>
      </c>
      <c r="D345">
        <v>91.7</v>
      </c>
      <c r="E345">
        <v>101.5</v>
      </c>
      <c r="F345">
        <v>102</v>
      </c>
      <c r="G345">
        <v>99.2</v>
      </c>
      <c r="H345">
        <v>100.4</v>
      </c>
      <c r="I345">
        <v>97.5</v>
      </c>
      <c r="J345">
        <v>101.3</v>
      </c>
      <c r="K345">
        <v>61.7</v>
      </c>
      <c r="L345">
        <v>122.1</v>
      </c>
      <c r="M345" t="s">
        <v>1417</v>
      </c>
      <c r="N345" t="s">
        <v>1958</v>
      </c>
      <c r="O345" t="s">
        <v>755</v>
      </c>
      <c r="P345" t="s">
        <v>755</v>
      </c>
    </row>
    <row r="346" spans="1:16">
      <c r="A346">
        <v>345</v>
      </c>
      <c r="B346" t="s">
        <v>1311</v>
      </c>
      <c r="C346">
        <v>113.2</v>
      </c>
      <c r="D346">
        <v>94.7</v>
      </c>
      <c r="E346">
        <v>97.1</v>
      </c>
      <c r="F346">
        <v>101.9</v>
      </c>
      <c r="G346">
        <v>97.5</v>
      </c>
      <c r="H346">
        <v>101</v>
      </c>
      <c r="I346">
        <v>101.5</v>
      </c>
      <c r="J346">
        <v>99.3</v>
      </c>
      <c r="K346">
        <v>51.5</v>
      </c>
      <c r="L346">
        <v>119.7</v>
      </c>
      <c r="M346" t="s">
        <v>1513</v>
      </c>
      <c r="N346" t="s">
        <v>1959</v>
      </c>
      <c r="O346" t="s">
        <v>801</v>
      </c>
      <c r="P346" t="s">
        <v>755</v>
      </c>
    </row>
    <row r="347" spans="1:16">
      <c r="A347">
        <v>346</v>
      </c>
      <c r="B347" t="s">
        <v>1312</v>
      </c>
      <c r="C347">
        <v>115.5</v>
      </c>
      <c r="D347">
        <v>88.6</v>
      </c>
      <c r="E347">
        <v>95.4</v>
      </c>
      <c r="F347">
        <v>106.7</v>
      </c>
      <c r="G347">
        <v>100.4</v>
      </c>
      <c r="H347">
        <v>99.5</v>
      </c>
      <c r="I347">
        <v>95.3</v>
      </c>
      <c r="J347">
        <v>103.7</v>
      </c>
      <c r="K347">
        <v>107.5</v>
      </c>
      <c r="L347">
        <v>89.3</v>
      </c>
      <c r="M347" t="s">
        <v>1960</v>
      </c>
      <c r="N347" t="s">
        <v>1573</v>
      </c>
      <c r="O347" t="s">
        <v>755</v>
      </c>
      <c r="P347" t="s">
        <v>755</v>
      </c>
    </row>
    <row r="348" spans="1:16">
      <c r="A348">
        <v>347</v>
      </c>
      <c r="B348" t="s">
        <v>1313</v>
      </c>
      <c r="C348">
        <v>98.2</v>
      </c>
      <c r="D348">
        <v>103.9</v>
      </c>
      <c r="E348">
        <v>90.3</v>
      </c>
      <c r="F348">
        <v>123.2</v>
      </c>
      <c r="G348">
        <v>99.2</v>
      </c>
      <c r="H348">
        <v>102.5</v>
      </c>
      <c r="I348">
        <v>100.8</v>
      </c>
      <c r="J348">
        <v>97.9</v>
      </c>
      <c r="K348">
        <v>102.9</v>
      </c>
      <c r="L348">
        <v>92.3</v>
      </c>
      <c r="M348" t="s">
        <v>1961</v>
      </c>
      <c r="N348" t="s">
        <v>1962</v>
      </c>
      <c r="O348" t="s">
        <v>755</v>
      </c>
      <c r="P348" t="s">
        <v>755</v>
      </c>
    </row>
    <row r="349" spans="1:16">
      <c r="A349">
        <v>348</v>
      </c>
      <c r="B349" t="s">
        <v>1314</v>
      </c>
      <c r="C349">
        <v>98.2</v>
      </c>
      <c r="D349">
        <v>103.9</v>
      </c>
      <c r="E349">
        <v>90.6</v>
      </c>
      <c r="F349">
        <v>122.6</v>
      </c>
      <c r="G349">
        <v>99.1</v>
      </c>
      <c r="H349">
        <v>102.5</v>
      </c>
      <c r="I349">
        <v>100.7</v>
      </c>
      <c r="J349">
        <v>98.1</v>
      </c>
      <c r="K349">
        <v>103</v>
      </c>
      <c r="L349">
        <v>91.9</v>
      </c>
      <c r="M349" t="s">
        <v>1963</v>
      </c>
      <c r="N349" t="s">
        <v>1964</v>
      </c>
      <c r="O349" t="s">
        <v>755</v>
      </c>
      <c r="P349" t="s">
        <v>755</v>
      </c>
    </row>
    <row r="350" spans="1:16">
      <c r="A350">
        <v>349</v>
      </c>
      <c r="B350" t="s">
        <v>1315</v>
      </c>
      <c r="C350">
        <v>98.4</v>
      </c>
      <c r="D350">
        <v>102.9</v>
      </c>
      <c r="E350">
        <v>119.9</v>
      </c>
      <c r="F350">
        <v>61.6</v>
      </c>
      <c r="G350">
        <v>99.9</v>
      </c>
      <c r="H350">
        <v>100.3</v>
      </c>
      <c r="I350">
        <v>101.8</v>
      </c>
      <c r="J350">
        <v>94.4</v>
      </c>
      <c r="K350">
        <v>97.6</v>
      </c>
      <c r="L350">
        <v>108</v>
      </c>
      <c r="M350" t="s">
        <v>1965</v>
      </c>
      <c r="N350" t="s">
        <v>1794</v>
      </c>
      <c r="O350" t="s">
        <v>755</v>
      </c>
      <c r="P350" t="s">
        <v>755</v>
      </c>
    </row>
    <row r="351" spans="1:16">
      <c r="A351">
        <v>350</v>
      </c>
      <c r="B351" t="s">
        <v>1316</v>
      </c>
      <c r="C351">
        <v>98.5</v>
      </c>
      <c r="D351">
        <v>102.8</v>
      </c>
      <c r="E351">
        <v>118.9</v>
      </c>
      <c r="F351">
        <v>63.1</v>
      </c>
      <c r="G351">
        <v>99.8</v>
      </c>
      <c r="H351">
        <v>100.4</v>
      </c>
      <c r="I351">
        <v>101.6</v>
      </c>
      <c r="J351">
        <v>94.6</v>
      </c>
      <c r="K351">
        <v>98.1</v>
      </c>
      <c r="L351">
        <v>107.2</v>
      </c>
      <c r="M351" t="s">
        <v>1951</v>
      </c>
      <c r="N351" t="s">
        <v>1966</v>
      </c>
      <c r="O351" t="s">
        <v>755</v>
      </c>
      <c r="P351" t="s">
        <v>755</v>
      </c>
    </row>
    <row r="352" spans="1:16">
      <c r="A352">
        <v>351</v>
      </c>
      <c r="B352" t="s">
        <v>1317</v>
      </c>
      <c r="C352">
        <v>106.5</v>
      </c>
      <c r="D352">
        <v>95.6</v>
      </c>
      <c r="E352">
        <v>87.9</v>
      </c>
      <c r="F352">
        <v>106.9</v>
      </c>
      <c r="G352">
        <v>101.9</v>
      </c>
      <c r="H352">
        <v>98.8</v>
      </c>
      <c r="I352">
        <v>95.1</v>
      </c>
      <c r="J352">
        <v>103.2</v>
      </c>
      <c r="K352">
        <v>110.7</v>
      </c>
      <c r="L352">
        <v>95.3</v>
      </c>
      <c r="M352" t="s">
        <v>1534</v>
      </c>
      <c r="N352" t="s">
        <v>1967</v>
      </c>
      <c r="O352" t="s">
        <v>801</v>
      </c>
      <c r="P352" t="s">
        <v>801</v>
      </c>
    </row>
    <row r="353" spans="1:16">
      <c r="A353">
        <v>352</v>
      </c>
      <c r="B353" t="s">
        <v>1318</v>
      </c>
      <c r="C353">
        <v>101.1</v>
      </c>
      <c r="D353">
        <v>98.7</v>
      </c>
      <c r="E353">
        <v>104.7</v>
      </c>
      <c r="F353">
        <v>95.3</v>
      </c>
      <c r="G353">
        <v>98</v>
      </c>
      <c r="H353">
        <v>101.4</v>
      </c>
      <c r="I353">
        <v>85.6</v>
      </c>
      <c r="J353">
        <v>107.7</v>
      </c>
      <c r="K353">
        <v>155.5</v>
      </c>
      <c r="L353">
        <v>73.5</v>
      </c>
      <c r="M353" t="s">
        <v>1968</v>
      </c>
      <c r="N353" t="s">
        <v>1661</v>
      </c>
      <c r="O353" t="s">
        <v>801</v>
      </c>
      <c r="P353" t="s">
        <v>801</v>
      </c>
    </row>
    <row r="354" spans="1:16">
      <c r="A354">
        <v>353</v>
      </c>
      <c r="B354" t="s">
        <v>1319</v>
      </c>
      <c r="C354">
        <v>102.5</v>
      </c>
      <c r="D354">
        <v>97.7</v>
      </c>
      <c r="E354">
        <v>107.4</v>
      </c>
      <c r="F354">
        <v>92.2</v>
      </c>
      <c r="G354">
        <v>101.5</v>
      </c>
      <c r="H354">
        <v>98.8</v>
      </c>
      <c r="I354">
        <v>91</v>
      </c>
      <c r="J354">
        <v>108</v>
      </c>
      <c r="K354">
        <v>106.1</v>
      </c>
      <c r="L354">
        <v>95.3</v>
      </c>
      <c r="M354" t="s">
        <v>1880</v>
      </c>
      <c r="N354" t="s">
        <v>1740</v>
      </c>
      <c r="O354" t="s">
        <v>801</v>
      </c>
      <c r="P354" t="s">
        <v>801</v>
      </c>
    </row>
    <row r="355" spans="1:16">
      <c r="A355">
        <v>354</v>
      </c>
      <c r="B355" t="s">
        <v>1320</v>
      </c>
      <c r="C355">
        <v>101.5</v>
      </c>
      <c r="D355">
        <v>98.3</v>
      </c>
      <c r="E355">
        <v>89.8</v>
      </c>
      <c r="F355">
        <v>106</v>
      </c>
      <c r="G355">
        <v>99.9</v>
      </c>
      <c r="H355">
        <v>100.2</v>
      </c>
      <c r="I355">
        <v>96.3</v>
      </c>
      <c r="J355">
        <v>102.9</v>
      </c>
      <c r="K355">
        <v>126</v>
      </c>
      <c r="L355">
        <v>83.3</v>
      </c>
      <c r="M355" t="s">
        <v>1969</v>
      </c>
      <c r="N355" t="s">
        <v>1970</v>
      </c>
      <c r="O355" t="s">
        <v>755</v>
      </c>
      <c r="P355" t="s">
        <v>755</v>
      </c>
    </row>
    <row r="356" spans="1:16">
      <c r="A356">
        <v>355</v>
      </c>
      <c r="B356" t="s">
        <v>1321</v>
      </c>
      <c r="C356">
        <v>100.3</v>
      </c>
      <c r="D356">
        <v>98.8</v>
      </c>
      <c r="E356">
        <v>87.6</v>
      </c>
      <c r="F356">
        <v>107.3</v>
      </c>
      <c r="G356">
        <v>100.1</v>
      </c>
      <c r="H356">
        <v>100</v>
      </c>
      <c r="I356">
        <v>96</v>
      </c>
      <c r="J356">
        <v>103</v>
      </c>
      <c r="K356">
        <v>129.6</v>
      </c>
      <c r="L356">
        <v>81.8</v>
      </c>
      <c r="M356" t="s">
        <v>1685</v>
      </c>
      <c r="N356" t="s">
        <v>1971</v>
      </c>
      <c r="O356" t="s">
        <v>755</v>
      </c>
      <c r="P356" t="s">
        <v>755</v>
      </c>
    </row>
    <row r="357" spans="1:16">
      <c r="A357">
        <v>356</v>
      </c>
      <c r="B357" t="s">
        <v>1322</v>
      </c>
      <c r="C357">
        <v>110.6</v>
      </c>
      <c r="D357">
        <v>81.599999999999994</v>
      </c>
      <c r="E357">
        <v>99.9</v>
      </c>
      <c r="F357">
        <v>105</v>
      </c>
      <c r="G357">
        <v>99.4</v>
      </c>
      <c r="H357">
        <v>100.8</v>
      </c>
      <c r="I357">
        <v>100.5</v>
      </c>
      <c r="J357">
        <v>101.2</v>
      </c>
      <c r="K357">
        <v>76</v>
      </c>
      <c r="L357">
        <v>132.19999999999999</v>
      </c>
      <c r="M357" t="s">
        <v>1950</v>
      </c>
      <c r="N357" t="s">
        <v>1942</v>
      </c>
      <c r="O357" t="s">
        <v>755</v>
      </c>
      <c r="P357" t="s">
        <v>801</v>
      </c>
    </row>
    <row r="358" spans="1:16">
      <c r="A358">
        <v>357</v>
      </c>
      <c r="B358" t="s">
        <v>1323</v>
      </c>
      <c r="C358">
        <v>102.8</v>
      </c>
      <c r="D358">
        <v>93.8</v>
      </c>
      <c r="E358">
        <v>100.6</v>
      </c>
      <c r="F358">
        <v>104.5</v>
      </c>
      <c r="G358">
        <v>100.9</v>
      </c>
      <c r="H358">
        <v>95.5</v>
      </c>
      <c r="I358">
        <v>97.1</v>
      </c>
      <c r="J358">
        <v>109.1</v>
      </c>
      <c r="K358">
        <v>99.4</v>
      </c>
      <c r="L358">
        <v>111.1</v>
      </c>
      <c r="M358" t="s">
        <v>1972</v>
      </c>
      <c r="N358" t="s">
        <v>1709</v>
      </c>
      <c r="O358" t="s">
        <v>755</v>
      </c>
      <c r="P358" t="s">
        <v>801</v>
      </c>
    </row>
    <row r="359" spans="1:16">
      <c r="A359">
        <v>358</v>
      </c>
      <c r="B359" t="s">
        <v>1324</v>
      </c>
      <c r="C359">
        <v>106.2</v>
      </c>
      <c r="D359">
        <v>78.7</v>
      </c>
      <c r="E359">
        <v>105.6</v>
      </c>
      <c r="F359">
        <v>79</v>
      </c>
      <c r="G359">
        <v>99.4</v>
      </c>
      <c r="H359">
        <v>102</v>
      </c>
      <c r="I359">
        <v>98.2</v>
      </c>
      <c r="J359">
        <v>106.3</v>
      </c>
      <c r="K359">
        <v>100.1</v>
      </c>
      <c r="L359">
        <v>103.6</v>
      </c>
      <c r="M359" t="s">
        <v>1973</v>
      </c>
      <c r="N359" t="s">
        <v>1974</v>
      </c>
      <c r="O359" t="s">
        <v>755</v>
      </c>
      <c r="P359" t="s">
        <v>755</v>
      </c>
    </row>
    <row r="360" spans="1:16">
      <c r="A360">
        <v>359</v>
      </c>
      <c r="B360" t="s">
        <v>1325</v>
      </c>
      <c r="C360">
        <v>105.4</v>
      </c>
      <c r="D360">
        <v>85.9</v>
      </c>
      <c r="E360">
        <v>96.5</v>
      </c>
      <c r="F360">
        <v>117</v>
      </c>
      <c r="G360">
        <v>99.5</v>
      </c>
      <c r="H360">
        <v>101</v>
      </c>
      <c r="I360">
        <v>99.2</v>
      </c>
      <c r="J360">
        <v>101.2</v>
      </c>
      <c r="K360">
        <v>82.8</v>
      </c>
      <c r="L360">
        <v>162.1</v>
      </c>
      <c r="M360" t="s">
        <v>1975</v>
      </c>
      <c r="N360" t="s">
        <v>1976</v>
      </c>
      <c r="O360" t="s">
        <v>755</v>
      </c>
      <c r="P360" t="s">
        <v>801</v>
      </c>
    </row>
    <row r="361" spans="1:16">
      <c r="A361">
        <v>360</v>
      </c>
      <c r="B361" t="s">
        <v>1326</v>
      </c>
      <c r="C361">
        <v>105.5</v>
      </c>
      <c r="D361">
        <v>80.8</v>
      </c>
      <c r="E361">
        <v>108.1</v>
      </c>
      <c r="F361">
        <v>69.7</v>
      </c>
      <c r="G361">
        <v>99.4</v>
      </c>
      <c r="H361">
        <v>102</v>
      </c>
      <c r="I361">
        <v>98</v>
      </c>
      <c r="J361">
        <v>107.1</v>
      </c>
      <c r="K361">
        <v>105.4</v>
      </c>
      <c r="L361">
        <v>86.4</v>
      </c>
      <c r="M361" t="s">
        <v>1977</v>
      </c>
      <c r="N361" t="s">
        <v>1978</v>
      </c>
      <c r="O361" t="s">
        <v>755</v>
      </c>
      <c r="P361" t="s">
        <v>755</v>
      </c>
    </row>
    <row r="362" spans="1:16">
      <c r="A362">
        <v>361</v>
      </c>
      <c r="B362" t="s">
        <v>1327</v>
      </c>
      <c r="C362">
        <v>106.9</v>
      </c>
      <c r="D362">
        <v>75.900000000000006</v>
      </c>
      <c r="E362">
        <v>105.4</v>
      </c>
      <c r="F362">
        <v>79.099999999999994</v>
      </c>
      <c r="G362">
        <v>99.4</v>
      </c>
      <c r="H362">
        <v>102.2</v>
      </c>
      <c r="I362">
        <v>98.1</v>
      </c>
      <c r="J362">
        <v>106.4</v>
      </c>
      <c r="K362">
        <v>104.7</v>
      </c>
      <c r="L362">
        <v>82</v>
      </c>
      <c r="M362" t="s">
        <v>1979</v>
      </c>
      <c r="N362" t="s">
        <v>1980</v>
      </c>
      <c r="O362" t="s">
        <v>755</v>
      </c>
      <c r="P362" t="s">
        <v>755</v>
      </c>
    </row>
    <row r="363" spans="1:16">
      <c r="A363">
        <v>362</v>
      </c>
      <c r="B363" t="s">
        <v>1328</v>
      </c>
      <c r="C363">
        <v>107.7</v>
      </c>
      <c r="D363">
        <v>77.5</v>
      </c>
      <c r="E363">
        <v>105.3</v>
      </c>
      <c r="F363">
        <v>83.5</v>
      </c>
      <c r="G363">
        <v>99.2</v>
      </c>
      <c r="H363">
        <v>102.4</v>
      </c>
      <c r="I363">
        <v>97.9</v>
      </c>
      <c r="J363">
        <v>106.1</v>
      </c>
      <c r="K363">
        <v>106.9</v>
      </c>
      <c r="L363">
        <v>85.1</v>
      </c>
      <c r="M363" t="s">
        <v>1981</v>
      </c>
      <c r="N363" t="s">
        <v>1982</v>
      </c>
      <c r="O363" t="s">
        <v>755</v>
      </c>
      <c r="P363" t="s">
        <v>755</v>
      </c>
    </row>
    <row r="364" spans="1:16">
      <c r="A364">
        <v>363</v>
      </c>
      <c r="B364" t="s">
        <v>1329</v>
      </c>
      <c r="C364">
        <v>106.5</v>
      </c>
      <c r="D364">
        <v>81.5</v>
      </c>
      <c r="E364">
        <v>82.5</v>
      </c>
      <c r="F364">
        <v>150.5</v>
      </c>
      <c r="G364">
        <v>99.3</v>
      </c>
      <c r="H364">
        <v>101.2</v>
      </c>
      <c r="I364">
        <v>99.2</v>
      </c>
      <c r="J364">
        <v>103.2</v>
      </c>
      <c r="K364">
        <v>105.9</v>
      </c>
      <c r="L364">
        <v>89.4</v>
      </c>
      <c r="M364" t="s">
        <v>1560</v>
      </c>
      <c r="N364" t="s">
        <v>1983</v>
      </c>
      <c r="O364" t="s">
        <v>801</v>
      </c>
      <c r="P364" t="s">
        <v>801</v>
      </c>
    </row>
    <row r="365" spans="1:16">
      <c r="A365">
        <v>364</v>
      </c>
      <c r="B365" t="s">
        <v>1330</v>
      </c>
      <c r="C365">
        <v>106.9</v>
      </c>
      <c r="D365">
        <v>79.599999999999994</v>
      </c>
      <c r="E365">
        <v>109</v>
      </c>
      <c r="F365">
        <v>73.3</v>
      </c>
      <c r="G365">
        <v>99.1</v>
      </c>
      <c r="H365">
        <v>102.4</v>
      </c>
      <c r="I365">
        <v>97.7</v>
      </c>
      <c r="J365">
        <v>106.9</v>
      </c>
      <c r="K365">
        <v>106</v>
      </c>
      <c r="L365">
        <v>86.1</v>
      </c>
      <c r="M365" t="s">
        <v>1984</v>
      </c>
      <c r="N365" t="s">
        <v>1985</v>
      </c>
      <c r="O365" t="s">
        <v>755</v>
      </c>
      <c r="P365" t="s">
        <v>755</v>
      </c>
    </row>
    <row r="366" spans="1:16">
      <c r="A366">
        <v>365</v>
      </c>
      <c r="B366" t="s">
        <v>1331</v>
      </c>
      <c r="C366">
        <v>108.4</v>
      </c>
      <c r="D366">
        <v>75.3</v>
      </c>
      <c r="E366">
        <v>104.7</v>
      </c>
      <c r="F366">
        <v>82.4</v>
      </c>
      <c r="G366">
        <v>99.1</v>
      </c>
      <c r="H366">
        <v>102.6</v>
      </c>
      <c r="I366">
        <v>98</v>
      </c>
      <c r="J366">
        <v>105.8</v>
      </c>
      <c r="K366">
        <v>111.8</v>
      </c>
      <c r="L366">
        <v>71.8</v>
      </c>
      <c r="M366" t="s">
        <v>1986</v>
      </c>
      <c r="N366" t="s">
        <v>1987</v>
      </c>
      <c r="O366" t="s">
        <v>755</v>
      </c>
      <c r="P366" t="s">
        <v>755</v>
      </c>
    </row>
    <row r="367" spans="1:16">
      <c r="A367">
        <v>366</v>
      </c>
      <c r="B367" t="s">
        <v>1332</v>
      </c>
      <c r="C367">
        <v>107.4</v>
      </c>
      <c r="D367">
        <v>78.900000000000006</v>
      </c>
      <c r="E367">
        <v>102</v>
      </c>
      <c r="F367">
        <v>94.1</v>
      </c>
      <c r="G367">
        <v>99.5</v>
      </c>
      <c r="H367">
        <v>101.4</v>
      </c>
      <c r="I367">
        <v>99.8</v>
      </c>
      <c r="J367">
        <v>100.2</v>
      </c>
      <c r="K367">
        <v>98</v>
      </c>
      <c r="L367">
        <v>106.1</v>
      </c>
      <c r="M367" t="s">
        <v>1988</v>
      </c>
      <c r="N367" t="s">
        <v>1989</v>
      </c>
      <c r="O367" t="s">
        <v>755</v>
      </c>
      <c r="P367" t="s">
        <v>755</v>
      </c>
    </row>
    <row r="368" spans="1:16">
      <c r="A368">
        <v>367</v>
      </c>
      <c r="B368" t="s">
        <v>1333</v>
      </c>
      <c r="C368">
        <v>102.9</v>
      </c>
      <c r="D368">
        <v>89</v>
      </c>
      <c r="E368">
        <v>101.7</v>
      </c>
      <c r="F368">
        <v>95.9</v>
      </c>
      <c r="G368">
        <v>99.4</v>
      </c>
      <c r="H368">
        <v>102.1</v>
      </c>
      <c r="I368">
        <v>99.7</v>
      </c>
      <c r="J368">
        <v>101.3</v>
      </c>
      <c r="K368">
        <v>101.5</v>
      </c>
      <c r="L368">
        <v>94.9</v>
      </c>
      <c r="M368" t="s">
        <v>1990</v>
      </c>
      <c r="N368" t="s">
        <v>1991</v>
      </c>
      <c r="O368" t="s">
        <v>755</v>
      </c>
      <c r="P368" t="s">
        <v>755</v>
      </c>
    </row>
    <row r="369" spans="1:16">
      <c r="A369">
        <v>368</v>
      </c>
      <c r="B369" t="s">
        <v>1334</v>
      </c>
      <c r="C369">
        <v>107.6</v>
      </c>
      <c r="D369">
        <v>78.400000000000006</v>
      </c>
      <c r="E369">
        <v>102.1</v>
      </c>
      <c r="F369">
        <v>93.7</v>
      </c>
      <c r="G369">
        <v>99.5</v>
      </c>
      <c r="H369">
        <v>101.4</v>
      </c>
      <c r="I369">
        <v>99.8</v>
      </c>
      <c r="J369">
        <v>100.2</v>
      </c>
      <c r="K369">
        <v>97.8</v>
      </c>
      <c r="L369">
        <v>106.7</v>
      </c>
      <c r="M369" t="s">
        <v>1992</v>
      </c>
      <c r="N369" t="s">
        <v>1993</v>
      </c>
      <c r="O369" t="s">
        <v>755</v>
      </c>
      <c r="P369" t="s">
        <v>755</v>
      </c>
    </row>
    <row r="370" spans="1:16">
      <c r="A370">
        <v>369</v>
      </c>
      <c r="B370" t="s">
        <v>1335</v>
      </c>
      <c r="C370">
        <v>101.5</v>
      </c>
      <c r="D370">
        <v>96</v>
      </c>
      <c r="E370">
        <v>90</v>
      </c>
      <c r="F370">
        <v>114.7</v>
      </c>
      <c r="G370">
        <v>100</v>
      </c>
      <c r="H370">
        <v>100</v>
      </c>
      <c r="I370">
        <v>102.5</v>
      </c>
      <c r="J370">
        <v>95.9</v>
      </c>
      <c r="K370">
        <v>96.9</v>
      </c>
      <c r="L370">
        <v>105.5</v>
      </c>
      <c r="M370" t="s">
        <v>1994</v>
      </c>
      <c r="N370" t="s">
        <v>1995</v>
      </c>
      <c r="O370" t="s">
        <v>755</v>
      </c>
      <c r="P370" t="s">
        <v>755</v>
      </c>
    </row>
    <row r="371" spans="1:16">
      <c r="A371">
        <v>370</v>
      </c>
      <c r="B371" t="s">
        <v>1336</v>
      </c>
      <c r="C371">
        <v>105.5</v>
      </c>
      <c r="D371">
        <v>92.5</v>
      </c>
      <c r="E371">
        <v>112.8</v>
      </c>
      <c r="F371">
        <v>83.7</v>
      </c>
      <c r="G371">
        <v>99.1</v>
      </c>
      <c r="H371">
        <v>101.2</v>
      </c>
      <c r="I371">
        <v>97.7</v>
      </c>
      <c r="J371">
        <v>102.9</v>
      </c>
      <c r="K371">
        <v>100.5</v>
      </c>
      <c r="L371">
        <v>99.4</v>
      </c>
      <c r="M371" t="s">
        <v>1996</v>
      </c>
      <c r="N371" t="s">
        <v>1997</v>
      </c>
      <c r="O371" t="s">
        <v>755</v>
      </c>
      <c r="P371" t="s">
        <v>755</v>
      </c>
    </row>
    <row r="372" spans="1:16">
      <c r="A372">
        <v>371</v>
      </c>
      <c r="B372" t="s">
        <v>1337</v>
      </c>
      <c r="C372">
        <v>104</v>
      </c>
      <c r="D372">
        <v>89.9</v>
      </c>
      <c r="E372">
        <v>107</v>
      </c>
      <c r="F372">
        <v>81.5</v>
      </c>
      <c r="G372">
        <v>99</v>
      </c>
      <c r="H372">
        <v>102.4</v>
      </c>
      <c r="I372">
        <v>95.9</v>
      </c>
      <c r="J372">
        <v>110.1</v>
      </c>
      <c r="K372">
        <v>102.7</v>
      </c>
      <c r="L372">
        <v>93.5</v>
      </c>
      <c r="M372" t="s">
        <v>1998</v>
      </c>
      <c r="N372" t="s">
        <v>1999</v>
      </c>
      <c r="O372" t="s">
        <v>755</v>
      </c>
      <c r="P372" t="s">
        <v>755</v>
      </c>
    </row>
    <row r="373" spans="1:16">
      <c r="A373">
        <v>372</v>
      </c>
      <c r="B373" t="s">
        <v>1338</v>
      </c>
      <c r="C373">
        <v>104.7</v>
      </c>
      <c r="D373">
        <v>81.3</v>
      </c>
      <c r="E373">
        <v>104.5</v>
      </c>
      <c r="F373">
        <v>83.9</v>
      </c>
      <c r="G373">
        <v>99.1</v>
      </c>
      <c r="H373">
        <v>103.5</v>
      </c>
      <c r="I373">
        <v>96.5</v>
      </c>
      <c r="J373">
        <v>112.6</v>
      </c>
      <c r="K373">
        <v>102.9</v>
      </c>
      <c r="L373">
        <v>89.7</v>
      </c>
      <c r="M373" t="s">
        <v>2000</v>
      </c>
      <c r="N373" t="s">
        <v>2001</v>
      </c>
      <c r="O373" t="s">
        <v>755</v>
      </c>
      <c r="P373" t="s">
        <v>755</v>
      </c>
    </row>
    <row r="374" spans="1:16">
      <c r="A374">
        <v>373</v>
      </c>
      <c r="B374" t="s">
        <v>1339</v>
      </c>
      <c r="C374">
        <v>104.9</v>
      </c>
      <c r="D374">
        <v>74.8</v>
      </c>
      <c r="E374">
        <v>101.2</v>
      </c>
      <c r="F374">
        <v>93.7</v>
      </c>
      <c r="G374">
        <v>99.2</v>
      </c>
      <c r="H374">
        <v>104.3</v>
      </c>
      <c r="I374">
        <v>97</v>
      </c>
      <c r="J374">
        <v>114.7</v>
      </c>
      <c r="K374">
        <v>103.7</v>
      </c>
      <c r="L374">
        <v>81.900000000000006</v>
      </c>
      <c r="M374" t="s">
        <v>2002</v>
      </c>
      <c r="N374" t="s">
        <v>2003</v>
      </c>
      <c r="O374" t="s">
        <v>755</v>
      </c>
      <c r="P374" t="s">
        <v>755</v>
      </c>
    </row>
    <row r="375" spans="1:16">
      <c r="A375">
        <v>374</v>
      </c>
      <c r="B375" t="s">
        <v>1340</v>
      </c>
      <c r="C375">
        <v>103.7</v>
      </c>
      <c r="D375">
        <v>73.2</v>
      </c>
      <c r="E375">
        <v>105</v>
      </c>
      <c r="F375">
        <v>63.5</v>
      </c>
      <c r="G375">
        <v>100.1</v>
      </c>
      <c r="H375">
        <v>99.7</v>
      </c>
      <c r="I375">
        <v>98.2</v>
      </c>
      <c r="J375">
        <v>112.7</v>
      </c>
      <c r="K375">
        <v>100.8</v>
      </c>
      <c r="L375">
        <v>92.4</v>
      </c>
      <c r="M375" t="s">
        <v>2004</v>
      </c>
      <c r="N375" t="s">
        <v>2005</v>
      </c>
      <c r="O375" t="s">
        <v>755</v>
      </c>
      <c r="P375" t="s">
        <v>755</v>
      </c>
    </row>
    <row r="376" spans="1:16">
      <c r="A376">
        <v>375</v>
      </c>
      <c r="B376" t="s">
        <v>1341</v>
      </c>
      <c r="C376">
        <v>104.4</v>
      </c>
      <c r="D376">
        <v>64.8</v>
      </c>
      <c r="E376">
        <v>103.7</v>
      </c>
      <c r="F376">
        <v>71.5</v>
      </c>
      <c r="G376">
        <v>99.9</v>
      </c>
      <c r="H376">
        <v>100.8</v>
      </c>
      <c r="I376">
        <v>98.8</v>
      </c>
      <c r="J376">
        <v>109.7</v>
      </c>
      <c r="K376">
        <v>99</v>
      </c>
      <c r="L376">
        <v>105.1</v>
      </c>
      <c r="M376" t="s">
        <v>2006</v>
      </c>
      <c r="N376" t="s">
        <v>1615</v>
      </c>
      <c r="O376" t="s">
        <v>755</v>
      </c>
      <c r="P376" t="s">
        <v>755</v>
      </c>
    </row>
    <row r="377" spans="1:16">
      <c r="A377">
        <v>376</v>
      </c>
      <c r="B377" t="s">
        <v>1342</v>
      </c>
      <c r="C377">
        <v>104.3</v>
      </c>
      <c r="D377">
        <v>87.6</v>
      </c>
      <c r="E377">
        <v>97.2</v>
      </c>
      <c r="F377">
        <v>107.6</v>
      </c>
      <c r="G377">
        <v>99.3</v>
      </c>
      <c r="H377">
        <v>101.8</v>
      </c>
      <c r="I377">
        <v>100.5</v>
      </c>
      <c r="J377">
        <v>98.4</v>
      </c>
      <c r="K377">
        <v>98.4</v>
      </c>
      <c r="L377">
        <v>105.4</v>
      </c>
      <c r="M377" t="s">
        <v>2007</v>
      </c>
      <c r="N377" t="s">
        <v>2008</v>
      </c>
      <c r="O377" t="s">
        <v>755</v>
      </c>
      <c r="P377" t="s">
        <v>755</v>
      </c>
    </row>
    <row r="378" spans="1:16">
      <c r="A378">
        <v>377</v>
      </c>
      <c r="B378" t="s">
        <v>1343</v>
      </c>
      <c r="C378">
        <v>98.1</v>
      </c>
      <c r="D378">
        <v>105.6</v>
      </c>
      <c r="E378">
        <v>97.4</v>
      </c>
      <c r="F378">
        <v>108</v>
      </c>
      <c r="G378">
        <v>99</v>
      </c>
      <c r="H378">
        <v>103.1</v>
      </c>
      <c r="I378">
        <v>100.1</v>
      </c>
      <c r="J378">
        <v>99.9</v>
      </c>
      <c r="K378">
        <v>103.1</v>
      </c>
      <c r="L378">
        <v>89.7</v>
      </c>
      <c r="M378" t="s">
        <v>2009</v>
      </c>
      <c r="N378" t="s">
        <v>2010</v>
      </c>
      <c r="O378" t="s">
        <v>755</v>
      </c>
      <c r="P378" t="s">
        <v>755</v>
      </c>
    </row>
    <row r="379" spans="1:16">
      <c r="A379">
        <v>378</v>
      </c>
      <c r="B379" t="s">
        <v>1344</v>
      </c>
      <c r="C379">
        <v>104.7</v>
      </c>
      <c r="D379">
        <v>86.9</v>
      </c>
      <c r="E379">
        <v>97.3</v>
      </c>
      <c r="F379">
        <v>107.1</v>
      </c>
      <c r="G379">
        <v>99.3</v>
      </c>
      <c r="H379">
        <v>101.8</v>
      </c>
      <c r="I379">
        <v>100.5</v>
      </c>
      <c r="J379">
        <v>98.4</v>
      </c>
      <c r="K379">
        <v>97.8</v>
      </c>
      <c r="L379">
        <v>106.8</v>
      </c>
      <c r="M379" t="s">
        <v>2011</v>
      </c>
      <c r="N379" t="s">
        <v>2012</v>
      </c>
      <c r="O379" t="s">
        <v>755</v>
      </c>
      <c r="P379" t="s">
        <v>755</v>
      </c>
    </row>
    <row r="380" spans="1:16">
      <c r="A380">
        <v>379</v>
      </c>
      <c r="B380" t="s">
        <v>1345</v>
      </c>
      <c r="C380">
        <v>95.3</v>
      </c>
      <c r="D380">
        <v>105.5</v>
      </c>
      <c r="E380">
        <v>77.900000000000006</v>
      </c>
      <c r="F380">
        <v>126.9</v>
      </c>
      <c r="G380">
        <v>100.3</v>
      </c>
      <c r="H380">
        <v>99.7</v>
      </c>
      <c r="I380">
        <v>101.9</v>
      </c>
      <c r="J380">
        <v>97.3</v>
      </c>
      <c r="K380">
        <v>103.1</v>
      </c>
      <c r="L380">
        <v>96.7</v>
      </c>
      <c r="M380" t="s">
        <v>2013</v>
      </c>
      <c r="N380" t="s">
        <v>2014</v>
      </c>
      <c r="O380" t="s">
        <v>755</v>
      </c>
      <c r="P380" t="s">
        <v>755</v>
      </c>
    </row>
    <row r="381" spans="1:16">
      <c r="A381">
        <v>380</v>
      </c>
      <c r="B381" t="s">
        <v>1346</v>
      </c>
      <c r="C381">
        <v>101.7</v>
      </c>
      <c r="D381">
        <v>97.4</v>
      </c>
      <c r="E381">
        <v>110.1</v>
      </c>
      <c r="F381">
        <v>86.7</v>
      </c>
      <c r="G381">
        <v>99.1</v>
      </c>
      <c r="H381">
        <v>101.2</v>
      </c>
      <c r="I381">
        <v>97.5</v>
      </c>
      <c r="J381">
        <v>103.1</v>
      </c>
      <c r="K381">
        <v>99.9</v>
      </c>
      <c r="L381">
        <v>100.7</v>
      </c>
      <c r="M381" t="s">
        <v>2015</v>
      </c>
      <c r="N381" t="s">
        <v>2016</v>
      </c>
      <c r="O381" t="s">
        <v>755</v>
      </c>
      <c r="P381" t="s">
        <v>755</v>
      </c>
    </row>
    <row r="382" spans="1:16">
      <c r="A382">
        <v>381</v>
      </c>
      <c r="B382" t="s">
        <v>1347</v>
      </c>
      <c r="C382">
        <v>101</v>
      </c>
      <c r="D382">
        <v>97.2</v>
      </c>
      <c r="E382">
        <v>105</v>
      </c>
      <c r="F382">
        <v>87.6</v>
      </c>
      <c r="G382">
        <v>99</v>
      </c>
      <c r="H382">
        <v>102.8</v>
      </c>
      <c r="I382">
        <v>97</v>
      </c>
      <c r="J382">
        <v>107.5</v>
      </c>
      <c r="K382">
        <v>103.4</v>
      </c>
      <c r="L382">
        <v>91.4</v>
      </c>
      <c r="M382" t="s">
        <v>2017</v>
      </c>
      <c r="N382" t="s">
        <v>2018</v>
      </c>
      <c r="O382" t="s">
        <v>755</v>
      </c>
      <c r="P382" t="s">
        <v>755</v>
      </c>
    </row>
    <row r="383" spans="1:16">
      <c r="A383">
        <v>382</v>
      </c>
      <c r="B383" t="s">
        <v>1348</v>
      </c>
      <c r="C383">
        <v>103.1</v>
      </c>
      <c r="D383">
        <v>88</v>
      </c>
      <c r="E383">
        <v>102.4</v>
      </c>
      <c r="F383">
        <v>91.7</v>
      </c>
      <c r="G383">
        <v>99</v>
      </c>
      <c r="H383">
        <v>103.7</v>
      </c>
      <c r="I383">
        <v>97.8</v>
      </c>
      <c r="J383">
        <v>108.2</v>
      </c>
      <c r="K383">
        <v>102.4</v>
      </c>
      <c r="L383">
        <v>91.2</v>
      </c>
      <c r="M383" t="s">
        <v>2019</v>
      </c>
      <c r="N383" t="s">
        <v>2020</v>
      </c>
      <c r="O383" t="s">
        <v>755</v>
      </c>
      <c r="P383" t="s">
        <v>755</v>
      </c>
    </row>
    <row r="384" spans="1:16">
      <c r="A384">
        <v>383</v>
      </c>
      <c r="B384" t="s">
        <v>1349</v>
      </c>
      <c r="C384">
        <v>103.3</v>
      </c>
      <c r="D384">
        <v>82.3</v>
      </c>
      <c r="E384">
        <v>101.2</v>
      </c>
      <c r="F384">
        <v>93.2</v>
      </c>
      <c r="G384">
        <v>99.5</v>
      </c>
      <c r="H384">
        <v>102.7</v>
      </c>
      <c r="I384">
        <v>97.5</v>
      </c>
      <c r="J384">
        <v>112.7</v>
      </c>
      <c r="K384">
        <v>102.8</v>
      </c>
      <c r="L384">
        <v>86.5</v>
      </c>
      <c r="M384" t="s">
        <v>2021</v>
      </c>
      <c r="N384" t="s">
        <v>2022</v>
      </c>
      <c r="O384" t="s">
        <v>755</v>
      </c>
      <c r="P384" t="s">
        <v>755</v>
      </c>
    </row>
    <row r="385" spans="1:16">
      <c r="A385">
        <v>384</v>
      </c>
      <c r="B385" t="s">
        <v>1350</v>
      </c>
      <c r="C385">
        <v>103.4</v>
      </c>
      <c r="D385">
        <v>79.3</v>
      </c>
      <c r="E385">
        <v>104.1</v>
      </c>
      <c r="F385">
        <v>75.900000000000006</v>
      </c>
      <c r="G385">
        <v>99.7</v>
      </c>
      <c r="H385">
        <v>101.5</v>
      </c>
      <c r="I385">
        <v>98.6</v>
      </c>
      <c r="J385">
        <v>108.4</v>
      </c>
      <c r="K385">
        <v>98.6</v>
      </c>
      <c r="L385">
        <v>110.3</v>
      </c>
      <c r="M385" t="s">
        <v>2023</v>
      </c>
      <c r="N385" t="s">
        <v>2024</v>
      </c>
      <c r="O385" t="s">
        <v>755</v>
      </c>
      <c r="P385" t="s">
        <v>755</v>
      </c>
    </row>
    <row r="386" spans="1:16">
      <c r="A386">
        <v>385</v>
      </c>
      <c r="B386" t="s">
        <v>1351</v>
      </c>
      <c r="C386">
        <v>105.6</v>
      </c>
      <c r="D386">
        <v>72.7</v>
      </c>
      <c r="E386">
        <v>105</v>
      </c>
      <c r="F386">
        <v>77.099999999999994</v>
      </c>
      <c r="G386">
        <v>99.5</v>
      </c>
      <c r="H386">
        <v>102.4</v>
      </c>
      <c r="I386">
        <v>98.3</v>
      </c>
      <c r="J386">
        <v>108.2</v>
      </c>
      <c r="K386">
        <v>97.9</v>
      </c>
      <c r="L386">
        <v>114.7</v>
      </c>
      <c r="M386" t="s">
        <v>2025</v>
      </c>
      <c r="N386" t="s">
        <v>2026</v>
      </c>
      <c r="O386" t="s">
        <v>755</v>
      </c>
      <c r="P386" t="s">
        <v>755</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45"/>
  <sheetViews>
    <sheetView topLeftCell="A529" workbookViewId="0">
      <selection activeCell="C541" sqref="C541"/>
    </sheetView>
  </sheetViews>
  <sheetFormatPr defaultColWidth="8.7109375" defaultRowHeight="15"/>
  <cols>
    <col min="1" max="1" width="20" customWidth="1"/>
    <col min="2" max="2" width="55" customWidth="1"/>
    <col min="3" max="3" width="18" customWidth="1"/>
  </cols>
  <sheetData>
    <row r="1" spans="1:3">
      <c r="A1" s="2" t="s">
        <v>79</v>
      </c>
      <c r="B1" s="2" t="s">
        <v>80</v>
      </c>
      <c r="C1" s="2" t="s">
        <v>81</v>
      </c>
    </row>
    <row r="2" spans="1:3">
      <c r="A2" t="s">
        <v>83</v>
      </c>
      <c r="B2" t="s">
        <v>84</v>
      </c>
      <c r="C2">
        <v>80.08</v>
      </c>
    </row>
    <row r="3" spans="1:3">
      <c r="A3" t="s">
        <v>83</v>
      </c>
      <c r="B3" t="s">
        <v>85</v>
      </c>
      <c r="C3">
        <v>76.91</v>
      </c>
    </row>
    <row r="4" spans="1:3">
      <c r="A4" t="s">
        <v>83</v>
      </c>
      <c r="B4" t="s">
        <v>86</v>
      </c>
      <c r="C4">
        <v>79.17</v>
      </c>
    </row>
    <row r="5" spans="1:3">
      <c r="A5" t="s">
        <v>83</v>
      </c>
      <c r="B5" t="s">
        <v>87</v>
      </c>
      <c r="C5">
        <v>83.09</v>
      </c>
    </row>
    <row r="6" spans="1:3">
      <c r="A6" t="s">
        <v>83</v>
      </c>
      <c r="B6" t="s">
        <v>88</v>
      </c>
      <c r="C6">
        <v>78.91</v>
      </c>
    </row>
    <row r="7" spans="1:3">
      <c r="A7" t="s">
        <v>83</v>
      </c>
      <c r="B7" t="s">
        <v>89</v>
      </c>
      <c r="C7">
        <v>80.47</v>
      </c>
    </row>
    <row r="8" spans="1:3">
      <c r="A8" t="s">
        <v>83</v>
      </c>
      <c r="B8" t="s">
        <v>90</v>
      </c>
      <c r="C8">
        <v>82.37</v>
      </c>
    </row>
    <row r="9" spans="1:3">
      <c r="A9" t="s">
        <v>83</v>
      </c>
      <c r="B9" t="s">
        <v>91</v>
      </c>
      <c r="C9">
        <v>75.08</v>
      </c>
    </row>
    <row r="10" spans="1:3">
      <c r="A10" t="s">
        <v>83</v>
      </c>
      <c r="B10" t="s">
        <v>92</v>
      </c>
      <c r="C10">
        <v>76.38</v>
      </c>
    </row>
    <row r="11" spans="1:3">
      <c r="A11" t="s">
        <v>83</v>
      </c>
      <c r="B11" t="s">
        <v>93</v>
      </c>
      <c r="C11">
        <v>73.8</v>
      </c>
    </row>
    <row r="12" spans="1:3">
      <c r="A12" t="s">
        <v>83</v>
      </c>
      <c r="B12" t="s">
        <v>94</v>
      </c>
      <c r="C12">
        <v>84.33</v>
      </c>
    </row>
    <row r="13" spans="1:3">
      <c r="A13" t="s">
        <v>83</v>
      </c>
      <c r="B13" t="s">
        <v>95</v>
      </c>
      <c r="C13">
        <v>78.790000000000006</v>
      </c>
    </row>
    <row r="14" spans="1:3">
      <c r="A14" t="s">
        <v>83</v>
      </c>
      <c r="B14" t="s">
        <v>96</v>
      </c>
      <c r="C14">
        <v>79.59</v>
      </c>
    </row>
    <row r="15" spans="1:3">
      <c r="A15" t="s">
        <v>83</v>
      </c>
      <c r="B15" t="s">
        <v>97</v>
      </c>
      <c r="C15">
        <v>76.64</v>
      </c>
    </row>
    <row r="16" spans="1:3">
      <c r="A16" t="s">
        <v>83</v>
      </c>
      <c r="B16" t="s">
        <v>98</v>
      </c>
      <c r="C16">
        <v>76.53</v>
      </c>
    </row>
    <row r="17" spans="1:3">
      <c r="A17" t="s">
        <v>83</v>
      </c>
      <c r="B17" t="s">
        <v>99</v>
      </c>
      <c r="C17">
        <v>75.33</v>
      </c>
    </row>
    <row r="18" spans="1:3">
      <c r="A18" t="s">
        <v>83</v>
      </c>
      <c r="B18" t="s">
        <v>100</v>
      </c>
      <c r="C18">
        <v>75.59</v>
      </c>
    </row>
    <row r="19" spans="1:3">
      <c r="A19" t="s">
        <v>83</v>
      </c>
      <c r="B19" t="s">
        <v>101</v>
      </c>
      <c r="C19">
        <v>81.650000000000006</v>
      </c>
    </row>
    <row r="20" spans="1:3">
      <c r="A20" t="s">
        <v>102</v>
      </c>
      <c r="B20" t="s">
        <v>103</v>
      </c>
      <c r="C20">
        <v>109.98</v>
      </c>
    </row>
    <row r="21" spans="1:3">
      <c r="A21" t="s">
        <v>102</v>
      </c>
      <c r="B21" t="s">
        <v>104</v>
      </c>
      <c r="C21">
        <v>112.15</v>
      </c>
    </row>
    <row r="22" spans="1:3">
      <c r="A22" t="s">
        <v>102</v>
      </c>
      <c r="B22" t="s">
        <v>105</v>
      </c>
      <c r="C22">
        <v>108.76</v>
      </c>
    </row>
    <row r="23" spans="1:3">
      <c r="A23" t="s">
        <v>102</v>
      </c>
      <c r="B23" t="s">
        <v>106</v>
      </c>
      <c r="C23">
        <v>109.58</v>
      </c>
    </row>
    <row r="24" spans="1:3">
      <c r="A24" t="s">
        <v>107</v>
      </c>
      <c r="B24" t="s">
        <v>108</v>
      </c>
      <c r="C24">
        <v>105.73</v>
      </c>
    </row>
    <row r="25" spans="1:3">
      <c r="A25" t="s">
        <v>107</v>
      </c>
      <c r="B25" t="s">
        <v>109</v>
      </c>
      <c r="C25">
        <v>99.34</v>
      </c>
    </row>
    <row r="26" spans="1:3">
      <c r="A26" t="s">
        <v>107</v>
      </c>
      <c r="B26" t="s">
        <v>110</v>
      </c>
      <c r="C26">
        <v>106.42</v>
      </c>
    </row>
    <row r="27" spans="1:3">
      <c r="A27" t="s">
        <v>107</v>
      </c>
      <c r="B27" t="s">
        <v>111</v>
      </c>
      <c r="C27">
        <v>100.04</v>
      </c>
    </row>
    <row r="28" spans="1:3">
      <c r="A28" t="s">
        <v>107</v>
      </c>
      <c r="B28" t="s">
        <v>112</v>
      </c>
      <c r="C28">
        <v>107.52</v>
      </c>
    </row>
    <row r="29" spans="1:3">
      <c r="A29" t="s">
        <v>107</v>
      </c>
      <c r="B29" t="s">
        <v>113</v>
      </c>
      <c r="C29">
        <v>106.29</v>
      </c>
    </row>
    <row r="30" spans="1:3">
      <c r="A30" t="s">
        <v>107</v>
      </c>
      <c r="B30" t="s">
        <v>114</v>
      </c>
      <c r="C30">
        <v>98.27</v>
      </c>
    </row>
    <row r="31" spans="1:3">
      <c r="A31" t="s">
        <v>107</v>
      </c>
      <c r="B31" t="s">
        <v>115</v>
      </c>
      <c r="C31">
        <v>101.53</v>
      </c>
    </row>
    <row r="32" spans="1:3">
      <c r="A32" t="s">
        <v>107</v>
      </c>
      <c r="B32" t="s">
        <v>116</v>
      </c>
      <c r="C32">
        <v>95.63</v>
      </c>
    </row>
    <row r="33" spans="1:3">
      <c r="A33" t="s">
        <v>117</v>
      </c>
      <c r="B33" t="s">
        <v>118</v>
      </c>
      <c r="C33">
        <v>85.64</v>
      </c>
    </row>
    <row r="34" spans="1:3">
      <c r="A34" t="s">
        <v>117</v>
      </c>
      <c r="B34" t="s">
        <v>119</v>
      </c>
      <c r="C34">
        <v>82.72</v>
      </c>
    </row>
    <row r="35" spans="1:3">
      <c r="A35" t="s">
        <v>117</v>
      </c>
      <c r="B35" t="s">
        <v>120</v>
      </c>
      <c r="C35">
        <v>89.5</v>
      </c>
    </row>
    <row r="36" spans="1:3">
      <c r="A36" t="s">
        <v>117</v>
      </c>
      <c r="B36" t="s">
        <v>121</v>
      </c>
      <c r="C36">
        <v>82.26</v>
      </c>
    </row>
    <row r="37" spans="1:3">
      <c r="A37" t="s">
        <v>117</v>
      </c>
      <c r="B37" t="s">
        <v>122</v>
      </c>
      <c r="C37">
        <v>83.55</v>
      </c>
    </row>
    <row r="38" spans="1:3">
      <c r="A38" t="s">
        <v>117</v>
      </c>
      <c r="B38" t="s">
        <v>123</v>
      </c>
      <c r="C38">
        <v>85.14</v>
      </c>
    </row>
    <row r="39" spans="1:3">
      <c r="A39" t="s">
        <v>117</v>
      </c>
      <c r="B39" t="s">
        <v>124</v>
      </c>
      <c r="C39">
        <v>86.84</v>
      </c>
    </row>
    <row r="40" spans="1:3">
      <c r="A40" t="s">
        <v>117</v>
      </c>
      <c r="B40" t="s">
        <v>125</v>
      </c>
      <c r="C40">
        <v>87.89</v>
      </c>
    </row>
    <row r="41" spans="1:3">
      <c r="A41" t="s">
        <v>117</v>
      </c>
      <c r="B41" t="s">
        <v>126</v>
      </c>
      <c r="C41">
        <v>82.51</v>
      </c>
    </row>
    <row r="42" spans="1:3">
      <c r="A42" t="s">
        <v>117</v>
      </c>
      <c r="B42" t="s">
        <v>127</v>
      </c>
      <c r="C42">
        <v>84.67</v>
      </c>
    </row>
    <row r="43" spans="1:3">
      <c r="A43" t="s">
        <v>117</v>
      </c>
      <c r="B43" t="s">
        <v>128</v>
      </c>
      <c r="C43">
        <v>82.21</v>
      </c>
    </row>
    <row r="44" spans="1:3">
      <c r="A44" t="s">
        <v>117</v>
      </c>
      <c r="B44" t="s">
        <v>129</v>
      </c>
      <c r="C44">
        <v>79.569999999999993</v>
      </c>
    </row>
    <row r="45" spans="1:3">
      <c r="A45" t="s">
        <v>117</v>
      </c>
      <c r="B45" t="s">
        <v>130</v>
      </c>
      <c r="C45">
        <v>82.85</v>
      </c>
    </row>
    <row r="46" spans="1:3">
      <c r="A46" t="s">
        <v>131</v>
      </c>
      <c r="B46" t="s">
        <v>132</v>
      </c>
      <c r="C46">
        <v>114.06</v>
      </c>
    </row>
    <row r="47" spans="1:3">
      <c r="A47" t="s">
        <v>131</v>
      </c>
      <c r="B47" t="s">
        <v>133</v>
      </c>
      <c r="C47">
        <v>102.89</v>
      </c>
    </row>
    <row r="48" spans="1:3">
      <c r="A48" t="s">
        <v>131</v>
      </c>
      <c r="B48" t="s">
        <v>134</v>
      </c>
      <c r="C48">
        <v>106.78</v>
      </c>
    </row>
    <row r="49" spans="1:3">
      <c r="A49" t="s">
        <v>131</v>
      </c>
      <c r="B49" t="s">
        <v>135</v>
      </c>
      <c r="C49">
        <v>111.89</v>
      </c>
    </row>
    <row r="50" spans="1:3">
      <c r="A50" t="s">
        <v>131</v>
      </c>
      <c r="B50" t="s">
        <v>136</v>
      </c>
      <c r="C50">
        <v>105.59</v>
      </c>
    </row>
    <row r="51" spans="1:3">
      <c r="A51" t="s">
        <v>131</v>
      </c>
      <c r="B51" t="s">
        <v>137</v>
      </c>
      <c r="C51">
        <v>105.2</v>
      </c>
    </row>
    <row r="52" spans="1:3">
      <c r="A52" t="s">
        <v>131</v>
      </c>
      <c r="B52" t="s">
        <v>138</v>
      </c>
      <c r="C52">
        <v>106.3</v>
      </c>
    </row>
    <row r="53" spans="1:3">
      <c r="A53" t="s">
        <v>131</v>
      </c>
      <c r="B53" t="s">
        <v>139</v>
      </c>
      <c r="C53">
        <v>112.62</v>
      </c>
    </row>
    <row r="54" spans="1:3">
      <c r="A54" t="s">
        <v>131</v>
      </c>
      <c r="B54" t="s">
        <v>140</v>
      </c>
      <c r="C54">
        <v>103.31</v>
      </c>
    </row>
    <row r="55" spans="1:3">
      <c r="A55" t="s">
        <v>131</v>
      </c>
      <c r="B55" t="s">
        <v>141</v>
      </c>
      <c r="C55">
        <v>105.53</v>
      </c>
    </row>
    <row r="56" spans="1:3">
      <c r="A56" t="s">
        <v>131</v>
      </c>
      <c r="B56" t="s">
        <v>142</v>
      </c>
      <c r="C56">
        <v>110.81</v>
      </c>
    </row>
    <row r="57" spans="1:3">
      <c r="A57" t="s">
        <v>131</v>
      </c>
      <c r="B57" t="s">
        <v>143</v>
      </c>
      <c r="C57">
        <v>123.54</v>
      </c>
    </row>
    <row r="58" spans="1:3">
      <c r="A58" t="s">
        <v>131</v>
      </c>
      <c r="B58" t="s">
        <v>144</v>
      </c>
      <c r="C58">
        <v>110.24</v>
      </c>
    </row>
    <row r="59" spans="1:3">
      <c r="A59" t="s">
        <v>131</v>
      </c>
      <c r="B59" t="s">
        <v>145</v>
      </c>
      <c r="C59">
        <v>111.47</v>
      </c>
    </row>
    <row r="60" spans="1:3">
      <c r="A60" t="s">
        <v>131</v>
      </c>
      <c r="B60" t="s">
        <v>146</v>
      </c>
      <c r="C60">
        <v>111.31</v>
      </c>
    </row>
    <row r="61" spans="1:3">
      <c r="A61" t="s">
        <v>131</v>
      </c>
      <c r="B61" t="s">
        <v>147</v>
      </c>
      <c r="C61">
        <v>105.64</v>
      </c>
    </row>
    <row r="62" spans="1:3">
      <c r="A62" t="s">
        <v>131</v>
      </c>
      <c r="B62" t="s">
        <v>148</v>
      </c>
      <c r="C62">
        <v>109.17</v>
      </c>
    </row>
    <row r="63" spans="1:3">
      <c r="A63" t="s">
        <v>131</v>
      </c>
      <c r="B63" t="s">
        <v>149</v>
      </c>
      <c r="C63">
        <v>112.72</v>
      </c>
    </row>
    <row r="64" spans="1:3">
      <c r="A64" t="s">
        <v>131</v>
      </c>
      <c r="B64" t="s">
        <v>150</v>
      </c>
      <c r="C64">
        <v>112.79</v>
      </c>
    </row>
    <row r="65" spans="1:3">
      <c r="A65" t="s">
        <v>131</v>
      </c>
      <c r="B65" t="s">
        <v>151</v>
      </c>
      <c r="C65">
        <v>113.48</v>
      </c>
    </row>
    <row r="66" spans="1:3">
      <c r="A66" t="s">
        <v>131</v>
      </c>
      <c r="B66" t="s">
        <v>152</v>
      </c>
      <c r="C66">
        <v>126.21</v>
      </c>
    </row>
    <row r="67" spans="1:3">
      <c r="A67" t="s">
        <v>131</v>
      </c>
      <c r="B67" t="s">
        <v>153</v>
      </c>
      <c r="C67">
        <v>128.38999999999999</v>
      </c>
    </row>
    <row r="68" spans="1:3">
      <c r="A68" t="s">
        <v>131</v>
      </c>
      <c r="B68" t="s">
        <v>154</v>
      </c>
      <c r="C68">
        <v>112.91</v>
      </c>
    </row>
    <row r="69" spans="1:3">
      <c r="A69" t="s">
        <v>131</v>
      </c>
      <c r="B69" t="s">
        <v>155</v>
      </c>
      <c r="C69">
        <v>114.53</v>
      </c>
    </row>
    <row r="70" spans="1:3">
      <c r="A70" t="s">
        <v>131</v>
      </c>
      <c r="B70" t="s">
        <v>156</v>
      </c>
      <c r="C70">
        <v>112.36</v>
      </c>
    </row>
    <row r="71" spans="1:3">
      <c r="A71" t="s">
        <v>131</v>
      </c>
      <c r="B71" t="s">
        <v>157</v>
      </c>
      <c r="C71">
        <v>120.38</v>
      </c>
    </row>
    <row r="72" spans="1:3">
      <c r="A72" t="s">
        <v>131</v>
      </c>
      <c r="B72" t="s">
        <v>158</v>
      </c>
      <c r="C72">
        <v>109.72</v>
      </c>
    </row>
    <row r="73" spans="1:3">
      <c r="A73" t="s">
        <v>131</v>
      </c>
      <c r="B73" t="s">
        <v>159</v>
      </c>
      <c r="C73">
        <v>114.93</v>
      </c>
    </row>
    <row r="74" spans="1:3">
      <c r="A74" t="s">
        <v>131</v>
      </c>
      <c r="B74" t="s">
        <v>160</v>
      </c>
      <c r="C74">
        <v>104.02</v>
      </c>
    </row>
    <row r="75" spans="1:3">
      <c r="A75" t="s">
        <v>131</v>
      </c>
      <c r="B75" t="s">
        <v>161</v>
      </c>
      <c r="C75">
        <v>106.33</v>
      </c>
    </row>
    <row r="76" spans="1:3">
      <c r="A76" t="s">
        <v>162</v>
      </c>
      <c r="B76" t="s">
        <v>163</v>
      </c>
      <c r="C76">
        <v>112.87</v>
      </c>
    </row>
    <row r="77" spans="1:3">
      <c r="A77" t="s">
        <v>162</v>
      </c>
      <c r="B77" t="s">
        <v>164</v>
      </c>
      <c r="C77">
        <v>120</v>
      </c>
    </row>
    <row r="78" spans="1:3">
      <c r="A78" t="s">
        <v>162</v>
      </c>
      <c r="B78" t="s">
        <v>165</v>
      </c>
      <c r="C78">
        <v>107.9</v>
      </c>
    </row>
    <row r="79" spans="1:3">
      <c r="A79" t="s">
        <v>162</v>
      </c>
      <c r="B79" t="s">
        <v>166</v>
      </c>
      <c r="C79">
        <v>114.71</v>
      </c>
    </row>
    <row r="80" spans="1:3">
      <c r="A80" t="s">
        <v>162</v>
      </c>
      <c r="B80" t="s">
        <v>167</v>
      </c>
      <c r="C80">
        <v>105.4</v>
      </c>
    </row>
    <row r="81" spans="1:3">
      <c r="A81" t="s">
        <v>162</v>
      </c>
      <c r="B81" t="s">
        <v>168</v>
      </c>
      <c r="C81">
        <v>110.47</v>
      </c>
    </row>
    <row r="82" spans="1:3">
      <c r="A82" t="s">
        <v>162</v>
      </c>
      <c r="B82" t="s">
        <v>169</v>
      </c>
      <c r="C82">
        <v>103.23</v>
      </c>
    </row>
    <row r="83" spans="1:3">
      <c r="A83" t="s">
        <v>162</v>
      </c>
      <c r="B83" t="s">
        <v>170</v>
      </c>
      <c r="C83">
        <v>107.54</v>
      </c>
    </row>
    <row r="84" spans="1:3">
      <c r="A84" t="s">
        <v>162</v>
      </c>
      <c r="B84" t="s">
        <v>171</v>
      </c>
      <c r="C84">
        <v>117.66</v>
      </c>
    </row>
    <row r="85" spans="1:3">
      <c r="A85" t="s">
        <v>162</v>
      </c>
      <c r="B85" t="s">
        <v>172</v>
      </c>
      <c r="C85">
        <v>102.56</v>
      </c>
    </row>
    <row r="86" spans="1:3">
      <c r="A86" t="s">
        <v>162</v>
      </c>
      <c r="B86" t="s">
        <v>173</v>
      </c>
      <c r="C86">
        <v>110.99</v>
      </c>
    </row>
    <row r="87" spans="1:3">
      <c r="A87" t="s">
        <v>174</v>
      </c>
      <c r="B87" t="s">
        <v>175</v>
      </c>
      <c r="C87">
        <v>109.99</v>
      </c>
    </row>
    <row r="88" spans="1:3">
      <c r="A88" t="s">
        <v>174</v>
      </c>
      <c r="B88" t="s">
        <v>176</v>
      </c>
      <c r="C88">
        <v>113.66</v>
      </c>
    </row>
    <row r="89" spans="1:3">
      <c r="A89" t="s">
        <v>174</v>
      </c>
      <c r="B89" t="s">
        <v>177</v>
      </c>
      <c r="C89">
        <v>109.07</v>
      </c>
    </row>
    <row r="90" spans="1:3">
      <c r="A90" t="s">
        <v>174</v>
      </c>
      <c r="B90" t="s">
        <v>178</v>
      </c>
      <c r="C90">
        <v>107.73</v>
      </c>
    </row>
    <row r="91" spans="1:3">
      <c r="A91" t="s">
        <v>174</v>
      </c>
      <c r="B91" t="s">
        <v>179</v>
      </c>
      <c r="C91">
        <v>108.53</v>
      </c>
    </row>
    <row r="92" spans="1:3">
      <c r="A92" t="s">
        <v>174</v>
      </c>
      <c r="B92" t="s">
        <v>180</v>
      </c>
      <c r="C92">
        <v>109.94</v>
      </c>
    </row>
    <row r="93" spans="1:3">
      <c r="A93" t="s">
        <v>174</v>
      </c>
      <c r="B93" t="s">
        <v>181</v>
      </c>
      <c r="C93">
        <v>109.27</v>
      </c>
    </row>
    <row r="94" spans="1:3">
      <c r="A94" t="s">
        <v>174</v>
      </c>
      <c r="B94" t="s">
        <v>182</v>
      </c>
      <c r="C94">
        <v>110.09</v>
      </c>
    </row>
    <row r="95" spans="1:3">
      <c r="A95" t="s">
        <v>174</v>
      </c>
      <c r="B95" t="s">
        <v>183</v>
      </c>
      <c r="C95">
        <v>106.93</v>
      </c>
    </row>
    <row r="96" spans="1:3">
      <c r="A96" t="s">
        <v>174</v>
      </c>
      <c r="B96" t="s">
        <v>184</v>
      </c>
      <c r="C96">
        <v>109.87</v>
      </c>
    </row>
    <row r="97" spans="1:3">
      <c r="A97" t="s">
        <v>185</v>
      </c>
      <c r="B97" t="s">
        <v>186</v>
      </c>
      <c r="C97">
        <v>96.98</v>
      </c>
    </row>
    <row r="98" spans="1:3">
      <c r="A98" t="s">
        <v>185</v>
      </c>
      <c r="B98" t="s">
        <v>187</v>
      </c>
      <c r="C98">
        <v>93.5</v>
      </c>
    </row>
    <row r="99" spans="1:3">
      <c r="A99" t="s">
        <v>185</v>
      </c>
      <c r="B99" t="s">
        <v>188</v>
      </c>
      <c r="C99">
        <v>98.7</v>
      </c>
    </row>
    <row r="100" spans="1:3">
      <c r="A100" t="s">
        <v>185</v>
      </c>
      <c r="B100" t="s">
        <v>189</v>
      </c>
      <c r="C100">
        <v>95.52</v>
      </c>
    </row>
    <row r="101" spans="1:3">
      <c r="A101" t="s">
        <v>190</v>
      </c>
      <c r="B101" t="s">
        <v>191</v>
      </c>
      <c r="C101">
        <v>126.67</v>
      </c>
    </row>
    <row r="102" spans="1:3">
      <c r="A102" t="s">
        <v>190</v>
      </c>
      <c r="B102" t="s">
        <v>192</v>
      </c>
      <c r="C102">
        <v>112.35</v>
      </c>
    </row>
    <row r="103" spans="1:3">
      <c r="A103" t="s">
        <v>193</v>
      </c>
      <c r="B103" t="s">
        <v>194</v>
      </c>
      <c r="C103">
        <v>95.63</v>
      </c>
    </row>
    <row r="104" spans="1:3">
      <c r="A104" t="s">
        <v>193</v>
      </c>
      <c r="B104" t="s">
        <v>195</v>
      </c>
      <c r="C104">
        <v>95.31</v>
      </c>
    </row>
    <row r="105" spans="1:3">
      <c r="A105" t="s">
        <v>193</v>
      </c>
      <c r="B105" t="s">
        <v>196</v>
      </c>
      <c r="C105">
        <v>95.72</v>
      </c>
    </row>
    <row r="106" spans="1:3">
      <c r="A106" t="s">
        <v>193</v>
      </c>
      <c r="B106" t="s">
        <v>197</v>
      </c>
      <c r="C106">
        <v>91.7</v>
      </c>
    </row>
    <row r="107" spans="1:3">
      <c r="A107" t="s">
        <v>193</v>
      </c>
      <c r="B107" t="s">
        <v>198</v>
      </c>
      <c r="C107">
        <v>92.15</v>
      </c>
    </row>
    <row r="108" spans="1:3">
      <c r="A108" t="s">
        <v>193</v>
      </c>
      <c r="B108" t="s">
        <v>199</v>
      </c>
      <c r="C108">
        <v>88.14</v>
      </c>
    </row>
    <row r="109" spans="1:3">
      <c r="A109" t="s">
        <v>193</v>
      </c>
      <c r="B109" t="s">
        <v>200</v>
      </c>
      <c r="C109">
        <v>93.56</v>
      </c>
    </row>
    <row r="110" spans="1:3">
      <c r="A110" t="s">
        <v>193</v>
      </c>
      <c r="B110" t="s">
        <v>201</v>
      </c>
      <c r="C110">
        <v>90.97</v>
      </c>
    </row>
    <row r="111" spans="1:3">
      <c r="A111" t="s">
        <v>193</v>
      </c>
      <c r="B111" t="s">
        <v>202</v>
      </c>
      <c r="C111">
        <v>98.11</v>
      </c>
    </row>
    <row r="112" spans="1:3">
      <c r="A112" t="s">
        <v>193</v>
      </c>
      <c r="B112" t="s">
        <v>203</v>
      </c>
      <c r="C112">
        <v>102.9</v>
      </c>
    </row>
    <row r="113" spans="1:3">
      <c r="A113" t="s">
        <v>193</v>
      </c>
      <c r="B113" t="s">
        <v>204</v>
      </c>
      <c r="C113">
        <v>92.48</v>
      </c>
    </row>
    <row r="114" spans="1:3">
      <c r="A114" t="s">
        <v>193</v>
      </c>
      <c r="B114" t="s">
        <v>205</v>
      </c>
      <c r="C114">
        <v>98.53</v>
      </c>
    </row>
    <row r="115" spans="1:3">
      <c r="A115" t="s">
        <v>193</v>
      </c>
      <c r="B115" t="s">
        <v>206</v>
      </c>
      <c r="C115">
        <v>91.59</v>
      </c>
    </row>
    <row r="116" spans="1:3">
      <c r="A116" t="s">
        <v>193</v>
      </c>
      <c r="B116" t="s">
        <v>207</v>
      </c>
      <c r="C116">
        <v>95.16</v>
      </c>
    </row>
    <row r="117" spans="1:3">
      <c r="A117" t="s">
        <v>193</v>
      </c>
      <c r="B117" t="s">
        <v>208</v>
      </c>
      <c r="C117">
        <v>92.94</v>
      </c>
    </row>
    <row r="118" spans="1:3">
      <c r="A118" t="s">
        <v>193</v>
      </c>
      <c r="B118" t="s">
        <v>209</v>
      </c>
      <c r="C118">
        <v>91.23</v>
      </c>
    </row>
    <row r="119" spans="1:3">
      <c r="A119" t="s">
        <v>193</v>
      </c>
      <c r="B119" t="s">
        <v>210</v>
      </c>
      <c r="C119">
        <v>89.7</v>
      </c>
    </row>
    <row r="120" spans="1:3">
      <c r="A120" t="s">
        <v>193</v>
      </c>
      <c r="B120" t="s">
        <v>211</v>
      </c>
      <c r="C120">
        <v>93.15</v>
      </c>
    </row>
    <row r="121" spans="1:3">
      <c r="A121" t="s">
        <v>193</v>
      </c>
      <c r="B121" t="s">
        <v>212</v>
      </c>
      <c r="C121">
        <v>93.98</v>
      </c>
    </row>
    <row r="122" spans="1:3">
      <c r="A122" t="s">
        <v>193</v>
      </c>
      <c r="B122" t="s">
        <v>213</v>
      </c>
      <c r="C122">
        <v>94.35</v>
      </c>
    </row>
    <row r="123" spans="1:3">
      <c r="A123" t="s">
        <v>193</v>
      </c>
      <c r="B123" t="s">
        <v>214</v>
      </c>
      <c r="C123">
        <v>86.17</v>
      </c>
    </row>
    <row r="124" spans="1:3">
      <c r="A124" t="s">
        <v>193</v>
      </c>
      <c r="B124" t="s">
        <v>215</v>
      </c>
      <c r="C124">
        <v>97.13</v>
      </c>
    </row>
    <row r="125" spans="1:3">
      <c r="A125" t="s">
        <v>193</v>
      </c>
      <c r="B125" t="s">
        <v>216</v>
      </c>
      <c r="C125">
        <v>85.97</v>
      </c>
    </row>
    <row r="126" spans="1:3">
      <c r="A126" t="s">
        <v>193</v>
      </c>
      <c r="B126" t="s">
        <v>217</v>
      </c>
      <c r="C126">
        <v>96.39</v>
      </c>
    </row>
    <row r="127" spans="1:3">
      <c r="A127" t="s">
        <v>193</v>
      </c>
      <c r="B127" t="s">
        <v>218</v>
      </c>
      <c r="C127">
        <v>92.6</v>
      </c>
    </row>
    <row r="128" spans="1:3">
      <c r="A128" t="s">
        <v>219</v>
      </c>
      <c r="B128" t="s">
        <v>220</v>
      </c>
      <c r="C128">
        <v>87.73</v>
      </c>
    </row>
    <row r="129" spans="1:3">
      <c r="A129" t="s">
        <v>219</v>
      </c>
      <c r="B129" t="s">
        <v>221</v>
      </c>
      <c r="C129">
        <v>78.540000000000006</v>
      </c>
    </row>
    <row r="130" spans="1:3">
      <c r="A130" t="s">
        <v>219</v>
      </c>
      <c r="B130" t="s">
        <v>222</v>
      </c>
      <c r="C130">
        <v>84.82</v>
      </c>
    </row>
    <row r="131" spans="1:3">
      <c r="A131" t="s">
        <v>219</v>
      </c>
      <c r="B131" t="s">
        <v>223</v>
      </c>
      <c r="C131">
        <v>91.5</v>
      </c>
    </row>
    <row r="132" spans="1:3">
      <c r="A132" t="s">
        <v>219</v>
      </c>
      <c r="B132" t="s">
        <v>224</v>
      </c>
      <c r="C132">
        <v>82.78</v>
      </c>
    </row>
    <row r="133" spans="1:3">
      <c r="A133" t="s">
        <v>219</v>
      </c>
      <c r="B133" t="s">
        <v>225</v>
      </c>
      <c r="C133">
        <v>83.7</v>
      </c>
    </row>
    <row r="134" spans="1:3">
      <c r="A134" t="s">
        <v>219</v>
      </c>
      <c r="B134" t="s">
        <v>226</v>
      </c>
      <c r="C134">
        <v>86.06</v>
      </c>
    </row>
    <row r="135" spans="1:3">
      <c r="A135" t="s">
        <v>219</v>
      </c>
      <c r="B135" t="s">
        <v>88</v>
      </c>
      <c r="C135">
        <v>78.91</v>
      </c>
    </row>
    <row r="136" spans="1:3">
      <c r="A136" t="s">
        <v>219</v>
      </c>
      <c r="B136" t="s">
        <v>227</v>
      </c>
      <c r="C136">
        <v>81.08</v>
      </c>
    </row>
    <row r="137" spans="1:3">
      <c r="A137" t="s">
        <v>219</v>
      </c>
      <c r="B137" t="s">
        <v>228</v>
      </c>
      <c r="C137">
        <v>79.27</v>
      </c>
    </row>
    <row r="138" spans="1:3">
      <c r="A138" t="s">
        <v>219</v>
      </c>
      <c r="B138" t="s">
        <v>229</v>
      </c>
      <c r="C138">
        <v>88.47</v>
      </c>
    </row>
    <row r="139" spans="1:3">
      <c r="A139" t="s">
        <v>219</v>
      </c>
      <c r="B139" t="s">
        <v>230</v>
      </c>
      <c r="C139">
        <v>81.900000000000006</v>
      </c>
    </row>
    <row r="140" spans="1:3">
      <c r="A140" t="s">
        <v>219</v>
      </c>
      <c r="B140" t="s">
        <v>231</v>
      </c>
      <c r="C140">
        <v>82.15</v>
      </c>
    </row>
    <row r="141" spans="1:3">
      <c r="A141" t="s">
        <v>219</v>
      </c>
      <c r="B141" t="s">
        <v>232</v>
      </c>
      <c r="C141">
        <v>79.650000000000006</v>
      </c>
    </row>
    <row r="142" spans="1:3">
      <c r="A142" t="s">
        <v>219</v>
      </c>
      <c r="B142" t="s">
        <v>233</v>
      </c>
      <c r="C142">
        <v>81.36</v>
      </c>
    </row>
    <row r="143" spans="1:3">
      <c r="A143" t="s">
        <v>219</v>
      </c>
      <c r="B143" t="s">
        <v>234</v>
      </c>
      <c r="C143">
        <v>81.680000000000007</v>
      </c>
    </row>
    <row r="144" spans="1:3">
      <c r="A144" t="s">
        <v>219</v>
      </c>
      <c r="B144" t="s">
        <v>235</v>
      </c>
      <c r="C144">
        <v>87.76</v>
      </c>
    </row>
    <row r="145" spans="1:3">
      <c r="A145" t="s">
        <v>219</v>
      </c>
      <c r="B145" t="s">
        <v>236</v>
      </c>
      <c r="C145">
        <v>80.08</v>
      </c>
    </row>
    <row r="146" spans="1:3">
      <c r="A146" t="s">
        <v>219</v>
      </c>
      <c r="B146" t="s">
        <v>237</v>
      </c>
      <c r="C146">
        <v>76.709999999999994</v>
      </c>
    </row>
    <row r="147" spans="1:3">
      <c r="A147" t="s">
        <v>219</v>
      </c>
      <c r="B147" t="s">
        <v>238</v>
      </c>
      <c r="C147">
        <v>80.48</v>
      </c>
    </row>
    <row r="148" spans="1:3">
      <c r="A148" t="s">
        <v>239</v>
      </c>
      <c r="B148" t="s">
        <v>240</v>
      </c>
      <c r="C148">
        <v>66.97</v>
      </c>
    </row>
    <row r="149" spans="1:3">
      <c r="A149" t="s">
        <v>241</v>
      </c>
      <c r="B149" t="s">
        <v>242</v>
      </c>
      <c r="C149">
        <v>113.7</v>
      </c>
    </row>
    <row r="150" spans="1:3">
      <c r="A150" t="s">
        <v>241</v>
      </c>
      <c r="B150" t="s">
        <v>243</v>
      </c>
      <c r="C150">
        <v>114.55</v>
      </c>
    </row>
    <row r="151" spans="1:3">
      <c r="A151" t="s">
        <v>241</v>
      </c>
      <c r="B151" t="s">
        <v>244</v>
      </c>
      <c r="C151">
        <v>128.54</v>
      </c>
    </row>
    <row r="152" spans="1:3">
      <c r="A152" t="s">
        <v>241</v>
      </c>
      <c r="B152" t="s">
        <v>245</v>
      </c>
      <c r="C152">
        <v>109.88</v>
      </c>
    </row>
    <row r="153" spans="1:3">
      <c r="A153" t="s">
        <v>246</v>
      </c>
      <c r="B153" t="s">
        <v>247</v>
      </c>
      <c r="C153">
        <v>92.21</v>
      </c>
    </row>
    <row r="154" spans="1:3">
      <c r="A154" t="s">
        <v>246</v>
      </c>
      <c r="B154" t="s">
        <v>248</v>
      </c>
      <c r="C154">
        <v>93.21</v>
      </c>
    </row>
    <row r="155" spans="1:3">
      <c r="A155" t="s">
        <v>246</v>
      </c>
      <c r="B155" t="s">
        <v>249</v>
      </c>
      <c r="C155">
        <v>95.17</v>
      </c>
    </row>
    <row r="156" spans="1:3">
      <c r="A156" t="s">
        <v>246</v>
      </c>
      <c r="B156" t="s">
        <v>250</v>
      </c>
      <c r="C156">
        <v>89.63</v>
      </c>
    </row>
    <row r="157" spans="1:3">
      <c r="A157" t="s">
        <v>246</v>
      </c>
      <c r="B157" t="s">
        <v>251</v>
      </c>
      <c r="C157">
        <v>99.46</v>
      </c>
    </row>
    <row r="158" spans="1:3">
      <c r="A158" t="s">
        <v>246</v>
      </c>
      <c r="B158" t="s">
        <v>252</v>
      </c>
      <c r="C158">
        <v>89.07</v>
      </c>
    </row>
    <row r="159" spans="1:3">
      <c r="A159" t="s">
        <v>246</v>
      </c>
      <c r="B159" t="s">
        <v>253</v>
      </c>
      <c r="C159">
        <v>90.56</v>
      </c>
    </row>
    <row r="160" spans="1:3">
      <c r="A160" t="s">
        <v>246</v>
      </c>
      <c r="B160" t="s">
        <v>254</v>
      </c>
      <c r="C160">
        <v>86.02</v>
      </c>
    </row>
    <row r="161" spans="1:3">
      <c r="A161" t="s">
        <v>246</v>
      </c>
      <c r="B161" t="s">
        <v>255</v>
      </c>
      <c r="C161">
        <v>92.13</v>
      </c>
    </row>
    <row r="162" spans="1:3">
      <c r="A162" t="s">
        <v>246</v>
      </c>
      <c r="B162" t="s">
        <v>256</v>
      </c>
      <c r="C162">
        <v>90</v>
      </c>
    </row>
    <row r="163" spans="1:3">
      <c r="A163" t="s">
        <v>257</v>
      </c>
      <c r="B163" t="s">
        <v>258</v>
      </c>
      <c r="C163">
        <v>103.14</v>
      </c>
    </row>
    <row r="164" spans="1:3">
      <c r="A164" t="s">
        <v>257</v>
      </c>
      <c r="B164" t="s">
        <v>259</v>
      </c>
      <c r="C164">
        <v>96</v>
      </c>
    </row>
    <row r="165" spans="1:3">
      <c r="A165" t="s">
        <v>257</v>
      </c>
      <c r="B165" t="s">
        <v>260</v>
      </c>
      <c r="C165">
        <v>90.35</v>
      </c>
    </row>
    <row r="166" spans="1:3">
      <c r="A166" t="s">
        <v>257</v>
      </c>
      <c r="B166" t="s">
        <v>261</v>
      </c>
      <c r="C166">
        <v>92.33</v>
      </c>
    </row>
    <row r="167" spans="1:3">
      <c r="A167" t="s">
        <v>257</v>
      </c>
      <c r="B167" t="s">
        <v>262</v>
      </c>
      <c r="C167">
        <v>98.59</v>
      </c>
    </row>
    <row r="168" spans="1:3">
      <c r="A168" t="s">
        <v>257</v>
      </c>
      <c r="B168" t="s">
        <v>263</v>
      </c>
      <c r="C168">
        <v>105.22</v>
      </c>
    </row>
    <row r="169" spans="1:3">
      <c r="A169" t="s">
        <v>257</v>
      </c>
      <c r="B169" t="s">
        <v>264</v>
      </c>
      <c r="C169">
        <v>96.15</v>
      </c>
    </row>
    <row r="170" spans="1:3">
      <c r="A170" t="s">
        <v>257</v>
      </c>
      <c r="B170" t="s">
        <v>265</v>
      </c>
      <c r="C170">
        <v>92.69</v>
      </c>
    </row>
    <row r="171" spans="1:3">
      <c r="A171" t="s">
        <v>257</v>
      </c>
      <c r="B171" t="s">
        <v>266</v>
      </c>
      <c r="C171">
        <v>96.91</v>
      </c>
    </row>
    <row r="172" spans="1:3">
      <c r="A172" t="s">
        <v>257</v>
      </c>
      <c r="B172" t="s">
        <v>267</v>
      </c>
      <c r="C172">
        <v>94.84</v>
      </c>
    </row>
    <row r="173" spans="1:3">
      <c r="A173" t="s">
        <v>257</v>
      </c>
      <c r="B173" t="s">
        <v>268</v>
      </c>
      <c r="C173">
        <v>96.15</v>
      </c>
    </row>
    <row r="174" spans="1:3">
      <c r="A174" t="s">
        <v>257</v>
      </c>
      <c r="B174" t="s">
        <v>269</v>
      </c>
      <c r="C174">
        <v>95.59</v>
      </c>
    </row>
    <row r="175" spans="1:3">
      <c r="A175" t="s">
        <v>257</v>
      </c>
      <c r="B175" t="s">
        <v>270</v>
      </c>
      <c r="C175">
        <v>95.37</v>
      </c>
    </row>
    <row r="176" spans="1:3">
      <c r="A176" t="s">
        <v>257</v>
      </c>
      <c r="B176" t="s">
        <v>271</v>
      </c>
      <c r="C176">
        <v>96.71</v>
      </c>
    </row>
    <row r="177" spans="1:3">
      <c r="A177" t="s">
        <v>257</v>
      </c>
      <c r="B177" t="s">
        <v>272</v>
      </c>
      <c r="C177">
        <v>96.33</v>
      </c>
    </row>
    <row r="178" spans="1:3">
      <c r="A178" t="s">
        <v>257</v>
      </c>
      <c r="B178" t="s">
        <v>273</v>
      </c>
      <c r="C178">
        <v>98.29</v>
      </c>
    </row>
    <row r="179" spans="1:3">
      <c r="A179" t="s">
        <v>257</v>
      </c>
      <c r="B179" t="s">
        <v>274</v>
      </c>
      <c r="C179">
        <v>96.92</v>
      </c>
    </row>
    <row r="180" spans="1:3">
      <c r="A180" t="s">
        <v>257</v>
      </c>
      <c r="B180" t="s">
        <v>275</v>
      </c>
      <c r="C180">
        <v>96.51</v>
      </c>
    </row>
    <row r="181" spans="1:3">
      <c r="A181" t="s">
        <v>276</v>
      </c>
      <c r="B181" t="s">
        <v>277</v>
      </c>
      <c r="C181">
        <v>90.15</v>
      </c>
    </row>
    <row r="182" spans="1:3">
      <c r="A182" t="s">
        <v>276</v>
      </c>
      <c r="B182" t="s">
        <v>278</v>
      </c>
      <c r="C182">
        <v>88.75</v>
      </c>
    </row>
    <row r="183" spans="1:3">
      <c r="A183" t="s">
        <v>276</v>
      </c>
      <c r="B183" t="s">
        <v>279</v>
      </c>
      <c r="C183">
        <v>85.46</v>
      </c>
    </row>
    <row r="184" spans="1:3">
      <c r="A184" t="s">
        <v>276</v>
      </c>
      <c r="B184" t="s">
        <v>263</v>
      </c>
      <c r="C184">
        <v>105.22</v>
      </c>
    </row>
    <row r="185" spans="1:3">
      <c r="A185" t="s">
        <v>276</v>
      </c>
      <c r="B185" t="s">
        <v>280</v>
      </c>
      <c r="C185">
        <v>94.03</v>
      </c>
    </row>
    <row r="186" spans="1:3">
      <c r="A186" t="s">
        <v>276</v>
      </c>
      <c r="B186" t="s">
        <v>281</v>
      </c>
      <c r="C186">
        <v>85.11</v>
      </c>
    </row>
    <row r="187" spans="1:3">
      <c r="A187" t="s">
        <v>276</v>
      </c>
      <c r="B187" t="s">
        <v>282</v>
      </c>
      <c r="C187">
        <v>95</v>
      </c>
    </row>
    <row r="188" spans="1:3">
      <c r="A188" t="s">
        <v>276</v>
      </c>
      <c r="B188" t="s">
        <v>283</v>
      </c>
      <c r="C188">
        <v>85.86</v>
      </c>
    </row>
    <row r="189" spans="1:3">
      <c r="A189" t="s">
        <v>276</v>
      </c>
      <c r="B189" t="s">
        <v>284</v>
      </c>
      <c r="C189">
        <v>87.97</v>
      </c>
    </row>
    <row r="190" spans="1:3">
      <c r="A190" t="s">
        <v>276</v>
      </c>
      <c r="B190" t="s">
        <v>285</v>
      </c>
      <c r="C190">
        <v>92.18</v>
      </c>
    </row>
    <row r="191" spans="1:3">
      <c r="A191" t="s">
        <v>276</v>
      </c>
      <c r="B191" t="s">
        <v>286</v>
      </c>
      <c r="C191">
        <v>87.41</v>
      </c>
    </row>
    <row r="192" spans="1:3">
      <c r="A192" t="s">
        <v>276</v>
      </c>
      <c r="B192" t="s">
        <v>287</v>
      </c>
      <c r="C192">
        <v>88.05</v>
      </c>
    </row>
    <row r="193" spans="1:3">
      <c r="A193" t="s">
        <v>276</v>
      </c>
      <c r="B193" t="s">
        <v>288</v>
      </c>
      <c r="C193">
        <v>91.9</v>
      </c>
    </row>
    <row r="194" spans="1:3">
      <c r="A194" t="s">
        <v>276</v>
      </c>
      <c r="B194" t="s">
        <v>289</v>
      </c>
      <c r="C194">
        <v>87.59</v>
      </c>
    </row>
    <row r="195" spans="1:3">
      <c r="A195" t="s">
        <v>276</v>
      </c>
      <c r="B195" t="s">
        <v>290</v>
      </c>
      <c r="C195">
        <v>85.78</v>
      </c>
    </row>
    <row r="196" spans="1:3">
      <c r="A196" t="s">
        <v>276</v>
      </c>
      <c r="B196" t="s">
        <v>291</v>
      </c>
      <c r="C196">
        <v>86.54</v>
      </c>
    </row>
    <row r="197" spans="1:3">
      <c r="A197" t="s">
        <v>276</v>
      </c>
      <c r="B197" t="s">
        <v>292</v>
      </c>
      <c r="C197">
        <v>91.19</v>
      </c>
    </row>
    <row r="198" spans="1:3">
      <c r="A198" t="s">
        <v>276</v>
      </c>
      <c r="B198" t="s">
        <v>293</v>
      </c>
      <c r="C198">
        <v>86.63</v>
      </c>
    </row>
    <row r="199" spans="1:3">
      <c r="A199" t="s">
        <v>276</v>
      </c>
      <c r="B199" t="s">
        <v>294</v>
      </c>
      <c r="C199">
        <v>83.7</v>
      </c>
    </row>
    <row r="200" spans="1:3">
      <c r="A200" t="s">
        <v>295</v>
      </c>
      <c r="B200" t="s">
        <v>296</v>
      </c>
      <c r="C200">
        <v>91.58</v>
      </c>
    </row>
    <row r="201" spans="1:3">
      <c r="A201" t="s">
        <v>295</v>
      </c>
      <c r="B201" t="s">
        <v>297</v>
      </c>
      <c r="C201">
        <v>93.56</v>
      </c>
    </row>
    <row r="202" spans="1:3">
      <c r="A202" t="s">
        <v>295</v>
      </c>
      <c r="B202" t="s">
        <v>298</v>
      </c>
      <c r="C202">
        <v>92.67</v>
      </c>
    </row>
    <row r="203" spans="1:3">
      <c r="A203" t="s">
        <v>295</v>
      </c>
      <c r="B203" t="s">
        <v>265</v>
      </c>
      <c r="C203">
        <v>92.69</v>
      </c>
    </row>
    <row r="204" spans="1:3">
      <c r="A204" t="s">
        <v>295</v>
      </c>
      <c r="B204" t="s">
        <v>299</v>
      </c>
      <c r="C204">
        <v>94.57</v>
      </c>
    </row>
    <row r="205" spans="1:3">
      <c r="A205" t="s">
        <v>295</v>
      </c>
      <c r="B205" t="s">
        <v>300</v>
      </c>
      <c r="C205">
        <v>93.22</v>
      </c>
    </row>
    <row r="206" spans="1:3">
      <c r="A206" t="s">
        <v>295</v>
      </c>
      <c r="B206" t="s">
        <v>301</v>
      </c>
      <c r="C206">
        <v>91.86</v>
      </c>
    </row>
    <row r="207" spans="1:3">
      <c r="A207" t="s">
        <v>295</v>
      </c>
      <c r="B207" t="s">
        <v>302</v>
      </c>
      <c r="C207">
        <v>89.17</v>
      </c>
    </row>
    <row r="208" spans="1:3">
      <c r="A208" t="s">
        <v>295</v>
      </c>
      <c r="B208" t="s">
        <v>303</v>
      </c>
      <c r="C208">
        <v>88.32</v>
      </c>
    </row>
    <row r="209" spans="1:3">
      <c r="A209" t="s">
        <v>295</v>
      </c>
      <c r="B209" t="s">
        <v>304</v>
      </c>
      <c r="C209">
        <v>95.61</v>
      </c>
    </row>
    <row r="210" spans="1:3">
      <c r="A210" t="s">
        <v>295</v>
      </c>
      <c r="B210" t="s">
        <v>305</v>
      </c>
      <c r="C210">
        <v>92.47</v>
      </c>
    </row>
    <row r="211" spans="1:3">
      <c r="A211" t="s">
        <v>295</v>
      </c>
      <c r="B211" t="s">
        <v>306</v>
      </c>
      <c r="C211">
        <v>87.83</v>
      </c>
    </row>
    <row r="212" spans="1:3">
      <c r="A212" t="s">
        <v>295</v>
      </c>
      <c r="B212" t="s">
        <v>307</v>
      </c>
      <c r="C212">
        <v>88.2</v>
      </c>
    </row>
    <row r="213" spans="1:3">
      <c r="A213" t="s">
        <v>295</v>
      </c>
      <c r="B213" t="s">
        <v>308</v>
      </c>
      <c r="C213">
        <v>92.08</v>
      </c>
    </row>
    <row r="214" spans="1:3">
      <c r="A214" t="s">
        <v>309</v>
      </c>
      <c r="B214" t="s">
        <v>310</v>
      </c>
      <c r="C214">
        <v>88.59</v>
      </c>
    </row>
    <row r="215" spans="1:3">
      <c r="A215" t="s">
        <v>309</v>
      </c>
      <c r="B215" t="s">
        <v>311</v>
      </c>
      <c r="C215">
        <v>97.31</v>
      </c>
    </row>
    <row r="216" spans="1:3">
      <c r="A216" t="s">
        <v>309</v>
      </c>
      <c r="B216" t="s">
        <v>312</v>
      </c>
      <c r="C216">
        <v>82.77</v>
      </c>
    </row>
    <row r="217" spans="1:3">
      <c r="A217" t="s">
        <v>309</v>
      </c>
      <c r="B217" t="s">
        <v>313</v>
      </c>
      <c r="C217">
        <v>89.12</v>
      </c>
    </row>
    <row r="218" spans="1:3">
      <c r="A218" t="s">
        <v>309</v>
      </c>
      <c r="B218" t="s">
        <v>314</v>
      </c>
      <c r="C218">
        <v>84.42</v>
      </c>
    </row>
    <row r="219" spans="1:3">
      <c r="A219" t="s">
        <v>309</v>
      </c>
      <c r="B219" t="s">
        <v>315</v>
      </c>
      <c r="C219">
        <v>93.07</v>
      </c>
    </row>
    <row r="220" spans="1:3">
      <c r="A220" t="s">
        <v>309</v>
      </c>
      <c r="B220" t="s">
        <v>316</v>
      </c>
      <c r="C220">
        <v>87.95</v>
      </c>
    </row>
    <row r="221" spans="1:3">
      <c r="A221" t="s">
        <v>309</v>
      </c>
      <c r="B221" t="s">
        <v>317</v>
      </c>
      <c r="C221">
        <v>85.95</v>
      </c>
    </row>
    <row r="222" spans="1:3">
      <c r="A222" t="s">
        <v>318</v>
      </c>
      <c r="B222" t="s">
        <v>319</v>
      </c>
      <c r="C222">
        <v>86.85</v>
      </c>
    </row>
    <row r="223" spans="1:3">
      <c r="A223" t="s">
        <v>318</v>
      </c>
      <c r="B223" t="s">
        <v>320</v>
      </c>
      <c r="C223">
        <v>85.27</v>
      </c>
    </row>
    <row r="224" spans="1:3">
      <c r="A224" t="s">
        <v>318</v>
      </c>
      <c r="B224" t="s">
        <v>321</v>
      </c>
      <c r="C224">
        <v>80.83</v>
      </c>
    </row>
    <row r="225" spans="1:3">
      <c r="A225" t="s">
        <v>318</v>
      </c>
      <c r="B225" t="s">
        <v>280</v>
      </c>
      <c r="C225">
        <v>94.03</v>
      </c>
    </row>
    <row r="226" spans="1:3">
      <c r="A226" t="s">
        <v>318</v>
      </c>
      <c r="B226" t="s">
        <v>322</v>
      </c>
      <c r="C226">
        <v>84.55</v>
      </c>
    </row>
    <row r="227" spans="1:3">
      <c r="A227" t="s">
        <v>318</v>
      </c>
      <c r="B227" t="s">
        <v>323</v>
      </c>
      <c r="C227">
        <v>77.2</v>
      </c>
    </row>
    <row r="228" spans="1:3">
      <c r="A228" t="s">
        <v>318</v>
      </c>
      <c r="B228" t="s">
        <v>324</v>
      </c>
      <c r="C228">
        <v>83.99</v>
      </c>
    </row>
    <row r="229" spans="1:3">
      <c r="A229" t="s">
        <v>318</v>
      </c>
      <c r="B229" t="s">
        <v>283</v>
      </c>
      <c r="C229">
        <v>85.86</v>
      </c>
    </row>
    <row r="230" spans="1:3">
      <c r="A230" t="s">
        <v>318</v>
      </c>
      <c r="B230" t="s">
        <v>325</v>
      </c>
      <c r="C230">
        <v>80.819999999999993</v>
      </c>
    </row>
    <row r="231" spans="1:3">
      <c r="A231" t="s">
        <v>318</v>
      </c>
      <c r="B231" t="s">
        <v>326</v>
      </c>
      <c r="C231">
        <v>89.88</v>
      </c>
    </row>
    <row r="232" spans="1:3">
      <c r="A232" t="s">
        <v>318</v>
      </c>
      <c r="B232" t="s">
        <v>288</v>
      </c>
      <c r="C232">
        <v>91.9</v>
      </c>
    </row>
    <row r="233" spans="1:3">
      <c r="A233" t="s">
        <v>318</v>
      </c>
      <c r="B233" t="s">
        <v>327</v>
      </c>
      <c r="C233">
        <v>84.95</v>
      </c>
    </row>
    <row r="234" spans="1:3">
      <c r="A234" t="s">
        <v>318</v>
      </c>
      <c r="B234" t="s">
        <v>328</v>
      </c>
      <c r="C234">
        <v>80.14</v>
      </c>
    </row>
    <row r="235" spans="1:3">
      <c r="A235" t="s">
        <v>318</v>
      </c>
      <c r="B235" t="s">
        <v>329</v>
      </c>
      <c r="C235">
        <v>79.95</v>
      </c>
    </row>
    <row r="236" spans="1:3">
      <c r="A236" t="s">
        <v>330</v>
      </c>
      <c r="B236" t="s">
        <v>331</v>
      </c>
      <c r="C236">
        <v>79.209999999999994</v>
      </c>
    </row>
    <row r="237" spans="1:3">
      <c r="A237" t="s">
        <v>330</v>
      </c>
      <c r="B237" t="s">
        <v>332</v>
      </c>
      <c r="C237">
        <v>75.47</v>
      </c>
    </row>
    <row r="238" spans="1:3">
      <c r="A238" t="s">
        <v>330</v>
      </c>
      <c r="B238" t="s">
        <v>333</v>
      </c>
      <c r="C238">
        <v>81.42</v>
      </c>
    </row>
    <row r="239" spans="1:3">
      <c r="A239" t="s">
        <v>330</v>
      </c>
      <c r="B239" t="s">
        <v>334</v>
      </c>
      <c r="C239">
        <v>74.2</v>
      </c>
    </row>
    <row r="240" spans="1:3">
      <c r="A240" t="s">
        <v>330</v>
      </c>
      <c r="B240" t="s">
        <v>335</v>
      </c>
      <c r="C240">
        <v>76.150000000000006</v>
      </c>
    </row>
    <row r="241" spans="1:3">
      <c r="A241" t="s">
        <v>330</v>
      </c>
      <c r="B241" t="s">
        <v>336</v>
      </c>
      <c r="C241">
        <v>77.61</v>
      </c>
    </row>
    <row r="242" spans="1:3">
      <c r="A242" t="s">
        <v>330</v>
      </c>
      <c r="B242" t="s">
        <v>337</v>
      </c>
      <c r="C242">
        <v>76.209999999999994</v>
      </c>
    </row>
    <row r="243" spans="1:3">
      <c r="A243" t="s">
        <v>330</v>
      </c>
      <c r="B243" t="s">
        <v>338</v>
      </c>
      <c r="C243">
        <v>79.55</v>
      </c>
    </row>
    <row r="244" spans="1:3">
      <c r="A244" t="s">
        <v>330</v>
      </c>
      <c r="B244" t="s">
        <v>339</v>
      </c>
      <c r="C244">
        <v>72.55</v>
      </c>
    </row>
    <row r="245" spans="1:3">
      <c r="A245" t="s">
        <v>330</v>
      </c>
      <c r="B245" t="s">
        <v>340</v>
      </c>
      <c r="C245">
        <v>83.69</v>
      </c>
    </row>
    <row r="246" spans="1:3">
      <c r="A246" t="s">
        <v>330</v>
      </c>
      <c r="B246" t="s">
        <v>341</v>
      </c>
      <c r="C246">
        <v>70.75</v>
      </c>
    </row>
    <row r="247" spans="1:3">
      <c r="A247" t="s">
        <v>330</v>
      </c>
      <c r="B247" t="s">
        <v>342</v>
      </c>
      <c r="C247">
        <v>77.55</v>
      </c>
    </row>
    <row r="248" spans="1:3">
      <c r="A248" t="s">
        <v>330</v>
      </c>
      <c r="B248" t="s">
        <v>343</v>
      </c>
      <c r="C248">
        <v>71.88</v>
      </c>
    </row>
    <row r="249" spans="1:3">
      <c r="A249" t="s">
        <v>344</v>
      </c>
      <c r="B249" t="s">
        <v>345</v>
      </c>
      <c r="C249">
        <v>107.74</v>
      </c>
    </row>
    <row r="250" spans="1:3">
      <c r="A250" t="s">
        <v>344</v>
      </c>
      <c r="B250" t="s">
        <v>346</v>
      </c>
      <c r="C250">
        <v>104.55</v>
      </c>
    </row>
    <row r="251" spans="1:3">
      <c r="A251" t="s">
        <v>344</v>
      </c>
      <c r="B251" t="s">
        <v>347</v>
      </c>
      <c r="C251">
        <v>99.89</v>
      </c>
    </row>
    <row r="252" spans="1:3">
      <c r="A252" t="s">
        <v>344</v>
      </c>
      <c r="B252" t="s">
        <v>348</v>
      </c>
      <c r="C252">
        <v>104.73</v>
      </c>
    </row>
    <row r="253" spans="1:3">
      <c r="A253" t="s">
        <v>344</v>
      </c>
      <c r="B253" t="s">
        <v>349</v>
      </c>
      <c r="C253">
        <v>104.43</v>
      </c>
    </row>
    <row r="254" spans="1:3">
      <c r="A254" t="s">
        <v>344</v>
      </c>
      <c r="B254" t="s">
        <v>350</v>
      </c>
      <c r="C254">
        <v>112.05</v>
      </c>
    </row>
    <row r="255" spans="1:3">
      <c r="A255" t="s">
        <v>344</v>
      </c>
      <c r="B255" t="s">
        <v>351</v>
      </c>
      <c r="C255">
        <v>104.51</v>
      </c>
    </row>
    <row r="256" spans="1:3">
      <c r="A256" t="s">
        <v>344</v>
      </c>
      <c r="B256" t="s">
        <v>352</v>
      </c>
      <c r="C256">
        <v>105.97</v>
      </c>
    </row>
    <row r="257" spans="1:3">
      <c r="A257" t="s">
        <v>353</v>
      </c>
      <c r="B257" t="s">
        <v>354</v>
      </c>
      <c r="C257">
        <v>104.2</v>
      </c>
    </row>
    <row r="258" spans="1:3">
      <c r="A258" t="s">
        <v>353</v>
      </c>
      <c r="B258" t="s">
        <v>355</v>
      </c>
      <c r="C258">
        <v>102.48</v>
      </c>
    </row>
    <row r="259" spans="1:3">
      <c r="A259" t="s">
        <v>353</v>
      </c>
      <c r="B259" t="s">
        <v>356</v>
      </c>
      <c r="C259">
        <v>100.69</v>
      </c>
    </row>
    <row r="260" spans="1:3">
      <c r="A260" t="s">
        <v>353</v>
      </c>
      <c r="B260" t="s">
        <v>357</v>
      </c>
      <c r="C260">
        <v>93.86</v>
      </c>
    </row>
    <row r="261" spans="1:3">
      <c r="A261" t="s">
        <v>353</v>
      </c>
      <c r="B261" t="s">
        <v>358</v>
      </c>
      <c r="C261">
        <v>93.74</v>
      </c>
    </row>
    <row r="262" spans="1:3">
      <c r="A262" t="s">
        <v>353</v>
      </c>
      <c r="B262" t="s">
        <v>359</v>
      </c>
      <c r="C262">
        <v>95.52</v>
      </c>
    </row>
    <row r="263" spans="1:3">
      <c r="A263" t="s">
        <v>353</v>
      </c>
      <c r="B263" t="s">
        <v>360</v>
      </c>
      <c r="C263">
        <v>98.7</v>
      </c>
    </row>
    <row r="264" spans="1:3">
      <c r="A264" t="s">
        <v>353</v>
      </c>
      <c r="B264" t="s">
        <v>361</v>
      </c>
      <c r="C264">
        <v>100.66</v>
      </c>
    </row>
    <row r="265" spans="1:3">
      <c r="A265" t="s">
        <v>353</v>
      </c>
      <c r="B265" t="s">
        <v>192</v>
      </c>
      <c r="C265">
        <v>112.35</v>
      </c>
    </row>
    <row r="266" spans="1:3">
      <c r="A266" t="s">
        <v>362</v>
      </c>
      <c r="B266" t="s">
        <v>363</v>
      </c>
      <c r="C266">
        <v>115.28</v>
      </c>
    </row>
    <row r="267" spans="1:3">
      <c r="A267" t="s">
        <v>362</v>
      </c>
      <c r="B267" t="s">
        <v>364</v>
      </c>
      <c r="C267">
        <v>116.56</v>
      </c>
    </row>
    <row r="268" spans="1:3">
      <c r="A268" t="s">
        <v>362</v>
      </c>
      <c r="B268" t="s">
        <v>365</v>
      </c>
      <c r="C268">
        <v>116.58</v>
      </c>
    </row>
    <row r="269" spans="1:3">
      <c r="A269" t="s">
        <v>362</v>
      </c>
      <c r="B269" t="s">
        <v>366</v>
      </c>
      <c r="C269">
        <v>109.39</v>
      </c>
    </row>
    <row r="270" spans="1:3">
      <c r="A270" t="s">
        <v>362</v>
      </c>
      <c r="B270" t="s">
        <v>367</v>
      </c>
      <c r="C270">
        <v>115.31</v>
      </c>
    </row>
    <row r="271" spans="1:3">
      <c r="A271" t="s">
        <v>362</v>
      </c>
      <c r="B271" t="s">
        <v>368</v>
      </c>
      <c r="C271">
        <v>108.96</v>
      </c>
    </row>
    <row r="272" spans="1:3">
      <c r="A272" t="s">
        <v>362</v>
      </c>
      <c r="B272" t="s">
        <v>369</v>
      </c>
      <c r="C272">
        <v>109.1</v>
      </c>
    </row>
    <row r="273" spans="1:3">
      <c r="A273" t="s">
        <v>362</v>
      </c>
      <c r="B273" t="s">
        <v>370</v>
      </c>
      <c r="C273">
        <v>106.91</v>
      </c>
    </row>
    <row r="274" spans="1:3">
      <c r="A274" t="s">
        <v>362</v>
      </c>
      <c r="B274" t="s">
        <v>182</v>
      </c>
      <c r="C274">
        <v>110.09</v>
      </c>
    </row>
    <row r="275" spans="1:3">
      <c r="A275" t="s">
        <v>362</v>
      </c>
      <c r="B275" t="s">
        <v>184</v>
      </c>
      <c r="C275">
        <v>109.87</v>
      </c>
    </row>
    <row r="276" spans="1:3">
      <c r="A276" t="s">
        <v>371</v>
      </c>
      <c r="B276" t="s">
        <v>372</v>
      </c>
      <c r="C276">
        <v>96.9</v>
      </c>
    </row>
    <row r="277" spans="1:3">
      <c r="A277" t="s">
        <v>371</v>
      </c>
      <c r="B277" t="s">
        <v>373</v>
      </c>
      <c r="C277">
        <v>98.72</v>
      </c>
    </row>
    <row r="278" spans="1:3">
      <c r="A278" t="s">
        <v>371</v>
      </c>
      <c r="B278" t="s">
        <v>374</v>
      </c>
      <c r="C278">
        <v>95.79</v>
      </c>
    </row>
    <row r="279" spans="1:3">
      <c r="A279" t="s">
        <v>371</v>
      </c>
      <c r="B279" t="s">
        <v>375</v>
      </c>
      <c r="C279">
        <v>90.93</v>
      </c>
    </row>
    <row r="280" spans="1:3">
      <c r="A280" t="s">
        <v>371</v>
      </c>
      <c r="B280" t="s">
        <v>376</v>
      </c>
      <c r="C280">
        <v>99.39</v>
      </c>
    </row>
    <row r="281" spans="1:3">
      <c r="A281" t="s">
        <v>371</v>
      </c>
      <c r="B281" t="s">
        <v>377</v>
      </c>
      <c r="C281">
        <v>92.28</v>
      </c>
    </row>
    <row r="282" spans="1:3">
      <c r="A282" t="s">
        <v>371</v>
      </c>
      <c r="B282" t="s">
        <v>378</v>
      </c>
      <c r="C282">
        <v>97.97</v>
      </c>
    </row>
    <row r="283" spans="1:3">
      <c r="A283" t="s">
        <v>371</v>
      </c>
      <c r="B283" t="s">
        <v>379</v>
      </c>
      <c r="C283">
        <v>93.9</v>
      </c>
    </row>
    <row r="284" spans="1:3">
      <c r="A284" t="s">
        <v>371</v>
      </c>
      <c r="B284" t="s">
        <v>380</v>
      </c>
      <c r="C284">
        <v>95.02</v>
      </c>
    </row>
    <row r="285" spans="1:3">
      <c r="A285" t="s">
        <v>371</v>
      </c>
      <c r="B285" t="s">
        <v>381</v>
      </c>
      <c r="C285">
        <v>96.07</v>
      </c>
    </row>
    <row r="286" spans="1:3">
      <c r="A286" t="s">
        <v>371</v>
      </c>
      <c r="B286" t="s">
        <v>382</v>
      </c>
      <c r="C286">
        <v>91.74</v>
      </c>
    </row>
    <row r="287" spans="1:3">
      <c r="A287" t="s">
        <v>371</v>
      </c>
      <c r="B287" t="s">
        <v>383</v>
      </c>
      <c r="C287">
        <v>94.75</v>
      </c>
    </row>
    <row r="288" spans="1:3">
      <c r="A288" t="s">
        <v>371</v>
      </c>
      <c r="B288" t="s">
        <v>384</v>
      </c>
      <c r="C288">
        <v>90.59</v>
      </c>
    </row>
    <row r="289" spans="1:3">
      <c r="A289" t="s">
        <v>371</v>
      </c>
      <c r="B289" t="s">
        <v>385</v>
      </c>
      <c r="C289">
        <v>94.85</v>
      </c>
    </row>
    <row r="290" spans="1:3">
      <c r="A290" t="s">
        <v>371</v>
      </c>
      <c r="B290" t="s">
        <v>386</v>
      </c>
      <c r="C290">
        <v>92.49</v>
      </c>
    </row>
    <row r="291" spans="1:3">
      <c r="A291" t="s">
        <v>371</v>
      </c>
      <c r="B291" t="s">
        <v>292</v>
      </c>
      <c r="C291">
        <v>91.19</v>
      </c>
    </row>
    <row r="292" spans="1:3">
      <c r="A292" t="s">
        <v>371</v>
      </c>
      <c r="B292" t="s">
        <v>387</v>
      </c>
      <c r="C292">
        <v>92.41</v>
      </c>
    </row>
    <row r="293" spans="1:3">
      <c r="A293" t="s">
        <v>371</v>
      </c>
      <c r="B293" t="s">
        <v>388</v>
      </c>
      <c r="C293">
        <v>92.53</v>
      </c>
    </row>
    <row r="294" spans="1:3">
      <c r="A294" t="s">
        <v>371</v>
      </c>
      <c r="B294" t="s">
        <v>389</v>
      </c>
      <c r="C294">
        <v>93.96</v>
      </c>
    </row>
    <row r="295" spans="1:3">
      <c r="A295" t="s">
        <v>371</v>
      </c>
      <c r="B295" t="s">
        <v>390</v>
      </c>
      <c r="C295">
        <v>97.1</v>
      </c>
    </row>
    <row r="296" spans="1:3">
      <c r="A296" t="s">
        <v>391</v>
      </c>
      <c r="B296" t="s">
        <v>392</v>
      </c>
      <c r="C296">
        <v>101.79</v>
      </c>
    </row>
    <row r="297" spans="1:3">
      <c r="A297" t="s">
        <v>391</v>
      </c>
      <c r="B297" t="s">
        <v>393</v>
      </c>
      <c r="C297">
        <v>95.75</v>
      </c>
    </row>
    <row r="298" spans="1:3">
      <c r="A298" t="s">
        <v>391</v>
      </c>
      <c r="B298" t="s">
        <v>394</v>
      </c>
      <c r="C298">
        <v>99.31</v>
      </c>
    </row>
    <row r="299" spans="1:3">
      <c r="A299" t="s">
        <v>391</v>
      </c>
      <c r="B299" t="s">
        <v>395</v>
      </c>
      <c r="C299">
        <v>97.39</v>
      </c>
    </row>
    <row r="300" spans="1:3">
      <c r="A300" t="s">
        <v>391</v>
      </c>
      <c r="B300" t="s">
        <v>396</v>
      </c>
      <c r="C300">
        <v>93.3</v>
      </c>
    </row>
    <row r="301" spans="1:3">
      <c r="A301" t="s">
        <v>391</v>
      </c>
      <c r="B301" t="s">
        <v>397</v>
      </c>
      <c r="C301">
        <v>97.49</v>
      </c>
    </row>
    <row r="302" spans="1:3">
      <c r="A302" t="s">
        <v>391</v>
      </c>
      <c r="B302" t="s">
        <v>398</v>
      </c>
      <c r="C302">
        <v>103.93</v>
      </c>
    </row>
    <row r="303" spans="1:3">
      <c r="A303" t="s">
        <v>391</v>
      </c>
      <c r="B303" t="s">
        <v>399</v>
      </c>
      <c r="C303">
        <v>96.36</v>
      </c>
    </row>
    <row r="304" spans="1:3">
      <c r="A304" t="s">
        <v>391</v>
      </c>
      <c r="B304" t="s">
        <v>400</v>
      </c>
      <c r="C304">
        <v>97.05</v>
      </c>
    </row>
    <row r="305" spans="1:3">
      <c r="A305" t="s">
        <v>391</v>
      </c>
      <c r="B305" t="s">
        <v>401</v>
      </c>
      <c r="C305">
        <v>101.1</v>
      </c>
    </row>
    <row r="306" spans="1:3">
      <c r="A306" t="s">
        <v>391</v>
      </c>
      <c r="B306" t="s">
        <v>402</v>
      </c>
      <c r="C306">
        <v>97.12</v>
      </c>
    </row>
    <row r="307" spans="1:3">
      <c r="A307" t="s">
        <v>391</v>
      </c>
      <c r="B307" t="s">
        <v>403</v>
      </c>
      <c r="C307">
        <v>97.26</v>
      </c>
    </row>
    <row r="308" spans="1:3">
      <c r="A308" t="s">
        <v>391</v>
      </c>
      <c r="B308" t="s">
        <v>404</v>
      </c>
      <c r="C308">
        <v>97.73</v>
      </c>
    </row>
    <row r="309" spans="1:3">
      <c r="A309" t="s">
        <v>405</v>
      </c>
      <c r="B309" t="s">
        <v>406</v>
      </c>
      <c r="C309">
        <v>77.77</v>
      </c>
    </row>
    <row r="310" spans="1:3">
      <c r="A310" t="s">
        <v>405</v>
      </c>
      <c r="B310" t="s">
        <v>407</v>
      </c>
      <c r="C310">
        <v>82.1</v>
      </c>
    </row>
    <row r="311" spans="1:3">
      <c r="A311" t="s">
        <v>405</v>
      </c>
      <c r="B311" t="s">
        <v>408</v>
      </c>
      <c r="C311">
        <v>73.540000000000006</v>
      </c>
    </row>
    <row r="312" spans="1:3">
      <c r="A312" t="s">
        <v>405</v>
      </c>
      <c r="B312" t="s">
        <v>409</v>
      </c>
      <c r="C312">
        <v>79.7</v>
      </c>
    </row>
    <row r="313" spans="1:3">
      <c r="A313" t="s">
        <v>405</v>
      </c>
      <c r="B313" t="s">
        <v>125</v>
      </c>
      <c r="C313">
        <v>87.89</v>
      </c>
    </row>
    <row r="314" spans="1:3">
      <c r="A314" t="s">
        <v>405</v>
      </c>
      <c r="B314" t="s">
        <v>410</v>
      </c>
      <c r="C314">
        <v>76.55</v>
      </c>
    </row>
    <row r="315" spans="1:3">
      <c r="A315" t="s">
        <v>405</v>
      </c>
      <c r="B315" t="s">
        <v>411</v>
      </c>
      <c r="C315">
        <v>72.44</v>
      </c>
    </row>
    <row r="316" spans="1:3">
      <c r="A316" t="s">
        <v>405</v>
      </c>
      <c r="B316" t="s">
        <v>412</v>
      </c>
      <c r="C316">
        <v>73.44</v>
      </c>
    </row>
    <row r="317" spans="1:3">
      <c r="A317" t="s">
        <v>405</v>
      </c>
      <c r="B317" t="s">
        <v>413</v>
      </c>
      <c r="C317">
        <v>74.239999999999995</v>
      </c>
    </row>
    <row r="318" spans="1:3">
      <c r="A318" t="s">
        <v>414</v>
      </c>
      <c r="B318" t="s">
        <v>415</v>
      </c>
      <c r="C318">
        <v>94.57</v>
      </c>
    </row>
    <row r="319" spans="1:3">
      <c r="A319" t="s">
        <v>414</v>
      </c>
      <c r="B319" t="s">
        <v>260</v>
      </c>
      <c r="C319">
        <v>90.35</v>
      </c>
    </row>
    <row r="320" spans="1:3">
      <c r="A320" t="s">
        <v>414</v>
      </c>
      <c r="B320" t="s">
        <v>416</v>
      </c>
      <c r="C320">
        <v>89.63</v>
      </c>
    </row>
    <row r="321" spans="1:3">
      <c r="A321" t="s">
        <v>414</v>
      </c>
      <c r="B321" t="s">
        <v>417</v>
      </c>
      <c r="C321">
        <v>92.62</v>
      </c>
    </row>
    <row r="322" spans="1:3">
      <c r="A322" t="s">
        <v>414</v>
      </c>
      <c r="B322" t="s">
        <v>120</v>
      </c>
      <c r="C322">
        <v>89.5</v>
      </c>
    </row>
    <row r="323" spans="1:3">
      <c r="A323" t="s">
        <v>414</v>
      </c>
      <c r="B323" t="s">
        <v>418</v>
      </c>
      <c r="C323">
        <v>90.52</v>
      </c>
    </row>
    <row r="324" spans="1:3">
      <c r="A324" t="s">
        <v>414</v>
      </c>
      <c r="B324" t="s">
        <v>419</v>
      </c>
      <c r="C324">
        <v>91.4</v>
      </c>
    </row>
    <row r="325" spans="1:3">
      <c r="A325" t="s">
        <v>414</v>
      </c>
      <c r="B325" t="s">
        <v>311</v>
      </c>
      <c r="C325">
        <v>97.31</v>
      </c>
    </row>
    <row r="326" spans="1:3">
      <c r="A326" t="s">
        <v>414</v>
      </c>
      <c r="B326" t="s">
        <v>420</v>
      </c>
      <c r="C326">
        <v>90.15</v>
      </c>
    </row>
    <row r="327" spans="1:3">
      <c r="A327" t="s">
        <v>414</v>
      </c>
      <c r="B327" t="s">
        <v>421</v>
      </c>
      <c r="C327">
        <v>88.92</v>
      </c>
    </row>
    <row r="328" spans="1:3">
      <c r="A328" t="s">
        <v>414</v>
      </c>
      <c r="B328" t="s">
        <v>422</v>
      </c>
      <c r="C328">
        <v>89.55</v>
      </c>
    </row>
    <row r="329" spans="1:3">
      <c r="A329" t="s">
        <v>414</v>
      </c>
      <c r="B329" t="s">
        <v>423</v>
      </c>
      <c r="C329">
        <v>91.85</v>
      </c>
    </row>
    <row r="330" spans="1:3">
      <c r="A330" t="s">
        <v>414</v>
      </c>
      <c r="B330" t="s">
        <v>315</v>
      </c>
      <c r="C330">
        <v>93.07</v>
      </c>
    </row>
    <row r="331" spans="1:3">
      <c r="A331" t="s">
        <v>414</v>
      </c>
      <c r="B331" t="s">
        <v>274</v>
      </c>
      <c r="C331">
        <v>96.92</v>
      </c>
    </row>
    <row r="332" spans="1:3">
      <c r="A332" t="s">
        <v>424</v>
      </c>
      <c r="B332" t="s">
        <v>425</v>
      </c>
      <c r="C332">
        <v>91.98</v>
      </c>
    </row>
    <row r="333" spans="1:3">
      <c r="A333" t="s">
        <v>424</v>
      </c>
      <c r="B333" t="s">
        <v>426</v>
      </c>
      <c r="C333">
        <v>92.7</v>
      </c>
    </row>
    <row r="334" spans="1:3">
      <c r="A334" t="s">
        <v>424</v>
      </c>
      <c r="B334" t="s">
        <v>427</v>
      </c>
      <c r="C334">
        <v>90.09</v>
      </c>
    </row>
    <row r="335" spans="1:3">
      <c r="A335" t="s">
        <v>424</v>
      </c>
      <c r="B335" t="s">
        <v>428</v>
      </c>
      <c r="C335">
        <v>87.87</v>
      </c>
    </row>
    <row r="336" spans="1:3">
      <c r="A336" t="s">
        <v>424</v>
      </c>
      <c r="B336" t="s">
        <v>429</v>
      </c>
      <c r="C336">
        <v>91.48</v>
      </c>
    </row>
    <row r="337" spans="1:3">
      <c r="A337" t="s">
        <v>424</v>
      </c>
      <c r="B337" t="s">
        <v>430</v>
      </c>
      <c r="C337">
        <v>93.2</v>
      </c>
    </row>
    <row r="338" spans="1:3">
      <c r="A338" t="s">
        <v>424</v>
      </c>
      <c r="B338" t="s">
        <v>431</v>
      </c>
      <c r="C338">
        <v>92.25</v>
      </c>
    </row>
    <row r="339" spans="1:3">
      <c r="A339" t="s">
        <v>432</v>
      </c>
      <c r="B339" t="s">
        <v>433</v>
      </c>
      <c r="C339">
        <v>92.62</v>
      </c>
    </row>
    <row r="340" spans="1:3">
      <c r="A340" t="s">
        <v>432</v>
      </c>
      <c r="B340" t="s">
        <v>434</v>
      </c>
      <c r="C340">
        <v>89.88</v>
      </c>
    </row>
    <row r="341" spans="1:3">
      <c r="A341" t="s">
        <v>432</v>
      </c>
      <c r="B341" t="s">
        <v>435</v>
      </c>
      <c r="C341">
        <v>90.6</v>
      </c>
    </row>
    <row r="342" spans="1:3">
      <c r="A342" t="s">
        <v>432</v>
      </c>
      <c r="B342" t="s">
        <v>436</v>
      </c>
      <c r="C342">
        <v>90.23</v>
      </c>
    </row>
    <row r="343" spans="1:3">
      <c r="A343" t="s">
        <v>432</v>
      </c>
      <c r="B343" t="s">
        <v>437</v>
      </c>
      <c r="C343">
        <v>87.76</v>
      </c>
    </row>
    <row r="344" spans="1:3">
      <c r="A344" t="s">
        <v>432</v>
      </c>
      <c r="B344" t="s">
        <v>304</v>
      </c>
      <c r="C344">
        <v>95.61</v>
      </c>
    </row>
    <row r="345" spans="1:3">
      <c r="A345" t="s">
        <v>432</v>
      </c>
      <c r="B345" t="s">
        <v>305</v>
      </c>
      <c r="C345">
        <v>92.47</v>
      </c>
    </row>
    <row r="346" spans="1:3">
      <c r="A346" t="s">
        <v>432</v>
      </c>
      <c r="B346" t="s">
        <v>438</v>
      </c>
      <c r="C346">
        <v>89.24</v>
      </c>
    </row>
    <row r="347" spans="1:3">
      <c r="A347" t="s">
        <v>439</v>
      </c>
      <c r="B347" t="s">
        <v>440</v>
      </c>
      <c r="C347">
        <v>97.98</v>
      </c>
    </row>
    <row r="348" spans="1:3">
      <c r="A348" t="s">
        <v>439</v>
      </c>
      <c r="B348" t="s">
        <v>441</v>
      </c>
      <c r="C348">
        <v>99.4</v>
      </c>
    </row>
    <row r="349" spans="1:3">
      <c r="A349" t="s">
        <v>439</v>
      </c>
      <c r="B349" t="s">
        <v>442</v>
      </c>
      <c r="C349">
        <v>98.44</v>
      </c>
    </row>
    <row r="350" spans="1:3">
      <c r="A350" t="s">
        <v>439</v>
      </c>
      <c r="B350" t="s">
        <v>443</v>
      </c>
      <c r="C350">
        <v>90.94</v>
      </c>
    </row>
    <row r="351" spans="1:3">
      <c r="A351" t="s">
        <v>439</v>
      </c>
      <c r="B351" t="s">
        <v>444</v>
      </c>
      <c r="C351">
        <v>97.88</v>
      </c>
    </row>
    <row r="352" spans="1:3">
      <c r="A352" t="s">
        <v>445</v>
      </c>
      <c r="B352" t="s">
        <v>446</v>
      </c>
      <c r="C352">
        <v>102.55</v>
      </c>
    </row>
    <row r="353" spans="1:3">
      <c r="A353" t="s">
        <v>445</v>
      </c>
      <c r="B353" t="s">
        <v>365</v>
      </c>
      <c r="C353">
        <v>116.58</v>
      </c>
    </row>
    <row r="354" spans="1:3">
      <c r="A354" t="s">
        <v>445</v>
      </c>
      <c r="B354" t="s">
        <v>347</v>
      </c>
      <c r="C354">
        <v>99.89</v>
      </c>
    </row>
    <row r="355" spans="1:3">
      <c r="A355" t="s">
        <v>445</v>
      </c>
      <c r="B355" t="s">
        <v>447</v>
      </c>
      <c r="C355">
        <v>100.34</v>
      </c>
    </row>
    <row r="356" spans="1:3">
      <c r="A356" t="s">
        <v>445</v>
      </c>
      <c r="B356" t="s">
        <v>448</v>
      </c>
      <c r="C356">
        <v>99.53</v>
      </c>
    </row>
    <row r="357" spans="1:3">
      <c r="A357" t="s">
        <v>445</v>
      </c>
      <c r="B357" t="s">
        <v>351</v>
      </c>
      <c r="C357">
        <v>104.51</v>
      </c>
    </row>
    <row r="358" spans="1:3">
      <c r="A358" t="s">
        <v>445</v>
      </c>
      <c r="B358" t="s">
        <v>449</v>
      </c>
      <c r="C358">
        <v>100.94</v>
      </c>
    </row>
    <row r="359" spans="1:3">
      <c r="A359" t="s">
        <v>445</v>
      </c>
      <c r="B359" t="s">
        <v>450</v>
      </c>
      <c r="C359">
        <v>100.03</v>
      </c>
    </row>
    <row r="360" spans="1:3">
      <c r="A360" t="s">
        <v>451</v>
      </c>
      <c r="B360" t="s">
        <v>452</v>
      </c>
      <c r="C360">
        <v>110.65</v>
      </c>
    </row>
    <row r="361" spans="1:3">
      <c r="A361" t="s">
        <v>451</v>
      </c>
      <c r="B361" t="s">
        <v>453</v>
      </c>
      <c r="C361">
        <v>94.59</v>
      </c>
    </row>
    <row r="362" spans="1:3">
      <c r="A362" t="s">
        <v>451</v>
      </c>
      <c r="B362" t="s">
        <v>454</v>
      </c>
      <c r="C362">
        <v>107.53</v>
      </c>
    </row>
    <row r="363" spans="1:3">
      <c r="A363" t="s">
        <v>451</v>
      </c>
      <c r="B363" t="s">
        <v>455</v>
      </c>
      <c r="C363">
        <v>107.92</v>
      </c>
    </row>
    <row r="364" spans="1:3">
      <c r="A364" t="s">
        <v>451</v>
      </c>
      <c r="B364" t="s">
        <v>456</v>
      </c>
      <c r="C364">
        <v>119.14</v>
      </c>
    </row>
    <row r="365" spans="1:3">
      <c r="A365" t="s">
        <v>451</v>
      </c>
      <c r="B365" t="s">
        <v>457</v>
      </c>
      <c r="C365">
        <v>107.87</v>
      </c>
    </row>
    <row r="366" spans="1:3">
      <c r="A366" t="s">
        <v>451</v>
      </c>
      <c r="B366" t="s">
        <v>360</v>
      </c>
      <c r="C366">
        <v>98.7</v>
      </c>
    </row>
    <row r="367" spans="1:3">
      <c r="A367" t="s">
        <v>451</v>
      </c>
      <c r="B367" t="s">
        <v>458</v>
      </c>
      <c r="C367">
        <v>103.39</v>
      </c>
    </row>
    <row r="368" spans="1:3">
      <c r="A368" t="s">
        <v>459</v>
      </c>
      <c r="B368" t="s">
        <v>460</v>
      </c>
      <c r="C368">
        <v>90.79</v>
      </c>
    </row>
    <row r="369" spans="1:3">
      <c r="A369" t="s">
        <v>459</v>
      </c>
      <c r="B369" t="s">
        <v>461</v>
      </c>
      <c r="C369">
        <v>91.79</v>
      </c>
    </row>
    <row r="370" spans="1:3">
      <c r="A370" t="s">
        <v>459</v>
      </c>
      <c r="B370" t="s">
        <v>462</v>
      </c>
      <c r="C370">
        <v>89.21</v>
      </c>
    </row>
    <row r="371" spans="1:3">
      <c r="A371" t="s">
        <v>459</v>
      </c>
      <c r="B371" t="s">
        <v>463</v>
      </c>
      <c r="C371">
        <v>88.45</v>
      </c>
    </row>
    <row r="372" spans="1:3">
      <c r="A372" t="s">
        <v>459</v>
      </c>
      <c r="B372" t="s">
        <v>464</v>
      </c>
      <c r="C372">
        <v>85.2</v>
      </c>
    </row>
    <row r="373" spans="1:3">
      <c r="A373" t="s">
        <v>459</v>
      </c>
      <c r="B373" t="s">
        <v>465</v>
      </c>
      <c r="C373">
        <v>88.94</v>
      </c>
    </row>
    <row r="374" spans="1:3">
      <c r="A374" t="s">
        <v>459</v>
      </c>
      <c r="B374" t="s">
        <v>466</v>
      </c>
      <c r="C374">
        <v>99.56</v>
      </c>
    </row>
    <row r="375" spans="1:3">
      <c r="A375" t="s">
        <v>467</v>
      </c>
      <c r="B375" t="s">
        <v>468</v>
      </c>
      <c r="C375">
        <v>117.7</v>
      </c>
    </row>
    <row r="376" spans="1:3">
      <c r="A376" t="s">
        <v>467</v>
      </c>
      <c r="B376" t="s">
        <v>469</v>
      </c>
      <c r="C376">
        <v>110.03</v>
      </c>
    </row>
    <row r="377" spans="1:3">
      <c r="A377" t="s">
        <v>467</v>
      </c>
      <c r="B377" t="s">
        <v>470</v>
      </c>
      <c r="C377">
        <v>105.52</v>
      </c>
    </row>
    <row r="378" spans="1:3">
      <c r="A378" t="s">
        <v>467</v>
      </c>
      <c r="B378" t="s">
        <v>471</v>
      </c>
      <c r="C378">
        <v>106.82</v>
      </c>
    </row>
    <row r="379" spans="1:3">
      <c r="A379" t="s">
        <v>467</v>
      </c>
      <c r="B379" t="s">
        <v>472</v>
      </c>
      <c r="C379">
        <v>106.72</v>
      </c>
    </row>
    <row r="380" spans="1:3">
      <c r="A380" t="s">
        <v>467</v>
      </c>
      <c r="B380" t="s">
        <v>473</v>
      </c>
      <c r="C380">
        <v>104.2</v>
      </c>
    </row>
    <row r="381" spans="1:3">
      <c r="A381" t="s">
        <v>467</v>
      </c>
      <c r="B381" t="s">
        <v>474</v>
      </c>
      <c r="C381">
        <v>107.44</v>
      </c>
    </row>
    <row r="382" spans="1:3">
      <c r="A382" t="s">
        <v>467</v>
      </c>
      <c r="B382" t="s">
        <v>475</v>
      </c>
      <c r="C382">
        <v>109.01</v>
      </c>
    </row>
    <row r="383" spans="1:3">
      <c r="A383" t="s">
        <v>467</v>
      </c>
      <c r="B383" t="s">
        <v>476</v>
      </c>
      <c r="C383">
        <v>110.68</v>
      </c>
    </row>
    <row r="384" spans="1:3">
      <c r="A384" t="s">
        <v>467</v>
      </c>
      <c r="B384" t="s">
        <v>456</v>
      </c>
      <c r="C384">
        <v>119.14</v>
      </c>
    </row>
    <row r="385" spans="1:3">
      <c r="A385" t="s">
        <v>467</v>
      </c>
      <c r="B385" t="s">
        <v>477</v>
      </c>
      <c r="C385">
        <v>105.84</v>
      </c>
    </row>
    <row r="386" spans="1:3">
      <c r="A386" t="s">
        <v>467</v>
      </c>
      <c r="B386" t="s">
        <v>478</v>
      </c>
      <c r="C386">
        <v>106.18</v>
      </c>
    </row>
    <row r="387" spans="1:3">
      <c r="A387" t="s">
        <v>467</v>
      </c>
      <c r="B387" t="s">
        <v>479</v>
      </c>
      <c r="C387">
        <v>108.08</v>
      </c>
    </row>
    <row r="388" spans="1:3">
      <c r="A388" t="s">
        <v>467</v>
      </c>
      <c r="B388" t="s">
        <v>480</v>
      </c>
      <c r="C388">
        <v>102.91</v>
      </c>
    </row>
    <row r="389" spans="1:3">
      <c r="A389" t="s">
        <v>467</v>
      </c>
      <c r="B389" t="s">
        <v>481</v>
      </c>
      <c r="C389">
        <v>105.38</v>
      </c>
    </row>
    <row r="390" spans="1:3">
      <c r="A390" t="s">
        <v>482</v>
      </c>
      <c r="B390" t="s">
        <v>483</v>
      </c>
      <c r="C390">
        <v>89.51</v>
      </c>
    </row>
    <row r="391" spans="1:3">
      <c r="A391" t="s">
        <v>482</v>
      </c>
      <c r="B391" t="s">
        <v>484</v>
      </c>
      <c r="C391">
        <v>91.42</v>
      </c>
    </row>
    <row r="392" spans="1:3">
      <c r="A392" t="s">
        <v>482</v>
      </c>
      <c r="B392" t="s">
        <v>485</v>
      </c>
      <c r="C392">
        <v>84.52</v>
      </c>
    </row>
    <row r="393" spans="1:3">
      <c r="A393" t="s">
        <v>482</v>
      </c>
      <c r="B393" t="s">
        <v>486</v>
      </c>
      <c r="C393">
        <v>93.04</v>
      </c>
    </row>
    <row r="394" spans="1:3">
      <c r="A394" t="s">
        <v>482</v>
      </c>
      <c r="B394" t="s">
        <v>487</v>
      </c>
      <c r="C394">
        <v>96.57</v>
      </c>
    </row>
    <row r="395" spans="1:3">
      <c r="A395" t="s">
        <v>482</v>
      </c>
      <c r="B395" t="s">
        <v>488</v>
      </c>
      <c r="C395">
        <v>82.87</v>
      </c>
    </row>
    <row r="396" spans="1:3">
      <c r="A396" t="s">
        <v>482</v>
      </c>
      <c r="B396" t="s">
        <v>489</v>
      </c>
      <c r="C396">
        <v>83.31</v>
      </c>
    </row>
    <row r="397" spans="1:3">
      <c r="A397" t="s">
        <v>482</v>
      </c>
      <c r="B397" t="s">
        <v>490</v>
      </c>
      <c r="C397">
        <v>87.12</v>
      </c>
    </row>
    <row r="398" spans="1:3">
      <c r="A398" t="s">
        <v>482</v>
      </c>
      <c r="B398" t="s">
        <v>491</v>
      </c>
      <c r="C398">
        <v>84.45</v>
      </c>
    </row>
    <row r="399" spans="1:3">
      <c r="A399" t="s">
        <v>482</v>
      </c>
      <c r="B399" t="s">
        <v>492</v>
      </c>
      <c r="C399">
        <v>87.5</v>
      </c>
    </row>
    <row r="400" spans="1:3">
      <c r="A400" t="s">
        <v>482</v>
      </c>
      <c r="B400" t="s">
        <v>493</v>
      </c>
      <c r="C400">
        <v>80.540000000000006</v>
      </c>
    </row>
    <row r="401" spans="1:3">
      <c r="A401" t="s">
        <v>482</v>
      </c>
      <c r="B401" t="s">
        <v>494</v>
      </c>
      <c r="C401">
        <v>81.17</v>
      </c>
    </row>
    <row r="402" spans="1:3">
      <c r="A402" t="s">
        <v>482</v>
      </c>
      <c r="B402" t="s">
        <v>495</v>
      </c>
      <c r="C402">
        <v>82.41</v>
      </c>
    </row>
    <row r="403" spans="1:3">
      <c r="A403" t="s">
        <v>482</v>
      </c>
      <c r="B403" t="s">
        <v>496</v>
      </c>
      <c r="C403">
        <v>93.92</v>
      </c>
    </row>
    <row r="404" spans="1:3">
      <c r="A404" t="s">
        <v>482</v>
      </c>
      <c r="B404" t="s">
        <v>497</v>
      </c>
      <c r="C404">
        <v>81.67</v>
      </c>
    </row>
    <row r="405" spans="1:3">
      <c r="A405" t="s">
        <v>482</v>
      </c>
      <c r="B405" t="s">
        <v>498</v>
      </c>
      <c r="C405">
        <v>82.48</v>
      </c>
    </row>
    <row r="406" spans="1:3">
      <c r="A406" t="s">
        <v>482</v>
      </c>
      <c r="B406" t="s">
        <v>499</v>
      </c>
      <c r="C406">
        <v>92.41</v>
      </c>
    </row>
    <row r="407" spans="1:3">
      <c r="A407" t="s">
        <v>482</v>
      </c>
      <c r="B407" t="s">
        <v>500</v>
      </c>
      <c r="C407">
        <v>89.32</v>
      </c>
    </row>
    <row r="408" spans="1:3">
      <c r="A408" t="s">
        <v>482</v>
      </c>
      <c r="B408" t="s">
        <v>501</v>
      </c>
      <c r="C408">
        <v>87.07</v>
      </c>
    </row>
    <row r="409" spans="1:3">
      <c r="A409" t="s">
        <v>482</v>
      </c>
      <c r="B409" t="s">
        <v>502</v>
      </c>
      <c r="C409">
        <v>87.61</v>
      </c>
    </row>
    <row r="410" spans="1:3">
      <c r="A410" t="s">
        <v>482</v>
      </c>
      <c r="B410" t="s">
        <v>503</v>
      </c>
      <c r="C410">
        <v>85.75</v>
      </c>
    </row>
    <row r="411" spans="1:3">
      <c r="A411" t="s">
        <v>482</v>
      </c>
      <c r="B411" t="s">
        <v>504</v>
      </c>
      <c r="C411">
        <v>84.46</v>
      </c>
    </row>
    <row r="412" spans="1:3">
      <c r="A412" t="s">
        <v>505</v>
      </c>
      <c r="B412" t="s">
        <v>506</v>
      </c>
      <c r="C412">
        <v>98.64</v>
      </c>
    </row>
    <row r="413" spans="1:3">
      <c r="A413" t="s">
        <v>505</v>
      </c>
      <c r="B413" t="s">
        <v>507</v>
      </c>
      <c r="C413">
        <v>97.97</v>
      </c>
    </row>
    <row r="414" spans="1:3">
      <c r="A414" t="s">
        <v>505</v>
      </c>
      <c r="B414" t="s">
        <v>508</v>
      </c>
      <c r="C414">
        <v>98.11</v>
      </c>
    </row>
    <row r="415" spans="1:3">
      <c r="A415" t="s">
        <v>505</v>
      </c>
      <c r="B415" t="s">
        <v>394</v>
      </c>
      <c r="C415">
        <v>99.31</v>
      </c>
    </row>
    <row r="416" spans="1:3">
      <c r="A416" t="s">
        <v>505</v>
      </c>
      <c r="B416" t="s">
        <v>395</v>
      </c>
      <c r="C416">
        <v>97.39</v>
      </c>
    </row>
    <row r="417" spans="1:3">
      <c r="A417" t="s">
        <v>505</v>
      </c>
      <c r="B417" t="s">
        <v>509</v>
      </c>
      <c r="C417">
        <v>99.16</v>
      </c>
    </row>
    <row r="418" spans="1:3">
      <c r="A418" t="s">
        <v>510</v>
      </c>
      <c r="B418" t="s">
        <v>511</v>
      </c>
      <c r="C418">
        <v>92.28</v>
      </c>
    </row>
    <row r="419" spans="1:3">
      <c r="A419" t="s">
        <v>510</v>
      </c>
      <c r="B419" t="s">
        <v>512</v>
      </c>
      <c r="C419">
        <v>91.64</v>
      </c>
    </row>
    <row r="420" spans="1:3">
      <c r="A420" t="s">
        <v>510</v>
      </c>
      <c r="B420" t="s">
        <v>513</v>
      </c>
      <c r="C420">
        <v>88.64</v>
      </c>
    </row>
    <row r="421" spans="1:3">
      <c r="A421" t="s">
        <v>510</v>
      </c>
      <c r="B421" t="s">
        <v>280</v>
      </c>
      <c r="C421">
        <v>94.03</v>
      </c>
    </row>
    <row r="422" spans="1:3">
      <c r="A422" t="s">
        <v>510</v>
      </c>
      <c r="B422" t="s">
        <v>514</v>
      </c>
      <c r="C422">
        <v>95.38</v>
      </c>
    </row>
    <row r="423" spans="1:3">
      <c r="A423" t="s">
        <v>510</v>
      </c>
      <c r="B423" t="s">
        <v>515</v>
      </c>
      <c r="C423">
        <v>94.87</v>
      </c>
    </row>
    <row r="424" spans="1:3">
      <c r="A424" t="s">
        <v>510</v>
      </c>
      <c r="B424" t="s">
        <v>516</v>
      </c>
      <c r="C424">
        <v>92.62</v>
      </c>
    </row>
    <row r="425" spans="1:3">
      <c r="A425" t="s">
        <v>510</v>
      </c>
      <c r="B425" t="s">
        <v>517</v>
      </c>
      <c r="C425">
        <v>87.11</v>
      </c>
    </row>
    <row r="426" spans="1:3">
      <c r="A426" t="s">
        <v>510</v>
      </c>
      <c r="B426" t="s">
        <v>325</v>
      </c>
      <c r="C426">
        <v>80.819999999999993</v>
      </c>
    </row>
    <row r="427" spans="1:3">
      <c r="A427" t="s">
        <v>510</v>
      </c>
      <c r="B427" t="s">
        <v>518</v>
      </c>
      <c r="C427">
        <v>88.31</v>
      </c>
    </row>
    <row r="428" spans="1:3">
      <c r="A428" t="s">
        <v>510</v>
      </c>
      <c r="B428" t="s">
        <v>519</v>
      </c>
      <c r="C428">
        <v>86.28</v>
      </c>
    </row>
    <row r="429" spans="1:3">
      <c r="A429" t="s">
        <v>510</v>
      </c>
      <c r="B429" t="s">
        <v>520</v>
      </c>
      <c r="C429">
        <v>87.63</v>
      </c>
    </row>
    <row r="430" spans="1:3">
      <c r="A430" t="s">
        <v>510</v>
      </c>
      <c r="B430" t="s">
        <v>521</v>
      </c>
      <c r="C430">
        <v>88.08</v>
      </c>
    </row>
    <row r="431" spans="1:3">
      <c r="A431" t="s">
        <v>510</v>
      </c>
      <c r="B431" t="s">
        <v>522</v>
      </c>
      <c r="C431">
        <v>88.69</v>
      </c>
    </row>
    <row r="432" spans="1:3">
      <c r="A432" t="s">
        <v>510</v>
      </c>
      <c r="B432" t="s">
        <v>523</v>
      </c>
      <c r="C432">
        <v>91.65</v>
      </c>
    </row>
    <row r="433" spans="1:3">
      <c r="A433" t="s">
        <v>510</v>
      </c>
      <c r="B433" t="s">
        <v>524</v>
      </c>
      <c r="C433">
        <v>83.44</v>
      </c>
    </row>
    <row r="434" spans="1:3">
      <c r="A434" t="s">
        <v>510</v>
      </c>
      <c r="B434" t="s">
        <v>525</v>
      </c>
      <c r="C434">
        <v>88.37</v>
      </c>
    </row>
    <row r="435" spans="1:3">
      <c r="A435" t="s">
        <v>510</v>
      </c>
      <c r="B435" t="s">
        <v>526</v>
      </c>
      <c r="C435">
        <v>82.44</v>
      </c>
    </row>
    <row r="436" spans="1:3">
      <c r="A436" t="s">
        <v>510</v>
      </c>
      <c r="B436" t="s">
        <v>527</v>
      </c>
      <c r="C436">
        <v>85.56</v>
      </c>
    </row>
    <row r="437" spans="1:3">
      <c r="A437" t="s">
        <v>528</v>
      </c>
      <c r="B437" t="s">
        <v>529</v>
      </c>
      <c r="C437">
        <v>82.68</v>
      </c>
    </row>
    <row r="438" spans="1:3">
      <c r="A438" t="s">
        <v>528</v>
      </c>
      <c r="B438" t="s">
        <v>530</v>
      </c>
      <c r="C438">
        <v>79.03</v>
      </c>
    </row>
    <row r="439" spans="1:3">
      <c r="A439" t="s">
        <v>528</v>
      </c>
      <c r="B439" t="s">
        <v>121</v>
      </c>
      <c r="C439">
        <v>82.26</v>
      </c>
    </row>
    <row r="440" spans="1:3">
      <c r="A440" t="s">
        <v>528</v>
      </c>
      <c r="B440" t="s">
        <v>531</v>
      </c>
      <c r="C440">
        <v>78.38</v>
      </c>
    </row>
    <row r="441" spans="1:3">
      <c r="A441" t="s">
        <v>528</v>
      </c>
      <c r="B441" t="s">
        <v>532</v>
      </c>
      <c r="C441">
        <v>78.69</v>
      </c>
    </row>
    <row r="442" spans="1:3">
      <c r="A442" t="s">
        <v>528</v>
      </c>
      <c r="B442" t="s">
        <v>533</v>
      </c>
      <c r="C442">
        <v>77.540000000000006</v>
      </c>
    </row>
    <row r="443" spans="1:3">
      <c r="A443" t="s">
        <v>528</v>
      </c>
      <c r="B443" t="s">
        <v>534</v>
      </c>
      <c r="C443">
        <v>84.7</v>
      </c>
    </row>
    <row r="444" spans="1:3">
      <c r="A444" t="s">
        <v>528</v>
      </c>
      <c r="B444" t="s">
        <v>535</v>
      </c>
      <c r="C444">
        <v>78.5</v>
      </c>
    </row>
    <row r="445" spans="1:3">
      <c r="A445" t="s">
        <v>528</v>
      </c>
      <c r="B445" t="s">
        <v>536</v>
      </c>
      <c r="C445">
        <v>76.64</v>
      </c>
    </row>
    <row r="446" spans="1:3">
      <c r="A446" t="s">
        <v>528</v>
      </c>
      <c r="B446" t="s">
        <v>537</v>
      </c>
      <c r="C446">
        <v>85.53</v>
      </c>
    </row>
    <row r="447" spans="1:3">
      <c r="A447" t="s">
        <v>538</v>
      </c>
      <c r="B447" t="s">
        <v>539</v>
      </c>
      <c r="C447">
        <v>107.3</v>
      </c>
    </row>
    <row r="448" spans="1:3">
      <c r="A448" t="s">
        <v>538</v>
      </c>
      <c r="B448" t="s">
        <v>540</v>
      </c>
      <c r="C448">
        <v>104.27</v>
      </c>
    </row>
    <row r="449" spans="1:3">
      <c r="A449" t="s">
        <v>538</v>
      </c>
      <c r="B449" t="s">
        <v>541</v>
      </c>
      <c r="C449">
        <v>106.67</v>
      </c>
    </row>
    <row r="450" spans="1:3">
      <c r="A450" t="s">
        <v>538</v>
      </c>
      <c r="B450" t="s">
        <v>542</v>
      </c>
      <c r="C450">
        <v>100.93</v>
      </c>
    </row>
    <row r="451" spans="1:3">
      <c r="A451" t="s">
        <v>538</v>
      </c>
      <c r="B451" t="s">
        <v>543</v>
      </c>
      <c r="C451">
        <v>101.17</v>
      </c>
    </row>
    <row r="452" spans="1:3">
      <c r="A452" t="s">
        <v>538</v>
      </c>
      <c r="B452" t="s">
        <v>544</v>
      </c>
      <c r="C452">
        <v>101.77</v>
      </c>
    </row>
    <row r="453" spans="1:3">
      <c r="A453" t="s">
        <v>538</v>
      </c>
      <c r="B453" t="s">
        <v>545</v>
      </c>
      <c r="C453">
        <v>100.65</v>
      </c>
    </row>
    <row r="454" spans="1:3">
      <c r="A454" t="s">
        <v>538</v>
      </c>
      <c r="B454" t="s">
        <v>546</v>
      </c>
      <c r="C454">
        <v>101.98</v>
      </c>
    </row>
    <row r="455" spans="1:3">
      <c r="A455" t="s">
        <v>538</v>
      </c>
      <c r="B455" t="s">
        <v>547</v>
      </c>
      <c r="C455">
        <v>103.86</v>
      </c>
    </row>
    <row r="456" spans="1:3">
      <c r="A456" t="s">
        <v>538</v>
      </c>
      <c r="B456" t="s">
        <v>548</v>
      </c>
      <c r="C456">
        <v>103.66</v>
      </c>
    </row>
    <row r="457" spans="1:3">
      <c r="A457" t="s">
        <v>538</v>
      </c>
      <c r="B457" t="s">
        <v>549</v>
      </c>
      <c r="C457">
        <v>112.48</v>
      </c>
    </row>
    <row r="458" spans="1:3">
      <c r="A458" t="s">
        <v>538</v>
      </c>
      <c r="B458" t="s">
        <v>550</v>
      </c>
      <c r="C458">
        <v>105.59</v>
      </c>
    </row>
    <row r="459" spans="1:3">
      <c r="A459" t="s">
        <v>551</v>
      </c>
      <c r="B459" t="s">
        <v>552</v>
      </c>
      <c r="C459">
        <v>92.72</v>
      </c>
    </row>
    <row r="460" spans="1:3">
      <c r="A460" t="s">
        <v>551</v>
      </c>
      <c r="B460" t="s">
        <v>453</v>
      </c>
      <c r="C460">
        <v>94.59</v>
      </c>
    </row>
    <row r="461" spans="1:3">
      <c r="A461" t="s">
        <v>551</v>
      </c>
      <c r="B461" t="s">
        <v>553</v>
      </c>
      <c r="C461">
        <v>83.73</v>
      </c>
    </row>
    <row r="462" spans="1:3">
      <c r="A462" t="s">
        <v>551</v>
      </c>
      <c r="B462" t="s">
        <v>554</v>
      </c>
      <c r="C462">
        <v>85.79</v>
      </c>
    </row>
    <row r="463" spans="1:3">
      <c r="A463" t="s">
        <v>551</v>
      </c>
      <c r="B463" t="s">
        <v>555</v>
      </c>
      <c r="C463">
        <v>89.23</v>
      </c>
    </row>
    <row r="464" spans="1:3">
      <c r="A464" t="s">
        <v>551</v>
      </c>
      <c r="B464" t="s">
        <v>556</v>
      </c>
      <c r="C464">
        <v>89.74</v>
      </c>
    </row>
    <row r="465" spans="1:3">
      <c r="A465" t="s">
        <v>551</v>
      </c>
      <c r="B465" t="s">
        <v>557</v>
      </c>
      <c r="C465">
        <v>85.58</v>
      </c>
    </row>
    <row r="466" spans="1:3">
      <c r="A466" t="s">
        <v>551</v>
      </c>
      <c r="B466" t="s">
        <v>558</v>
      </c>
      <c r="C466">
        <v>88</v>
      </c>
    </row>
    <row r="467" spans="1:3">
      <c r="A467" t="s">
        <v>551</v>
      </c>
      <c r="B467" t="s">
        <v>559</v>
      </c>
      <c r="C467">
        <v>92.1</v>
      </c>
    </row>
    <row r="468" spans="1:3">
      <c r="A468" t="s">
        <v>551</v>
      </c>
      <c r="B468" t="s">
        <v>560</v>
      </c>
      <c r="C468">
        <v>80.45</v>
      </c>
    </row>
    <row r="469" spans="1:3">
      <c r="A469" t="s">
        <v>551</v>
      </c>
      <c r="B469" t="s">
        <v>561</v>
      </c>
      <c r="C469">
        <v>91.84</v>
      </c>
    </row>
    <row r="470" spans="1:3">
      <c r="A470" t="s">
        <v>551</v>
      </c>
      <c r="B470" t="s">
        <v>562</v>
      </c>
      <c r="C470">
        <v>89.93</v>
      </c>
    </row>
    <row r="471" spans="1:3">
      <c r="A471" t="s">
        <v>551</v>
      </c>
      <c r="B471" t="s">
        <v>456</v>
      </c>
      <c r="C471">
        <v>119.14</v>
      </c>
    </row>
    <row r="472" spans="1:3">
      <c r="A472" t="s">
        <v>551</v>
      </c>
      <c r="B472" t="s">
        <v>563</v>
      </c>
      <c r="C472">
        <v>86.07</v>
      </c>
    </row>
    <row r="473" spans="1:3">
      <c r="A473" t="s">
        <v>551</v>
      </c>
      <c r="B473" t="s">
        <v>360</v>
      </c>
      <c r="C473">
        <v>98.7</v>
      </c>
    </row>
    <row r="474" spans="1:3">
      <c r="A474" t="s">
        <v>551</v>
      </c>
      <c r="B474" t="s">
        <v>564</v>
      </c>
      <c r="C474">
        <v>91.84</v>
      </c>
    </row>
    <row r="475" spans="1:3">
      <c r="A475" t="s">
        <v>551</v>
      </c>
      <c r="B475" t="s">
        <v>565</v>
      </c>
      <c r="C475">
        <v>92.71</v>
      </c>
    </row>
    <row r="476" spans="1:3">
      <c r="A476" t="s">
        <v>551</v>
      </c>
      <c r="B476" t="s">
        <v>566</v>
      </c>
      <c r="C476">
        <v>89.04</v>
      </c>
    </row>
    <row r="477" spans="1:3">
      <c r="A477" t="s">
        <v>551</v>
      </c>
      <c r="B477" t="s">
        <v>567</v>
      </c>
      <c r="C477">
        <v>86.43</v>
      </c>
    </row>
    <row r="478" spans="1:3">
      <c r="A478" t="s">
        <v>551</v>
      </c>
      <c r="B478" t="s">
        <v>568</v>
      </c>
      <c r="C478">
        <v>90.09</v>
      </c>
    </row>
    <row r="479" spans="1:3">
      <c r="A479" t="s">
        <v>551</v>
      </c>
      <c r="B479" t="s">
        <v>569</v>
      </c>
      <c r="C479">
        <v>85.45</v>
      </c>
    </row>
    <row r="480" spans="1:3">
      <c r="A480" t="s">
        <v>551</v>
      </c>
      <c r="B480" t="s">
        <v>570</v>
      </c>
      <c r="C480">
        <v>88.96</v>
      </c>
    </row>
    <row r="481" spans="1:3">
      <c r="A481" t="s">
        <v>551</v>
      </c>
      <c r="B481" t="s">
        <v>571</v>
      </c>
      <c r="C481">
        <v>89.98</v>
      </c>
    </row>
    <row r="482" spans="1:3">
      <c r="A482" t="s">
        <v>551</v>
      </c>
      <c r="B482" t="s">
        <v>527</v>
      </c>
      <c r="C482">
        <v>85.56</v>
      </c>
    </row>
    <row r="483" spans="1:3">
      <c r="A483" t="s">
        <v>572</v>
      </c>
      <c r="B483" t="s">
        <v>573</v>
      </c>
      <c r="C483">
        <v>63.17</v>
      </c>
    </row>
    <row r="484" spans="1:3">
      <c r="A484" t="s">
        <v>572</v>
      </c>
      <c r="B484" t="s">
        <v>574</v>
      </c>
      <c r="C484">
        <v>60.43</v>
      </c>
    </row>
    <row r="485" spans="1:3">
      <c r="A485" t="s">
        <v>572</v>
      </c>
      <c r="B485" t="s">
        <v>575</v>
      </c>
      <c r="C485">
        <v>62.47</v>
      </c>
    </row>
    <row r="486" spans="1:3">
      <c r="A486" t="s">
        <v>572</v>
      </c>
      <c r="B486" t="s">
        <v>576</v>
      </c>
      <c r="C486">
        <v>62.81</v>
      </c>
    </row>
    <row r="487" spans="1:3">
      <c r="A487" t="s">
        <v>572</v>
      </c>
      <c r="B487" t="s">
        <v>577</v>
      </c>
      <c r="C487">
        <v>60.96</v>
      </c>
    </row>
    <row r="488" spans="1:3">
      <c r="A488" t="s">
        <v>572</v>
      </c>
      <c r="B488" t="s">
        <v>578</v>
      </c>
      <c r="C488">
        <v>61.34</v>
      </c>
    </row>
    <row r="489" spans="1:3">
      <c r="A489" t="s">
        <v>572</v>
      </c>
      <c r="B489" t="s">
        <v>579</v>
      </c>
      <c r="C489">
        <v>64.91</v>
      </c>
    </row>
    <row r="490" spans="1:3">
      <c r="A490" t="s">
        <v>572</v>
      </c>
      <c r="B490" t="s">
        <v>580</v>
      </c>
      <c r="C490">
        <v>59.5</v>
      </c>
    </row>
    <row r="491" spans="1:3">
      <c r="A491" t="s">
        <v>572</v>
      </c>
      <c r="B491" t="s">
        <v>581</v>
      </c>
      <c r="C491">
        <v>63.95</v>
      </c>
    </row>
    <row r="492" spans="1:3">
      <c r="A492" t="s">
        <v>582</v>
      </c>
      <c r="B492" t="s">
        <v>583</v>
      </c>
      <c r="C492">
        <v>106.66</v>
      </c>
    </row>
    <row r="493" spans="1:3">
      <c r="A493" t="s">
        <v>582</v>
      </c>
      <c r="B493" t="s">
        <v>181</v>
      </c>
      <c r="C493">
        <v>109.27</v>
      </c>
    </row>
    <row r="494" spans="1:3">
      <c r="A494" t="s">
        <v>582</v>
      </c>
      <c r="B494" t="s">
        <v>370</v>
      </c>
      <c r="C494">
        <v>106.91</v>
      </c>
    </row>
    <row r="495" spans="1:3">
      <c r="A495" t="s">
        <v>584</v>
      </c>
      <c r="B495" t="s">
        <v>585</v>
      </c>
      <c r="C495">
        <v>84.45</v>
      </c>
    </row>
    <row r="496" spans="1:3">
      <c r="A496" t="s">
        <v>584</v>
      </c>
      <c r="B496" t="s">
        <v>224</v>
      </c>
      <c r="C496">
        <v>82.78</v>
      </c>
    </row>
    <row r="497" spans="1:3">
      <c r="A497" t="s">
        <v>584</v>
      </c>
      <c r="B497" t="s">
        <v>586</v>
      </c>
      <c r="C497">
        <v>89.14</v>
      </c>
    </row>
    <row r="498" spans="1:3">
      <c r="A498" t="s">
        <v>584</v>
      </c>
      <c r="B498" t="s">
        <v>486</v>
      </c>
      <c r="C498">
        <v>93.04</v>
      </c>
    </row>
    <row r="499" spans="1:3">
      <c r="A499" t="s">
        <v>584</v>
      </c>
      <c r="B499" t="s">
        <v>587</v>
      </c>
      <c r="C499">
        <v>83.26</v>
      </c>
    </row>
    <row r="500" spans="1:3">
      <c r="A500" t="s">
        <v>584</v>
      </c>
      <c r="B500" t="s">
        <v>588</v>
      </c>
      <c r="C500">
        <v>80.47</v>
      </c>
    </row>
    <row r="501" spans="1:3">
      <c r="A501" t="s">
        <v>584</v>
      </c>
      <c r="B501" t="s">
        <v>589</v>
      </c>
      <c r="C501">
        <v>84.83</v>
      </c>
    </row>
    <row r="502" spans="1:3">
      <c r="A502" t="s">
        <v>584</v>
      </c>
      <c r="B502" t="s">
        <v>590</v>
      </c>
      <c r="C502">
        <v>87.13</v>
      </c>
    </row>
    <row r="503" spans="1:3">
      <c r="A503" t="s">
        <v>584</v>
      </c>
      <c r="B503" t="s">
        <v>494</v>
      </c>
      <c r="C503">
        <v>81.17</v>
      </c>
    </row>
    <row r="504" spans="1:3">
      <c r="A504" t="s">
        <v>584</v>
      </c>
      <c r="B504" t="s">
        <v>591</v>
      </c>
      <c r="C504">
        <v>85.84</v>
      </c>
    </row>
    <row r="505" spans="1:3">
      <c r="A505" t="s">
        <v>584</v>
      </c>
      <c r="B505" t="s">
        <v>592</v>
      </c>
      <c r="C505">
        <v>78.84</v>
      </c>
    </row>
    <row r="506" spans="1:3">
      <c r="A506" t="s">
        <v>584</v>
      </c>
      <c r="B506" t="s">
        <v>593</v>
      </c>
      <c r="C506">
        <v>80.11</v>
      </c>
    </row>
    <row r="507" spans="1:3">
      <c r="A507" t="s">
        <v>584</v>
      </c>
      <c r="B507" t="s">
        <v>594</v>
      </c>
      <c r="C507">
        <v>78.290000000000006</v>
      </c>
    </row>
    <row r="508" spans="1:3">
      <c r="A508" t="s">
        <v>584</v>
      </c>
      <c r="B508" t="s">
        <v>595</v>
      </c>
      <c r="C508">
        <v>78.89</v>
      </c>
    </row>
    <row r="509" spans="1:3">
      <c r="A509" t="s">
        <v>596</v>
      </c>
      <c r="B509" t="s">
        <v>597</v>
      </c>
      <c r="C509">
        <v>91.37</v>
      </c>
    </row>
    <row r="510" spans="1:3">
      <c r="A510" t="s">
        <v>596</v>
      </c>
      <c r="B510" t="s">
        <v>598</v>
      </c>
      <c r="C510">
        <v>90.56</v>
      </c>
    </row>
    <row r="511" spans="1:3">
      <c r="A511" t="s">
        <v>596</v>
      </c>
      <c r="B511" t="s">
        <v>599</v>
      </c>
      <c r="C511">
        <v>90.16</v>
      </c>
    </row>
    <row r="512" spans="1:3">
      <c r="A512" t="s">
        <v>596</v>
      </c>
      <c r="B512" t="s">
        <v>305</v>
      </c>
      <c r="C512">
        <v>92.47</v>
      </c>
    </row>
    <row r="513" spans="1:3">
      <c r="A513" t="s">
        <v>596</v>
      </c>
      <c r="B513" t="s">
        <v>600</v>
      </c>
      <c r="C513">
        <v>93.42</v>
      </c>
    </row>
    <row r="514" spans="1:3">
      <c r="A514" t="s">
        <v>596</v>
      </c>
      <c r="B514" t="s">
        <v>601</v>
      </c>
      <c r="C514">
        <v>89.25</v>
      </c>
    </row>
    <row r="515" spans="1:3">
      <c r="A515" t="s">
        <v>602</v>
      </c>
      <c r="B515" t="s">
        <v>603</v>
      </c>
      <c r="C515">
        <v>89.13</v>
      </c>
    </row>
    <row r="516" spans="1:3">
      <c r="A516" t="s">
        <v>602</v>
      </c>
      <c r="B516" t="s">
        <v>226</v>
      </c>
      <c r="C516">
        <v>86.06</v>
      </c>
    </row>
    <row r="517" spans="1:3">
      <c r="A517" t="s">
        <v>602</v>
      </c>
      <c r="B517" t="s">
        <v>322</v>
      </c>
      <c r="C517">
        <v>84.55</v>
      </c>
    </row>
    <row r="518" spans="1:3">
      <c r="A518" t="s">
        <v>602</v>
      </c>
      <c r="B518" t="s">
        <v>604</v>
      </c>
      <c r="C518">
        <v>83.54</v>
      </c>
    </row>
    <row r="519" spans="1:3">
      <c r="A519" t="s">
        <v>602</v>
      </c>
      <c r="B519" t="s">
        <v>605</v>
      </c>
      <c r="C519">
        <v>84.93</v>
      </c>
    </row>
    <row r="520" spans="1:3">
      <c r="A520" t="s">
        <v>602</v>
      </c>
      <c r="B520" t="s">
        <v>606</v>
      </c>
      <c r="C520">
        <v>82.79</v>
      </c>
    </row>
    <row r="521" spans="1:3">
      <c r="A521" t="s">
        <v>602</v>
      </c>
      <c r="B521" t="s">
        <v>607</v>
      </c>
      <c r="C521">
        <v>86.27</v>
      </c>
    </row>
    <row r="522" spans="1:3">
      <c r="A522" t="s">
        <v>602</v>
      </c>
      <c r="B522" t="s">
        <v>608</v>
      </c>
      <c r="C522">
        <v>87.84</v>
      </c>
    </row>
    <row r="523" spans="1:3">
      <c r="A523" t="s">
        <v>602</v>
      </c>
      <c r="B523" t="s">
        <v>125</v>
      </c>
      <c r="C523">
        <v>87.89</v>
      </c>
    </row>
    <row r="524" spans="1:3">
      <c r="A524" t="s">
        <v>602</v>
      </c>
      <c r="B524" t="s">
        <v>609</v>
      </c>
      <c r="C524">
        <v>82.48</v>
      </c>
    </row>
    <row r="525" spans="1:3">
      <c r="A525" t="s">
        <v>602</v>
      </c>
      <c r="B525" t="s">
        <v>610</v>
      </c>
      <c r="C525">
        <v>95.42</v>
      </c>
    </row>
    <row r="526" spans="1:3">
      <c r="A526" t="s">
        <v>602</v>
      </c>
      <c r="B526" t="s">
        <v>611</v>
      </c>
      <c r="C526">
        <v>82.35</v>
      </c>
    </row>
    <row r="527" spans="1:3">
      <c r="A527" t="s">
        <v>602</v>
      </c>
      <c r="B527" t="s">
        <v>612</v>
      </c>
      <c r="C527">
        <v>81.94</v>
      </c>
    </row>
    <row r="528" spans="1:3">
      <c r="A528" t="s">
        <v>602</v>
      </c>
      <c r="B528" t="s">
        <v>613</v>
      </c>
      <c r="C528">
        <v>84.27</v>
      </c>
    </row>
    <row r="529" spans="1:3">
      <c r="A529" t="s">
        <v>602</v>
      </c>
      <c r="B529" t="s">
        <v>614</v>
      </c>
      <c r="C529">
        <v>82.35</v>
      </c>
    </row>
    <row r="530" spans="1:3">
      <c r="A530" t="s">
        <v>615</v>
      </c>
      <c r="B530" t="s">
        <v>616</v>
      </c>
      <c r="C530">
        <v>86.84</v>
      </c>
    </row>
    <row r="531" spans="1:3">
      <c r="A531" t="s">
        <v>615</v>
      </c>
      <c r="B531" t="s">
        <v>617</v>
      </c>
      <c r="C531">
        <v>80.709999999999994</v>
      </c>
    </row>
    <row r="532" spans="1:3">
      <c r="A532" t="s">
        <v>615</v>
      </c>
      <c r="B532" t="s">
        <v>618</v>
      </c>
      <c r="C532">
        <v>82.62</v>
      </c>
    </row>
    <row r="533" spans="1:3">
      <c r="A533" t="s">
        <v>615</v>
      </c>
      <c r="B533" t="s">
        <v>619</v>
      </c>
      <c r="C533">
        <v>94.51</v>
      </c>
    </row>
    <row r="534" spans="1:3">
      <c r="A534" t="s">
        <v>615</v>
      </c>
      <c r="B534" t="s">
        <v>620</v>
      </c>
      <c r="C534">
        <v>82.39</v>
      </c>
    </row>
    <row r="535" spans="1:3">
      <c r="A535" t="s">
        <v>615</v>
      </c>
      <c r="B535" t="s">
        <v>621</v>
      </c>
      <c r="C535">
        <v>80.430000000000007</v>
      </c>
    </row>
    <row r="536" spans="1:3">
      <c r="A536" t="s">
        <v>615</v>
      </c>
      <c r="B536" t="s">
        <v>622</v>
      </c>
      <c r="C536">
        <v>79.739999999999995</v>
      </c>
    </row>
    <row r="537" spans="1:3">
      <c r="A537" t="s">
        <v>615</v>
      </c>
      <c r="B537" t="s">
        <v>623</v>
      </c>
      <c r="C537">
        <v>74.06</v>
      </c>
    </row>
    <row r="538" spans="1:3">
      <c r="A538" t="s">
        <v>615</v>
      </c>
      <c r="B538" t="s">
        <v>624</v>
      </c>
      <c r="C538">
        <v>78.989999999999995</v>
      </c>
    </row>
    <row r="539" spans="1:3">
      <c r="A539" t="s">
        <v>615</v>
      </c>
      <c r="B539" t="s">
        <v>625</v>
      </c>
      <c r="C539">
        <v>83.42</v>
      </c>
    </row>
    <row r="540" spans="1:3">
      <c r="A540" t="s">
        <v>615</v>
      </c>
      <c r="B540" t="s">
        <v>626</v>
      </c>
      <c r="C540">
        <v>81.849999999999994</v>
      </c>
    </row>
    <row r="541" spans="1:3">
      <c r="A541" t="s">
        <v>615</v>
      </c>
      <c r="B541" t="s">
        <v>627</v>
      </c>
      <c r="C541">
        <v>92.18</v>
      </c>
    </row>
    <row r="542" spans="1:3">
      <c r="A542" t="s">
        <v>615</v>
      </c>
      <c r="B542" t="s">
        <v>628</v>
      </c>
      <c r="C542">
        <v>74.72</v>
      </c>
    </row>
    <row r="543" spans="1:3">
      <c r="A543" t="s">
        <v>615</v>
      </c>
      <c r="B543" t="s">
        <v>629</v>
      </c>
      <c r="C543">
        <v>82.07</v>
      </c>
    </row>
    <row r="544" spans="1:3">
      <c r="A544" t="s">
        <v>615</v>
      </c>
      <c r="B544" t="s">
        <v>630</v>
      </c>
      <c r="C544">
        <v>87.01</v>
      </c>
    </row>
    <row r="545" spans="1:3">
      <c r="A545" t="s">
        <v>615</v>
      </c>
      <c r="B545" t="s">
        <v>631</v>
      </c>
      <c r="C545">
        <v>82.46</v>
      </c>
    </row>
    <row r="546" spans="1:3">
      <c r="A546" t="s">
        <v>615</v>
      </c>
      <c r="B546" t="s">
        <v>632</v>
      </c>
      <c r="C546">
        <v>73.099999999999994</v>
      </c>
    </row>
    <row r="547" spans="1:3">
      <c r="A547" t="s">
        <v>615</v>
      </c>
      <c r="B547" t="s">
        <v>633</v>
      </c>
      <c r="C547">
        <v>79.569999999999993</v>
      </c>
    </row>
    <row r="548" spans="1:3">
      <c r="A548" t="s">
        <v>615</v>
      </c>
      <c r="B548" t="s">
        <v>634</v>
      </c>
      <c r="C548">
        <v>80.58</v>
      </c>
    </row>
    <row r="549" spans="1:3">
      <c r="A549" t="s">
        <v>615</v>
      </c>
      <c r="B549" t="s">
        <v>635</v>
      </c>
      <c r="C549">
        <v>73.36</v>
      </c>
    </row>
    <row r="550" spans="1:3">
      <c r="A550" t="s">
        <v>615</v>
      </c>
      <c r="B550" t="s">
        <v>636</v>
      </c>
      <c r="C550">
        <v>92.59</v>
      </c>
    </row>
    <row r="551" spans="1:3">
      <c r="A551" t="s">
        <v>615</v>
      </c>
      <c r="B551" t="s">
        <v>637</v>
      </c>
      <c r="C551">
        <v>81.3</v>
      </c>
    </row>
    <row r="552" spans="1:3">
      <c r="A552" t="s">
        <v>615</v>
      </c>
      <c r="B552" t="s">
        <v>638</v>
      </c>
      <c r="C552">
        <v>88.11</v>
      </c>
    </row>
    <row r="553" spans="1:3">
      <c r="A553" t="s">
        <v>615</v>
      </c>
      <c r="B553" t="s">
        <v>639</v>
      </c>
      <c r="C553">
        <v>80.34</v>
      </c>
    </row>
    <row r="554" spans="1:3">
      <c r="A554" t="s">
        <v>615</v>
      </c>
      <c r="B554" t="s">
        <v>640</v>
      </c>
      <c r="C554">
        <v>87.24</v>
      </c>
    </row>
    <row r="555" spans="1:3">
      <c r="A555" t="s">
        <v>615</v>
      </c>
      <c r="B555" t="s">
        <v>641</v>
      </c>
      <c r="C555">
        <v>83.27</v>
      </c>
    </row>
    <row r="556" spans="1:3">
      <c r="A556" t="s">
        <v>615</v>
      </c>
      <c r="B556" t="s">
        <v>129</v>
      </c>
      <c r="C556">
        <v>79.569999999999993</v>
      </c>
    </row>
    <row r="557" spans="1:3">
      <c r="A557" t="s">
        <v>615</v>
      </c>
      <c r="B557" t="s">
        <v>642</v>
      </c>
      <c r="C557">
        <v>80.03</v>
      </c>
    </row>
    <row r="558" spans="1:3">
      <c r="A558" t="s">
        <v>615</v>
      </c>
      <c r="B558" t="s">
        <v>643</v>
      </c>
      <c r="C558">
        <v>81.17</v>
      </c>
    </row>
    <row r="559" spans="1:3">
      <c r="A559" t="s">
        <v>615</v>
      </c>
      <c r="B559" t="s">
        <v>644</v>
      </c>
      <c r="C559">
        <v>83.66</v>
      </c>
    </row>
    <row r="560" spans="1:3">
      <c r="A560" t="s">
        <v>615</v>
      </c>
      <c r="B560" t="s">
        <v>645</v>
      </c>
      <c r="C560">
        <v>82.25</v>
      </c>
    </row>
    <row r="561" spans="1:3">
      <c r="A561" t="s">
        <v>615</v>
      </c>
      <c r="B561" t="s">
        <v>646</v>
      </c>
      <c r="C561">
        <v>77.59</v>
      </c>
    </row>
    <row r="562" spans="1:3">
      <c r="A562" t="s">
        <v>647</v>
      </c>
      <c r="B562" t="s">
        <v>648</v>
      </c>
      <c r="C562">
        <v>96.48</v>
      </c>
    </row>
    <row r="563" spans="1:3">
      <c r="A563" t="s">
        <v>647</v>
      </c>
      <c r="B563" t="s">
        <v>649</v>
      </c>
      <c r="C563">
        <v>91.69</v>
      </c>
    </row>
    <row r="564" spans="1:3">
      <c r="A564" t="s">
        <v>647</v>
      </c>
      <c r="B564" t="s">
        <v>650</v>
      </c>
      <c r="C564">
        <v>97.91</v>
      </c>
    </row>
    <row r="565" spans="1:3">
      <c r="A565" t="s">
        <v>647</v>
      </c>
      <c r="B565" t="s">
        <v>252</v>
      </c>
      <c r="C565">
        <v>89.07</v>
      </c>
    </row>
    <row r="566" spans="1:3">
      <c r="A566" t="s">
        <v>647</v>
      </c>
      <c r="B566" t="s">
        <v>651</v>
      </c>
      <c r="C566">
        <v>94.88</v>
      </c>
    </row>
    <row r="567" spans="1:3">
      <c r="A567" t="s">
        <v>647</v>
      </c>
      <c r="B567" t="s">
        <v>652</v>
      </c>
      <c r="C567">
        <v>94.83</v>
      </c>
    </row>
    <row r="568" spans="1:3">
      <c r="A568" t="s">
        <v>647</v>
      </c>
      <c r="B568" t="s">
        <v>653</v>
      </c>
      <c r="C568">
        <v>99.05</v>
      </c>
    </row>
    <row r="569" spans="1:3">
      <c r="A569" t="s">
        <v>647</v>
      </c>
      <c r="B569" t="s">
        <v>654</v>
      </c>
      <c r="C569">
        <v>93.94</v>
      </c>
    </row>
    <row r="570" spans="1:3">
      <c r="A570" t="s">
        <v>655</v>
      </c>
      <c r="B570" t="s">
        <v>656</v>
      </c>
      <c r="C570">
        <v>112.69</v>
      </c>
    </row>
    <row r="571" spans="1:3">
      <c r="A571" t="s">
        <v>655</v>
      </c>
      <c r="B571" t="s">
        <v>657</v>
      </c>
      <c r="C571">
        <v>115.39</v>
      </c>
    </row>
    <row r="572" spans="1:3">
      <c r="A572" t="s">
        <v>655</v>
      </c>
      <c r="B572" t="s">
        <v>658</v>
      </c>
      <c r="C572">
        <v>112.24</v>
      </c>
    </row>
    <row r="573" spans="1:3">
      <c r="A573" t="s">
        <v>655</v>
      </c>
      <c r="B573" t="s">
        <v>659</v>
      </c>
      <c r="C573">
        <v>113.04</v>
      </c>
    </row>
    <row r="574" spans="1:3">
      <c r="A574" t="s">
        <v>660</v>
      </c>
      <c r="B574" t="s">
        <v>661</v>
      </c>
      <c r="C574">
        <v>93.91</v>
      </c>
    </row>
    <row r="575" spans="1:3">
      <c r="A575" t="s">
        <v>662</v>
      </c>
      <c r="B575" t="s">
        <v>663</v>
      </c>
      <c r="C575">
        <v>98.49</v>
      </c>
    </row>
    <row r="576" spans="1:3">
      <c r="A576" t="s">
        <v>662</v>
      </c>
      <c r="B576" t="s">
        <v>664</v>
      </c>
      <c r="C576">
        <v>91.22</v>
      </c>
    </row>
    <row r="577" spans="1:3">
      <c r="A577" t="s">
        <v>662</v>
      </c>
      <c r="B577" t="s">
        <v>665</v>
      </c>
      <c r="C577">
        <v>98.43</v>
      </c>
    </row>
    <row r="578" spans="1:3">
      <c r="A578" t="s">
        <v>662</v>
      </c>
      <c r="B578" t="s">
        <v>666</v>
      </c>
      <c r="C578">
        <v>93.78</v>
      </c>
    </row>
    <row r="579" spans="1:3">
      <c r="A579" t="s">
        <v>662</v>
      </c>
      <c r="B579" t="s">
        <v>607</v>
      </c>
      <c r="C579">
        <v>86.27</v>
      </c>
    </row>
    <row r="580" spans="1:3">
      <c r="A580" t="s">
        <v>662</v>
      </c>
      <c r="B580" t="s">
        <v>667</v>
      </c>
      <c r="C580">
        <v>88.69</v>
      </c>
    </row>
    <row r="581" spans="1:3">
      <c r="A581" t="s">
        <v>662</v>
      </c>
      <c r="B581" t="s">
        <v>668</v>
      </c>
      <c r="C581">
        <v>89.09</v>
      </c>
    </row>
    <row r="582" spans="1:3">
      <c r="A582" t="s">
        <v>662</v>
      </c>
      <c r="B582" t="s">
        <v>669</v>
      </c>
      <c r="C582">
        <v>91.46</v>
      </c>
    </row>
    <row r="583" spans="1:3">
      <c r="A583" t="s">
        <v>662</v>
      </c>
      <c r="B583" t="s">
        <v>670</v>
      </c>
      <c r="C583">
        <v>96.34</v>
      </c>
    </row>
    <row r="584" spans="1:3">
      <c r="A584" t="s">
        <v>662</v>
      </c>
      <c r="B584" t="s">
        <v>671</v>
      </c>
      <c r="C584">
        <v>89.77</v>
      </c>
    </row>
    <row r="585" spans="1:3">
      <c r="A585" t="s">
        <v>662</v>
      </c>
      <c r="B585" t="s">
        <v>672</v>
      </c>
      <c r="C585">
        <v>89.07</v>
      </c>
    </row>
    <row r="586" spans="1:3">
      <c r="A586" t="s">
        <v>662</v>
      </c>
      <c r="B586" t="s">
        <v>673</v>
      </c>
      <c r="C586">
        <v>87.64</v>
      </c>
    </row>
    <row r="587" spans="1:3">
      <c r="A587" t="s">
        <v>662</v>
      </c>
      <c r="B587" t="s">
        <v>674</v>
      </c>
      <c r="C587">
        <v>91.62</v>
      </c>
    </row>
    <row r="588" spans="1:3">
      <c r="A588" t="s">
        <v>662</v>
      </c>
      <c r="B588" t="s">
        <v>499</v>
      </c>
      <c r="C588">
        <v>92.41</v>
      </c>
    </row>
    <row r="589" spans="1:3">
      <c r="A589" t="s">
        <v>662</v>
      </c>
      <c r="B589" t="s">
        <v>675</v>
      </c>
      <c r="C589">
        <v>93.36</v>
      </c>
    </row>
    <row r="590" spans="1:3">
      <c r="A590" t="s">
        <v>662</v>
      </c>
      <c r="B590" t="s">
        <v>192</v>
      </c>
      <c r="C590">
        <v>112.35</v>
      </c>
    </row>
    <row r="591" spans="1:3">
      <c r="A591" t="s">
        <v>676</v>
      </c>
      <c r="B591" t="s">
        <v>677</v>
      </c>
      <c r="C591">
        <v>124.25</v>
      </c>
    </row>
    <row r="592" spans="1:3">
      <c r="A592" t="s">
        <v>676</v>
      </c>
      <c r="B592" t="s">
        <v>678</v>
      </c>
      <c r="C592">
        <v>118.52</v>
      </c>
    </row>
    <row r="593" spans="1:3">
      <c r="A593" t="s">
        <v>676</v>
      </c>
      <c r="B593" t="s">
        <v>679</v>
      </c>
      <c r="C593">
        <v>120.86</v>
      </c>
    </row>
    <row r="594" spans="1:3">
      <c r="A594" t="s">
        <v>676</v>
      </c>
      <c r="B594" t="s">
        <v>680</v>
      </c>
      <c r="C594">
        <v>113.98</v>
      </c>
    </row>
    <row r="595" spans="1:3">
      <c r="A595" t="s">
        <v>676</v>
      </c>
      <c r="B595" t="s">
        <v>681</v>
      </c>
      <c r="C595">
        <v>118.9</v>
      </c>
    </row>
    <row r="596" spans="1:3">
      <c r="A596" t="s">
        <v>676</v>
      </c>
      <c r="B596" t="s">
        <v>251</v>
      </c>
      <c r="C596">
        <v>99.46</v>
      </c>
    </row>
    <row r="597" spans="1:3">
      <c r="A597" t="s">
        <v>676</v>
      </c>
      <c r="B597" t="s">
        <v>682</v>
      </c>
      <c r="C597">
        <v>115.93</v>
      </c>
    </row>
    <row r="598" spans="1:3">
      <c r="A598" t="s">
        <v>676</v>
      </c>
      <c r="B598" t="s">
        <v>683</v>
      </c>
      <c r="C598">
        <v>121.7</v>
      </c>
    </row>
    <row r="599" spans="1:3">
      <c r="A599" t="s">
        <v>676</v>
      </c>
      <c r="B599" t="s">
        <v>684</v>
      </c>
      <c r="C599">
        <v>119</v>
      </c>
    </row>
    <row r="600" spans="1:3">
      <c r="A600" t="s">
        <v>676</v>
      </c>
      <c r="B600" t="s">
        <v>549</v>
      </c>
      <c r="C600">
        <v>112.48</v>
      </c>
    </row>
    <row r="601" spans="1:3">
      <c r="A601" t="s">
        <v>676</v>
      </c>
      <c r="B601" t="s">
        <v>685</v>
      </c>
      <c r="C601">
        <v>130.41999999999999</v>
      </c>
    </row>
    <row r="602" spans="1:3">
      <c r="A602" t="s">
        <v>676</v>
      </c>
      <c r="B602" t="s">
        <v>686</v>
      </c>
      <c r="C602">
        <v>114.53</v>
      </c>
    </row>
    <row r="603" spans="1:3">
      <c r="A603" t="s">
        <v>676</v>
      </c>
      <c r="B603" t="s">
        <v>687</v>
      </c>
      <c r="C603">
        <v>112.2</v>
      </c>
    </row>
    <row r="604" spans="1:3">
      <c r="A604" t="s">
        <v>676</v>
      </c>
      <c r="B604" t="s">
        <v>688</v>
      </c>
      <c r="C604">
        <v>114.89</v>
      </c>
    </row>
    <row r="605" spans="1:3">
      <c r="A605" t="s">
        <v>676</v>
      </c>
      <c r="B605" t="s">
        <v>689</v>
      </c>
      <c r="C605">
        <v>116.8</v>
      </c>
    </row>
    <row r="606" spans="1:3">
      <c r="A606" t="s">
        <v>676</v>
      </c>
      <c r="B606" t="s">
        <v>690</v>
      </c>
      <c r="C606">
        <v>112.89</v>
      </c>
    </row>
    <row r="607" spans="1:3">
      <c r="A607" t="s">
        <v>691</v>
      </c>
      <c r="B607" t="s">
        <v>692</v>
      </c>
      <c r="C607">
        <v>82.03</v>
      </c>
    </row>
    <row r="608" spans="1:3">
      <c r="A608" t="s">
        <v>691</v>
      </c>
      <c r="B608" t="s">
        <v>693</v>
      </c>
      <c r="C608">
        <v>77.55</v>
      </c>
    </row>
    <row r="609" spans="1:3">
      <c r="A609" t="s">
        <v>691</v>
      </c>
      <c r="B609" t="s">
        <v>694</v>
      </c>
      <c r="C609">
        <v>80.8</v>
      </c>
    </row>
    <row r="610" spans="1:3">
      <c r="A610" t="s">
        <v>691</v>
      </c>
      <c r="B610" t="s">
        <v>357</v>
      </c>
      <c r="C610">
        <v>93.86</v>
      </c>
    </row>
    <row r="611" spans="1:3">
      <c r="A611" t="s">
        <v>691</v>
      </c>
      <c r="B611" t="s">
        <v>358</v>
      </c>
      <c r="C611">
        <v>93.74</v>
      </c>
    </row>
    <row r="612" spans="1:3">
      <c r="A612" t="s">
        <v>691</v>
      </c>
      <c r="B612" t="s">
        <v>325</v>
      </c>
      <c r="C612">
        <v>80.819999999999993</v>
      </c>
    </row>
    <row r="613" spans="1:3">
      <c r="A613" t="s">
        <v>691</v>
      </c>
      <c r="B613" t="s">
        <v>695</v>
      </c>
      <c r="C613">
        <v>83.79</v>
      </c>
    </row>
    <row r="614" spans="1:3">
      <c r="A614" t="s">
        <v>691</v>
      </c>
      <c r="B614" t="s">
        <v>696</v>
      </c>
      <c r="C614">
        <v>78.790000000000006</v>
      </c>
    </row>
    <row r="615" spans="1:3">
      <c r="A615" t="s">
        <v>691</v>
      </c>
      <c r="B615" t="s">
        <v>697</v>
      </c>
      <c r="C615">
        <v>79.72</v>
      </c>
    </row>
    <row r="616" spans="1:3">
      <c r="A616" t="s">
        <v>691</v>
      </c>
      <c r="B616" t="s">
        <v>698</v>
      </c>
      <c r="C616">
        <v>80.400000000000006</v>
      </c>
    </row>
    <row r="617" spans="1:3">
      <c r="A617" t="s">
        <v>691</v>
      </c>
      <c r="B617" t="s">
        <v>699</v>
      </c>
      <c r="C617">
        <v>83.44</v>
      </c>
    </row>
    <row r="618" spans="1:3">
      <c r="A618" t="s">
        <v>691</v>
      </c>
      <c r="B618" t="s">
        <v>192</v>
      </c>
      <c r="C618">
        <v>112.35</v>
      </c>
    </row>
    <row r="619" spans="1:3">
      <c r="A619" t="s">
        <v>691</v>
      </c>
      <c r="B619" t="s">
        <v>526</v>
      </c>
      <c r="C619">
        <v>82.44</v>
      </c>
    </row>
    <row r="620" spans="1:3">
      <c r="A620" t="s">
        <v>691</v>
      </c>
      <c r="B620" t="s">
        <v>700</v>
      </c>
      <c r="C620">
        <v>93.36</v>
      </c>
    </row>
    <row r="621" spans="1:3">
      <c r="A621" t="s">
        <v>701</v>
      </c>
      <c r="B621" t="s">
        <v>702</v>
      </c>
      <c r="C621">
        <v>93.74</v>
      </c>
    </row>
    <row r="622" spans="1:3">
      <c r="A622" t="s">
        <v>701</v>
      </c>
      <c r="B622" t="s">
        <v>703</v>
      </c>
      <c r="C622">
        <v>93.28</v>
      </c>
    </row>
    <row r="623" spans="1:3">
      <c r="A623" t="s">
        <v>701</v>
      </c>
      <c r="B623" t="s">
        <v>263</v>
      </c>
      <c r="C623">
        <v>105.22</v>
      </c>
    </row>
    <row r="624" spans="1:3">
      <c r="A624" t="s">
        <v>701</v>
      </c>
      <c r="B624" t="s">
        <v>393</v>
      </c>
      <c r="C624">
        <v>95.75</v>
      </c>
    </row>
    <row r="625" spans="1:3">
      <c r="A625" t="s">
        <v>701</v>
      </c>
      <c r="B625" t="s">
        <v>704</v>
      </c>
      <c r="C625">
        <v>92.56</v>
      </c>
    </row>
    <row r="626" spans="1:3">
      <c r="A626" t="s">
        <v>701</v>
      </c>
      <c r="B626" t="s">
        <v>705</v>
      </c>
      <c r="C626">
        <v>91.49</v>
      </c>
    </row>
    <row r="627" spans="1:3">
      <c r="A627" t="s">
        <v>701</v>
      </c>
      <c r="B627" t="s">
        <v>706</v>
      </c>
      <c r="C627">
        <v>92.05</v>
      </c>
    </row>
    <row r="628" spans="1:3">
      <c r="A628" t="s">
        <v>701</v>
      </c>
      <c r="B628" t="s">
        <v>707</v>
      </c>
      <c r="C628">
        <v>91.44</v>
      </c>
    </row>
    <row r="629" spans="1:3">
      <c r="A629" t="s">
        <v>701</v>
      </c>
      <c r="B629" t="s">
        <v>396</v>
      </c>
      <c r="C629">
        <v>93.3</v>
      </c>
    </row>
    <row r="630" spans="1:3">
      <c r="A630" t="s">
        <v>701</v>
      </c>
      <c r="B630" t="s">
        <v>708</v>
      </c>
      <c r="C630">
        <v>97.29</v>
      </c>
    </row>
    <row r="631" spans="1:3">
      <c r="A631" t="s">
        <v>701</v>
      </c>
      <c r="B631" t="s">
        <v>709</v>
      </c>
      <c r="C631">
        <v>95.23</v>
      </c>
    </row>
    <row r="632" spans="1:3">
      <c r="A632" t="s">
        <v>701</v>
      </c>
      <c r="B632" t="s">
        <v>398</v>
      </c>
      <c r="C632">
        <v>103.93</v>
      </c>
    </row>
    <row r="633" spans="1:3">
      <c r="A633" t="s">
        <v>701</v>
      </c>
      <c r="B633" t="s">
        <v>710</v>
      </c>
      <c r="C633">
        <v>90.65</v>
      </c>
    </row>
    <row r="634" spans="1:3">
      <c r="A634" t="s">
        <v>701</v>
      </c>
      <c r="B634" t="s">
        <v>711</v>
      </c>
      <c r="C634">
        <v>90.9</v>
      </c>
    </row>
    <row r="635" spans="1:3">
      <c r="A635" t="s">
        <v>701</v>
      </c>
      <c r="B635" t="s">
        <v>712</v>
      </c>
      <c r="C635">
        <v>92.38</v>
      </c>
    </row>
    <row r="636" spans="1:3">
      <c r="A636" t="s">
        <v>701</v>
      </c>
      <c r="B636" t="s">
        <v>713</v>
      </c>
      <c r="C636">
        <v>92.94</v>
      </c>
    </row>
    <row r="637" spans="1:3">
      <c r="A637" t="s">
        <v>701</v>
      </c>
      <c r="B637" t="s">
        <v>714</v>
      </c>
      <c r="C637">
        <v>91.28</v>
      </c>
    </row>
    <row r="638" spans="1:3">
      <c r="A638" t="s">
        <v>701</v>
      </c>
      <c r="B638" t="s">
        <v>715</v>
      </c>
      <c r="C638">
        <v>91.69</v>
      </c>
    </row>
    <row r="639" spans="1:3">
      <c r="A639" t="s">
        <v>701</v>
      </c>
      <c r="B639" t="s">
        <v>716</v>
      </c>
      <c r="C639">
        <v>91.71</v>
      </c>
    </row>
    <row r="640" spans="1:3">
      <c r="A640" t="s">
        <v>701</v>
      </c>
      <c r="B640" t="s">
        <v>717</v>
      </c>
      <c r="C640">
        <v>89.64</v>
      </c>
    </row>
    <row r="641" spans="1:3">
      <c r="A641" t="s">
        <v>718</v>
      </c>
      <c r="B641" t="s">
        <v>719</v>
      </c>
      <c r="C641">
        <v>92.6</v>
      </c>
    </row>
    <row r="642" spans="1:3">
      <c r="A642" t="s">
        <v>718</v>
      </c>
      <c r="B642" t="s">
        <v>720</v>
      </c>
      <c r="C642">
        <v>89.86</v>
      </c>
    </row>
    <row r="643" spans="1:3">
      <c r="A643" t="s">
        <v>718</v>
      </c>
      <c r="B643" t="s">
        <v>721</v>
      </c>
      <c r="C643">
        <v>91.17</v>
      </c>
    </row>
    <row r="644" spans="1:3">
      <c r="A644" t="s">
        <v>718</v>
      </c>
      <c r="B644" t="s">
        <v>722</v>
      </c>
      <c r="C644">
        <v>90.84</v>
      </c>
    </row>
    <row r="645" spans="1:3">
      <c r="A645" t="s">
        <v>718</v>
      </c>
      <c r="B645" t="s">
        <v>723</v>
      </c>
      <c r="C645">
        <v>95.55</v>
      </c>
    </row>
  </sheetData>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413"/>
  <sheetViews>
    <sheetView topLeftCell="A13" workbookViewId="0">
      <selection activeCell="N18" sqref="N18"/>
    </sheetView>
  </sheetViews>
  <sheetFormatPr defaultColWidth="8.7109375" defaultRowHeight="15"/>
  <cols>
    <col min="1" max="1" width="25" customWidth="1"/>
    <col min="2" max="2" width="10" customWidth="1"/>
    <col min="3" max="3" width="8" customWidth="1"/>
    <col min="4" max="4" width="12" customWidth="1"/>
  </cols>
  <sheetData>
    <row r="1" spans="1:4">
      <c r="A1" s="2" t="s">
        <v>2027</v>
      </c>
      <c r="B1" s="2" t="s">
        <v>2028</v>
      </c>
      <c r="C1" s="2" t="s">
        <v>2029</v>
      </c>
      <c r="D1" s="2" t="s">
        <v>2030</v>
      </c>
    </row>
    <row r="2" spans="1:4">
      <c r="A2" t="s">
        <v>748</v>
      </c>
      <c r="B2" t="s">
        <v>762</v>
      </c>
      <c r="C2">
        <v>18</v>
      </c>
      <c r="D2">
        <v>40.159999999999997</v>
      </c>
    </row>
    <row r="3" spans="1:4">
      <c r="A3" t="s">
        <v>748</v>
      </c>
      <c r="B3" t="s">
        <v>762</v>
      </c>
      <c r="C3">
        <v>19</v>
      </c>
      <c r="D3">
        <v>39.479999999999997</v>
      </c>
    </row>
    <row r="4" spans="1:4">
      <c r="A4" t="s">
        <v>748</v>
      </c>
      <c r="B4" t="s">
        <v>762</v>
      </c>
      <c r="C4">
        <v>20</v>
      </c>
      <c r="D4">
        <v>38.770000000000003</v>
      </c>
    </row>
    <row r="5" spans="1:4">
      <c r="A5" t="s">
        <v>748</v>
      </c>
      <c r="B5" t="s">
        <v>762</v>
      </c>
      <c r="C5">
        <v>21</v>
      </c>
      <c r="D5">
        <v>38.03</v>
      </c>
    </row>
    <row r="6" spans="1:4">
      <c r="A6" t="s">
        <v>748</v>
      </c>
      <c r="B6" t="s">
        <v>762</v>
      </c>
      <c r="C6">
        <v>22</v>
      </c>
      <c r="D6">
        <v>37.26</v>
      </c>
    </row>
    <row r="7" spans="1:4">
      <c r="A7" t="s">
        <v>748</v>
      </c>
      <c r="B7" t="s">
        <v>762</v>
      </c>
      <c r="C7">
        <v>23</v>
      </c>
      <c r="D7">
        <v>36.49</v>
      </c>
    </row>
    <row r="8" spans="1:4">
      <c r="A8" t="s">
        <v>748</v>
      </c>
      <c r="B8" t="s">
        <v>762</v>
      </c>
      <c r="C8">
        <v>24</v>
      </c>
      <c r="D8">
        <v>35.69</v>
      </c>
    </row>
    <row r="9" spans="1:4">
      <c r="A9" t="s">
        <v>748</v>
      </c>
      <c r="B9" t="s">
        <v>762</v>
      </c>
      <c r="C9">
        <v>25</v>
      </c>
      <c r="D9">
        <v>34.869999999999997</v>
      </c>
    </row>
    <row r="10" spans="1:4">
      <c r="A10" t="s">
        <v>748</v>
      </c>
      <c r="B10" t="s">
        <v>762</v>
      </c>
      <c r="C10">
        <v>26</v>
      </c>
      <c r="D10">
        <v>34.04</v>
      </c>
    </row>
    <row r="11" spans="1:4">
      <c r="A11" t="s">
        <v>748</v>
      </c>
      <c r="B11" t="s">
        <v>762</v>
      </c>
      <c r="C11">
        <v>27</v>
      </c>
      <c r="D11">
        <v>33.200000000000003</v>
      </c>
    </row>
    <row r="12" spans="1:4">
      <c r="A12" t="s">
        <v>748</v>
      </c>
      <c r="B12" t="s">
        <v>762</v>
      </c>
      <c r="C12">
        <v>28</v>
      </c>
      <c r="D12">
        <v>32.36</v>
      </c>
    </row>
    <row r="13" spans="1:4">
      <c r="A13" t="s">
        <v>748</v>
      </c>
      <c r="B13" t="s">
        <v>762</v>
      </c>
      <c r="C13">
        <v>29</v>
      </c>
      <c r="D13">
        <v>31.51</v>
      </c>
    </row>
    <row r="14" spans="1:4">
      <c r="A14" t="s">
        <v>748</v>
      </c>
      <c r="B14" t="s">
        <v>762</v>
      </c>
      <c r="C14">
        <v>30</v>
      </c>
      <c r="D14">
        <v>30.66</v>
      </c>
    </row>
    <row r="15" spans="1:4">
      <c r="A15" t="s">
        <v>748</v>
      </c>
      <c r="B15" t="s">
        <v>762</v>
      </c>
      <c r="C15">
        <v>31</v>
      </c>
      <c r="D15">
        <v>29.81</v>
      </c>
    </row>
    <row r="16" spans="1:4">
      <c r="A16" t="s">
        <v>748</v>
      </c>
      <c r="B16" t="s">
        <v>762</v>
      </c>
      <c r="C16">
        <v>32</v>
      </c>
      <c r="D16">
        <v>28.94</v>
      </c>
    </row>
    <row r="17" spans="1:4">
      <c r="A17" t="s">
        <v>748</v>
      </c>
      <c r="B17" t="s">
        <v>762</v>
      </c>
      <c r="C17">
        <v>33</v>
      </c>
      <c r="D17">
        <v>28.08</v>
      </c>
    </row>
    <row r="18" spans="1:4">
      <c r="A18" t="s">
        <v>748</v>
      </c>
      <c r="B18" t="s">
        <v>762</v>
      </c>
      <c r="C18">
        <v>34</v>
      </c>
      <c r="D18">
        <v>27.23</v>
      </c>
    </row>
    <row r="19" spans="1:4">
      <c r="A19" t="s">
        <v>748</v>
      </c>
      <c r="B19" t="s">
        <v>762</v>
      </c>
      <c r="C19">
        <v>35</v>
      </c>
      <c r="D19">
        <v>26.37</v>
      </c>
    </row>
    <row r="20" spans="1:4">
      <c r="A20" t="s">
        <v>748</v>
      </c>
      <c r="B20" t="s">
        <v>762</v>
      </c>
      <c r="C20">
        <v>36</v>
      </c>
      <c r="D20">
        <v>25.52</v>
      </c>
    </row>
    <row r="21" spans="1:4">
      <c r="A21" t="s">
        <v>748</v>
      </c>
      <c r="B21" t="s">
        <v>762</v>
      </c>
      <c r="C21">
        <v>37</v>
      </c>
      <c r="D21">
        <v>24.67</v>
      </c>
    </row>
    <row r="22" spans="1:4">
      <c r="A22" t="s">
        <v>748</v>
      </c>
      <c r="B22" t="s">
        <v>762</v>
      </c>
      <c r="C22">
        <v>38</v>
      </c>
      <c r="D22">
        <v>23.83</v>
      </c>
    </row>
    <row r="23" spans="1:4">
      <c r="A23" t="s">
        <v>748</v>
      </c>
      <c r="B23" t="s">
        <v>762</v>
      </c>
      <c r="C23">
        <v>39</v>
      </c>
      <c r="D23">
        <v>22.98</v>
      </c>
    </row>
    <row r="24" spans="1:4">
      <c r="A24" t="s">
        <v>748</v>
      </c>
      <c r="B24" t="s">
        <v>762</v>
      </c>
      <c r="C24">
        <v>40</v>
      </c>
      <c r="D24">
        <v>22.14</v>
      </c>
    </row>
    <row r="25" spans="1:4">
      <c r="A25" t="s">
        <v>748</v>
      </c>
      <c r="B25" t="s">
        <v>762</v>
      </c>
      <c r="C25">
        <v>41</v>
      </c>
      <c r="D25">
        <v>21.3</v>
      </c>
    </row>
    <row r="26" spans="1:4">
      <c r="A26" t="s">
        <v>748</v>
      </c>
      <c r="B26" t="s">
        <v>762</v>
      </c>
      <c r="C26">
        <v>42</v>
      </c>
      <c r="D26">
        <v>20.46</v>
      </c>
    </row>
    <row r="27" spans="1:4">
      <c r="A27" t="s">
        <v>748</v>
      </c>
      <c r="B27" t="s">
        <v>762</v>
      </c>
      <c r="C27">
        <v>43</v>
      </c>
      <c r="D27">
        <v>19.64</v>
      </c>
    </row>
    <row r="28" spans="1:4">
      <c r="A28" t="s">
        <v>748</v>
      </c>
      <c r="B28" t="s">
        <v>762</v>
      </c>
      <c r="C28">
        <v>44</v>
      </c>
      <c r="D28">
        <v>18.82</v>
      </c>
    </row>
    <row r="29" spans="1:4">
      <c r="A29" t="s">
        <v>748</v>
      </c>
      <c r="B29" t="s">
        <v>762</v>
      </c>
      <c r="C29">
        <v>45</v>
      </c>
      <c r="D29">
        <v>18.010000000000002</v>
      </c>
    </row>
    <row r="30" spans="1:4">
      <c r="A30" t="s">
        <v>748</v>
      </c>
      <c r="B30" t="s">
        <v>762</v>
      </c>
      <c r="C30">
        <v>46</v>
      </c>
      <c r="D30">
        <v>17.22</v>
      </c>
    </row>
    <row r="31" spans="1:4">
      <c r="A31" t="s">
        <v>748</v>
      </c>
      <c r="B31" t="s">
        <v>762</v>
      </c>
      <c r="C31">
        <v>47</v>
      </c>
      <c r="D31">
        <v>16.420000000000002</v>
      </c>
    </row>
    <row r="32" spans="1:4">
      <c r="A32" t="s">
        <v>748</v>
      </c>
      <c r="B32" t="s">
        <v>762</v>
      </c>
      <c r="C32">
        <v>48</v>
      </c>
      <c r="D32">
        <v>15.64</v>
      </c>
    </row>
    <row r="33" spans="1:4">
      <c r="A33" t="s">
        <v>748</v>
      </c>
      <c r="B33" t="s">
        <v>762</v>
      </c>
      <c r="C33">
        <v>49</v>
      </c>
      <c r="D33">
        <v>14.87</v>
      </c>
    </row>
    <row r="34" spans="1:4">
      <c r="A34" t="s">
        <v>748</v>
      </c>
      <c r="B34" t="s">
        <v>762</v>
      </c>
      <c r="C34">
        <v>50</v>
      </c>
      <c r="D34">
        <v>14.13</v>
      </c>
    </row>
    <row r="35" spans="1:4">
      <c r="A35" t="s">
        <v>748</v>
      </c>
      <c r="B35" t="s">
        <v>762</v>
      </c>
      <c r="C35">
        <v>51</v>
      </c>
      <c r="D35">
        <v>13.39</v>
      </c>
    </row>
    <row r="36" spans="1:4">
      <c r="A36" t="s">
        <v>748</v>
      </c>
      <c r="B36" t="s">
        <v>762</v>
      </c>
      <c r="C36">
        <v>52</v>
      </c>
      <c r="D36">
        <v>12.66</v>
      </c>
    </row>
    <row r="37" spans="1:4">
      <c r="A37" t="s">
        <v>748</v>
      </c>
      <c r="B37" t="s">
        <v>762</v>
      </c>
      <c r="C37">
        <v>53</v>
      </c>
      <c r="D37">
        <v>11.93</v>
      </c>
    </row>
    <row r="38" spans="1:4">
      <c r="A38" t="s">
        <v>748</v>
      </c>
      <c r="B38" t="s">
        <v>762</v>
      </c>
      <c r="C38">
        <v>54</v>
      </c>
      <c r="D38">
        <v>11.22</v>
      </c>
    </row>
    <row r="39" spans="1:4">
      <c r="A39" t="s">
        <v>748</v>
      </c>
      <c r="B39" t="s">
        <v>762</v>
      </c>
      <c r="C39">
        <v>55</v>
      </c>
      <c r="D39">
        <v>10.53</v>
      </c>
    </row>
    <row r="40" spans="1:4">
      <c r="A40" t="s">
        <v>748</v>
      </c>
      <c r="B40" t="s">
        <v>762</v>
      </c>
      <c r="C40">
        <v>56</v>
      </c>
      <c r="D40">
        <v>9.8699999999999992</v>
      </c>
    </row>
    <row r="41" spans="1:4">
      <c r="A41" t="s">
        <v>748</v>
      </c>
      <c r="B41" t="s">
        <v>762</v>
      </c>
      <c r="C41">
        <v>57</v>
      </c>
      <c r="D41">
        <v>9.2100000000000009</v>
      </c>
    </row>
    <row r="42" spans="1:4">
      <c r="A42" t="s">
        <v>748</v>
      </c>
      <c r="B42" t="s">
        <v>762</v>
      </c>
      <c r="C42">
        <v>58</v>
      </c>
      <c r="D42">
        <v>8.58</v>
      </c>
    </row>
    <row r="43" spans="1:4">
      <c r="A43" t="s">
        <v>748</v>
      </c>
      <c r="B43" t="s">
        <v>762</v>
      </c>
      <c r="C43">
        <v>59</v>
      </c>
      <c r="D43">
        <v>7.95</v>
      </c>
    </row>
    <row r="44" spans="1:4">
      <c r="A44" t="s">
        <v>748</v>
      </c>
      <c r="B44" t="s">
        <v>762</v>
      </c>
      <c r="C44">
        <v>60</v>
      </c>
      <c r="D44">
        <v>7.36</v>
      </c>
    </row>
    <row r="45" spans="1:4">
      <c r="A45" t="s">
        <v>748</v>
      </c>
      <c r="B45" t="s">
        <v>762</v>
      </c>
      <c r="C45">
        <v>61</v>
      </c>
      <c r="D45">
        <v>6.81</v>
      </c>
    </row>
    <row r="46" spans="1:4">
      <c r="A46" t="s">
        <v>748</v>
      </c>
      <c r="B46" t="s">
        <v>762</v>
      </c>
      <c r="C46">
        <v>62</v>
      </c>
      <c r="D46">
        <v>6.33</v>
      </c>
    </row>
    <row r="47" spans="1:4">
      <c r="A47" t="s">
        <v>748</v>
      </c>
      <c r="B47" t="s">
        <v>762</v>
      </c>
      <c r="C47">
        <v>63</v>
      </c>
      <c r="D47">
        <v>5.9</v>
      </c>
    </row>
    <row r="48" spans="1:4">
      <c r="A48" t="s">
        <v>748</v>
      </c>
      <c r="B48" t="s">
        <v>762</v>
      </c>
      <c r="C48">
        <v>64</v>
      </c>
      <c r="D48">
        <v>5.51</v>
      </c>
    </row>
    <row r="49" spans="1:4">
      <c r="A49" t="s">
        <v>748</v>
      </c>
      <c r="B49" t="s">
        <v>762</v>
      </c>
      <c r="C49">
        <v>65</v>
      </c>
      <c r="D49">
        <v>5.17</v>
      </c>
    </row>
    <row r="50" spans="1:4">
      <c r="A50" t="s">
        <v>748</v>
      </c>
      <c r="B50" t="s">
        <v>762</v>
      </c>
      <c r="C50">
        <v>66</v>
      </c>
      <c r="D50">
        <v>4.8899999999999997</v>
      </c>
    </row>
    <row r="51" spans="1:4">
      <c r="A51" t="s">
        <v>748</v>
      </c>
      <c r="B51" t="s">
        <v>762</v>
      </c>
      <c r="C51">
        <v>67</v>
      </c>
      <c r="D51">
        <v>4.6500000000000004</v>
      </c>
    </row>
    <row r="52" spans="1:4">
      <c r="A52" t="s">
        <v>748</v>
      </c>
      <c r="B52" t="s">
        <v>762</v>
      </c>
      <c r="C52">
        <v>68</v>
      </c>
      <c r="D52">
        <v>4.43</v>
      </c>
    </row>
    <row r="53" spans="1:4">
      <c r="A53" t="s">
        <v>748</v>
      </c>
      <c r="B53" t="s">
        <v>762</v>
      </c>
      <c r="C53">
        <v>69</v>
      </c>
      <c r="D53">
        <v>4.21</v>
      </c>
    </row>
    <row r="54" spans="1:4">
      <c r="A54" t="s">
        <v>748</v>
      </c>
      <c r="B54" t="s">
        <v>762</v>
      </c>
      <c r="C54">
        <v>70</v>
      </c>
      <c r="D54">
        <v>4.01</v>
      </c>
    </row>
    <row r="55" spans="1:4">
      <c r="A55" t="s">
        <v>748</v>
      </c>
      <c r="B55" t="s">
        <v>762</v>
      </c>
      <c r="C55">
        <v>71</v>
      </c>
      <c r="D55">
        <v>3.82</v>
      </c>
    </row>
    <row r="56" spans="1:4">
      <c r="A56" t="s">
        <v>748</v>
      </c>
      <c r="B56" t="s">
        <v>762</v>
      </c>
      <c r="C56">
        <v>72</v>
      </c>
      <c r="D56">
        <v>3.65</v>
      </c>
    </row>
    <row r="57" spans="1:4">
      <c r="A57" t="s">
        <v>748</v>
      </c>
      <c r="B57" t="s">
        <v>762</v>
      </c>
      <c r="C57">
        <v>73</v>
      </c>
      <c r="D57">
        <v>3.49</v>
      </c>
    </row>
    <row r="58" spans="1:4">
      <c r="A58" t="s">
        <v>748</v>
      </c>
      <c r="B58" t="s">
        <v>762</v>
      </c>
      <c r="C58">
        <v>74</v>
      </c>
      <c r="D58">
        <v>3.34</v>
      </c>
    </row>
    <row r="59" spans="1:4">
      <c r="A59" t="s">
        <v>748</v>
      </c>
      <c r="B59" t="s">
        <v>762</v>
      </c>
      <c r="C59">
        <v>75</v>
      </c>
      <c r="D59">
        <v>3.2</v>
      </c>
    </row>
    <row r="60" spans="1:4">
      <c r="A60" t="s">
        <v>748</v>
      </c>
      <c r="B60" t="s">
        <v>762</v>
      </c>
      <c r="C60">
        <v>76</v>
      </c>
      <c r="D60">
        <v>3.07</v>
      </c>
    </row>
    <row r="61" spans="1:4">
      <c r="A61" t="s">
        <v>748</v>
      </c>
      <c r="B61" t="s">
        <v>762</v>
      </c>
      <c r="C61">
        <v>77</v>
      </c>
      <c r="D61">
        <v>2.95</v>
      </c>
    </row>
    <row r="62" spans="1:4">
      <c r="A62" t="s">
        <v>748</v>
      </c>
      <c r="B62" t="s">
        <v>762</v>
      </c>
      <c r="C62">
        <v>78</v>
      </c>
      <c r="D62">
        <v>2.83</v>
      </c>
    </row>
    <row r="63" spans="1:4">
      <c r="A63" t="s">
        <v>748</v>
      </c>
      <c r="B63" t="s">
        <v>762</v>
      </c>
      <c r="C63">
        <v>79</v>
      </c>
      <c r="D63">
        <v>2.72</v>
      </c>
    </row>
    <row r="64" spans="1:4">
      <c r="A64" t="s">
        <v>748</v>
      </c>
      <c r="B64" t="s">
        <v>762</v>
      </c>
      <c r="C64">
        <v>80</v>
      </c>
      <c r="D64">
        <v>2.62</v>
      </c>
    </row>
    <row r="65" spans="1:4">
      <c r="A65" t="s">
        <v>748</v>
      </c>
      <c r="B65" t="s">
        <v>762</v>
      </c>
      <c r="C65">
        <v>81</v>
      </c>
      <c r="D65">
        <v>2.52</v>
      </c>
    </row>
    <row r="66" spans="1:4">
      <c r="A66" t="s">
        <v>748</v>
      </c>
      <c r="B66" t="s">
        <v>762</v>
      </c>
      <c r="C66">
        <v>82</v>
      </c>
      <c r="D66">
        <v>2.42</v>
      </c>
    </row>
    <row r="67" spans="1:4">
      <c r="A67" t="s">
        <v>748</v>
      </c>
      <c r="B67" t="s">
        <v>762</v>
      </c>
      <c r="C67">
        <v>83</v>
      </c>
      <c r="D67">
        <v>2.33</v>
      </c>
    </row>
    <row r="68" spans="1:4">
      <c r="A68" t="s">
        <v>748</v>
      </c>
      <c r="B68" t="s">
        <v>762</v>
      </c>
      <c r="C68">
        <v>84</v>
      </c>
      <c r="D68">
        <v>2.2400000000000002</v>
      </c>
    </row>
    <row r="69" spans="1:4">
      <c r="A69" t="s">
        <v>748</v>
      </c>
      <c r="B69" t="s">
        <v>762</v>
      </c>
      <c r="C69">
        <v>85</v>
      </c>
      <c r="D69">
        <v>2.15</v>
      </c>
    </row>
    <row r="70" spans="1:4">
      <c r="A70" t="s">
        <v>748</v>
      </c>
      <c r="B70" t="s">
        <v>762</v>
      </c>
      <c r="C70">
        <v>86</v>
      </c>
      <c r="D70">
        <v>2.06</v>
      </c>
    </row>
    <row r="71" spans="1:4">
      <c r="A71" t="s">
        <v>748</v>
      </c>
      <c r="B71" t="s">
        <v>762</v>
      </c>
      <c r="C71">
        <v>87</v>
      </c>
      <c r="D71">
        <v>1.97</v>
      </c>
    </row>
    <row r="72" spans="1:4">
      <c r="A72" t="s">
        <v>748</v>
      </c>
      <c r="B72" t="s">
        <v>762</v>
      </c>
      <c r="C72">
        <v>88</v>
      </c>
      <c r="D72">
        <v>1.88</v>
      </c>
    </row>
    <row r="73" spans="1:4">
      <c r="A73" t="s">
        <v>748</v>
      </c>
      <c r="B73" t="s">
        <v>762</v>
      </c>
      <c r="C73">
        <v>89</v>
      </c>
      <c r="D73">
        <v>1.79</v>
      </c>
    </row>
    <row r="74" spans="1:4">
      <c r="A74" t="s">
        <v>748</v>
      </c>
      <c r="B74" t="s">
        <v>762</v>
      </c>
      <c r="C74">
        <v>90</v>
      </c>
      <c r="D74">
        <v>1.71</v>
      </c>
    </row>
    <row r="75" spans="1:4">
      <c r="A75" t="s">
        <v>2031</v>
      </c>
      <c r="B75" t="s">
        <v>762</v>
      </c>
      <c r="C75">
        <v>18</v>
      </c>
      <c r="D75">
        <v>29</v>
      </c>
    </row>
    <row r="76" spans="1:4">
      <c r="A76" t="s">
        <v>2031</v>
      </c>
      <c r="B76" t="s">
        <v>762</v>
      </c>
      <c r="C76">
        <v>19</v>
      </c>
      <c r="D76">
        <v>28.49</v>
      </c>
    </row>
    <row r="77" spans="1:4">
      <c r="A77" t="s">
        <v>2031</v>
      </c>
      <c r="B77" t="s">
        <v>762</v>
      </c>
      <c r="C77">
        <v>20</v>
      </c>
      <c r="D77">
        <v>27.98</v>
      </c>
    </row>
    <row r="78" spans="1:4">
      <c r="A78" t="s">
        <v>2031</v>
      </c>
      <c r="B78" t="s">
        <v>762</v>
      </c>
      <c r="C78">
        <v>21</v>
      </c>
      <c r="D78">
        <v>27.48</v>
      </c>
    </row>
    <row r="79" spans="1:4">
      <c r="A79" t="s">
        <v>2031</v>
      </c>
      <c r="B79" t="s">
        <v>762</v>
      </c>
      <c r="C79">
        <v>22</v>
      </c>
      <c r="D79">
        <v>26.98</v>
      </c>
    </row>
    <row r="80" spans="1:4">
      <c r="A80" t="s">
        <v>2031</v>
      </c>
      <c r="B80" t="s">
        <v>762</v>
      </c>
      <c r="C80">
        <v>23</v>
      </c>
      <c r="D80">
        <v>26.48</v>
      </c>
    </row>
    <row r="81" spans="1:4">
      <c r="A81" t="s">
        <v>2031</v>
      </c>
      <c r="B81" t="s">
        <v>762</v>
      </c>
      <c r="C81">
        <v>24</v>
      </c>
      <c r="D81">
        <v>25.98</v>
      </c>
    </row>
    <row r="82" spans="1:4">
      <c r="A82" t="s">
        <v>2031</v>
      </c>
      <c r="B82" t="s">
        <v>762</v>
      </c>
      <c r="C82">
        <v>25</v>
      </c>
      <c r="D82">
        <v>25.47</v>
      </c>
    </row>
    <row r="83" spans="1:4">
      <c r="A83" t="s">
        <v>2031</v>
      </c>
      <c r="B83" t="s">
        <v>762</v>
      </c>
      <c r="C83">
        <v>26</v>
      </c>
      <c r="D83">
        <v>24.96</v>
      </c>
    </row>
    <row r="84" spans="1:4">
      <c r="A84" t="s">
        <v>2031</v>
      </c>
      <c r="B84" t="s">
        <v>762</v>
      </c>
      <c r="C84">
        <v>27</v>
      </c>
      <c r="D84">
        <v>24.45</v>
      </c>
    </row>
    <row r="85" spans="1:4">
      <c r="A85" t="s">
        <v>2031</v>
      </c>
      <c r="B85" t="s">
        <v>762</v>
      </c>
      <c r="C85">
        <v>28</v>
      </c>
      <c r="D85">
        <v>23.93</v>
      </c>
    </row>
    <row r="86" spans="1:4">
      <c r="A86" t="s">
        <v>2031</v>
      </c>
      <c r="B86" t="s">
        <v>762</v>
      </c>
      <c r="C86">
        <v>29</v>
      </c>
      <c r="D86">
        <v>23.4</v>
      </c>
    </row>
    <row r="87" spans="1:4">
      <c r="A87" t="s">
        <v>2031</v>
      </c>
      <c r="B87" t="s">
        <v>762</v>
      </c>
      <c r="C87">
        <v>30</v>
      </c>
      <c r="D87">
        <v>22.88</v>
      </c>
    </row>
    <row r="88" spans="1:4">
      <c r="A88" t="s">
        <v>2031</v>
      </c>
      <c r="B88" t="s">
        <v>762</v>
      </c>
      <c r="C88">
        <v>31</v>
      </c>
      <c r="D88">
        <v>22.34</v>
      </c>
    </row>
    <row r="89" spans="1:4">
      <c r="A89" t="s">
        <v>2031</v>
      </c>
      <c r="B89" t="s">
        <v>762</v>
      </c>
      <c r="C89">
        <v>32</v>
      </c>
      <c r="D89">
        <v>21.8</v>
      </c>
    </row>
    <row r="90" spans="1:4">
      <c r="A90" t="s">
        <v>2031</v>
      </c>
      <c r="B90" t="s">
        <v>762</v>
      </c>
      <c r="C90">
        <v>33</v>
      </c>
      <c r="D90">
        <v>21.25</v>
      </c>
    </row>
    <row r="91" spans="1:4">
      <c r="A91" t="s">
        <v>2031</v>
      </c>
      <c r="B91" t="s">
        <v>762</v>
      </c>
      <c r="C91">
        <v>34</v>
      </c>
      <c r="D91">
        <v>20.68</v>
      </c>
    </row>
    <row r="92" spans="1:4">
      <c r="A92" t="s">
        <v>2031</v>
      </c>
      <c r="B92" t="s">
        <v>762</v>
      </c>
      <c r="C92">
        <v>35</v>
      </c>
      <c r="D92">
        <v>20.100000000000001</v>
      </c>
    </row>
    <row r="93" spans="1:4">
      <c r="A93" t="s">
        <v>2031</v>
      </c>
      <c r="B93" t="s">
        <v>762</v>
      </c>
      <c r="C93">
        <v>36</v>
      </c>
      <c r="D93">
        <v>19.5</v>
      </c>
    </row>
    <row r="94" spans="1:4">
      <c r="A94" t="s">
        <v>2031</v>
      </c>
      <c r="B94" t="s">
        <v>762</v>
      </c>
      <c r="C94">
        <v>37</v>
      </c>
      <c r="D94">
        <v>18.88</v>
      </c>
    </row>
    <row r="95" spans="1:4">
      <c r="A95" t="s">
        <v>2031</v>
      </c>
      <c r="B95" t="s">
        <v>762</v>
      </c>
      <c r="C95">
        <v>38</v>
      </c>
      <c r="D95">
        <v>18.239999999999998</v>
      </c>
    </row>
    <row r="96" spans="1:4">
      <c r="A96" t="s">
        <v>2031</v>
      </c>
      <c r="B96" t="s">
        <v>762</v>
      </c>
      <c r="C96">
        <v>39</v>
      </c>
      <c r="D96">
        <v>17.61</v>
      </c>
    </row>
    <row r="97" spans="1:4">
      <c r="A97" t="s">
        <v>2031</v>
      </c>
      <c r="B97" t="s">
        <v>762</v>
      </c>
      <c r="C97">
        <v>40</v>
      </c>
      <c r="D97">
        <v>16.97</v>
      </c>
    </row>
    <row r="98" spans="1:4">
      <c r="A98" t="s">
        <v>2031</v>
      </c>
      <c r="B98" t="s">
        <v>762</v>
      </c>
      <c r="C98">
        <v>41</v>
      </c>
      <c r="D98">
        <v>16.32</v>
      </c>
    </row>
    <row r="99" spans="1:4">
      <c r="A99" t="s">
        <v>2031</v>
      </c>
      <c r="B99" t="s">
        <v>762</v>
      </c>
      <c r="C99">
        <v>42</v>
      </c>
      <c r="D99">
        <v>15.69</v>
      </c>
    </row>
    <row r="100" spans="1:4">
      <c r="A100" t="s">
        <v>2031</v>
      </c>
      <c r="B100" t="s">
        <v>762</v>
      </c>
      <c r="C100">
        <v>43</v>
      </c>
      <c r="D100">
        <v>15.06</v>
      </c>
    </row>
    <row r="101" spans="1:4">
      <c r="A101" t="s">
        <v>2031</v>
      </c>
      <c r="B101" t="s">
        <v>762</v>
      </c>
      <c r="C101">
        <v>44</v>
      </c>
      <c r="D101">
        <v>14.43</v>
      </c>
    </row>
    <row r="102" spans="1:4">
      <c r="A102" t="s">
        <v>2031</v>
      </c>
      <c r="B102" t="s">
        <v>762</v>
      </c>
      <c r="C102">
        <v>45</v>
      </c>
      <c r="D102">
        <v>13.82</v>
      </c>
    </row>
    <row r="103" spans="1:4">
      <c r="A103" t="s">
        <v>2031</v>
      </c>
      <c r="B103" t="s">
        <v>762</v>
      </c>
      <c r="C103">
        <v>46</v>
      </c>
      <c r="D103">
        <v>13.22</v>
      </c>
    </row>
    <row r="104" spans="1:4">
      <c r="A104" t="s">
        <v>2031</v>
      </c>
      <c r="B104" t="s">
        <v>762</v>
      </c>
      <c r="C104">
        <v>47</v>
      </c>
      <c r="D104">
        <v>12.62</v>
      </c>
    </row>
    <row r="105" spans="1:4">
      <c r="A105" t="s">
        <v>2031</v>
      </c>
      <c r="B105" t="s">
        <v>762</v>
      </c>
      <c r="C105">
        <v>48</v>
      </c>
      <c r="D105">
        <v>12.04</v>
      </c>
    </row>
    <row r="106" spans="1:4">
      <c r="A106" t="s">
        <v>2031</v>
      </c>
      <c r="B106" t="s">
        <v>762</v>
      </c>
      <c r="C106">
        <v>49</v>
      </c>
      <c r="D106">
        <v>11.46</v>
      </c>
    </row>
    <row r="107" spans="1:4">
      <c r="A107" t="s">
        <v>2031</v>
      </c>
      <c r="B107" t="s">
        <v>762</v>
      </c>
      <c r="C107">
        <v>50</v>
      </c>
      <c r="D107">
        <v>10.89</v>
      </c>
    </row>
    <row r="108" spans="1:4">
      <c r="A108" t="s">
        <v>2031</v>
      </c>
      <c r="B108" t="s">
        <v>762</v>
      </c>
      <c r="C108">
        <v>51</v>
      </c>
      <c r="D108">
        <v>10.32</v>
      </c>
    </row>
    <row r="109" spans="1:4">
      <c r="A109" t="s">
        <v>2031</v>
      </c>
      <c r="B109" t="s">
        <v>762</v>
      </c>
      <c r="C109">
        <v>52</v>
      </c>
      <c r="D109">
        <v>9.77</v>
      </c>
    </row>
    <row r="110" spans="1:4">
      <c r="A110" t="s">
        <v>2031</v>
      </c>
      <c r="B110" t="s">
        <v>762</v>
      </c>
      <c r="C110">
        <v>53</v>
      </c>
      <c r="D110">
        <v>9.24</v>
      </c>
    </row>
    <row r="111" spans="1:4">
      <c r="A111" t="s">
        <v>2031</v>
      </c>
      <c r="B111" t="s">
        <v>762</v>
      </c>
      <c r="C111">
        <v>54</v>
      </c>
      <c r="D111">
        <v>8.7200000000000006</v>
      </c>
    </row>
    <row r="112" spans="1:4">
      <c r="A112" t="s">
        <v>2031</v>
      </c>
      <c r="B112" t="s">
        <v>762</v>
      </c>
      <c r="C112">
        <v>55</v>
      </c>
      <c r="D112">
        <v>8.2200000000000006</v>
      </c>
    </row>
    <row r="113" spans="1:4">
      <c r="A113" t="s">
        <v>2031</v>
      </c>
      <c r="B113" t="s">
        <v>762</v>
      </c>
      <c r="C113">
        <v>56</v>
      </c>
      <c r="D113">
        <v>7.76</v>
      </c>
    </row>
    <row r="114" spans="1:4">
      <c r="A114" t="s">
        <v>2031</v>
      </c>
      <c r="B114" t="s">
        <v>762</v>
      </c>
      <c r="C114">
        <v>57</v>
      </c>
      <c r="D114">
        <v>7.32</v>
      </c>
    </row>
    <row r="115" spans="1:4">
      <c r="A115" t="s">
        <v>2031</v>
      </c>
      <c r="B115" t="s">
        <v>762</v>
      </c>
      <c r="C115">
        <v>58</v>
      </c>
      <c r="D115">
        <v>6.9</v>
      </c>
    </row>
    <row r="116" spans="1:4">
      <c r="A116" t="s">
        <v>2031</v>
      </c>
      <c r="B116" t="s">
        <v>762</v>
      </c>
      <c r="C116">
        <v>59</v>
      </c>
      <c r="D116">
        <v>6.51</v>
      </c>
    </row>
    <row r="117" spans="1:4">
      <c r="A117" t="s">
        <v>2031</v>
      </c>
      <c r="B117" t="s">
        <v>762</v>
      </c>
      <c r="C117">
        <v>60</v>
      </c>
      <c r="D117">
        <v>6.14</v>
      </c>
    </row>
    <row r="118" spans="1:4">
      <c r="A118" t="s">
        <v>2031</v>
      </c>
      <c r="B118" t="s">
        <v>762</v>
      </c>
      <c r="C118">
        <v>61</v>
      </c>
      <c r="D118">
        <v>5.8</v>
      </c>
    </row>
    <row r="119" spans="1:4">
      <c r="A119" t="s">
        <v>2031</v>
      </c>
      <c r="B119" t="s">
        <v>762</v>
      </c>
      <c r="C119">
        <v>62</v>
      </c>
      <c r="D119">
        <v>5.48</v>
      </c>
    </row>
    <row r="120" spans="1:4">
      <c r="A120" t="s">
        <v>2031</v>
      </c>
      <c r="B120" t="s">
        <v>762</v>
      </c>
      <c r="C120">
        <v>63</v>
      </c>
      <c r="D120">
        <v>5.18</v>
      </c>
    </row>
    <row r="121" spans="1:4">
      <c r="A121" t="s">
        <v>2031</v>
      </c>
      <c r="B121" t="s">
        <v>762</v>
      </c>
      <c r="C121">
        <v>64</v>
      </c>
      <c r="D121">
        <v>4.9000000000000004</v>
      </c>
    </row>
    <row r="122" spans="1:4">
      <c r="A122" t="s">
        <v>2031</v>
      </c>
      <c r="B122" t="s">
        <v>762</v>
      </c>
      <c r="C122">
        <v>65</v>
      </c>
      <c r="D122">
        <v>4.6399999999999997</v>
      </c>
    </row>
    <row r="123" spans="1:4">
      <c r="A123" t="s">
        <v>2031</v>
      </c>
      <c r="B123" t="s">
        <v>762</v>
      </c>
      <c r="C123">
        <v>66</v>
      </c>
      <c r="D123">
        <v>4.38</v>
      </c>
    </row>
    <row r="124" spans="1:4">
      <c r="A124" t="s">
        <v>2031</v>
      </c>
      <c r="B124" t="s">
        <v>762</v>
      </c>
      <c r="C124">
        <v>67</v>
      </c>
      <c r="D124">
        <v>4.1500000000000004</v>
      </c>
    </row>
    <row r="125" spans="1:4">
      <c r="A125" t="s">
        <v>2031</v>
      </c>
      <c r="B125" t="s">
        <v>762</v>
      </c>
      <c r="C125">
        <v>68</v>
      </c>
      <c r="D125">
        <v>3.92</v>
      </c>
    </row>
    <row r="126" spans="1:4">
      <c r="A126" t="s">
        <v>2031</v>
      </c>
      <c r="B126" t="s">
        <v>762</v>
      </c>
      <c r="C126">
        <v>69</v>
      </c>
      <c r="D126">
        <v>3.71</v>
      </c>
    </row>
    <row r="127" spans="1:4">
      <c r="A127" t="s">
        <v>2031</v>
      </c>
      <c r="B127" t="s">
        <v>762</v>
      </c>
      <c r="C127">
        <v>70</v>
      </c>
      <c r="D127">
        <v>3.52</v>
      </c>
    </row>
    <row r="128" spans="1:4">
      <c r="A128" t="s">
        <v>2031</v>
      </c>
      <c r="B128" t="s">
        <v>762</v>
      </c>
      <c r="C128">
        <v>71</v>
      </c>
      <c r="D128">
        <v>3.33</v>
      </c>
    </row>
    <row r="129" spans="1:4">
      <c r="A129" t="s">
        <v>2031</v>
      </c>
      <c r="B129" t="s">
        <v>762</v>
      </c>
      <c r="C129">
        <v>72</v>
      </c>
      <c r="D129">
        <v>3.16</v>
      </c>
    </row>
    <row r="130" spans="1:4">
      <c r="A130" t="s">
        <v>2031</v>
      </c>
      <c r="B130" t="s">
        <v>762</v>
      </c>
      <c r="C130">
        <v>73</v>
      </c>
      <c r="D130">
        <v>3</v>
      </c>
    </row>
    <row r="131" spans="1:4">
      <c r="A131" t="s">
        <v>2031</v>
      </c>
      <c r="B131" t="s">
        <v>762</v>
      </c>
      <c r="C131">
        <v>74</v>
      </c>
      <c r="D131">
        <v>2.85</v>
      </c>
    </row>
    <row r="132" spans="1:4">
      <c r="A132" t="s">
        <v>2031</v>
      </c>
      <c r="B132" t="s">
        <v>762</v>
      </c>
      <c r="C132">
        <v>75</v>
      </c>
      <c r="D132">
        <v>2.71</v>
      </c>
    </row>
    <row r="133" spans="1:4">
      <c r="A133" t="s">
        <v>2031</v>
      </c>
      <c r="B133" t="s">
        <v>762</v>
      </c>
      <c r="C133">
        <v>76</v>
      </c>
      <c r="D133">
        <v>2.58</v>
      </c>
    </row>
    <row r="134" spans="1:4">
      <c r="A134" t="s">
        <v>2031</v>
      </c>
      <c r="B134" t="s">
        <v>762</v>
      </c>
      <c r="C134">
        <v>77</v>
      </c>
      <c r="D134">
        <v>2.4500000000000002</v>
      </c>
    </row>
    <row r="135" spans="1:4">
      <c r="A135" t="s">
        <v>2031</v>
      </c>
      <c r="B135" t="s">
        <v>762</v>
      </c>
      <c r="C135">
        <v>78</v>
      </c>
      <c r="D135">
        <v>2.33</v>
      </c>
    </row>
    <row r="136" spans="1:4">
      <c r="A136" t="s">
        <v>2031</v>
      </c>
      <c r="B136" t="s">
        <v>762</v>
      </c>
      <c r="C136">
        <v>79</v>
      </c>
      <c r="D136">
        <v>2.2200000000000002</v>
      </c>
    </row>
    <row r="137" spans="1:4">
      <c r="A137" t="s">
        <v>2031</v>
      </c>
      <c r="B137" t="s">
        <v>762</v>
      </c>
      <c r="C137">
        <v>80</v>
      </c>
      <c r="D137">
        <v>2.12</v>
      </c>
    </row>
    <row r="138" spans="1:4">
      <c r="A138" t="s">
        <v>2031</v>
      </c>
      <c r="B138" t="s">
        <v>762</v>
      </c>
      <c r="C138">
        <v>81</v>
      </c>
      <c r="D138">
        <v>2.02</v>
      </c>
    </row>
    <row r="139" spans="1:4">
      <c r="A139" t="s">
        <v>2031</v>
      </c>
      <c r="B139" t="s">
        <v>762</v>
      </c>
      <c r="C139">
        <v>82</v>
      </c>
      <c r="D139">
        <v>1.93</v>
      </c>
    </row>
    <row r="140" spans="1:4">
      <c r="A140" t="s">
        <v>2031</v>
      </c>
      <c r="B140" t="s">
        <v>762</v>
      </c>
      <c r="C140">
        <v>83</v>
      </c>
      <c r="D140">
        <v>1.84</v>
      </c>
    </row>
    <row r="141" spans="1:4">
      <c r="A141" t="s">
        <v>2031</v>
      </c>
      <c r="B141" t="s">
        <v>762</v>
      </c>
      <c r="C141">
        <v>84</v>
      </c>
      <c r="D141">
        <v>1.76</v>
      </c>
    </row>
    <row r="142" spans="1:4">
      <c r="A142" t="s">
        <v>2031</v>
      </c>
      <c r="B142" t="s">
        <v>762</v>
      </c>
      <c r="C142">
        <v>85</v>
      </c>
      <c r="D142">
        <v>1.68</v>
      </c>
    </row>
    <row r="143" spans="1:4">
      <c r="A143" t="s">
        <v>2031</v>
      </c>
      <c r="B143" t="s">
        <v>762</v>
      </c>
      <c r="C143">
        <v>86</v>
      </c>
      <c r="D143">
        <v>1.6</v>
      </c>
    </row>
    <row r="144" spans="1:4">
      <c r="A144" t="s">
        <v>2031</v>
      </c>
      <c r="B144" t="s">
        <v>762</v>
      </c>
      <c r="C144">
        <v>87</v>
      </c>
      <c r="D144">
        <v>1.53</v>
      </c>
    </row>
    <row r="145" spans="1:4">
      <c r="A145" t="s">
        <v>2031</v>
      </c>
      <c r="B145" t="s">
        <v>762</v>
      </c>
      <c r="C145">
        <v>88</v>
      </c>
      <c r="D145">
        <v>1.47</v>
      </c>
    </row>
    <row r="146" spans="1:4">
      <c r="A146" t="s">
        <v>2031</v>
      </c>
      <c r="B146" t="s">
        <v>762</v>
      </c>
      <c r="C146">
        <v>89</v>
      </c>
      <c r="D146">
        <v>1.4</v>
      </c>
    </row>
    <row r="147" spans="1:4">
      <c r="A147" t="s">
        <v>2031</v>
      </c>
      <c r="B147" t="s">
        <v>762</v>
      </c>
      <c r="C147">
        <v>90</v>
      </c>
      <c r="D147">
        <v>1.34</v>
      </c>
    </row>
    <row r="148" spans="1:4">
      <c r="A148" t="s">
        <v>2032</v>
      </c>
      <c r="B148" t="s">
        <v>762</v>
      </c>
      <c r="C148">
        <v>18</v>
      </c>
      <c r="D148">
        <v>29.74</v>
      </c>
    </row>
    <row r="149" spans="1:4">
      <c r="A149" t="s">
        <v>2032</v>
      </c>
      <c r="B149" t="s">
        <v>762</v>
      </c>
      <c r="C149">
        <v>19</v>
      </c>
      <c r="D149">
        <v>29.16</v>
      </c>
    </row>
    <row r="150" spans="1:4">
      <c r="A150" t="s">
        <v>2032</v>
      </c>
      <c r="B150" t="s">
        <v>762</v>
      </c>
      <c r="C150">
        <v>20</v>
      </c>
      <c r="D150">
        <v>28.6</v>
      </c>
    </row>
    <row r="151" spans="1:4">
      <c r="A151" t="s">
        <v>2032</v>
      </c>
      <c r="B151" t="s">
        <v>762</v>
      </c>
      <c r="C151">
        <v>21</v>
      </c>
      <c r="D151">
        <v>28.03</v>
      </c>
    </row>
    <row r="152" spans="1:4">
      <c r="A152" t="s">
        <v>2032</v>
      </c>
      <c r="B152" t="s">
        <v>762</v>
      </c>
      <c r="C152">
        <v>22</v>
      </c>
      <c r="D152">
        <v>27.47</v>
      </c>
    </row>
    <row r="153" spans="1:4">
      <c r="A153" t="s">
        <v>2032</v>
      </c>
      <c r="B153" t="s">
        <v>762</v>
      </c>
      <c r="C153">
        <v>23</v>
      </c>
      <c r="D153">
        <v>26.91</v>
      </c>
    </row>
    <row r="154" spans="1:4">
      <c r="A154" t="s">
        <v>2032</v>
      </c>
      <c r="B154" t="s">
        <v>762</v>
      </c>
      <c r="C154">
        <v>24</v>
      </c>
      <c r="D154">
        <v>26.36</v>
      </c>
    </row>
    <row r="155" spans="1:4">
      <c r="A155" t="s">
        <v>2032</v>
      </c>
      <c r="B155" t="s">
        <v>762</v>
      </c>
      <c r="C155">
        <v>25</v>
      </c>
      <c r="D155">
        <v>25.8</v>
      </c>
    </row>
    <row r="156" spans="1:4">
      <c r="A156" t="s">
        <v>2032</v>
      </c>
      <c r="B156" t="s">
        <v>762</v>
      </c>
      <c r="C156">
        <v>26</v>
      </c>
      <c r="D156">
        <v>25.24</v>
      </c>
    </row>
    <row r="157" spans="1:4">
      <c r="A157" t="s">
        <v>2032</v>
      </c>
      <c r="B157" t="s">
        <v>762</v>
      </c>
      <c r="C157">
        <v>27</v>
      </c>
      <c r="D157">
        <v>24.67</v>
      </c>
    </row>
    <row r="158" spans="1:4">
      <c r="A158" t="s">
        <v>2032</v>
      </c>
      <c r="B158" t="s">
        <v>762</v>
      </c>
      <c r="C158">
        <v>28</v>
      </c>
      <c r="D158">
        <v>24.1</v>
      </c>
    </row>
    <row r="159" spans="1:4">
      <c r="A159" t="s">
        <v>2032</v>
      </c>
      <c r="B159" t="s">
        <v>762</v>
      </c>
      <c r="C159">
        <v>29</v>
      </c>
      <c r="D159">
        <v>23.52</v>
      </c>
    </row>
    <row r="160" spans="1:4">
      <c r="A160" t="s">
        <v>2032</v>
      </c>
      <c r="B160" t="s">
        <v>762</v>
      </c>
      <c r="C160">
        <v>30</v>
      </c>
      <c r="D160">
        <v>22.93</v>
      </c>
    </row>
    <row r="161" spans="1:4">
      <c r="A161" t="s">
        <v>2032</v>
      </c>
      <c r="B161" t="s">
        <v>762</v>
      </c>
      <c r="C161">
        <v>31</v>
      </c>
      <c r="D161">
        <v>22.33</v>
      </c>
    </row>
    <row r="162" spans="1:4">
      <c r="A162" t="s">
        <v>2032</v>
      </c>
      <c r="B162" t="s">
        <v>762</v>
      </c>
      <c r="C162">
        <v>32</v>
      </c>
      <c r="D162">
        <v>21.71</v>
      </c>
    </row>
    <row r="163" spans="1:4">
      <c r="A163" t="s">
        <v>2032</v>
      </c>
      <c r="B163" t="s">
        <v>762</v>
      </c>
      <c r="C163">
        <v>33</v>
      </c>
      <c r="D163">
        <v>21.09</v>
      </c>
    </row>
    <row r="164" spans="1:4">
      <c r="A164" t="s">
        <v>2032</v>
      </c>
      <c r="B164" t="s">
        <v>762</v>
      </c>
      <c r="C164">
        <v>34</v>
      </c>
      <c r="D164">
        <v>20.45</v>
      </c>
    </row>
    <row r="165" spans="1:4">
      <c r="A165" t="s">
        <v>2032</v>
      </c>
      <c r="B165" t="s">
        <v>762</v>
      </c>
      <c r="C165">
        <v>35</v>
      </c>
      <c r="D165">
        <v>19.8</v>
      </c>
    </row>
    <row r="166" spans="1:4">
      <c r="A166" t="s">
        <v>2032</v>
      </c>
      <c r="B166" t="s">
        <v>762</v>
      </c>
      <c r="C166">
        <v>36</v>
      </c>
      <c r="D166">
        <v>19.149999999999999</v>
      </c>
    </row>
    <row r="167" spans="1:4">
      <c r="A167" t="s">
        <v>2032</v>
      </c>
      <c r="B167" t="s">
        <v>762</v>
      </c>
      <c r="C167">
        <v>37</v>
      </c>
      <c r="D167">
        <v>18.5</v>
      </c>
    </row>
    <row r="168" spans="1:4">
      <c r="A168" t="s">
        <v>2032</v>
      </c>
      <c r="B168" t="s">
        <v>762</v>
      </c>
      <c r="C168">
        <v>38</v>
      </c>
      <c r="D168">
        <v>17.850000000000001</v>
      </c>
    </row>
    <row r="169" spans="1:4">
      <c r="A169" t="s">
        <v>2032</v>
      </c>
      <c r="B169" t="s">
        <v>762</v>
      </c>
      <c r="C169">
        <v>39</v>
      </c>
      <c r="D169">
        <v>17.21</v>
      </c>
    </row>
    <row r="170" spans="1:4">
      <c r="A170" t="s">
        <v>2032</v>
      </c>
      <c r="B170" t="s">
        <v>762</v>
      </c>
      <c r="C170">
        <v>40</v>
      </c>
      <c r="D170">
        <v>16.57</v>
      </c>
    </row>
    <row r="171" spans="1:4">
      <c r="A171" t="s">
        <v>2032</v>
      </c>
      <c r="B171" t="s">
        <v>762</v>
      </c>
      <c r="C171">
        <v>41</v>
      </c>
      <c r="D171">
        <v>15.94</v>
      </c>
    </row>
    <row r="172" spans="1:4">
      <c r="A172" t="s">
        <v>2032</v>
      </c>
      <c r="B172" t="s">
        <v>762</v>
      </c>
      <c r="C172">
        <v>42</v>
      </c>
      <c r="D172">
        <v>15.31</v>
      </c>
    </row>
    <row r="173" spans="1:4">
      <c r="A173" t="s">
        <v>2032</v>
      </c>
      <c r="B173" t="s">
        <v>762</v>
      </c>
      <c r="C173">
        <v>43</v>
      </c>
      <c r="D173">
        <v>14.68</v>
      </c>
    </row>
    <row r="174" spans="1:4">
      <c r="A174" t="s">
        <v>2032</v>
      </c>
      <c r="B174" t="s">
        <v>762</v>
      </c>
      <c r="C174">
        <v>44</v>
      </c>
      <c r="D174">
        <v>14.06</v>
      </c>
    </row>
    <row r="175" spans="1:4">
      <c r="A175" t="s">
        <v>2032</v>
      </c>
      <c r="B175" t="s">
        <v>762</v>
      </c>
      <c r="C175">
        <v>45</v>
      </c>
      <c r="D175">
        <v>13.46</v>
      </c>
    </row>
    <row r="176" spans="1:4">
      <c r="A176" t="s">
        <v>2032</v>
      </c>
      <c r="B176" t="s">
        <v>762</v>
      </c>
      <c r="C176">
        <v>46</v>
      </c>
      <c r="D176">
        <v>12.87</v>
      </c>
    </row>
    <row r="177" spans="1:4">
      <c r="A177" t="s">
        <v>2032</v>
      </c>
      <c r="B177" t="s">
        <v>762</v>
      </c>
      <c r="C177">
        <v>47</v>
      </c>
      <c r="D177">
        <v>12.28</v>
      </c>
    </row>
    <row r="178" spans="1:4">
      <c r="A178" t="s">
        <v>2032</v>
      </c>
      <c r="B178" t="s">
        <v>762</v>
      </c>
      <c r="C178">
        <v>48</v>
      </c>
      <c r="D178">
        <v>11.72</v>
      </c>
    </row>
    <row r="179" spans="1:4">
      <c r="A179" t="s">
        <v>2032</v>
      </c>
      <c r="B179" t="s">
        <v>762</v>
      </c>
      <c r="C179">
        <v>49</v>
      </c>
      <c r="D179">
        <v>11.16</v>
      </c>
    </row>
    <row r="180" spans="1:4">
      <c r="A180" t="s">
        <v>2032</v>
      </c>
      <c r="B180" t="s">
        <v>762</v>
      </c>
      <c r="C180">
        <v>50</v>
      </c>
      <c r="D180">
        <v>10.62</v>
      </c>
    </row>
    <row r="181" spans="1:4">
      <c r="A181" t="s">
        <v>2032</v>
      </c>
      <c r="B181" t="s">
        <v>762</v>
      </c>
      <c r="C181">
        <v>51</v>
      </c>
      <c r="D181">
        <v>10.09</v>
      </c>
    </row>
    <row r="182" spans="1:4">
      <c r="A182" t="s">
        <v>2032</v>
      </c>
      <c r="B182" t="s">
        <v>762</v>
      </c>
      <c r="C182">
        <v>52</v>
      </c>
      <c r="D182">
        <v>9.57</v>
      </c>
    </row>
    <row r="183" spans="1:4">
      <c r="A183" t="s">
        <v>2032</v>
      </c>
      <c r="B183" t="s">
        <v>762</v>
      </c>
      <c r="C183">
        <v>53</v>
      </c>
      <c r="D183">
        <v>9.06</v>
      </c>
    </row>
    <row r="184" spans="1:4">
      <c r="A184" t="s">
        <v>2032</v>
      </c>
      <c r="B184" t="s">
        <v>762</v>
      </c>
      <c r="C184">
        <v>54</v>
      </c>
      <c r="D184">
        <v>8.56</v>
      </c>
    </row>
    <row r="185" spans="1:4">
      <c r="A185" t="s">
        <v>2032</v>
      </c>
      <c r="B185" t="s">
        <v>762</v>
      </c>
      <c r="C185">
        <v>55</v>
      </c>
      <c r="D185">
        <v>8.07</v>
      </c>
    </row>
    <row r="186" spans="1:4">
      <c r="A186" t="s">
        <v>2032</v>
      </c>
      <c r="B186" t="s">
        <v>762</v>
      </c>
      <c r="C186">
        <v>56</v>
      </c>
      <c r="D186">
        <v>7.59</v>
      </c>
    </row>
    <row r="187" spans="1:4">
      <c r="A187" t="s">
        <v>2032</v>
      </c>
      <c r="B187" t="s">
        <v>762</v>
      </c>
      <c r="C187">
        <v>57</v>
      </c>
      <c r="D187">
        <v>7.13</v>
      </c>
    </row>
    <row r="188" spans="1:4">
      <c r="A188" t="s">
        <v>2032</v>
      </c>
      <c r="B188" t="s">
        <v>762</v>
      </c>
      <c r="C188">
        <v>58</v>
      </c>
      <c r="D188">
        <v>6.69</v>
      </c>
    </row>
    <row r="189" spans="1:4">
      <c r="A189" t="s">
        <v>2032</v>
      </c>
      <c r="B189" t="s">
        <v>762</v>
      </c>
      <c r="C189">
        <v>59</v>
      </c>
      <c r="D189">
        <v>6.27</v>
      </c>
    </row>
    <row r="190" spans="1:4">
      <c r="A190" t="s">
        <v>2032</v>
      </c>
      <c r="B190" t="s">
        <v>762</v>
      </c>
      <c r="C190">
        <v>60</v>
      </c>
      <c r="D190">
        <v>5.89</v>
      </c>
    </row>
    <row r="191" spans="1:4">
      <c r="A191" t="s">
        <v>2032</v>
      </c>
      <c r="B191" t="s">
        <v>762</v>
      </c>
      <c r="C191">
        <v>61</v>
      </c>
      <c r="D191">
        <v>5.55</v>
      </c>
    </row>
    <row r="192" spans="1:4">
      <c r="A192" t="s">
        <v>2032</v>
      </c>
      <c r="B192" t="s">
        <v>762</v>
      </c>
      <c r="C192">
        <v>62</v>
      </c>
      <c r="D192">
        <v>5.24</v>
      </c>
    </row>
    <row r="193" spans="1:4">
      <c r="A193" t="s">
        <v>2032</v>
      </c>
      <c r="B193" t="s">
        <v>762</v>
      </c>
      <c r="C193">
        <v>63</v>
      </c>
      <c r="D193">
        <v>4.95</v>
      </c>
    </row>
    <row r="194" spans="1:4">
      <c r="A194" t="s">
        <v>2032</v>
      </c>
      <c r="B194" t="s">
        <v>762</v>
      </c>
      <c r="C194">
        <v>64</v>
      </c>
      <c r="D194">
        <v>4.6900000000000004</v>
      </c>
    </row>
    <row r="195" spans="1:4">
      <c r="A195" t="s">
        <v>2032</v>
      </c>
      <c r="B195" t="s">
        <v>762</v>
      </c>
      <c r="C195">
        <v>65</v>
      </c>
      <c r="D195">
        <v>4.45</v>
      </c>
    </row>
    <row r="196" spans="1:4">
      <c r="A196" t="s">
        <v>2032</v>
      </c>
      <c r="B196" t="s">
        <v>762</v>
      </c>
      <c r="C196">
        <v>66</v>
      </c>
      <c r="D196">
        <v>4.22</v>
      </c>
    </row>
    <row r="197" spans="1:4">
      <c r="A197" t="s">
        <v>2032</v>
      </c>
      <c r="B197" t="s">
        <v>762</v>
      </c>
      <c r="C197">
        <v>67</v>
      </c>
      <c r="D197">
        <v>4.01</v>
      </c>
    </row>
    <row r="198" spans="1:4">
      <c r="A198" t="s">
        <v>2032</v>
      </c>
      <c r="B198" t="s">
        <v>762</v>
      </c>
      <c r="C198">
        <v>68</v>
      </c>
      <c r="D198">
        <v>3.81</v>
      </c>
    </row>
    <row r="199" spans="1:4">
      <c r="A199" t="s">
        <v>2032</v>
      </c>
      <c r="B199" t="s">
        <v>762</v>
      </c>
      <c r="C199">
        <v>69</v>
      </c>
      <c r="D199">
        <v>3.62</v>
      </c>
    </row>
    <row r="200" spans="1:4">
      <c r="A200" t="s">
        <v>2032</v>
      </c>
      <c r="B200" t="s">
        <v>762</v>
      </c>
      <c r="C200">
        <v>70</v>
      </c>
      <c r="D200">
        <v>3.45</v>
      </c>
    </row>
    <row r="201" spans="1:4">
      <c r="A201" t="s">
        <v>2032</v>
      </c>
      <c r="B201" t="s">
        <v>762</v>
      </c>
      <c r="C201">
        <v>71</v>
      </c>
      <c r="D201">
        <v>3.28</v>
      </c>
    </row>
    <row r="202" spans="1:4">
      <c r="A202" t="s">
        <v>2032</v>
      </c>
      <c r="B202" t="s">
        <v>762</v>
      </c>
      <c r="C202">
        <v>72</v>
      </c>
      <c r="D202">
        <v>3.13</v>
      </c>
    </row>
    <row r="203" spans="1:4">
      <c r="A203" t="s">
        <v>2032</v>
      </c>
      <c r="B203" t="s">
        <v>762</v>
      </c>
      <c r="C203">
        <v>73</v>
      </c>
      <c r="D203">
        <v>2.99</v>
      </c>
    </row>
    <row r="204" spans="1:4">
      <c r="A204" t="s">
        <v>2032</v>
      </c>
      <c r="B204" t="s">
        <v>762</v>
      </c>
      <c r="C204">
        <v>74</v>
      </c>
      <c r="D204">
        <v>2.86</v>
      </c>
    </row>
    <row r="205" spans="1:4">
      <c r="A205" t="s">
        <v>2032</v>
      </c>
      <c r="B205" t="s">
        <v>762</v>
      </c>
      <c r="C205">
        <v>75</v>
      </c>
      <c r="D205">
        <v>2.74</v>
      </c>
    </row>
    <row r="206" spans="1:4">
      <c r="A206" t="s">
        <v>2032</v>
      </c>
      <c r="B206" t="s">
        <v>762</v>
      </c>
      <c r="C206">
        <v>76</v>
      </c>
      <c r="D206">
        <v>2.62</v>
      </c>
    </row>
    <row r="207" spans="1:4">
      <c r="A207" t="s">
        <v>2032</v>
      </c>
      <c r="B207" t="s">
        <v>762</v>
      </c>
      <c r="C207">
        <v>77</v>
      </c>
      <c r="D207">
        <v>2.5099999999999998</v>
      </c>
    </row>
    <row r="208" spans="1:4">
      <c r="A208" t="s">
        <v>2032</v>
      </c>
      <c r="B208" t="s">
        <v>762</v>
      </c>
      <c r="C208">
        <v>78</v>
      </c>
      <c r="D208">
        <v>2.41</v>
      </c>
    </row>
    <row r="209" spans="1:4">
      <c r="A209" t="s">
        <v>2032</v>
      </c>
      <c r="B209" t="s">
        <v>762</v>
      </c>
      <c r="C209">
        <v>79</v>
      </c>
      <c r="D209">
        <v>2.31</v>
      </c>
    </row>
    <row r="210" spans="1:4">
      <c r="A210" t="s">
        <v>2032</v>
      </c>
      <c r="B210" t="s">
        <v>762</v>
      </c>
      <c r="C210">
        <v>80</v>
      </c>
      <c r="D210">
        <v>2.21</v>
      </c>
    </row>
    <row r="211" spans="1:4">
      <c r="A211" t="s">
        <v>2032</v>
      </c>
      <c r="B211" t="s">
        <v>762</v>
      </c>
      <c r="C211">
        <v>81</v>
      </c>
      <c r="D211">
        <v>2.12</v>
      </c>
    </row>
    <row r="212" spans="1:4">
      <c r="A212" t="s">
        <v>2032</v>
      </c>
      <c r="B212" t="s">
        <v>762</v>
      </c>
      <c r="C212">
        <v>82</v>
      </c>
      <c r="D212">
        <v>2.0299999999999998</v>
      </c>
    </row>
    <row r="213" spans="1:4">
      <c r="A213" t="s">
        <v>2032</v>
      </c>
      <c r="B213" t="s">
        <v>762</v>
      </c>
      <c r="C213">
        <v>83</v>
      </c>
      <c r="D213">
        <v>1.95</v>
      </c>
    </row>
    <row r="214" spans="1:4">
      <c r="A214" t="s">
        <v>2032</v>
      </c>
      <c r="B214" t="s">
        <v>762</v>
      </c>
      <c r="C214">
        <v>84</v>
      </c>
      <c r="D214">
        <v>1.87</v>
      </c>
    </row>
    <row r="215" spans="1:4">
      <c r="A215" t="s">
        <v>2032</v>
      </c>
      <c r="B215" t="s">
        <v>762</v>
      </c>
      <c r="C215">
        <v>85</v>
      </c>
      <c r="D215">
        <v>1.79</v>
      </c>
    </row>
    <row r="216" spans="1:4">
      <c r="A216" t="s">
        <v>2032</v>
      </c>
      <c r="B216" t="s">
        <v>762</v>
      </c>
      <c r="C216">
        <v>86</v>
      </c>
      <c r="D216">
        <v>1.71</v>
      </c>
    </row>
    <row r="217" spans="1:4">
      <c r="A217" t="s">
        <v>2032</v>
      </c>
      <c r="B217" t="s">
        <v>762</v>
      </c>
      <c r="C217">
        <v>87</v>
      </c>
      <c r="D217">
        <v>1.64</v>
      </c>
    </row>
    <row r="218" spans="1:4">
      <c r="A218" t="s">
        <v>2032</v>
      </c>
      <c r="B218" t="s">
        <v>762</v>
      </c>
      <c r="C218">
        <v>88</v>
      </c>
      <c r="D218">
        <v>1.57</v>
      </c>
    </row>
    <row r="219" spans="1:4">
      <c r="A219" t="s">
        <v>2032</v>
      </c>
      <c r="B219" t="s">
        <v>762</v>
      </c>
      <c r="C219">
        <v>89</v>
      </c>
      <c r="D219">
        <v>1.51</v>
      </c>
    </row>
    <row r="220" spans="1:4">
      <c r="A220" t="s">
        <v>2032</v>
      </c>
      <c r="B220" t="s">
        <v>762</v>
      </c>
      <c r="C220">
        <v>90</v>
      </c>
      <c r="D220">
        <v>1.44</v>
      </c>
    </row>
    <row r="221" spans="1:4">
      <c r="A221" t="s">
        <v>2033</v>
      </c>
      <c r="B221" t="s">
        <v>762</v>
      </c>
      <c r="C221">
        <v>18</v>
      </c>
      <c r="D221">
        <v>33.33</v>
      </c>
    </row>
    <row r="222" spans="1:4">
      <c r="A222" t="s">
        <v>2033</v>
      </c>
      <c r="B222" t="s">
        <v>762</v>
      </c>
      <c r="C222">
        <v>19</v>
      </c>
      <c r="D222">
        <v>32.590000000000003</v>
      </c>
    </row>
    <row r="223" spans="1:4">
      <c r="A223" t="s">
        <v>2033</v>
      </c>
      <c r="B223" t="s">
        <v>762</v>
      </c>
      <c r="C223">
        <v>20</v>
      </c>
      <c r="D223">
        <v>31.85</v>
      </c>
    </row>
    <row r="224" spans="1:4">
      <c r="A224" t="s">
        <v>2033</v>
      </c>
      <c r="B224" t="s">
        <v>762</v>
      </c>
      <c r="C224">
        <v>21</v>
      </c>
      <c r="D224">
        <v>31.11</v>
      </c>
    </row>
    <row r="225" spans="1:4">
      <c r="A225" t="s">
        <v>2033</v>
      </c>
      <c r="B225" t="s">
        <v>762</v>
      </c>
      <c r="C225">
        <v>22</v>
      </c>
      <c r="D225">
        <v>30.37</v>
      </c>
    </row>
    <row r="226" spans="1:4">
      <c r="A226" t="s">
        <v>2033</v>
      </c>
      <c r="B226" t="s">
        <v>762</v>
      </c>
      <c r="C226">
        <v>23</v>
      </c>
      <c r="D226">
        <v>29.64</v>
      </c>
    </row>
    <row r="227" spans="1:4">
      <c r="A227" t="s">
        <v>2033</v>
      </c>
      <c r="B227" t="s">
        <v>762</v>
      </c>
      <c r="C227">
        <v>24</v>
      </c>
      <c r="D227">
        <v>28.9</v>
      </c>
    </row>
    <row r="228" spans="1:4">
      <c r="A228" t="s">
        <v>2033</v>
      </c>
      <c r="B228" t="s">
        <v>762</v>
      </c>
      <c r="C228">
        <v>25</v>
      </c>
      <c r="D228">
        <v>28.17</v>
      </c>
    </row>
    <row r="229" spans="1:4">
      <c r="A229" t="s">
        <v>2033</v>
      </c>
      <c r="B229" t="s">
        <v>762</v>
      </c>
      <c r="C229">
        <v>26</v>
      </c>
      <c r="D229">
        <v>27.43</v>
      </c>
    </row>
    <row r="230" spans="1:4">
      <c r="A230" t="s">
        <v>2033</v>
      </c>
      <c r="B230" t="s">
        <v>762</v>
      </c>
      <c r="C230">
        <v>27</v>
      </c>
      <c r="D230">
        <v>26.68</v>
      </c>
    </row>
    <row r="231" spans="1:4">
      <c r="A231" t="s">
        <v>2033</v>
      </c>
      <c r="B231" t="s">
        <v>762</v>
      </c>
      <c r="C231">
        <v>28</v>
      </c>
      <c r="D231">
        <v>25.94</v>
      </c>
    </row>
    <row r="232" spans="1:4">
      <c r="A232" t="s">
        <v>2033</v>
      </c>
      <c r="B232" t="s">
        <v>762</v>
      </c>
      <c r="C232">
        <v>29</v>
      </c>
      <c r="D232">
        <v>25.2</v>
      </c>
    </row>
    <row r="233" spans="1:4">
      <c r="A233" t="s">
        <v>2033</v>
      </c>
      <c r="B233" t="s">
        <v>762</v>
      </c>
      <c r="C233">
        <v>30</v>
      </c>
      <c r="D233">
        <v>24.46</v>
      </c>
    </row>
    <row r="234" spans="1:4">
      <c r="A234" t="s">
        <v>2033</v>
      </c>
      <c r="B234" t="s">
        <v>762</v>
      </c>
      <c r="C234">
        <v>31</v>
      </c>
      <c r="D234">
        <v>23.72</v>
      </c>
    </row>
    <row r="235" spans="1:4">
      <c r="A235" t="s">
        <v>2033</v>
      </c>
      <c r="B235" t="s">
        <v>762</v>
      </c>
      <c r="C235">
        <v>32</v>
      </c>
      <c r="D235">
        <v>22.99</v>
      </c>
    </row>
    <row r="236" spans="1:4">
      <c r="A236" t="s">
        <v>2033</v>
      </c>
      <c r="B236" t="s">
        <v>762</v>
      </c>
      <c r="C236">
        <v>33</v>
      </c>
      <c r="D236">
        <v>22.25</v>
      </c>
    </row>
    <row r="237" spans="1:4">
      <c r="A237" t="s">
        <v>2033</v>
      </c>
      <c r="B237" t="s">
        <v>762</v>
      </c>
      <c r="C237">
        <v>34</v>
      </c>
      <c r="D237">
        <v>21.51</v>
      </c>
    </row>
    <row r="238" spans="1:4">
      <c r="A238" t="s">
        <v>2033</v>
      </c>
      <c r="B238" t="s">
        <v>762</v>
      </c>
      <c r="C238">
        <v>35</v>
      </c>
      <c r="D238">
        <v>20.77</v>
      </c>
    </row>
    <row r="239" spans="1:4">
      <c r="A239" t="s">
        <v>2033</v>
      </c>
      <c r="B239" t="s">
        <v>762</v>
      </c>
      <c r="C239">
        <v>36</v>
      </c>
      <c r="D239">
        <v>20.04</v>
      </c>
    </row>
    <row r="240" spans="1:4">
      <c r="A240" t="s">
        <v>2033</v>
      </c>
      <c r="B240" t="s">
        <v>762</v>
      </c>
      <c r="C240">
        <v>37</v>
      </c>
      <c r="D240">
        <v>19.309999999999999</v>
      </c>
    </row>
    <row r="241" spans="1:4">
      <c r="A241" t="s">
        <v>2033</v>
      </c>
      <c r="B241" t="s">
        <v>762</v>
      </c>
      <c r="C241">
        <v>38</v>
      </c>
      <c r="D241">
        <v>18.579999999999998</v>
      </c>
    </row>
    <row r="242" spans="1:4">
      <c r="A242" t="s">
        <v>2033</v>
      </c>
      <c r="B242" t="s">
        <v>762</v>
      </c>
      <c r="C242">
        <v>39</v>
      </c>
      <c r="D242">
        <v>17.850000000000001</v>
      </c>
    </row>
    <row r="243" spans="1:4">
      <c r="A243" t="s">
        <v>2033</v>
      </c>
      <c r="B243" t="s">
        <v>762</v>
      </c>
      <c r="C243">
        <v>40</v>
      </c>
      <c r="D243">
        <v>17.13</v>
      </c>
    </row>
    <row r="244" spans="1:4">
      <c r="A244" t="s">
        <v>2033</v>
      </c>
      <c r="B244" t="s">
        <v>762</v>
      </c>
      <c r="C244">
        <v>41</v>
      </c>
      <c r="D244">
        <v>16.41</v>
      </c>
    </row>
    <row r="245" spans="1:4">
      <c r="A245" t="s">
        <v>2033</v>
      </c>
      <c r="B245" t="s">
        <v>762</v>
      </c>
      <c r="C245">
        <v>42</v>
      </c>
      <c r="D245">
        <v>15.71</v>
      </c>
    </row>
    <row r="246" spans="1:4">
      <c r="A246" t="s">
        <v>2033</v>
      </c>
      <c r="B246" t="s">
        <v>762</v>
      </c>
      <c r="C246">
        <v>43</v>
      </c>
      <c r="D246">
        <v>15.01</v>
      </c>
    </row>
    <row r="247" spans="1:4">
      <c r="A247" t="s">
        <v>2033</v>
      </c>
      <c r="B247" t="s">
        <v>762</v>
      </c>
      <c r="C247">
        <v>44</v>
      </c>
      <c r="D247">
        <v>14.33</v>
      </c>
    </row>
    <row r="248" spans="1:4">
      <c r="A248" t="s">
        <v>2033</v>
      </c>
      <c r="B248" t="s">
        <v>762</v>
      </c>
      <c r="C248">
        <v>45</v>
      </c>
      <c r="D248">
        <v>13.65</v>
      </c>
    </row>
    <row r="249" spans="1:4">
      <c r="A249" t="s">
        <v>2033</v>
      </c>
      <c r="B249" t="s">
        <v>762</v>
      </c>
      <c r="C249">
        <v>46</v>
      </c>
      <c r="D249">
        <v>12.98</v>
      </c>
    </row>
    <row r="250" spans="1:4">
      <c r="A250" t="s">
        <v>2033</v>
      </c>
      <c r="B250" t="s">
        <v>762</v>
      </c>
      <c r="C250">
        <v>47</v>
      </c>
      <c r="D250">
        <v>12.33</v>
      </c>
    </row>
    <row r="251" spans="1:4">
      <c r="A251" t="s">
        <v>2033</v>
      </c>
      <c r="B251" t="s">
        <v>762</v>
      </c>
      <c r="C251">
        <v>48</v>
      </c>
      <c r="D251">
        <v>11.69</v>
      </c>
    </row>
    <row r="252" spans="1:4">
      <c r="A252" t="s">
        <v>2033</v>
      </c>
      <c r="B252" t="s">
        <v>762</v>
      </c>
      <c r="C252">
        <v>49</v>
      </c>
      <c r="D252">
        <v>11.05</v>
      </c>
    </row>
    <row r="253" spans="1:4">
      <c r="A253" t="s">
        <v>2033</v>
      </c>
      <c r="B253" t="s">
        <v>762</v>
      </c>
      <c r="C253">
        <v>50</v>
      </c>
      <c r="D253">
        <v>10.41</v>
      </c>
    </row>
    <row r="254" spans="1:4">
      <c r="A254" t="s">
        <v>2033</v>
      </c>
      <c r="B254" t="s">
        <v>762</v>
      </c>
      <c r="C254">
        <v>51</v>
      </c>
      <c r="D254">
        <v>9.7899999999999991</v>
      </c>
    </row>
    <row r="255" spans="1:4">
      <c r="A255" t="s">
        <v>2033</v>
      </c>
      <c r="B255" t="s">
        <v>762</v>
      </c>
      <c r="C255">
        <v>52</v>
      </c>
      <c r="D255">
        <v>9.18</v>
      </c>
    </row>
    <row r="256" spans="1:4">
      <c r="A256" t="s">
        <v>2033</v>
      </c>
      <c r="B256" t="s">
        <v>762</v>
      </c>
      <c r="C256">
        <v>53</v>
      </c>
      <c r="D256">
        <v>8.6</v>
      </c>
    </row>
    <row r="257" spans="1:4">
      <c r="A257" t="s">
        <v>2033</v>
      </c>
      <c r="B257" t="s">
        <v>762</v>
      </c>
      <c r="C257">
        <v>54</v>
      </c>
      <c r="D257">
        <v>8.0500000000000007</v>
      </c>
    </row>
    <row r="258" spans="1:4">
      <c r="A258" t="s">
        <v>2033</v>
      </c>
      <c r="B258" t="s">
        <v>762</v>
      </c>
      <c r="C258">
        <v>55</v>
      </c>
      <c r="D258">
        <v>7.52</v>
      </c>
    </row>
    <row r="259" spans="1:4">
      <c r="A259" t="s">
        <v>2033</v>
      </c>
      <c r="B259" t="s">
        <v>762</v>
      </c>
      <c r="C259">
        <v>56</v>
      </c>
      <c r="D259">
        <v>7.01</v>
      </c>
    </row>
    <row r="260" spans="1:4">
      <c r="A260" t="s">
        <v>2033</v>
      </c>
      <c r="B260" t="s">
        <v>762</v>
      </c>
      <c r="C260">
        <v>57</v>
      </c>
      <c r="D260">
        <v>6.53</v>
      </c>
    </row>
    <row r="261" spans="1:4">
      <c r="A261" t="s">
        <v>2033</v>
      </c>
      <c r="B261" t="s">
        <v>762</v>
      </c>
      <c r="C261">
        <v>58</v>
      </c>
      <c r="D261">
        <v>6.08</v>
      </c>
    </row>
    <row r="262" spans="1:4">
      <c r="A262" t="s">
        <v>2033</v>
      </c>
      <c r="B262" t="s">
        <v>762</v>
      </c>
      <c r="C262">
        <v>59</v>
      </c>
      <c r="D262">
        <v>5.67</v>
      </c>
    </row>
    <row r="263" spans="1:4">
      <c r="A263" t="s">
        <v>2033</v>
      </c>
      <c r="B263" t="s">
        <v>762</v>
      </c>
      <c r="C263">
        <v>60</v>
      </c>
      <c r="D263">
        <v>5.31</v>
      </c>
    </row>
    <row r="264" spans="1:4">
      <c r="A264" t="s">
        <v>2033</v>
      </c>
      <c r="B264" t="s">
        <v>762</v>
      </c>
      <c r="C264">
        <v>61</v>
      </c>
      <c r="D264">
        <v>4.9800000000000004</v>
      </c>
    </row>
    <row r="265" spans="1:4">
      <c r="A265" t="s">
        <v>2033</v>
      </c>
      <c r="B265" t="s">
        <v>762</v>
      </c>
      <c r="C265">
        <v>62</v>
      </c>
      <c r="D265">
        <v>4.7</v>
      </c>
    </row>
    <row r="266" spans="1:4">
      <c r="A266" t="s">
        <v>2033</v>
      </c>
      <c r="B266" t="s">
        <v>762</v>
      </c>
      <c r="C266">
        <v>63</v>
      </c>
      <c r="D266">
        <v>4.4400000000000004</v>
      </c>
    </row>
    <row r="267" spans="1:4">
      <c r="A267" t="s">
        <v>2033</v>
      </c>
      <c r="B267" t="s">
        <v>762</v>
      </c>
      <c r="C267">
        <v>64</v>
      </c>
      <c r="D267">
        <v>4.22</v>
      </c>
    </row>
    <row r="268" spans="1:4">
      <c r="A268" t="s">
        <v>2033</v>
      </c>
      <c r="B268" t="s">
        <v>762</v>
      </c>
      <c r="C268">
        <v>65</v>
      </c>
      <c r="D268">
        <v>4</v>
      </c>
    </row>
    <row r="269" spans="1:4">
      <c r="A269" t="s">
        <v>2033</v>
      </c>
      <c r="B269" t="s">
        <v>762</v>
      </c>
      <c r="C269">
        <v>66</v>
      </c>
      <c r="D269">
        <v>3.8</v>
      </c>
    </row>
    <row r="270" spans="1:4">
      <c r="A270" t="s">
        <v>2033</v>
      </c>
      <c r="B270" t="s">
        <v>762</v>
      </c>
      <c r="C270">
        <v>67</v>
      </c>
      <c r="D270">
        <v>3.62</v>
      </c>
    </row>
    <row r="271" spans="1:4">
      <c r="A271" t="s">
        <v>2033</v>
      </c>
      <c r="B271" t="s">
        <v>762</v>
      </c>
      <c r="C271">
        <v>68</v>
      </c>
      <c r="D271">
        <v>3.45</v>
      </c>
    </row>
    <row r="272" spans="1:4">
      <c r="A272" t="s">
        <v>2033</v>
      </c>
      <c r="B272" t="s">
        <v>762</v>
      </c>
      <c r="C272">
        <v>69</v>
      </c>
      <c r="D272">
        <v>3.29</v>
      </c>
    </row>
    <row r="273" spans="1:4">
      <c r="A273" t="s">
        <v>2033</v>
      </c>
      <c r="B273" t="s">
        <v>762</v>
      </c>
      <c r="C273">
        <v>70</v>
      </c>
      <c r="D273">
        <v>3.15</v>
      </c>
    </row>
    <row r="274" spans="1:4">
      <c r="A274" t="s">
        <v>2033</v>
      </c>
      <c r="B274" t="s">
        <v>762</v>
      </c>
      <c r="C274">
        <v>71</v>
      </c>
      <c r="D274">
        <v>3.03</v>
      </c>
    </row>
    <row r="275" spans="1:4">
      <c r="A275" t="s">
        <v>2033</v>
      </c>
      <c r="B275" t="s">
        <v>762</v>
      </c>
      <c r="C275">
        <v>72</v>
      </c>
      <c r="D275">
        <v>2.91</v>
      </c>
    </row>
    <row r="276" spans="1:4">
      <c r="A276" t="s">
        <v>2033</v>
      </c>
      <c r="B276" t="s">
        <v>762</v>
      </c>
      <c r="C276">
        <v>73</v>
      </c>
      <c r="D276">
        <v>2.8</v>
      </c>
    </row>
    <row r="277" spans="1:4">
      <c r="A277" t="s">
        <v>2033</v>
      </c>
      <c r="B277" t="s">
        <v>762</v>
      </c>
      <c r="C277">
        <v>74</v>
      </c>
      <c r="D277">
        <v>2.69</v>
      </c>
    </row>
    <row r="278" spans="1:4">
      <c r="A278" t="s">
        <v>2033</v>
      </c>
      <c r="B278" t="s">
        <v>762</v>
      </c>
      <c r="C278">
        <v>75</v>
      </c>
      <c r="D278">
        <v>2.59</v>
      </c>
    </row>
    <row r="279" spans="1:4">
      <c r="A279" t="s">
        <v>2033</v>
      </c>
      <c r="B279" t="s">
        <v>762</v>
      </c>
      <c r="C279">
        <v>76</v>
      </c>
      <c r="D279">
        <v>2.5</v>
      </c>
    </row>
    <row r="280" spans="1:4">
      <c r="A280" t="s">
        <v>2033</v>
      </c>
      <c r="B280" t="s">
        <v>762</v>
      </c>
      <c r="C280">
        <v>77</v>
      </c>
      <c r="D280">
        <v>2.41</v>
      </c>
    </row>
    <row r="281" spans="1:4">
      <c r="A281" t="s">
        <v>2033</v>
      </c>
      <c r="B281" t="s">
        <v>762</v>
      </c>
      <c r="C281">
        <v>78</v>
      </c>
      <c r="D281">
        <v>2.3199999999999998</v>
      </c>
    </row>
    <row r="282" spans="1:4">
      <c r="A282" t="s">
        <v>2033</v>
      </c>
      <c r="B282" t="s">
        <v>762</v>
      </c>
      <c r="C282">
        <v>79</v>
      </c>
      <c r="D282">
        <v>2.2400000000000002</v>
      </c>
    </row>
    <row r="283" spans="1:4">
      <c r="A283" t="s">
        <v>2033</v>
      </c>
      <c r="B283" t="s">
        <v>762</v>
      </c>
      <c r="C283">
        <v>80</v>
      </c>
      <c r="D283">
        <v>2.16</v>
      </c>
    </row>
    <row r="284" spans="1:4">
      <c r="A284" t="s">
        <v>2033</v>
      </c>
      <c r="B284" t="s">
        <v>762</v>
      </c>
      <c r="C284">
        <v>81</v>
      </c>
      <c r="D284">
        <v>2.09</v>
      </c>
    </row>
    <row r="285" spans="1:4">
      <c r="A285" t="s">
        <v>2033</v>
      </c>
      <c r="B285" t="s">
        <v>762</v>
      </c>
      <c r="C285">
        <v>82</v>
      </c>
      <c r="D285">
        <v>2.0099999999999998</v>
      </c>
    </row>
    <row r="286" spans="1:4">
      <c r="A286" t="s">
        <v>2033</v>
      </c>
      <c r="B286" t="s">
        <v>762</v>
      </c>
      <c r="C286">
        <v>83</v>
      </c>
      <c r="D286">
        <v>1.94</v>
      </c>
    </row>
    <row r="287" spans="1:4">
      <c r="A287" t="s">
        <v>2033</v>
      </c>
      <c r="B287" t="s">
        <v>762</v>
      </c>
      <c r="C287">
        <v>84</v>
      </c>
      <c r="D287">
        <v>1.87</v>
      </c>
    </row>
    <row r="288" spans="1:4">
      <c r="A288" t="s">
        <v>2033</v>
      </c>
      <c r="B288" t="s">
        <v>762</v>
      </c>
      <c r="C288">
        <v>85</v>
      </c>
      <c r="D288">
        <v>1.81</v>
      </c>
    </row>
    <row r="289" spans="1:4">
      <c r="A289" t="s">
        <v>2033</v>
      </c>
      <c r="B289" t="s">
        <v>762</v>
      </c>
      <c r="C289">
        <v>86</v>
      </c>
      <c r="D289">
        <v>1.74</v>
      </c>
    </row>
    <row r="290" spans="1:4">
      <c r="A290" t="s">
        <v>2033</v>
      </c>
      <c r="B290" t="s">
        <v>762</v>
      </c>
      <c r="C290">
        <v>87</v>
      </c>
      <c r="D290">
        <v>1.67</v>
      </c>
    </row>
    <row r="291" spans="1:4">
      <c r="A291" t="s">
        <v>2033</v>
      </c>
      <c r="B291" t="s">
        <v>762</v>
      </c>
      <c r="C291">
        <v>88</v>
      </c>
      <c r="D291">
        <v>1.61</v>
      </c>
    </row>
    <row r="292" spans="1:4">
      <c r="A292" t="s">
        <v>2033</v>
      </c>
      <c r="B292" t="s">
        <v>762</v>
      </c>
      <c r="C292">
        <v>89</v>
      </c>
      <c r="D292">
        <v>1.55</v>
      </c>
    </row>
    <row r="293" spans="1:4">
      <c r="A293" t="s">
        <v>2033</v>
      </c>
      <c r="B293" t="s">
        <v>762</v>
      </c>
      <c r="C293">
        <v>90</v>
      </c>
      <c r="D293">
        <v>1.49</v>
      </c>
    </row>
    <row r="294" spans="1:4">
      <c r="A294" t="s">
        <v>2034</v>
      </c>
      <c r="B294" t="s">
        <v>762</v>
      </c>
      <c r="C294">
        <v>18</v>
      </c>
      <c r="D294">
        <v>37.869999999999997</v>
      </c>
    </row>
    <row r="295" spans="1:4">
      <c r="A295" t="s">
        <v>2034</v>
      </c>
      <c r="B295" t="s">
        <v>762</v>
      </c>
      <c r="C295">
        <v>19</v>
      </c>
      <c r="D295">
        <v>37.14</v>
      </c>
    </row>
    <row r="296" spans="1:4">
      <c r="A296" t="s">
        <v>2034</v>
      </c>
      <c r="B296" t="s">
        <v>762</v>
      </c>
      <c r="C296">
        <v>20</v>
      </c>
      <c r="D296">
        <v>36.39</v>
      </c>
    </row>
    <row r="297" spans="1:4">
      <c r="A297" t="s">
        <v>2034</v>
      </c>
      <c r="B297" t="s">
        <v>762</v>
      </c>
      <c r="C297">
        <v>21</v>
      </c>
      <c r="D297">
        <v>35.64</v>
      </c>
    </row>
    <row r="298" spans="1:4">
      <c r="A298" t="s">
        <v>2034</v>
      </c>
      <c r="B298" t="s">
        <v>762</v>
      </c>
      <c r="C298">
        <v>22</v>
      </c>
      <c r="D298">
        <v>34.89</v>
      </c>
    </row>
    <row r="299" spans="1:4">
      <c r="A299" t="s">
        <v>2034</v>
      </c>
      <c r="B299" t="s">
        <v>762</v>
      </c>
      <c r="C299">
        <v>23</v>
      </c>
      <c r="D299">
        <v>34.14</v>
      </c>
    </row>
    <row r="300" spans="1:4">
      <c r="A300" t="s">
        <v>2034</v>
      </c>
      <c r="B300" t="s">
        <v>762</v>
      </c>
      <c r="C300">
        <v>24</v>
      </c>
      <c r="D300">
        <v>33.369999999999997</v>
      </c>
    </row>
    <row r="301" spans="1:4">
      <c r="A301" t="s">
        <v>2034</v>
      </c>
      <c r="B301" t="s">
        <v>762</v>
      </c>
      <c r="C301">
        <v>25</v>
      </c>
      <c r="D301">
        <v>32.6</v>
      </c>
    </row>
    <row r="302" spans="1:4">
      <c r="A302" t="s">
        <v>2034</v>
      </c>
      <c r="B302" t="s">
        <v>762</v>
      </c>
      <c r="C302">
        <v>26</v>
      </c>
      <c r="D302">
        <v>31.81</v>
      </c>
    </row>
    <row r="303" spans="1:4">
      <c r="A303" t="s">
        <v>2034</v>
      </c>
      <c r="B303" t="s">
        <v>762</v>
      </c>
      <c r="C303">
        <v>27</v>
      </c>
      <c r="D303">
        <v>31.02</v>
      </c>
    </row>
    <row r="304" spans="1:4">
      <c r="A304" t="s">
        <v>2034</v>
      </c>
      <c r="B304" t="s">
        <v>762</v>
      </c>
      <c r="C304">
        <v>28</v>
      </c>
      <c r="D304">
        <v>30.23</v>
      </c>
    </row>
    <row r="305" spans="1:4">
      <c r="A305" t="s">
        <v>2034</v>
      </c>
      <c r="B305" t="s">
        <v>762</v>
      </c>
      <c r="C305">
        <v>29</v>
      </c>
      <c r="D305">
        <v>29.44</v>
      </c>
    </row>
    <row r="306" spans="1:4">
      <c r="A306" t="s">
        <v>2034</v>
      </c>
      <c r="B306" t="s">
        <v>762</v>
      </c>
      <c r="C306">
        <v>30</v>
      </c>
      <c r="D306">
        <v>28.64</v>
      </c>
    </row>
    <row r="307" spans="1:4">
      <c r="A307" t="s">
        <v>2034</v>
      </c>
      <c r="B307" t="s">
        <v>762</v>
      </c>
      <c r="C307">
        <v>31</v>
      </c>
      <c r="D307">
        <v>27.83</v>
      </c>
    </row>
    <row r="308" spans="1:4">
      <c r="A308" t="s">
        <v>2034</v>
      </c>
      <c r="B308" t="s">
        <v>762</v>
      </c>
      <c r="C308">
        <v>32</v>
      </c>
      <c r="D308">
        <v>27</v>
      </c>
    </row>
    <row r="309" spans="1:4">
      <c r="A309" t="s">
        <v>2034</v>
      </c>
      <c r="B309" t="s">
        <v>762</v>
      </c>
      <c r="C309">
        <v>33</v>
      </c>
      <c r="D309">
        <v>26.17</v>
      </c>
    </row>
    <row r="310" spans="1:4">
      <c r="A310" t="s">
        <v>2034</v>
      </c>
      <c r="B310" t="s">
        <v>762</v>
      </c>
      <c r="C310">
        <v>34</v>
      </c>
      <c r="D310">
        <v>25.34</v>
      </c>
    </row>
    <row r="311" spans="1:4">
      <c r="A311" t="s">
        <v>2034</v>
      </c>
      <c r="B311" t="s">
        <v>762</v>
      </c>
      <c r="C311">
        <v>35</v>
      </c>
      <c r="D311">
        <v>24.52</v>
      </c>
    </row>
    <row r="312" spans="1:4">
      <c r="A312" t="s">
        <v>2034</v>
      </c>
      <c r="B312" t="s">
        <v>762</v>
      </c>
      <c r="C312">
        <v>36</v>
      </c>
      <c r="D312">
        <v>23.7</v>
      </c>
    </row>
    <row r="313" spans="1:4">
      <c r="A313" t="s">
        <v>2034</v>
      </c>
      <c r="B313" t="s">
        <v>762</v>
      </c>
      <c r="C313">
        <v>37</v>
      </c>
      <c r="D313">
        <v>22.89</v>
      </c>
    </row>
    <row r="314" spans="1:4">
      <c r="A314" t="s">
        <v>2034</v>
      </c>
      <c r="B314" t="s">
        <v>762</v>
      </c>
      <c r="C314">
        <v>38</v>
      </c>
      <c r="D314">
        <v>22.08</v>
      </c>
    </row>
    <row r="315" spans="1:4">
      <c r="A315" t="s">
        <v>2034</v>
      </c>
      <c r="B315" t="s">
        <v>762</v>
      </c>
      <c r="C315">
        <v>39</v>
      </c>
      <c r="D315">
        <v>21.27</v>
      </c>
    </row>
    <row r="316" spans="1:4">
      <c r="A316" t="s">
        <v>2034</v>
      </c>
      <c r="B316" t="s">
        <v>762</v>
      </c>
      <c r="C316">
        <v>40</v>
      </c>
      <c r="D316">
        <v>20.48</v>
      </c>
    </row>
    <row r="317" spans="1:4">
      <c r="A317" t="s">
        <v>2034</v>
      </c>
      <c r="B317" t="s">
        <v>762</v>
      </c>
      <c r="C317">
        <v>41</v>
      </c>
      <c r="D317">
        <v>19.7</v>
      </c>
    </row>
    <row r="318" spans="1:4">
      <c r="A318" t="s">
        <v>2034</v>
      </c>
      <c r="B318" t="s">
        <v>762</v>
      </c>
      <c r="C318">
        <v>42</v>
      </c>
      <c r="D318">
        <v>18.93</v>
      </c>
    </row>
    <row r="319" spans="1:4">
      <c r="A319" t="s">
        <v>2034</v>
      </c>
      <c r="B319" t="s">
        <v>762</v>
      </c>
      <c r="C319">
        <v>43</v>
      </c>
      <c r="D319">
        <v>18.170000000000002</v>
      </c>
    </row>
    <row r="320" spans="1:4">
      <c r="A320" t="s">
        <v>2034</v>
      </c>
      <c r="B320" t="s">
        <v>762</v>
      </c>
      <c r="C320">
        <v>44</v>
      </c>
      <c r="D320">
        <v>17.41</v>
      </c>
    </row>
    <row r="321" spans="1:4">
      <c r="A321" t="s">
        <v>2034</v>
      </c>
      <c r="B321" t="s">
        <v>762</v>
      </c>
      <c r="C321">
        <v>45</v>
      </c>
      <c r="D321">
        <v>16.670000000000002</v>
      </c>
    </row>
    <row r="322" spans="1:4">
      <c r="A322" t="s">
        <v>2034</v>
      </c>
      <c r="B322" t="s">
        <v>762</v>
      </c>
      <c r="C322">
        <v>46</v>
      </c>
      <c r="D322">
        <v>15.93</v>
      </c>
    </row>
    <row r="323" spans="1:4">
      <c r="A323" t="s">
        <v>2034</v>
      </c>
      <c r="B323" t="s">
        <v>762</v>
      </c>
      <c r="C323">
        <v>47</v>
      </c>
      <c r="D323">
        <v>15.19</v>
      </c>
    </row>
    <row r="324" spans="1:4">
      <c r="A324" t="s">
        <v>2034</v>
      </c>
      <c r="B324" t="s">
        <v>762</v>
      </c>
      <c r="C324">
        <v>48</v>
      </c>
      <c r="D324">
        <v>14.46</v>
      </c>
    </row>
    <row r="325" spans="1:4">
      <c r="A325" t="s">
        <v>2034</v>
      </c>
      <c r="B325" t="s">
        <v>762</v>
      </c>
      <c r="C325">
        <v>49</v>
      </c>
      <c r="D325">
        <v>13.74</v>
      </c>
    </row>
    <row r="326" spans="1:4">
      <c r="A326" t="s">
        <v>2034</v>
      </c>
      <c r="B326" t="s">
        <v>762</v>
      </c>
      <c r="C326">
        <v>50</v>
      </c>
      <c r="D326">
        <v>13.06</v>
      </c>
    </row>
    <row r="327" spans="1:4">
      <c r="A327" t="s">
        <v>2034</v>
      </c>
      <c r="B327" t="s">
        <v>762</v>
      </c>
      <c r="C327">
        <v>51</v>
      </c>
      <c r="D327">
        <v>12.39</v>
      </c>
    </row>
    <row r="328" spans="1:4">
      <c r="A328" t="s">
        <v>2034</v>
      </c>
      <c r="B328" t="s">
        <v>762</v>
      </c>
      <c r="C328">
        <v>52</v>
      </c>
      <c r="D328">
        <v>11.72</v>
      </c>
    </row>
    <row r="329" spans="1:4">
      <c r="A329" t="s">
        <v>2034</v>
      </c>
      <c r="B329" t="s">
        <v>762</v>
      </c>
      <c r="C329">
        <v>53</v>
      </c>
      <c r="D329">
        <v>11.05</v>
      </c>
    </row>
    <row r="330" spans="1:4">
      <c r="A330" t="s">
        <v>2034</v>
      </c>
      <c r="B330" t="s">
        <v>762</v>
      </c>
      <c r="C330">
        <v>54</v>
      </c>
      <c r="D330">
        <v>10.39</v>
      </c>
    </row>
    <row r="331" spans="1:4">
      <c r="A331" t="s">
        <v>2034</v>
      </c>
      <c r="B331" t="s">
        <v>762</v>
      </c>
      <c r="C331">
        <v>55</v>
      </c>
      <c r="D331">
        <v>9.74</v>
      </c>
    </row>
    <row r="332" spans="1:4">
      <c r="A332" t="s">
        <v>2034</v>
      </c>
      <c r="B332" t="s">
        <v>762</v>
      </c>
      <c r="C332">
        <v>56</v>
      </c>
      <c r="D332">
        <v>9.11</v>
      </c>
    </row>
    <row r="333" spans="1:4">
      <c r="A333" t="s">
        <v>2034</v>
      </c>
      <c r="B333" t="s">
        <v>762</v>
      </c>
      <c r="C333">
        <v>57</v>
      </c>
      <c r="D333">
        <v>8.5</v>
      </c>
    </row>
    <row r="334" spans="1:4">
      <c r="A334" t="s">
        <v>2034</v>
      </c>
      <c r="B334" t="s">
        <v>762</v>
      </c>
      <c r="C334">
        <v>58</v>
      </c>
      <c r="D334">
        <v>7.89</v>
      </c>
    </row>
    <row r="335" spans="1:4">
      <c r="A335" t="s">
        <v>2034</v>
      </c>
      <c r="B335" t="s">
        <v>762</v>
      </c>
      <c r="C335">
        <v>59</v>
      </c>
      <c r="D335">
        <v>7.3</v>
      </c>
    </row>
    <row r="336" spans="1:4">
      <c r="A336" t="s">
        <v>2034</v>
      </c>
      <c r="B336" t="s">
        <v>762</v>
      </c>
      <c r="C336">
        <v>60</v>
      </c>
      <c r="D336">
        <v>6.73</v>
      </c>
    </row>
    <row r="337" spans="1:4">
      <c r="A337" t="s">
        <v>2034</v>
      </c>
      <c r="B337" t="s">
        <v>762</v>
      </c>
      <c r="C337">
        <v>61</v>
      </c>
      <c r="D337">
        <v>6.23</v>
      </c>
    </row>
    <row r="338" spans="1:4">
      <c r="A338" t="s">
        <v>2034</v>
      </c>
      <c r="B338" t="s">
        <v>762</v>
      </c>
      <c r="C338">
        <v>62</v>
      </c>
      <c r="D338">
        <v>5.8</v>
      </c>
    </row>
    <row r="339" spans="1:4">
      <c r="A339" t="s">
        <v>2034</v>
      </c>
      <c r="B339" t="s">
        <v>762</v>
      </c>
      <c r="C339">
        <v>63</v>
      </c>
      <c r="D339">
        <v>5.43</v>
      </c>
    </row>
    <row r="340" spans="1:4">
      <c r="A340" t="s">
        <v>2034</v>
      </c>
      <c r="B340" t="s">
        <v>762</v>
      </c>
      <c r="C340">
        <v>64</v>
      </c>
      <c r="D340">
        <v>5.1100000000000003</v>
      </c>
    </row>
    <row r="341" spans="1:4">
      <c r="A341" t="s">
        <v>2034</v>
      </c>
      <c r="B341" t="s">
        <v>762</v>
      </c>
      <c r="C341">
        <v>65</v>
      </c>
      <c r="D341">
        <v>4.82</v>
      </c>
    </row>
    <row r="342" spans="1:4">
      <c r="A342" t="s">
        <v>2034</v>
      </c>
      <c r="B342" t="s">
        <v>762</v>
      </c>
      <c r="C342">
        <v>66</v>
      </c>
      <c r="D342">
        <v>4.57</v>
      </c>
    </row>
    <row r="343" spans="1:4">
      <c r="A343" t="s">
        <v>2034</v>
      </c>
      <c r="B343" t="s">
        <v>762</v>
      </c>
      <c r="C343">
        <v>67</v>
      </c>
      <c r="D343">
        <v>4.3600000000000003</v>
      </c>
    </row>
    <row r="344" spans="1:4">
      <c r="A344" t="s">
        <v>2034</v>
      </c>
      <c r="B344" t="s">
        <v>762</v>
      </c>
      <c r="C344">
        <v>68</v>
      </c>
      <c r="D344">
        <v>4.17</v>
      </c>
    </row>
    <row r="345" spans="1:4">
      <c r="A345" t="s">
        <v>2034</v>
      </c>
      <c r="B345" t="s">
        <v>762</v>
      </c>
      <c r="C345">
        <v>69</v>
      </c>
      <c r="D345">
        <v>3.98</v>
      </c>
    </row>
    <row r="346" spans="1:4">
      <c r="A346" t="s">
        <v>2034</v>
      </c>
      <c r="B346" t="s">
        <v>762</v>
      </c>
      <c r="C346">
        <v>70</v>
      </c>
      <c r="D346">
        <v>3.8</v>
      </c>
    </row>
    <row r="347" spans="1:4">
      <c r="A347" t="s">
        <v>2034</v>
      </c>
      <c r="B347" t="s">
        <v>762</v>
      </c>
      <c r="C347">
        <v>71</v>
      </c>
      <c r="D347">
        <v>3.63</v>
      </c>
    </row>
    <row r="348" spans="1:4">
      <c r="A348" t="s">
        <v>2034</v>
      </c>
      <c r="B348" t="s">
        <v>762</v>
      </c>
      <c r="C348">
        <v>72</v>
      </c>
      <c r="D348">
        <v>3.47</v>
      </c>
    </row>
    <row r="349" spans="1:4">
      <c r="A349" t="s">
        <v>2034</v>
      </c>
      <c r="B349" t="s">
        <v>762</v>
      </c>
      <c r="C349">
        <v>73</v>
      </c>
      <c r="D349">
        <v>3.32</v>
      </c>
    </row>
    <row r="350" spans="1:4">
      <c r="A350" t="s">
        <v>2034</v>
      </c>
      <c r="B350" t="s">
        <v>762</v>
      </c>
      <c r="C350">
        <v>74</v>
      </c>
      <c r="D350">
        <v>3.18</v>
      </c>
    </row>
    <row r="351" spans="1:4">
      <c r="A351" t="s">
        <v>2034</v>
      </c>
      <c r="B351" t="s">
        <v>762</v>
      </c>
      <c r="C351">
        <v>75</v>
      </c>
      <c r="D351">
        <v>3.05</v>
      </c>
    </row>
    <row r="352" spans="1:4">
      <c r="A352" t="s">
        <v>2034</v>
      </c>
      <c r="B352" t="s">
        <v>762</v>
      </c>
      <c r="C352">
        <v>76</v>
      </c>
      <c r="D352">
        <v>2.93</v>
      </c>
    </row>
    <row r="353" spans="1:4">
      <c r="A353" t="s">
        <v>2034</v>
      </c>
      <c r="B353" t="s">
        <v>762</v>
      </c>
      <c r="C353">
        <v>77</v>
      </c>
      <c r="D353">
        <v>2.82</v>
      </c>
    </row>
    <row r="354" spans="1:4">
      <c r="A354" t="s">
        <v>2034</v>
      </c>
      <c r="B354" t="s">
        <v>762</v>
      </c>
      <c r="C354">
        <v>78</v>
      </c>
      <c r="D354">
        <v>2.7</v>
      </c>
    </row>
    <row r="355" spans="1:4">
      <c r="A355" t="s">
        <v>2034</v>
      </c>
      <c r="B355" t="s">
        <v>762</v>
      </c>
      <c r="C355">
        <v>79</v>
      </c>
      <c r="D355">
        <v>2.6</v>
      </c>
    </row>
    <row r="356" spans="1:4">
      <c r="A356" t="s">
        <v>2034</v>
      </c>
      <c r="B356" t="s">
        <v>762</v>
      </c>
      <c r="C356">
        <v>80</v>
      </c>
      <c r="D356">
        <v>2.5</v>
      </c>
    </row>
    <row r="357" spans="1:4">
      <c r="A357" t="s">
        <v>2034</v>
      </c>
      <c r="B357" t="s">
        <v>762</v>
      </c>
      <c r="C357">
        <v>81</v>
      </c>
      <c r="D357">
        <v>2.4</v>
      </c>
    </row>
    <row r="358" spans="1:4">
      <c r="A358" t="s">
        <v>2034</v>
      </c>
      <c r="B358" t="s">
        <v>762</v>
      </c>
      <c r="C358">
        <v>82</v>
      </c>
      <c r="D358">
        <v>2.2999999999999998</v>
      </c>
    </row>
    <row r="359" spans="1:4">
      <c r="A359" t="s">
        <v>2034</v>
      </c>
      <c r="B359" t="s">
        <v>762</v>
      </c>
      <c r="C359">
        <v>83</v>
      </c>
      <c r="D359">
        <v>2.21</v>
      </c>
    </row>
    <row r="360" spans="1:4">
      <c r="A360" t="s">
        <v>2034</v>
      </c>
      <c r="B360" t="s">
        <v>762</v>
      </c>
      <c r="C360">
        <v>84</v>
      </c>
      <c r="D360">
        <v>2.12</v>
      </c>
    </row>
    <row r="361" spans="1:4">
      <c r="A361" t="s">
        <v>2034</v>
      </c>
      <c r="B361" t="s">
        <v>762</v>
      </c>
      <c r="C361">
        <v>85</v>
      </c>
      <c r="D361">
        <v>2.04</v>
      </c>
    </row>
    <row r="362" spans="1:4">
      <c r="A362" t="s">
        <v>2034</v>
      </c>
      <c r="B362" t="s">
        <v>762</v>
      </c>
      <c r="C362">
        <v>86</v>
      </c>
      <c r="D362">
        <v>1.95</v>
      </c>
    </row>
    <row r="363" spans="1:4">
      <c r="A363" t="s">
        <v>2034</v>
      </c>
      <c r="B363" t="s">
        <v>762</v>
      </c>
      <c r="C363">
        <v>87</v>
      </c>
      <c r="D363">
        <v>1.87</v>
      </c>
    </row>
    <row r="364" spans="1:4">
      <c r="A364" t="s">
        <v>2034</v>
      </c>
      <c r="B364" t="s">
        <v>762</v>
      </c>
      <c r="C364">
        <v>88</v>
      </c>
      <c r="D364">
        <v>1.8</v>
      </c>
    </row>
    <row r="365" spans="1:4">
      <c r="A365" t="s">
        <v>2034</v>
      </c>
      <c r="B365" t="s">
        <v>762</v>
      </c>
      <c r="C365">
        <v>89</v>
      </c>
      <c r="D365">
        <v>1.72</v>
      </c>
    </row>
    <row r="366" spans="1:4">
      <c r="A366" t="s">
        <v>2034</v>
      </c>
      <c r="B366" t="s">
        <v>762</v>
      </c>
      <c r="C366">
        <v>90</v>
      </c>
      <c r="D366">
        <v>1.65</v>
      </c>
    </row>
    <row r="367" spans="1:4">
      <c r="A367" t="s">
        <v>2035</v>
      </c>
      <c r="B367" t="s">
        <v>762</v>
      </c>
      <c r="C367">
        <v>20</v>
      </c>
      <c r="D367">
        <v>38.54</v>
      </c>
    </row>
    <row r="368" spans="1:4">
      <c r="A368" t="s">
        <v>2035</v>
      </c>
      <c r="B368" t="s">
        <v>762</v>
      </c>
      <c r="C368">
        <v>21</v>
      </c>
      <c r="D368">
        <v>37.71</v>
      </c>
    </row>
    <row r="369" spans="1:4">
      <c r="A369" t="s">
        <v>2035</v>
      </c>
      <c r="B369" t="s">
        <v>762</v>
      </c>
      <c r="C369">
        <v>22</v>
      </c>
      <c r="D369">
        <v>36.89</v>
      </c>
    </row>
    <row r="370" spans="1:4">
      <c r="A370" t="s">
        <v>2035</v>
      </c>
      <c r="B370" t="s">
        <v>762</v>
      </c>
      <c r="C370">
        <v>23</v>
      </c>
      <c r="D370">
        <v>36.06</v>
      </c>
    </row>
    <row r="371" spans="1:4">
      <c r="A371" t="s">
        <v>2035</v>
      </c>
      <c r="B371" t="s">
        <v>762</v>
      </c>
      <c r="C371">
        <v>24</v>
      </c>
      <c r="D371">
        <v>35.229999999999997</v>
      </c>
    </row>
    <row r="372" spans="1:4">
      <c r="A372" t="s">
        <v>2035</v>
      </c>
      <c r="B372" t="s">
        <v>762</v>
      </c>
      <c r="C372">
        <v>25</v>
      </c>
      <c r="D372">
        <v>34.39</v>
      </c>
    </row>
    <row r="373" spans="1:4">
      <c r="A373" t="s">
        <v>2035</v>
      </c>
      <c r="B373" t="s">
        <v>762</v>
      </c>
      <c r="C373">
        <v>26</v>
      </c>
      <c r="D373">
        <v>33.54</v>
      </c>
    </row>
    <row r="374" spans="1:4">
      <c r="A374" t="s">
        <v>2035</v>
      </c>
      <c r="B374" t="s">
        <v>762</v>
      </c>
      <c r="C374">
        <v>27</v>
      </c>
      <c r="D374">
        <v>32.68</v>
      </c>
    </row>
    <row r="375" spans="1:4">
      <c r="A375" t="s">
        <v>2035</v>
      </c>
      <c r="B375" t="s">
        <v>762</v>
      </c>
      <c r="C375">
        <v>28</v>
      </c>
      <c r="D375">
        <v>31.81</v>
      </c>
    </row>
    <row r="376" spans="1:4">
      <c r="A376" t="s">
        <v>2035</v>
      </c>
      <c r="B376" t="s">
        <v>762</v>
      </c>
      <c r="C376">
        <v>29</v>
      </c>
      <c r="D376">
        <v>30.94</v>
      </c>
    </row>
    <row r="377" spans="1:4">
      <c r="A377" t="s">
        <v>2035</v>
      </c>
      <c r="B377" t="s">
        <v>762</v>
      </c>
      <c r="C377">
        <v>30</v>
      </c>
      <c r="D377">
        <v>30.08</v>
      </c>
    </row>
    <row r="378" spans="1:4">
      <c r="A378" t="s">
        <v>2035</v>
      </c>
      <c r="B378" t="s">
        <v>762</v>
      </c>
      <c r="C378">
        <v>31</v>
      </c>
      <c r="D378">
        <v>29.22</v>
      </c>
    </row>
    <row r="379" spans="1:4">
      <c r="A379" t="s">
        <v>2035</v>
      </c>
      <c r="B379" t="s">
        <v>762</v>
      </c>
      <c r="C379">
        <v>32</v>
      </c>
      <c r="D379">
        <v>28.36</v>
      </c>
    </row>
    <row r="380" spans="1:4">
      <c r="A380" t="s">
        <v>2035</v>
      </c>
      <c r="B380" t="s">
        <v>762</v>
      </c>
      <c r="C380">
        <v>33</v>
      </c>
      <c r="D380">
        <v>27.51</v>
      </c>
    </row>
    <row r="381" spans="1:4">
      <c r="A381" t="s">
        <v>2035</v>
      </c>
      <c r="B381" t="s">
        <v>762</v>
      </c>
      <c r="C381">
        <v>34</v>
      </c>
      <c r="D381">
        <v>26.67</v>
      </c>
    </row>
    <row r="382" spans="1:4">
      <c r="A382" t="s">
        <v>2035</v>
      </c>
      <c r="B382" t="s">
        <v>762</v>
      </c>
      <c r="C382">
        <v>35</v>
      </c>
      <c r="D382">
        <v>25.83</v>
      </c>
    </row>
    <row r="383" spans="1:4">
      <c r="A383" t="s">
        <v>2035</v>
      </c>
      <c r="B383" t="s">
        <v>762</v>
      </c>
      <c r="C383">
        <v>36</v>
      </c>
      <c r="D383">
        <v>25</v>
      </c>
    </row>
    <row r="384" spans="1:4">
      <c r="A384" t="s">
        <v>2035</v>
      </c>
      <c r="B384" t="s">
        <v>762</v>
      </c>
      <c r="C384">
        <v>37</v>
      </c>
      <c r="D384">
        <v>24.16</v>
      </c>
    </row>
    <row r="385" spans="1:4">
      <c r="A385" t="s">
        <v>2035</v>
      </c>
      <c r="B385" t="s">
        <v>762</v>
      </c>
      <c r="C385">
        <v>38</v>
      </c>
      <c r="D385">
        <v>23.32</v>
      </c>
    </row>
    <row r="386" spans="1:4">
      <c r="A386" t="s">
        <v>2035</v>
      </c>
      <c r="B386" t="s">
        <v>762</v>
      </c>
      <c r="C386">
        <v>39</v>
      </c>
      <c r="D386">
        <v>22.48</v>
      </c>
    </row>
    <row r="387" spans="1:4">
      <c r="A387" t="s">
        <v>2035</v>
      </c>
      <c r="B387" t="s">
        <v>762</v>
      </c>
      <c r="C387">
        <v>40</v>
      </c>
      <c r="D387">
        <v>21.63</v>
      </c>
    </row>
    <row r="388" spans="1:4">
      <c r="A388" t="s">
        <v>2035</v>
      </c>
      <c r="B388" t="s">
        <v>762</v>
      </c>
      <c r="C388">
        <v>41</v>
      </c>
      <c r="D388">
        <v>20.78</v>
      </c>
    </row>
    <row r="389" spans="1:4">
      <c r="A389" t="s">
        <v>2035</v>
      </c>
      <c r="B389" t="s">
        <v>762</v>
      </c>
      <c r="C389">
        <v>42</v>
      </c>
      <c r="D389">
        <v>19.940000000000001</v>
      </c>
    </row>
    <row r="390" spans="1:4">
      <c r="A390" t="s">
        <v>2035</v>
      </c>
      <c r="B390" t="s">
        <v>762</v>
      </c>
      <c r="C390">
        <v>43</v>
      </c>
      <c r="D390">
        <v>19.100000000000001</v>
      </c>
    </row>
    <row r="391" spans="1:4">
      <c r="A391" t="s">
        <v>2035</v>
      </c>
      <c r="B391" t="s">
        <v>762</v>
      </c>
      <c r="C391">
        <v>44</v>
      </c>
      <c r="D391">
        <v>18.27</v>
      </c>
    </row>
    <row r="392" spans="1:4">
      <c r="A392" t="s">
        <v>2035</v>
      </c>
      <c r="B392" t="s">
        <v>762</v>
      </c>
      <c r="C392">
        <v>45</v>
      </c>
      <c r="D392">
        <v>17.440000000000001</v>
      </c>
    </row>
    <row r="393" spans="1:4">
      <c r="A393" t="s">
        <v>2035</v>
      </c>
      <c r="B393" t="s">
        <v>762</v>
      </c>
      <c r="C393">
        <v>46</v>
      </c>
      <c r="D393">
        <v>16.63</v>
      </c>
    </row>
    <row r="394" spans="1:4">
      <c r="A394" t="s">
        <v>2035</v>
      </c>
      <c r="B394" t="s">
        <v>762</v>
      </c>
      <c r="C394">
        <v>47</v>
      </c>
      <c r="D394">
        <v>15.84</v>
      </c>
    </row>
    <row r="395" spans="1:4">
      <c r="A395" t="s">
        <v>2035</v>
      </c>
      <c r="B395" t="s">
        <v>762</v>
      </c>
      <c r="C395">
        <v>48</v>
      </c>
      <c r="D395">
        <v>15.06</v>
      </c>
    </row>
    <row r="396" spans="1:4">
      <c r="A396" t="s">
        <v>2035</v>
      </c>
      <c r="B396" t="s">
        <v>762</v>
      </c>
      <c r="C396">
        <v>49</v>
      </c>
      <c r="D396">
        <v>14.32</v>
      </c>
    </row>
    <row r="397" spans="1:4">
      <c r="A397" t="s">
        <v>2035</v>
      </c>
      <c r="B397" t="s">
        <v>762</v>
      </c>
      <c r="C397">
        <v>50</v>
      </c>
      <c r="D397">
        <v>13.59</v>
      </c>
    </row>
    <row r="398" spans="1:4">
      <c r="A398" t="s">
        <v>2035</v>
      </c>
      <c r="B398" t="s">
        <v>762</v>
      </c>
      <c r="C398">
        <v>51</v>
      </c>
      <c r="D398">
        <v>12.89</v>
      </c>
    </row>
    <row r="399" spans="1:4">
      <c r="A399" t="s">
        <v>2035</v>
      </c>
      <c r="B399" t="s">
        <v>762</v>
      </c>
      <c r="C399">
        <v>52</v>
      </c>
      <c r="D399">
        <v>12.19</v>
      </c>
    </row>
    <row r="400" spans="1:4">
      <c r="A400" t="s">
        <v>2035</v>
      </c>
      <c r="B400" t="s">
        <v>762</v>
      </c>
      <c r="C400">
        <v>53</v>
      </c>
      <c r="D400">
        <v>11.5</v>
      </c>
    </row>
    <row r="401" spans="1:4">
      <c r="A401" t="s">
        <v>2035</v>
      </c>
      <c r="B401" t="s">
        <v>762</v>
      </c>
      <c r="C401">
        <v>54</v>
      </c>
      <c r="D401">
        <v>10.82</v>
      </c>
    </row>
    <row r="402" spans="1:4">
      <c r="A402" t="s">
        <v>2035</v>
      </c>
      <c r="B402" t="s">
        <v>762</v>
      </c>
      <c r="C402">
        <v>55</v>
      </c>
      <c r="D402">
        <v>10.16</v>
      </c>
    </row>
    <row r="403" spans="1:4">
      <c r="A403" t="s">
        <v>2035</v>
      </c>
      <c r="B403" t="s">
        <v>762</v>
      </c>
      <c r="C403">
        <v>56</v>
      </c>
      <c r="D403">
        <v>9.52</v>
      </c>
    </row>
    <row r="404" spans="1:4">
      <c r="A404" t="s">
        <v>2035</v>
      </c>
      <c r="B404" t="s">
        <v>762</v>
      </c>
      <c r="C404">
        <v>57</v>
      </c>
      <c r="D404">
        <v>8.9</v>
      </c>
    </row>
    <row r="405" spans="1:4">
      <c r="A405" t="s">
        <v>2035</v>
      </c>
      <c r="B405" t="s">
        <v>762</v>
      </c>
      <c r="C405">
        <v>58</v>
      </c>
      <c r="D405">
        <v>8.3000000000000007</v>
      </c>
    </row>
    <row r="406" spans="1:4">
      <c r="A406" t="s">
        <v>2035</v>
      </c>
      <c r="B406" t="s">
        <v>762</v>
      </c>
      <c r="C406">
        <v>59</v>
      </c>
      <c r="D406">
        <v>7.71</v>
      </c>
    </row>
    <row r="407" spans="1:4">
      <c r="A407" t="s">
        <v>2035</v>
      </c>
      <c r="B407" t="s">
        <v>762</v>
      </c>
      <c r="C407">
        <v>60</v>
      </c>
      <c r="D407">
        <v>7.15</v>
      </c>
    </row>
    <row r="408" spans="1:4">
      <c r="A408" t="s">
        <v>2035</v>
      </c>
      <c r="B408" t="s">
        <v>762</v>
      </c>
      <c r="C408">
        <v>61</v>
      </c>
      <c r="D408">
        <v>6.63</v>
      </c>
    </row>
    <row r="409" spans="1:4">
      <c r="A409" t="s">
        <v>2035</v>
      </c>
      <c r="B409" t="s">
        <v>762</v>
      </c>
      <c r="C409">
        <v>62</v>
      </c>
      <c r="D409">
        <v>6.16</v>
      </c>
    </row>
    <row r="410" spans="1:4">
      <c r="A410" t="s">
        <v>2035</v>
      </c>
      <c r="B410" t="s">
        <v>762</v>
      </c>
      <c r="C410">
        <v>63</v>
      </c>
      <c r="D410">
        <v>5.73</v>
      </c>
    </row>
    <row r="411" spans="1:4">
      <c r="A411" t="s">
        <v>2035</v>
      </c>
      <c r="B411" t="s">
        <v>762</v>
      </c>
      <c r="C411">
        <v>64</v>
      </c>
      <c r="D411">
        <v>5.35</v>
      </c>
    </row>
    <row r="412" spans="1:4">
      <c r="A412" t="s">
        <v>2035</v>
      </c>
      <c r="B412" t="s">
        <v>762</v>
      </c>
      <c r="C412">
        <v>65</v>
      </c>
      <c r="D412">
        <v>5.0199999999999996</v>
      </c>
    </row>
    <row r="413" spans="1:4">
      <c r="A413" t="s">
        <v>2035</v>
      </c>
      <c r="B413" t="s">
        <v>762</v>
      </c>
      <c r="C413">
        <v>66</v>
      </c>
      <c r="D413">
        <v>4.71</v>
      </c>
    </row>
    <row r="414" spans="1:4">
      <c r="A414" t="s">
        <v>2035</v>
      </c>
      <c r="B414" t="s">
        <v>762</v>
      </c>
      <c r="C414">
        <v>67</v>
      </c>
      <c r="D414">
        <v>4.43</v>
      </c>
    </row>
    <row r="415" spans="1:4">
      <c r="A415" t="s">
        <v>2035</v>
      </c>
      <c r="B415" t="s">
        <v>762</v>
      </c>
      <c r="C415">
        <v>68</v>
      </c>
      <c r="D415">
        <v>4.16</v>
      </c>
    </row>
    <row r="416" spans="1:4">
      <c r="A416" t="s">
        <v>2035</v>
      </c>
      <c r="B416" t="s">
        <v>762</v>
      </c>
      <c r="C416">
        <v>69</v>
      </c>
      <c r="D416">
        <v>3.92</v>
      </c>
    </row>
    <row r="417" spans="1:4">
      <c r="A417" t="s">
        <v>2035</v>
      </c>
      <c r="B417" t="s">
        <v>762</v>
      </c>
      <c r="C417">
        <v>70</v>
      </c>
      <c r="D417">
        <v>3.7</v>
      </c>
    </row>
    <row r="418" spans="1:4">
      <c r="A418" t="s">
        <v>2035</v>
      </c>
      <c r="B418" t="s">
        <v>762</v>
      </c>
      <c r="C418">
        <v>71</v>
      </c>
      <c r="D418">
        <v>3.51</v>
      </c>
    </row>
    <row r="419" spans="1:4">
      <c r="A419" t="s">
        <v>2035</v>
      </c>
      <c r="B419" t="s">
        <v>762</v>
      </c>
      <c r="C419">
        <v>72</v>
      </c>
      <c r="D419">
        <v>3.33</v>
      </c>
    </row>
    <row r="420" spans="1:4">
      <c r="A420" t="s">
        <v>2035</v>
      </c>
      <c r="B420" t="s">
        <v>762</v>
      </c>
      <c r="C420">
        <v>73</v>
      </c>
      <c r="D420">
        <v>3.16</v>
      </c>
    </row>
    <row r="421" spans="1:4">
      <c r="A421" t="s">
        <v>2035</v>
      </c>
      <c r="B421" t="s">
        <v>762</v>
      </c>
      <c r="C421">
        <v>74</v>
      </c>
      <c r="D421">
        <v>3.01</v>
      </c>
    </row>
    <row r="422" spans="1:4">
      <c r="A422" t="s">
        <v>2035</v>
      </c>
      <c r="B422" t="s">
        <v>762</v>
      </c>
      <c r="C422">
        <v>75</v>
      </c>
      <c r="D422">
        <v>2.87</v>
      </c>
    </row>
    <row r="423" spans="1:4">
      <c r="A423" t="s">
        <v>2035</v>
      </c>
      <c r="B423" t="s">
        <v>762</v>
      </c>
      <c r="C423">
        <v>76</v>
      </c>
      <c r="D423">
        <v>2.74</v>
      </c>
    </row>
    <row r="424" spans="1:4">
      <c r="A424" t="s">
        <v>2035</v>
      </c>
      <c r="B424" t="s">
        <v>762</v>
      </c>
      <c r="C424">
        <v>77</v>
      </c>
      <c r="D424">
        <v>2.61</v>
      </c>
    </row>
    <row r="425" spans="1:4">
      <c r="A425" t="s">
        <v>2035</v>
      </c>
      <c r="B425" t="s">
        <v>762</v>
      </c>
      <c r="C425">
        <v>78</v>
      </c>
      <c r="D425">
        <v>2.4900000000000002</v>
      </c>
    </row>
    <row r="426" spans="1:4">
      <c r="A426" t="s">
        <v>2035</v>
      </c>
      <c r="B426" t="s">
        <v>762</v>
      </c>
      <c r="C426">
        <v>79</v>
      </c>
      <c r="D426">
        <v>2.37</v>
      </c>
    </row>
    <row r="427" spans="1:4">
      <c r="A427" t="s">
        <v>2035</v>
      </c>
      <c r="B427" t="s">
        <v>762</v>
      </c>
      <c r="C427">
        <v>80</v>
      </c>
      <c r="D427">
        <v>2.2599999999999998</v>
      </c>
    </row>
    <row r="428" spans="1:4">
      <c r="A428" t="s">
        <v>2035</v>
      </c>
      <c r="B428" t="s">
        <v>762</v>
      </c>
      <c r="C428">
        <v>81</v>
      </c>
      <c r="D428">
        <v>2.16</v>
      </c>
    </row>
    <row r="429" spans="1:4">
      <c r="A429" t="s">
        <v>2035</v>
      </c>
      <c r="B429" t="s">
        <v>762</v>
      </c>
      <c r="C429">
        <v>82</v>
      </c>
      <c r="D429">
        <v>2.06</v>
      </c>
    </row>
    <row r="430" spans="1:4">
      <c r="A430" t="s">
        <v>2035</v>
      </c>
      <c r="B430" t="s">
        <v>762</v>
      </c>
      <c r="C430">
        <v>83</v>
      </c>
      <c r="D430">
        <v>1.97</v>
      </c>
    </row>
    <row r="431" spans="1:4">
      <c r="A431" t="s">
        <v>2035</v>
      </c>
      <c r="B431" t="s">
        <v>762</v>
      </c>
      <c r="C431">
        <v>84</v>
      </c>
      <c r="D431">
        <v>1.89</v>
      </c>
    </row>
    <row r="432" spans="1:4">
      <c r="A432" t="s">
        <v>2035</v>
      </c>
      <c r="B432" t="s">
        <v>762</v>
      </c>
      <c r="C432">
        <v>85</v>
      </c>
      <c r="D432">
        <v>1.81</v>
      </c>
    </row>
    <row r="433" spans="1:4">
      <c r="A433" t="s">
        <v>2035</v>
      </c>
      <c r="B433" t="s">
        <v>762</v>
      </c>
      <c r="C433">
        <v>86</v>
      </c>
      <c r="D433">
        <v>1.73</v>
      </c>
    </row>
    <row r="434" spans="1:4">
      <c r="A434" t="s">
        <v>2035</v>
      </c>
      <c r="B434" t="s">
        <v>762</v>
      </c>
      <c r="C434">
        <v>87</v>
      </c>
      <c r="D434">
        <v>1.66</v>
      </c>
    </row>
    <row r="435" spans="1:4">
      <c r="A435" t="s">
        <v>2035</v>
      </c>
      <c r="B435" t="s">
        <v>762</v>
      </c>
      <c r="C435">
        <v>88</v>
      </c>
      <c r="D435">
        <v>1.59</v>
      </c>
    </row>
    <row r="436" spans="1:4">
      <c r="A436" t="s">
        <v>2035</v>
      </c>
      <c r="B436" t="s">
        <v>762</v>
      </c>
      <c r="C436">
        <v>89</v>
      </c>
      <c r="D436">
        <v>1.52</v>
      </c>
    </row>
    <row r="437" spans="1:4">
      <c r="A437" t="s">
        <v>2035</v>
      </c>
      <c r="B437" t="s">
        <v>762</v>
      </c>
      <c r="C437">
        <v>90</v>
      </c>
      <c r="D437">
        <v>1.46</v>
      </c>
    </row>
    <row r="438" spans="1:4">
      <c r="A438" t="s">
        <v>2036</v>
      </c>
      <c r="B438" t="s">
        <v>762</v>
      </c>
      <c r="C438">
        <v>21</v>
      </c>
      <c r="D438">
        <v>39.85</v>
      </c>
    </row>
    <row r="439" spans="1:4">
      <c r="A439" t="s">
        <v>2036</v>
      </c>
      <c r="B439" t="s">
        <v>762</v>
      </c>
      <c r="C439">
        <v>22</v>
      </c>
      <c r="D439">
        <v>38.94</v>
      </c>
    </row>
    <row r="440" spans="1:4">
      <c r="A440" t="s">
        <v>2036</v>
      </c>
      <c r="B440" t="s">
        <v>762</v>
      </c>
      <c r="C440">
        <v>23</v>
      </c>
      <c r="D440">
        <v>38.04</v>
      </c>
    </row>
    <row r="441" spans="1:4">
      <c r="A441" t="s">
        <v>2036</v>
      </c>
      <c r="B441" t="s">
        <v>762</v>
      </c>
      <c r="C441">
        <v>24</v>
      </c>
      <c r="D441">
        <v>37.14</v>
      </c>
    </row>
    <row r="442" spans="1:4">
      <c r="A442" t="s">
        <v>2036</v>
      </c>
      <c r="B442" t="s">
        <v>762</v>
      </c>
      <c r="C442">
        <v>25</v>
      </c>
      <c r="D442">
        <v>36.229999999999997</v>
      </c>
    </row>
    <row r="443" spans="1:4">
      <c r="A443" t="s">
        <v>2036</v>
      </c>
      <c r="B443" t="s">
        <v>762</v>
      </c>
      <c r="C443">
        <v>26</v>
      </c>
      <c r="D443">
        <v>35.33</v>
      </c>
    </row>
    <row r="444" spans="1:4">
      <c r="A444" t="s">
        <v>2036</v>
      </c>
      <c r="B444" t="s">
        <v>762</v>
      </c>
      <c r="C444">
        <v>27</v>
      </c>
      <c r="D444">
        <v>34.42</v>
      </c>
    </row>
    <row r="445" spans="1:4">
      <c r="A445" t="s">
        <v>2036</v>
      </c>
      <c r="B445" t="s">
        <v>762</v>
      </c>
      <c r="C445">
        <v>28</v>
      </c>
      <c r="D445">
        <v>33.51</v>
      </c>
    </row>
    <row r="446" spans="1:4">
      <c r="A446" t="s">
        <v>2036</v>
      </c>
      <c r="B446" t="s">
        <v>762</v>
      </c>
      <c r="C446">
        <v>29</v>
      </c>
      <c r="D446">
        <v>32.61</v>
      </c>
    </row>
    <row r="447" spans="1:4">
      <c r="A447" t="s">
        <v>2036</v>
      </c>
      <c r="B447" t="s">
        <v>762</v>
      </c>
      <c r="C447">
        <v>30</v>
      </c>
      <c r="D447">
        <v>31.7</v>
      </c>
    </row>
    <row r="448" spans="1:4">
      <c r="A448" t="s">
        <v>2036</v>
      </c>
      <c r="B448" t="s">
        <v>762</v>
      </c>
      <c r="C448">
        <v>31</v>
      </c>
      <c r="D448">
        <v>30.8</v>
      </c>
    </row>
    <row r="449" spans="1:4">
      <c r="A449" t="s">
        <v>2036</v>
      </c>
      <c r="B449" t="s">
        <v>762</v>
      </c>
      <c r="C449">
        <v>32</v>
      </c>
      <c r="D449">
        <v>29.89</v>
      </c>
    </row>
    <row r="450" spans="1:4">
      <c r="A450" t="s">
        <v>2036</v>
      </c>
      <c r="B450" t="s">
        <v>762</v>
      </c>
      <c r="C450">
        <v>33</v>
      </c>
      <c r="D450">
        <v>28.99</v>
      </c>
    </row>
    <row r="451" spans="1:4">
      <c r="A451" t="s">
        <v>2036</v>
      </c>
      <c r="B451" t="s">
        <v>762</v>
      </c>
      <c r="C451">
        <v>34</v>
      </c>
      <c r="D451">
        <v>28.09</v>
      </c>
    </row>
    <row r="452" spans="1:4">
      <c r="A452" t="s">
        <v>2036</v>
      </c>
      <c r="B452" t="s">
        <v>762</v>
      </c>
      <c r="C452">
        <v>35</v>
      </c>
      <c r="D452">
        <v>27.19</v>
      </c>
    </row>
    <row r="453" spans="1:4">
      <c r="A453" t="s">
        <v>2036</v>
      </c>
      <c r="B453" t="s">
        <v>762</v>
      </c>
      <c r="C453">
        <v>36</v>
      </c>
      <c r="D453">
        <v>26.29</v>
      </c>
    </row>
    <row r="454" spans="1:4">
      <c r="A454" t="s">
        <v>2036</v>
      </c>
      <c r="B454" t="s">
        <v>762</v>
      </c>
      <c r="C454">
        <v>37</v>
      </c>
      <c r="D454">
        <v>25.39</v>
      </c>
    </row>
    <row r="455" spans="1:4">
      <c r="A455" t="s">
        <v>2036</v>
      </c>
      <c r="B455" t="s">
        <v>762</v>
      </c>
      <c r="C455">
        <v>38</v>
      </c>
      <c r="D455">
        <v>24.5</v>
      </c>
    </row>
    <row r="456" spans="1:4">
      <c r="A456" t="s">
        <v>2036</v>
      </c>
      <c r="B456" t="s">
        <v>762</v>
      </c>
      <c r="C456">
        <v>39</v>
      </c>
      <c r="D456">
        <v>23.6</v>
      </c>
    </row>
    <row r="457" spans="1:4">
      <c r="A457" t="s">
        <v>2036</v>
      </c>
      <c r="B457" t="s">
        <v>762</v>
      </c>
      <c r="C457">
        <v>40</v>
      </c>
      <c r="D457">
        <v>22.72</v>
      </c>
    </row>
    <row r="458" spans="1:4">
      <c r="A458" t="s">
        <v>2036</v>
      </c>
      <c r="B458" t="s">
        <v>762</v>
      </c>
      <c r="C458">
        <v>41</v>
      </c>
      <c r="D458">
        <v>21.83</v>
      </c>
    </row>
    <row r="459" spans="1:4">
      <c r="A459" t="s">
        <v>2036</v>
      </c>
      <c r="B459" t="s">
        <v>762</v>
      </c>
      <c r="C459">
        <v>42</v>
      </c>
      <c r="D459">
        <v>20.96</v>
      </c>
    </row>
    <row r="460" spans="1:4">
      <c r="A460" t="s">
        <v>2036</v>
      </c>
      <c r="B460" t="s">
        <v>762</v>
      </c>
      <c r="C460">
        <v>43</v>
      </c>
      <c r="D460">
        <v>20.09</v>
      </c>
    </row>
    <row r="461" spans="1:4">
      <c r="A461" t="s">
        <v>2036</v>
      </c>
      <c r="B461" t="s">
        <v>762</v>
      </c>
      <c r="C461">
        <v>44</v>
      </c>
      <c r="D461">
        <v>19.23</v>
      </c>
    </row>
    <row r="462" spans="1:4">
      <c r="A462" t="s">
        <v>2036</v>
      </c>
      <c r="B462" t="s">
        <v>762</v>
      </c>
      <c r="C462">
        <v>45</v>
      </c>
      <c r="D462">
        <v>18.38</v>
      </c>
    </row>
    <row r="463" spans="1:4">
      <c r="A463" t="s">
        <v>2036</v>
      </c>
      <c r="B463" t="s">
        <v>762</v>
      </c>
      <c r="C463">
        <v>46</v>
      </c>
      <c r="D463">
        <v>17.54</v>
      </c>
    </row>
    <row r="464" spans="1:4">
      <c r="A464" t="s">
        <v>2036</v>
      </c>
      <c r="B464" t="s">
        <v>762</v>
      </c>
      <c r="C464">
        <v>47</v>
      </c>
      <c r="D464">
        <v>16.71</v>
      </c>
    </row>
    <row r="465" spans="1:4">
      <c r="A465" t="s">
        <v>2036</v>
      </c>
      <c r="B465" t="s">
        <v>762</v>
      </c>
      <c r="C465">
        <v>48</v>
      </c>
      <c r="D465">
        <v>15.89</v>
      </c>
    </row>
    <row r="466" spans="1:4">
      <c r="A466" t="s">
        <v>2036</v>
      </c>
      <c r="B466" t="s">
        <v>762</v>
      </c>
      <c r="C466">
        <v>49</v>
      </c>
      <c r="D466">
        <v>15.08</v>
      </c>
    </row>
    <row r="467" spans="1:4">
      <c r="A467" t="s">
        <v>2036</v>
      </c>
      <c r="B467" t="s">
        <v>762</v>
      </c>
      <c r="C467">
        <v>50</v>
      </c>
      <c r="D467">
        <v>14.27</v>
      </c>
    </row>
    <row r="468" spans="1:4">
      <c r="A468" t="s">
        <v>2036</v>
      </c>
      <c r="B468" t="s">
        <v>762</v>
      </c>
      <c r="C468">
        <v>51</v>
      </c>
      <c r="D468">
        <v>13.46</v>
      </c>
    </row>
    <row r="469" spans="1:4">
      <c r="A469" t="s">
        <v>2036</v>
      </c>
      <c r="B469" t="s">
        <v>762</v>
      </c>
      <c r="C469">
        <v>52</v>
      </c>
      <c r="D469">
        <v>12.64</v>
      </c>
    </row>
    <row r="470" spans="1:4">
      <c r="A470" t="s">
        <v>2036</v>
      </c>
      <c r="B470" t="s">
        <v>762</v>
      </c>
      <c r="C470">
        <v>53</v>
      </c>
      <c r="D470">
        <v>11.85</v>
      </c>
    </row>
    <row r="471" spans="1:4">
      <c r="A471" t="s">
        <v>2036</v>
      </c>
      <c r="B471" t="s">
        <v>762</v>
      </c>
      <c r="C471">
        <v>54</v>
      </c>
      <c r="D471">
        <v>11.09</v>
      </c>
    </row>
    <row r="472" spans="1:4">
      <c r="A472" t="s">
        <v>2036</v>
      </c>
      <c r="B472" t="s">
        <v>762</v>
      </c>
      <c r="C472">
        <v>55</v>
      </c>
      <c r="D472">
        <v>10.36</v>
      </c>
    </row>
    <row r="473" spans="1:4">
      <c r="A473" t="s">
        <v>2036</v>
      </c>
      <c r="B473" t="s">
        <v>762</v>
      </c>
      <c r="C473">
        <v>56</v>
      </c>
      <c r="D473">
        <v>9.64</v>
      </c>
    </row>
    <row r="474" spans="1:4">
      <c r="A474" t="s">
        <v>2036</v>
      </c>
      <c r="B474" t="s">
        <v>762</v>
      </c>
      <c r="C474">
        <v>57</v>
      </c>
      <c r="D474">
        <v>8.93</v>
      </c>
    </row>
    <row r="475" spans="1:4">
      <c r="A475" t="s">
        <v>2036</v>
      </c>
      <c r="B475" t="s">
        <v>762</v>
      </c>
      <c r="C475">
        <v>58</v>
      </c>
      <c r="D475">
        <v>8.23</v>
      </c>
    </row>
    <row r="476" spans="1:4">
      <c r="A476" t="s">
        <v>2036</v>
      </c>
      <c r="B476" t="s">
        <v>762</v>
      </c>
      <c r="C476">
        <v>59</v>
      </c>
      <c r="D476">
        <v>7.56</v>
      </c>
    </row>
    <row r="477" spans="1:4">
      <c r="A477" t="s">
        <v>2036</v>
      </c>
      <c r="B477" t="s">
        <v>762</v>
      </c>
      <c r="C477">
        <v>60</v>
      </c>
      <c r="D477">
        <v>6.92</v>
      </c>
    </row>
    <row r="478" spans="1:4">
      <c r="A478" t="s">
        <v>2036</v>
      </c>
      <c r="B478" t="s">
        <v>762</v>
      </c>
      <c r="C478">
        <v>61</v>
      </c>
      <c r="D478">
        <v>6.34</v>
      </c>
    </row>
    <row r="479" spans="1:4">
      <c r="A479" t="s">
        <v>2036</v>
      </c>
      <c r="B479" t="s">
        <v>762</v>
      </c>
      <c r="C479">
        <v>62</v>
      </c>
      <c r="D479">
        <v>5.83</v>
      </c>
    </row>
    <row r="480" spans="1:4">
      <c r="A480" t="s">
        <v>2036</v>
      </c>
      <c r="B480" t="s">
        <v>762</v>
      </c>
      <c r="C480">
        <v>63</v>
      </c>
      <c r="D480">
        <v>5.38</v>
      </c>
    </row>
    <row r="481" spans="1:4">
      <c r="A481" t="s">
        <v>2036</v>
      </c>
      <c r="B481" t="s">
        <v>762</v>
      </c>
      <c r="C481">
        <v>64</v>
      </c>
      <c r="D481">
        <v>4.99</v>
      </c>
    </row>
    <row r="482" spans="1:4">
      <c r="A482" t="s">
        <v>2036</v>
      </c>
      <c r="B482" t="s">
        <v>762</v>
      </c>
      <c r="C482">
        <v>65</v>
      </c>
      <c r="D482">
        <v>4.6500000000000004</v>
      </c>
    </row>
    <row r="483" spans="1:4">
      <c r="A483" t="s">
        <v>2036</v>
      </c>
      <c r="B483" t="s">
        <v>762</v>
      </c>
      <c r="C483">
        <v>66</v>
      </c>
      <c r="D483">
        <v>4.3600000000000003</v>
      </c>
    </row>
    <row r="484" spans="1:4">
      <c r="A484" t="s">
        <v>2036</v>
      </c>
      <c r="B484" t="s">
        <v>762</v>
      </c>
      <c r="C484">
        <v>67</v>
      </c>
      <c r="D484">
        <v>4.0999999999999996</v>
      </c>
    </row>
    <row r="485" spans="1:4">
      <c r="A485" t="s">
        <v>2036</v>
      </c>
      <c r="B485" t="s">
        <v>762</v>
      </c>
      <c r="C485">
        <v>68</v>
      </c>
      <c r="D485">
        <v>3.87</v>
      </c>
    </row>
    <row r="486" spans="1:4">
      <c r="A486" t="s">
        <v>2036</v>
      </c>
      <c r="B486" t="s">
        <v>762</v>
      </c>
      <c r="C486">
        <v>69</v>
      </c>
      <c r="D486">
        <v>3.64</v>
      </c>
    </row>
    <row r="487" spans="1:4">
      <c r="A487" t="s">
        <v>2036</v>
      </c>
      <c r="B487" t="s">
        <v>762</v>
      </c>
      <c r="C487">
        <v>70</v>
      </c>
      <c r="D487">
        <v>3.44</v>
      </c>
    </row>
    <row r="488" spans="1:4">
      <c r="A488" t="s">
        <v>2036</v>
      </c>
      <c r="B488" t="s">
        <v>762</v>
      </c>
      <c r="C488">
        <v>71</v>
      </c>
      <c r="D488">
        <v>3.24</v>
      </c>
    </row>
    <row r="489" spans="1:4">
      <c r="A489" t="s">
        <v>2036</v>
      </c>
      <c r="B489" t="s">
        <v>762</v>
      </c>
      <c r="C489">
        <v>72</v>
      </c>
      <c r="D489">
        <v>3.06</v>
      </c>
    </row>
    <row r="490" spans="1:4">
      <c r="A490" t="s">
        <v>2036</v>
      </c>
      <c r="B490" t="s">
        <v>762</v>
      </c>
      <c r="C490">
        <v>73</v>
      </c>
      <c r="D490">
        <v>2.9</v>
      </c>
    </row>
    <row r="491" spans="1:4">
      <c r="A491" t="s">
        <v>2036</v>
      </c>
      <c r="B491" t="s">
        <v>762</v>
      </c>
      <c r="C491">
        <v>74</v>
      </c>
      <c r="D491">
        <v>2.74</v>
      </c>
    </row>
    <row r="492" spans="1:4">
      <c r="A492" t="s">
        <v>2036</v>
      </c>
      <c r="B492" t="s">
        <v>762</v>
      </c>
      <c r="C492">
        <v>75</v>
      </c>
      <c r="D492">
        <v>2.6</v>
      </c>
    </row>
    <row r="493" spans="1:4">
      <c r="A493" t="s">
        <v>2036</v>
      </c>
      <c r="B493" t="s">
        <v>762</v>
      </c>
      <c r="C493">
        <v>76</v>
      </c>
      <c r="D493">
        <v>2.48</v>
      </c>
    </row>
    <row r="494" spans="1:4">
      <c r="A494" t="s">
        <v>2036</v>
      </c>
      <c r="B494" t="s">
        <v>762</v>
      </c>
      <c r="C494">
        <v>77</v>
      </c>
      <c r="D494">
        <v>2.36</v>
      </c>
    </row>
    <row r="495" spans="1:4">
      <c r="A495" t="s">
        <v>2036</v>
      </c>
      <c r="B495" t="s">
        <v>762</v>
      </c>
      <c r="C495">
        <v>78</v>
      </c>
      <c r="D495">
        <v>2.25</v>
      </c>
    </row>
    <row r="496" spans="1:4">
      <c r="A496" t="s">
        <v>2036</v>
      </c>
      <c r="B496" t="s">
        <v>762</v>
      </c>
      <c r="C496">
        <v>79</v>
      </c>
      <c r="D496">
        <v>2.16</v>
      </c>
    </row>
    <row r="497" spans="1:4">
      <c r="A497" t="s">
        <v>2036</v>
      </c>
      <c r="B497" t="s">
        <v>762</v>
      </c>
      <c r="C497">
        <v>80</v>
      </c>
      <c r="D497">
        <v>2.0699999999999998</v>
      </c>
    </row>
    <row r="498" spans="1:4">
      <c r="A498" t="s">
        <v>2036</v>
      </c>
      <c r="B498" t="s">
        <v>762</v>
      </c>
      <c r="C498">
        <v>81</v>
      </c>
      <c r="D498">
        <v>1.98</v>
      </c>
    </row>
    <row r="499" spans="1:4">
      <c r="A499" t="s">
        <v>2036</v>
      </c>
      <c r="B499" t="s">
        <v>762</v>
      </c>
      <c r="C499">
        <v>82</v>
      </c>
      <c r="D499">
        <v>1.91</v>
      </c>
    </row>
    <row r="500" spans="1:4">
      <c r="A500" t="s">
        <v>2036</v>
      </c>
      <c r="B500" t="s">
        <v>762</v>
      </c>
      <c r="C500">
        <v>83</v>
      </c>
      <c r="D500">
        <v>1.83</v>
      </c>
    </row>
    <row r="501" spans="1:4">
      <c r="A501" t="s">
        <v>2036</v>
      </c>
      <c r="B501" t="s">
        <v>762</v>
      </c>
      <c r="C501">
        <v>84</v>
      </c>
      <c r="D501">
        <v>1.76</v>
      </c>
    </row>
    <row r="502" spans="1:4">
      <c r="A502" t="s">
        <v>2036</v>
      </c>
      <c r="B502" t="s">
        <v>762</v>
      </c>
      <c r="C502">
        <v>85</v>
      </c>
      <c r="D502">
        <v>1.68</v>
      </c>
    </row>
    <row r="503" spans="1:4">
      <c r="A503" t="s">
        <v>2036</v>
      </c>
      <c r="B503" t="s">
        <v>762</v>
      </c>
      <c r="C503">
        <v>86</v>
      </c>
      <c r="D503">
        <v>1.61</v>
      </c>
    </row>
    <row r="504" spans="1:4">
      <c r="A504" t="s">
        <v>2036</v>
      </c>
      <c r="B504" t="s">
        <v>762</v>
      </c>
      <c r="C504">
        <v>87</v>
      </c>
      <c r="D504">
        <v>1.54</v>
      </c>
    </row>
    <row r="505" spans="1:4">
      <c r="A505" t="s">
        <v>2036</v>
      </c>
      <c r="B505" t="s">
        <v>762</v>
      </c>
      <c r="C505">
        <v>88</v>
      </c>
      <c r="D505">
        <v>1.48</v>
      </c>
    </row>
    <row r="506" spans="1:4">
      <c r="A506" t="s">
        <v>2036</v>
      </c>
      <c r="B506" t="s">
        <v>762</v>
      </c>
      <c r="C506">
        <v>89</v>
      </c>
      <c r="D506">
        <v>1.42</v>
      </c>
    </row>
    <row r="507" spans="1:4">
      <c r="A507" t="s">
        <v>2036</v>
      </c>
      <c r="B507" t="s">
        <v>762</v>
      </c>
      <c r="C507">
        <v>90</v>
      </c>
      <c r="D507">
        <v>1.36</v>
      </c>
    </row>
    <row r="508" spans="1:4">
      <c r="A508" t="s">
        <v>2037</v>
      </c>
      <c r="B508" t="s">
        <v>762</v>
      </c>
      <c r="C508">
        <v>22</v>
      </c>
      <c r="D508">
        <v>40.68</v>
      </c>
    </row>
    <row r="509" spans="1:4">
      <c r="A509" t="s">
        <v>2037</v>
      </c>
      <c r="B509" t="s">
        <v>762</v>
      </c>
      <c r="C509">
        <v>23</v>
      </c>
      <c r="D509">
        <v>39.81</v>
      </c>
    </row>
    <row r="510" spans="1:4">
      <c r="A510" t="s">
        <v>2037</v>
      </c>
      <c r="B510" t="s">
        <v>762</v>
      </c>
      <c r="C510">
        <v>24</v>
      </c>
      <c r="D510">
        <v>38.92</v>
      </c>
    </row>
    <row r="511" spans="1:4">
      <c r="A511" t="s">
        <v>2037</v>
      </c>
      <c r="B511" t="s">
        <v>762</v>
      </c>
      <c r="C511">
        <v>25</v>
      </c>
      <c r="D511">
        <v>38.03</v>
      </c>
    </row>
    <row r="512" spans="1:4">
      <c r="A512" t="s">
        <v>2037</v>
      </c>
      <c r="B512" t="s">
        <v>762</v>
      </c>
      <c r="C512">
        <v>26</v>
      </c>
      <c r="D512">
        <v>37.119999999999997</v>
      </c>
    </row>
    <row r="513" spans="1:4">
      <c r="A513" t="s">
        <v>2037</v>
      </c>
      <c r="B513" t="s">
        <v>762</v>
      </c>
      <c r="C513">
        <v>27</v>
      </c>
      <c r="D513">
        <v>36.22</v>
      </c>
    </row>
    <row r="514" spans="1:4">
      <c r="A514" t="s">
        <v>2037</v>
      </c>
      <c r="B514" t="s">
        <v>762</v>
      </c>
      <c r="C514">
        <v>28</v>
      </c>
      <c r="D514">
        <v>35.31</v>
      </c>
    </row>
    <row r="515" spans="1:4">
      <c r="A515" t="s">
        <v>2037</v>
      </c>
      <c r="B515" t="s">
        <v>762</v>
      </c>
      <c r="C515">
        <v>29</v>
      </c>
      <c r="D515">
        <v>34.4</v>
      </c>
    </row>
    <row r="516" spans="1:4">
      <c r="A516" t="s">
        <v>2037</v>
      </c>
      <c r="B516" t="s">
        <v>762</v>
      </c>
      <c r="C516">
        <v>30</v>
      </c>
      <c r="D516">
        <v>33.49</v>
      </c>
    </row>
    <row r="517" spans="1:4">
      <c r="A517" t="s">
        <v>2037</v>
      </c>
      <c r="B517" t="s">
        <v>762</v>
      </c>
      <c r="C517">
        <v>31</v>
      </c>
      <c r="D517">
        <v>32.58</v>
      </c>
    </row>
    <row r="518" spans="1:4">
      <c r="A518" t="s">
        <v>2037</v>
      </c>
      <c r="B518" t="s">
        <v>762</v>
      </c>
      <c r="C518">
        <v>32</v>
      </c>
      <c r="D518">
        <v>31.66</v>
      </c>
    </row>
    <row r="519" spans="1:4">
      <c r="A519" t="s">
        <v>2037</v>
      </c>
      <c r="B519" t="s">
        <v>762</v>
      </c>
      <c r="C519">
        <v>33</v>
      </c>
      <c r="D519">
        <v>30.74</v>
      </c>
    </row>
    <row r="520" spans="1:4">
      <c r="A520" t="s">
        <v>2037</v>
      </c>
      <c r="B520" t="s">
        <v>762</v>
      </c>
      <c r="C520">
        <v>34</v>
      </c>
      <c r="D520">
        <v>29.82</v>
      </c>
    </row>
    <row r="521" spans="1:4">
      <c r="A521" t="s">
        <v>2037</v>
      </c>
      <c r="B521" t="s">
        <v>762</v>
      </c>
      <c r="C521">
        <v>35</v>
      </c>
      <c r="D521">
        <v>28.9</v>
      </c>
    </row>
    <row r="522" spans="1:4">
      <c r="A522" t="s">
        <v>2037</v>
      </c>
      <c r="B522" t="s">
        <v>762</v>
      </c>
      <c r="C522">
        <v>36</v>
      </c>
      <c r="D522">
        <v>27.99</v>
      </c>
    </row>
    <row r="523" spans="1:4">
      <c r="A523" t="s">
        <v>2037</v>
      </c>
      <c r="B523" t="s">
        <v>762</v>
      </c>
      <c r="C523">
        <v>37</v>
      </c>
      <c r="D523">
        <v>27.08</v>
      </c>
    </row>
    <row r="524" spans="1:4">
      <c r="A524" t="s">
        <v>2037</v>
      </c>
      <c r="B524" t="s">
        <v>762</v>
      </c>
      <c r="C524">
        <v>38</v>
      </c>
      <c r="D524">
        <v>26.17</v>
      </c>
    </row>
    <row r="525" spans="1:4">
      <c r="A525" t="s">
        <v>2037</v>
      </c>
      <c r="B525" t="s">
        <v>762</v>
      </c>
      <c r="C525">
        <v>39</v>
      </c>
      <c r="D525">
        <v>25.26</v>
      </c>
    </row>
    <row r="526" spans="1:4">
      <c r="A526" t="s">
        <v>2037</v>
      </c>
      <c r="B526" t="s">
        <v>762</v>
      </c>
      <c r="C526">
        <v>40</v>
      </c>
      <c r="D526">
        <v>24.36</v>
      </c>
    </row>
    <row r="527" spans="1:4">
      <c r="A527" t="s">
        <v>2037</v>
      </c>
      <c r="B527" t="s">
        <v>762</v>
      </c>
      <c r="C527">
        <v>41</v>
      </c>
      <c r="D527">
        <v>23.46</v>
      </c>
    </row>
    <row r="528" spans="1:4">
      <c r="A528" t="s">
        <v>2037</v>
      </c>
      <c r="B528" t="s">
        <v>762</v>
      </c>
      <c r="C528">
        <v>42</v>
      </c>
      <c r="D528">
        <v>22.56</v>
      </c>
    </row>
    <row r="529" spans="1:4">
      <c r="A529" t="s">
        <v>2037</v>
      </c>
      <c r="B529" t="s">
        <v>762</v>
      </c>
      <c r="C529">
        <v>43</v>
      </c>
      <c r="D529">
        <v>21.67</v>
      </c>
    </row>
    <row r="530" spans="1:4">
      <c r="A530" t="s">
        <v>2037</v>
      </c>
      <c r="B530" t="s">
        <v>762</v>
      </c>
      <c r="C530">
        <v>44</v>
      </c>
      <c r="D530">
        <v>20.78</v>
      </c>
    </row>
    <row r="531" spans="1:4">
      <c r="A531" t="s">
        <v>2037</v>
      </c>
      <c r="B531" t="s">
        <v>762</v>
      </c>
      <c r="C531">
        <v>45</v>
      </c>
      <c r="D531">
        <v>19.899999999999999</v>
      </c>
    </row>
    <row r="532" spans="1:4">
      <c r="A532" t="s">
        <v>2037</v>
      </c>
      <c r="B532" t="s">
        <v>762</v>
      </c>
      <c r="C532">
        <v>46</v>
      </c>
      <c r="D532">
        <v>19.04</v>
      </c>
    </row>
    <row r="533" spans="1:4">
      <c r="A533" t="s">
        <v>2037</v>
      </c>
      <c r="B533" t="s">
        <v>762</v>
      </c>
      <c r="C533">
        <v>47</v>
      </c>
      <c r="D533">
        <v>18.170000000000002</v>
      </c>
    </row>
    <row r="534" spans="1:4">
      <c r="A534" t="s">
        <v>2037</v>
      </c>
      <c r="B534" t="s">
        <v>762</v>
      </c>
      <c r="C534">
        <v>48</v>
      </c>
      <c r="D534">
        <v>17.309999999999999</v>
      </c>
    </row>
    <row r="535" spans="1:4">
      <c r="A535" t="s">
        <v>2037</v>
      </c>
      <c r="B535" t="s">
        <v>762</v>
      </c>
      <c r="C535">
        <v>49</v>
      </c>
      <c r="D535">
        <v>16.45</v>
      </c>
    </row>
    <row r="536" spans="1:4">
      <c r="A536" t="s">
        <v>2037</v>
      </c>
      <c r="B536" t="s">
        <v>762</v>
      </c>
      <c r="C536">
        <v>50</v>
      </c>
      <c r="D536">
        <v>15.59</v>
      </c>
    </row>
    <row r="537" spans="1:4">
      <c r="A537" t="s">
        <v>2037</v>
      </c>
      <c r="B537" t="s">
        <v>762</v>
      </c>
      <c r="C537">
        <v>51</v>
      </c>
      <c r="D537">
        <v>14.75</v>
      </c>
    </row>
    <row r="538" spans="1:4">
      <c r="A538" t="s">
        <v>2037</v>
      </c>
      <c r="B538" t="s">
        <v>762</v>
      </c>
      <c r="C538">
        <v>52</v>
      </c>
      <c r="D538">
        <v>13.92</v>
      </c>
    </row>
    <row r="539" spans="1:4">
      <c r="A539" t="s">
        <v>2037</v>
      </c>
      <c r="B539" t="s">
        <v>762</v>
      </c>
      <c r="C539">
        <v>53</v>
      </c>
      <c r="D539">
        <v>13.1</v>
      </c>
    </row>
    <row r="540" spans="1:4">
      <c r="A540" t="s">
        <v>2037</v>
      </c>
      <c r="B540" t="s">
        <v>762</v>
      </c>
      <c r="C540">
        <v>54</v>
      </c>
      <c r="D540">
        <v>12.3</v>
      </c>
    </row>
    <row r="541" spans="1:4">
      <c r="A541" t="s">
        <v>2037</v>
      </c>
      <c r="B541" t="s">
        <v>762</v>
      </c>
      <c r="C541">
        <v>55</v>
      </c>
      <c r="D541">
        <v>11.5</v>
      </c>
    </row>
    <row r="542" spans="1:4">
      <c r="A542" t="s">
        <v>2037</v>
      </c>
      <c r="B542" t="s">
        <v>762</v>
      </c>
      <c r="C542">
        <v>56</v>
      </c>
      <c r="D542">
        <v>10.72</v>
      </c>
    </row>
    <row r="543" spans="1:4">
      <c r="A543" t="s">
        <v>2037</v>
      </c>
      <c r="B543" t="s">
        <v>762</v>
      </c>
      <c r="C543">
        <v>57</v>
      </c>
      <c r="D543">
        <v>9.9600000000000009</v>
      </c>
    </row>
    <row r="544" spans="1:4">
      <c r="A544" t="s">
        <v>2037</v>
      </c>
      <c r="B544" t="s">
        <v>762</v>
      </c>
      <c r="C544">
        <v>58</v>
      </c>
      <c r="D544">
        <v>9.2200000000000006</v>
      </c>
    </row>
    <row r="545" spans="1:4">
      <c r="A545" t="s">
        <v>2037</v>
      </c>
      <c r="B545" t="s">
        <v>762</v>
      </c>
      <c r="C545">
        <v>59</v>
      </c>
      <c r="D545">
        <v>8.52</v>
      </c>
    </row>
    <row r="546" spans="1:4">
      <c r="A546" t="s">
        <v>2037</v>
      </c>
      <c r="B546" t="s">
        <v>762</v>
      </c>
      <c r="C546">
        <v>60</v>
      </c>
      <c r="D546">
        <v>7.87</v>
      </c>
    </row>
    <row r="547" spans="1:4">
      <c r="A547" t="s">
        <v>2037</v>
      </c>
      <c r="B547" t="s">
        <v>762</v>
      </c>
      <c r="C547">
        <v>61</v>
      </c>
      <c r="D547">
        <v>7.26</v>
      </c>
    </row>
    <row r="548" spans="1:4">
      <c r="A548" t="s">
        <v>2037</v>
      </c>
      <c r="B548" t="s">
        <v>762</v>
      </c>
      <c r="C548">
        <v>62</v>
      </c>
      <c r="D548">
        <v>6.7</v>
      </c>
    </row>
    <row r="549" spans="1:4">
      <c r="A549" t="s">
        <v>2037</v>
      </c>
      <c r="B549" t="s">
        <v>762</v>
      </c>
      <c r="C549">
        <v>63</v>
      </c>
      <c r="D549">
        <v>6.19</v>
      </c>
    </row>
    <row r="550" spans="1:4">
      <c r="A550" t="s">
        <v>2037</v>
      </c>
      <c r="B550" t="s">
        <v>762</v>
      </c>
      <c r="C550">
        <v>64</v>
      </c>
      <c r="D550">
        <v>5.75</v>
      </c>
    </row>
    <row r="551" spans="1:4">
      <c r="A551" t="s">
        <v>2037</v>
      </c>
      <c r="B551" t="s">
        <v>762</v>
      </c>
      <c r="C551">
        <v>65</v>
      </c>
      <c r="D551">
        <v>5.39</v>
      </c>
    </row>
    <row r="552" spans="1:4">
      <c r="A552" t="s">
        <v>2037</v>
      </c>
      <c r="B552" t="s">
        <v>762</v>
      </c>
      <c r="C552">
        <v>66</v>
      </c>
      <c r="D552">
        <v>5.0999999999999996</v>
      </c>
    </row>
    <row r="553" spans="1:4">
      <c r="A553" t="s">
        <v>2037</v>
      </c>
      <c r="B553" t="s">
        <v>762</v>
      </c>
      <c r="C553">
        <v>67</v>
      </c>
      <c r="D553">
        <v>4.84</v>
      </c>
    </row>
    <row r="554" spans="1:4">
      <c r="A554" t="s">
        <v>2037</v>
      </c>
      <c r="B554" t="s">
        <v>762</v>
      </c>
      <c r="C554">
        <v>68</v>
      </c>
      <c r="D554">
        <v>4.5999999999999996</v>
      </c>
    </row>
    <row r="555" spans="1:4">
      <c r="A555" t="s">
        <v>2037</v>
      </c>
      <c r="B555" t="s">
        <v>762</v>
      </c>
      <c r="C555">
        <v>69</v>
      </c>
      <c r="D555">
        <v>4.37</v>
      </c>
    </row>
    <row r="556" spans="1:4">
      <c r="A556" t="s">
        <v>2037</v>
      </c>
      <c r="B556" t="s">
        <v>762</v>
      </c>
      <c r="C556">
        <v>70</v>
      </c>
      <c r="D556">
        <v>4.1500000000000004</v>
      </c>
    </row>
    <row r="557" spans="1:4">
      <c r="A557" t="s">
        <v>2037</v>
      </c>
      <c r="B557" t="s">
        <v>762</v>
      </c>
      <c r="C557">
        <v>71</v>
      </c>
      <c r="D557">
        <v>3.94</v>
      </c>
    </row>
    <row r="558" spans="1:4">
      <c r="A558" t="s">
        <v>2037</v>
      </c>
      <c r="B558" t="s">
        <v>762</v>
      </c>
      <c r="C558">
        <v>72</v>
      </c>
      <c r="D558">
        <v>3.74</v>
      </c>
    </row>
    <row r="559" spans="1:4">
      <c r="A559" t="s">
        <v>2037</v>
      </c>
      <c r="B559" t="s">
        <v>762</v>
      </c>
      <c r="C559">
        <v>73</v>
      </c>
      <c r="D559">
        <v>3.56</v>
      </c>
    </row>
    <row r="560" spans="1:4">
      <c r="A560" t="s">
        <v>2037</v>
      </c>
      <c r="B560" t="s">
        <v>762</v>
      </c>
      <c r="C560">
        <v>74</v>
      </c>
      <c r="D560">
        <v>3.39</v>
      </c>
    </row>
    <row r="561" spans="1:4">
      <c r="A561" t="s">
        <v>2037</v>
      </c>
      <c r="B561" t="s">
        <v>762</v>
      </c>
      <c r="C561">
        <v>75</v>
      </c>
      <c r="D561">
        <v>3.23</v>
      </c>
    </row>
    <row r="562" spans="1:4">
      <c r="A562" t="s">
        <v>2037</v>
      </c>
      <c r="B562" t="s">
        <v>762</v>
      </c>
      <c r="C562">
        <v>76</v>
      </c>
      <c r="D562">
        <v>3.09</v>
      </c>
    </row>
    <row r="563" spans="1:4">
      <c r="A563" t="s">
        <v>2037</v>
      </c>
      <c r="B563" t="s">
        <v>762</v>
      </c>
      <c r="C563">
        <v>77</v>
      </c>
      <c r="D563">
        <v>2.96</v>
      </c>
    </row>
    <row r="564" spans="1:4">
      <c r="A564" t="s">
        <v>2037</v>
      </c>
      <c r="B564" t="s">
        <v>762</v>
      </c>
      <c r="C564">
        <v>78</v>
      </c>
      <c r="D564">
        <v>2.83</v>
      </c>
    </row>
    <row r="565" spans="1:4">
      <c r="A565" t="s">
        <v>2037</v>
      </c>
      <c r="B565" t="s">
        <v>762</v>
      </c>
      <c r="C565">
        <v>79</v>
      </c>
      <c r="D565">
        <v>2.7</v>
      </c>
    </row>
    <row r="566" spans="1:4">
      <c r="A566" t="s">
        <v>2037</v>
      </c>
      <c r="B566" t="s">
        <v>762</v>
      </c>
      <c r="C566">
        <v>80</v>
      </c>
      <c r="D566">
        <v>2.58</v>
      </c>
    </row>
    <row r="567" spans="1:4">
      <c r="A567" t="s">
        <v>2037</v>
      </c>
      <c r="B567" t="s">
        <v>762</v>
      </c>
      <c r="C567">
        <v>81</v>
      </c>
      <c r="D567">
        <v>2.4700000000000002</v>
      </c>
    </row>
    <row r="568" spans="1:4">
      <c r="A568" t="s">
        <v>2037</v>
      </c>
      <c r="B568" t="s">
        <v>762</v>
      </c>
      <c r="C568">
        <v>82</v>
      </c>
      <c r="D568">
        <v>2.36</v>
      </c>
    </row>
    <row r="569" spans="1:4">
      <c r="A569" t="s">
        <v>2037</v>
      </c>
      <c r="B569" t="s">
        <v>762</v>
      </c>
      <c r="C569">
        <v>83</v>
      </c>
      <c r="D569">
        <v>2.2599999999999998</v>
      </c>
    </row>
    <row r="570" spans="1:4">
      <c r="A570" t="s">
        <v>2037</v>
      </c>
      <c r="B570" t="s">
        <v>762</v>
      </c>
      <c r="C570">
        <v>84</v>
      </c>
      <c r="D570">
        <v>2.16</v>
      </c>
    </row>
    <row r="571" spans="1:4">
      <c r="A571" t="s">
        <v>2037</v>
      </c>
      <c r="B571" t="s">
        <v>762</v>
      </c>
      <c r="C571">
        <v>85</v>
      </c>
      <c r="D571">
        <v>2.0699999999999998</v>
      </c>
    </row>
    <row r="572" spans="1:4">
      <c r="A572" t="s">
        <v>2037</v>
      </c>
      <c r="B572" t="s">
        <v>762</v>
      </c>
      <c r="C572">
        <v>86</v>
      </c>
      <c r="D572">
        <v>1.98</v>
      </c>
    </row>
    <row r="573" spans="1:4">
      <c r="A573" t="s">
        <v>2037</v>
      </c>
      <c r="B573" t="s">
        <v>762</v>
      </c>
      <c r="C573">
        <v>87</v>
      </c>
      <c r="D573">
        <v>1.89</v>
      </c>
    </row>
    <row r="574" spans="1:4">
      <c r="A574" t="s">
        <v>2037</v>
      </c>
      <c r="B574" t="s">
        <v>762</v>
      </c>
      <c r="C574">
        <v>88</v>
      </c>
      <c r="D574">
        <v>1.81</v>
      </c>
    </row>
    <row r="575" spans="1:4">
      <c r="A575" t="s">
        <v>2037</v>
      </c>
      <c r="B575" t="s">
        <v>762</v>
      </c>
      <c r="C575">
        <v>89</v>
      </c>
      <c r="D575">
        <v>1.73</v>
      </c>
    </row>
    <row r="576" spans="1:4">
      <c r="A576" t="s">
        <v>2037</v>
      </c>
      <c r="B576" t="s">
        <v>762</v>
      </c>
      <c r="C576">
        <v>90</v>
      </c>
      <c r="D576">
        <v>1.65</v>
      </c>
    </row>
    <row r="577" spans="1:4">
      <c r="A577" t="s">
        <v>2038</v>
      </c>
      <c r="B577" t="s">
        <v>762</v>
      </c>
      <c r="C577">
        <v>25</v>
      </c>
      <c r="D577">
        <v>38.659999999999997</v>
      </c>
    </row>
    <row r="578" spans="1:4">
      <c r="A578" t="s">
        <v>2038</v>
      </c>
      <c r="B578" t="s">
        <v>762</v>
      </c>
      <c r="C578">
        <v>26</v>
      </c>
      <c r="D578">
        <v>37.74</v>
      </c>
    </row>
    <row r="579" spans="1:4">
      <c r="A579" t="s">
        <v>2038</v>
      </c>
      <c r="B579" t="s">
        <v>762</v>
      </c>
      <c r="C579">
        <v>27</v>
      </c>
      <c r="D579">
        <v>36.82</v>
      </c>
    </row>
    <row r="580" spans="1:4">
      <c r="A580" t="s">
        <v>2038</v>
      </c>
      <c r="B580" t="s">
        <v>762</v>
      </c>
      <c r="C580">
        <v>28</v>
      </c>
      <c r="D580">
        <v>35.9</v>
      </c>
    </row>
    <row r="581" spans="1:4">
      <c r="A581" t="s">
        <v>2038</v>
      </c>
      <c r="B581" t="s">
        <v>762</v>
      </c>
      <c r="C581">
        <v>29</v>
      </c>
      <c r="D581">
        <v>34.97</v>
      </c>
    </row>
    <row r="582" spans="1:4">
      <c r="A582" t="s">
        <v>2038</v>
      </c>
      <c r="B582" t="s">
        <v>762</v>
      </c>
      <c r="C582">
        <v>30</v>
      </c>
      <c r="D582">
        <v>34.049999999999997</v>
      </c>
    </row>
    <row r="583" spans="1:4">
      <c r="A583" t="s">
        <v>2038</v>
      </c>
      <c r="B583" t="s">
        <v>762</v>
      </c>
      <c r="C583">
        <v>31</v>
      </c>
      <c r="D583">
        <v>33.119999999999997</v>
      </c>
    </row>
    <row r="584" spans="1:4">
      <c r="A584" t="s">
        <v>2038</v>
      </c>
      <c r="B584" t="s">
        <v>762</v>
      </c>
      <c r="C584">
        <v>32</v>
      </c>
      <c r="D584">
        <v>32.200000000000003</v>
      </c>
    </row>
    <row r="585" spans="1:4">
      <c r="A585" t="s">
        <v>2038</v>
      </c>
      <c r="B585" t="s">
        <v>762</v>
      </c>
      <c r="C585">
        <v>33</v>
      </c>
      <c r="D585">
        <v>31.28</v>
      </c>
    </row>
    <row r="586" spans="1:4">
      <c r="A586" t="s">
        <v>2038</v>
      </c>
      <c r="B586" t="s">
        <v>762</v>
      </c>
      <c r="C586">
        <v>34</v>
      </c>
      <c r="D586">
        <v>30.35</v>
      </c>
    </row>
    <row r="587" spans="1:4">
      <c r="A587" t="s">
        <v>2038</v>
      </c>
      <c r="B587" t="s">
        <v>762</v>
      </c>
      <c r="C587">
        <v>35</v>
      </c>
      <c r="D587">
        <v>29.43</v>
      </c>
    </row>
    <row r="588" spans="1:4">
      <c r="A588" t="s">
        <v>2038</v>
      </c>
      <c r="B588" t="s">
        <v>762</v>
      </c>
      <c r="C588">
        <v>36</v>
      </c>
      <c r="D588">
        <v>28.51</v>
      </c>
    </row>
    <row r="589" spans="1:4">
      <c r="A589" t="s">
        <v>2038</v>
      </c>
      <c r="B589" t="s">
        <v>762</v>
      </c>
      <c r="C589">
        <v>37</v>
      </c>
      <c r="D589">
        <v>27.6</v>
      </c>
    </row>
    <row r="590" spans="1:4">
      <c r="A590" t="s">
        <v>2038</v>
      </c>
      <c r="B590" t="s">
        <v>762</v>
      </c>
      <c r="C590">
        <v>38</v>
      </c>
      <c r="D590">
        <v>26.69</v>
      </c>
    </row>
    <row r="591" spans="1:4">
      <c r="A591" t="s">
        <v>2038</v>
      </c>
      <c r="B591" t="s">
        <v>762</v>
      </c>
      <c r="C591">
        <v>39</v>
      </c>
      <c r="D591">
        <v>25.77</v>
      </c>
    </row>
    <row r="592" spans="1:4">
      <c r="A592" t="s">
        <v>2038</v>
      </c>
      <c r="B592" t="s">
        <v>762</v>
      </c>
      <c r="C592">
        <v>40</v>
      </c>
      <c r="D592">
        <v>24.86</v>
      </c>
    </row>
    <row r="593" spans="1:4">
      <c r="A593" t="s">
        <v>2038</v>
      </c>
      <c r="B593" t="s">
        <v>762</v>
      </c>
      <c r="C593">
        <v>41</v>
      </c>
      <c r="D593">
        <v>23.94</v>
      </c>
    </row>
    <row r="594" spans="1:4">
      <c r="A594" t="s">
        <v>2038</v>
      </c>
      <c r="B594" t="s">
        <v>762</v>
      </c>
      <c r="C594">
        <v>42</v>
      </c>
      <c r="D594">
        <v>23.02</v>
      </c>
    </row>
    <row r="595" spans="1:4">
      <c r="A595" t="s">
        <v>2038</v>
      </c>
      <c r="B595" t="s">
        <v>762</v>
      </c>
      <c r="C595">
        <v>43</v>
      </c>
      <c r="D595">
        <v>22.11</v>
      </c>
    </row>
    <row r="596" spans="1:4">
      <c r="A596" t="s">
        <v>2038</v>
      </c>
      <c r="B596" t="s">
        <v>762</v>
      </c>
      <c r="C596">
        <v>44</v>
      </c>
      <c r="D596">
        <v>21.2</v>
      </c>
    </row>
    <row r="597" spans="1:4">
      <c r="A597" t="s">
        <v>2038</v>
      </c>
      <c r="B597" t="s">
        <v>762</v>
      </c>
      <c r="C597">
        <v>45</v>
      </c>
      <c r="D597">
        <v>20.29</v>
      </c>
    </row>
    <row r="598" spans="1:4">
      <c r="A598" t="s">
        <v>2038</v>
      </c>
      <c r="B598" t="s">
        <v>762</v>
      </c>
      <c r="C598">
        <v>46</v>
      </c>
      <c r="D598">
        <v>19.39</v>
      </c>
    </row>
    <row r="599" spans="1:4">
      <c r="A599" t="s">
        <v>2038</v>
      </c>
      <c r="B599" t="s">
        <v>762</v>
      </c>
      <c r="C599">
        <v>47</v>
      </c>
      <c r="D599">
        <v>18.510000000000002</v>
      </c>
    </row>
    <row r="600" spans="1:4">
      <c r="A600" t="s">
        <v>2038</v>
      </c>
      <c r="B600" t="s">
        <v>762</v>
      </c>
      <c r="C600">
        <v>48</v>
      </c>
      <c r="D600">
        <v>17.63</v>
      </c>
    </row>
    <row r="601" spans="1:4">
      <c r="A601" t="s">
        <v>2038</v>
      </c>
      <c r="B601" t="s">
        <v>762</v>
      </c>
      <c r="C601">
        <v>49</v>
      </c>
      <c r="D601">
        <v>16.75</v>
      </c>
    </row>
    <row r="602" spans="1:4">
      <c r="A602" t="s">
        <v>2038</v>
      </c>
      <c r="B602" t="s">
        <v>762</v>
      </c>
      <c r="C602">
        <v>50</v>
      </c>
      <c r="D602">
        <v>15.89</v>
      </c>
    </row>
    <row r="603" spans="1:4">
      <c r="A603" t="s">
        <v>2038</v>
      </c>
      <c r="B603" t="s">
        <v>762</v>
      </c>
      <c r="C603">
        <v>51</v>
      </c>
      <c r="D603">
        <v>15.02</v>
      </c>
    </row>
    <row r="604" spans="1:4">
      <c r="A604" t="s">
        <v>2038</v>
      </c>
      <c r="B604" t="s">
        <v>762</v>
      </c>
      <c r="C604">
        <v>52</v>
      </c>
      <c r="D604">
        <v>14.16</v>
      </c>
    </row>
    <row r="605" spans="1:4">
      <c r="A605" t="s">
        <v>2038</v>
      </c>
      <c r="B605" t="s">
        <v>762</v>
      </c>
      <c r="C605">
        <v>53</v>
      </c>
      <c r="D605">
        <v>13.31</v>
      </c>
    </row>
    <row r="606" spans="1:4">
      <c r="A606" t="s">
        <v>2038</v>
      </c>
      <c r="B606" t="s">
        <v>762</v>
      </c>
      <c r="C606">
        <v>54</v>
      </c>
      <c r="D606">
        <v>12.49</v>
      </c>
    </row>
    <row r="607" spans="1:4">
      <c r="A607" t="s">
        <v>2038</v>
      </c>
      <c r="B607" t="s">
        <v>762</v>
      </c>
      <c r="C607">
        <v>55</v>
      </c>
      <c r="D607">
        <v>11.69</v>
      </c>
    </row>
    <row r="608" spans="1:4">
      <c r="A608" t="s">
        <v>2038</v>
      </c>
      <c r="B608" t="s">
        <v>762</v>
      </c>
      <c r="C608">
        <v>56</v>
      </c>
      <c r="D608">
        <v>10.93</v>
      </c>
    </row>
    <row r="609" spans="1:4">
      <c r="A609" t="s">
        <v>2038</v>
      </c>
      <c r="B609" t="s">
        <v>762</v>
      </c>
      <c r="C609">
        <v>57</v>
      </c>
      <c r="D609">
        <v>10.19</v>
      </c>
    </row>
    <row r="610" spans="1:4">
      <c r="A610" t="s">
        <v>2038</v>
      </c>
      <c r="B610" t="s">
        <v>762</v>
      </c>
      <c r="C610">
        <v>58</v>
      </c>
      <c r="D610">
        <v>9.48</v>
      </c>
    </row>
    <row r="611" spans="1:4">
      <c r="A611" t="s">
        <v>2038</v>
      </c>
      <c r="B611" t="s">
        <v>762</v>
      </c>
      <c r="C611">
        <v>59</v>
      </c>
      <c r="D611">
        <v>8.7899999999999991</v>
      </c>
    </row>
    <row r="612" spans="1:4">
      <c r="A612" t="s">
        <v>2038</v>
      </c>
      <c r="B612" t="s">
        <v>762</v>
      </c>
      <c r="C612">
        <v>60</v>
      </c>
      <c r="D612">
        <v>8.1300000000000008</v>
      </c>
    </row>
    <row r="613" spans="1:4">
      <c r="A613" t="s">
        <v>2038</v>
      </c>
      <c r="B613" t="s">
        <v>762</v>
      </c>
      <c r="C613">
        <v>61</v>
      </c>
      <c r="D613">
        <v>7.52</v>
      </c>
    </row>
    <row r="614" spans="1:4">
      <c r="A614" t="s">
        <v>2038</v>
      </c>
      <c r="B614" t="s">
        <v>762</v>
      </c>
      <c r="C614">
        <v>62</v>
      </c>
      <c r="D614">
        <v>6.95</v>
      </c>
    </row>
    <row r="615" spans="1:4">
      <c r="A615" t="s">
        <v>2038</v>
      </c>
      <c r="B615" t="s">
        <v>762</v>
      </c>
      <c r="C615">
        <v>63</v>
      </c>
      <c r="D615">
        <v>6.43</v>
      </c>
    </row>
    <row r="616" spans="1:4">
      <c r="A616" t="s">
        <v>2038</v>
      </c>
      <c r="B616" t="s">
        <v>762</v>
      </c>
      <c r="C616">
        <v>64</v>
      </c>
      <c r="D616">
        <v>5.97</v>
      </c>
    </row>
    <row r="617" spans="1:4">
      <c r="A617" t="s">
        <v>2038</v>
      </c>
      <c r="B617" t="s">
        <v>762</v>
      </c>
      <c r="C617">
        <v>65</v>
      </c>
      <c r="D617">
        <v>5.56</v>
      </c>
    </row>
    <row r="618" spans="1:4">
      <c r="A618" t="s">
        <v>2038</v>
      </c>
      <c r="B618" t="s">
        <v>762</v>
      </c>
      <c r="C618">
        <v>66</v>
      </c>
      <c r="D618">
        <v>5.19</v>
      </c>
    </row>
    <row r="619" spans="1:4">
      <c r="A619" t="s">
        <v>2038</v>
      </c>
      <c r="B619" t="s">
        <v>762</v>
      </c>
      <c r="C619">
        <v>67</v>
      </c>
      <c r="D619">
        <v>4.8499999999999996</v>
      </c>
    </row>
    <row r="620" spans="1:4">
      <c r="A620" t="s">
        <v>2038</v>
      </c>
      <c r="B620" t="s">
        <v>762</v>
      </c>
      <c r="C620">
        <v>68</v>
      </c>
      <c r="D620">
        <v>4.53</v>
      </c>
    </row>
    <row r="621" spans="1:4">
      <c r="A621" t="s">
        <v>2038</v>
      </c>
      <c r="B621" t="s">
        <v>762</v>
      </c>
      <c r="C621">
        <v>69</v>
      </c>
      <c r="D621">
        <v>4.2300000000000004</v>
      </c>
    </row>
    <row r="622" spans="1:4">
      <c r="A622" t="s">
        <v>2038</v>
      </c>
      <c r="B622" t="s">
        <v>762</v>
      </c>
      <c r="C622">
        <v>70</v>
      </c>
      <c r="D622">
        <v>3.96</v>
      </c>
    </row>
    <row r="623" spans="1:4">
      <c r="A623" t="s">
        <v>2038</v>
      </c>
      <c r="B623" t="s">
        <v>762</v>
      </c>
      <c r="C623">
        <v>71</v>
      </c>
      <c r="D623">
        <v>3.71</v>
      </c>
    </row>
    <row r="624" spans="1:4">
      <c r="A624" t="s">
        <v>2038</v>
      </c>
      <c r="B624" t="s">
        <v>762</v>
      </c>
      <c r="C624">
        <v>72</v>
      </c>
      <c r="D624">
        <v>3.49</v>
      </c>
    </row>
    <row r="625" spans="1:4">
      <c r="A625" t="s">
        <v>2038</v>
      </c>
      <c r="B625" t="s">
        <v>762</v>
      </c>
      <c r="C625">
        <v>73</v>
      </c>
      <c r="D625">
        <v>3.28</v>
      </c>
    </row>
    <row r="626" spans="1:4">
      <c r="A626" t="s">
        <v>2038</v>
      </c>
      <c r="B626" t="s">
        <v>762</v>
      </c>
      <c r="C626">
        <v>74</v>
      </c>
      <c r="D626">
        <v>3.09</v>
      </c>
    </row>
    <row r="627" spans="1:4">
      <c r="A627" t="s">
        <v>2038</v>
      </c>
      <c r="B627" t="s">
        <v>762</v>
      </c>
      <c r="C627">
        <v>75</v>
      </c>
      <c r="D627">
        <v>2.91</v>
      </c>
    </row>
    <row r="628" spans="1:4">
      <c r="A628" t="s">
        <v>2038</v>
      </c>
      <c r="B628" t="s">
        <v>762</v>
      </c>
      <c r="C628">
        <v>76</v>
      </c>
      <c r="D628">
        <v>2.75</v>
      </c>
    </row>
    <row r="629" spans="1:4">
      <c r="A629" t="s">
        <v>2038</v>
      </c>
      <c r="B629" t="s">
        <v>762</v>
      </c>
      <c r="C629">
        <v>77</v>
      </c>
      <c r="D629">
        <v>2.61</v>
      </c>
    </row>
    <row r="630" spans="1:4">
      <c r="A630" t="s">
        <v>2038</v>
      </c>
      <c r="B630" t="s">
        <v>762</v>
      </c>
      <c r="C630">
        <v>78</v>
      </c>
      <c r="D630">
        <v>2.4700000000000002</v>
      </c>
    </row>
    <row r="631" spans="1:4">
      <c r="A631" t="s">
        <v>2038</v>
      </c>
      <c r="B631" t="s">
        <v>762</v>
      </c>
      <c r="C631">
        <v>79</v>
      </c>
      <c r="D631">
        <v>2.35</v>
      </c>
    </row>
    <row r="632" spans="1:4">
      <c r="A632" t="s">
        <v>2038</v>
      </c>
      <c r="B632" t="s">
        <v>762</v>
      </c>
      <c r="C632">
        <v>80</v>
      </c>
      <c r="D632">
        <v>2.2400000000000002</v>
      </c>
    </row>
    <row r="633" spans="1:4">
      <c r="A633" t="s">
        <v>2038</v>
      </c>
      <c r="B633" t="s">
        <v>762</v>
      </c>
      <c r="C633">
        <v>81</v>
      </c>
      <c r="D633">
        <v>2.14</v>
      </c>
    </row>
    <row r="634" spans="1:4">
      <c r="A634" t="s">
        <v>2038</v>
      </c>
      <c r="B634" t="s">
        <v>762</v>
      </c>
      <c r="C634">
        <v>82</v>
      </c>
      <c r="D634">
        <v>2.0499999999999998</v>
      </c>
    </row>
    <row r="635" spans="1:4">
      <c r="A635" t="s">
        <v>2038</v>
      </c>
      <c r="B635" t="s">
        <v>762</v>
      </c>
      <c r="C635">
        <v>83</v>
      </c>
      <c r="D635">
        <v>1.96</v>
      </c>
    </row>
    <row r="636" spans="1:4">
      <c r="A636" t="s">
        <v>2038</v>
      </c>
      <c r="B636" t="s">
        <v>762</v>
      </c>
      <c r="C636">
        <v>84</v>
      </c>
      <c r="D636">
        <v>1.88</v>
      </c>
    </row>
    <row r="637" spans="1:4">
      <c r="A637" t="s">
        <v>2038</v>
      </c>
      <c r="B637" t="s">
        <v>762</v>
      </c>
      <c r="C637">
        <v>85</v>
      </c>
      <c r="D637">
        <v>1.8</v>
      </c>
    </row>
    <row r="638" spans="1:4">
      <c r="A638" t="s">
        <v>2038</v>
      </c>
      <c r="B638" t="s">
        <v>762</v>
      </c>
      <c r="C638">
        <v>86</v>
      </c>
      <c r="D638">
        <v>1.72</v>
      </c>
    </row>
    <row r="639" spans="1:4">
      <c r="A639" t="s">
        <v>2038</v>
      </c>
      <c r="B639" t="s">
        <v>762</v>
      </c>
      <c r="C639">
        <v>87</v>
      </c>
      <c r="D639">
        <v>1.65</v>
      </c>
    </row>
    <row r="640" spans="1:4">
      <c r="A640" t="s">
        <v>2038</v>
      </c>
      <c r="B640" t="s">
        <v>762</v>
      </c>
      <c r="C640">
        <v>88</v>
      </c>
      <c r="D640">
        <v>1.58</v>
      </c>
    </row>
    <row r="641" spans="1:4">
      <c r="A641" t="s">
        <v>2038</v>
      </c>
      <c r="B641" t="s">
        <v>762</v>
      </c>
      <c r="C641">
        <v>89</v>
      </c>
      <c r="D641">
        <v>1.51</v>
      </c>
    </row>
    <row r="642" spans="1:4">
      <c r="A642" t="s">
        <v>2038</v>
      </c>
      <c r="B642" t="s">
        <v>762</v>
      </c>
      <c r="C642">
        <v>90</v>
      </c>
      <c r="D642">
        <v>1.45</v>
      </c>
    </row>
    <row r="643" spans="1:4">
      <c r="A643" t="s">
        <v>2039</v>
      </c>
      <c r="B643" t="s">
        <v>762</v>
      </c>
      <c r="C643">
        <v>26</v>
      </c>
      <c r="D643">
        <v>40.159999999999997</v>
      </c>
    </row>
    <row r="644" spans="1:4">
      <c r="A644" t="s">
        <v>2039</v>
      </c>
      <c r="B644" t="s">
        <v>762</v>
      </c>
      <c r="C644">
        <v>27</v>
      </c>
      <c r="D644">
        <v>39.24</v>
      </c>
    </row>
    <row r="645" spans="1:4">
      <c r="A645" t="s">
        <v>2039</v>
      </c>
      <c r="B645" t="s">
        <v>762</v>
      </c>
      <c r="C645">
        <v>28</v>
      </c>
      <c r="D645">
        <v>38.31</v>
      </c>
    </row>
    <row r="646" spans="1:4">
      <c r="A646" t="s">
        <v>2039</v>
      </c>
      <c r="B646" t="s">
        <v>762</v>
      </c>
      <c r="C646">
        <v>29</v>
      </c>
      <c r="D646">
        <v>37.39</v>
      </c>
    </row>
    <row r="647" spans="1:4">
      <c r="A647" t="s">
        <v>2039</v>
      </c>
      <c r="B647" t="s">
        <v>762</v>
      </c>
      <c r="C647">
        <v>30</v>
      </c>
      <c r="D647">
        <v>36.46</v>
      </c>
    </row>
    <row r="648" spans="1:4">
      <c r="A648" t="s">
        <v>2039</v>
      </c>
      <c r="B648" t="s">
        <v>762</v>
      </c>
      <c r="C648">
        <v>31</v>
      </c>
      <c r="D648">
        <v>35.54</v>
      </c>
    </row>
    <row r="649" spans="1:4">
      <c r="A649" t="s">
        <v>2039</v>
      </c>
      <c r="B649" t="s">
        <v>762</v>
      </c>
      <c r="C649">
        <v>32</v>
      </c>
      <c r="D649">
        <v>34.61</v>
      </c>
    </row>
    <row r="650" spans="1:4">
      <c r="A650" t="s">
        <v>2039</v>
      </c>
      <c r="B650" t="s">
        <v>762</v>
      </c>
      <c r="C650">
        <v>33</v>
      </c>
      <c r="D650">
        <v>33.68</v>
      </c>
    </row>
    <row r="651" spans="1:4">
      <c r="A651" t="s">
        <v>2039</v>
      </c>
      <c r="B651" t="s">
        <v>762</v>
      </c>
      <c r="C651">
        <v>34</v>
      </c>
      <c r="D651">
        <v>32.74</v>
      </c>
    </row>
    <row r="652" spans="1:4">
      <c r="A652" t="s">
        <v>2039</v>
      </c>
      <c r="B652" t="s">
        <v>762</v>
      </c>
      <c r="C652">
        <v>35</v>
      </c>
      <c r="D652">
        <v>31.81</v>
      </c>
    </row>
    <row r="653" spans="1:4">
      <c r="A653" t="s">
        <v>2039</v>
      </c>
      <c r="B653" t="s">
        <v>762</v>
      </c>
      <c r="C653">
        <v>36</v>
      </c>
      <c r="D653">
        <v>30.88</v>
      </c>
    </row>
    <row r="654" spans="1:4">
      <c r="A654" t="s">
        <v>2039</v>
      </c>
      <c r="B654" t="s">
        <v>762</v>
      </c>
      <c r="C654">
        <v>37</v>
      </c>
      <c r="D654">
        <v>29.94</v>
      </c>
    </row>
    <row r="655" spans="1:4">
      <c r="A655" t="s">
        <v>2039</v>
      </c>
      <c r="B655" t="s">
        <v>762</v>
      </c>
      <c r="C655">
        <v>38</v>
      </c>
      <c r="D655">
        <v>29.01</v>
      </c>
    </row>
    <row r="656" spans="1:4">
      <c r="A656" t="s">
        <v>2039</v>
      </c>
      <c r="B656" t="s">
        <v>762</v>
      </c>
      <c r="C656">
        <v>39</v>
      </c>
      <c r="D656">
        <v>28.07</v>
      </c>
    </row>
    <row r="657" spans="1:4">
      <c r="A657" t="s">
        <v>2039</v>
      </c>
      <c r="B657" t="s">
        <v>762</v>
      </c>
      <c r="C657">
        <v>40</v>
      </c>
      <c r="D657">
        <v>27.14</v>
      </c>
    </row>
    <row r="658" spans="1:4">
      <c r="A658" t="s">
        <v>2039</v>
      </c>
      <c r="B658" t="s">
        <v>762</v>
      </c>
      <c r="C658">
        <v>41</v>
      </c>
      <c r="D658">
        <v>26.21</v>
      </c>
    </row>
    <row r="659" spans="1:4">
      <c r="A659" t="s">
        <v>2039</v>
      </c>
      <c r="B659" t="s">
        <v>762</v>
      </c>
      <c r="C659">
        <v>42</v>
      </c>
      <c r="D659">
        <v>25.29</v>
      </c>
    </row>
    <row r="660" spans="1:4">
      <c r="A660" t="s">
        <v>2039</v>
      </c>
      <c r="B660" t="s">
        <v>762</v>
      </c>
      <c r="C660">
        <v>43</v>
      </c>
      <c r="D660">
        <v>24.37</v>
      </c>
    </row>
    <row r="661" spans="1:4">
      <c r="A661" t="s">
        <v>2039</v>
      </c>
      <c r="B661" t="s">
        <v>762</v>
      </c>
      <c r="C661">
        <v>44</v>
      </c>
      <c r="D661">
        <v>23.45</v>
      </c>
    </row>
    <row r="662" spans="1:4">
      <c r="A662" t="s">
        <v>2039</v>
      </c>
      <c r="B662" t="s">
        <v>762</v>
      </c>
      <c r="C662">
        <v>45</v>
      </c>
      <c r="D662">
        <v>22.54</v>
      </c>
    </row>
    <row r="663" spans="1:4">
      <c r="A663" t="s">
        <v>2039</v>
      </c>
      <c r="B663" t="s">
        <v>762</v>
      </c>
      <c r="C663">
        <v>46</v>
      </c>
      <c r="D663">
        <v>21.63</v>
      </c>
    </row>
    <row r="664" spans="1:4">
      <c r="A664" t="s">
        <v>2039</v>
      </c>
      <c r="B664" t="s">
        <v>762</v>
      </c>
      <c r="C664">
        <v>47</v>
      </c>
      <c r="D664">
        <v>20.73</v>
      </c>
    </row>
    <row r="665" spans="1:4">
      <c r="A665" t="s">
        <v>2039</v>
      </c>
      <c r="B665" t="s">
        <v>762</v>
      </c>
      <c r="C665">
        <v>48</v>
      </c>
      <c r="D665">
        <v>19.84</v>
      </c>
    </row>
    <row r="666" spans="1:4">
      <c r="A666" t="s">
        <v>2039</v>
      </c>
      <c r="B666" t="s">
        <v>762</v>
      </c>
      <c r="C666">
        <v>49</v>
      </c>
      <c r="D666">
        <v>18.96</v>
      </c>
    </row>
    <row r="667" spans="1:4">
      <c r="A667" t="s">
        <v>2039</v>
      </c>
      <c r="B667" t="s">
        <v>762</v>
      </c>
      <c r="C667">
        <v>50</v>
      </c>
      <c r="D667">
        <v>18.079999999999998</v>
      </c>
    </row>
    <row r="668" spans="1:4">
      <c r="A668" t="s">
        <v>2039</v>
      </c>
      <c r="B668" t="s">
        <v>762</v>
      </c>
      <c r="C668">
        <v>51</v>
      </c>
      <c r="D668">
        <v>17.22</v>
      </c>
    </row>
    <row r="669" spans="1:4">
      <c r="A669" t="s">
        <v>2039</v>
      </c>
      <c r="B669" t="s">
        <v>762</v>
      </c>
      <c r="C669">
        <v>52</v>
      </c>
      <c r="D669">
        <v>16.36</v>
      </c>
    </row>
    <row r="670" spans="1:4">
      <c r="A670" t="s">
        <v>2039</v>
      </c>
      <c r="B670" t="s">
        <v>762</v>
      </c>
      <c r="C670">
        <v>53</v>
      </c>
      <c r="D670">
        <v>15.51</v>
      </c>
    </row>
    <row r="671" spans="1:4">
      <c r="A671" t="s">
        <v>2039</v>
      </c>
      <c r="B671" t="s">
        <v>762</v>
      </c>
      <c r="C671">
        <v>54</v>
      </c>
      <c r="D671">
        <v>14.67</v>
      </c>
    </row>
    <row r="672" spans="1:4">
      <c r="A672" t="s">
        <v>2039</v>
      </c>
      <c r="B672" t="s">
        <v>762</v>
      </c>
      <c r="C672">
        <v>55</v>
      </c>
      <c r="D672">
        <v>13.84</v>
      </c>
    </row>
    <row r="673" spans="1:4">
      <c r="A673" t="s">
        <v>2039</v>
      </c>
      <c r="B673" t="s">
        <v>762</v>
      </c>
      <c r="C673">
        <v>56</v>
      </c>
      <c r="D673">
        <v>13.01</v>
      </c>
    </row>
    <row r="674" spans="1:4">
      <c r="A674" t="s">
        <v>2039</v>
      </c>
      <c r="B674" t="s">
        <v>762</v>
      </c>
      <c r="C674">
        <v>57</v>
      </c>
      <c r="D674">
        <v>12.19</v>
      </c>
    </row>
    <row r="675" spans="1:4">
      <c r="A675" t="s">
        <v>2039</v>
      </c>
      <c r="B675" t="s">
        <v>762</v>
      </c>
      <c r="C675">
        <v>58</v>
      </c>
      <c r="D675">
        <v>11.38</v>
      </c>
    </row>
    <row r="676" spans="1:4">
      <c r="A676" t="s">
        <v>2039</v>
      </c>
      <c r="B676" t="s">
        <v>762</v>
      </c>
      <c r="C676">
        <v>59</v>
      </c>
      <c r="D676">
        <v>10.61</v>
      </c>
    </row>
    <row r="677" spans="1:4">
      <c r="A677" t="s">
        <v>2039</v>
      </c>
      <c r="B677" t="s">
        <v>762</v>
      </c>
      <c r="C677">
        <v>60</v>
      </c>
      <c r="D677">
        <v>9.8699999999999992</v>
      </c>
    </row>
    <row r="678" spans="1:4">
      <c r="A678" t="s">
        <v>2039</v>
      </c>
      <c r="B678" t="s">
        <v>762</v>
      </c>
      <c r="C678">
        <v>61</v>
      </c>
      <c r="D678">
        <v>9.19</v>
      </c>
    </row>
    <row r="679" spans="1:4">
      <c r="A679" t="s">
        <v>2039</v>
      </c>
      <c r="B679" t="s">
        <v>762</v>
      </c>
      <c r="C679">
        <v>62</v>
      </c>
      <c r="D679">
        <v>8.57</v>
      </c>
    </row>
    <row r="680" spans="1:4">
      <c r="A680" t="s">
        <v>2039</v>
      </c>
      <c r="B680" t="s">
        <v>762</v>
      </c>
      <c r="C680">
        <v>63</v>
      </c>
      <c r="D680">
        <v>8</v>
      </c>
    </row>
    <row r="681" spans="1:4">
      <c r="A681" t="s">
        <v>2039</v>
      </c>
      <c r="B681" t="s">
        <v>762</v>
      </c>
      <c r="C681">
        <v>64</v>
      </c>
      <c r="D681">
        <v>7.48</v>
      </c>
    </row>
    <row r="682" spans="1:4">
      <c r="A682" t="s">
        <v>2039</v>
      </c>
      <c r="B682" t="s">
        <v>762</v>
      </c>
      <c r="C682">
        <v>65</v>
      </c>
      <c r="D682">
        <v>6.99</v>
      </c>
    </row>
    <row r="683" spans="1:4">
      <c r="A683" t="s">
        <v>2039</v>
      </c>
      <c r="B683" t="s">
        <v>762</v>
      </c>
      <c r="C683">
        <v>66</v>
      </c>
      <c r="D683">
        <v>6.53</v>
      </c>
    </row>
    <row r="684" spans="1:4">
      <c r="A684" t="s">
        <v>2039</v>
      </c>
      <c r="B684" t="s">
        <v>762</v>
      </c>
      <c r="C684">
        <v>67</v>
      </c>
      <c r="D684">
        <v>6.1</v>
      </c>
    </row>
    <row r="685" spans="1:4">
      <c r="A685" t="s">
        <v>2039</v>
      </c>
      <c r="B685" t="s">
        <v>762</v>
      </c>
      <c r="C685">
        <v>68</v>
      </c>
      <c r="D685">
        <v>5.7</v>
      </c>
    </row>
    <row r="686" spans="1:4">
      <c r="A686" t="s">
        <v>2039</v>
      </c>
      <c r="B686" t="s">
        <v>762</v>
      </c>
      <c r="C686">
        <v>69</v>
      </c>
      <c r="D686">
        <v>5.33</v>
      </c>
    </row>
    <row r="687" spans="1:4">
      <c r="A687" t="s">
        <v>2039</v>
      </c>
      <c r="B687" t="s">
        <v>762</v>
      </c>
      <c r="C687">
        <v>70</v>
      </c>
      <c r="D687">
        <v>4.99</v>
      </c>
    </row>
    <row r="688" spans="1:4">
      <c r="A688" t="s">
        <v>2039</v>
      </c>
      <c r="B688" t="s">
        <v>762</v>
      </c>
      <c r="C688">
        <v>71</v>
      </c>
      <c r="D688">
        <v>4.67</v>
      </c>
    </row>
    <row r="689" spans="1:4">
      <c r="A689" t="s">
        <v>2039</v>
      </c>
      <c r="B689" t="s">
        <v>762</v>
      </c>
      <c r="C689">
        <v>72</v>
      </c>
      <c r="D689">
        <v>4.38</v>
      </c>
    </row>
    <row r="690" spans="1:4">
      <c r="A690" t="s">
        <v>2039</v>
      </c>
      <c r="B690" t="s">
        <v>762</v>
      </c>
      <c r="C690">
        <v>73</v>
      </c>
      <c r="D690">
        <v>4.1100000000000003</v>
      </c>
    </row>
    <row r="691" spans="1:4">
      <c r="A691" t="s">
        <v>2039</v>
      </c>
      <c r="B691" t="s">
        <v>762</v>
      </c>
      <c r="C691">
        <v>74</v>
      </c>
      <c r="D691">
        <v>3.87</v>
      </c>
    </row>
    <row r="692" spans="1:4">
      <c r="A692" t="s">
        <v>2039</v>
      </c>
      <c r="B692" t="s">
        <v>762</v>
      </c>
      <c r="C692">
        <v>75</v>
      </c>
      <c r="D692">
        <v>3.64</v>
      </c>
    </row>
    <row r="693" spans="1:4">
      <c r="A693" t="s">
        <v>2039</v>
      </c>
      <c r="B693" t="s">
        <v>762</v>
      </c>
      <c r="C693">
        <v>76</v>
      </c>
      <c r="D693">
        <v>3.44</v>
      </c>
    </row>
    <row r="694" spans="1:4">
      <c r="A694" t="s">
        <v>2039</v>
      </c>
      <c r="B694" t="s">
        <v>762</v>
      </c>
      <c r="C694">
        <v>77</v>
      </c>
      <c r="D694">
        <v>3.25</v>
      </c>
    </row>
    <row r="695" spans="1:4">
      <c r="A695" t="s">
        <v>2039</v>
      </c>
      <c r="B695" t="s">
        <v>762</v>
      </c>
      <c r="C695">
        <v>78</v>
      </c>
      <c r="D695">
        <v>3.08</v>
      </c>
    </row>
    <row r="696" spans="1:4">
      <c r="A696" t="s">
        <v>2039</v>
      </c>
      <c r="B696" t="s">
        <v>762</v>
      </c>
      <c r="C696">
        <v>79</v>
      </c>
      <c r="D696">
        <v>2.92</v>
      </c>
    </row>
    <row r="697" spans="1:4">
      <c r="A697" t="s">
        <v>2039</v>
      </c>
      <c r="B697" t="s">
        <v>762</v>
      </c>
      <c r="C697">
        <v>80</v>
      </c>
      <c r="D697">
        <v>2.78</v>
      </c>
    </row>
    <row r="698" spans="1:4">
      <c r="A698" t="s">
        <v>2039</v>
      </c>
      <c r="B698" t="s">
        <v>762</v>
      </c>
      <c r="C698">
        <v>81</v>
      </c>
      <c r="D698">
        <v>2.64</v>
      </c>
    </row>
    <row r="699" spans="1:4">
      <c r="A699" t="s">
        <v>2039</v>
      </c>
      <c r="B699" t="s">
        <v>762</v>
      </c>
      <c r="C699">
        <v>82</v>
      </c>
      <c r="D699">
        <v>2.52</v>
      </c>
    </row>
    <row r="700" spans="1:4">
      <c r="A700" t="s">
        <v>2039</v>
      </c>
      <c r="B700" t="s">
        <v>762</v>
      </c>
      <c r="C700">
        <v>83</v>
      </c>
      <c r="D700">
        <v>2.4</v>
      </c>
    </row>
    <row r="701" spans="1:4">
      <c r="A701" t="s">
        <v>2039</v>
      </c>
      <c r="B701" t="s">
        <v>762</v>
      </c>
      <c r="C701">
        <v>84</v>
      </c>
      <c r="D701">
        <v>2.29</v>
      </c>
    </row>
    <row r="702" spans="1:4">
      <c r="A702" t="s">
        <v>2039</v>
      </c>
      <c r="B702" t="s">
        <v>762</v>
      </c>
      <c r="C702">
        <v>85</v>
      </c>
      <c r="D702">
        <v>2.1800000000000002</v>
      </c>
    </row>
    <row r="703" spans="1:4">
      <c r="A703" t="s">
        <v>2039</v>
      </c>
      <c r="B703" t="s">
        <v>762</v>
      </c>
      <c r="C703">
        <v>86</v>
      </c>
      <c r="D703">
        <v>2.0699999999999998</v>
      </c>
    </row>
    <row r="704" spans="1:4">
      <c r="A704" t="s">
        <v>2039</v>
      </c>
      <c r="B704" t="s">
        <v>762</v>
      </c>
      <c r="C704">
        <v>87</v>
      </c>
      <c r="D704">
        <v>1.97</v>
      </c>
    </row>
    <row r="705" spans="1:4">
      <c r="A705" t="s">
        <v>2039</v>
      </c>
      <c r="B705" t="s">
        <v>762</v>
      </c>
      <c r="C705">
        <v>88</v>
      </c>
      <c r="D705">
        <v>1.88</v>
      </c>
    </row>
    <row r="706" spans="1:4">
      <c r="A706" t="s">
        <v>2039</v>
      </c>
      <c r="B706" t="s">
        <v>762</v>
      </c>
      <c r="C706">
        <v>89</v>
      </c>
      <c r="D706">
        <v>1.79</v>
      </c>
    </row>
    <row r="707" spans="1:4">
      <c r="A707" t="s">
        <v>2039</v>
      </c>
      <c r="B707" t="s">
        <v>762</v>
      </c>
      <c r="C707">
        <v>90</v>
      </c>
      <c r="D707">
        <v>1.71</v>
      </c>
    </row>
    <row r="708" spans="1:4">
      <c r="A708" t="s">
        <v>748</v>
      </c>
      <c r="B708" t="s">
        <v>746</v>
      </c>
      <c r="C708">
        <v>18</v>
      </c>
      <c r="D708">
        <v>35.71</v>
      </c>
    </row>
    <row r="709" spans="1:4">
      <c r="A709" t="s">
        <v>748</v>
      </c>
      <c r="B709" t="s">
        <v>746</v>
      </c>
      <c r="C709">
        <v>19</v>
      </c>
      <c r="D709">
        <v>35.06</v>
      </c>
    </row>
    <row r="710" spans="1:4">
      <c r="A710" t="s">
        <v>748</v>
      </c>
      <c r="B710" t="s">
        <v>746</v>
      </c>
      <c r="C710">
        <v>20</v>
      </c>
      <c r="D710">
        <v>34.4</v>
      </c>
    </row>
    <row r="711" spans="1:4">
      <c r="A711" t="s">
        <v>748</v>
      </c>
      <c r="B711" t="s">
        <v>746</v>
      </c>
      <c r="C711">
        <v>21</v>
      </c>
      <c r="D711">
        <v>33.72</v>
      </c>
    </row>
    <row r="712" spans="1:4">
      <c r="A712" t="s">
        <v>748</v>
      </c>
      <c r="B712" t="s">
        <v>746</v>
      </c>
      <c r="C712">
        <v>22</v>
      </c>
      <c r="D712">
        <v>33.03</v>
      </c>
    </row>
    <row r="713" spans="1:4">
      <c r="A713" t="s">
        <v>748</v>
      </c>
      <c r="B713" t="s">
        <v>746</v>
      </c>
      <c r="C713">
        <v>23</v>
      </c>
      <c r="D713">
        <v>32.33</v>
      </c>
    </row>
    <row r="714" spans="1:4">
      <c r="A714" t="s">
        <v>748</v>
      </c>
      <c r="B714" t="s">
        <v>746</v>
      </c>
      <c r="C714">
        <v>24</v>
      </c>
      <c r="D714">
        <v>31.61</v>
      </c>
    </row>
    <row r="715" spans="1:4">
      <c r="A715" t="s">
        <v>748</v>
      </c>
      <c r="B715" t="s">
        <v>746</v>
      </c>
      <c r="C715">
        <v>25</v>
      </c>
      <c r="D715">
        <v>30.89</v>
      </c>
    </row>
    <row r="716" spans="1:4">
      <c r="A716" t="s">
        <v>748</v>
      </c>
      <c r="B716" t="s">
        <v>746</v>
      </c>
      <c r="C716">
        <v>26</v>
      </c>
      <c r="D716">
        <v>30.15</v>
      </c>
    </row>
    <row r="717" spans="1:4">
      <c r="A717" t="s">
        <v>748</v>
      </c>
      <c r="B717" t="s">
        <v>746</v>
      </c>
      <c r="C717">
        <v>27</v>
      </c>
      <c r="D717">
        <v>29.42</v>
      </c>
    </row>
    <row r="718" spans="1:4">
      <c r="A718" t="s">
        <v>748</v>
      </c>
      <c r="B718" t="s">
        <v>746</v>
      </c>
      <c r="C718">
        <v>28</v>
      </c>
      <c r="D718">
        <v>28.69</v>
      </c>
    </row>
    <row r="719" spans="1:4">
      <c r="A719" t="s">
        <v>748</v>
      </c>
      <c r="B719" t="s">
        <v>746</v>
      </c>
      <c r="C719">
        <v>29</v>
      </c>
      <c r="D719">
        <v>27.96</v>
      </c>
    </row>
    <row r="720" spans="1:4">
      <c r="A720" t="s">
        <v>748</v>
      </c>
      <c r="B720" t="s">
        <v>746</v>
      </c>
      <c r="C720">
        <v>30</v>
      </c>
      <c r="D720">
        <v>27.22</v>
      </c>
    </row>
    <row r="721" spans="1:4">
      <c r="A721" t="s">
        <v>748</v>
      </c>
      <c r="B721" t="s">
        <v>746</v>
      </c>
      <c r="C721">
        <v>31</v>
      </c>
      <c r="D721">
        <v>26.48</v>
      </c>
    </row>
    <row r="722" spans="1:4">
      <c r="A722" t="s">
        <v>748</v>
      </c>
      <c r="B722" t="s">
        <v>746</v>
      </c>
      <c r="C722">
        <v>32</v>
      </c>
      <c r="D722">
        <v>25.74</v>
      </c>
    </row>
    <row r="723" spans="1:4">
      <c r="A723" t="s">
        <v>748</v>
      </c>
      <c r="B723" t="s">
        <v>746</v>
      </c>
      <c r="C723">
        <v>33</v>
      </c>
      <c r="D723">
        <v>25.01</v>
      </c>
    </row>
    <row r="724" spans="1:4">
      <c r="A724" t="s">
        <v>748</v>
      </c>
      <c r="B724" t="s">
        <v>746</v>
      </c>
      <c r="C724">
        <v>34</v>
      </c>
      <c r="D724">
        <v>24.29</v>
      </c>
    </row>
    <row r="725" spans="1:4">
      <c r="A725" t="s">
        <v>748</v>
      </c>
      <c r="B725" t="s">
        <v>746</v>
      </c>
      <c r="C725">
        <v>35</v>
      </c>
      <c r="D725">
        <v>23.57</v>
      </c>
    </row>
    <row r="726" spans="1:4">
      <c r="A726" t="s">
        <v>748</v>
      </c>
      <c r="B726" t="s">
        <v>746</v>
      </c>
      <c r="C726">
        <v>36</v>
      </c>
      <c r="D726">
        <v>22.85</v>
      </c>
    </row>
    <row r="727" spans="1:4">
      <c r="A727" t="s">
        <v>748</v>
      </c>
      <c r="B727" t="s">
        <v>746</v>
      </c>
      <c r="C727">
        <v>37</v>
      </c>
      <c r="D727">
        <v>22.13</v>
      </c>
    </row>
    <row r="728" spans="1:4">
      <c r="A728" t="s">
        <v>748</v>
      </c>
      <c r="B728" t="s">
        <v>746</v>
      </c>
      <c r="C728">
        <v>38</v>
      </c>
      <c r="D728">
        <v>21.4</v>
      </c>
    </row>
    <row r="729" spans="1:4">
      <c r="A729" t="s">
        <v>748</v>
      </c>
      <c r="B729" t="s">
        <v>746</v>
      </c>
      <c r="C729">
        <v>39</v>
      </c>
      <c r="D729">
        <v>20.66</v>
      </c>
    </row>
    <row r="730" spans="1:4">
      <c r="A730" t="s">
        <v>748</v>
      </c>
      <c r="B730" t="s">
        <v>746</v>
      </c>
      <c r="C730">
        <v>40</v>
      </c>
      <c r="D730">
        <v>19.920000000000002</v>
      </c>
    </row>
    <row r="731" spans="1:4">
      <c r="A731" t="s">
        <v>748</v>
      </c>
      <c r="B731" t="s">
        <v>746</v>
      </c>
      <c r="C731">
        <v>41</v>
      </c>
      <c r="D731">
        <v>19.170000000000002</v>
      </c>
    </row>
    <row r="732" spans="1:4">
      <c r="A732" t="s">
        <v>748</v>
      </c>
      <c r="B732" t="s">
        <v>746</v>
      </c>
      <c r="C732">
        <v>42</v>
      </c>
      <c r="D732">
        <v>18.420000000000002</v>
      </c>
    </row>
    <row r="733" spans="1:4">
      <c r="A733" t="s">
        <v>748</v>
      </c>
      <c r="B733" t="s">
        <v>746</v>
      </c>
      <c r="C733">
        <v>43</v>
      </c>
      <c r="D733">
        <v>17.690000000000001</v>
      </c>
    </row>
    <row r="734" spans="1:4">
      <c r="A734" t="s">
        <v>748</v>
      </c>
      <c r="B734" t="s">
        <v>746</v>
      </c>
      <c r="C734">
        <v>44</v>
      </c>
      <c r="D734">
        <v>16.98</v>
      </c>
    </row>
    <row r="735" spans="1:4">
      <c r="A735" t="s">
        <v>748</v>
      </c>
      <c r="B735" t="s">
        <v>746</v>
      </c>
      <c r="C735">
        <v>45</v>
      </c>
      <c r="D735">
        <v>16.28</v>
      </c>
    </row>
    <row r="736" spans="1:4">
      <c r="A736" t="s">
        <v>748</v>
      </c>
      <c r="B736" t="s">
        <v>746</v>
      </c>
      <c r="C736">
        <v>46</v>
      </c>
      <c r="D736">
        <v>15.59</v>
      </c>
    </row>
    <row r="737" spans="1:4">
      <c r="A737" t="s">
        <v>748</v>
      </c>
      <c r="B737" t="s">
        <v>746</v>
      </c>
      <c r="C737">
        <v>47</v>
      </c>
      <c r="D737">
        <v>14.9</v>
      </c>
    </row>
    <row r="738" spans="1:4">
      <c r="A738" t="s">
        <v>748</v>
      </c>
      <c r="B738" t="s">
        <v>746</v>
      </c>
      <c r="C738">
        <v>48</v>
      </c>
      <c r="D738">
        <v>14.2</v>
      </c>
    </row>
    <row r="739" spans="1:4">
      <c r="A739" t="s">
        <v>748</v>
      </c>
      <c r="B739" t="s">
        <v>746</v>
      </c>
      <c r="C739">
        <v>49</v>
      </c>
      <c r="D739">
        <v>13.5</v>
      </c>
    </row>
    <row r="740" spans="1:4">
      <c r="A740" t="s">
        <v>748</v>
      </c>
      <c r="B740" t="s">
        <v>746</v>
      </c>
      <c r="C740">
        <v>50</v>
      </c>
      <c r="D740">
        <v>12.81</v>
      </c>
    </row>
    <row r="741" spans="1:4">
      <c r="A741" t="s">
        <v>748</v>
      </c>
      <c r="B741" t="s">
        <v>746</v>
      </c>
      <c r="C741">
        <v>51</v>
      </c>
      <c r="D741">
        <v>12.13</v>
      </c>
    </row>
    <row r="742" spans="1:4">
      <c r="A742" t="s">
        <v>748</v>
      </c>
      <c r="B742" t="s">
        <v>746</v>
      </c>
      <c r="C742">
        <v>52</v>
      </c>
      <c r="D742">
        <v>11.46</v>
      </c>
    </row>
    <row r="743" spans="1:4">
      <c r="A743" t="s">
        <v>748</v>
      </c>
      <c r="B743" t="s">
        <v>746</v>
      </c>
      <c r="C743">
        <v>53</v>
      </c>
      <c r="D743">
        <v>10.82</v>
      </c>
    </row>
    <row r="744" spans="1:4">
      <c r="A744" t="s">
        <v>748</v>
      </c>
      <c r="B744" t="s">
        <v>746</v>
      </c>
      <c r="C744">
        <v>54</v>
      </c>
      <c r="D744">
        <v>10.18</v>
      </c>
    </row>
    <row r="745" spans="1:4">
      <c r="A745" t="s">
        <v>748</v>
      </c>
      <c r="B745" t="s">
        <v>746</v>
      </c>
      <c r="C745">
        <v>55</v>
      </c>
      <c r="D745">
        <v>9.56</v>
      </c>
    </row>
    <row r="746" spans="1:4">
      <c r="A746" t="s">
        <v>748</v>
      </c>
      <c r="B746" t="s">
        <v>746</v>
      </c>
      <c r="C746">
        <v>56</v>
      </c>
      <c r="D746">
        <v>8.9499999999999993</v>
      </c>
    </row>
    <row r="747" spans="1:4">
      <c r="A747" t="s">
        <v>748</v>
      </c>
      <c r="B747" t="s">
        <v>746</v>
      </c>
      <c r="C747">
        <v>57</v>
      </c>
      <c r="D747">
        <v>8.34</v>
      </c>
    </row>
    <row r="748" spans="1:4">
      <c r="A748" t="s">
        <v>748</v>
      </c>
      <c r="B748" t="s">
        <v>746</v>
      </c>
      <c r="C748">
        <v>58</v>
      </c>
      <c r="D748">
        <v>7.73</v>
      </c>
    </row>
    <row r="749" spans="1:4">
      <c r="A749" t="s">
        <v>748</v>
      </c>
      <c r="B749" t="s">
        <v>746</v>
      </c>
      <c r="C749">
        <v>59</v>
      </c>
      <c r="D749">
        <v>7.15</v>
      </c>
    </row>
    <row r="750" spans="1:4">
      <c r="A750" t="s">
        <v>748</v>
      </c>
      <c r="B750" t="s">
        <v>746</v>
      </c>
      <c r="C750">
        <v>60</v>
      </c>
      <c r="D750">
        <v>6.61</v>
      </c>
    </row>
    <row r="751" spans="1:4">
      <c r="A751" t="s">
        <v>748</v>
      </c>
      <c r="B751" t="s">
        <v>746</v>
      </c>
      <c r="C751">
        <v>61</v>
      </c>
      <c r="D751">
        <v>6.12</v>
      </c>
    </row>
    <row r="752" spans="1:4">
      <c r="A752" t="s">
        <v>748</v>
      </c>
      <c r="B752" t="s">
        <v>746</v>
      </c>
      <c r="C752">
        <v>62</v>
      </c>
      <c r="D752">
        <v>5.68</v>
      </c>
    </row>
    <row r="753" spans="1:4">
      <c r="A753" t="s">
        <v>748</v>
      </c>
      <c r="B753" t="s">
        <v>746</v>
      </c>
      <c r="C753">
        <v>63</v>
      </c>
      <c r="D753">
        <v>5.28</v>
      </c>
    </row>
    <row r="754" spans="1:4">
      <c r="A754" t="s">
        <v>748</v>
      </c>
      <c r="B754" t="s">
        <v>746</v>
      </c>
      <c r="C754">
        <v>64</v>
      </c>
      <c r="D754">
        <v>4.92</v>
      </c>
    </row>
    <row r="755" spans="1:4">
      <c r="A755" t="s">
        <v>748</v>
      </c>
      <c r="B755" t="s">
        <v>746</v>
      </c>
      <c r="C755">
        <v>65</v>
      </c>
      <c r="D755">
        <v>4.62</v>
      </c>
    </row>
    <row r="756" spans="1:4">
      <c r="A756" t="s">
        <v>748</v>
      </c>
      <c r="B756" t="s">
        <v>746</v>
      </c>
      <c r="C756">
        <v>66</v>
      </c>
      <c r="D756">
        <v>4.37</v>
      </c>
    </row>
    <row r="757" spans="1:4">
      <c r="A757" t="s">
        <v>748</v>
      </c>
      <c r="B757" t="s">
        <v>746</v>
      </c>
      <c r="C757">
        <v>67</v>
      </c>
      <c r="D757">
        <v>4.17</v>
      </c>
    </row>
    <row r="758" spans="1:4">
      <c r="A758" t="s">
        <v>748</v>
      </c>
      <c r="B758" t="s">
        <v>746</v>
      </c>
      <c r="C758">
        <v>68</v>
      </c>
      <c r="D758">
        <v>3.99</v>
      </c>
    </row>
    <row r="759" spans="1:4">
      <c r="A759" t="s">
        <v>748</v>
      </c>
      <c r="B759" t="s">
        <v>746</v>
      </c>
      <c r="C759">
        <v>69</v>
      </c>
      <c r="D759">
        <v>3.82</v>
      </c>
    </row>
    <row r="760" spans="1:4">
      <c r="A760" t="s">
        <v>748</v>
      </c>
      <c r="B760" t="s">
        <v>746</v>
      </c>
      <c r="C760">
        <v>70</v>
      </c>
      <c r="D760">
        <v>3.67</v>
      </c>
    </row>
    <row r="761" spans="1:4">
      <c r="A761" t="s">
        <v>748</v>
      </c>
      <c r="B761" t="s">
        <v>746</v>
      </c>
      <c r="C761">
        <v>71</v>
      </c>
      <c r="D761">
        <v>3.52</v>
      </c>
    </row>
    <row r="762" spans="1:4">
      <c r="A762" t="s">
        <v>748</v>
      </c>
      <c r="B762" t="s">
        <v>746</v>
      </c>
      <c r="C762">
        <v>72</v>
      </c>
      <c r="D762">
        <v>3.38</v>
      </c>
    </row>
    <row r="763" spans="1:4">
      <c r="A763" t="s">
        <v>748</v>
      </c>
      <c r="B763" t="s">
        <v>746</v>
      </c>
      <c r="C763">
        <v>73</v>
      </c>
      <c r="D763">
        <v>3.25</v>
      </c>
    </row>
    <row r="764" spans="1:4">
      <c r="A764" t="s">
        <v>748</v>
      </c>
      <c r="B764" t="s">
        <v>746</v>
      </c>
      <c r="C764">
        <v>74</v>
      </c>
      <c r="D764">
        <v>3.13</v>
      </c>
    </row>
    <row r="765" spans="1:4">
      <c r="A765" t="s">
        <v>748</v>
      </c>
      <c r="B765" t="s">
        <v>746</v>
      </c>
      <c r="C765">
        <v>75</v>
      </c>
      <c r="D765">
        <v>3.02</v>
      </c>
    </row>
    <row r="766" spans="1:4">
      <c r="A766" t="s">
        <v>748</v>
      </c>
      <c r="B766" t="s">
        <v>746</v>
      </c>
      <c r="C766">
        <v>76</v>
      </c>
      <c r="D766">
        <v>2.91</v>
      </c>
    </row>
    <row r="767" spans="1:4">
      <c r="A767" t="s">
        <v>748</v>
      </c>
      <c r="B767" t="s">
        <v>746</v>
      </c>
      <c r="C767">
        <v>77</v>
      </c>
      <c r="D767">
        <v>2.81</v>
      </c>
    </row>
    <row r="768" spans="1:4">
      <c r="A768" t="s">
        <v>748</v>
      </c>
      <c r="B768" t="s">
        <v>746</v>
      </c>
      <c r="C768">
        <v>78</v>
      </c>
      <c r="D768">
        <v>2.71</v>
      </c>
    </row>
    <row r="769" spans="1:4">
      <c r="A769" t="s">
        <v>748</v>
      </c>
      <c r="B769" t="s">
        <v>746</v>
      </c>
      <c r="C769">
        <v>79</v>
      </c>
      <c r="D769">
        <v>2.62</v>
      </c>
    </row>
    <row r="770" spans="1:4">
      <c r="A770" t="s">
        <v>748</v>
      </c>
      <c r="B770" t="s">
        <v>746</v>
      </c>
      <c r="C770">
        <v>80</v>
      </c>
      <c r="D770">
        <v>2.5299999999999998</v>
      </c>
    </row>
    <row r="771" spans="1:4">
      <c r="A771" t="s">
        <v>748</v>
      </c>
      <c r="B771" t="s">
        <v>746</v>
      </c>
      <c r="C771">
        <v>81</v>
      </c>
      <c r="D771">
        <v>2.4500000000000002</v>
      </c>
    </row>
    <row r="772" spans="1:4">
      <c r="A772" t="s">
        <v>748</v>
      </c>
      <c r="B772" t="s">
        <v>746</v>
      </c>
      <c r="C772">
        <v>82</v>
      </c>
      <c r="D772">
        <v>2.36</v>
      </c>
    </row>
    <row r="773" spans="1:4">
      <c r="A773" t="s">
        <v>748</v>
      </c>
      <c r="B773" t="s">
        <v>746</v>
      </c>
      <c r="C773">
        <v>83</v>
      </c>
      <c r="D773">
        <v>2.27</v>
      </c>
    </row>
    <row r="774" spans="1:4">
      <c r="A774" t="s">
        <v>748</v>
      </c>
      <c r="B774" t="s">
        <v>746</v>
      </c>
      <c r="C774">
        <v>84</v>
      </c>
      <c r="D774">
        <v>2.19</v>
      </c>
    </row>
    <row r="775" spans="1:4">
      <c r="A775" t="s">
        <v>748</v>
      </c>
      <c r="B775" t="s">
        <v>746</v>
      </c>
      <c r="C775">
        <v>85</v>
      </c>
      <c r="D775">
        <v>2.11</v>
      </c>
    </row>
    <row r="776" spans="1:4">
      <c r="A776" t="s">
        <v>748</v>
      </c>
      <c r="B776" t="s">
        <v>746</v>
      </c>
      <c r="C776">
        <v>86</v>
      </c>
      <c r="D776">
        <v>2.04</v>
      </c>
    </row>
    <row r="777" spans="1:4">
      <c r="A777" t="s">
        <v>748</v>
      </c>
      <c r="B777" t="s">
        <v>746</v>
      </c>
      <c r="C777">
        <v>87</v>
      </c>
      <c r="D777">
        <v>1.96</v>
      </c>
    </row>
    <row r="778" spans="1:4">
      <c r="A778" t="s">
        <v>748</v>
      </c>
      <c r="B778" t="s">
        <v>746</v>
      </c>
      <c r="C778">
        <v>88</v>
      </c>
      <c r="D778">
        <v>1.89</v>
      </c>
    </row>
    <row r="779" spans="1:4">
      <c r="A779" t="s">
        <v>748</v>
      </c>
      <c r="B779" t="s">
        <v>746</v>
      </c>
      <c r="C779">
        <v>89</v>
      </c>
      <c r="D779">
        <v>1.83</v>
      </c>
    </row>
    <row r="780" spans="1:4">
      <c r="A780" t="s">
        <v>748</v>
      </c>
      <c r="B780" t="s">
        <v>746</v>
      </c>
      <c r="C780">
        <v>90</v>
      </c>
      <c r="D780">
        <v>1.76</v>
      </c>
    </row>
    <row r="781" spans="1:4">
      <c r="A781" t="s">
        <v>2031</v>
      </c>
      <c r="B781" t="s">
        <v>746</v>
      </c>
      <c r="C781">
        <v>18</v>
      </c>
      <c r="D781">
        <v>19.55</v>
      </c>
    </row>
    <row r="782" spans="1:4">
      <c r="A782" t="s">
        <v>2031</v>
      </c>
      <c r="B782" t="s">
        <v>746</v>
      </c>
      <c r="C782">
        <v>19</v>
      </c>
      <c r="D782">
        <v>19.2</v>
      </c>
    </row>
    <row r="783" spans="1:4">
      <c r="A783" t="s">
        <v>2031</v>
      </c>
      <c r="B783" t="s">
        <v>746</v>
      </c>
      <c r="C783">
        <v>20</v>
      </c>
      <c r="D783">
        <v>18.850000000000001</v>
      </c>
    </row>
    <row r="784" spans="1:4">
      <c r="A784" t="s">
        <v>2031</v>
      </c>
      <c r="B784" t="s">
        <v>746</v>
      </c>
      <c r="C784">
        <v>21</v>
      </c>
      <c r="D784">
        <v>18.5</v>
      </c>
    </row>
    <row r="785" spans="1:4">
      <c r="A785" t="s">
        <v>2031</v>
      </c>
      <c r="B785" t="s">
        <v>746</v>
      </c>
      <c r="C785">
        <v>22</v>
      </c>
      <c r="D785">
        <v>18.149999999999999</v>
      </c>
    </row>
    <row r="786" spans="1:4">
      <c r="A786" t="s">
        <v>2031</v>
      </c>
      <c r="B786" t="s">
        <v>746</v>
      </c>
      <c r="C786">
        <v>23</v>
      </c>
      <c r="D786">
        <v>17.8</v>
      </c>
    </row>
    <row r="787" spans="1:4">
      <c r="A787" t="s">
        <v>2031</v>
      </c>
      <c r="B787" t="s">
        <v>746</v>
      </c>
      <c r="C787">
        <v>24</v>
      </c>
      <c r="D787">
        <v>17.46</v>
      </c>
    </row>
    <row r="788" spans="1:4">
      <c r="A788" t="s">
        <v>2031</v>
      </c>
      <c r="B788" t="s">
        <v>746</v>
      </c>
      <c r="C788">
        <v>25</v>
      </c>
      <c r="D788">
        <v>17.11</v>
      </c>
    </row>
    <row r="789" spans="1:4">
      <c r="A789" t="s">
        <v>2031</v>
      </c>
      <c r="B789" t="s">
        <v>746</v>
      </c>
      <c r="C789">
        <v>26</v>
      </c>
      <c r="D789">
        <v>16.77</v>
      </c>
    </row>
    <row r="790" spans="1:4">
      <c r="A790" t="s">
        <v>2031</v>
      </c>
      <c r="B790" t="s">
        <v>746</v>
      </c>
      <c r="C790">
        <v>27</v>
      </c>
      <c r="D790">
        <v>16.43</v>
      </c>
    </row>
    <row r="791" spans="1:4">
      <c r="A791" t="s">
        <v>2031</v>
      </c>
      <c r="B791" t="s">
        <v>746</v>
      </c>
      <c r="C791">
        <v>28</v>
      </c>
      <c r="D791">
        <v>16.100000000000001</v>
      </c>
    </row>
    <row r="792" spans="1:4">
      <c r="A792" t="s">
        <v>2031</v>
      </c>
      <c r="B792" t="s">
        <v>746</v>
      </c>
      <c r="C792">
        <v>29</v>
      </c>
      <c r="D792">
        <v>15.76</v>
      </c>
    </row>
    <row r="793" spans="1:4">
      <c r="A793" t="s">
        <v>2031</v>
      </c>
      <c r="B793" t="s">
        <v>746</v>
      </c>
      <c r="C793">
        <v>30</v>
      </c>
      <c r="D793">
        <v>15.43</v>
      </c>
    </row>
    <row r="794" spans="1:4">
      <c r="A794" t="s">
        <v>2031</v>
      </c>
      <c r="B794" t="s">
        <v>746</v>
      </c>
      <c r="C794">
        <v>31</v>
      </c>
      <c r="D794">
        <v>15.09</v>
      </c>
    </row>
    <row r="795" spans="1:4">
      <c r="A795" t="s">
        <v>2031</v>
      </c>
      <c r="B795" t="s">
        <v>746</v>
      </c>
      <c r="C795">
        <v>32</v>
      </c>
      <c r="D795">
        <v>14.76</v>
      </c>
    </row>
    <row r="796" spans="1:4">
      <c r="A796" t="s">
        <v>2031</v>
      </c>
      <c r="B796" t="s">
        <v>746</v>
      </c>
      <c r="C796">
        <v>33</v>
      </c>
      <c r="D796">
        <v>14.42</v>
      </c>
    </row>
    <row r="797" spans="1:4">
      <c r="A797" t="s">
        <v>2031</v>
      </c>
      <c r="B797" t="s">
        <v>746</v>
      </c>
      <c r="C797">
        <v>34</v>
      </c>
      <c r="D797">
        <v>14.08</v>
      </c>
    </row>
    <row r="798" spans="1:4">
      <c r="A798" t="s">
        <v>2031</v>
      </c>
      <c r="B798" t="s">
        <v>746</v>
      </c>
      <c r="C798">
        <v>35</v>
      </c>
      <c r="D798">
        <v>13.73</v>
      </c>
    </row>
    <row r="799" spans="1:4">
      <c r="A799" t="s">
        <v>2031</v>
      </c>
      <c r="B799" t="s">
        <v>746</v>
      </c>
      <c r="C799">
        <v>36</v>
      </c>
      <c r="D799">
        <v>13.38</v>
      </c>
    </row>
    <row r="800" spans="1:4">
      <c r="A800" t="s">
        <v>2031</v>
      </c>
      <c r="B800" t="s">
        <v>746</v>
      </c>
      <c r="C800">
        <v>37</v>
      </c>
      <c r="D800">
        <v>13.04</v>
      </c>
    </row>
    <row r="801" spans="1:4">
      <c r="A801" t="s">
        <v>2031</v>
      </c>
      <c r="B801" t="s">
        <v>746</v>
      </c>
      <c r="C801">
        <v>38</v>
      </c>
      <c r="D801">
        <v>12.68</v>
      </c>
    </row>
    <row r="802" spans="1:4">
      <c r="A802" t="s">
        <v>2031</v>
      </c>
      <c r="B802" t="s">
        <v>746</v>
      </c>
      <c r="C802">
        <v>39</v>
      </c>
      <c r="D802">
        <v>12.33</v>
      </c>
    </row>
    <row r="803" spans="1:4">
      <c r="A803" t="s">
        <v>2031</v>
      </c>
      <c r="B803" t="s">
        <v>746</v>
      </c>
      <c r="C803">
        <v>40</v>
      </c>
      <c r="D803">
        <v>11.96</v>
      </c>
    </row>
    <row r="804" spans="1:4">
      <c r="A804" t="s">
        <v>2031</v>
      </c>
      <c r="B804" t="s">
        <v>746</v>
      </c>
      <c r="C804">
        <v>41</v>
      </c>
      <c r="D804">
        <v>11.6</v>
      </c>
    </row>
    <row r="805" spans="1:4">
      <c r="A805" t="s">
        <v>2031</v>
      </c>
      <c r="B805" t="s">
        <v>746</v>
      </c>
      <c r="C805">
        <v>42</v>
      </c>
      <c r="D805">
        <v>11.24</v>
      </c>
    </row>
    <row r="806" spans="1:4">
      <c r="A806" t="s">
        <v>2031</v>
      </c>
      <c r="B806" t="s">
        <v>746</v>
      </c>
      <c r="C806">
        <v>43</v>
      </c>
      <c r="D806">
        <v>10.9</v>
      </c>
    </row>
    <row r="807" spans="1:4">
      <c r="A807" t="s">
        <v>2031</v>
      </c>
      <c r="B807" t="s">
        <v>746</v>
      </c>
      <c r="C807">
        <v>44</v>
      </c>
      <c r="D807">
        <v>10.59</v>
      </c>
    </row>
    <row r="808" spans="1:4">
      <c r="A808" t="s">
        <v>2031</v>
      </c>
      <c r="B808" t="s">
        <v>746</v>
      </c>
      <c r="C808">
        <v>45</v>
      </c>
      <c r="D808">
        <v>10.3</v>
      </c>
    </row>
    <row r="809" spans="1:4">
      <c r="A809" t="s">
        <v>2031</v>
      </c>
      <c r="B809" t="s">
        <v>746</v>
      </c>
      <c r="C809">
        <v>46</v>
      </c>
      <c r="D809">
        <v>10.039999999999999</v>
      </c>
    </row>
    <row r="810" spans="1:4">
      <c r="A810" t="s">
        <v>2031</v>
      </c>
      <c r="B810" t="s">
        <v>746</v>
      </c>
      <c r="C810">
        <v>47</v>
      </c>
      <c r="D810">
        <v>9.7899999999999991</v>
      </c>
    </row>
    <row r="811" spans="1:4">
      <c r="A811" t="s">
        <v>2031</v>
      </c>
      <c r="B811" t="s">
        <v>746</v>
      </c>
      <c r="C811">
        <v>48</v>
      </c>
      <c r="D811">
        <v>9.56</v>
      </c>
    </row>
    <row r="812" spans="1:4">
      <c r="A812" t="s">
        <v>2031</v>
      </c>
      <c r="B812" t="s">
        <v>746</v>
      </c>
      <c r="C812">
        <v>49</v>
      </c>
      <c r="D812">
        <v>9.31</v>
      </c>
    </row>
    <row r="813" spans="1:4">
      <c r="A813" t="s">
        <v>2031</v>
      </c>
      <c r="B813" t="s">
        <v>746</v>
      </c>
      <c r="C813">
        <v>50</v>
      </c>
      <c r="D813">
        <v>9.0399999999999991</v>
      </c>
    </row>
    <row r="814" spans="1:4">
      <c r="A814" t="s">
        <v>2031</v>
      </c>
      <c r="B814" t="s">
        <v>746</v>
      </c>
      <c r="C814">
        <v>51</v>
      </c>
      <c r="D814">
        <v>8.74</v>
      </c>
    </row>
    <row r="815" spans="1:4">
      <c r="A815" t="s">
        <v>2031</v>
      </c>
      <c r="B815" t="s">
        <v>746</v>
      </c>
      <c r="C815">
        <v>52</v>
      </c>
      <c r="D815">
        <v>8.4</v>
      </c>
    </row>
    <row r="816" spans="1:4">
      <c r="A816" t="s">
        <v>2031</v>
      </c>
      <c r="B816" t="s">
        <v>746</v>
      </c>
      <c r="C816">
        <v>53</v>
      </c>
      <c r="D816">
        <v>8.0299999999999994</v>
      </c>
    </row>
    <row r="817" spans="1:4">
      <c r="A817" t="s">
        <v>2031</v>
      </c>
      <c r="B817" t="s">
        <v>746</v>
      </c>
      <c r="C817">
        <v>54</v>
      </c>
      <c r="D817">
        <v>7.62</v>
      </c>
    </row>
    <row r="818" spans="1:4">
      <c r="A818" t="s">
        <v>2031</v>
      </c>
      <c r="B818" t="s">
        <v>746</v>
      </c>
      <c r="C818">
        <v>55</v>
      </c>
      <c r="D818">
        <v>7.2</v>
      </c>
    </row>
    <row r="819" spans="1:4">
      <c r="A819" t="s">
        <v>2031</v>
      </c>
      <c r="B819" t="s">
        <v>746</v>
      </c>
      <c r="C819">
        <v>56</v>
      </c>
      <c r="D819">
        <v>6.76</v>
      </c>
    </row>
    <row r="820" spans="1:4">
      <c r="A820" t="s">
        <v>2031</v>
      </c>
      <c r="B820" t="s">
        <v>746</v>
      </c>
      <c r="C820">
        <v>57</v>
      </c>
      <c r="D820">
        <v>6.33</v>
      </c>
    </row>
    <row r="821" spans="1:4">
      <c r="A821" t="s">
        <v>2031</v>
      </c>
      <c r="B821" t="s">
        <v>746</v>
      </c>
      <c r="C821">
        <v>58</v>
      </c>
      <c r="D821">
        <v>5.91</v>
      </c>
    </row>
    <row r="822" spans="1:4">
      <c r="A822" t="s">
        <v>2031</v>
      </c>
      <c r="B822" t="s">
        <v>746</v>
      </c>
      <c r="C822">
        <v>59</v>
      </c>
      <c r="D822">
        <v>5.53</v>
      </c>
    </row>
    <row r="823" spans="1:4">
      <c r="A823" t="s">
        <v>2031</v>
      </c>
      <c r="B823" t="s">
        <v>746</v>
      </c>
      <c r="C823">
        <v>60</v>
      </c>
      <c r="D823">
        <v>5.18</v>
      </c>
    </row>
    <row r="824" spans="1:4">
      <c r="A824" t="s">
        <v>2031</v>
      </c>
      <c r="B824" t="s">
        <v>746</v>
      </c>
      <c r="C824">
        <v>61</v>
      </c>
      <c r="D824">
        <v>4.87</v>
      </c>
    </row>
    <row r="825" spans="1:4">
      <c r="A825" t="s">
        <v>2031</v>
      </c>
      <c r="B825" t="s">
        <v>746</v>
      </c>
      <c r="C825">
        <v>62</v>
      </c>
      <c r="D825">
        <v>4.59</v>
      </c>
    </row>
    <row r="826" spans="1:4">
      <c r="A826" t="s">
        <v>2031</v>
      </c>
      <c r="B826" t="s">
        <v>746</v>
      </c>
      <c r="C826">
        <v>63</v>
      </c>
      <c r="D826">
        <v>4.3499999999999996</v>
      </c>
    </row>
    <row r="827" spans="1:4">
      <c r="A827" t="s">
        <v>2031</v>
      </c>
      <c r="B827" t="s">
        <v>746</v>
      </c>
      <c r="C827">
        <v>64</v>
      </c>
      <c r="D827">
        <v>4.1399999999999997</v>
      </c>
    </row>
    <row r="828" spans="1:4">
      <c r="A828" t="s">
        <v>2031</v>
      </c>
      <c r="B828" t="s">
        <v>746</v>
      </c>
      <c r="C828">
        <v>65</v>
      </c>
      <c r="D828">
        <v>3.95</v>
      </c>
    </row>
    <row r="829" spans="1:4">
      <c r="A829" t="s">
        <v>2031</v>
      </c>
      <c r="B829" t="s">
        <v>746</v>
      </c>
      <c r="C829">
        <v>66</v>
      </c>
      <c r="D829">
        <v>3.78</v>
      </c>
    </row>
    <row r="830" spans="1:4">
      <c r="A830" t="s">
        <v>2031</v>
      </c>
      <c r="B830" t="s">
        <v>746</v>
      </c>
      <c r="C830">
        <v>67</v>
      </c>
      <c r="D830">
        <v>3.63</v>
      </c>
    </row>
    <row r="831" spans="1:4">
      <c r="A831" t="s">
        <v>2031</v>
      </c>
      <c r="B831" t="s">
        <v>746</v>
      </c>
      <c r="C831">
        <v>68</v>
      </c>
      <c r="D831">
        <v>3.48</v>
      </c>
    </row>
    <row r="832" spans="1:4">
      <c r="A832" t="s">
        <v>2031</v>
      </c>
      <c r="B832" t="s">
        <v>746</v>
      </c>
      <c r="C832">
        <v>69</v>
      </c>
      <c r="D832">
        <v>3.34</v>
      </c>
    </row>
    <row r="833" spans="1:4">
      <c r="A833" t="s">
        <v>2031</v>
      </c>
      <c r="B833" t="s">
        <v>746</v>
      </c>
      <c r="C833">
        <v>70</v>
      </c>
      <c r="D833">
        <v>3.2</v>
      </c>
    </row>
    <row r="834" spans="1:4">
      <c r="A834" t="s">
        <v>2031</v>
      </c>
      <c r="B834" t="s">
        <v>746</v>
      </c>
      <c r="C834">
        <v>71</v>
      </c>
      <c r="D834">
        <v>3.05</v>
      </c>
    </row>
    <row r="835" spans="1:4">
      <c r="A835" t="s">
        <v>2031</v>
      </c>
      <c r="B835" t="s">
        <v>746</v>
      </c>
      <c r="C835">
        <v>72</v>
      </c>
      <c r="D835">
        <v>2.91</v>
      </c>
    </row>
    <row r="836" spans="1:4">
      <c r="A836" t="s">
        <v>2031</v>
      </c>
      <c r="B836" t="s">
        <v>746</v>
      </c>
      <c r="C836">
        <v>73</v>
      </c>
      <c r="D836">
        <v>2.78</v>
      </c>
    </row>
    <row r="837" spans="1:4">
      <c r="A837" t="s">
        <v>2031</v>
      </c>
      <c r="B837" t="s">
        <v>746</v>
      </c>
      <c r="C837">
        <v>74</v>
      </c>
      <c r="D837">
        <v>2.65</v>
      </c>
    </row>
    <row r="838" spans="1:4">
      <c r="A838" t="s">
        <v>2031</v>
      </c>
      <c r="B838" t="s">
        <v>746</v>
      </c>
      <c r="C838">
        <v>75</v>
      </c>
      <c r="D838">
        <v>2.54</v>
      </c>
    </row>
    <row r="839" spans="1:4">
      <c r="A839" t="s">
        <v>2031</v>
      </c>
      <c r="B839" t="s">
        <v>746</v>
      </c>
      <c r="C839">
        <v>76</v>
      </c>
      <c r="D839">
        <v>2.42</v>
      </c>
    </row>
    <row r="840" spans="1:4">
      <c r="A840" t="s">
        <v>2031</v>
      </c>
      <c r="B840" t="s">
        <v>746</v>
      </c>
      <c r="C840">
        <v>77</v>
      </c>
      <c r="D840">
        <v>2.3199999999999998</v>
      </c>
    </row>
    <row r="841" spans="1:4">
      <c r="A841" t="s">
        <v>2031</v>
      </c>
      <c r="B841" t="s">
        <v>746</v>
      </c>
      <c r="C841">
        <v>78</v>
      </c>
      <c r="D841">
        <v>2.2200000000000002</v>
      </c>
    </row>
    <row r="842" spans="1:4">
      <c r="A842" t="s">
        <v>2031</v>
      </c>
      <c r="B842" t="s">
        <v>746</v>
      </c>
      <c r="C842">
        <v>79</v>
      </c>
      <c r="D842">
        <v>2.12</v>
      </c>
    </row>
    <row r="843" spans="1:4">
      <c r="A843" t="s">
        <v>2031</v>
      </c>
      <c r="B843" t="s">
        <v>746</v>
      </c>
      <c r="C843">
        <v>80</v>
      </c>
      <c r="D843">
        <v>2.04</v>
      </c>
    </row>
    <row r="844" spans="1:4">
      <c r="A844" t="s">
        <v>2031</v>
      </c>
      <c r="B844" t="s">
        <v>746</v>
      </c>
      <c r="C844">
        <v>81</v>
      </c>
      <c r="D844">
        <v>1.95</v>
      </c>
    </row>
    <row r="845" spans="1:4">
      <c r="A845" t="s">
        <v>2031</v>
      </c>
      <c r="B845" t="s">
        <v>746</v>
      </c>
      <c r="C845">
        <v>82</v>
      </c>
      <c r="D845">
        <v>1.87</v>
      </c>
    </row>
    <row r="846" spans="1:4">
      <c r="A846" t="s">
        <v>2031</v>
      </c>
      <c r="B846" t="s">
        <v>746</v>
      </c>
      <c r="C846">
        <v>83</v>
      </c>
      <c r="D846">
        <v>1.79</v>
      </c>
    </row>
    <row r="847" spans="1:4">
      <c r="A847" t="s">
        <v>2031</v>
      </c>
      <c r="B847" t="s">
        <v>746</v>
      </c>
      <c r="C847">
        <v>84</v>
      </c>
      <c r="D847">
        <v>1.72</v>
      </c>
    </row>
    <row r="848" spans="1:4">
      <c r="A848" t="s">
        <v>2031</v>
      </c>
      <c r="B848" t="s">
        <v>746</v>
      </c>
      <c r="C848">
        <v>85</v>
      </c>
      <c r="D848">
        <v>1.65</v>
      </c>
    </row>
    <row r="849" spans="1:4">
      <c r="A849" t="s">
        <v>2031</v>
      </c>
      <c r="B849" t="s">
        <v>746</v>
      </c>
      <c r="C849">
        <v>86</v>
      </c>
      <c r="D849">
        <v>1.58</v>
      </c>
    </row>
    <row r="850" spans="1:4">
      <c r="A850" t="s">
        <v>2031</v>
      </c>
      <c r="B850" t="s">
        <v>746</v>
      </c>
      <c r="C850">
        <v>87</v>
      </c>
      <c r="D850">
        <v>1.52</v>
      </c>
    </row>
    <row r="851" spans="1:4">
      <c r="A851" t="s">
        <v>2031</v>
      </c>
      <c r="B851" t="s">
        <v>746</v>
      </c>
      <c r="C851">
        <v>88</v>
      </c>
      <c r="D851">
        <v>1.46</v>
      </c>
    </row>
    <row r="852" spans="1:4">
      <c r="A852" t="s">
        <v>2031</v>
      </c>
      <c r="B852" t="s">
        <v>746</v>
      </c>
      <c r="C852">
        <v>89</v>
      </c>
      <c r="D852">
        <v>1.4</v>
      </c>
    </row>
    <row r="853" spans="1:4">
      <c r="A853" t="s">
        <v>2031</v>
      </c>
      <c r="B853" t="s">
        <v>746</v>
      </c>
      <c r="C853">
        <v>90</v>
      </c>
      <c r="D853">
        <v>1.34</v>
      </c>
    </row>
    <row r="854" spans="1:4">
      <c r="A854" t="s">
        <v>2032</v>
      </c>
      <c r="B854" t="s">
        <v>746</v>
      </c>
      <c r="C854">
        <v>18</v>
      </c>
      <c r="D854">
        <v>22.01</v>
      </c>
    </row>
    <row r="855" spans="1:4">
      <c r="A855" t="s">
        <v>2032</v>
      </c>
      <c r="B855" t="s">
        <v>746</v>
      </c>
      <c r="C855">
        <v>19</v>
      </c>
      <c r="D855">
        <v>21.56</v>
      </c>
    </row>
    <row r="856" spans="1:4">
      <c r="A856" t="s">
        <v>2032</v>
      </c>
      <c r="B856" t="s">
        <v>746</v>
      </c>
      <c r="C856">
        <v>20</v>
      </c>
      <c r="D856">
        <v>21.12</v>
      </c>
    </row>
    <row r="857" spans="1:4">
      <c r="A857" t="s">
        <v>2032</v>
      </c>
      <c r="B857" t="s">
        <v>746</v>
      </c>
      <c r="C857">
        <v>21</v>
      </c>
      <c r="D857">
        <v>20.67</v>
      </c>
    </row>
    <row r="858" spans="1:4">
      <c r="A858" t="s">
        <v>2032</v>
      </c>
      <c r="B858" t="s">
        <v>746</v>
      </c>
      <c r="C858">
        <v>22</v>
      </c>
      <c r="D858">
        <v>20.23</v>
      </c>
    </row>
    <row r="859" spans="1:4">
      <c r="A859" t="s">
        <v>2032</v>
      </c>
      <c r="B859" t="s">
        <v>746</v>
      </c>
      <c r="C859">
        <v>23</v>
      </c>
      <c r="D859">
        <v>19.79</v>
      </c>
    </row>
    <row r="860" spans="1:4">
      <c r="A860" t="s">
        <v>2032</v>
      </c>
      <c r="B860" t="s">
        <v>746</v>
      </c>
      <c r="C860">
        <v>24</v>
      </c>
      <c r="D860">
        <v>19.34</v>
      </c>
    </row>
    <row r="861" spans="1:4">
      <c r="A861" t="s">
        <v>2032</v>
      </c>
      <c r="B861" t="s">
        <v>746</v>
      </c>
      <c r="C861">
        <v>25</v>
      </c>
      <c r="D861">
        <v>18.899999999999999</v>
      </c>
    </row>
    <row r="862" spans="1:4">
      <c r="A862" t="s">
        <v>2032</v>
      </c>
      <c r="B862" t="s">
        <v>746</v>
      </c>
      <c r="C862">
        <v>26</v>
      </c>
      <c r="D862">
        <v>18.46</v>
      </c>
    </row>
    <row r="863" spans="1:4">
      <c r="A863" t="s">
        <v>2032</v>
      </c>
      <c r="B863" t="s">
        <v>746</v>
      </c>
      <c r="C863">
        <v>27</v>
      </c>
      <c r="D863">
        <v>18.02</v>
      </c>
    </row>
    <row r="864" spans="1:4">
      <c r="A864" t="s">
        <v>2032</v>
      </c>
      <c r="B864" t="s">
        <v>746</v>
      </c>
      <c r="C864">
        <v>28</v>
      </c>
      <c r="D864">
        <v>17.579999999999998</v>
      </c>
    </row>
    <row r="865" spans="1:4">
      <c r="A865" t="s">
        <v>2032</v>
      </c>
      <c r="B865" t="s">
        <v>746</v>
      </c>
      <c r="C865">
        <v>29</v>
      </c>
      <c r="D865">
        <v>17.14</v>
      </c>
    </row>
    <row r="866" spans="1:4">
      <c r="A866" t="s">
        <v>2032</v>
      </c>
      <c r="B866" t="s">
        <v>746</v>
      </c>
      <c r="C866">
        <v>30</v>
      </c>
      <c r="D866">
        <v>16.7</v>
      </c>
    </row>
    <row r="867" spans="1:4">
      <c r="A867" t="s">
        <v>2032</v>
      </c>
      <c r="B867" t="s">
        <v>746</v>
      </c>
      <c r="C867">
        <v>31</v>
      </c>
      <c r="D867">
        <v>16.260000000000002</v>
      </c>
    </row>
    <row r="868" spans="1:4">
      <c r="A868" t="s">
        <v>2032</v>
      </c>
      <c r="B868" t="s">
        <v>746</v>
      </c>
      <c r="C868">
        <v>32</v>
      </c>
      <c r="D868">
        <v>15.81</v>
      </c>
    </row>
    <row r="869" spans="1:4">
      <c r="A869" t="s">
        <v>2032</v>
      </c>
      <c r="B869" t="s">
        <v>746</v>
      </c>
      <c r="C869">
        <v>33</v>
      </c>
      <c r="D869">
        <v>15.37</v>
      </c>
    </row>
    <row r="870" spans="1:4">
      <c r="A870" t="s">
        <v>2032</v>
      </c>
      <c r="B870" t="s">
        <v>746</v>
      </c>
      <c r="C870">
        <v>34</v>
      </c>
      <c r="D870">
        <v>14.92</v>
      </c>
    </row>
    <row r="871" spans="1:4">
      <c r="A871" t="s">
        <v>2032</v>
      </c>
      <c r="B871" t="s">
        <v>746</v>
      </c>
      <c r="C871">
        <v>35</v>
      </c>
      <c r="D871">
        <v>14.47</v>
      </c>
    </row>
    <row r="872" spans="1:4">
      <c r="A872" t="s">
        <v>2032</v>
      </c>
      <c r="B872" t="s">
        <v>746</v>
      </c>
      <c r="C872">
        <v>36</v>
      </c>
      <c r="D872">
        <v>14.02</v>
      </c>
    </row>
    <row r="873" spans="1:4">
      <c r="A873" t="s">
        <v>2032</v>
      </c>
      <c r="B873" t="s">
        <v>746</v>
      </c>
      <c r="C873">
        <v>37</v>
      </c>
      <c r="D873">
        <v>13.57</v>
      </c>
    </row>
    <row r="874" spans="1:4">
      <c r="A874" t="s">
        <v>2032</v>
      </c>
      <c r="B874" t="s">
        <v>746</v>
      </c>
      <c r="C874">
        <v>38</v>
      </c>
      <c r="D874">
        <v>13.12</v>
      </c>
    </row>
    <row r="875" spans="1:4">
      <c r="A875" t="s">
        <v>2032</v>
      </c>
      <c r="B875" t="s">
        <v>746</v>
      </c>
      <c r="C875">
        <v>39</v>
      </c>
      <c r="D875">
        <v>12.67</v>
      </c>
    </row>
    <row r="876" spans="1:4">
      <c r="A876" t="s">
        <v>2032</v>
      </c>
      <c r="B876" t="s">
        <v>746</v>
      </c>
      <c r="C876">
        <v>40</v>
      </c>
      <c r="D876">
        <v>12.23</v>
      </c>
    </row>
    <row r="877" spans="1:4">
      <c r="A877" t="s">
        <v>2032</v>
      </c>
      <c r="B877" t="s">
        <v>746</v>
      </c>
      <c r="C877">
        <v>41</v>
      </c>
      <c r="D877">
        <v>11.78</v>
      </c>
    </row>
    <row r="878" spans="1:4">
      <c r="A878" t="s">
        <v>2032</v>
      </c>
      <c r="B878" t="s">
        <v>746</v>
      </c>
      <c r="C878">
        <v>42</v>
      </c>
      <c r="D878">
        <v>11.34</v>
      </c>
    </row>
    <row r="879" spans="1:4">
      <c r="A879" t="s">
        <v>2032</v>
      </c>
      <c r="B879" t="s">
        <v>746</v>
      </c>
      <c r="C879">
        <v>43</v>
      </c>
      <c r="D879">
        <v>10.9</v>
      </c>
    </row>
    <row r="880" spans="1:4">
      <c r="A880" t="s">
        <v>2032</v>
      </c>
      <c r="B880" t="s">
        <v>746</v>
      </c>
      <c r="C880">
        <v>44</v>
      </c>
      <c r="D880">
        <v>10.47</v>
      </c>
    </row>
    <row r="881" spans="1:4">
      <c r="A881" t="s">
        <v>2032</v>
      </c>
      <c r="B881" t="s">
        <v>746</v>
      </c>
      <c r="C881">
        <v>45</v>
      </c>
      <c r="D881">
        <v>10.050000000000001</v>
      </c>
    </row>
    <row r="882" spans="1:4">
      <c r="A882" t="s">
        <v>2032</v>
      </c>
      <c r="B882" t="s">
        <v>746</v>
      </c>
      <c r="C882">
        <v>46</v>
      </c>
      <c r="D882">
        <v>9.6300000000000008</v>
      </c>
    </row>
    <row r="883" spans="1:4">
      <c r="A883" t="s">
        <v>2032</v>
      </c>
      <c r="B883" t="s">
        <v>746</v>
      </c>
      <c r="C883">
        <v>47</v>
      </c>
      <c r="D883">
        <v>9.23</v>
      </c>
    </row>
    <row r="884" spans="1:4">
      <c r="A884" t="s">
        <v>2032</v>
      </c>
      <c r="B884" t="s">
        <v>746</v>
      </c>
      <c r="C884">
        <v>48</v>
      </c>
      <c r="D884">
        <v>8.84</v>
      </c>
    </row>
    <row r="885" spans="1:4">
      <c r="A885" t="s">
        <v>2032</v>
      </c>
      <c r="B885" t="s">
        <v>746</v>
      </c>
      <c r="C885">
        <v>49</v>
      </c>
      <c r="D885">
        <v>8.4600000000000009</v>
      </c>
    </row>
    <row r="886" spans="1:4">
      <c r="A886" t="s">
        <v>2032</v>
      </c>
      <c r="B886" t="s">
        <v>746</v>
      </c>
      <c r="C886">
        <v>50</v>
      </c>
      <c r="D886">
        <v>8.09</v>
      </c>
    </row>
    <row r="887" spans="1:4">
      <c r="A887" t="s">
        <v>2032</v>
      </c>
      <c r="B887" t="s">
        <v>746</v>
      </c>
      <c r="C887">
        <v>51</v>
      </c>
      <c r="D887">
        <v>7.73</v>
      </c>
    </row>
    <row r="888" spans="1:4">
      <c r="A888" t="s">
        <v>2032</v>
      </c>
      <c r="B888" t="s">
        <v>746</v>
      </c>
      <c r="C888">
        <v>52</v>
      </c>
      <c r="D888">
        <v>7.38</v>
      </c>
    </row>
    <row r="889" spans="1:4">
      <c r="A889" t="s">
        <v>2032</v>
      </c>
      <c r="B889" t="s">
        <v>746</v>
      </c>
      <c r="C889">
        <v>53</v>
      </c>
      <c r="D889">
        <v>7.04</v>
      </c>
    </row>
    <row r="890" spans="1:4">
      <c r="A890" t="s">
        <v>2032</v>
      </c>
      <c r="B890" t="s">
        <v>746</v>
      </c>
      <c r="C890">
        <v>54</v>
      </c>
      <c r="D890">
        <v>6.71</v>
      </c>
    </row>
    <row r="891" spans="1:4">
      <c r="A891" t="s">
        <v>2032</v>
      </c>
      <c r="B891" t="s">
        <v>746</v>
      </c>
      <c r="C891">
        <v>55</v>
      </c>
      <c r="D891">
        <v>6.4</v>
      </c>
    </row>
    <row r="892" spans="1:4">
      <c r="A892" t="s">
        <v>2032</v>
      </c>
      <c r="B892" t="s">
        <v>746</v>
      </c>
      <c r="C892">
        <v>56</v>
      </c>
      <c r="D892">
        <v>6.1</v>
      </c>
    </row>
    <row r="893" spans="1:4">
      <c r="A893" t="s">
        <v>2032</v>
      </c>
      <c r="B893" t="s">
        <v>746</v>
      </c>
      <c r="C893">
        <v>57</v>
      </c>
      <c r="D893">
        <v>5.82</v>
      </c>
    </row>
    <row r="894" spans="1:4">
      <c r="A894" t="s">
        <v>2032</v>
      </c>
      <c r="B894" t="s">
        <v>746</v>
      </c>
      <c r="C894">
        <v>58</v>
      </c>
      <c r="D894">
        <v>5.54</v>
      </c>
    </row>
    <row r="895" spans="1:4">
      <c r="A895" t="s">
        <v>2032</v>
      </c>
      <c r="B895" t="s">
        <v>746</v>
      </c>
      <c r="C895">
        <v>59</v>
      </c>
      <c r="D895">
        <v>5.28</v>
      </c>
    </row>
    <row r="896" spans="1:4">
      <c r="A896" t="s">
        <v>2032</v>
      </c>
      <c r="B896" t="s">
        <v>746</v>
      </c>
      <c r="C896">
        <v>60</v>
      </c>
      <c r="D896">
        <v>5.04</v>
      </c>
    </row>
    <row r="897" spans="1:4">
      <c r="A897" t="s">
        <v>2032</v>
      </c>
      <c r="B897" t="s">
        <v>746</v>
      </c>
      <c r="C897">
        <v>61</v>
      </c>
      <c r="D897">
        <v>4.8</v>
      </c>
    </row>
    <row r="898" spans="1:4">
      <c r="A898" t="s">
        <v>2032</v>
      </c>
      <c r="B898" t="s">
        <v>746</v>
      </c>
      <c r="C898">
        <v>62</v>
      </c>
      <c r="D898">
        <v>4.58</v>
      </c>
    </row>
    <row r="899" spans="1:4">
      <c r="A899" t="s">
        <v>2032</v>
      </c>
      <c r="B899" t="s">
        <v>746</v>
      </c>
      <c r="C899">
        <v>63</v>
      </c>
      <c r="D899">
        <v>4.37</v>
      </c>
    </row>
    <row r="900" spans="1:4">
      <c r="A900" t="s">
        <v>2032</v>
      </c>
      <c r="B900" t="s">
        <v>746</v>
      </c>
      <c r="C900">
        <v>64</v>
      </c>
      <c r="D900">
        <v>4.17</v>
      </c>
    </row>
    <row r="901" spans="1:4">
      <c r="A901" t="s">
        <v>2032</v>
      </c>
      <c r="B901" t="s">
        <v>746</v>
      </c>
      <c r="C901">
        <v>65</v>
      </c>
      <c r="D901">
        <v>3.98</v>
      </c>
    </row>
    <row r="902" spans="1:4">
      <c r="A902" t="s">
        <v>2032</v>
      </c>
      <c r="B902" t="s">
        <v>746</v>
      </c>
      <c r="C902">
        <v>66</v>
      </c>
      <c r="D902">
        <v>3.8</v>
      </c>
    </row>
    <row r="903" spans="1:4">
      <c r="A903" t="s">
        <v>2032</v>
      </c>
      <c r="B903" t="s">
        <v>746</v>
      </c>
      <c r="C903">
        <v>67</v>
      </c>
      <c r="D903">
        <v>3.63</v>
      </c>
    </row>
    <row r="904" spans="1:4">
      <c r="A904" t="s">
        <v>2032</v>
      </c>
      <c r="B904" t="s">
        <v>746</v>
      </c>
      <c r="C904">
        <v>68</v>
      </c>
      <c r="D904">
        <v>3.47</v>
      </c>
    </row>
    <row r="905" spans="1:4">
      <c r="A905" t="s">
        <v>2032</v>
      </c>
      <c r="B905" t="s">
        <v>746</v>
      </c>
      <c r="C905">
        <v>69</v>
      </c>
      <c r="D905">
        <v>3.32</v>
      </c>
    </row>
    <row r="906" spans="1:4">
      <c r="A906" t="s">
        <v>2032</v>
      </c>
      <c r="B906" t="s">
        <v>746</v>
      </c>
      <c r="C906">
        <v>70</v>
      </c>
      <c r="D906">
        <v>3.18</v>
      </c>
    </row>
    <row r="907" spans="1:4">
      <c r="A907" t="s">
        <v>2032</v>
      </c>
      <c r="B907" t="s">
        <v>746</v>
      </c>
      <c r="C907">
        <v>71</v>
      </c>
      <c r="D907">
        <v>3.05</v>
      </c>
    </row>
    <row r="908" spans="1:4">
      <c r="A908" t="s">
        <v>2032</v>
      </c>
      <c r="B908" t="s">
        <v>746</v>
      </c>
      <c r="C908">
        <v>72</v>
      </c>
      <c r="D908">
        <v>2.92</v>
      </c>
    </row>
    <row r="909" spans="1:4">
      <c r="A909" t="s">
        <v>2032</v>
      </c>
      <c r="B909" t="s">
        <v>746</v>
      </c>
      <c r="C909">
        <v>73</v>
      </c>
      <c r="D909">
        <v>2.81</v>
      </c>
    </row>
    <row r="910" spans="1:4">
      <c r="A910" t="s">
        <v>2032</v>
      </c>
      <c r="B910" t="s">
        <v>746</v>
      </c>
      <c r="C910">
        <v>74</v>
      </c>
      <c r="D910">
        <v>2.7</v>
      </c>
    </row>
    <row r="911" spans="1:4">
      <c r="A911" t="s">
        <v>2032</v>
      </c>
      <c r="B911" t="s">
        <v>746</v>
      </c>
      <c r="C911">
        <v>75</v>
      </c>
      <c r="D911">
        <v>2.59</v>
      </c>
    </row>
    <row r="912" spans="1:4">
      <c r="A912" t="s">
        <v>2032</v>
      </c>
      <c r="B912" t="s">
        <v>746</v>
      </c>
      <c r="C912">
        <v>76</v>
      </c>
      <c r="D912">
        <v>2.5</v>
      </c>
    </row>
    <row r="913" spans="1:4">
      <c r="A913" t="s">
        <v>2032</v>
      </c>
      <c r="B913" t="s">
        <v>746</v>
      </c>
      <c r="C913">
        <v>77</v>
      </c>
      <c r="D913">
        <v>2.4</v>
      </c>
    </row>
    <row r="914" spans="1:4">
      <c r="A914" t="s">
        <v>2032</v>
      </c>
      <c r="B914" t="s">
        <v>746</v>
      </c>
      <c r="C914">
        <v>78</v>
      </c>
      <c r="D914">
        <v>2.3199999999999998</v>
      </c>
    </row>
    <row r="915" spans="1:4">
      <c r="A915" t="s">
        <v>2032</v>
      </c>
      <c r="B915" t="s">
        <v>746</v>
      </c>
      <c r="C915">
        <v>79</v>
      </c>
      <c r="D915">
        <v>2.23</v>
      </c>
    </row>
    <row r="916" spans="1:4">
      <c r="A916" t="s">
        <v>2032</v>
      </c>
      <c r="B916" t="s">
        <v>746</v>
      </c>
      <c r="C916">
        <v>80</v>
      </c>
      <c r="D916">
        <v>2.15</v>
      </c>
    </row>
    <row r="917" spans="1:4">
      <c r="A917" t="s">
        <v>2032</v>
      </c>
      <c r="B917" t="s">
        <v>746</v>
      </c>
      <c r="C917">
        <v>81</v>
      </c>
      <c r="D917">
        <v>2.08</v>
      </c>
    </row>
    <row r="918" spans="1:4">
      <c r="A918" t="s">
        <v>2032</v>
      </c>
      <c r="B918" t="s">
        <v>746</v>
      </c>
      <c r="C918">
        <v>82</v>
      </c>
      <c r="D918">
        <v>2.0099999999999998</v>
      </c>
    </row>
    <row r="919" spans="1:4">
      <c r="A919" t="s">
        <v>2032</v>
      </c>
      <c r="B919" t="s">
        <v>746</v>
      </c>
      <c r="C919">
        <v>83</v>
      </c>
      <c r="D919">
        <v>1.94</v>
      </c>
    </row>
    <row r="920" spans="1:4">
      <c r="A920" t="s">
        <v>2032</v>
      </c>
      <c r="B920" t="s">
        <v>746</v>
      </c>
      <c r="C920">
        <v>84</v>
      </c>
      <c r="D920">
        <v>1.87</v>
      </c>
    </row>
    <row r="921" spans="1:4">
      <c r="A921" t="s">
        <v>2032</v>
      </c>
      <c r="B921" t="s">
        <v>746</v>
      </c>
      <c r="C921">
        <v>85</v>
      </c>
      <c r="D921">
        <v>1.8</v>
      </c>
    </row>
    <row r="922" spans="1:4">
      <c r="A922" t="s">
        <v>2032</v>
      </c>
      <c r="B922" t="s">
        <v>746</v>
      </c>
      <c r="C922">
        <v>86</v>
      </c>
      <c r="D922">
        <v>1.74</v>
      </c>
    </row>
    <row r="923" spans="1:4">
      <c r="A923" t="s">
        <v>2032</v>
      </c>
      <c r="B923" t="s">
        <v>746</v>
      </c>
      <c r="C923">
        <v>87</v>
      </c>
      <c r="D923">
        <v>1.67</v>
      </c>
    </row>
    <row r="924" spans="1:4">
      <c r="A924" t="s">
        <v>2032</v>
      </c>
      <c r="B924" t="s">
        <v>746</v>
      </c>
      <c r="C924">
        <v>88</v>
      </c>
      <c r="D924">
        <v>1.61</v>
      </c>
    </row>
    <row r="925" spans="1:4">
      <c r="A925" t="s">
        <v>2032</v>
      </c>
      <c r="B925" t="s">
        <v>746</v>
      </c>
      <c r="C925">
        <v>89</v>
      </c>
      <c r="D925">
        <v>1.55</v>
      </c>
    </row>
    <row r="926" spans="1:4">
      <c r="A926" t="s">
        <v>2032</v>
      </c>
      <c r="B926" t="s">
        <v>746</v>
      </c>
      <c r="C926">
        <v>90</v>
      </c>
      <c r="D926">
        <v>1.49</v>
      </c>
    </row>
    <row r="927" spans="1:4">
      <c r="A927" t="s">
        <v>2033</v>
      </c>
      <c r="B927" t="s">
        <v>746</v>
      </c>
      <c r="C927">
        <v>18</v>
      </c>
      <c r="D927">
        <v>28.21</v>
      </c>
    </row>
    <row r="928" spans="1:4">
      <c r="A928" t="s">
        <v>2033</v>
      </c>
      <c r="B928" t="s">
        <v>746</v>
      </c>
      <c r="C928">
        <v>19</v>
      </c>
      <c r="D928">
        <v>27.68</v>
      </c>
    </row>
    <row r="929" spans="1:4">
      <c r="A929" t="s">
        <v>2033</v>
      </c>
      <c r="B929" t="s">
        <v>746</v>
      </c>
      <c r="C929">
        <v>20</v>
      </c>
      <c r="D929">
        <v>27.15</v>
      </c>
    </row>
    <row r="930" spans="1:4">
      <c r="A930" t="s">
        <v>2033</v>
      </c>
      <c r="B930" t="s">
        <v>746</v>
      </c>
      <c r="C930">
        <v>21</v>
      </c>
      <c r="D930">
        <v>26.61</v>
      </c>
    </row>
    <row r="931" spans="1:4">
      <c r="A931" t="s">
        <v>2033</v>
      </c>
      <c r="B931" t="s">
        <v>746</v>
      </c>
      <c r="C931">
        <v>22</v>
      </c>
      <c r="D931">
        <v>26.07</v>
      </c>
    </row>
    <row r="932" spans="1:4">
      <c r="A932" t="s">
        <v>2033</v>
      </c>
      <c r="B932" t="s">
        <v>746</v>
      </c>
      <c r="C932">
        <v>23</v>
      </c>
      <c r="D932">
        <v>25.53</v>
      </c>
    </row>
    <row r="933" spans="1:4">
      <c r="A933" t="s">
        <v>2033</v>
      </c>
      <c r="B933" t="s">
        <v>746</v>
      </c>
      <c r="C933">
        <v>24</v>
      </c>
      <c r="D933">
        <v>24.98</v>
      </c>
    </row>
    <row r="934" spans="1:4">
      <c r="A934" t="s">
        <v>2033</v>
      </c>
      <c r="B934" t="s">
        <v>746</v>
      </c>
      <c r="C934">
        <v>25</v>
      </c>
      <c r="D934">
        <v>24.43</v>
      </c>
    </row>
    <row r="935" spans="1:4">
      <c r="A935" t="s">
        <v>2033</v>
      </c>
      <c r="B935" t="s">
        <v>746</v>
      </c>
      <c r="C935">
        <v>26</v>
      </c>
      <c r="D935">
        <v>23.87</v>
      </c>
    </row>
    <row r="936" spans="1:4">
      <c r="A936" t="s">
        <v>2033</v>
      </c>
      <c r="B936" t="s">
        <v>746</v>
      </c>
      <c r="C936">
        <v>27</v>
      </c>
      <c r="D936">
        <v>23.3</v>
      </c>
    </row>
    <row r="937" spans="1:4">
      <c r="A937" t="s">
        <v>2033</v>
      </c>
      <c r="B937" t="s">
        <v>746</v>
      </c>
      <c r="C937">
        <v>28</v>
      </c>
      <c r="D937">
        <v>22.73</v>
      </c>
    </row>
    <row r="938" spans="1:4">
      <c r="A938" t="s">
        <v>2033</v>
      </c>
      <c r="B938" t="s">
        <v>746</v>
      </c>
      <c r="C938">
        <v>29</v>
      </c>
      <c r="D938">
        <v>22.14</v>
      </c>
    </row>
    <row r="939" spans="1:4">
      <c r="A939" t="s">
        <v>2033</v>
      </c>
      <c r="B939" t="s">
        <v>746</v>
      </c>
      <c r="C939">
        <v>30</v>
      </c>
      <c r="D939">
        <v>21.54</v>
      </c>
    </row>
    <row r="940" spans="1:4">
      <c r="A940" t="s">
        <v>2033</v>
      </c>
      <c r="B940" t="s">
        <v>746</v>
      </c>
      <c r="C940">
        <v>31</v>
      </c>
      <c r="D940">
        <v>20.93</v>
      </c>
    </row>
    <row r="941" spans="1:4">
      <c r="A941" t="s">
        <v>2033</v>
      </c>
      <c r="B941" t="s">
        <v>746</v>
      </c>
      <c r="C941">
        <v>32</v>
      </c>
      <c r="D941">
        <v>20.309999999999999</v>
      </c>
    </row>
    <row r="942" spans="1:4">
      <c r="A942" t="s">
        <v>2033</v>
      </c>
      <c r="B942" t="s">
        <v>746</v>
      </c>
      <c r="C942">
        <v>33</v>
      </c>
      <c r="D942">
        <v>19.68</v>
      </c>
    </row>
    <row r="943" spans="1:4">
      <c r="A943" t="s">
        <v>2033</v>
      </c>
      <c r="B943" t="s">
        <v>746</v>
      </c>
      <c r="C943">
        <v>34</v>
      </c>
      <c r="D943">
        <v>19.04</v>
      </c>
    </row>
    <row r="944" spans="1:4">
      <c r="A944" t="s">
        <v>2033</v>
      </c>
      <c r="B944" t="s">
        <v>746</v>
      </c>
      <c r="C944">
        <v>35</v>
      </c>
      <c r="D944">
        <v>18.399999999999999</v>
      </c>
    </row>
    <row r="945" spans="1:4">
      <c r="A945" t="s">
        <v>2033</v>
      </c>
      <c r="B945" t="s">
        <v>746</v>
      </c>
      <c r="C945">
        <v>36</v>
      </c>
      <c r="D945">
        <v>17.760000000000002</v>
      </c>
    </row>
    <row r="946" spans="1:4">
      <c r="A946" t="s">
        <v>2033</v>
      </c>
      <c r="B946" t="s">
        <v>746</v>
      </c>
      <c r="C946">
        <v>37</v>
      </c>
      <c r="D946">
        <v>17.11</v>
      </c>
    </row>
    <row r="947" spans="1:4">
      <c r="A947" t="s">
        <v>2033</v>
      </c>
      <c r="B947" t="s">
        <v>746</v>
      </c>
      <c r="C947">
        <v>38</v>
      </c>
      <c r="D947">
        <v>16.48</v>
      </c>
    </row>
    <row r="948" spans="1:4">
      <c r="A948" t="s">
        <v>2033</v>
      </c>
      <c r="B948" t="s">
        <v>746</v>
      </c>
      <c r="C948">
        <v>39</v>
      </c>
      <c r="D948">
        <v>15.85</v>
      </c>
    </row>
    <row r="949" spans="1:4">
      <c r="A949" t="s">
        <v>2033</v>
      </c>
      <c r="B949" t="s">
        <v>746</v>
      </c>
      <c r="C949">
        <v>40</v>
      </c>
      <c r="D949">
        <v>15.24</v>
      </c>
    </row>
    <row r="950" spans="1:4">
      <c r="A950" t="s">
        <v>2033</v>
      </c>
      <c r="B950" t="s">
        <v>746</v>
      </c>
      <c r="C950">
        <v>41</v>
      </c>
      <c r="D950">
        <v>14.66</v>
      </c>
    </row>
    <row r="951" spans="1:4">
      <c r="A951" t="s">
        <v>2033</v>
      </c>
      <c r="B951" t="s">
        <v>746</v>
      </c>
      <c r="C951">
        <v>42</v>
      </c>
      <c r="D951">
        <v>14.1</v>
      </c>
    </row>
    <row r="952" spans="1:4">
      <c r="A952" t="s">
        <v>2033</v>
      </c>
      <c r="B952" t="s">
        <v>746</v>
      </c>
      <c r="C952">
        <v>43</v>
      </c>
      <c r="D952">
        <v>13.58</v>
      </c>
    </row>
    <row r="953" spans="1:4">
      <c r="A953" t="s">
        <v>2033</v>
      </c>
      <c r="B953" t="s">
        <v>746</v>
      </c>
      <c r="C953">
        <v>44</v>
      </c>
      <c r="D953">
        <v>13.08</v>
      </c>
    </row>
    <row r="954" spans="1:4">
      <c r="A954" t="s">
        <v>2033</v>
      </c>
      <c r="B954" t="s">
        <v>746</v>
      </c>
      <c r="C954">
        <v>45</v>
      </c>
      <c r="D954">
        <v>12.62</v>
      </c>
    </row>
    <row r="955" spans="1:4">
      <c r="A955" t="s">
        <v>2033</v>
      </c>
      <c r="B955" t="s">
        <v>746</v>
      </c>
      <c r="C955">
        <v>46</v>
      </c>
      <c r="D955">
        <v>12.18</v>
      </c>
    </row>
    <row r="956" spans="1:4">
      <c r="A956" t="s">
        <v>2033</v>
      </c>
      <c r="B956" t="s">
        <v>746</v>
      </c>
      <c r="C956">
        <v>47</v>
      </c>
      <c r="D956">
        <v>11.76</v>
      </c>
    </row>
    <row r="957" spans="1:4">
      <c r="A957" t="s">
        <v>2033</v>
      </c>
      <c r="B957" t="s">
        <v>746</v>
      </c>
      <c r="C957">
        <v>48</v>
      </c>
      <c r="D957">
        <v>11.34</v>
      </c>
    </row>
    <row r="958" spans="1:4">
      <c r="A958" t="s">
        <v>2033</v>
      </c>
      <c r="B958" t="s">
        <v>746</v>
      </c>
      <c r="C958">
        <v>49</v>
      </c>
      <c r="D958">
        <v>10.92</v>
      </c>
    </row>
    <row r="959" spans="1:4">
      <c r="A959" t="s">
        <v>2033</v>
      </c>
      <c r="B959" t="s">
        <v>746</v>
      </c>
      <c r="C959">
        <v>50</v>
      </c>
      <c r="D959">
        <v>10.49</v>
      </c>
    </row>
    <row r="960" spans="1:4">
      <c r="A960" t="s">
        <v>2033</v>
      </c>
      <c r="B960" t="s">
        <v>746</v>
      </c>
      <c r="C960">
        <v>51</v>
      </c>
      <c r="D960">
        <v>10.029999999999999</v>
      </c>
    </row>
    <row r="961" spans="1:4">
      <c r="A961" t="s">
        <v>2033</v>
      </c>
      <c r="B961" t="s">
        <v>746</v>
      </c>
      <c r="C961">
        <v>52</v>
      </c>
      <c r="D961">
        <v>9.58</v>
      </c>
    </row>
    <row r="962" spans="1:4">
      <c r="A962" t="s">
        <v>2033</v>
      </c>
      <c r="B962" t="s">
        <v>746</v>
      </c>
      <c r="C962">
        <v>53</v>
      </c>
      <c r="D962">
        <v>9.11</v>
      </c>
    </row>
    <row r="963" spans="1:4">
      <c r="A963" t="s">
        <v>2033</v>
      </c>
      <c r="B963" t="s">
        <v>746</v>
      </c>
      <c r="C963">
        <v>54</v>
      </c>
      <c r="D963">
        <v>8.65</v>
      </c>
    </row>
    <row r="964" spans="1:4">
      <c r="A964" t="s">
        <v>2033</v>
      </c>
      <c r="B964" t="s">
        <v>746</v>
      </c>
      <c r="C964">
        <v>55</v>
      </c>
      <c r="D964">
        <v>8.18</v>
      </c>
    </row>
    <row r="965" spans="1:4">
      <c r="A965" t="s">
        <v>2033</v>
      </c>
      <c r="B965" t="s">
        <v>746</v>
      </c>
      <c r="C965">
        <v>56</v>
      </c>
      <c r="D965">
        <v>7.72</v>
      </c>
    </row>
    <row r="966" spans="1:4">
      <c r="A966" t="s">
        <v>2033</v>
      </c>
      <c r="B966" t="s">
        <v>746</v>
      </c>
      <c r="C966">
        <v>57</v>
      </c>
      <c r="D966">
        <v>7.26</v>
      </c>
    </row>
    <row r="967" spans="1:4">
      <c r="A967" t="s">
        <v>2033</v>
      </c>
      <c r="B967" t="s">
        <v>746</v>
      </c>
      <c r="C967">
        <v>58</v>
      </c>
      <c r="D967">
        <v>6.82</v>
      </c>
    </row>
    <row r="968" spans="1:4">
      <c r="A968" t="s">
        <v>2033</v>
      </c>
      <c r="B968" t="s">
        <v>746</v>
      </c>
      <c r="C968">
        <v>59</v>
      </c>
      <c r="D968">
        <v>6.41</v>
      </c>
    </row>
    <row r="969" spans="1:4">
      <c r="A969" t="s">
        <v>2033</v>
      </c>
      <c r="B969" t="s">
        <v>746</v>
      </c>
      <c r="C969">
        <v>60</v>
      </c>
      <c r="D969">
        <v>6.04</v>
      </c>
    </row>
    <row r="970" spans="1:4">
      <c r="A970" t="s">
        <v>2033</v>
      </c>
      <c r="B970" t="s">
        <v>746</v>
      </c>
      <c r="C970">
        <v>61</v>
      </c>
      <c r="D970">
        <v>5.71</v>
      </c>
    </row>
    <row r="971" spans="1:4">
      <c r="A971" t="s">
        <v>2033</v>
      </c>
      <c r="B971" t="s">
        <v>746</v>
      </c>
      <c r="C971">
        <v>62</v>
      </c>
      <c r="D971">
        <v>5.41</v>
      </c>
    </row>
    <row r="972" spans="1:4">
      <c r="A972" t="s">
        <v>2033</v>
      </c>
      <c r="B972" t="s">
        <v>746</v>
      </c>
      <c r="C972">
        <v>63</v>
      </c>
      <c r="D972">
        <v>5.14</v>
      </c>
    </row>
    <row r="973" spans="1:4">
      <c r="A973" t="s">
        <v>2033</v>
      </c>
      <c r="B973" t="s">
        <v>746</v>
      </c>
      <c r="C973">
        <v>64</v>
      </c>
      <c r="D973">
        <v>4.8899999999999997</v>
      </c>
    </row>
    <row r="974" spans="1:4">
      <c r="A974" t="s">
        <v>2033</v>
      </c>
      <c r="B974" t="s">
        <v>746</v>
      </c>
      <c r="C974">
        <v>65</v>
      </c>
      <c r="D974">
        <v>4.66</v>
      </c>
    </row>
    <row r="975" spans="1:4">
      <c r="A975" t="s">
        <v>2033</v>
      </c>
      <c r="B975" t="s">
        <v>746</v>
      </c>
      <c r="C975">
        <v>66</v>
      </c>
      <c r="D975">
        <v>4.46</v>
      </c>
    </row>
    <row r="976" spans="1:4">
      <c r="A976" t="s">
        <v>2033</v>
      </c>
      <c r="B976" t="s">
        <v>746</v>
      </c>
      <c r="C976">
        <v>67</v>
      </c>
      <c r="D976">
        <v>4.2699999999999996</v>
      </c>
    </row>
    <row r="977" spans="1:4">
      <c r="A977" t="s">
        <v>2033</v>
      </c>
      <c r="B977" t="s">
        <v>746</v>
      </c>
      <c r="C977">
        <v>68</v>
      </c>
      <c r="D977">
        <v>4.0999999999999996</v>
      </c>
    </row>
    <row r="978" spans="1:4">
      <c r="A978" t="s">
        <v>2033</v>
      </c>
      <c r="B978" t="s">
        <v>746</v>
      </c>
      <c r="C978">
        <v>69</v>
      </c>
      <c r="D978">
        <v>3.93</v>
      </c>
    </row>
    <row r="979" spans="1:4">
      <c r="A979" t="s">
        <v>2033</v>
      </c>
      <c r="B979" t="s">
        <v>746</v>
      </c>
      <c r="C979">
        <v>70</v>
      </c>
      <c r="D979">
        <v>3.78</v>
      </c>
    </row>
    <row r="980" spans="1:4">
      <c r="A980" t="s">
        <v>2033</v>
      </c>
      <c r="B980" t="s">
        <v>746</v>
      </c>
      <c r="C980">
        <v>71</v>
      </c>
      <c r="D980">
        <v>3.63</v>
      </c>
    </row>
    <row r="981" spans="1:4">
      <c r="A981" t="s">
        <v>2033</v>
      </c>
      <c r="B981" t="s">
        <v>746</v>
      </c>
      <c r="C981">
        <v>72</v>
      </c>
      <c r="D981">
        <v>3.49</v>
      </c>
    </row>
    <row r="982" spans="1:4">
      <c r="A982" t="s">
        <v>2033</v>
      </c>
      <c r="B982" t="s">
        <v>746</v>
      </c>
      <c r="C982">
        <v>73</v>
      </c>
      <c r="D982">
        <v>3.35</v>
      </c>
    </row>
    <row r="983" spans="1:4">
      <c r="A983" t="s">
        <v>2033</v>
      </c>
      <c r="B983" t="s">
        <v>746</v>
      </c>
      <c r="C983">
        <v>74</v>
      </c>
      <c r="D983">
        <v>3.23</v>
      </c>
    </row>
    <row r="984" spans="1:4">
      <c r="A984" t="s">
        <v>2033</v>
      </c>
      <c r="B984" t="s">
        <v>746</v>
      </c>
      <c r="C984">
        <v>75</v>
      </c>
      <c r="D984">
        <v>3.11</v>
      </c>
    </row>
    <row r="985" spans="1:4">
      <c r="A985" t="s">
        <v>2033</v>
      </c>
      <c r="B985" t="s">
        <v>746</v>
      </c>
      <c r="C985">
        <v>76</v>
      </c>
      <c r="D985">
        <v>2.99</v>
      </c>
    </row>
    <row r="986" spans="1:4">
      <c r="A986" t="s">
        <v>2033</v>
      </c>
      <c r="B986" t="s">
        <v>746</v>
      </c>
      <c r="C986">
        <v>77</v>
      </c>
      <c r="D986">
        <v>2.88</v>
      </c>
    </row>
    <row r="987" spans="1:4">
      <c r="A987" t="s">
        <v>2033</v>
      </c>
      <c r="B987" t="s">
        <v>746</v>
      </c>
      <c r="C987">
        <v>78</v>
      </c>
      <c r="D987">
        <v>2.78</v>
      </c>
    </row>
    <row r="988" spans="1:4">
      <c r="A988" t="s">
        <v>2033</v>
      </c>
      <c r="B988" t="s">
        <v>746</v>
      </c>
      <c r="C988">
        <v>79</v>
      </c>
      <c r="D988">
        <v>2.68</v>
      </c>
    </row>
    <row r="989" spans="1:4">
      <c r="A989" t="s">
        <v>2033</v>
      </c>
      <c r="B989" t="s">
        <v>746</v>
      </c>
      <c r="C989">
        <v>80</v>
      </c>
      <c r="D989">
        <v>2.58</v>
      </c>
    </row>
    <row r="990" spans="1:4">
      <c r="A990" t="s">
        <v>2033</v>
      </c>
      <c r="B990" t="s">
        <v>746</v>
      </c>
      <c r="C990">
        <v>81</v>
      </c>
      <c r="D990">
        <v>2.4900000000000002</v>
      </c>
    </row>
    <row r="991" spans="1:4">
      <c r="A991" t="s">
        <v>2033</v>
      </c>
      <c r="B991" t="s">
        <v>746</v>
      </c>
      <c r="C991">
        <v>82</v>
      </c>
      <c r="D991">
        <v>2.41</v>
      </c>
    </row>
    <row r="992" spans="1:4">
      <c r="A992" t="s">
        <v>2033</v>
      </c>
      <c r="B992" t="s">
        <v>746</v>
      </c>
      <c r="C992">
        <v>83</v>
      </c>
      <c r="D992">
        <v>2.3199999999999998</v>
      </c>
    </row>
    <row r="993" spans="1:4">
      <c r="A993" t="s">
        <v>2033</v>
      </c>
      <c r="B993" t="s">
        <v>746</v>
      </c>
      <c r="C993">
        <v>84</v>
      </c>
      <c r="D993">
        <v>2.23</v>
      </c>
    </row>
    <row r="994" spans="1:4">
      <c r="A994" t="s">
        <v>2033</v>
      </c>
      <c r="B994" t="s">
        <v>746</v>
      </c>
      <c r="C994">
        <v>85</v>
      </c>
      <c r="D994">
        <v>2.15</v>
      </c>
    </row>
    <row r="995" spans="1:4">
      <c r="A995" t="s">
        <v>2033</v>
      </c>
      <c r="B995" t="s">
        <v>746</v>
      </c>
      <c r="C995">
        <v>86</v>
      </c>
      <c r="D995">
        <v>2.06</v>
      </c>
    </row>
    <row r="996" spans="1:4">
      <c r="A996" t="s">
        <v>2033</v>
      </c>
      <c r="B996" t="s">
        <v>746</v>
      </c>
      <c r="C996">
        <v>87</v>
      </c>
      <c r="D996">
        <v>1.98</v>
      </c>
    </row>
    <row r="997" spans="1:4">
      <c r="A997" t="s">
        <v>2033</v>
      </c>
      <c r="B997" t="s">
        <v>746</v>
      </c>
      <c r="C997">
        <v>88</v>
      </c>
      <c r="D997">
        <v>1.9</v>
      </c>
    </row>
    <row r="998" spans="1:4">
      <c r="A998" t="s">
        <v>2033</v>
      </c>
      <c r="B998" t="s">
        <v>746</v>
      </c>
      <c r="C998">
        <v>89</v>
      </c>
      <c r="D998">
        <v>1.82</v>
      </c>
    </row>
    <row r="999" spans="1:4">
      <c r="A999" t="s">
        <v>2033</v>
      </c>
      <c r="B999" t="s">
        <v>746</v>
      </c>
      <c r="C999">
        <v>90</v>
      </c>
      <c r="D999">
        <v>1.74</v>
      </c>
    </row>
    <row r="1000" spans="1:4">
      <c r="A1000" t="s">
        <v>2034</v>
      </c>
      <c r="B1000" t="s">
        <v>746</v>
      </c>
      <c r="C1000">
        <v>18</v>
      </c>
      <c r="D1000">
        <v>32.1</v>
      </c>
    </row>
    <row r="1001" spans="1:4">
      <c r="A1001" t="s">
        <v>2034</v>
      </c>
      <c r="B1001" t="s">
        <v>746</v>
      </c>
      <c r="C1001">
        <v>19</v>
      </c>
      <c r="D1001">
        <v>31.4</v>
      </c>
    </row>
    <row r="1002" spans="1:4">
      <c r="A1002" t="s">
        <v>2034</v>
      </c>
      <c r="B1002" t="s">
        <v>746</v>
      </c>
      <c r="C1002">
        <v>20</v>
      </c>
      <c r="D1002">
        <v>30.71</v>
      </c>
    </row>
    <row r="1003" spans="1:4">
      <c r="A1003" t="s">
        <v>2034</v>
      </c>
      <c r="B1003" t="s">
        <v>746</v>
      </c>
      <c r="C1003">
        <v>21</v>
      </c>
      <c r="D1003">
        <v>30.04</v>
      </c>
    </row>
    <row r="1004" spans="1:4">
      <c r="A1004" t="s">
        <v>2034</v>
      </c>
      <c r="B1004" t="s">
        <v>746</v>
      </c>
      <c r="C1004">
        <v>22</v>
      </c>
      <c r="D1004">
        <v>29.37</v>
      </c>
    </row>
    <row r="1005" spans="1:4">
      <c r="A1005" t="s">
        <v>2034</v>
      </c>
      <c r="B1005" t="s">
        <v>746</v>
      </c>
      <c r="C1005">
        <v>23</v>
      </c>
      <c r="D1005">
        <v>28.71</v>
      </c>
    </row>
    <row r="1006" spans="1:4">
      <c r="A1006" t="s">
        <v>2034</v>
      </c>
      <c r="B1006" t="s">
        <v>746</v>
      </c>
      <c r="C1006">
        <v>24</v>
      </c>
      <c r="D1006">
        <v>28.06</v>
      </c>
    </row>
    <row r="1007" spans="1:4">
      <c r="A1007" t="s">
        <v>2034</v>
      </c>
      <c r="B1007" t="s">
        <v>746</v>
      </c>
      <c r="C1007">
        <v>25</v>
      </c>
      <c r="D1007">
        <v>27.42</v>
      </c>
    </row>
    <row r="1008" spans="1:4">
      <c r="A1008" t="s">
        <v>2034</v>
      </c>
      <c r="B1008" t="s">
        <v>746</v>
      </c>
      <c r="C1008">
        <v>26</v>
      </c>
      <c r="D1008">
        <v>26.79</v>
      </c>
    </row>
    <row r="1009" spans="1:4">
      <c r="A1009" t="s">
        <v>2034</v>
      </c>
      <c r="B1009" t="s">
        <v>746</v>
      </c>
      <c r="C1009">
        <v>27</v>
      </c>
      <c r="D1009">
        <v>26.16</v>
      </c>
    </row>
    <row r="1010" spans="1:4">
      <c r="A1010" t="s">
        <v>2034</v>
      </c>
      <c r="B1010" t="s">
        <v>746</v>
      </c>
      <c r="C1010">
        <v>28</v>
      </c>
      <c r="D1010">
        <v>25.54</v>
      </c>
    </row>
    <row r="1011" spans="1:4">
      <c r="A1011" t="s">
        <v>2034</v>
      </c>
      <c r="B1011" t="s">
        <v>746</v>
      </c>
      <c r="C1011">
        <v>29</v>
      </c>
      <c r="D1011">
        <v>24.92</v>
      </c>
    </row>
    <row r="1012" spans="1:4">
      <c r="A1012" t="s">
        <v>2034</v>
      </c>
      <c r="B1012" t="s">
        <v>746</v>
      </c>
      <c r="C1012">
        <v>30</v>
      </c>
      <c r="D1012">
        <v>24.3</v>
      </c>
    </row>
    <row r="1013" spans="1:4">
      <c r="A1013" t="s">
        <v>2034</v>
      </c>
      <c r="B1013" t="s">
        <v>746</v>
      </c>
      <c r="C1013">
        <v>31</v>
      </c>
      <c r="D1013">
        <v>23.68</v>
      </c>
    </row>
    <row r="1014" spans="1:4">
      <c r="A1014" t="s">
        <v>2034</v>
      </c>
      <c r="B1014" t="s">
        <v>746</v>
      </c>
      <c r="C1014">
        <v>32</v>
      </c>
      <c r="D1014">
        <v>23.06</v>
      </c>
    </row>
    <row r="1015" spans="1:4">
      <c r="A1015" t="s">
        <v>2034</v>
      </c>
      <c r="B1015" t="s">
        <v>746</v>
      </c>
      <c r="C1015">
        <v>33</v>
      </c>
      <c r="D1015">
        <v>22.45</v>
      </c>
    </row>
    <row r="1016" spans="1:4">
      <c r="A1016" t="s">
        <v>2034</v>
      </c>
      <c r="B1016" t="s">
        <v>746</v>
      </c>
      <c r="C1016">
        <v>34</v>
      </c>
      <c r="D1016">
        <v>21.83</v>
      </c>
    </row>
    <row r="1017" spans="1:4">
      <c r="A1017" t="s">
        <v>2034</v>
      </c>
      <c r="B1017" t="s">
        <v>746</v>
      </c>
      <c r="C1017">
        <v>35</v>
      </c>
      <c r="D1017">
        <v>21.2</v>
      </c>
    </row>
    <row r="1018" spans="1:4">
      <c r="A1018" t="s">
        <v>2034</v>
      </c>
      <c r="B1018" t="s">
        <v>746</v>
      </c>
      <c r="C1018">
        <v>36</v>
      </c>
      <c r="D1018">
        <v>20.57</v>
      </c>
    </row>
    <row r="1019" spans="1:4">
      <c r="A1019" t="s">
        <v>2034</v>
      </c>
      <c r="B1019" t="s">
        <v>746</v>
      </c>
      <c r="C1019">
        <v>37</v>
      </c>
      <c r="D1019">
        <v>19.940000000000001</v>
      </c>
    </row>
    <row r="1020" spans="1:4">
      <c r="A1020" t="s">
        <v>2034</v>
      </c>
      <c r="B1020" t="s">
        <v>746</v>
      </c>
      <c r="C1020">
        <v>38</v>
      </c>
      <c r="D1020">
        <v>19.3</v>
      </c>
    </row>
    <row r="1021" spans="1:4">
      <c r="A1021" t="s">
        <v>2034</v>
      </c>
      <c r="B1021" t="s">
        <v>746</v>
      </c>
      <c r="C1021">
        <v>39</v>
      </c>
      <c r="D1021">
        <v>18.66</v>
      </c>
    </row>
    <row r="1022" spans="1:4">
      <c r="A1022" t="s">
        <v>2034</v>
      </c>
      <c r="B1022" t="s">
        <v>746</v>
      </c>
      <c r="C1022">
        <v>40</v>
      </c>
      <c r="D1022">
        <v>18.02</v>
      </c>
    </row>
    <row r="1023" spans="1:4">
      <c r="A1023" t="s">
        <v>2034</v>
      </c>
      <c r="B1023" t="s">
        <v>746</v>
      </c>
      <c r="C1023">
        <v>41</v>
      </c>
      <c r="D1023">
        <v>17.37</v>
      </c>
    </row>
    <row r="1024" spans="1:4">
      <c r="A1024" t="s">
        <v>2034</v>
      </c>
      <c r="B1024" t="s">
        <v>746</v>
      </c>
      <c r="C1024">
        <v>42</v>
      </c>
      <c r="D1024">
        <v>16.72</v>
      </c>
    </row>
    <row r="1025" spans="1:4">
      <c r="A1025" t="s">
        <v>2034</v>
      </c>
      <c r="B1025" t="s">
        <v>746</v>
      </c>
      <c r="C1025">
        <v>43</v>
      </c>
      <c r="D1025">
        <v>16.079999999999998</v>
      </c>
    </row>
    <row r="1026" spans="1:4">
      <c r="A1026" t="s">
        <v>2034</v>
      </c>
      <c r="B1026" t="s">
        <v>746</v>
      </c>
      <c r="C1026">
        <v>44</v>
      </c>
      <c r="D1026">
        <v>15.44</v>
      </c>
    </row>
    <row r="1027" spans="1:4">
      <c r="A1027" t="s">
        <v>2034</v>
      </c>
      <c r="B1027" t="s">
        <v>746</v>
      </c>
      <c r="C1027">
        <v>45</v>
      </c>
      <c r="D1027">
        <v>14.8</v>
      </c>
    </row>
    <row r="1028" spans="1:4">
      <c r="A1028" t="s">
        <v>2034</v>
      </c>
      <c r="B1028" t="s">
        <v>746</v>
      </c>
      <c r="C1028">
        <v>46</v>
      </c>
      <c r="D1028">
        <v>14.16</v>
      </c>
    </row>
    <row r="1029" spans="1:4">
      <c r="A1029" t="s">
        <v>2034</v>
      </c>
      <c r="B1029" t="s">
        <v>746</v>
      </c>
      <c r="C1029">
        <v>47</v>
      </c>
      <c r="D1029">
        <v>13.53</v>
      </c>
    </row>
    <row r="1030" spans="1:4">
      <c r="A1030" t="s">
        <v>2034</v>
      </c>
      <c r="B1030" t="s">
        <v>746</v>
      </c>
      <c r="C1030">
        <v>48</v>
      </c>
      <c r="D1030">
        <v>12.89</v>
      </c>
    </row>
    <row r="1031" spans="1:4">
      <c r="A1031" t="s">
        <v>2034</v>
      </c>
      <c r="B1031" t="s">
        <v>746</v>
      </c>
      <c r="C1031">
        <v>49</v>
      </c>
      <c r="D1031">
        <v>12.26</v>
      </c>
    </row>
    <row r="1032" spans="1:4">
      <c r="A1032" t="s">
        <v>2034</v>
      </c>
      <c r="B1032" t="s">
        <v>746</v>
      </c>
      <c r="C1032">
        <v>50</v>
      </c>
      <c r="D1032">
        <v>11.63</v>
      </c>
    </row>
    <row r="1033" spans="1:4">
      <c r="A1033" t="s">
        <v>2034</v>
      </c>
      <c r="B1033" t="s">
        <v>746</v>
      </c>
      <c r="C1033">
        <v>51</v>
      </c>
      <c r="D1033">
        <v>11.02</v>
      </c>
    </row>
    <row r="1034" spans="1:4">
      <c r="A1034" t="s">
        <v>2034</v>
      </c>
      <c r="B1034" t="s">
        <v>746</v>
      </c>
      <c r="C1034">
        <v>52</v>
      </c>
      <c r="D1034">
        <v>10.43</v>
      </c>
    </row>
    <row r="1035" spans="1:4">
      <c r="A1035" t="s">
        <v>2034</v>
      </c>
      <c r="B1035" t="s">
        <v>746</v>
      </c>
      <c r="C1035">
        <v>53</v>
      </c>
      <c r="D1035">
        <v>9.85</v>
      </c>
    </row>
    <row r="1036" spans="1:4">
      <c r="A1036" t="s">
        <v>2034</v>
      </c>
      <c r="B1036" t="s">
        <v>746</v>
      </c>
      <c r="C1036">
        <v>54</v>
      </c>
      <c r="D1036">
        <v>9.2899999999999991</v>
      </c>
    </row>
    <row r="1037" spans="1:4">
      <c r="A1037" t="s">
        <v>2034</v>
      </c>
      <c r="B1037" t="s">
        <v>746</v>
      </c>
      <c r="C1037">
        <v>55</v>
      </c>
      <c r="D1037">
        <v>8.73</v>
      </c>
    </row>
    <row r="1038" spans="1:4">
      <c r="A1038" t="s">
        <v>2034</v>
      </c>
      <c r="B1038" t="s">
        <v>746</v>
      </c>
      <c r="C1038">
        <v>56</v>
      </c>
      <c r="D1038">
        <v>8.16</v>
      </c>
    </row>
    <row r="1039" spans="1:4">
      <c r="A1039" t="s">
        <v>2034</v>
      </c>
      <c r="B1039" t="s">
        <v>746</v>
      </c>
      <c r="C1039">
        <v>57</v>
      </c>
      <c r="D1039">
        <v>7.59</v>
      </c>
    </row>
    <row r="1040" spans="1:4">
      <c r="A1040" t="s">
        <v>2034</v>
      </c>
      <c r="B1040" t="s">
        <v>746</v>
      </c>
      <c r="C1040">
        <v>58</v>
      </c>
      <c r="D1040">
        <v>7.03</v>
      </c>
    </row>
    <row r="1041" spans="1:4">
      <c r="A1041" t="s">
        <v>2034</v>
      </c>
      <c r="B1041" t="s">
        <v>746</v>
      </c>
      <c r="C1041">
        <v>59</v>
      </c>
      <c r="D1041">
        <v>6.48</v>
      </c>
    </row>
    <row r="1042" spans="1:4">
      <c r="A1042" t="s">
        <v>2034</v>
      </c>
      <c r="B1042" t="s">
        <v>746</v>
      </c>
      <c r="C1042">
        <v>60</v>
      </c>
      <c r="D1042">
        <v>5.97</v>
      </c>
    </row>
    <row r="1043" spans="1:4">
      <c r="A1043" t="s">
        <v>2034</v>
      </c>
      <c r="B1043" t="s">
        <v>746</v>
      </c>
      <c r="C1043">
        <v>61</v>
      </c>
      <c r="D1043">
        <v>5.51</v>
      </c>
    </row>
    <row r="1044" spans="1:4">
      <c r="A1044" t="s">
        <v>2034</v>
      </c>
      <c r="B1044" t="s">
        <v>746</v>
      </c>
      <c r="C1044">
        <v>62</v>
      </c>
      <c r="D1044">
        <v>5.0999999999999996</v>
      </c>
    </row>
    <row r="1045" spans="1:4">
      <c r="A1045" t="s">
        <v>2034</v>
      </c>
      <c r="B1045" t="s">
        <v>746</v>
      </c>
      <c r="C1045">
        <v>63</v>
      </c>
      <c r="D1045">
        <v>4.74</v>
      </c>
    </row>
    <row r="1046" spans="1:4">
      <c r="A1046" t="s">
        <v>2034</v>
      </c>
      <c r="B1046" t="s">
        <v>746</v>
      </c>
      <c r="C1046">
        <v>64</v>
      </c>
      <c r="D1046">
        <v>4.42</v>
      </c>
    </row>
    <row r="1047" spans="1:4">
      <c r="A1047" t="s">
        <v>2034</v>
      </c>
      <c r="B1047" t="s">
        <v>746</v>
      </c>
      <c r="C1047">
        <v>65</v>
      </c>
      <c r="D1047">
        <v>4.1399999999999997</v>
      </c>
    </row>
    <row r="1048" spans="1:4">
      <c r="A1048" t="s">
        <v>2034</v>
      </c>
      <c r="B1048" t="s">
        <v>746</v>
      </c>
      <c r="C1048">
        <v>66</v>
      </c>
      <c r="D1048">
        <v>3.88</v>
      </c>
    </row>
    <row r="1049" spans="1:4">
      <c r="A1049" t="s">
        <v>2034</v>
      </c>
      <c r="B1049" t="s">
        <v>746</v>
      </c>
      <c r="C1049">
        <v>67</v>
      </c>
      <c r="D1049">
        <v>3.66</v>
      </c>
    </row>
    <row r="1050" spans="1:4">
      <c r="A1050" t="s">
        <v>2034</v>
      </c>
      <c r="B1050" t="s">
        <v>746</v>
      </c>
      <c r="C1050">
        <v>68</v>
      </c>
      <c r="D1050">
        <v>3.45</v>
      </c>
    </row>
    <row r="1051" spans="1:4">
      <c r="A1051" t="s">
        <v>2034</v>
      </c>
      <c r="B1051" t="s">
        <v>746</v>
      </c>
      <c r="C1051">
        <v>69</v>
      </c>
      <c r="D1051">
        <v>3.26</v>
      </c>
    </row>
    <row r="1052" spans="1:4">
      <c r="A1052" t="s">
        <v>2034</v>
      </c>
      <c r="B1052" t="s">
        <v>746</v>
      </c>
      <c r="C1052">
        <v>70</v>
      </c>
      <c r="D1052">
        <v>3.09</v>
      </c>
    </row>
    <row r="1053" spans="1:4">
      <c r="A1053" t="s">
        <v>2034</v>
      </c>
      <c r="B1053" t="s">
        <v>746</v>
      </c>
      <c r="C1053">
        <v>71</v>
      </c>
      <c r="D1053">
        <v>2.92</v>
      </c>
    </row>
    <row r="1054" spans="1:4">
      <c r="A1054" t="s">
        <v>2034</v>
      </c>
      <c r="B1054" t="s">
        <v>746</v>
      </c>
      <c r="C1054">
        <v>72</v>
      </c>
      <c r="D1054">
        <v>2.77</v>
      </c>
    </row>
    <row r="1055" spans="1:4">
      <c r="A1055" t="s">
        <v>2034</v>
      </c>
      <c r="B1055" t="s">
        <v>746</v>
      </c>
      <c r="C1055">
        <v>73</v>
      </c>
      <c r="D1055">
        <v>2.63</v>
      </c>
    </row>
    <row r="1056" spans="1:4">
      <c r="A1056" t="s">
        <v>2034</v>
      </c>
      <c r="B1056" t="s">
        <v>746</v>
      </c>
      <c r="C1056">
        <v>74</v>
      </c>
      <c r="D1056">
        <v>2.4900000000000002</v>
      </c>
    </row>
    <row r="1057" spans="1:4">
      <c r="A1057" t="s">
        <v>2034</v>
      </c>
      <c r="B1057" t="s">
        <v>746</v>
      </c>
      <c r="C1057">
        <v>75</v>
      </c>
      <c r="D1057">
        <v>2.37</v>
      </c>
    </row>
    <row r="1058" spans="1:4">
      <c r="A1058" t="s">
        <v>2034</v>
      </c>
      <c r="B1058" t="s">
        <v>746</v>
      </c>
      <c r="C1058">
        <v>76</v>
      </c>
      <c r="D1058">
        <v>2.2599999999999998</v>
      </c>
    </row>
    <row r="1059" spans="1:4">
      <c r="A1059" t="s">
        <v>2034</v>
      </c>
      <c r="B1059" t="s">
        <v>746</v>
      </c>
      <c r="C1059">
        <v>77</v>
      </c>
      <c r="D1059">
        <v>2.16</v>
      </c>
    </row>
    <row r="1060" spans="1:4">
      <c r="A1060" t="s">
        <v>2034</v>
      </c>
      <c r="B1060" t="s">
        <v>746</v>
      </c>
      <c r="C1060">
        <v>78</v>
      </c>
      <c r="D1060">
        <v>2.06</v>
      </c>
    </row>
    <row r="1061" spans="1:4">
      <c r="A1061" t="s">
        <v>2034</v>
      </c>
      <c r="B1061" t="s">
        <v>746</v>
      </c>
      <c r="C1061">
        <v>79</v>
      </c>
      <c r="D1061">
        <v>1.98</v>
      </c>
    </row>
    <row r="1062" spans="1:4">
      <c r="A1062" t="s">
        <v>2034</v>
      </c>
      <c r="B1062" t="s">
        <v>746</v>
      </c>
      <c r="C1062">
        <v>80</v>
      </c>
      <c r="D1062">
        <v>1.89</v>
      </c>
    </row>
    <row r="1063" spans="1:4">
      <c r="A1063" t="s">
        <v>2034</v>
      </c>
      <c r="B1063" t="s">
        <v>746</v>
      </c>
      <c r="C1063">
        <v>81</v>
      </c>
      <c r="D1063">
        <v>1.82</v>
      </c>
    </row>
    <row r="1064" spans="1:4">
      <c r="A1064" t="s">
        <v>2034</v>
      </c>
      <c r="B1064" t="s">
        <v>746</v>
      </c>
      <c r="C1064">
        <v>82</v>
      </c>
      <c r="D1064">
        <v>1.74</v>
      </c>
    </row>
    <row r="1065" spans="1:4">
      <c r="A1065" t="s">
        <v>2034</v>
      </c>
      <c r="B1065" t="s">
        <v>746</v>
      </c>
      <c r="C1065">
        <v>83</v>
      </c>
      <c r="D1065">
        <v>1.67</v>
      </c>
    </row>
    <row r="1066" spans="1:4">
      <c r="A1066" t="s">
        <v>2034</v>
      </c>
      <c r="B1066" t="s">
        <v>746</v>
      </c>
      <c r="C1066">
        <v>84</v>
      </c>
      <c r="D1066">
        <v>1.6</v>
      </c>
    </row>
    <row r="1067" spans="1:4">
      <c r="A1067" t="s">
        <v>2034</v>
      </c>
      <c r="B1067" t="s">
        <v>746</v>
      </c>
      <c r="C1067">
        <v>85</v>
      </c>
      <c r="D1067">
        <v>1.54</v>
      </c>
    </row>
    <row r="1068" spans="1:4">
      <c r="A1068" t="s">
        <v>2034</v>
      </c>
      <c r="B1068" t="s">
        <v>746</v>
      </c>
      <c r="C1068">
        <v>86</v>
      </c>
      <c r="D1068">
        <v>1.48</v>
      </c>
    </row>
    <row r="1069" spans="1:4">
      <c r="A1069" t="s">
        <v>2034</v>
      </c>
      <c r="B1069" t="s">
        <v>746</v>
      </c>
      <c r="C1069">
        <v>87</v>
      </c>
      <c r="D1069">
        <v>1.42</v>
      </c>
    </row>
    <row r="1070" spans="1:4">
      <c r="A1070" t="s">
        <v>2034</v>
      </c>
      <c r="B1070" t="s">
        <v>746</v>
      </c>
      <c r="C1070">
        <v>88</v>
      </c>
      <c r="D1070">
        <v>1.37</v>
      </c>
    </row>
    <row r="1071" spans="1:4">
      <c r="A1071" t="s">
        <v>2034</v>
      </c>
      <c r="B1071" t="s">
        <v>746</v>
      </c>
      <c r="C1071">
        <v>89</v>
      </c>
      <c r="D1071">
        <v>1.32</v>
      </c>
    </row>
    <row r="1072" spans="1:4">
      <c r="A1072" t="s">
        <v>2034</v>
      </c>
      <c r="B1072" t="s">
        <v>746</v>
      </c>
      <c r="C1072">
        <v>90</v>
      </c>
      <c r="D1072">
        <v>1.26</v>
      </c>
    </row>
    <row r="1073" spans="1:4">
      <c r="A1073" t="s">
        <v>2035</v>
      </c>
      <c r="B1073" t="s">
        <v>746</v>
      </c>
      <c r="C1073">
        <v>20</v>
      </c>
      <c r="D1073">
        <v>33.159999999999997</v>
      </c>
    </row>
    <row r="1074" spans="1:4">
      <c r="A1074" t="s">
        <v>2035</v>
      </c>
      <c r="B1074" t="s">
        <v>746</v>
      </c>
      <c r="C1074">
        <v>21</v>
      </c>
      <c r="D1074">
        <v>32.39</v>
      </c>
    </row>
    <row r="1075" spans="1:4">
      <c r="A1075" t="s">
        <v>2035</v>
      </c>
      <c r="B1075" t="s">
        <v>746</v>
      </c>
      <c r="C1075">
        <v>22</v>
      </c>
      <c r="D1075">
        <v>31.63</v>
      </c>
    </row>
    <row r="1076" spans="1:4">
      <c r="A1076" t="s">
        <v>2035</v>
      </c>
      <c r="B1076" t="s">
        <v>746</v>
      </c>
      <c r="C1076">
        <v>23</v>
      </c>
      <c r="D1076">
        <v>30.9</v>
      </c>
    </row>
    <row r="1077" spans="1:4">
      <c r="A1077" t="s">
        <v>2035</v>
      </c>
      <c r="B1077" t="s">
        <v>746</v>
      </c>
      <c r="C1077">
        <v>24</v>
      </c>
      <c r="D1077">
        <v>30.19</v>
      </c>
    </row>
    <row r="1078" spans="1:4">
      <c r="A1078" t="s">
        <v>2035</v>
      </c>
      <c r="B1078" t="s">
        <v>746</v>
      </c>
      <c r="C1078">
        <v>25</v>
      </c>
      <c r="D1078">
        <v>29.49</v>
      </c>
    </row>
    <row r="1079" spans="1:4">
      <c r="A1079" t="s">
        <v>2035</v>
      </c>
      <c r="B1079" t="s">
        <v>746</v>
      </c>
      <c r="C1079">
        <v>26</v>
      </c>
      <c r="D1079">
        <v>28.8</v>
      </c>
    </row>
    <row r="1080" spans="1:4">
      <c r="A1080" t="s">
        <v>2035</v>
      </c>
      <c r="B1080" t="s">
        <v>746</v>
      </c>
      <c r="C1080">
        <v>27</v>
      </c>
      <c r="D1080">
        <v>28.12</v>
      </c>
    </row>
    <row r="1081" spans="1:4">
      <c r="A1081" t="s">
        <v>2035</v>
      </c>
      <c r="B1081" t="s">
        <v>746</v>
      </c>
      <c r="C1081">
        <v>28</v>
      </c>
      <c r="D1081">
        <v>27.45</v>
      </c>
    </row>
    <row r="1082" spans="1:4">
      <c r="A1082" t="s">
        <v>2035</v>
      </c>
      <c r="B1082" t="s">
        <v>746</v>
      </c>
      <c r="C1082">
        <v>29</v>
      </c>
      <c r="D1082">
        <v>26.78</v>
      </c>
    </row>
    <row r="1083" spans="1:4">
      <c r="A1083" t="s">
        <v>2035</v>
      </c>
      <c r="B1083" t="s">
        <v>746</v>
      </c>
      <c r="C1083">
        <v>30</v>
      </c>
      <c r="D1083">
        <v>26.1</v>
      </c>
    </row>
    <row r="1084" spans="1:4">
      <c r="A1084" t="s">
        <v>2035</v>
      </c>
      <c r="B1084" t="s">
        <v>746</v>
      </c>
      <c r="C1084">
        <v>31</v>
      </c>
      <c r="D1084">
        <v>25.43</v>
      </c>
    </row>
    <row r="1085" spans="1:4">
      <c r="A1085" t="s">
        <v>2035</v>
      </c>
      <c r="B1085" t="s">
        <v>746</v>
      </c>
      <c r="C1085">
        <v>32</v>
      </c>
      <c r="D1085">
        <v>24.74</v>
      </c>
    </row>
    <row r="1086" spans="1:4">
      <c r="A1086" t="s">
        <v>2035</v>
      </c>
      <c r="B1086" t="s">
        <v>746</v>
      </c>
      <c r="C1086">
        <v>33</v>
      </c>
      <c r="D1086">
        <v>24.06</v>
      </c>
    </row>
    <row r="1087" spans="1:4">
      <c r="A1087" t="s">
        <v>2035</v>
      </c>
      <c r="B1087" t="s">
        <v>746</v>
      </c>
      <c r="C1087">
        <v>34</v>
      </c>
      <c r="D1087">
        <v>23.38</v>
      </c>
    </row>
    <row r="1088" spans="1:4">
      <c r="A1088" t="s">
        <v>2035</v>
      </c>
      <c r="B1088" t="s">
        <v>746</v>
      </c>
      <c r="C1088">
        <v>35</v>
      </c>
      <c r="D1088">
        <v>22.7</v>
      </c>
    </row>
    <row r="1089" spans="1:4">
      <c r="A1089" t="s">
        <v>2035</v>
      </c>
      <c r="B1089" t="s">
        <v>746</v>
      </c>
      <c r="C1089">
        <v>36</v>
      </c>
      <c r="D1089">
        <v>22.02</v>
      </c>
    </row>
    <row r="1090" spans="1:4">
      <c r="A1090" t="s">
        <v>2035</v>
      </c>
      <c r="B1090" t="s">
        <v>746</v>
      </c>
      <c r="C1090">
        <v>37</v>
      </c>
      <c r="D1090">
        <v>21.34</v>
      </c>
    </row>
    <row r="1091" spans="1:4">
      <c r="A1091" t="s">
        <v>2035</v>
      </c>
      <c r="B1091" t="s">
        <v>746</v>
      </c>
      <c r="C1091">
        <v>38</v>
      </c>
      <c r="D1091">
        <v>20.65</v>
      </c>
    </row>
    <row r="1092" spans="1:4">
      <c r="A1092" t="s">
        <v>2035</v>
      </c>
      <c r="B1092" t="s">
        <v>746</v>
      </c>
      <c r="C1092">
        <v>39</v>
      </c>
      <c r="D1092">
        <v>19.96</v>
      </c>
    </row>
    <row r="1093" spans="1:4">
      <c r="A1093" t="s">
        <v>2035</v>
      </c>
      <c r="B1093" t="s">
        <v>746</v>
      </c>
      <c r="C1093">
        <v>40</v>
      </c>
      <c r="D1093">
        <v>19.25</v>
      </c>
    </row>
    <row r="1094" spans="1:4">
      <c r="A1094" t="s">
        <v>2035</v>
      </c>
      <c r="B1094" t="s">
        <v>746</v>
      </c>
      <c r="C1094">
        <v>41</v>
      </c>
      <c r="D1094">
        <v>18.55</v>
      </c>
    </row>
    <row r="1095" spans="1:4">
      <c r="A1095" t="s">
        <v>2035</v>
      </c>
      <c r="B1095" t="s">
        <v>746</v>
      </c>
      <c r="C1095">
        <v>42</v>
      </c>
      <c r="D1095">
        <v>17.84</v>
      </c>
    </row>
    <row r="1096" spans="1:4">
      <c r="A1096" t="s">
        <v>2035</v>
      </c>
      <c r="B1096" t="s">
        <v>746</v>
      </c>
      <c r="C1096">
        <v>43</v>
      </c>
      <c r="D1096">
        <v>17.14</v>
      </c>
    </row>
    <row r="1097" spans="1:4">
      <c r="A1097" t="s">
        <v>2035</v>
      </c>
      <c r="B1097" t="s">
        <v>746</v>
      </c>
      <c r="C1097">
        <v>44</v>
      </c>
      <c r="D1097">
        <v>16.46</v>
      </c>
    </row>
    <row r="1098" spans="1:4">
      <c r="A1098" t="s">
        <v>2035</v>
      </c>
      <c r="B1098" t="s">
        <v>746</v>
      </c>
      <c r="C1098">
        <v>45</v>
      </c>
      <c r="D1098">
        <v>15.78</v>
      </c>
    </row>
    <row r="1099" spans="1:4">
      <c r="A1099" t="s">
        <v>2035</v>
      </c>
      <c r="B1099" t="s">
        <v>746</v>
      </c>
      <c r="C1099">
        <v>46</v>
      </c>
      <c r="D1099">
        <v>15.12</v>
      </c>
    </row>
    <row r="1100" spans="1:4">
      <c r="A1100" t="s">
        <v>2035</v>
      </c>
      <c r="B1100" t="s">
        <v>746</v>
      </c>
      <c r="C1100">
        <v>47</v>
      </c>
      <c r="D1100">
        <v>14.46</v>
      </c>
    </row>
    <row r="1101" spans="1:4">
      <c r="A1101" t="s">
        <v>2035</v>
      </c>
      <c r="B1101" t="s">
        <v>746</v>
      </c>
      <c r="C1101">
        <v>48</v>
      </c>
      <c r="D1101">
        <v>13.8</v>
      </c>
    </row>
    <row r="1102" spans="1:4">
      <c r="A1102" t="s">
        <v>2035</v>
      </c>
      <c r="B1102" t="s">
        <v>746</v>
      </c>
      <c r="C1102">
        <v>49</v>
      </c>
      <c r="D1102">
        <v>13.15</v>
      </c>
    </row>
    <row r="1103" spans="1:4">
      <c r="A1103" t="s">
        <v>2035</v>
      </c>
      <c r="B1103" t="s">
        <v>746</v>
      </c>
      <c r="C1103">
        <v>50</v>
      </c>
      <c r="D1103">
        <v>12.5</v>
      </c>
    </row>
    <row r="1104" spans="1:4">
      <c r="A1104" t="s">
        <v>2035</v>
      </c>
      <c r="B1104" t="s">
        <v>746</v>
      </c>
      <c r="C1104">
        <v>51</v>
      </c>
      <c r="D1104">
        <v>11.87</v>
      </c>
    </row>
    <row r="1105" spans="1:4">
      <c r="A1105" t="s">
        <v>2035</v>
      </c>
      <c r="B1105" t="s">
        <v>746</v>
      </c>
      <c r="C1105">
        <v>52</v>
      </c>
      <c r="D1105">
        <v>11.25</v>
      </c>
    </row>
    <row r="1106" spans="1:4">
      <c r="A1106" t="s">
        <v>2035</v>
      </c>
      <c r="B1106" t="s">
        <v>746</v>
      </c>
      <c r="C1106">
        <v>53</v>
      </c>
      <c r="D1106">
        <v>10.65</v>
      </c>
    </row>
    <row r="1107" spans="1:4">
      <c r="A1107" t="s">
        <v>2035</v>
      </c>
      <c r="B1107" t="s">
        <v>746</v>
      </c>
      <c r="C1107">
        <v>54</v>
      </c>
      <c r="D1107">
        <v>10.07</v>
      </c>
    </row>
    <row r="1108" spans="1:4">
      <c r="A1108" t="s">
        <v>2035</v>
      </c>
      <c r="B1108" t="s">
        <v>746</v>
      </c>
      <c r="C1108">
        <v>55</v>
      </c>
      <c r="D1108">
        <v>9.49</v>
      </c>
    </row>
    <row r="1109" spans="1:4">
      <c r="A1109" t="s">
        <v>2035</v>
      </c>
      <c r="B1109" t="s">
        <v>746</v>
      </c>
      <c r="C1109">
        <v>56</v>
      </c>
      <c r="D1109">
        <v>8.9</v>
      </c>
    </row>
    <row r="1110" spans="1:4">
      <c r="A1110" t="s">
        <v>2035</v>
      </c>
      <c r="B1110" t="s">
        <v>746</v>
      </c>
      <c r="C1110">
        <v>57</v>
      </c>
      <c r="D1110">
        <v>8.32</v>
      </c>
    </row>
    <row r="1111" spans="1:4">
      <c r="A1111" t="s">
        <v>2035</v>
      </c>
      <c r="B1111" t="s">
        <v>746</v>
      </c>
      <c r="C1111">
        <v>58</v>
      </c>
      <c r="D1111">
        <v>7.74</v>
      </c>
    </row>
    <row r="1112" spans="1:4">
      <c r="A1112" t="s">
        <v>2035</v>
      </c>
      <c r="B1112" t="s">
        <v>746</v>
      </c>
      <c r="C1112">
        <v>59</v>
      </c>
      <c r="D1112">
        <v>7.18</v>
      </c>
    </row>
    <row r="1113" spans="1:4">
      <c r="A1113" t="s">
        <v>2035</v>
      </c>
      <c r="B1113" t="s">
        <v>746</v>
      </c>
      <c r="C1113">
        <v>60</v>
      </c>
      <c r="D1113">
        <v>6.64</v>
      </c>
    </row>
    <row r="1114" spans="1:4">
      <c r="A1114" t="s">
        <v>2035</v>
      </c>
      <c r="B1114" t="s">
        <v>746</v>
      </c>
      <c r="C1114">
        <v>61</v>
      </c>
      <c r="D1114">
        <v>6.13</v>
      </c>
    </row>
    <row r="1115" spans="1:4">
      <c r="A1115" t="s">
        <v>2035</v>
      </c>
      <c r="B1115" t="s">
        <v>746</v>
      </c>
      <c r="C1115">
        <v>62</v>
      </c>
      <c r="D1115">
        <v>5.67</v>
      </c>
    </row>
    <row r="1116" spans="1:4">
      <c r="A1116" t="s">
        <v>2035</v>
      </c>
      <c r="B1116" t="s">
        <v>746</v>
      </c>
      <c r="C1116">
        <v>63</v>
      </c>
      <c r="D1116">
        <v>5.27</v>
      </c>
    </row>
    <row r="1117" spans="1:4">
      <c r="A1117" t="s">
        <v>2035</v>
      </c>
      <c r="B1117" t="s">
        <v>746</v>
      </c>
      <c r="C1117">
        <v>64</v>
      </c>
      <c r="D1117">
        <v>4.91</v>
      </c>
    </row>
    <row r="1118" spans="1:4">
      <c r="A1118" t="s">
        <v>2035</v>
      </c>
      <c r="B1118" t="s">
        <v>746</v>
      </c>
      <c r="C1118">
        <v>65</v>
      </c>
      <c r="D1118">
        <v>4.5999999999999996</v>
      </c>
    </row>
    <row r="1119" spans="1:4">
      <c r="A1119" t="s">
        <v>2035</v>
      </c>
      <c r="B1119" t="s">
        <v>746</v>
      </c>
      <c r="C1119">
        <v>66</v>
      </c>
      <c r="D1119">
        <v>4.33</v>
      </c>
    </row>
    <row r="1120" spans="1:4">
      <c r="A1120" t="s">
        <v>2035</v>
      </c>
      <c r="B1120" t="s">
        <v>746</v>
      </c>
      <c r="C1120">
        <v>67</v>
      </c>
      <c r="D1120">
        <v>4.09</v>
      </c>
    </row>
    <row r="1121" spans="1:4">
      <c r="A1121" t="s">
        <v>2035</v>
      </c>
      <c r="B1121" t="s">
        <v>746</v>
      </c>
      <c r="C1121">
        <v>68</v>
      </c>
      <c r="D1121">
        <v>3.88</v>
      </c>
    </row>
    <row r="1122" spans="1:4">
      <c r="A1122" t="s">
        <v>2035</v>
      </c>
      <c r="B1122" t="s">
        <v>746</v>
      </c>
      <c r="C1122">
        <v>69</v>
      </c>
      <c r="D1122">
        <v>3.7</v>
      </c>
    </row>
    <row r="1123" spans="1:4">
      <c r="A1123" t="s">
        <v>2035</v>
      </c>
      <c r="B1123" t="s">
        <v>746</v>
      </c>
      <c r="C1123">
        <v>70</v>
      </c>
      <c r="D1123">
        <v>3.52</v>
      </c>
    </row>
    <row r="1124" spans="1:4">
      <c r="A1124" t="s">
        <v>2035</v>
      </c>
      <c r="B1124" t="s">
        <v>746</v>
      </c>
      <c r="C1124">
        <v>71</v>
      </c>
      <c r="D1124">
        <v>3.35</v>
      </c>
    </row>
    <row r="1125" spans="1:4">
      <c r="A1125" t="s">
        <v>2035</v>
      </c>
      <c r="B1125" t="s">
        <v>746</v>
      </c>
      <c r="C1125">
        <v>72</v>
      </c>
      <c r="D1125">
        <v>3.2</v>
      </c>
    </row>
    <row r="1126" spans="1:4">
      <c r="A1126" t="s">
        <v>2035</v>
      </c>
      <c r="B1126" t="s">
        <v>746</v>
      </c>
      <c r="C1126">
        <v>73</v>
      </c>
      <c r="D1126">
        <v>3.05</v>
      </c>
    </row>
    <row r="1127" spans="1:4">
      <c r="A1127" t="s">
        <v>2035</v>
      </c>
      <c r="B1127" t="s">
        <v>746</v>
      </c>
      <c r="C1127">
        <v>74</v>
      </c>
      <c r="D1127">
        <v>2.91</v>
      </c>
    </row>
    <row r="1128" spans="1:4">
      <c r="A1128" t="s">
        <v>2035</v>
      </c>
      <c r="B1128" t="s">
        <v>746</v>
      </c>
      <c r="C1128">
        <v>75</v>
      </c>
      <c r="D1128">
        <v>2.79</v>
      </c>
    </row>
    <row r="1129" spans="1:4">
      <c r="A1129" t="s">
        <v>2035</v>
      </c>
      <c r="B1129" t="s">
        <v>746</v>
      </c>
      <c r="C1129">
        <v>76</v>
      </c>
      <c r="D1129">
        <v>2.67</v>
      </c>
    </row>
    <row r="1130" spans="1:4">
      <c r="A1130" t="s">
        <v>2035</v>
      </c>
      <c r="B1130" t="s">
        <v>746</v>
      </c>
      <c r="C1130">
        <v>77</v>
      </c>
      <c r="D1130">
        <v>2.56</v>
      </c>
    </row>
    <row r="1131" spans="1:4">
      <c r="A1131" t="s">
        <v>2035</v>
      </c>
      <c r="B1131" t="s">
        <v>746</v>
      </c>
      <c r="C1131">
        <v>78</v>
      </c>
      <c r="D1131">
        <v>2.46</v>
      </c>
    </row>
    <row r="1132" spans="1:4">
      <c r="A1132" t="s">
        <v>2035</v>
      </c>
      <c r="B1132" t="s">
        <v>746</v>
      </c>
      <c r="C1132">
        <v>79</v>
      </c>
      <c r="D1132">
        <v>2.36</v>
      </c>
    </row>
    <row r="1133" spans="1:4">
      <c r="A1133" t="s">
        <v>2035</v>
      </c>
      <c r="B1133" t="s">
        <v>746</v>
      </c>
      <c r="C1133">
        <v>80</v>
      </c>
      <c r="D1133">
        <v>2.2599999999999998</v>
      </c>
    </row>
    <row r="1134" spans="1:4">
      <c r="A1134" t="s">
        <v>2035</v>
      </c>
      <c r="B1134" t="s">
        <v>746</v>
      </c>
      <c r="C1134">
        <v>81</v>
      </c>
      <c r="D1134">
        <v>2.17</v>
      </c>
    </row>
    <row r="1135" spans="1:4">
      <c r="A1135" t="s">
        <v>2035</v>
      </c>
      <c r="B1135" t="s">
        <v>746</v>
      </c>
      <c r="C1135">
        <v>82</v>
      </c>
      <c r="D1135">
        <v>2.08</v>
      </c>
    </row>
    <row r="1136" spans="1:4">
      <c r="A1136" t="s">
        <v>2035</v>
      </c>
      <c r="B1136" t="s">
        <v>746</v>
      </c>
      <c r="C1136">
        <v>83</v>
      </c>
      <c r="D1136">
        <v>2</v>
      </c>
    </row>
    <row r="1137" spans="1:4">
      <c r="A1137" t="s">
        <v>2035</v>
      </c>
      <c r="B1137" t="s">
        <v>746</v>
      </c>
      <c r="C1137">
        <v>84</v>
      </c>
      <c r="D1137">
        <v>1.92</v>
      </c>
    </row>
    <row r="1138" spans="1:4">
      <c r="A1138" t="s">
        <v>2035</v>
      </c>
      <c r="B1138" t="s">
        <v>746</v>
      </c>
      <c r="C1138">
        <v>85</v>
      </c>
      <c r="D1138">
        <v>1.85</v>
      </c>
    </row>
    <row r="1139" spans="1:4">
      <c r="A1139" t="s">
        <v>2035</v>
      </c>
      <c r="B1139" t="s">
        <v>746</v>
      </c>
      <c r="C1139">
        <v>86</v>
      </c>
      <c r="D1139">
        <v>1.77</v>
      </c>
    </row>
    <row r="1140" spans="1:4">
      <c r="A1140" t="s">
        <v>2035</v>
      </c>
      <c r="B1140" t="s">
        <v>746</v>
      </c>
      <c r="C1140">
        <v>87</v>
      </c>
      <c r="D1140">
        <v>1.7</v>
      </c>
    </row>
    <row r="1141" spans="1:4">
      <c r="A1141" t="s">
        <v>2035</v>
      </c>
      <c r="B1141" t="s">
        <v>746</v>
      </c>
      <c r="C1141">
        <v>88</v>
      </c>
      <c r="D1141">
        <v>1.63</v>
      </c>
    </row>
    <row r="1142" spans="1:4">
      <c r="A1142" t="s">
        <v>2035</v>
      </c>
      <c r="B1142" t="s">
        <v>746</v>
      </c>
      <c r="C1142">
        <v>89</v>
      </c>
      <c r="D1142">
        <v>1.57</v>
      </c>
    </row>
    <row r="1143" spans="1:4">
      <c r="A1143" t="s">
        <v>2035</v>
      </c>
      <c r="B1143" t="s">
        <v>746</v>
      </c>
      <c r="C1143">
        <v>90</v>
      </c>
      <c r="D1143">
        <v>1.51</v>
      </c>
    </row>
    <row r="1144" spans="1:4">
      <c r="A1144" t="s">
        <v>2036</v>
      </c>
      <c r="B1144" t="s">
        <v>746</v>
      </c>
      <c r="C1144">
        <v>21</v>
      </c>
      <c r="D1144">
        <v>35.85</v>
      </c>
    </row>
    <row r="1145" spans="1:4">
      <c r="A1145" t="s">
        <v>2036</v>
      </c>
      <c r="B1145" t="s">
        <v>746</v>
      </c>
      <c r="C1145">
        <v>22</v>
      </c>
      <c r="D1145">
        <v>35.03</v>
      </c>
    </row>
    <row r="1146" spans="1:4">
      <c r="A1146" t="s">
        <v>2036</v>
      </c>
      <c r="B1146" t="s">
        <v>746</v>
      </c>
      <c r="C1146">
        <v>23</v>
      </c>
      <c r="D1146">
        <v>34.22</v>
      </c>
    </row>
    <row r="1147" spans="1:4">
      <c r="A1147" t="s">
        <v>2036</v>
      </c>
      <c r="B1147" t="s">
        <v>746</v>
      </c>
      <c r="C1147">
        <v>24</v>
      </c>
      <c r="D1147">
        <v>33.409999999999997</v>
      </c>
    </row>
    <row r="1148" spans="1:4">
      <c r="A1148" t="s">
        <v>2036</v>
      </c>
      <c r="B1148" t="s">
        <v>746</v>
      </c>
      <c r="C1148">
        <v>25</v>
      </c>
      <c r="D1148">
        <v>32.61</v>
      </c>
    </row>
    <row r="1149" spans="1:4">
      <c r="A1149" t="s">
        <v>2036</v>
      </c>
      <c r="B1149" t="s">
        <v>746</v>
      </c>
      <c r="C1149">
        <v>26</v>
      </c>
      <c r="D1149">
        <v>31.82</v>
      </c>
    </row>
    <row r="1150" spans="1:4">
      <c r="A1150" t="s">
        <v>2036</v>
      </c>
      <c r="B1150" t="s">
        <v>746</v>
      </c>
      <c r="C1150">
        <v>27</v>
      </c>
      <c r="D1150">
        <v>31.04</v>
      </c>
    </row>
    <row r="1151" spans="1:4">
      <c r="A1151" t="s">
        <v>2036</v>
      </c>
      <c r="B1151" t="s">
        <v>746</v>
      </c>
      <c r="C1151">
        <v>28</v>
      </c>
      <c r="D1151">
        <v>30.26</v>
      </c>
    </row>
    <row r="1152" spans="1:4">
      <c r="A1152" t="s">
        <v>2036</v>
      </c>
      <c r="B1152" t="s">
        <v>746</v>
      </c>
      <c r="C1152">
        <v>29</v>
      </c>
      <c r="D1152">
        <v>29.49</v>
      </c>
    </row>
    <row r="1153" spans="1:4">
      <c r="A1153" t="s">
        <v>2036</v>
      </c>
      <c r="B1153" t="s">
        <v>746</v>
      </c>
      <c r="C1153">
        <v>30</v>
      </c>
      <c r="D1153">
        <v>28.71</v>
      </c>
    </row>
    <row r="1154" spans="1:4">
      <c r="A1154" t="s">
        <v>2036</v>
      </c>
      <c r="B1154" t="s">
        <v>746</v>
      </c>
      <c r="C1154">
        <v>31</v>
      </c>
      <c r="D1154">
        <v>27.93</v>
      </c>
    </row>
    <row r="1155" spans="1:4">
      <c r="A1155" t="s">
        <v>2036</v>
      </c>
      <c r="B1155" t="s">
        <v>746</v>
      </c>
      <c r="C1155">
        <v>32</v>
      </c>
      <c r="D1155">
        <v>27.14</v>
      </c>
    </row>
    <row r="1156" spans="1:4">
      <c r="A1156" t="s">
        <v>2036</v>
      </c>
      <c r="B1156" t="s">
        <v>746</v>
      </c>
      <c r="C1156">
        <v>33</v>
      </c>
      <c r="D1156">
        <v>26.35</v>
      </c>
    </row>
    <row r="1157" spans="1:4">
      <c r="A1157" t="s">
        <v>2036</v>
      </c>
      <c r="B1157" t="s">
        <v>746</v>
      </c>
      <c r="C1157">
        <v>34</v>
      </c>
      <c r="D1157">
        <v>25.56</v>
      </c>
    </row>
    <row r="1158" spans="1:4">
      <c r="A1158" t="s">
        <v>2036</v>
      </c>
      <c r="B1158" t="s">
        <v>746</v>
      </c>
      <c r="C1158">
        <v>35</v>
      </c>
      <c r="D1158">
        <v>24.76</v>
      </c>
    </row>
    <row r="1159" spans="1:4">
      <c r="A1159" t="s">
        <v>2036</v>
      </c>
      <c r="B1159" t="s">
        <v>746</v>
      </c>
      <c r="C1159">
        <v>36</v>
      </c>
      <c r="D1159">
        <v>23.98</v>
      </c>
    </row>
    <row r="1160" spans="1:4">
      <c r="A1160" t="s">
        <v>2036</v>
      </c>
      <c r="B1160" t="s">
        <v>746</v>
      </c>
      <c r="C1160">
        <v>37</v>
      </c>
      <c r="D1160">
        <v>23.19</v>
      </c>
    </row>
    <row r="1161" spans="1:4">
      <c r="A1161" t="s">
        <v>2036</v>
      </c>
      <c r="B1161" t="s">
        <v>746</v>
      </c>
      <c r="C1161">
        <v>38</v>
      </c>
      <c r="D1161">
        <v>22.41</v>
      </c>
    </row>
    <row r="1162" spans="1:4">
      <c r="A1162" t="s">
        <v>2036</v>
      </c>
      <c r="B1162" t="s">
        <v>746</v>
      </c>
      <c r="C1162">
        <v>39</v>
      </c>
      <c r="D1162">
        <v>21.64</v>
      </c>
    </row>
    <row r="1163" spans="1:4">
      <c r="A1163" t="s">
        <v>2036</v>
      </c>
      <c r="B1163" t="s">
        <v>746</v>
      </c>
      <c r="C1163">
        <v>40</v>
      </c>
      <c r="D1163">
        <v>20.87</v>
      </c>
    </row>
    <row r="1164" spans="1:4">
      <c r="A1164" t="s">
        <v>2036</v>
      </c>
      <c r="B1164" t="s">
        <v>746</v>
      </c>
      <c r="C1164">
        <v>41</v>
      </c>
      <c r="D1164">
        <v>20.11</v>
      </c>
    </row>
    <row r="1165" spans="1:4">
      <c r="A1165" t="s">
        <v>2036</v>
      </c>
      <c r="B1165" t="s">
        <v>746</v>
      </c>
      <c r="C1165">
        <v>42</v>
      </c>
      <c r="D1165">
        <v>19.36</v>
      </c>
    </row>
    <row r="1166" spans="1:4">
      <c r="A1166" t="s">
        <v>2036</v>
      </c>
      <c r="B1166" t="s">
        <v>746</v>
      </c>
      <c r="C1166">
        <v>43</v>
      </c>
      <c r="D1166">
        <v>18.62</v>
      </c>
    </row>
    <row r="1167" spans="1:4">
      <c r="A1167" t="s">
        <v>2036</v>
      </c>
      <c r="B1167" t="s">
        <v>746</v>
      </c>
      <c r="C1167">
        <v>44</v>
      </c>
      <c r="D1167">
        <v>17.88</v>
      </c>
    </row>
    <row r="1168" spans="1:4">
      <c r="A1168" t="s">
        <v>2036</v>
      </c>
      <c r="B1168" t="s">
        <v>746</v>
      </c>
      <c r="C1168">
        <v>45</v>
      </c>
      <c r="D1168">
        <v>17.149999999999999</v>
      </c>
    </row>
    <row r="1169" spans="1:4">
      <c r="A1169" t="s">
        <v>2036</v>
      </c>
      <c r="B1169" t="s">
        <v>746</v>
      </c>
      <c r="C1169">
        <v>46</v>
      </c>
      <c r="D1169">
        <v>16.420000000000002</v>
      </c>
    </row>
    <row r="1170" spans="1:4">
      <c r="A1170" t="s">
        <v>2036</v>
      </c>
      <c r="B1170" t="s">
        <v>746</v>
      </c>
      <c r="C1170">
        <v>47</v>
      </c>
      <c r="D1170">
        <v>15.69</v>
      </c>
    </row>
    <row r="1171" spans="1:4">
      <c r="A1171" t="s">
        <v>2036</v>
      </c>
      <c r="B1171" t="s">
        <v>746</v>
      </c>
      <c r="C1171">
        <v>48</v>
      </c>
      <c r="D1171">
        <v>14.95</v>
      </c>
    </row>
    <row r="1172" spans="1:4">
      <c r="A1172" t="s">
        <v>2036</v>
      </c>
      <c r="B1172" t="s">
        <v>746</v>
      </c>
      <c r="C1172">
        <v>49</v>
      </c>
      <c r="D1172">
        <v>14.21</v>
      </c>
    </row>
    <row r="1173" spans="1:4">
      <c r="A1173" t="s">
        <v>2036</v>
      </c>
      <c r="B1173" t="s">
        <v>746</v>
      </c>
      <c r="C1173">
        <v>50</v>
      </c>
      <c r="D1173">
        <v>13.48</v>
      </c>
    </row>
    <row r="1174" spans="1:4">
      <c r="A1174" t="s">
        <v>2036</v>
      </c>
      <c r="B1174" t="s">
        <v>746</v>
      </c>
      <c r="C1174">
        <v>51</v>
      </c>
      <c r="D1174">
        <v>12.76</v>
      </c>
    </row>
    <row r="1175" spans="1:4">
      <c r="A1175" t="s">
        <v>2036</v>
      </c>
      <c r="B1175" t="s">
        <v>746</v>
      </c>
      <c r="C1175">
        <v>52</v>
      </c>
      <c r="D1175">
        <v>12.05</v>
      </c>
    </row>
    <row r="1176" spans="1:4">
      <c r="A1176" t="s">
        <v>2036</v>
      </c>
      <c r="B1176" t="s">
        <v>746</v>
      </c>
      <c r="C1176">
        <v>53</v>
      </c>
      <c r="D1176">
        <v>11.36</v>
      </c>
    </row>
    <row r="1177" spans="1:4">
      <c r="A1177" t="s">
        <v>2036</v>
      </c>
      <c r="B1177" t="s">
        <v>746</v>
      </c>
      <c r="C1177">
        <v>54</v>
      </c>
      <c r="D1177">
        <v>10.68</v>
      </c>
    </row>
    <row r="1178" spans="1:4">
      <c r="A1178" t="s">
        <v>2036</v>
      </c>
      <c r="B1178" t="s">
        <v>746</v>
      </c>
      <c r="C1178">
        <v>55</v>
      </c>
      <c r="D1178">
        <v>10.01</v>
      </c>
    </row>
    <row r="1179" spans="1:4">
      <c r="A1179" t="s">
        <v>2036</v>
      </c>
      <c r="B1179" t="s">
        <v>746</v>
      </c>
      <c r="C1179">
        <v>56</v>
      </c>
      <c r="D1179">
        <v>9.35</v>
      </c>
    </row>
    <row r="1180" spans="1:4">
      <c r="A1180" t="s">
        <v>2036</v>
      </c>
      <c r="B1180" t="s">
        <v>746</v>
      </c>
      <c r="C1180">
        <v>57</v>
      </c>
      <c r="D1180">
        <v>8.69</v>
      </c>
    </row>
    <row r="1181" spans="1:4">
      <c r="A1181" t="s">
        <v>2036</v>
      </c>
      <c r="B1181" t="s">
        <v>746</v>
      </c>
      <c r="C1181">
        <v>58</v>
      </c>
      <c r="D1181">
        <v>8.0500000000000007</v>
      </c>
    </row>
    <row r="1182" spans="1:4">
      <c r="A1182" t="s">
        <v>2036</v>
      </c>
      <c r="B1182" t="s">
        <v>746</v>
      </c>
      <c r="C1182">
        <v>59</v>
      </c>
      <c r="D1182">
        <v>7.45</v>
      </c>
    </row>
    <row r="1183" spans="1:4">
      <c r="A1183" t="s">
        <v>2036</v>
      </c>
      <c r="B1183" t="s">
        <v>746</v>
      </c>
      <c r="C1183">
        <v>60</v>
      </c>
      <c r="D1183">
        <v>6.92</v>
      </c>
    </row>
    <row r="1184" spans="1:4">
      <c r="A1184" t="s">
        <v>2036</v>
      </c>
      <c r="B1184" t="s">
        <v>746</v>
      </c>
      <c r="C1184">
        <v>61</v>
      </c>
      <c r="D1184">
        <v>6.45</v>
      </c>
    </row>
    <row r="1185" spans="1:4">
      <c r="A1185" t="s">
        <v>2036</v>
      </c>
      <c r="B1185" t="s">
        <v>746</v>
      </c>
      <c r="C1185">
        <v>62</v>
      </c>
      <c r="D1185">
        <v>6.02</v>
      </c>
    </row>
    <row r="1186" spans="1:4">
      <c r="A1186" t="s">
        <v>2036</v>
      </c>
      <c r="B1186" t="s">
        <v>746</v>
      </c>
      <c r="C1186">
        <v>63</v>
      </c>
      <c r="D1186">
        <v>5.64</v>
      </c>
    </row>
    <row r="1187" spans="1:4">
      <c r="A1187" t="s">
        <v>2036</v>
      </c>
      <c r="B1187" t="s">
        <v>746</v>
      </c>
      <c r="C1187">
        <v>64</v>
      </c>
      <c r="D1187">
        <v>5.31</v>
      </c>
    </row>
    <row r="1188" spans="1:4">
      <c r="A1188" t="s">
        <v>2036</v>
      </c>
      <c r="B1188" t="s">
        <v>746</v>
      </c>
      <c r="C1188">
        <v>65</v>
      </c>
      <c r="D1188">
        <v>5.0199999999999996</v>
      </c>
    </row>
    <row r="1189" spans="1:4">
      <c r="A1189" t="s">
        <v>2036</v>
      </c>
      <c r="B1189" t="s">
        <v>746</v>
      </c>
      <c r="C1189">
        <v>66</v>
      </c>
      <c r="D1189">
        <v>4.7699999999999996</v>
      </c>
    </row>
    <row r="1190" spans="1:4">
      <c r="A1190" t="s">
        <v>2036</v>
      </c>
      <c r="B1190" t="s">
        <v>746</v>
      </c>
      <c r="C1190">
        <v>67</v>
      </c>
      <c r="D1190">
        <v>4.54</v>
      </c>
    </row>
    <row r="1191" spans="1:4">
      <c r="A1191" t="s">
        <v>2036</v>
      </c>
      <c r="B1191" t="s">
        <v>746</v>
      </c>
      <c r="C1191">
        <v>68</v>
      </c>
      <c r="D1191">
        <v>4.32</v>
      </c>
    </row>
    <row r="1192" spans="1:4">
      <c r="A1192" t="s">
        <v>2036</v>
      </c>
      <c r="B1192" t="s">
        <v>746</v>
      </c>
      <c r="C1192">
        <v>69</v>
      </c>
      <c r="D1192">
        <v>4.1100000000000003</v>
      </c>
    </row>
    <row r="1193" spans="1:4">
      <c r="A1193" t="s">
        <v>2036</v>
      </c>
      <c r="B1193" t="s">
        <v>746</v>
      </c>
      <c r="C1193">
        <v>70</v>
      </c>
      <c r="D1193">
        <v>3.92</v>
      </c>
    </row>
    <row r="1194" spans="1:4">
      <c r="A1194" t="s">
        <v>2036</v>
      </c>
      <c r="B1194" t="s">
        <v>746</v>
      </c>
      <c r="C1194">
        <v>71</v>
      </c>
      <c r="D1194">
        <v>3.74</v>
      </c>
    </row>
    <row r="1195" spans="1:4">
      <c r="A1195" t="s">
        <v>2036</v>
      </c>
      <c r="B1195" t="s">
        <v>746</v>
      </c>
      <c r="C1195">
        <v>72</v>
      </c>
      <c r="D1195">
        <v>3.57</v>
      </c>
    </row>
    <row r="1196" spans="1:4">
      <c r="A1196" t="s">
        <v>2036</v>
      </c>
      <c r="B1196" t="s">
        <v>746</v>
      </c>
      <c r="C1196">
        <v>73</v>
      </c>
      <c r="D1196">
        <v>3.41</v>
      </c>
    </row>
    <row r="1197" spans="1:4">
      <c r="A1197" t="s">
        <v>2036</v>
      </c>
      <c r="B1197" t="s">
        <v>746</v>
      </c>
      <c r="C1197">
        <v>74</v>
      </c>
      <c r="D1197">
        <v>3.27</v>
      </c>
    </row>
    <row r="1198" spans="1:4">
      <c r="A1198" t="s">
        <v>2036</v>
      </c>
      <c r="B1198" t="s">
        <v>746</v>
      </c>
      <c r="C1198">
        <v>75</v>
      </c>
      <c r="D1198">
        <v>3.13</v>
      </c>
    </row>
    <row r="1199" spans="1:4">
      <c r="A1199" t="s">
        <v>2036</v>
      </c>
      <c r="B1199" t="s">
        <v>746</v>
      </c>
      <c r="C1199">
        <v>76</v>
      </c>
      <c r="D1199">
        <v>3</v>
      </c>
    </row>
    <row r="1200" spans="1:4">
      <c r="A1200" t="s">
        <v>2036</v>
      </c>
      <c r="B1200" t="s">
        <v>746</v>
      </c>
      <c r="C1200">
        <v>77</v>
      </c>
      <c r="D1200">
        <v>2.87</v>
      </c>
    </row>
    <row r="1201" spans="1:4">
      <c r="A1201" t="s">
        <v>2036</v>
      </c>
      <c r="B1201" t="s">
        <v>746</v>
      </c>
      <c r="C1201">
        <v>78</v>
      </c>
      <c r="D1201">
        <v>2.76</v>
      </c>
    </row>
    <row r="1202" spans="1:4">
      <c r="A1202" t="s">
        <v>2036</v>
      </c>
      <c r="B1202" t="s">
        <v>746</v>
      </c>
      <c r="C1202">
        <v>79</v>
      </c>
      <c r="D1202">
        <v>2.65</v>
      </c>
    </row>
    <row r="1203" spans="1:4">
      <c r="A1203" t="s">
        <v>2036</v>
      </c>
      <c r="B1203" t="s">
        <v>746</v>
      </c>
      <c r="C1203">
        <v>80</v>
      </c>
      <c r="D1203">
        <v>2.5499999999999998</v>
      </c>
    </row>
    <row r="1204" spans="1:4">
      <c r="A1204" t="s">
        <v>2036</v>
      </c>
      <c r="B1204" t="s">
        <v>746</v>
      </c>
      <c r="C1204">
        <v>81</v>
      </c>
      <c r="D1204">
        <v>2.4500000000000002</v>
      </c>
    </row>
    <row r="1205" spans="1:4">
      <c r="A1205" t="s">
        <v>2036</v>
      </c>
      <c r="B1205" t="s">
        <v>746</v>
      </c>
      <c r="C1205">
        <v>82</v>
      </c>
      <c r="D1205">
        <v>2.35</v>
      </c>
    </row>
    <row r="1206" spans="1:4">
      <c r="A1206" t="s">
        <v>2036</v>
      </c>
      <c r="B1206" t="s">
        <v>746</v>
      </c>
      <c r="C1206">
        <v>83</v>
      </c>
      <c r="D1206">
        <v>2.2599999999999998</v>
      </c>
    </row>
    <row r="1207" spans="1:4">
      <c r="A1207" t="s">
        <v>2036</v>
      </c>
      <c r="B1207" t="s">
        <v>746</v>
      </c>
      <c r="C1207">
        <v>84</v>
      </c>
      <c r="D1207">
        <v>2.1800000000000002</v>
      </c>
    </row>
    <row r="1208" spans="1:4">
      <c r="A1208" t="s">
        <v>2036</v>
      </c>
      <c r="B1208" t="s">
        <v>746</v>
      </c>
      <c r="C1208">
        <v>85</v>
      </c>
      <c r="D1208">
        <v>2.1</v>
      </c>
    </row>
    <row r="1209" spans="1:4">
      <c r="A1209" t="s">
        <v>2036</v>
      </c>
      <c r="B1209" t="s">
        <v>746</v>
      </c>
      <c r="C1209">
        <v>86</v>
      </c>
      <c r="D1209">
        <v>2.0099999999999998</v>
      </c>
    </row>
    <row r="1210" spans="1:4">
      <c r="A1210" t="s">
        <v>2036</v>
      </c>
      <c r="B1210" t="s">
        <v>746</v>
      </c>
      <c r="C1210">
        <v>87</v>
      </c>
      <c r="D1210">
        <v>1.93</v>
      </c>
    </row>
    <row r="1211" spans="1:4">
      <c r="A1211" t="s">
        <v>2036</v>
      </c>
      <c r="B1211" t="s">
        <v>746</v>
      </c>
      <c r="C1211">
        <v>88</v>
      </c>
      <c r="D1211">
        <v>1.85</v>
      </c>
    </row>
    <row r="1212" spans="1:4">
      <c r="A1212" t="s">
        <v>2036</v>
      </c>
      <c r="B1212" t="s">
        <v>746</v>
      </c>
      <c r="C1212">
        <v>89</v>
      </c>
      <c r="D1212">
        <v>1.78</v>
      </c>
    </row>
    <row r="1213" spans="1:4">
      <c r="A1213" t="s">
        <v>2036</v>
      </c>
      <c r="B1213" t="s">
        <v>746</v>
      </c>
      <c r="C1213">
        <v>90</v>
      </c>
      <c r="D1213">
        <v>1.71</v>
      </c>
    </row>
    <row r="1214" spans="1:4">
      <c r="A1214" t="s">
        <v>2037</v>
      </c>
      <c r="B1214" t="s">
        <v>746</v>
      </c>
      <c r="C1214">
        <v>22</v>
      </c>
      <c r="D1214">
        <v>36.67</v>
      </c>
    </row>
    <row r="1215" spans="1:4">
      <c r="A1215" t="s">
        <v>2037</v>
      </c>
      <c r="B1215" t="s">
        <v>746</v>
      </c>
      <c r="C1215">
        <v>23</v>
      </c>
      <c r="D1215">
        <v>35.75</v>
      </c>
    </row>
    <row r="1216" spans="1:4">
      <c r="A1216" t="s">
        <v>2037</v>
      </c>
      <c r="B1216" t="s">
        <v>746</v>
      </c>
      <c r="C1216">
        <v>24</v>
      </c>
      <c r="D1216">
        <v>34.85</v>
      </c>
    </row>
    <row r="1217" spans="1:4">
      <c r="A1217" t="s">
        <v>2037</v>
      </c>
      <c r="B1217" t="s">
        <v>746</v>
      </c>
      <c r="C1217">
        <v>25</v>
      </c>
      <c r="D1217">
        <v>33.950000000000003</v>
      </c>
    </row>
    <row r="1218" spans="1:4">
      <c r="A1218" t="s">
        <v>2037</v>
      </c>
      <c r="B1218" t="s">
        <v>746</v>
      </c>
      <c r="C1218">
        <v>26</v>
      </c>
      <c r="D1218">
        <v>33.07</v>
      </c>
    </row>
    <row r="1219" spans="1:4">
      <c r="A1219" t="s">
        <v>2037</v>
      </c>
      <c r="B1219" t="s">
        <v>746</v>
      </c>
      <c r="C1219">
        <v>27</v>
      </c>
      <c r="D1219">
        <v>32.21</v>
      </c>
    </row>
    <row r="1220" spans="1:4">
      <c r="A1220" t="s">
        <v>2037</v>
      </c>
      <c r="B1220" t="s">
        <v>746</v>
      </c>
      <c r="C1220">
        <v>28</v>
      </c>
      <c r="D1220">
        <v>31.37</v>
      </c>
    </row>
    <row r="1221" spans="1:4">
      <c r="A1221" t="s">
        <v>2037</v>
      </c>
      <c r="B1221" t="s">
        <v>746</v>
      </c>
      <c r="C1221">
        <v>29</v>
      </c>
      <c r="D1221">
        <v>30.54</v>
      </c>
    </row>
    <row r="1222" spans="1:4">
      <c r="A1222" t="s">
        <v>2037</v>
      </c>
      <c r="B1222" t="s">
        <v>746</v>
      </c>
      <c r="C1222">
        <v>30</v>
      </c>
      <c r="D1222">
        <v>29.73</v>
      </c>
    </row>
    <row r="1223" spans="1:4">
      <c r="A1223" t="s">
        <v>2037</v>
      </c>
      <c r="B1223" t="s">
        <v>746</v>
      </c>
      <c r="C1223">
        <v>31</v>
      </c>
      <c r="D1223">
        <v>28.93</v>
      </c>
    </row>
    <row r="1224" spans="1:4">
      <c r="A1224" t="s">
        <v>2037</v>
      </c>
      <c r="B1224" t="s">
        <v>746</v>
      </c>
      <c r="C1224">
        <v>32</v>
      </c>
      <c r="D1224">
        <v>28.15</v>
      </c>
    </row>
    <row r="1225" spans="1:4">
      <c r="A1225" t="s">
        <v>2037</v>
      </c>
      <c r="B1225" t="s">
        <v>746</v>
      </c>
      <c r="C1225">
        <v>33</v>
      </c>
      <c r="D1225">
        <v>27.38</v>
      </c>
    </row>
    <row r="1226" spans="1:4">
      <c r="A1226" t="s">
        <v>2037</v>
      </c>
      <c r="B1226" t="s">
        <v>746</v>
      </c>
      <c r="C1226">
        <v>34</v>
      </c>
      <c r="D1226">
        <v>26.61</v>
      </c>
    </row>
    <row r="1227" spans="1:4">
      <c r="A1227" t="s">
        <v>2037</v>
      </c>
      <c r="B1227" t="s">
        <v>746</v>
      </c>
      <c r="C1227">
        <v>35</v>
      </c>
      <c r="D1227">
        <v>25.85</v>
      </c>
    </row>
    <row r="1228" spans="1:4">
      <c r="A1228" t="s">
        <v>2037</v>
      </c>
      <c r="B1228" t="s">
        <v>746</v>
      </c>
      <c r="C1228">
        <v>36</v>
      </c>
      <c r="D1228">
        <v>25.08</v>
      </c>
    </row>
    <row r="1229" spans="1:4">
      <c r="A1229" t="s">
        <v>2037</v>
      </c>
      <c r="B1229" t="s">
        <v>746</v>
      </c>
      <c r="C1229">
        <v>37</v>
      </c>
      <c r="D1229">
        <v>24.31</v>
      </c>
    </row>
    <row r="1230" spans="1:4">
      <c r="A1230" t="s">
        <v>2037</v>
      </c>
      <c r="B1230" t="s">
        <v>746</v>
      </c>
      <c r="C1230">
        <v>38</v>
      </c>
      <c r="D1230">
        <v>23.52</v>
      </c>
    </row>
    <row r="1231" spans="1:4">
      <c r="A1231" t="s">
        <v>2037</v>
      </c>
      <c r="B1231" t="s">
        <v>746</v>
      </c>
      <c r="C1231">
        <v>39</v>
      </c>
      <c r="D1231">
        <v>22.74</v>
      </c>
    </row>
    <row r="1232" spans="1:4">
      <c r="A1232" t="s">
        <v>2037</v>
      </c>
      <c r="B1232" t="s">
        <v>746</v>
      </c>
      <c r="C1232">
        <v>40</v>
      </c>
      <c r="D1232">
        <v>21.94</v>
      </c>
    </row>
    <row r="1233" spans="1:4">
      <c r="A1233" t="s">
        <v>2037</v>
      </c>
      <c r="B1233" t="s">
        <v>746</v>
      </c>
      <c r="C1233">
        <v>41</v>
      </c>
      <c r="D1233">
        <v>21.15</v>
      </c>
    </row>
    <row r="1234" spans="1:4">
      <c r="A1234" t="s">
        <v>2037</v>
      </c>
      <c r="B1234" t="s">
        <v>746</v>
      </c>
      <c r="C1234">
        <v>42</v>
      </c>
      <c r="D1234">
        <v>20.350000000000001</v>
      </c>
    </row>
    <row r="1235" spans="1:4">
      <c r="A1235" t="s">
        <v>2037</v>
      </c>
      <c r="B1235" t="s">
        <v>746</v>
      </c>
      <c r="C1235">
        <v>43</v>
      </c>
      <c r="D1235">
        <v>19.559999999999999</v>
      </c>
    </row>
    <row r="1236" spans="1:4">
      <c r="A1236" t="s">
        <v>2037</v>
      </c>
      <c r="B1236" t="s">
        <v>746</v>
      </c>
      <c r="C1236">
        <v>44</v>
      </c>
      <c r="D1236">
        <v>18.760000000000002</v>
      </c>
    </row>
    <row r="1237" spans="1:4">
      <c r="A1237" t="s">
        <v>2037</v>
      </c>
      <c r="B1237" t="s">
        <v>746</v>
      </c>
      <c r="C1237">
        <v>45</v>
      </c>
      <c r="D1237">
        <v>17.96</v>
      </c>
    </row>
    <row r="1238" spans="1:4">
      <c r="A1238" t="s">
        <v>2037</v>
      </c>
      <c r="B1238" t="s">
        <v>746</v>
      </c>
      <c r="C1238">
        <v>46</v>
      </c>
      <c r="D1238">
        <v>17.170000000000002</v>
      </c>
    </row>
    <row r="1239" spans="1:4">
      <c r="A1239" t="s">
        <v>2037</v>
      </c>
      <c r="B1239" t="s">
        <v>746</v>
      </c>
      <c r="C1239">
        <v>47</v>
      </c>
      <c r="D1239">
        <v>16.37</v>
      </c>
    </row>
    <row r="1240" spans="1:4">
      <c r="A1240" t="s">
        <v>2037</v>
      </c>
      <c r="B1240" t="s">
        <v>746</v>
      </c>
      <c r="C1240">
        <v>48</v>
      </c>
      <c r="D1240">
        <v>15.58</v>
      </c>
    </row>
    <row r="1241" spans="1:4">
      <c r="A1241" t="s">
        <v>2037</v>
      </c>
      <c r="B1241" t="s">
        <v>746</v>
      </c>
      <c r="C1241">
        <v>49</v>
      </c>
      <c r="D1241">
        <v>14.79</v>
      </c>
    </row>
    <row r="1242" spans="1:4">
      <c r="A1242" t="s">
        <v>2037</v>
      </c>
      <c r="B1242" t="s">
        <v>746</v>
      </c>
      <c r="C1242">
        <v>50</v>
      </c>
      <c r="D1242">
        <v>14.01</v>
      </c>
    </row>
    <row r="1243" spans="1:4">
      <c r="A1243" t="s">
        <v>2037</v>
      </c>
      <c r="B1243" t="s">
        <v>746</v>
      </c>
      <c r="C1243">
        <v>51</v>
      </c>
      <c r="D1243">
        <v>13.24</v>
      </c>
    </row>
    <row r="1244" spans="1:4">
      <c r="A1244" t="s">
        <v>2037</v>
      </c>
      <c r="B1244" t="s">
        <v>746</v>
      </c>
      <c r="C1244">
        <v>52</v>
      </c>
      <c r="D1244">
        <v>12.48</v>
      </c>
    </row>
    <row r="1245" spans="1:4">
      <c r="A1245" t="s">
        <v>2037</v>
      </c>
      <c r="B1245" t="s">
        <v>746</v>
      </c>
      <c r="C1245">
        <v>53</v>
      </c>
      <c r="D1245">
        <v>11.73</v>
      </c>
    </row>
    <row r="1246" spans="1:4">
      <c r="A1246" t="s">
        <v>2037</v>
      </c>
      <c r="B1246" t="s">
        <v>746</v>
      </c>
      <c r="C1246">
        <v>54</v>
      </c>
      <c r="D1246">
        <v>11</v>
      </c>
    </row>
    <row r="1247" spans="1:4">
      <c r="A1247" t="s">
        <v>2037</v>
      </c>
      <c r="B1247" t="s">
        <v>746</v>
      </c>
      <c r="C1247">
        <v>55</v>
      </c>
      <c r="D1247">
        <v>10.29</v>
      </c>
    </row>
    <row r="1248" spans="1:4">
      <c r="A1248" t="s">
        <v>2037</v>
      </c>
      <c r="B1248" t="s">
        <v>746</v>
      </c>
      <c r="C1248">
        <v>56</v>
      </c>
      <c r="D1248">
        <v>9.6</v>
      </c>
    </row>
    <row r="1249" spans="1:4">
      <c r="A1249" t="s">
        <v>2037</v>
      </c>
      <c r="B1249" t="s">
        <v>746</v>
      </c>
      <c r="C1249">
        <v>57</v>
      </c>
      <c r="D1249">
        <v>8.93</v>
      </c>
    </row>
    <row r="1250" spans="1:4">
      <c r="A1250" t="s">
        <v>2037</v>
      </c>
      <c r="B1250" t="s">
        <v>746</v>
      </c>
      <c r="C1250">
        <v>58</v>
      </c>
      <c r="D1250">
        <v>8.2899999999999991</v>
      </c>
    </row>
    <row r="1251" spans="1:4">
      <c r="A1251" t="s">
        <v>2037</v>
      </c>
      <c r="B1251" t="s">
        <v>746</v>
      </c>
      <c r="C1251">
        <v>59</v>
      </c>
      <c r="D1251">
        <v>7.69</v>
      </c>
    </row>
    <row r="1252" spans="1:4">
      <c r="A1252" t="s">
        <v>2037</v>
      </c>
      <c r="B1252" t="s">
        <v>746</v>
      </c>
      <c r="C1252">
        <v>60</v>
      </c>
      <c r="D1252">
        <v>7.12</v>
      </c>
    </row>
    <row r="1253" spans="1:4">
      <c r="A1253" t="s">
        <v>2037</v>
      </c>
      <c r="B1253" t="s">
        <v>746</v>
      </c>
      <c r="C1253">
        <v>61</v>
      </c>
      <c r="D1253">
        <v>6.59</v>
      </c>
    </row>
    <row r="1254" spans="1:4">
      <c r="A1254" t="s">
        <v>2037</v>
      </c>
      <c r="B1254" t="s">
        <v>746</v>
      </c>
      <c r="C1254">
        <v>62</v>
      </c>
      <c r="D1254">
        <v>6.11</v>
      </c>
    </row>
    <row r="1255" spans="1:4">
      <c r="A1255" t="s">
        <v>2037</v>
      </c>
      <c r="B1255" t="s">
        <v>746</v>
      </c>
      <c r="C1255">
        <v>63</v>
      </c>
      <c r="D1255">
        <v>5.68</v>
      </c>
    </row>
    <row r="1256" spans="1:4">
      <c r="A1256" t="s">
        <v>2037</v>
      </c>
      <c r="B1256" t="s">
        <v>746</v>
      </c>
      <c r="C1256">
        <v>64</v>
      </c>
      <c r="D1256">
        <v>5.28</v>
      </c>
    </row>
    <row r="1257" spans="1:4">
      <c r="A1257" t="s">
        <v>2037</v>
      </c>
      <c r="B1257" t="s">
        <v>746</v>
      </c>
      <c r="C1257">
        <v>65</v>
      </c>
      <c r="D1257">
        <v>4.91</v>
      </c>
    </row>
    <row r="1258" spans="1:4">
      <c r="A1258" t="s">
        <v>2037</v>
      </c>
      <c r="B1258" t="s">
        <v>746</v>
      </c>
      <c r="C1258">
        <v>66</v>
      </c>
      <c r="D1258">
        <v>4.58</v>
      </c>
    </row>
    <row r="1259" spans="1:4">
      <c r="A1259" t="s">
        <v>2037</v>
      </c>
      <c r="B1259" t="s">
        <v>746</v>
      </c>
      <c r="C1259">
        <v>67</v>
      </c>
      <c r="D1259">
        <v>4.26</v>
      </c>
    </row>
    <row r="1260" spans="1:4">
      <c r="A1260" t="s">
        <v>2037</v>
      </c>
      <c r="B1260" t="s">
        <v>746</v>
      </c>
      <c r="C1260">
        <v>68</v>
      </c>
      <c r="D1260">
        <v>3.97</v>
      </c>
    </row>
    <row r="1261" spans="1:4">
      <c r="A1261" t="s">
        <v>2037</v>
      </c>
      <c r="B1261" t="s">
        <v>746</v>
      </c>
      <c r="C1261">
        <v>69</v>
      </c>
      <c r="D1261">
        <v>3.7</v>
      </c>
    </row>
    <row r="1262" spans="1:4">
      <c r="A1262" t="s">
        <v>2037</v>
      </c>
      <c r="B1262" t="s">
        <v>746</v>
      </c>
      <c r="C1262">
        <v>70</v>
      </c>
      <c r="D1262">
        <v>3.45</v>
      </c>
    </row>
    <row r="1263" spans="1:4">
      <c r="A1263" t="s">
        <v>2037</v>
      </c>
      <c r="B1263" t="s">
        <v>746</v>
      </c>
      <c r="C1263">
        <v>71</v>
      </c>
      <c r="D1263">
        <v>3.22</v>
      </c>
    </row>
    <row r="1264" spans="1:4">
      <c r="A1264" t="s">
        <v>2037</v>
      </c>
      <c r="B1264" t="s">
        <v>746</v>
      </c>
      <c r="C1264">
        <v>72</v>
      </c>
      <c r="D1264">
        <v>3.02</v>
      </c>
    </row>
    <row r="1265" spans="1:4">
      <c r="A1265" t="s">
        <v>2037</v>
      </c>
      <c r="B1265" t="s">
        <v>746</v>
      </c>
      <c r="C1265">
        <v>73</v>
      </c>
      <c r="D1265">
        <v>2.84</v>
      </c>
    </row>
    <row r="1266" spans="1:4">
      <c r="A1266" t="s">
        <v>2037</v>
      </c>
      <c r="B1266" t="s">
        <v>746</v>
      </c>
      <c r="C1266">
        <v>74</v>
      </c>
      <c r="D1266">
        <v>2.67</v>
      </c>
    </row>
    <row r="1267" spans="1:4">
      <c r="A1267" t="s">
        <v>2037</v>
      </c>
      <c r="B1267" t="s">
        <v>746</v>
      </c>
      <c r="C1267">
        <v>75</v>
      </c>
      <c r="D1267">
        <v>2.52</v>
      </c>
    </row>
    <row r="1268" spans="1:4">
      <c r="A1268" t="s">
        <v>2037</v>
      </c>
      <c r="B1268" t="s">
        <v>746</v>
      </c>
      <c r="C1268">
        <v>76</v>
      </c>
      <c r="D1268">
        <v>2.38</v>
      </c>
    </row>
    <row r="1269" spans="1:4">
      <c r="A1269" t="s">
        <v>2037</v>
      </c>
      <c r="B1269" t="s">
        <v>746</v>
      </c>
      <c r="C1269">
        <v>77</v>
      </c>
      <c r="D1269">
        <v>2.25</v>
      </c>
    </row>
    <row r="1270" spans="1:4">
      <c r="A1270" t="s">
        <v>2037</v>
      </c>
      <c r="B1270" t="s">
        <v>746</v>
      </c>
      <c r="C1270">
        <v>78</v>
      </c>
      <c r="D1270">
        <v>2.13</v>
      </c>
    </row>
    <row r="1271" spans="1:4">
      <c r="A1271" t="s">
        <v>2037</v>
      </c>
      <c r="B1271" t="s">
        <v>746</v>
      </c>
      <c r="C1271">
        <v>79</v>
      </c>
      <c r="D1271">
        <v>2.02</v>
      </c>
    </row>
    <row r="1272" spans="1:4">
      <c r="A1272" t="s">
        <v>2037</v>
      </c>
      <c r="B1272" t="s">
        <v>746</v>
      </c>
      <c r="C1272">
        <v>80</v>
      </c>
      <c r="D1272">
        <v>1.93</v>
      </c>
    </row>
    <row r="1273" spans="1:4">
      <c r="A1273" t="s">
        <v>2037</v>
      </c>
      <c r="B1273" t="s">
        <v>746</v>
      </c>
      <c r="C1273">
        <v>81</v>
      </c>
      <c r="D1273">
        <v>1.84</v>
      </c>
    </row>
    <row r="1274" spans="1:4">
      <c r="A1274" t="s">
        <v>2037</v>
      </c>
      <c r="B1274" t="s">
        <v>746</v>
      </c>
      <c r="C1274">
        <v>82</v>
      </c>
      <c r="D1274">
        <v>1.75</v>
      </c>
    </row>
    <row r="1275" spans="1:4">
      <c r="A1275" t="s">
        <v>2037</v>
      </c>
      <c r="B1275" t="s">
        <v>746</v>
      </c>
      <c r="C1275">
        <v>83</v>
      </c>
      <c r="D1275">
        <v>1.67</v>
      </c>
    </row>
    <row r="1276" spans="1:4">
      <c r="A1276" t="s">
        <v>2037</v>
      </c>
      <c r="B1276" t="s">
        <v>746</v>
      </c>
      <c r="C1276">
        <v>84</v>
      </c>
      <c r="D1276">
        <v>1.59</v>
      </c>
    </row>
    <row r="1277" spans="1:4">
      <c r="A1277" t="s">
        <v>2037</v>
      </c>
      <c r="B1277" t="s">
        <v>746</v>
      </c>
      <c r="C1277">
        <v>85</v>
      </c>
      <c r="D1277">
        <v>1.52</v>
      </c>
    </row>
    <row r="1278" spans="1:4">
      <c r="A1278" t="s">
        <v>2037</v>
      </c>
      <c r="B1278" t="s">
        <v>746</v>
      </c>
      <c r="C1278">
        <v>86</v>
      </c>
      <c r="D1278">
        <v>1.45</v>
      </c>
    </row>
    <row r="1279" spans="1:4">
      <c r="A1279" t="s">
        <v>2037</v>
      </c>
      <c r="B1279" t="s">
        <v>746</v>
      </c>
      <c r="C1279">
        <v>87</v>
      </c>
      <c r="D1279">
        <v>1.38</v>
      </c>
    </row>
    <row r="1280" spans="1:4">
      <c r="A1280" t="s">
        <v>2037</v>
      </c>
      <c r="B1280" t="s">
        <v>746</v>
      </c>
      <c r="C1280">
        <v>88</v>
      </c>
      <c r="D1280">
        <v>1.32</v>
      </c>
    </row>
    <row r="1281" spans="1:4">
      <c r="A1281" t="s">
        <v>2037</v>
      </c>
      <c r="B1281" t="s">
        <v>746</v>
      </c>
      <c r="C1281">
        <v>89</v>
      </c>
      <c r="D1281">
        <v>1.27</v>
      </c>
    </row>
    <row r="1282" spans="1:4">
      <c r="A1282" t="s">
        <v>2037</v>
      </c>
      <c r="B1282" t="s">
        <v>746</v>
      </c>
      <c r="C1282">
        <v>90</v>
      </c>
      <c r="D1282">
        <v>1.21</v>
      </c>
    </row>
    <row r="1283" spans="1:4">
      <c r="A1283" t="s">
        <v>2038</v>
      </c>
      <c r="B1283" t="s">
        <v>746</v>
      </c>
      <c r="C1283">
        <v>25</v>
      </c>
      <c r="D1283">
        <v>36.06</v>
      </c>
    </row>
    <row r="1284" spans="1:4">
      <c r="A1284" t="s">
        <v>2038</v>
      </c>
      <c r="B1284" t="s">
        <v>746</v>
      </c>
      <c r="C1284">
        <v>26</v>
      </c>
      <c r="D1284">
        <v>35.119999999999997</v>
      </c>
    </row>
    <row r="1285" spans="1:4">
      <c r="A1285" t="s">
        <v>2038</v>
      </c>
      <c r="B1285" t="s">
        <v>746</v>
      </c>
      <c r="C1285">
        <v>27</v>
      </c>
      <c r="D1285">
        <v>34.19</v>
      </c>
    </row>
    <row r="1286" spans="1:4">
      <c r="A1286" t="s">
        <v>2038</v>
      </c>
      <c r="B1286" t="s">
        <v>746</v>
      </c>
      <c r="C1286">
        <v>28</v>
      </c>
      <c r="D1286">
        <v>33.26</v>
      </c>
    </row>
    <row r="1287" spans="1:4">
      <c r="A1287" t="s">
        <v>2038</v>
      </c>
      <c r="B1287" t="s">
        <v>746</v>
      </c>
      <c r="C1287">
        <v>29</v>
      </c>
      <c r="D1287">
        <v>32.340000000000003</v>
      </c>
    </row>
    <row r="1288" spans="1:4">
      <c r="A1288" t="s">
        <v>2038</v>
      </c>
      <c r="B1288" t="s">
        <v>746</v>
      </c>
      <c r="C1288">
        <v>30</v>
      </c>
      <c r="D1288">
        <v>31.44</v>
      </c>
    </row>
    <row r="1289" spans="1:4">
      <c r="A1289" t="s">
        <v>2038</v>
      </c>
      <c r="B1289" t="s">
        <v>746</v>
      </c>
      <c r="C1289">
        <v>31</v>
      </c>
      <c r="D1289">
        <v>30.54</v>
      </c>
    </row>
    <row r="1290" spans="1:4">
      <c r="A1290" t="s">
        <v>2038</v>
      </c>
      <c r="B1290" t="s">
        <v>746</v>
      </c>
      <c r="C1290">
        <v>32</v>
      </c>
      <c r="D1290">
        <v>29.66</v>
      </c>
    </row>
    <row r="1291" spans="1:4">
      <c r="A1291" t="s">
        <v>2038</v>
      </c>
      <c r="B1291" t="s">
        <v>746</v>
      </c>
      <c r="C1291">
        <v>33</v>
      </c>
      <c r="D1291">
        <v>28.79</v>
      </c>
    </row>
    <row r="1292" spans="1:4">
      <c r="A1292" t="s">
        <v>2038</v>
      </c>
      <c r="B1292" t="s">
        <v>746</v>
      </c>
      <c r="C1292">
        <v>34</v>
      </c>
      <c r="D1292">
        <v>27.93</v>
      </c>
    </row>
    <row r="1293" spans="1:4">
      <c r="A1293" t="s">
        <v>2038</v>
      </c>
      <c r="B1293" t="s">
        <v>746</v>
      </c>
      <c r="C1293">
        <v>35</v>
      </c>
      <c r="D1293">
        <v>27.08</v>
      </c>
    </row>
    <row r="1294" spans="1:4">
      <c r="A1294" t="s">
        <v>2038</v>
      </c>
      <c r="B1294" t="s">
        <v>746</v>
      </c>
      <c r="C1294">
        <v>36</v>
      </c>
      <c r="D1294">
        <v>26.24</v>
      </c>
    </row>
    <row r="1295" spans="1:4">
      <c r="A1295" t="s">
        <v>2038</v>
      </c>
      <c r="B1295" t="s">
        <v>746</v>
      </c>
      <c r="C1295">
        <v>37</v>
      </c>
      <c r="D1295">
        <v>25.41</v>
      </c>
    </row>
    <row r="1296" spans="1:4">
      <c r="A1296" t="s">
        <v>2038</v>
      </c>
      <c r="B1296" t="s">
        <v>746</v>
      </c>
      <c r="C1296">
        <v>38</v>
      </c>
      <c r="D1296">
        <v>24.57</v>
      </c>
    </row>
    <row r="1297" spans="1:4">
      <c r="A1297" t="s">
        <v>2038</v>
      </c>
      <c r="B1297" t="s">
        <v>746</v>
      </c>
      <c r="C1297">
        <v>39</v>
      </c>
      <c r="D1297">
        <v>23.73</v>
      </c>
    </row>
    <row r="1298" spans="1:4">
      <c r="A1298" t="s">
        <v>2038</v>
      </c>
      <c r="B1298" t="s">
        <v>746</v>
      </c>
      <c r="C1298">
        <v>40</v>
      </c>
      <c r="D1298">
        <v>22.89</v>
      </c>
    </row>
    <row r="1299" spans="1:4">
      <c r="A1299" t="s">
        <v>2038</v>
      </c>
      <c r="B1299" t="s">
        <v>746</v>
      </c>
      <c r="C1299">
        <v>41</v>
      </c>
      <c r="D1299">
        <v>22.03</v>
      </c>
    </row>
    <row r="1300" spans="1:4">
      <c r="A1300" t="s">
        <v>2038</v>
      </c>
      <c r="B1300" t="s">
        <v>746</v>
      </c>
      <c r="C1300">
        <v>42</v>
      </c>
      <c r="D1300">
        <v>21.18</v>
      </c>
    </row>
    <row r="1301" spans="1:4">
      <c r="A1301" t="s">
        <v>2038</v>
      </c>
      <c r="B1301" t="s">
        <v>746</v>
      </c>
      <c r="C1301">
        <v>43</v>
      </c>
      <c r="D1301">
        <v>20.32</v>
      </c>
    </row>
    <row r="1302" spans="1:4">
      <c r="A1302" t="s">
        <v>2038</v>
      </c>
      <c r="B1302" t="s">
        <v>746</v>
      </c>
      <c r="C1302">
        <v>44</v>
      </c>
      <c r="D1302">
        <v>19.47</v>
      </c>
    </row>
    <row r="1303" spans="1:4">
      <c r="A1303" t="s">
        <v>2038</v>
      </c>
      <c r="B1303" t="s">
        <v>746</v>
      </c>
      <c r="C1303">
        <v>45</v>
      </c>
      <c r="D1303">
        <v>18.62</v>
      </c>
    </row>
    <row r="1304" spans="1:4">
      <c r="A1304" t="s">
        <v>2038</v>
      </c>
      <c r="B1304" t="s">
        <v>746</v>
      </c>
      <c r="C1304">
        <v>46</v>
      </c>
      <c r="D1304">
        <v>17.77</v>
      </c>
    </row>
    <row r="1305" spans="1:4">
      <c r="A1305" t="s">
        <v>2038</v>
      </c>
      <c r="B1305" t="s">
        <v>746</v>
      </c>
      <c r="C1305">
        <v>47</v>
      </c>
      <c r="D1305">
        <v>16.920000000000002</v>
      </c>
    </row>
    <row r="1306" spans="1:4">
      <c r="A1306" t="s">
        <v>2038</v>
      </c>
      <c r="B1306" t="s">
        <v>746</v>
      </c>
      <c r="C1306">
        <v>48</v>
      </c>
      <c r="D1306">
        <v>16.079999999999998</v>
      </c>
    </row>
    <row r="1307" spans="1:4">
      <c r="A1307" t="s">
        <v>2038</v>
      </c>
      <c r="B1307" t="s">
        <v>746</v>
      </c>
      <c r="C1307">
        <v>49</v>
      </c>
      <c r="D1307">
        <v>15.23</v>
      </c>
    </row>
    <row r="1308" spans="1:4">
      <c r="A1308" t="s">
        <v>2038</v>
      </c>
      <c r="B1308" t="s">
        <v>746</v>
      </c>
      <c r="C1308">
        <v>50</v>
      </c>
      <c r="D1308">
        <v>14.39</v>
      </c>
    </row>
    <row r="1309" spans="1:4">
      <c r="A1309" t="s">
        <v>2038</v>
      </c>
      <c r="B1309" t="s">
        <v>746</v>
      </c>
      <c r="C1309">
        <v>51</v>
      </c>
      <c r="D1309">
        <v>13.55</v>
      </c>
    </row>
    <row r="1310" spans="1:4">
      <c r="A1310" t="s">
        <v>2038</v>
      </c>
      <c r="B1310" t="s">
        <v>746</v>
      </c>
      <c r="C1310">
        <v>52</v>
      </c>
      <c r="D1310">
        <v>12.73</v>
      </c>
    </row>
    <row r="1311" spans="1:4">
      <c r="A1311" t="s">
        <v>2038</v>
      </c>
      <c r="B1311" t="s">
        <v>746</v>
      </c>
      <c r="C1311">
        <v>53</v>
      </c>
      <c r="D1311">
        <v>11.92</v>
      </c>
    </row>
    <row r="1312" spans="1:4">
      <c r="A1312" t="s">
        <v>2038</v>
      </c>
      <c r="B1312" t="s">
        <v>746</v>
      </c>
      <c r="C1312">
        <v>54</v>
      </c>
      <c r="D1312">
        <v>11.12</v>
      </c>
    </row>
    <row r="1313" spans="1:4">
      <c r="A1313" t="s">
        <v>2038</v>
      </c>
      <c r="B1313" t="s">
        <v>746</v>
      </c>
      <c r="C1313">
        <v>55</v>
      </c>
      <c r="D1313">
        <v>10.35</v>
      </c>
    </row>
    <row r="1314" spans="1:4">
      <c r="A1314" t="s">
        <v>2038</v>
      </c>
      <c r="B1314" t="s">
        <v>746</v>
      </c>
      <c r="C1314">
        <v>56</v>
      </c>
      <c r="D1314">
        <v>9.61</v>
      </c>
    </row>
    <row r="1315" spans="1:4">
      <c r="A1315" t="s">
        <v>2038</v>
      </c>
      <c r="B1315" t="s">
        <v>746</v>
      </c>
      <c r="C1315">
        <v>57</v>
      </c>
      <c r="D1315">
        <v>8.9</v>
      </c>
    </row>
    <row r="1316" spans="1:4">
      <c r="A1316" t="s">
        <v>2038</v>
      </c>
      <c r="B1316" t="s">
        <v>746</v>
      </c>
      <c r="C1316">
        <v>58</v>
      </c>
      <c r="D1316">
        <v>8.23</v>
      </c>
    </row>
    <row r="1317" spans="1:4">
      <c r="A1317" t="s">
        <v>2038</v>
      </c>
      <c r="B1317" t="s">
        <v>746</v>
      </c>
      <c r="C1317">
        <v>59</v>
      </c>
      <c r="D1317">
        <v>7.59</v>
      </c>
    </row>
    <row r="1318" spans="1:4">
      <c r="A1318" t="s">
        <v>2038</v>
      </c>
      <c r="B1318" t="s">
        <v>746</v>
      </c>
      <c r="C1318">
        <v>60</v>
      </c>
      <c r="D1318">
        <v>7.01</v>
      </c>
    </row>
    <row r="1319" spans="1:4">
      <c r="A1319" t="s">
        <v>2038</v>
      </c>
      <c r="B1319" t="s">
        <v>746</v>
      </c>
      <c r="C1319">
        <v>61</v>
      </c>
      <c r="D1319">
        <v>6.47</v>
      </c>
    </row>
    <row r="1320" spans="1:4">
      <c r="A1320" t="s">
        <v>2038</v>
      </c>
      <c r="B1320" t="s">
        <v>746</v>
      </c>
      <c r="C1320">
        <v>62</v>
      </c>
      <c r="D1320">
        <v>5.98</v>
      </c>
    </row>
    <row r="1321" spans="1:4">
      <c r="A1321" t="s">
        <v>2038</v>
      </c>
      <c r="B1321" t="s">
        <v>746</v>
      </c>
      <c r="C1321">
        <v>63</v>
      </c>
      <c r="D1321">
        <v>5.54</v>
      </c>
    </row>
    <row r="1322" spans="1:4">
      <c r="A1322" t="s">
        <v>2038</v>
      </c>
      <c r="B1322" t="s">
        <v>746</v>
      </c>
      <c r="C1322">
        <v>64</v>
      </c>
      <c r="D1322">
        <v>5.13</v>
      </c>
    </row>
    <row r="1323" spans="1:4">
      <c r="A1323" t="s">
        <v>2038</v>
      </c>
      <c r="B1323" t="s">
        <v>746</v>
      </c>
      <c r="C1323">
        <v>65</v>
      </c>
      <c r="D1323">
        <v>4.76</v>
      </c>
    </row>
    <row r="1324" spans="1:4">
      <c r="A1324" t="s">
        <v>2038</v>
      </c>
      <c r="B1324" t="s">
        <v>746</v>
      </c>
      <c r="C1324">
        <v>66</v>
      </c>
      <c r="D1324">
        <v>4.4400000000000004</v>
      </c>
    </row>
    <row r="1325" spans="1:4">
      <c r="A1325" t="s">
        <v>2038</v>
      </c>
      <c r="B1325" t="s">
        <v>746</v>
      </c>
      <c r="C1325">
        <v>67</v>
      </c>
      <c r="D1325">
        <v>4.1399999999999997</v>
      </c>
    </row>
    <row r="1326" spans="1:4">
      <c r="A1326" t="s">
        <v>2038</v>
      </c>
      <c r="B1326" t="s">
        <v>746</v>
      </c>
      <c r="C1326">
        <v>68</v>
      </c>
      <c r="D1326">
        <v>3.88</v>
      </c>
    </row>
    <row r="1327" spans="1:4">
      <c r="A1327" t="s">
        <v>2038</v>
      </c>
      <c r="B1327" t="s">
        <v>746</v>
      </c>
      <c r="C1327">
        <v>69</v>
      </c>
      <c r="D1327">
        <v>3.64</v>
      </c>
    </row>
    <row r="1328" spans="1:4">
      <c r="A1328" t="s">
        <v>2038</v>
      </c>
      <c r="B1328" t="s">
        <v>746</v>
      </c>
      <c r="C1328">
        <v>70</v>
      </c>
      <c r="D1328">
        <v>3.42</v>
      </c>
    </row>
    <row r="1329" spans="1:4">
      <c r="A1329" t="s">
        <v>2038</v>
      </c>
      <c r="B1329" t="s">
        <v>746</v>
      </c>
      <c r="C1329">
        <v>71</v>
      </c>
      <c r="D1329">
        <v>3.23</v>
      </c>
    </row>
    <row r="1330" spans="1:4">
      <c r="A1330" t="s">
        <v>2038</v>
      </c>
      <c r="B1330" t="s">
        <v>746</v>
      </c>
      <c r="C1330">
        <v>72</v>
      </c>
      <c r="D1330">
        <v>3.05</v>
      </c>
    </row>
    <row r="1331" spans="1:4">
      <c r="A1331" t="s">
        <v>2038</v>
      </c>
      <c r="B1331" t="s">
        <v>746</v>
      </c>
      <c r="C1331">
        <v>73</v>
      </c>
      <c r="D1331">
        <v>2.89</v>
      </c>
    </row>
    <row r="1332" spans="1:4">
      <c r="A1332" t="s">
        <v>2038</v>
      </c>
      <c r="B1332" t="s">
        <v>746</v>
      </c>
      <c r="C1332">
        <v>74</v>
      </c>
      <c r="D1332">
        <v>2.75</v>
      </c>
    </row>
    <row r="1333" spans="1:4">
      <c r="A1333" t="s">
        <v>2038</v>
      </c>
      <c r="B1333" t="s">
        <v>746</v>
      </c>
      <c r="C1333">
        <v>75</v>
      </c>
      <c r="D1333">
        <v>2.62</v>
      </c>
    </row>
    <row r="1334" spans="1:4">
      <c r="A1334" t="s">
        <v>2038</v>
      </c>
      <c r="B1334" t="s">
        <v>746</v>
      </c>
      <c r="C1334">
        <v>76</v>
      </c>
      <c r="D1334">
        <v>2.5</v>
      </c>
    </row>
    <row r="1335" spans="1:4">
      <c r="A1335" t="s">
        <v>2038</v>
      </c>
      <c r="B1335" t="s">
        <v>746</v>
      </c>
      <c r="C1335">
        <v>77</v>
      </c>
      <c r="D1335">
        <v>2.39</v>
      </c>
    </row>
    <row r="1336" spans="1:4">
      <c r="A1336" t="s">
        <v>2038</v>
      </c>
      <c r="B1336" t="s">
        <v>746</v>
      </c>
      <c r="C1336">
        <v>78</v>
      </c>
      <c r="D1336">
        <v>2.2799999999999998</v>
      </c>
    </row>
    <row r="1337" spans="1:4">
      <c r="A1337" t="s">
        <v>2038</v>
      </c>
      <c r="B1337" t="s">
        <v>746</v>
      </c>
      <c r="C1337">
        <v>79</v>
      </c>
      <c r="D1337">
        <v>2.1800000000000002</v>
      </c>
    </row>
    <row r="1338" spans="1:4">
      <c r="A1338" t="s">
        <v>2038</v>
      </c>
      <c r="B1338" t="s">
        <v>746</v>
      </c>
      <c r="C1338">
        <v>80</v>
      </c>
      <c r="D1338">
        <v>2.09</v>
      </c>
    </row>
    <row r="1339" spans="1:4">
      <c r="A1339" t="s">
        <v>2038</v>
      </c>
      <c r="B1339" t="s">
        <v>746</v>
      </c>
      <c r="C1339">
        <v>81</v>
      </c>
      <c r="D1339">
        <v>2</v>
      </c>
    </row>
    <row r="1340" spans="1:4">
      <c r="A1340" t="s">
        <v>2038</v>
      </c>
      <c r="B1340" t="s">
        <v>746</v>
      </c>
      <c r="C1340">
        <v>82</v>
      </c>
      <c r="D1340">
        <v>1.91</v>
      </c>
    </row>
    <row r="1341" spans="1:4">
      <c r="A1341" t="s">
        <v>2038</v>
      </c>
      <c r="B1341" t="s">
        <v>746</v>
      </c>
      <c r="C1341">
        <v>83</v>
      </c>
      <c r="D1341">
        <v>1.83</v>
      </c>
    </row>
    <row r="1342" spans="1:4">
      <c r="A1342" t="s">
        <v>2038</v>
      </c>
      <c r="B1342" t="s">
        <v>746</v>
      </c>
      <c r="C1342">
        <v>84</v>
      </c>
      <c r="D1342">
        <v>1.76</v>
      </c>
    </row>
    <row r="1343" spans="1:4">
      <c r="A1343" t="s">
        <v>2038</v>
      </c>
      <c r="B1343" t="s">
        <v>746</v>
      </c>
      <c r="C1343">
        <v>85</v>
      </c>
      <c r="D1343">
        <v>1.69</v>
      </c>
    </row>
    <row r="1344" spans="1:4">
      <c r="A1344" t="s">
        <v>2038</v>
      </c>
      <c r="B1344" t="s">
        <v>746</v>
      </c>
      <c r="C1344">
        <v>86</v>
      </c>
      <c r="D1344">
        <v>1.62</v>
      </c>
    </row>
    <row r="1345" spans="1:4">
      <c r="A1345" t="s">
        <v>2038</v>
      </c>
      <c r="B1345" t="s">
        <v>746</v>
      </c>
      <c r="C1345">
        <v>87</v>
      </c>
      <c r="D1345">
        <v>1.56</v>
      </c>
    </row>
    <row r="1346" spans="1:4">
      <c r="A1346" t="s">
        <v>2038</v>
      </c>
      <c r="B1346" t="s">
        <v>746</v>
      </c>
      <c r="C1346">
        <v>88</v>
      </c>
      <c r="D1346">
        <v>1.5</v>
      </c>
    </row>
    <row r="1347" spans="1:4">
      <c r="A1347" t="s">
        <v>2038</v>
      </c>
      <c r="B1347" t="s">
        <v>746</v>
      </c>
      <c r="C1347">
        <v>89</v>
      </c>
      <c r="D1347">
        <v>1.44</v>
      </c>
    </row>
    <row r="1348" spans="1:4">
      <c r="A1348" t="s">
        <v>2038</v>
      </c>
      <c r="B1348" t="s">
        <v>746</v>
      </c>
      <c r="C1348">
        <v>90</v>
      </c>
      <c r="D1348">
        <v>1.38</v>
      </c>
    </row>
    <row r="1349" spans="1:4">
      <c r="A1349" t="s">
        <v>2039</v>
      </c>
      <c r="B1349" t="s">
        <v>746</v>
      </c>
      <c r="C1349">
        <v>26</v>
      </c>
      <c r="D1349">
        <v>37.89</v>
      </c>
    </row>
    <row r="1350" spans="1:4">
      <c r="A1350" t="s">
        <v>2039</v>
      </c>
      <c r="B1350" t="s">
        <v>746</v>
      </c>
      <c r="C1350">
        <v>27</v>
      </c>
      <c r="D1350">
        <v>36.93</v>
      </c>
    </row>
    <row r="1351" spans="1:4">
      <c r="A1351" t="s">
        <v>2039</v>
      </c>
      <c r="B1351" t="s">
        <v>746</v>
      </c>
      <c r="C1351">
        <v>28</v>
      </c>
      <c r="D1351">
        <v>35.979999999999997</v>
      </c>
    </row>
    <row r="1352" spans="1:4">
      <c r="A1352" t="s">
        <v>2039</v>
      </c>
      <c r="B1352" t="s">
        <v>746</v>
      </c>
      <c r="C1352">
        <v>29</v>
      </c>
      <c r="D1352">
        <v>35.04</v>
      </c>
    </row>
    <row r="1353" spans="1:4">
      <c r="A1353" t="s">
        <v>2039</v>
      </c>
      <c r="B1353" t="s">
        <v>746</v>
      </c>
      <c r="C1353">
        <v>30</v>
      </c>
      <c r="D1353">
        <v>34.1</v>
      </c>
    </row>
    <row r="1354" spans="1:4">
      <c r="A1354" t="s">
        <v>2039</v>
      </c>
      <c r="B1354" t="s">
        <v>746</v>
      </c>
      <c r="C1354">
        <v>31</v>
      </c>
      <c r="D1354">
        <v>33.17</v>
      </c>
    </row>
    <row r="1355" spans="1:4">
      <c r="A1355" t="s">
        <v>2039</v>
      </c>
      <c r="B1355" t="s">
        <v>746</v>
      </c>
      <c r="C1355">
        <v>32</v>
      </c>
      <c r="D1355">
        <v>32.26</v>
      </c>
    </row>
    <row r="1356" spans="1:4">
      <c r="A1356" t="s">
        <v>2039</v>
      </c>
      <c r="B1356" t="s">
        <v>746</v>
      </c>
      <c r="C1356">
        <v>33</v>
      </c>
      <c r="D1356">
        <v>31.35</v>
      </c>
    </row>
    <row r="1357" spans="1:4">
      <c r="A1357" t="s">
        <v>2039</v>
      </c>
      <c r="B1357" t="s">
        <v>746</v>
      </c>
      <c r="C1357">
        <v>34</v>
      </c>
      <c r="D1357">
        <v>30.44</v>
      </c>
    </row>
    <row r="1358" spans="1:4">
      <c r="A1358" t="s">
        <v>2039</v>
      </c>
      <c r="B1358" t="s">
        <v>746</v>
      </c>
      <c r="C1358">
        <v>35</v>
      </c>
      <c r="D1358">
        <v>29.55</v>
      </c>
    </row>
    <row r="1359" spans="1:4">
      <c r="A1359" t="s">
        <v>2039</v>
      </c>
      <c r="B1359" t="s">
        <v>746</v>
      </c>
      <c r="C1359">
        <v>36</v>
      </c>
      <c r="D1359">
        <v>28.66</v>
      </c>
    </row>
    <row r="1360" spans="1:4">
      <c r="A1360" t="s">
        <v>2039</v>
      </c>
      <c r="B1360" t="s">
        <v>746</v>
      </c>
      <c r="C1360">
        <v>37</v>
      </c>
      <c r="D1360">
        <v>27.77</v>
      </c>
    </row>
    <row r="1361" spans="1:4">
      <c r="A1361" t="s">
        <v>2039</v>
      </c>
      <c r="B1361" t="s">
        <v>746</v>
      </c>
      <c r="C1361">
        <v>38</v>
      </c>
      <c r="D1361">
        <v>26.88</v>
      </c>
    </row>
    <row r="1362" spans="1:4">
      <c r="A1362" t="s">
        <v>2039</v>
      </c>
      <c r="B1362" t="s">
        <v>746</v>
      </c>
      <c r="C1362">
        <v>39</v>
      </c>
      <c r="D1362">
        <v>26</v>
      </c>
    </row>
    <row r="1363" spans="1:4">
      <c r="A1363" t="s">
        <v>2039</v>
      </c>
      <c r="B1363" t="s">
        <v>746</v>
      </c>
      <c r="C1363">
        <v>40</v>
      </c>
      <c r="D1363">
        <v>25.12</v>
      </c>
    </row>
    <row r="1364" spans="1:4">
      <c r="A1364" t="s">
        <v>2039</v>
      </c>
      <c r="B1364" t="s">
        <v>746</v>
      </c>
      <c r="C1364">
        <v>41</v>
      </c>
      <c r="D1364">
        <v>24.25</v>
      </c>
    </row>
    <row r="1365" spans="1:4">
      <c r="A1365" t="s">
        <v>2039</v>
      </c>
      <c r="B1365" t="s">
        <v>746</v>
      </c>
      <c r="C1365">
        <v>42</v>
      </c>
      <c r="D1365">
        <v>23.39</v>
      </c>
    </row>
    <row r="1366" spans="1:4">
      <c r="A1366" t="s">
        <v>2039</v>
      </c>
      <c r="B1366" t="s">
        <v>746</v>
      </c>
      <c r="C1366">
        <v>43</v>
      </c>
      <c r="D1366">
        <v>22.54</v>
      </c>
    </row>
    <row r="1367" spans="1:4">
      <c r="A1367" t="s">
        <v>2039</v>
      </c>
      <c r="B1367" t="s">
        <v>746</v>
      </c>
      <c r="C1367">
        <v>44</v>
      </c>
      <c r="D1367">
        <v>21.71</v>
      </c>
    </row>
    <row r="1368" spans="1:4">
      <c r="A1368" t="s">
        <v>2039</v>
      </c>
      <c r="B1368" t="s">
        <v>746</v>
      </c>
      <c r="C1368">
        <v>45</v>
      </c>
      <c r="D1368">
        <v>20.89</v>
      </c>
    </row>
    <row r="1369" spans="1:4">
      <c r="A1369" t="s">
        <v>2039</v>
      </c>
      <c r="B1369" t="s">
        <v>746</v>
      </c>
      <c r="C1369">
        <v>46</v>
      </c>
      <c r="D1369">
        <v>20.07</v>
      </c>
    </row>
    <row r="1370" spans="1:4">
      <c r="A1370" t="s">
        <v>2039</v>
      </c>
      <c r="B1370" t="s">
        <v>746</v>
      </c>
      <c r="C1370">
        <v>47</v>
      </c>
      <c r="D1370">
        <v>19.260000000000002</v>
      </c>
    </row>
    <row r="1371" spans="1:4">
      <c r="A1371" t="s">
        <v>2039</v>
      </c>
      <c r="B1371" t="s">
        <v>746</v>
      </c>
      <c r="C1371">
        <v>48</v>
      </c>
      <c r="D1371">
        <v>18.440000000000001</v>
      </c>
    </row>
    <row r="1372" spans="1:4">
      <c r="A1372" t="s">
        <v>2039</v>
      </c>
      <c r="B1372" t="s">
        <v>746</v>
      </c>
      <c r="C1372">
        <v>49</v>
      </c>
      <c r="D1372">
        <v>17.62</v>
      </c>
    </row>
    <row r="1373" spans="1:4">
      <c r="A1373" t="s">
        <v>2039</v>
      </c>
      <c r="B1373" t="s">
        <v>746</v>
      </c>
      <c r="C1373">
        <v>50</v>
      </c>
      <c r="D1373">
        <v>16.809999999999999</v>
      </c>
    </row>
    <row r="1374" spans="1:4">
      <c r="A1374" t="s">
        <v>2039</v>
      </c>
      <c r="B1374" t="s">
        <v>746</v>
      </c>
      <c r="C1374">
        <v>51</v>
      </c>
      <c r="D1374">
        <v>16</v>
      </c>
    </row>
    <row r="1375" spans="1:4">
      <c r="A1375" t="s">
        <v>2039</v>
      </c>
      <c r="B1375" t="s">
        <v>746</v>
      </c>
      <c r="C1375">
        <v>52</v>
      </c>
      <c r="D1375">
        <v>15.2</v>
      </c>
    </row>
    <row r="1376" spans="1:4">
      <c r="A1376" t="s">
        <v>2039</v>
      </c>
      <c r="B1376" t="s">
        <v>746</v>
      </c>
      <c r="C1376">
        <v>53</v>
      </c>
      <c r="D1376">
        <v>14.4</v>
      </c>
    </row>
    <row r="1377" spans="1:4">
      <c r="A1377" t="s">
        <v>2039</v>
      </c>
      <c r="B1377" t="s">
        <v>746</v>
      </c>
      <c r="C1377">
        <v>54</v>
      </c>
      <c r="D1377">
        <v>13.61</v>
      </c>
    </row>
    <row r="1378" spans="1:4">
      <c r="A1378" t="s">
        <v>2039</v>
      </c>
      <c r="B1378" t="s">
        <v>746</v>
      </c>
      <c r="C1378">
        <v>55</v>
      </c>
      <c r="D1378">
        <v>12.83</v>
      </c>
    </row>
    <row r="1379" spans="1:4">
      <c r="A1379" t="s">
        <v>2039</v>
      </c>
      <c r="B1379" t="s">
        <v>746</v>
      </c>
      <c r="C1379">
        <v>56</v>
      </c>
      <c r="D1379">
        <v>12.05</v>
      </c>
    </row>
    <row r="1380" spans="1:4">
      <c r="A1380" t="s">
        <v>2039</v>
      </c>
      <c r="B1380" t="s">
        <v>746</v>
      </c>
      <c r="C1380">
        <v>57</v>
      </c>
      <c r="D1380">
        <v>11.3</v>
      </c>
    </row>
    <row r="1381" spans="1:4">
      <c r="A1381" t="s">
        <v>2039</v>
      </c>
      <c r="B1381" t="s">
        <v>746</v>
      </c>
      <c r="C1381">
        <v>58</v>
      </c>
      <c r="D1381">
        <v>10.58</v>
      </c>
    </row>
    <row r="1382" spans="1:4">
      <c r="A1382" t="s">
        <v>2039</v>
      </c>
      <c r="B1382" t="s">
        <v>746</v>
      </c>
      <c r="C1382">
        <v>59</v>
      </c>
      <c r="D1382">
        <v>9.9</v>
      </c>
    </row>
    <row r="1383" spans="1:4">
      <c r="A1383" t="s">
        <v>2039</v>
      </c>
      <c r="B1383" t="s">
        <v>746</v>
      </c>
      <c r="C1383">
        <v>60</v>
      </c>
      <c r="D1383">
        <v>9.24</v>
      </c>
    </row>
    <row r="1384" spans="1:4">
      <c r="A1384" t="s">
        <v>2039</v>
      </c>
      <c r="B1384" t="s">
        <v>746</v>
      </c>
      <c r="C1384">
        <v>61</v>
      </c>
      <c r="D1384">
        <v>8.6199999999999992</v>
      </c>
    </row>
    <row r="1385" spans="1:4">
      <c r="A1385" t="s">
        <v>2039</v>
      </c>
      <c r="B1385" t="s">
        <v>746</v>
      </c>
      <c r="C1385">
        <v>62</v>
      </c>
      <c r="D1385">
        <v>8.0399999999999991</v>
      </c>
    </row>
    <row r="1386" spans="1:4">
      <c r="A1386" t="s">
        <v>2039</v>
      </c>
      <c r="B1386" t="s">
        <v>746</v>
      </c>
      <c r="C1386">
        <v>63</v>
      </c>
      <c r="D1386">
        <v>7.51</v>
      </c>
    </row>
    <row r="1387" spans="1:4">
      <c r="A1387" t="s">
        <v>2039</v>
      </c>
      <c r="B1387" t="s">
        <v>746</v>
      </c>
      <c r="C1387">
        <v>64</v>
      </c>
      <c r="D1387">
        <v>7.03</v>
      </c>
    </row>
    <row r="1388" spans="1:4">
      <c r="A1388" t="s">
        <v>2039</v>
      </c>
      <c r="B1388" t="s">
        <v>746</v>
      </c>
      <c r="C1388">
        <v>65</v>
      </c>
      <c r="D1388">
        <v>6.59</v>
      </c>
    </row>
    <row r="1389" spans="1:4">
      <c r="A1389" t="s">
        <v>2039</v>
      </c>
      <c r="B1389" t="s">
        <v>746</v>
      </c>
      <c r="C1389">
        <v>66</v>
      </c>
      <c r="D1389">
        <v>6.21</v>
      </c>
    </row>
    <row r="1390" spans="1:4">
      <c r="A1390" t="s">
        <v>2039</v>
      </c>
      <c r="B1390" t="s">
        <v>746</v>
      </c>
      <c r="C1390">
        <v>67</v>
      </c>
      <c r="D1390">
        <v>5.86</v>
      </c>
    </row>
    <row r="1391" spans="1:4">
      <c r="A1391" t="s">
        <v>2039</v>
      </c>
      <c r="B1391" t="s">
        <v>746</v>
      </c>
      <c r="C1391">
        <v>68</v>
      </c>
      <c r="D1391">
        <v>5.56</v>
      </c>
    </row>
    <row r="1392" spans="1:4">
      <c r="A1392" t="s">
        <v>2039</v>
      </c>
      <c r="B1392" t="s">
        <v>746</v>
      </c>
      <c r="C1392">
        <v>69</v>
      </c>
      <c r="D1392">
        <v>5.28</v>
      </c>
    </row>
    <row r="1393" spans="1:4">
      <c r="A1393" t="s">
        <v>2039</v>
      </c>
      <c r="B1393" t="s">
        <v>746</v>
      </c>
      <c r="C1393">
        <v>70</v>
      </c>
      <c r="D1393">
        <v>5.03</v>
      </c>
    </row>
    <row r="1394" spans="1:4">
      <c r="A1394" t="s">
        <v>2039</v>
      </c>
      <c r="B1394" t="s">
        <v>746</v>
      </c>
      <c r="C1394">
        <v>71</v>
      </c>
      <c r="D1394">
        <v>4.8099999999999996</v>
      </c>
    </row>
    <row r="1395" spans="1:4">
      <c r="A1395" t="s">
        <v>2039</v>
      </c>
      <c r="B1395" t="s">
        <v>746</v>
      </c>
      <c r="C1395">
        <v>72</v>
      </c>
      <c r="D1395">
        <v>4.6100000000000003</v>
      </c>
    </row>
    <row r="1396" spans="1:4">
      <c r="A1396" t="s">
        <v>2039</v>
      </c>
      <c r="B1396" t="s">
        <v>746</v>
      </c>
      <c r="C1396">
        <v>73</v>
      </c>
      <c r="D1396">
        <v>4.42</v>
      </c>
    </row>
    <row r="1397" spans="1:4">
      <c r="A1397" t="s">
        <v>2039</v>
      </c>
      <c r="B1397" t="s">
        <v>746</v>
      </c>
      <c r="C1397">
        <v>74</v>
      </c>
      <c r="D1397">
        <v>4.25</v>
      </c>
    </row>
    <row r="1398" spans="1:4">
      <c r="A1398" t="s">
        <v>2039</v>
      </c>
      <c r="B1398" t="s">
        <v>746</v>
      </c>
      <c r="C1398">
        <v>75</v>
      </c>
      <c r="D1398">
        <v>4.08</v>
      </c>
    </row>
    <row r="1399" spans="1:4">
      <c r="A1399" t="s">
        <v>2039</v>
      </c>
      <c r="B1399" t="s">
        <v>746</v>
      </c>
      <c r="C1399">
        <v>76</v>
      </c>
      <c r="D1399">
        <v>3.91</v>
      </c>
    </row>
    <row r="1400" spans="1:4">
      <c r="A1400" t="s">
        <v>2039</v>
      </c>
      <c r="B1400" t="s">
        <v>746</v>
      </c>
      <c r="C1400">
        <v>77</v>
      </c>
      <c r="D1400">
        <v>3.76</v>
      </c>
    </row>
    <row r="1401" spans="1:4">
      <c r="A1401" t="s">
        <v>2039</v>
      </c>
      <c r="B1401" t="s">
        <v>746</v>
      </c>
      <c r="C1401">
        <v>78</v>
      </c>
      <c r="D1401">
        <v>3.6</v>
      </c>
    </row>
    <row r="1402" spans="1:4">
      <c r="A1402" t="s">
        <v>2039</v>
      </c>
      <c r="B1402" t="s">
        <v>746</v>
      </c>
      <c r="C1402">
        <v>79</v>
      </c>
      <c r="D1402">
        <v>3.45</v>
      </c>
    </row>
    <row r="1403" spans="1:4">
      <c r="A1403" t="s">
        <v>2039</v>
      </c>
      <c r="B1403" t="s">
        <v>746</v>
      </c>
      <c r="C1403">
        <v>80</v>
      </c>
      <c r="D1403">
        <v>3.3</v>
      </c>
    </row>
    <row r="1404" spans="1:4">
      <c r="A1404" t="s">
        <v>2039</v>
      </c>
      <c r="B1404" t="s">
        <v>746</v>
      </c>
      <c r="C1404">
        <v>81</v>
      </c>
      <c r="D1404">
        <v>3.16</v>
      </c>
    </row>
    <row r="1405" spans="1:4">
      <c r="A1405" t="s">
        <v>2039</v>
      </c>
      <c r="B1405" t="s">
        <v>746</v>
      </c>
      <c r="C1405">
        <v>82</v>
      </c>
      <c r="D1405">
        <v>3.03</v>
      </c>
    </row>
    <row r="1406" spans="1:4">
      <c r="A1406" t="s">
        <v>2039</v>
      </c>
      <c r="B1406" t="s">
        <v>746</v>
      </c>
      <c r="C1406">
        <v>83</v>
      </c>
      <c r="D1406">
        <v>2.89</v>
      </c>
    </row>
    <row r="1407" spans="1:4">
      <c r="A1407" t="s">
        <v>2039</v>
      </c>
      <c r="B1407" t="s">
        <v>746</v>
      </c>
      <c r="C1407">
        <v>84</v>
      </c>
      <c r="D1407">
        <v>2.77</v>
      </c>
    </row>
    <row r="1408" spans="1:4">
      <c r="A1408" t="s">
        <v>2039</v>
      </c>
      <c r="B1408" t="s">
        <v>746</v>
      </c>
      <c r="C1408">
        <v>85</v>
      </c>
      <c r="D1408">
        <v>2.65</v>
      </c>
    </row>
    <row r="1409" spans="1:4">
      <c r="A1409" t="s">
        <v>2039</v>
      </c>
      <c r="B1409" t="s">
        <v>746</v>
      </c>
      <c r="C1409">
        <v>86</v>
      </c>
      <c r="D1409">
        <v>2.5299999999999998</v>
      </c>
    </row>
    <row r="1410" spans="1:4">
      <c r="A1410" t="s">
        <v>2039</v>
      </c>
      <c r="B1410" t="s">
        <v>746</v>
      </c>
      <c r="C1410">
        <v>87</v>
      </c>
      <c r="D1410">
        <v>2.4300000000000002</v>
      </c>
    </row>
    <row r="1411" spans="1:4">
      <c r="A1411" t="s">
        <v>2039</v>
      </c>
      <c r="B1411" t="s">
        <v>746</v>
      </c>
      <c r="C1411">
        <v>88</v>
      </c>
      <c r="D1411">
        <v>2.3199999999999998</v>
      </c>
    </row>
    <row r="1412" spans="1:4">
      <c r="A1412" t="s">
        <v>2039</v>
      </c>
      <c r="B1412" t="s">
        <v>746</v>
      </c>
      <c r="C1412">
        <v>89</v>
      </c>
      <c r="D1412">
        <v>2.2200000000000002</v>
      </c>
    </row>
    <row r="1413" spans="1:4">
      <c r="A1413" t="s">
        <v>2039</v>
      </c>
      <c r="B1413" t="s">
        <v>746</v>
      </c>
      <c r="C1413">
        <v>90</v>
      </c>
      <c r="D1413">
        <v>2.12</v>
      </c>
    </row>
  </sheetData>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61"/>
  <sheetViews>
    <sheetView topLeftCell="A7" workbookViewId="0">
      <selection activeCell="N17" sqref="N17"/>
    </sheetView>
  </sheetViews>
  <sheetFormatPr defaultColWidth="8.7109375" defaultRowHeight="15"/>
  <sheetData>
    <row r="1" spans="1:2">
      <c r="A1" s="2" t="s">
        <v>724</v>
      </c>
      <c r="B1" s="2" t="s">
        <v>2040</v>
      </c>
    </row>
    <row r="2" spans="1:2">
      <c r="A2">
        <v>1</v>
      </c>
    </row>
    <row r="3" spans="1:2">
      <c r="A3">
        <v>2</v>
      </c>
    </row>
    <row r="4" spans="1:2">
      <c r="A4">
        <v>3</v>
      </c>
    </row>
    <row r="5" spans="1:2">
      <c r="A5">
        <v>4</v>
      </c>
    </row>
    <row r="6" spans="1:2">
      <c r="A6">
        <v>5</v>
      </c>
    </row>
    <row r="7" spans="1:2">
      <c r="A7">
        <v>6</v>
      </c>
    </row>
    <row r="8" spans="1:2">
      <c r="A8">
        <v>7</v>
      </c>
    </row>
    <row r="9" spans="1:2">
      <c r="A9">
        <v>8</v>
      </c>
    </row>
    <row r="10" spans="1:2">
      <c r="A10">
        <v>9</v>
      </c>
    </row>
    <row r="11" spans="1:2">
      <c r="A11">
        <v>10</v>
      </c>
    </row>
    <row r="12" spans="1:2">
      <c r="A12">
        <v>11</v>
      </c>
    </row>
    <row r="13" spans="1:2">
      <c r="A13">
        <v>12</v>
      </c>
    </row>
    <row r="14" spans="1:2">
      <c r="A14">
        <v>13</v>
      </c>
    </row>
    <row r="15" spans="1:2">
      <c r="A15">
        <v>14</v>
      </c>
    </row>
    <row r="16" spans="1:2">
      <c r="A16">
        <v>15</v>
      </c>
    </row>
    <row r="17" spans="1:1">
      <c r="A17">
        <v>16</v>
      </c>
    </row>
    <row r="18" spans="1:1">
      <c r="A18">
        <v>17</v>
      </c>
    </row>
    <row r="19" spans="1:1">
      <c r="A19">
        <v>18</v>
      </c>
    </row>
    <row r="20" spans="1:1">
      <c r="A20">
        <v>19</v>
      </c>
    </row>
    <row r="21" spans="1:1">
      <c r="A21">
        <v>20</v>
      </c>
    </row>
    <row r="22" spans="1:1">
      <c r="A22">
        <v>21</v>
      </c>
    </row>
    <row r="23" spans="1:1">
      <c r="A23">
        <v>22</v>
      </c>
    </row>
    <row r="24" spans="1:1">
      <c r="A24">
        <v>23</v>
      </c>
    </row>
    <row r="25" spans="1:1">
      <c r="A25">
        <v>24</v>
      </c>
    </row>
    <row r="26" spans="1:1">
      <c r="A26">
        <v>25</v>
      </c>
    </row>
    <row r="27" spans="1:1">
      <c r="A27">
        <v>26</v>
      </c>
    </row>
    <row r="28" spans="1:1">
      <c r="A28">
        <v>27</v>
      </c>
    </row>
    <row r="29" spans="1:1">
      <c r="A29">
        <v>28</v>
      </c>
    </row>
    <row r="30" spans="1:1">
      <c r="A30">
        <v>29</v>
      </c>
    </row>
    <row r="31" spans="1:1">
      <c r="A31">
        <v>30</v>
      </c>
    </row>
    <row r="32" spans="1:1">
      <c r="A32">
        <v>31</v>
      </c>
    </row>
    <row r="33" spans="1:1">
      <c r="A33">
        <v>32</v>
      </c>
    </row>
    <row r="34" spans="1:1">
      <c r="A34">
        <v>33</v>
      </c>
    </row>
    <row r="35" spans="1:1">
      <c r="A35">
        <v>34</v>
      </c>
    </row>
    <row r="36" spans="1:1">
      <c r="A36">
        <v>35</v>
      </c>
    </row>
    <row r="37" spans="1:1">
      <c r="A37">
        <v>36</v>
      </c>
    </row>
    <row r="38" spans="1:1">
      <c r="A38">
        <v>37</v>
      </c>
    </row>
    <row r="39" spans="1:1">
      <c r="A39">
        <v>38</v>
      </c>
    </row>
    <row r="40" spans="1:1">
      <c r="A40">
        <v>39</v>
      </c>
    </row>
    <row r="41" spans="1:1">
      <c r="A41">
        <v>40</v>
      </c>
    </row>
    <row r="42" spans="1:1">
      <c r="A42">
        <v>41</v>
      </c>
    </row>
    <row r="43" spans="1:1">
      <c r="A43">
        <v>42</v>
      </c>
    </row>
    <row r="44" spans="1:1">
      <c r="A44">
        <v>43</v>
      </c>
    </row>
    <row r="45" spans="1:1">
      <c r="A45">
        <v>44</v>
      </c>
    </row>
    <row r="46" spans="1:1">
      <c r="A46">
        <v>45</v>
      </c>
    </row>
    <row r="47" spans="1:1">
      <c r="A47">
        <v>46</v>
      </c>
    </row>
    <row r="48" spans="1:1">
      <c r="A48">
        <v>47</v>
      </c>
    </row>
    <row r="49" spans="1:1">
      <c r="A49">
        <v>48</v>
      </c>
    </row>
    <row r="50" spans="1:1">
      <c r="A50">
        <v>49</v>
      </c>
    </row>
    <row r="51" spans="1:1">
      <c r="A51">
        <v>50</v>
      </c>
    </row>
    <row r="52" spans="1:1">
      <c r="A52">
        <v>51</v>
      </c>
    </row>
    <row r="53" spans="1:1">
      <c r="A53">
        <v>52</v>
      </c>
    </row>
    <row r="54" spans="1:1">
      <c r="A54">
        <v>53</v>
      </c>
    </row>
    <row r="55" spans="1:1">
      <c r="A55">
        <v>54</v>
      </c>
    </row>
    <row r="56" spans="1:1">
      <c r="A56">
        <v>55</v>
      </c>
    </row>
    <row r="57" spans="1:1">
      <c r="A57">
        <v>56</v>
      </c>
    </row>
    <row r="58" spans="1:1">
      <c r="A58">
        <v>57</v>
      </c>
    </row>
    <row r="59" spans="1:1">
      <c r="A59">
        <v>58</v>
      </c>
    </row>
    <row r="60" spans="1:1">
      <c r="A60">
        <v>59</v>
      </c>
    </row>
    <row r="61" spans="1:1">
      <c r="A61">
        <v>60</v>
      </c>
    </row>
  </sheetData>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61"/>
  <sheetViews>
    <sheetView workbookViewId="0"/>
  </sheetViews>
  <sheetFormatPr defaultColWidth="8.7109375" defaultRowHeight="15"/>
  <sheetData>
    <row r="1" spans="1:3">
      <c r="A1" s="2" t="s">
        <v>724</v>
      </c>
      <c r="B1" s="2" t="s">
        <v>2041</v>
      </c>
      <c r="C1" s="2" t="s">
        <v>53</v>
      </c>
    </row>
    <row r="2" spans="1:3">
      <c r="A2">
        <v>2025</v>
      </c>
      <c r="B2">
        <v>3.56</v>
      </c>
    </row>
    <row r="3" spans="1:3">
      <c r="A3">
        <v>2026</v>
      </c>
      <c r="B3">
        <v>3.56</v>
      </c>
    </row>
    <row r="4" spans="1:3">
      <c r="A4">
        <v>2027</v>
      </c>
      <c r="B4">
        <v>3.56</v>
      </c>
    </row>
    <row r="5" spans="1:3">
      <c r="A5">
        <v>2028</v>
      </c>
      <c r="B5">
        <v>3.56</v>
      </c>
    </row>
    <row r="6" spans="1:3">
      <c r="A6">
        <v>2029</v>
      </c>
      <c r="B6">
        <v>3.56</v>
      </c>
    </row>
    <row r="7" spans="1:3">
      <c r="A7">
        <v>2030</v>
      </c>
      <c r="B7">
        <v>3.56</v>
      </c>
    </row>
    <row r="8" spans="1:3">
      <c r="A8">
        <v>2031</v>
      </c>
      <c r="B8">
        <v>3.56</v>
      </c>
    </row>
    <row r="9" spans="1:3">
      <c r="A9">
        <v>2032</v>
      </c>
      <c r="B9">
        <v>3.56</v>
      </c>
    </row>
    <row r="10" spans="1:3">
      <c r="A10">
        <v>2033</v>
      </c>
      <c r="B10">
        <v>3.56</v>
      </c>
    </row>
    <row r="11" spans="1:3">
      <c r="A11">
        <v>2034</v>
      </c>
      <c r="B11">
        <v>3.56</v>
      </c>
    </row>
    <row r="12" spans="1:3">
      <c r="A12">
        <v>2035</v>
      </c>
      <c r="B12">
        <v>3.56</v>
      </c>
    </row>
    <row r="13" spans="1:3">
      <c r="A13">
        <v>2036</v>
      </c>
      <c r="B13">
        <v>3.56</v>
      </c>
    </row>
    <row r="14" spans="1:3">
      <c r="A14">
        <v>2037</v>
      </c>
      <c r="B14">
        <v>3.56</v>
      </c>
    </row>
    <row r="15" spans="1:3">
      <c r="A15">
        <v>2038</v>
      </c>
      <c r="B15">
        <v>3.56</v>
      </c>
    </row>
    <row r="16" spans="1:3">
      <c r="A16">
        <v>2039</v>
      </c>
      <c r="B16">
        <v>3.56</v>
      </c>
    </row>
    <row r="17" spans="1:2">
      <c r="A17">
        <v>2040</v>
      </c>
      <c r="B17">
        <v>3.56</v>
      </c>
    </row>
    <row r="18" spans="1:2">
      <c r="A18">
        <v>2041</v>
      </c>
      <c r="B18">
        <v>3.56</v>
      </c>
    </row>
    <row r="19" spans="1:2">
      <c r="A19">
        <v>2042</v>
      </c>
      <c r="B19">
        <v>3.56</v>
      </c>
    </row>
    <row r="20" spans="1:2">
      <c r="A20">
        <v>2043</v>
      </c>
      <c r="B20">
        <v>3.56</v>
      </c>
    </row>
    <row r="21" spans="1:2">
      <c r="A21">
        <v>2044</v>
      </c>
      <c r="B21">
        <v>3.56</v>
      </c>
    </row>
    <row r="22" spans="1:2">
      <c r="A22">
        <v>2045</v>
      </c>
      <c r="B22">
        <v>3.56</v>
      </c>
    </row>
    <row r="23" spans="1:2">
      <c r="A23">
        <v>2046</v>
      </c>
      <c r="B23">
        <v>3.56</v>
      </c>
    </row>
    <row r="24" spans="1:2">
      <c r="A24">
        <v>2047</v>
      </c>
      <c r="B24">
        <v>3.56</v>
      </c>
    </row>
    <row r="25" spans="1:2">
      <c r="A25">
        <v>2048</v>
      </c>
      <c r="B25">
        <v>3.56</v>
      </c>
    </row>
    <row r="26" spans="1:2">
      <c r="A26">
        <v>2049</v>
      </c>
      <c r="B26">
        <v>3.56</v>
      </c>
    </row>
    <row r="27" spans="1:2">
      <c r="A27">
        <v>2050</v>
      </c>
      <c r="B27">
        <v>3.56</v>
      </c>
    </row>
    <row r="28" spans="1:2">
      <c r="A28">
        <v>2051</v>
      </c>
      <c r="B28">
        <v>3.56</v>
      </c>
    </row>
    <row r="29" spans="1:2">
      <c r="A29">
        <v>2052</v>
      </c>
      <c r="B29">
        <v>3.56</v>
      </c>
    </row>
    <row r="30" spans="1:2">
      <c r="A30">
        <v>2053</v>
      </c>
      <c r="B30">
        <v>3.56</v>
      </c>
    </row>
    <row r="31" spans="1:2">
      <c r="A31">
        <v>2054</v>
      </c>
      <c r="B31">
        <v>3.56</v>
      </c>
    </row>
    <row r="32" spans="1:2">
      <c r="A32">
        <v>2055</v>
      </c>
      <c r="B32">
        <v>3.56</v>
      </c>
    </row>
    <row r="33" spans="1:2">
      <c r="A33">
        <v>2056</v>
      </c>
      <c r="B33">
        <v>3.56</v>
      </c>
    </row>
    <row r="34" spans="1:2">
      <c r="A34">
        <v>2057</v>
      </c>
      <c r="B34">
        <v>3.56</v>
      </c>
    </row>
    <row r="35" spans="1:2">
      <c r="A35">
        <v>2058</v>
      </c>
      <c r="B35">
        <v>3.56</v>
      </c>
    </row>
    <row r="36" spans="1:2">
      <c r="A36">
        <v>2059</v>
      </c>
      <c r="B36">
        <v>3.56</v>
      </c>
    </row>
    <row r="37" spans="1:2">
      <c r="A37">
        <v>2060</v>
      </c>
      <c r="B37">
        <v>3.56</v>
      </c>
    </row>
    <row r="38" spans="1:2">
      <c r="A38">
        <v>2061</v>
      </c>
      <c r="B38">
        <v>3.56</v>
      </c>
    </row>
    <row r="39" spans="1:2">
      <c r="A39">
        <v>2062</v>
      </c>
      <c r="B39">
        <v>3.56</v>
      </c>
    </row>
    <row r="40" spans="1:2">
      <c r="A40">
        <v>2063</v>
      </c>
      <c r="B40">
        <v>3.56</v>
      </c>
    </row>
    <row r="41" spans="1:2">
      <c r="A41">
        <v>2064</v>
      </c>
      <c r="B41">
        <v>3.56</v>
      </c>
    </row>
    <row r="42" spans="1:2">
      <c r="A42">
        <v>2065</v>
      </c>
      <c r="B42">
        <v>3.56</v>
      </c>
    </row>
    <row r="43" spans="1:2">
      <c r="A43">
        <v>2066</v>
      </c>
      <c r="B43">
        <v>3.56</v>
      </c>
    </row>
    <row r="44" spans="1:2">
      <c r="A44">
        <v>2067</v>
      </c>
      <c r="B44">
        <v>3.56</v>
      </c>
    </row>
    <row r="45" spans="1:2">
      <c r="A45">
        <v>2068</v>
      </c>
      <c r="B45">
        <v>3.56</v>
      </c>
    </row>
    <row r="46" spans="1:2">
      <c r="A46">
        <v>2069</v>
      </c>
      <c r="B46">
        <v>3.56</v>
      </c>
    </row>
    <row r="47" spans="1:2">
      <c r="A47">
        <v>2070</v>
      </c>
      <c r="B47">
        <v>3.56</v>
      </c>
    </row>
    <row r="48" spans="1:2">
      <c r="A48">
        <v>2071</v>
      </c>
      <c r="B48">
        <v>3.56</v>
      </c>
    </row>
    <row r="49" spans="1:2">
      <c r="A49">
        <v>2072</v>
      </c>
      <c r="B49">
        <v>3.56</v>
      </c>
    </row>
    <row r="50" spans="1:2">
      <c r="A50">
        <v>2073</v>
      </c>
      <c r="B50">
        <v>3.56</v>
      </c>
    </row>
    <row r="51" spans="1:2">
      <c r="A51">
        <v>2074</v>
      </c>
      <c r="B51">
        <v>3.56</v>
      </c>
    </row>
    <row r="52" spans="1:2">
      <c r="A52">
        <v>2075</v>
      </c>
      <c r="B52">
        <v>3.56</v>
      </c>
    </row>
    <row r="53" spans="1:2">
      <c r="A53">
        <v>2076</v>
      </c>
      <c r="B53">
        <v>3.56</v>
      </c>
    </row>
    <row r="54" spans="1:2">
      <c r="A54">
        <v>2077</v>
      </c>
      <c r="B54">
        <v>3.56</v>
      </c>
    </row>
    <row r="55" spans="1:2">
      <c r="A55">
        <v>2078</v>
      </c>
      <c r="B55">
        <v>3.56</v>
      </c>
    </row>
    <row r="56" spans="1:2">
      <c r="A56">
        <v>2079</v>
      </c>
      <c r="B56">
        <v>3.56</v>
      </c>
    </row>
    <row r="57" spans="1:2">
      <c r="A57">
        <v>2080</v>
      </c>
      <c r="B57">
        <v>3.56</v>
      </c>
    </row>
    <row r="58" spans="1:2">
      <c r="A58">
        <v>2081</v>
      </c>
      <c r="B58">
        <v>3.56</v>
      </c>
    </row>
    <row r="59" spans="1:2">
      <c r="A59">
        <v>2082</v>
      </c>
      <c r="B59">
        <v>3.56</v>
      </c>
    </row>
    <row r="60" spans="1:2">
      <c r="A60">
        <v>2083</v>
      </c>
      <c r="B60">
        <v>3.56</v>
      </c>
    </row>
    <row r="61" spans="1:2">
      <c r="A61">
        <v>2084</v>
      </c>
      <c r="B61">
        <v>3.56</v>
      </c>
    </row>
  </sheetData>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588"/>
  <sheetViews>
    <sheetView workbookViewId="0"/>
  </sheetViews>
  <sheetFormatPr defaultColWidth="8.7109375" defaultRowHeight="15"/>
  <sheetData>
    <row r="1" spans="1:3">
      <c r="A1" t="s">
        <v>2042</v>
      </c>
      <c r="C1" t="s">
        <v>2043</v>
      </c>
    </row>
    <row r="2" spans="1:3">
      <c r="A2" t="s">
        <v>83</v>
      </c>
      <c r="C2" t="s">
        <v>617</v>
      </c>
    </row>
    <row r="3" spans="1:3">
      <c r="A3" t="s">
        <v>102</v>
      </c>
      <c r="C3" t="s">
        <v>574</v>
      </c>
    </row>
    <row r="4" spans="1:3">
      <c r="A4" t="s">
        <v>107</v>
      </c>
      <c r="C4" t="s">
        <v>512</v>
      </c>
    </row>
    <row r="5" spans="1:3">
      <c r="A5" t="s">
        <v>117</v>
      </c>
      <c r="C5" t="s">
        <v>84</v>
      </c>
    </row>
    <row r="6" spans="1:3">
      <c r="A6" t="s">
        <v>131</v>
      </c>
      <c r="C6" t="s">
        <v>103</v>
      </c>
    </row>
    <row r="7" spans="1:3">
      <c r="A7" t="s">
        <v>162</v>
      </c>
      <c r="C7" t="s">
        <v>104</v>
      </c>
    </row>
    <row r="8" spans="1:3">
      <c r="A8" t="s">
        <v>174</v>
      </c>
      <c r="C8" t="s">
        <v>221</v>
      </c>
    </row>
    <row r="9" spans="1:3">
      <c r="A9" t="s">
        <v>185</v>
      </c>
      <c r="C9" t="s">
        <v>540</v>
      </c>
    </row>
    <row r="10" spans="1:3">
      <c r="A10" t="s">
        <v>190</v>
      </c>
      <c r="C10" t="s">
        <v>469</v>
      </c>
    </row>
    <row r="11" spans="1:3">
      <c r="A11" t="s">
        <v>193</v>
      </c>
      <c r="C11" t="s">
        <v>461</v>
      </c>
    </row>
    <row r="12" spans="1:3">
      <c r="A12" t="s">
        <v>219</v>
      </c>
      <c r="C12" t="s">
        <v>332</v>
      </c>
    </row>
    <row r="13" spans="1:3">
      <c r="A13" t="s">
        <v>239</v>
      </c>
      <c r="C13" t="s">
        <v>453</v>
      </c>
    </row>
    <row r="14" spans="1:3">
      <c r="A14" t="s">
        <v>241</v>
      </c>
      <c r="C14" t="s">
        <v>553</v>
      </c>
    </row>
    <row r="15" spans="1:3">
      <c r="A15" t="s">
        <v>246</v>
      </c>
      <c r="C15" t="s">
        <v>618</v>
      </c>
    </row>
    <row r="16" spans="1:3">
      <c r="A16" t="s">
        <v>257</v>
      </c>
      <c r="C16" t="s">
        <v>297</v>
      </c>
    </row>
    <row r="17" spans="1:3">
      <c r="A17" t="s">
        <v>276</v>
      </c>
      <c r="C17" t="s">
        <v>105</v>
      </c>
    </row>
    <row r="18" spans="1:3">
      <c r="A18" t="s">
        <v>295</v>
      </c>
      <c r="C18" t="s">
        <v>373</v>
      </c>
    </row>
    <row r="19" spans="1:3">
      <c r="A19" t="s">
        <v>309</v>
      </c>
      <c r="C19" t="s">
        <v>85</v>
      </c>
    </row>
    <row r="20" spans="1:3">
      <c r="A20" t="s">
        <v>318</v>
      </c>
      <c r="C20" t="s">
        <v>703</v>
      </c>
    </row>
    <row r="21" spans="1:3">
      <c r="A21" t="s">
        <v>330</v>
      </c>
      <c r="C21" t="s">
        <v>575</v>
      </c>
    </row>
    <row r="22" spans="1:3">
      <c r="A22" t="s">
        <v>344</v>
      </c>
      <c r="C22" t="s">
        <v>108</v>
      </c>
    </row>
    <row r="23" spans="1:3">
      <c r="A23" t="s">
        <v>353</v>
      </c>
      <c r="C23" t="s">
        <v>109</v>
      </c>
    </row>
    <row r="24" spans="1:3">
      <c r="A24" t="s">
        <v>362</v>
      </c>
      <c r="C24" t="s">
        <v>118</v>
      </c>
    </row>
    <row r="25" spans="1:3">
      <c r="A25" t="s">
        <v>371</v>
      </c>
      <c r="C25" t="s">
        <v>484</v>
      </c>
    </row>
    <row r="26" spans="1:3">
      <c r="A26" t="s">
        <v>391</v>
      </c>
      <c r="C26" t="s">
        <v>222</v>
      </c>
    </row>
    <row r="27" spans="1:3">
      <c r="A27" t="s">
        <v>405</v>
      </c>
      <c r="C27" t="s">
        <v>223</v>
      </c>
    </row>
    <row r="28" spans="1:3">
      <c r="A28" t="s">
        <v>414</v>
      </c>
      <c r="C28" t="s">
        <v>454</v>
      </c>
    </row>
    <row r="29" spans="1:3">
      <c r="A29" t="s">
        <v>424</v>
      </c>
      <c r="C29" t="s">
        <v>86</v>
      </c>
    </row>
    <row r="30" spans="1:3">
      <c r="A30" t="s">
        <v>432</v>
      </c>
      <c r="C30" t="s">
        <v>224</v>
      </c>
    </row>
    <row r="31" spans="1:3">
      <c r="A31" t="s">
        <v>439</v>
      </c>
      <c r="C31" t="s">
        <v>619</v>
      </c>
    </row>
    <row r="32" spans="1:3">
      <c r="A32" t="s">
        <v>445</v>
      </c>
      <c r="C32" t="s">
        <v>133</v>
      </c>
    </row>
    <row r="33" spans="1:3">
      <c r="A33" t="s">
        <v>451</v>
      </c>
      <c r="C33" t="s">
        <v>355</v>
      </c>
    </row>
    <row r="34" spans="1:3">
      <c r="A34" t="s">
        <v>459</v>
      </c>
      <c r="C34" t="s">
        <v>346</v>
      </c>
    </row>
    <row r="35" spans="1:3">
      <c r="A35" t="s">
        <v>467</v>
      </c>
      <c r="C35" t="s">
        <v>364</v>
      </c>
    </row>
    <row r="36" spans="1:3">
      <c r="A36" t="s">
        <v>482</v>
      </c>
      <c r="C36" t="s">
        <v>333</v>
      </c>
    </row>
    <row r="37" spans="1:3">
      <c r="A37" t="s">
        <v>505</v>
      </c>
      <c r="C37" t="s">
        <v>374</v>
      </c>
    </row>
    <row r="38" spans="1:3">
      <c r="A38" t="s">
        <v>510</v>
      </c>
      <c r="C38" t="s">
        <v>375</v>
      </c>
    </row>
    <row r="39" spans="1:3">
      <c r="A39" t="s">
        <v>528</v>
      </c>
      <c r="C39" t="s">
        <v>620</v>
      </c>
    </row>
    <row r="40" spans="1:3">
      <c r="A40" t="s">
        <v>538</v>
      </c>
      <c r="C40" t="s">
        <v>693</v>
      </c>
    </row>
    <row r="41" spans="1:3">
      <c r="A41" t="s">
        <v>551</v>
      </c>
      <c r="C41" t="s">
        <v>678</v>
      </c>
    </row>
    <row r="42" spans="1:3">
      <c r="A42" t="s">
        <v>572</v>
      </c>
      <c r="C42" t="s">
        <v>541</v>
      </c>
    </row>
    <row r="43" spans="1:3">
      <c r="A43" t="s">
        <v>582</v>
      </c>
      <c r="C43" t="s">
        <v>621</v>
      </c>
    </row>
    <row r="44" spans="1:3">
      <c r="A44" t="s">
        <v>584</v>
      </c>
      <c r="C44" t="s">
        <v>426</v>
      </c>
    </row>
    <row r="45" spans="1:3">
      <c r="A45" t="s">
        <v>596</v>
      </c>
      <c r="C45" t="s">
        <v>470</v>
      </c>
    </row>
    <row r="46" spans="1:3">
      <c r="A46" t="s">
        <v>602</v>
      </c>
      <c r="C46" t="s">
        <v>87</v>
      </c>
    </row>
    <row r="47" spans="1:3">
      <c r="A47" t="s">
        <v>615</v>
      </c>
      <c r="C47" t="s">
        <v>507</v>
      </c>
    </row>
    <row r="48" spans="1:3">
      <c r="A48" t="s">
        <v>647</v>
      </c>
      <c r="C48" t="s">
        <v>664</v>
      </c>
    </row>
    <row r="49" spans="1:3">
      <c r="A49" t="s">
        <v>655</v>
      </c>
      <c r="C49" t="s">
        <v>259</v>
      </c>
    </row>
    <row r="50" spans="1:3">
      <c r="A50" t="s">
        <v>660</v>
      </c>
      <c r="C50" t="s">
        <v>278</v>
      </c>
    </row>
    <row r="51" spans="1:3">
      <c r="A51" t="s">
        <v>662</v>
      </c>
      <c r="C51" t="s">
        <v>554</v>
      </c>
    </row>
    <row r="52" spans="1:3">
      <c r="A52" t="s">
        <v>676</v>
      </c>
      <c r="C52" t="s">
        <v>248</v>
      </c>
    </row>
    <row r="53" spans="1:3">
      <c r="A53" t="s">
        <v>691</v>
      </c>
      <c r="C53" t="s">
        <v>622</v>
      </c>
    </row>
    <row r="54" spans="1:3">
      <c r="A54" t="s">
        <v>701</v>
      </c>
      <c r="C54" t="s">
        <v>365</v>
      </c>
    </row>
    <row r="55" spans="1:3">
      <c r="A55" t="s">
        <v>718</v>
      </c>
      <c r="C55" t="s">
        <v>164</v>
      </c>
    </row>
    <row r="56" spans="1:3">
      <c r="C56" t="s">
        <v>320</v>
      </c>
    </row>
    <row r="57" spans="1:3">
      <c r="C57" t="s">
        <v>679</v>
      </c>
    </row>
    <row r="58" spans="1:3">
      <c r="C58" t="s">
        <v>176</v>
      </c>
    </row>
    <row r="59" spans="1:3">
      <c r="C59" t="s">
        <v>623</v>
      </c>
    </row>
    <row r="60" spans="1:3">
      <c r="C60" t="s">
        <v>225</v>
      </c>
    </row>
    <row r="61" spans="1:3">
      <c r="C61" t="s">
        <v>471</v>
      </c>
    </row>
    <row r="62" spans="1:3">
      <c r="C62" t="s">
        <v>485</v>
      </c>
    </row>
    <row r="63" spans="1:3">
      <c r="C63" t="s">
        <v>657</v>
      </c>
    </row>
    <row r="64" spans="1:3">
      <c r="C64" t="s">
        <v>132</v>
      </c>
    </row>
    <row r="65" spans="3:3">
      <c r="C65" t="s">
        <v>356</v>
      </c>
    </row>
    <row r="66" spans="3:3">
      <c r="C66" t="s">
        <v>513</v>
      </c>
    </row>
    <row r="67" spans="3:3">
      <c r="C67" t="s">
        <v>195</v>
      </c>
    </row>
    <row r="68" spans="3:3">
      <c r="C68" t="s">
        <v>260</v>
      </c>
    </row>
    <row r="69" spans="3:3">
      <c r="C69" t="s">
        <v>472</v>
      </c>
    </row>
    <row r="70" spans="3:3">
      <c r="C70" t="s">
        <v>261</v>
      </c>
    </row>
    <row r="71" spans="3:3">
      <c r="C71" t="s">
        <v>441</v>
      </c>
    </row>
    <row r="72" spans="3:3">
      <c r="C72" t="s">
        <v>720</v>
      </c>
    </row>
    <row r="73" spans="3:3">
      <c r="C73" t="s">
        <v>298</v>
      </c>
    </row>
    <row r="74" spans="3:3">
      <c r="C74" t="s">
        <v>279</v>
      </c>
    </row>
    <row r="75" spans="3:3">
      <c r="C75" t="s">
        <v>321</v>
      </c>
    </row>
    <row r="76" spans="3:3">
      <c r="C76" t="s">
        <v>334</v>
      </c>
    </row>
    <row r="77" spans="3:3">
      <c r="C77" t="s">
        <v>416</v>
      </c>
    </row>
    <row r="78" spans="3:3">
      <c r="C78" t="s">
        <v>542</v>
      </c>
    </row>
    <row r="79" spans="3:3">
      <c r="C79" t="s">
        <v>649</v>
      </c>
    </row>
    <row r="80" spans="3:3">
      <c r="C80" t="s">
        <v>555</v>
      </c>
    </row>
    <row r="81" spans="3:3">
      <c r="C81" t="s">
        <v>262</v>
      </c>
    </row>
    <row r="82" spans="3:3">
      <c r="C82" t="s">
        <v>694</v>
      </c>
    </row>
    <row r="83" spans="3:3">
      <c r="C83" t="s">
        <v>586</v>
      </c>
    </row>
    <row r="84" spans="3:3">
      <c r="C84" t="s">
        <v>486</v>
      </c>
    </row>
    <row r="85" spans="3:3">
      <c r="C85" t="s">
        <v>665</v>
      </c>
    </row>
    <row r="86" spans="3:3">
      <c r="C86" t="s">
        <v>226</v>
      </c>
    </row>
    <row r="87" spans="3:3">
      <c r="C87" t="s">
        <v>721</v>
      </c>
    </row>
    <row r="88" spans="3:3">
      <c r="C88" t="s">
        <v>263</v>
      </c>
    </row>
    <row r="89" spans="3:3">
      <c r="C89" t="s">
        <v>134</v>
      </c>
    </row>
    <row r="90" spans="3:3">
      <c r="C90" t="s">
        <v>280</v>
      </c>
    </row>
    <row r="91" spans="3:3">
      <c r="C91" t="s">
        <v>322</v>
      </c>
    </row>
    <row r="92" spans="3:3">
      <c r="C92" t="s">
        <v>604</v>
      </c>
    </row>
    <row r="93" spans="3:3">
      <c r="C93" t="s">
        <v>514</v>
      </c>
    </row>
    <row r="94" spans="3:3">
      <c r="C94" t="s">
        <v>543</v>
      </c>
    </row>
    <row r="95" spans="3:3">
      <c r="C95" t="s">
        <v>624</v>
      </c>
    </row>
    <row r="96" spans="3:3">
      <c r="C96" t="s">
        <v>249</v>
      </c>
    </row>
    <row r="97" spans="3:3">
      <c r="C97" t="s">
        <v>625</v>
      </c>
    </row>
    <row r="98" spans="3:3">
      <c r="C98" t="s">
        <v>163</v>
      </c>
    </row>
    <row r="99" spans="3:3">
      <c r="C99" t="s">
        <v>165</v>
      </c>
    </row>
    <row r="100" spans="3:3">
      <c r="C100" t="s">
        <v>417</v>
      </c>
    </row>
    <row r="101" spans="3:3">
      <c r="C101" t="s">
        <v>587</v>
      </c>
    </row>
    <row r="102" spans="3:3">
      <c r="C102" t="s">
        <v>88</v>
      </c>
    </row>
    <row r="103" spans="3:3">
      <c r="C103" t="s">
        <v>281</v>
      </c>
    </row>
    <row r="104" spans="3:3">
      <c r="C104" t="s">
        <v>515</v>
      </c>
    </row>
    <row r="105" spans="3:3">
      <c r="C105" t="s">
        <v>175</v>
      </c>
    </row>
    <row r="106" spans="3:3">
      <c r="C106" t="s">
        <v>177</v>
      </c>
    </row>
    <row r="107" spans="3:3">
      <c r="C107" t="s">
        <v>626</v>
      </c>
    </row>
    <row r="108" spans="3:3">
      <c r="C108" t="s">
        <v>544</v>
      </c>
    </row>
    <row r="109" spans="3:3">
      <c r="C109" t="s">
        <v>196</v>
      </c>
    </row>
    <row r="110" spans="3:3">
      <c r="C110" t="s">
        <v>357</v>
      </c>
    </row>
    <row r="111" spans="3:3">
      <c r="C111" t="s">
        <v>627</v>
      </c>
    </row>
    <row r="112" spans="3:3">
      <c r="C112" t="s">
        <v>227</v>
      </c>
    </row>
    <row r="113" spans="3:3">
      <c r="C113" t="s">
        <v>178</v>
      </c>
    </row>
    <row r="114" spans="3:3">
      <c r="C114" t="s">
        <v>264</v>
      </c>
    </row>
    <row r="115" spans="3:3">
      <c r="C115" t="s">
        <v>89</v>
      </c>
    </row>
    <row r="116" spans="3:3">
      <c r="C116" t="s">
        <v>265</v>
      </c>
    </row>
    <row r="117" spans="3:3">
      <c r="C117" t="s">
        <v>516</v>
      </c>
    </row>
    <row r="118" spans="3:3">
      <c r="C118" t="s">
        <v>90</v>
      </c>
    </row>
    <row r="119" spans="3:3">
      <c r="C119" t="s">
        <v>266</v>
      </c>
    </row>
    <row r="120" spans="3:3">
      <c r="C120" t="s">
        <v>186</v>
      </c>
    </row>
    <row r="121" spans="3:3">
      <c r="C121" t="s">
        <v>197</v>
      </c>
    </row>
    <row r="122" spans="3:3">
      <c r="C122" t="s">
        <v>166</v>
      </c>
    </row>
    <row r="123" spans="3:3">
      <c r="C123" t="s">
        <v>299</v>
      </c>
    </row>
    <row r="124" spans="3:3">
      <c r="C124" t="s">
        <v>376</v>
      </c>
    </row>
    <row r="125" spans="3:3">
      <c r="C125" t="s">
        <v>191</v>
      </c>
    </row>
    <row r="126" spans="3:3">
      <c r="C126" t="s">
        <v>91</v>
      </c>
    </row>
    <row r="127" spans="3:3">
      <c r="C127" t="s">
        <v>187</v>
      </c>
    </row>
    <row r="128" spans="3:3">
      <c r="C128" t="s">
        <v>347</v>
      </c>
    </row>
    <row r="129" spans="3:3">
      <c r="C129" t="s">
        <v>300</v>
      </c>
    </row>
    <row r="130" spans="3:3">
      <c r="C130" t="s">
        <v>393</v>
      </c>
    </row>
    <row r="131" spans="3:3">
      <c r="C131" t="s">
        <v>487</v>
      </c>
    </row>
    <row r="132" spans="3:3">
      <c r="C132" t="s">
        <v>119</v>
      </c>
    </row>
    <row r="133" spans="3:3">
      <c r="C133" t="s">
        <v>267</v>
      </c>
    </row>
    <row r="134" spans="3:3">
      <c r="C134" t="s">
        <v>228</v>
      </c>
    </row>
    <row r="135" spans="3:3">
      <c r="C135" t="s">
        <v>323</v>
      </c>
    </row>
    <row r="136" spans="3:3">
      <c r="C136" t="s">
        <v>508</v>
      </c>
    </row>
    <row r="137" spans="3:3">
      <c r="C137" t="s">
        <v>598</v>
      </c>
    </row>
    <row r="138" spans="3:3">
      <c r="C138" t="s">
        <v>556</v>
      </c>
    </row>
    <row r="139" spans="3:3">
      <c r="C139" t="s">
        <v>427</v>
      </c>
    </row>
    <row r="140" spans="3:3">
      <c r="C140" t="s">
        <v>462</v>
      </c>
    </row>
    <row r="141" spans="3:3">
      <c r="C141" t="s">
        <v>517</v>
      </c>
    </row>
    <row r="142" spans="3:3">
      <c r="C142" t="s">
        <v>545</v>
      </c>
    </row>
    <row r="143" spans="3:3">
      <c r="C143" t="s">
        <v>135</v>
      </c>
    </row>
    <row r="144" spans="3:3">
      <c r="C144" t="s">
        <v>650</v>
      </c>
    </row>
    <row r="145" spans="3:3">
      <c r="C145" t="s">
        <v>680</v>
      </c>
    </row>
    <row r="146" spans="3:3">
      <c r="C146" t="s">
        <v>722</v>
      </c>
    </row>
    <row r="147" spans="3:3">
      <c r="C147" t="s">
        <v>167</v>
      </c>
    </row>
    <row r="148" spans="3:3">
      <c r="C148" t="s">
        <v>704</v>
      </c>
    </row>
    <row r="149" spans="3:3">
      <c r="C149" t="s">
        <v>136</v>
      </c>
    </row>
    <row r="150" spans="3:3">
      <c r="C150" t="s">
        <v>628</v>
      </c>
    </row>
    <row r="151" spans="3:3">
      <c r="C151" t="s">
        <v>324</v>
      </c>
    </row>
    <row r="152" spans="3:3">
      <c r="C152" t="s">
        <v>282</v>
      </c>
    </row>
    <row r="153" spans="3:3">
      <c r="C153" t="s">
        <v>473</v>
      </c>
    </row>
    <row r="154" spans="3:3">
      <c r="C154" t="s">
        <v>530</v>
      </c>
    </row>
    <row r="155" spans="3:3">
      <c r="C155" t="s">
        <v>557</v>
      </c>
    </row>
    <row r="156" spans="3:3">
      <c r="C156" t="s">
        <v>546</v>
      </c>
    </row>
    <row r="157" spans="3:3">
      <c r="C157" t="s">
        <v>283</v>
      </c>
    </row>
    <row r="158" spans="3:3">
      <c r="C158" t="s">
        <v>106</v>
      </c>
    </row>
    <row r="159" spans="3:3">
      <c r="C159" t="s">
        <v>394</v>
      </c>
    </row>
    <row r="160" spans="3:3">
      <c r="C160" t="s">
        <v>463</v>
      </c>
    </row>
    <row r="161" spans="3:3">
      <c r="C161" t="s">
        <v>488</v>
      </c>
    </row>
    <row r="162" spans="3:3">
      <c r="C162" t="s">
        <v>120</v>
      </c>
    </row>
    <row r="163" spans="3:3">
      <c r="C163" t="s">
        <v>110</v>
      </c>
    </row>
    <row r="164" spans="3:3">
      <c r="C164" t="s">
        <v>377</v>
      </c>
    </row>
    <row r="165" spans="3:3">
      <c r="C165" t="s">
        <v>588</v>
      </c>
    </row>
    <row r="166" spans="3:3">
      <c r="C166" t="s">
        <v>92</v>
      </c>
    </row>
    <row r="167" spans="3:3">
      <c r="C167" t="s">
        <v>194</v>
      </c>
    </row>
    <row r="168" spans="3:3">
      <c r="C168" t="s">
        <v>705</v>
      </c>
    </row>
    <row r="169" spans="3:3">
      <c r="C169" t="s">
        <v>168</v>
      </c>
    </row>
    <row r="170" spans="3:3">
      <c r="C170" t="s">
        <v>121</v>
      </c>
    </row>
    <row r="171" spans="3:3">
      <c r="C171" t="s">
        <v>284</v>
      </c>
    </row>
    <row r="172" spans="3:3">
      <c r="C172" t="s">
        <v>137</v>
      </c>
    </row>
    <row r="173" spans="3:3">
      <c r="C173" t="s">
        <v>93</v>
      </c>
    </row>
    <row r="174" spans="3:3">
      <c r="C174" t="s">
        <v>198</v>
      </c>
    </row>
    <row r="175" spans="3:3">
      <c r="C175" t="s">
        <v>229</v>
      </c>
    </row>
    <row r="176" spans="3:3">
      <c r="C176" t="s">
        <v>220</v>
      </c>
    </row>
    <row r="177" spans="3:3">
      <c r="C177" t="s">
        <v>558</v>
      </c>
    </row>
    <row r="178" spans="3:3">
      <c r="C178" t="s">
        <v>474</v>
      </c>
    </row>
    <row r="179" spans="3:3">
      <c r="C179" t="s">
        <v>489</v>
      </c>
    </row>
    <row r="180" spans="3:3">
      <c r="C180" t="s">
        <v>434</v>
      </c>
    </row>
    <row r="181" spans="3:3">
      <c r="C181" t="s">
        <v>395</v>
      </c>
    </row>
    <row r="182" spans="3:3">
      <c r="C182" t="s">
        <v>169</v>
      </c>
    </row>
    <row r="183" spans="3:3">
      <c r="C183" t="s">
        <v>378</v>
      </c>
    </row>
    <row r="184" spans="3:3">
      <c r="C184" t="s">
        <v>547</v>
      </c>
    </row>
    <row r="185" spans="3:3">
      <c r="C185" t="s">
        <v>428</v>
      </c>
    </row>
    <row r="186" spans="3:3">
      <c r="C186" t="s">
        <v>170</v>
      </c>
    </row>
    <row r="187" spans="3:3">
      <c r="C187" t="s">
        <v>706</v>
      </c>
    </row>
    <row r="188" spans="3:3">
      <c r="C188" t="s">
        <v>490</v>
      </c>
    </row>
    <row r="189" spans="3:3">
      <c r="C189" t="s">
        <v>491</v>
      </c>
    </row>
    <row r="190" spans="3:3">
      <c r="C190" t="s">
        <v>589</v>
      </c>
    </row>
    <row r="191" spans="3:3">
      <c r="C191" t="s">
        <v>240</v>
      </c>
    </row>
    <row r="192" spans="3:3">
      <c r="C192" t="s">
        <v>576</v>
      </c>
    </row>
    <row r="193" spans="3:3">
      <c r="C193" t="s">
        <v>407</v>
      </c>
    </row>
    <row r="194" spans="3:3">
      <c r="C194" t="s">
        <v>358</v>
      </c>
    </row>
    <row r="195" spans="3:3">
      <c r="C195" t="s">
        <v>335</v>
      </c>
    </row>
    <row r="196" spans="3:3">
      <c r="C196" t="s">
        <v>138</v>
      </c>
    </row>
    <row r="197" spans="3:3">
      <c r="C197" t="s">
        <v>559</v>
      </c>
    </row>
    <row r="198" spans="3:3">
      <c r="C198" t="s">
        <v>666</v>
      </c>
    </row>
    <row r="199" spans="3:3">
      <c r="C199" t="s">
        <v>179</v>
      </c>
    </row>
    <row r="200" spans="3:3">
      <c r="C200" t="s">
        <v>408</v>
      </c>
    </row>
    <row r="201" spans="3:3">
      <c r="C201" t="s">
        <v>242</v>
      </c>
    </row>
    <row r="202" spans="3:3">
      <c r="C202" t="s">
        <v>243</v>
      </c>
    </row>
    <row r="203" spans="3:3">
      <c r="C203" t="s">
        <v>492</v>
      </c>
    </row>
    <row r="204" spans="3:3">
      <c r="C204" t="s">
        <v>629</v>
      </c>
    </row>
    <row r="205" spans="3:3">
      <c r="C205" t="s">
        <v>590</v>
      </c>
    </row>
    <row r="206" spans="3:3">
      <c r="C206" t="s">
        <v>230</v>
      </c>
    </row>
    <row r="207" spans="3:3">
      <c r="C207" t="s">
        <v>199</v>
      </c>
    </row>
    <row r="208" spans="3:3">
      <c r="C208" t="s">
        <v>122</v>
      </c>
    </row>
    <row r="209" spans="3:3">
      <c r="C209" t="s">
        <v>336</v>
      </c>
    </row>
    <row r="210" spans="3:3">
      <c r="C210" t="s">
        <v>630</v>
      </c>
    </row>
    <row r="211" spans="3:3">
      <c r="C211" t="s">
        <v>325</v>
      </c>
    </row>
    <row r="212" spans="3:3">
      <c r="C212" t="s">
        <v>94</v>
      </c>
    </row>
    <row r="213" spans="3:3">
      <c r="C213" t="s">
        <v>247</v>
      </c>
    </row>
    <row r="214" spans="3:3">
      <c r="C214" t="s">
        <v>250</v>
      </c>
    </row>
    <row r="215" spans="3:3">
      <c r="C215" t="s">
        <v>258</v>
      </c>
    </row>
    <row r="216" spans="3:3">
      <c r="C216" t="s">
        <v>277</v>
      </c>
    </row>
    <row r="217" spans="3:3">
      <c r="C217" t="s">
        <v>285</v>
      </c>
    </row>
    <row r="218" spans="3:3">
      <c r="C218" t="s">
        <v>296</v>
      </c>
    </row>
    <row r="219" spans="3:3">
      <c r="C219" t="s">
        <v>301</v>
      </c>
    </row>
    <row r="220" spans="3:3">
      <c r="C220" t="s">
        <v>475</v>
      </c>
    </row>
    <row r="221" spans="3:3">
      <c r="C221" t="s">
        <v>379</v>
      </c>
    </row>
    <row r="222" spans="3:3">
      <c r="C222" t="s">
        <v>409</v>
      </c>
    </row>
    <row r="223" spans="3:3">
      <c r="C223" t="s">
        <v>605</v>
      </c>
    </row>
    <row r="224" spans="3:3">
      <c r="C224" t="s">
        <v>200</v>
      </c>
    </row>
    <row r="225" spans="3:3">
      <c r="C225" t="s">
        <v>493</v>
      </c>
    </row>
    <row r="226" spans="3:3">
      <c r="C226" t="s">
        <v>707</v>
      </c>
    </row>
    <row r="227" spans="3:3">
      <c r="C227" t="s">
        <v>418</v>
      </c>
    </row>
    <row r="228" spans="3:3">
      <c r="C228" t="s">
        <v>606</v>
      </c>
    </row>
    <row r="229" spans="3:3">
      <c r="C229" t="s">
        <v>560</v>
      </c>
    </row>
    <row r="230" spans="3:3">
      <c r="C230" t="s">
        <v>123</v>
      </c>
    </row>
    <row r="231" spans="3:3">
      <c r="C231" t="s">
        <v>419</v>
      </c>
    </row>
    <row r="232" spans="3:3">
      <c r="C232" t="s">
        <v>244</v>
      </c>
    </row>
    <row r="233" spans="3:3">
      <c r="C233" t="s">
        <v>380</v>
      </c>
    </row>
    <row r="234" spans="3:3">
      <c r="C234" t="s">
        <v>268</v>
      </c>
    </row>
    <row r="235" spans="3:3">
      <c r="C235" t="s">
        <v>310</v>
      </c>
    </row>
    <row r="236" spans="3:3">
      <c r="C236" t="s">
        <v>311</v>
      </c>
    </row>
    <row r="237" spans="3:3">
      <c r="C237" t="s">
        <v>312</v>
      </c>
    </row>
    <row r="238" spans="3:3">
      <c r="C238" t="s">
        <v>681</v>
      </c>
    </row>
    <row r="239" spans="3:3">
      <c r="C239" t="s">
        <v>319</v>
      </c>
    </row>
    <row r="240" spans="3:3">
      <c r="C240" t="s">
        <v>631</v>
      </c>
    </row>
    <row r="241" spans="3:3">
      <c r="C241" t="s">
        <v>607</v>
      </c>
    </row>
    <row r="242" spans="3:3">
      <c r="C242" t="s">
        <v>476</v>
      </c>
    </row>
    <row r="243" spans="3:3">
      <c r="C243" t="s">
        <v>608</v>
      </c>
    </row>
    <row r="244" spans="3:3">
      <c r="C244" t="s">
        <v>286</v>
      </c>
    </row>
    <row r="245" spans="3:3">
      <c r="C245" t="s">
        <v>396</v>
      </c>
    </row>
    <row r="246" spans="3:3">
      <c r="C246" t="s">
        <v>337</v>
      </c>
    </row>
    <row r="247" spans="3:3">
      <c r="C247" t="s">
        <v>287</v>
      </c>
    </row>
    <row r="248" spans="3:3">
      <c r="C248" t="s">
        <v>338</v>
      </c>
    </row>
    <row r="249" spans="3:3">
      <c r="C249" t="s">
        <v>111</v>
      </c>
    </row>
    <row r="250" spans="3:3">
      <c r="C250" t="s">
        <v>201</v>
      </c>
    </row>
    <row r="251" spans="3:3">
      <c r="C251" t="s">
        <v>561</v>
      </c>
    </row>
    <row r="252" spans="3:3">
      <c r="C252" t="s">
        <v>381</v>
      </c>
    </row>
    <row r="253" spans="3:3">
      <c r="C253" t="s">
        <v>632</v>
      </c>
    </row>
    <row r="254" spans="3:3">
      <c r="C254" t="s">
        <v>464</v>
      </c>
    </row>
    <row r="255" spans="3:3">
      <c r="C255" t="s">
        <v>442</v>
      </c>
    </row>
    <row r="256" spans="3:3">
      <c r="C256" t="s">
        <v>313</v>
      </c>
    </row>
    <row r="257" spans="3:3">
      <c r="C257" t="s">
        <v>531</v>
      </c>
    </row>
    <row r="258" spans="3:3">
      <c r="C258" t="s">
        <v>562</v>
      </c>
    </row>
    <row r="259" spans="3:3">
      <c r="C259" t="s">
        <v>366</v>
      </c>
    </row>
    <row r="260" spans="3:3">
      <c r="C260" t="s">
        <v>251</v>
      </c>
    </row>
    <row r="261" spans="3:3">
      <c r="C261" t="s">
        <v>348</v>
      </c>
    </row>
    <row r="262" spans="3:3">
      <c r="C262" t="s">
        <v>326</v>
      </c>
    </row>
    <row r="263" spans="3:3">
      <c r="C263" t="s">
        <v>518</v>
      </c>
    </row>
    <row r="264" spans="3:3">
      <c r="C264" t="s">
        <v>435</v>
      </c>
    </row>
    <row r="265" spans="3:3">
      <c r="C265" t="s">
        <v>124</v>
      </c>
    </row>
    <row r="266" spans="3:3">
      <c r="C266" t="s">
        <v>252</v>
      </c>
    </row>
    <row r="267" spans="3:3">
      <c r="C267" t="s">
        <v>633</v>
      </c>
    </row>
    <row r="268" spans="3:3">
      <c r="C268" t="s">
        <v>682</v>
      </c>
    </row>
    <row r="269" spans="3:3">
      <c r="C269" t="s">
        <v>139</v>
      </c>
    </row>
    <row r="270" spans="3:3">
      <c r="C270" t="s">
        <v>331</v>
      </c>
    </row>
    <row r="271" spans="3:3">
      <c r="C271" t="s">
        <v>288</v>
      </c>
    </row>
    <row r="272" spans="3:3">
      <c r="C272" t="s">
        <v>634</v>
      </c>
    </row>
    <row r="273" spans="3:3">
      <c r="C273" t="s">
        <v>667</v>
      </c>
    </row>
    <row r="274" spans="3:3">
      <c r="C274" t="s">
        <v>359</v>
      </c>
    </row>
    <row r="275" spans="3:3">
      <c r="C275" t="s">
        <v>455</v>
      </c>
    </row>
    <row r="276" spans="3:3">
      <c r="C276" t="s">
        <v>231</v>
      </c>
    </row>
    <row r="277" spans="3:3">
      <c r="C277" t="s">
        <v>140</v>
      </c>
    </row>
    <row r="278" spans="3:3">
      <c r="C278" t="s">
        <v>708</v>
      </c>
    </row>
    <row r="279" spans="3:3">
      <c r="C279" t="s">
        <v>345</v>
      </c>
    </row>
    <row r="280" spans="3:3">
      <c r="C280" t="s">
        <v>447</v>
      </c>
    </row>
    <row r="281" spans="3:3">
      <c r="C281" t="s">
        <v>314</v>
      </c>
    </row>
    <row r="282" spans="3:3">
      <c r="C282" t="s">
        <v>397</v>
      </c>
    </row>
    <row r="283" spans="3:3">
      <c r="C283" t="s">
        <v>519</v>
      </c>
    </row>
    <row r="284" spans="3:3">
      <c r="C284" t="s">
        <v>354</v>
      </c>
    </row>
    <row r="285" spans="3:3">
      <c r="C285" t="s">
        <v>363</v>
      </c>
    </row>
    <row r="286" spans="3:3">
      <c r="C286" t="s">
        <v>367</v>
      </c>
    </row>
    <row r="287" spans="3:3">
      <c r="C287" t="s">
        <v>577</v>
      </c>
    </row>
    <row r="288" spans="3:3">
      <c r="C288" t="s">
        <v>635</v>
      </c>
    </row>
    <row r="289" spans="3:3">
      <c r="C289" t="s">
        <v>548</v>
      </c>
    </row>
    <row r="290" spans="3:3">
      <c r="C290" t="s">
        <v>125</v>
      </c>
    </row>
    <row r="291" spans="3:3">
      <c r="C291" t="s">
        <v>141</v>
      </c>
    </row>
    <row r="292" spans="3:3">
      <c r="C292" t="s">
        <v>202</v>
      </c>
    </row>
    <row r="293" spans="3:3">
      <c r="C293" t="s">
        <v>372</v>
      </c>
    </row>
    <row r="294" spans="3:3">
      <c r="C294" t="s">
        <v>289</v>
      </c>
    </row>
    <row r="295" spans="3:3">
      <c r="C295" t="s">
        <v>232</v>
      </c>
    </row>
    <row r="296" spans="3:3">
      <c r="C296" t="s">
        <v>382</v>
      </c>
    </row>
    <row r="297" spans="3:3">
      <c r="C297" t="s">
        <v>636</v>
      </c>
    </row>
    <row r="298" spans="3:3">
      <c r="C298" t="s">
        <v>709</v>
      </c>
    </row>
    <row r="299" spans="3:3">
      <c r="C299" t="s">
        <v>398</v>
      </c>
    </row>
    <row r="300" spans="3:3">
      <c r="C300" t="s">
        <v>392</v>
      </c>
    </row>
    <row r="301" spans="3:3">
      <c r="C301" t="s">
        <v>406</v>
      </c>
    </row>
    <row r="302" spans="3:3">
      <c r="C302" t="s">
        <v>429</v>
      </c>
    </row>
    <row r="303" spans="3:3">
      <c r="C303" t="s">
        <v>415</v>
      </c>
    </row>
    <row r="304" spans="3:3">
      <c r="C304" t="s">
        <v>95</v>
      </c>
    </row>
    <row r="305" spans="3:3">
      <c r="C305" t="s">
        <v>142</v>
      </c>
    </row>
    <row r="306" spans="3:3">
      <c r="C306" t="s">
        <v>339</v>
      </c>
    </row>
    <row r="307" spans="3:3">
      <c r="C307" t="s">
        <v>383</v>
      </c>
    </row>
    <row r="308" spans="3:3">
      <c r="C308" t="s">
        <v>425</v>
      </c>
    </row>
    <row r="309" spans="3:3">
      <c r="C309" t="s">
        <v>96</v>
      </c>
    </row>
    <row r="310" spans="3:3">
      <c r="C310" t="s">
        <v>695</v>
      </c>
    </row>
    <row r="311" spans="3:3">
      <c r="C311" t="s">
        <v>609</v>
      </c>
    </row>
    <row r="312" spans="3:3">
      <c r="C312" t="s">
        <v>683</v>
      </c>
    </row>
    <row r="313" spans="3:3">
      <c r="C313" t="s">
        <v>502</v>
      </c>
    </row>
    <row r="314" spans="3:3">
      <c r="C314" t="s">
        <v>290</v>
      </c>
    </row>
    <row r="315" spans="3:3">
      <c r="C315" t="s">
        <v>384</v>
      </c>
    </row>
    <row r="316" spans="3:3">
      <c r="C316" t="s">
        <v>494</v>
      </c>
    </row>
    <row r="317" spans="3:3">
      <c r="C317" t="s">
        <v>591</v>
      </c>
    </row>
    <row r="318" spans="3:3">
      <c r="C318" t="s">
        <v>143</v>
      </c>
    </row>
    <row r="319" spans="3:3">
      <c r="C319" t="s">
        <v>203</v>
      </c>
    </row>
    <row r="320" spans="3:3">
      <c r="C320" t="s">
        <v>610</v>
      </c>
    </row>
    <row r="321" spans="3:3">
      <c r="C321" t="s">
        <v>433</v>
      </c>
    </row>
    <row r="322" spans="3:3">
      <c r="C322" t="s">
        <v>440</v>
      </c>
    </row>
    <row r="323" spans="3:3">
      <c r="C323" t="s">
        <v>443</v>
      </c>
    </row>
    <row r="324" spans="3:3">
      <c r="C324" t="s">
        <v>368</v>
      </c>
    </row>
    <row r="325" spans="3:3">
      <c r="C325" t="s">
        <v>495</v>
      </c>
    </row>
    <row r="326" spans="3:3">
      <c r="C326" t="s">
        <v>446</v>
      </c>
    </row>
    <row r="327" spans="3:3">
      <c r="C327" t="s">
        <v>180</v>
      </c>
    </row>
    <row r="328" spans="3:3">
      <c r="C328" t="s">
        <v>452</v>
      </c>
    </row>
    <row r="329" spans="3:3">
      <c r="C329" t="s">
        <v>460</v>
      </c>
    </row>
    <row r="330" spans="3:3">
      <c r="C330" t="s">
        <v>340</v>
      </c>
    </row>
    <row r="331" spans="3:3">
      <c r="C331" t="s">
        <v>468</v>
      </c>
    </row>
    <row r="332" spans="3:3">
      <c r="C332" t="s">
        <v>456</v>
      </c>
    </row>
    <row r="333" spans="3:3">
      <c r="C333" t="s">
        <v>385</v>
      </c>
    </row>
    <row r="334" spans="3:3">
      <c r="C334" t="s">
        <v>126</v>
      </c>
    </row>
    <row r="335" spans="3:3">
      <c r="C335" t="s">
        <v>483</v>
      </c>
    </row>
    <row r="336" spans="3:3">
      <c r="C336" t="s">
        <v>144</v>
      </c>
    </row>
    <row r="337" spans="3:3">
      <c r="C337" t="s">
        <v>506</v>
      </c>
    </row>
    <row r="338" spans="3:3">
      <c r="C338" t="s">
        <v>204</v>
      </c>
    </row>
    <row r="339" spans="3:3">
      <c r="C339" t="s">
        <v>233</v>
      </c>
    </row>
    <row r="340" spans="3:3">
      <c r="C340" t="s">
        <v>420</v>
      </c>
    </row>
    <row r="341" spans="3:3">
      <c r="C341" t="s">
        <v>520</v>
      </c>
    </row>
    <row r="342" spans="3:3">
      <c r="C342" t="s">
        <v>205</v>
      </c>
    </row>
    <row r="343" spans="3:3">
      <c r="C343" t="s">
        <v>637</v>
      </c>
    </row>
    <row r="344" spans="3:3">
      <c r="C344" t="s">
        <v>145</v>
      </c>
    </row>
    <row r="345" spans="3:3">
      <c r="C345" t="s">
        <v>97</v>
      </c>
    </row>
    <row r="346" spans="3:3">
      <c r="C346" t="s">
        <v>503</v>
      </c>
    </row>
    <row r="347" spans="3:3">
      <c r="C347" t="s">
        <v>302</v>
      </c>
    </row>
    <row r="348" spans="3:3">
      <c r="C348" t="s">
        <v>341</v>
      </c>
    </row>
    <row r="349" spans="3:3">
      <c r="C349" t="s">
        <v>349</v>
      </c>
    </row>
    <row r="350" spans="3:3">
      <c r="C350" t="s">
        <v>399</v>
      </c>
    </row>
    <row r="351" spans="3:3">
      <c r="C351" t="s">
        <v>410</v>
      </c>
    </row>
    <row r="352" spans="3:3">
      <c r="C352" t="s">
        <v>436</v>
      </c>
    </row>
    <row r="353" spans="3:3">
      <c r="C353" t="s">
        <v>532</v>
      </c>
    </row>
    <row r="354" spans="3:3">
      <c r="C354" t="s">
        <v>668</v>
      </c>
    </row>
    <row r="355" spans="3:3">
      <c r="C355" t="s">
        <v>291</v>
      </c>
    </row>
    <row r="356" spans="3:3">
      <c r="C356" t="s">
        <v>448</v>
      </c>
    </row>
    <row r="357" spans="3:3">
      <c r="C357" t="s">
        <v>465</v>
      </c>
    </row>
    <row r="358" spans="3:3">
      <c r="C358" t="s">
        <v>563</v>
      </c>
    </row>
    <row r="359" spans="3:3">
      <c r="C359" t="s">
        <v>658</v>
      </c>
    </row>
    <row r="360" spans="3:3">
      <c r="C360" t="s">
        <v>696</v>
      </c>
    </row>
    <row r="361" spans="3:3">
      <c r="C361" t="s">
        <v>98</v>
      </c>
    </row>
    <row r="362" spans="3:3">
      <c r="C362" t="s">
        <v>171</v>
      </c>
    </row>
    <row r="363" spans="3:3">
      <c r="C363" t="s">
        <v>269</v>
      </c>
    </row>
    <row r="364" spans="3:3">
      <c r="C364" t="s">
        <v>303</v>
      </c>
    </row>
    <row r="365" spans="3:3">
      <c r="C365" t="s">
        <v>400</v>
      </c>
    </row>
    <row r="366" spans="3:3">
      <c r="C366" t="s">
        <v>411</v>
      </c>
    </row>
    <row r="367" spans="3:3">
      <c r="C367" t="s">
        <v>437</v>
      </c>
    </row>
    <row r="368" spans="3:3">
      <c r="C368" t="s">
        <v>533</v>
      </c>
    </row>
    <row r="369" spans="3:3">
      <c r="C369" t="s">
        <v>669</v>
      </c>
    </row>
    <row r="370" spans="3:3">
      <c r="C370" t="s">
        <v>253</v>
      </c>
    </row>
    <row r="371" spans="3:3">
      <c r="C371" t="s">
        <v>710</v>
      </c>
    </row>
    <row r="372" spans="3:3">
      <c r="C372" t="s">
        <v>181</v>
      </c>
    </row>
    <row r="373" spans="3:3">
      <c r="C373" t="s">
        <v>206</v>
      </c>
    </row>
    <row r="374" spans="3:3">
      <c r="C374" t="s">
        <v>457</v>
      </c>
    </row>
    <row r="375" spans="3:3">
      <c r="C375" t="s">
        <v>638</v>
      </c>
    </row>
    <row r="376" spans="3:3">
      <c r="C376" t="s">
        <v>651</v>
      </c>
    </row>
    <row r="377" spans="3:3">
      <c r="C377" t="s">
        <v>511</v>
      </c>
    </row>
    <row r="378" spans="3:3">
      <c r="C378" t="s">
        <v>529</v>
      </c>
    </row>
    <row r="379" spans="3:3">
      <c r="C379" t="s">
        <v>534</v>
      </c>
    </row>
    <row r="380" spans="3:3">
      <c r="C380" t="s">
        <v>684</v>
      </c>
    </row>
    <row r="381" spans="3:3">
      <c r="C381" t="s">
        <v>304</v>
      </c>
    </row>
    <row r="382" spans="3:3">
      <c r="C382" t="s">
        <v>539</v>
      </c>
    </row>
    <row r="383" spans="3:3">
      <c r="C383" t="s">
        <v>207</v>
      </c>
    </row>
    <row r="384" spans="3:3">
      <c r="C384" t="s">
        <v>711</v>
      </c>
    </row>
    <row r="385" spans="3:3">
      <c r="C385" t="s">
        <v>327</v>
      </c>
    </row>
    <row r="386" spans="3:3">
      <c r="C386" t="s">
        <v>146</v>
      </c>
    </row>
    <row r="387" spans="3:3">
      <c r="C387" t="s">
        <v>208</v>
      </c>
    </row>
    <row r="388" spans="3:3">
      <c r="C388" t="s">
        <v>209</v>
      </c>
    </row>
    <row r="389" spans="3:3">
      <c r="C389" t="s">
        <v>697</v>
      </c>
    </row>
    <row r="390" spans="3:3">
      <c r="C390" t="s">
        <v>552</v>
      </c>
    </row>
    <row r="391" spans="3:3">
      <c r="C391" t="s">
        <v>210</v>
      </c>
    </row>
    <row r="392" spans="3:3">
      <c r="C392" t="s">
        <v>270</v>
      </c>
    </row>
    <row r="393" spans="3:3">
      <c r="C393" t="s">
        <v>188</v>
      </c>
    </row>
    <row r="394" spans="3:3">
      <c r="C394" t="s">
        <v>360</v>
      </c>
    </row>
    <row r="395" spans="3:3">
      <c r="C395" t="s">
        <v>112</v>
      </c>
    </row>
    <row r="396" spans="3:3">
      <c r="C396" t="s">
        <v>504</v>
      </c>
    </row>
    <row r="397" spans="3:3">
      <c r="C397" t="s">
        <v>127</v>
      </c>
    </row>
    <row r="398" spans="3:3">
      <c r="C398" t="s">
        <v>564</v>
      </c>
    </row>
    <row r="399" spans="3:3">
      <c r="C399" t="s">
        <v>369</v>
      </c>
    </row>
    <row r="400" spans="3:3">
      <c r="C400" t="s">
        <v>254</v>
      </c>
    </row>
    <row r="401" spans="3:3">
      <c r="C401" t="s">
        <v>578</v>
      </c>
    </row>
    <row r="402" spans="3:3">
      <c r="C402" t="s">
        <v>211</v>
      </c>
    </row>
    <row r="403" spans="3:3">
      <c r="C403" t="s">
        <v>350</v>
      </c>
    </row>
    <row r="404" spans="3:3">
      <c r="C404" t="s">
        <v>549</v>
      </c>
    </row>
    <row r="405" spans="3:3">
      <c r="C405" t="s">
        <v>351</v>
      </c>
    </row>
    <row r="406" spans="3:3">
      <c r="C406" t="s">
        <v>113</v>
      </c>
    </row>
    <row r="407" spans="3:3">
      <c r="C407" t="s">
        <v>370</v>
      </c>
    </row>
    <row r="408" spans="3:3">
      <c r="C408" t="s">
        <v>652</v>
      </c>
    </row>
    <row r="409" spans="3:3">
      <c r="C409" t="s">
        <v>172</v>
      </c>
    </row>
    <row r="410" spans="3:3">
      <c r="C410" t="s">
        <v>573</v>
      </c>
    </row>
    <row r="411" spans="3:3">
      <c r="C411" t="s">
        <v>579</v>
      </c>
    </row>
    <row r="412" spans="3:3">
      <c r="C412" t="s">
        <v>212</v>
      </c>
    </row>
    <row r="413" spans="3:3">
      <c r="C413" t="s">
        <v>712</v>
      </c>
    </row>
    <row r="414" spans="3:3">
      <c r="C414" t="s">
        <v>496</v>
      </c>
    </row>
    <row r="415" spans="3:3">
      <c r="C415" t="s">
        <v>599</v>
      </c>
    </row>
    <row r="416" spans="3:3">
      <c r="C416" t="s">
        <v>565</v>
      </c>
    </row>
    <row r="417" spans="3:3">
      <c r="C417" t="s">
        <v>147</v>
      </c>
    </row>
    <row r="418" spans="3:3">
      <c r="C418" t="s">
        <v>444</v>
      </c>
    </row>
    <row r="419" spans="3:3">
      <c r="C419" t="s">
        <v>583</v>
      </c>
    </row>
    <row r="420" spans="3:3">
      <c r="C420" t="s">
        <v>670</v>
      </c>
    </row>
    <row r="421" spans="3:3">
      <c r="C421" t="s">
        <v>148</v>
      </c>
    </row>
    <row r="422" spans="3:3">
      <c r="C422" t="s">
        <v>671</v>
      </c>
    </row>
    <row r="423" spans="3:3">
      <c r="C423" t="s">
        <v>401</v>
      </c>
    </row>
    <row r="424" spans="3:3">
      <c r="C424" t="s">
        <v>477</v>
      </c>
    </row>
    <row r="425" spans="3:3">
      <c r="C425" t="s">
        <v>271</v>
      </c>
    </row>
    <row r="426" spans="3:3">
      <c r="C426" t="s">
        <v>497</v>
      </c>
    </row>
    <row r="427" spans="3:3">
      <c r="C427" t="s">
        <v>234</v>
      </c>
    </row>
    <row r="428" spans="3:3">
      <c r="C428" t="s">
        <v>149</v>
      </c>
    </row>
    <row r="429" spans="3:3">
      <c r="C429" t="s">
        <v>386</v>
      </c>
    </row>
    <row r="430" spans="3:3">
      <c r="C430" t="s">
        <v>550</v>
      </c>
    </row>
    <row r="431" spans="3:3">
      <c r="C431" t="s">
        <v>150</v>
      </c>
    </row>
    <row r="432" spans="3:3">
      <c r="C432" t="s">
        <v>189</v>
      </c>
    </row>
    <row r="433" spans="3:3">
      <c r="C433" t="s">
        <v>653</v>
      </c>
    </row>
    <row r="434" spans="3:3">
      <c r="C434" t="s">
        <v>639</v>
      </c>
    </row>
    <row r="435" spans="3:3">
      <c r="C435" t="s">
        <v>640</v>
      </c>
    </row>
    <row r="436" spans="3:3">
      <c r="C436" t="s">
        <v>151</v>
      </c>
    </row>
    <row r="437" spans="3:3">
      <c r="C437" t="s">
        <v>152</v>
      </c>
    </row>
    <row r="438" spans="3:3">
      <c r="C438" t="s">
        <v>580</v>
      </c>
    </row>
    <row r="439" spans="3:3">
      <c r="C439" t="s">
        <v>153</v>
      </c>
    </row>
    <row r="440" spans="3:3">
      <c r="C440" t="s">
        <v>581</v>
      </c>
    </row>
    <row r="441" spans="3:3">
      <c r="C441" t="s">
        <v>154</v>
      </c>
    </row>
    <row r="442" spans="3:3">
      <c r="C442" t="s">
        <v>155</v>
      </c>
    </row>
    <row r="443" spans="3:3">
      <c r="C443" t="s">
        <v>466</v>
      </c>
    </row>
    <row r="444" spans="3:3">
      <c r="C444" t="s">
        <v>156</v>
      </c>
    </row>
    <row r="445" spans="3:3">
      <c r="C445" t="s">
        <v>157</v>
      </c>
    </row>
    <row r="446" spans="3:3">
      <c r="C446" t="s">
        <v>235</v>
      </c>
    </row>
    <row r="447" spans="3:3">
      <c r="C447" t="s">
        <v>566</v>
      </c>
    </row>
    <row r="448" spans="3:3">
      <c r="C448" t="s">
        <v>685</v>
      </c>
    </row>
    <row r="449" spans="3:3">
      <c r="C449" t="s">
        <v>213</v>
      </c>
    </row>
    <row r="450" spans="3:3">
      <c r="C450" t="s">
        <v>214</v>
      </c>
    </row>
    <row r="451" spans="3:3">
      <c r="C451" t="s">
        <v>713</v>
      </c>
    </row>
    <row r="452" spans="3:3">
      <c r="C452" t="s">
        <v>641</v>
      </c>
    </row>
    <row r="453" spans="3:3">
      <c r="C453" t="s">
        <v>342</v>
      </c>
    </row>
    <row r="454" spans="3:3">
      <c r="C454" t="s">
        <v>114</v>
      </c>
    </row>
    <row r="455" spans="3:3">
      <c r="C455" t="s">
        <v>305</v>
      </c>
    </row>
    <row r="456" spans="3:3">
      <c r="C456" t="s">
        <v>600</v>
      </c>
    </row>
    <row r="457" spans="3:3">
      <c r="C457" t="s">
        <v>128</v>
      </c>
    </row>
    <row r="458" spans="3:3">
      <c r="C458" t="s">
        <v>292</v>
      </c>
    </row>
    <row r="459" spans="3:3">
      <c r="C459" t="s">
        <v>585</v>
      </c>
    </row>
    <row r="460" spans="3:3">
      <c r="C460" t="s">
        <v>328</v>
      </c>
    </row>
    <row r="461" spans="3:3">
      <c r="C461" t="s">
        <v>611</v>
      </c>
    </row>
    <row r="462" spans="3:3">
      <c r="C462" t="s">
        <v>714</v>
      </c>
    </row>
    <row r="463" spans="3:3">
      <c r="C463" t="s">
        <v>597</v>
      </c>
    </row>
    <row r="464" spans="3:3">
      <c r="C464" t="s">
        <v>215</v>
      </c>
    </row>
    <row r="465" spans="3:3">
      <c r="C465" t="s">
        <v>236</v>
      </c>
    </row>
    <row r="466" spans="3:3">
      <c r="C466" t="s">
        <v>272</v>
      </c>
    </row>
    <row r="467" spans="3:3">
      <c r="C467" t="s">
        <v>438</v>
      </c>
    </row>
    <row r="468" spans="3:3">
      <c r="C468" t="s">
        <v>99</v>
      </c>
    </row>
    <row r="469" spans="3:3">
      <c r="C469" t="s">
        <v>498</v>
      </c>
    </row>
    <row r="470" spans="3:3">
      <c r="C470" t="s">
        <v>306</v>
      </c>
    </row>
    <row r="471" spans="3:3">
      <c r="C471" t="s">
        <v>402</v>
      </c>
    </row>
    <row r="472" spans="3:3">
      <c r="C472" t="s">
        <v>412</v>
      </c>
    </row>
    <row r="473" spans="3:3">
      <c r="C473" t="s">
        <v>421</v>
      </c>
    </row>
    <row r="474" spans="3:3">
      <c r="C474" t="s">
        <v>535</v>
      </c>
    </row>
    <row r="475" spans="3:3">
      <c r="C475" t="s">
        <v>255</v>
      </c>
    </row>
    <row r="476" spans="3:3">
      <c r="C476" t="s">
        <v>293</v>
      </c>
    </row>
    <row r="477" spans="3:3">
      <c r="C477" t="s">
        <v>521</v>
      </c>
    </row>
    <row r="478" spans="3:3">
      <c r="C478" t="s">
        <v>567</v>
      </c>
    </row>
    <row r="479" spans="3:3">
      <c r="C479" t="s">
        <v>659</v>
      </c>
    </row>
    <row r="480" spans="3:3">
      <c r="C480" t="s">
        <v>698</v>
      </c>
    </row>
    <row r="481" spans="3:3">
      <c r="C481" t="s">
        <v>672</v>
      </c>
    </row>
    <row r="482" spans="3:3">
      <c r="C482" t="s">
        <v>100</v>
      </c>
    </row>
    <row r="483" spans="3:3">
      <c r="C483" t="s">
        <v>173</v>
      </c>
    </row>
    <row r="484" spans="3:3">
      <c r="C484" t="s">
        <v>307</v>
      </c>
    </row>
    <row r="485" spans="3:3">
      <c r="C485" t="s">
        <v>343</v>
      </c>
    </row>
    <row r="486" spans="3:3">
      <c r="C486" t="s">
        <v>352</v>
      </c>
    </row>
    <row r="487" spans="3:3">
      <c r="C487" t="s">
        <v>403</v>
      </c>
    </row>
    <row r="488" spans="3:3">
      <c r="C488" t="s">
        <v>413</v>
      </c>
    </row>
    <row r="489" spans="3:3">
      <c r="C489" t="s">
        <v>422</v>
      </c>
    </row>
    <row r="490" spans="3:3">
      <c r="C490" t="s">
        <v>430</v>
      </c>
    </row>
    <row r="491" spans="3:3">
      <c r="C491" t="s">
        <v>536</v>
      </c>
    </row>
    <row r="492" spans="3:3">
      <c r="C492" t="s">
        <v>673</v>
      </c>
    </row>
    <row r="493" spans="3:3">
      <c r="C493" t="s">
        <v>686</v>
      </c>
    </row>
    <row r="494" spans="3:3">
      <c r="C494" t="s">
        <v>273</v>
      </c>
    </row>
    <row r="495" spans="3:3">
      <c r="C495" t="s">
        <v>182</v>
      </c>
    </row>
    <row r="496" spans="3:3">
      <c r="C496" t="s">
        <v>423</v>
      </c>
    </row>
    <row r="497" spans="3:3">
      <c r="C497" t="s">
        <v>522</v>
      </c>
    </row>
    <row r="498" spans="3:3">
      <c r="C498" t="s">
        <v>404</v>
      </c>
    </row>
    <row r="499" spans="3:3">
      <c r="C499" t="s">
        <v>654</v>
      </c>
    </row>
    <row r="500" spans="3:3">
      <c r="C500" t="s">
        <v>315</v>
      </c>
    </row>
    <row r="501" spans="3:3">
      <c r="C501" t="s">
        <v>274</v>
      </c>
    </row>
    <row r="502" spans="3:3">
      <c r="C502" t="s">
        <v>568</v>
      </c>
    </row>
    <row r="503" spans="3:3">
      <c r="C503" t="s">
        <v>674</v>
      </c>
    </row>
    <row r="504" spans="3:3">
      <c r="C504" t="s">
        <v>158</v>
      </c>
    </row>
    <row r="505" spans="3:3">
      <c r="C505" t="s">
        <v>592</v>
      </c>
    </row>
    <row r="506" spans="3:3">
      <c r="C506" t="s">
        <v>478</v>
      </c>
    </row>
    <row r="507" spans="3:3">
      <c r="C507" t="s">
        <v>612</v>
      </c>
    </row>
    <row r="508" spans="3:3">
      <c r="C508" t="s">
        <v>216</v>
      </c>
    </row>
    <row r="509" spans="3:3">
      <c r="C509" t="s">
        <v>217</v>
      </c>
    </row>
    <row r="510" spans="3:3">
      <c r="C510" t="s">
        <v>603</v>
      </c>
    </row>
    <row r="511" spans="3:3">
      <c r="C511" t="s">
        <v>294</v>
      </c>
    </row>
    <row r="512" spans="3:3">
      <c r="C512" t="s">
        <v>129</v>
      </c>
    </row>
    <row r="513" spans="3:3">
      <c r="C513" t="s">
        <v>616</v>
      </c>
    </row>
    <row r="514" spans="3:3">
      <c r="C514" t="s">
        <v>218</v>
      </c>
    </row>
    <row r="515" spans="3:3">
      <c r="C515" t="s">
        <v>523</v>
      </c>
    </row>
    <row r="516" spans="3:3">
      <c r="C516" t="s">
        <v>316</v>
      </c>
    </row>
    <row r="517" spans="3:3">
      <c r="C517" t="s">
        <v>115</v>
      </c>
    </row>
    <row r="518" spans="3:3">
      <c r="C518" t="s">
        <v>537</v>
      </c>
    </row>
    <row r="519" spans="3:3">
      <c r="C519" t="s">
        <v>101</v>
      </c>
    </row>
    <row r="520" spans="3:3">
      <c r="C520" t="s">
        <v>256</v>
      </c>
    </row>
    <row r="521" spans="3:3">
      <c r="C521" t="s">
        <v>642</v>
      </c>
    </row>
    <row r="522" spans="3:3">
      <c r="C522" t="s">
        <v>387</v>
      </c>
    </row>
    <row r="523" spans="3:3">
      <c r="C523" t="s">
        <v>593</v>
      </c>
    </row>
    <row r="524" spans="3:3">
      <c r="C524" t="s">
        <v>245</v>
      </c>
    </row>
    <row r="525" spans="3:3">
      <c r="C525" t="s">
        <v>648</v>
      </c>
    </row>
    <row r="526" spans="3:3">
      <c r="C526" t="s">
        <v>479</v>
      </c>
    </row>
    <row r="527" spans="3:3">
      <c r="C527" t="s">
        <v>237</v>
      </c>
    </row>
    <row r="528" spans="3:3">
      <c r="C528" t="s">
        <v>159</v>
      </c>
    </row>
    <row r="529" spans="3:3">
      <c r="C529" t="s">
        <v>656</v>
      </c>
    </row>
    <row r="530" spans="3:3">
      <c r="C530" t="s">
        <v>643</v>
      </c>
    </row>
    <row r="531" spans="3:3">
      <c r="C531" t="s">
        <v>458</v>
      </c>
    </row>
    <row r="532" spans="3:3">
      <c r="C532" t="s">
        <v>661</v>
      </c>
    </row>
    <row r="533" spans="3:3">
      <c r="C533" t="s">
        <v>663</v>
      </c>
    </row>
    <row r="534" spans="3:3">
      <c r="C534" t="s">
        <v>499</v>
      </c>
    </row>
    <row r="535" spans="3:3">
      <c r="C535" t="s">
        <v>160</v>
      </c>
    </row>
    <row r="536" spans="3:3">
      <c r="C536" t="s">
        <v>361</v>
      </c>
    </row>
    <row r="537" spans="3:3">
      <c r="C537" t="s">
        <v>699</v>
      </c>
    </row>
    <row r="538" spans="3:3">
      <c r="C538" t="s">
        <v>675</v>
      </c>
    </row>
    <row r="539" spans="3:3">
      <c r="C539" t="s">
        <v>644</v>
      </c>
    </row>
    <row r="540" spans="3:3">
      <c r="C540" t="s">
        <v>687</v>
      </c>
    </row>
    <row r="541" spans="3:3">
      <c r="C541" t="s">
        <v>238</v>
      </c>
    </row>
    <row r="542" spans="3:3">
      <c r="C542" t="s">
        <v>677</v>
      </c>
    </row>
    <row r="543" spans="3:3">
      <c r="C543" t="s">
        <v>192</v>
      </c>
    </row>
    <row r="544" spans="3:3">
      <c r="C544" t="s">
        <v>183</v>
      </c>
    </row>
    <row r="545" spans="3:3">
      <c r="C545" t="s">
        <v>308</v>
      </c>
    </row>
    <row r="546" spans="3:3">
      <c r="C546" t="s">
        <v>480</v>
      </c>
    </row>
    <row r="547" spans="3:3">
      <c r="C547" t="s">
        <v>715</v>
      </c>
    </row>
    <row r="548" spans="3:3">
      <c r="C548" t="s">
        <v>524</v>
      </c>
    </row>
    <row r="549" spans="3:3">
      <c r="C549" t="s">
        <v>688</v>
      </c>
    </row>
    <row r="550" spans="3:3">
      <c r="C550" t="s">
        <v>130</v>
      </c>
    </row>
    <row r="551" spans="3:3">
      <c r="C551" t="s">
        <v>275</v>
      </c>
    </row>
    <row r="552" spans="3:3">
      <c r="C552" t="s">
        <v>449</v>
      </c>
    </row>
    <row r="553" spans="3:3">
      <c r="C553" t="s">
        <v>329</v>
      </c>
    </row>
    <row r="554" spans="3:3">
      <c r="C554" t="s">
        <v>431</v>
      </c>
    </row>
    <row r="555" spans="3:3">
      <c r="C555" t="s">
        <v>509</v>
      </c>
    </row>
    <row r="556" spans="3:3">
      <c r="C556" t="s">
        <v>525</v>
      </c>
    </row>
    <row r="557" spans="3:3">
      <c r="C557" t="s">
        <v>601</v>
      </c>
    </row>
    <row r="558" spans="3:3">
      <c r="C558" t="s">
        <v>645</v>
      </c>
    </row>
    <row r="559" spans="3:3">
      <c r="C559" t="s">
        <v>692</v>
      </c>
    </row>
    <row r="560" spans="3:3">
      <c r="C560" t="s">
        <v>569</v>
      </c>
    </row>
    <row r="561" spans="3:3">
      <c r="C561" t="s">
        <v>689</v>
      </c>
    </row>
    <row r="562" spans="3:3">
      <c r="C562" t="s">
        <v>716</v>
      </c>
    </row>
    <row r="563" spans="3:3">
      <c r="C563" t="s">
        <v>723</v>
      </c>
    </row>
    <row r="564" spans="3:3">
      <c r="C564" t="s">
        <v>526</v>
      </c>
    </row>
    <row r="565" spans="3:3">
      <c r="C565" t="s">
        <v>646</v>
      </c>
    </row>
    <row r="566" spans="3:3">
      <c r="C566" t="s">
        <v>317</v>
      </c>
    </row>
    <row r="567" spans="3:3">
      <c r="C567" t="s">
        <v>570</v>
      </c>
    </row>
    <row r="568" spans="3:3">
      <c r="C568" t="s">
        <v>500</v>
      </c>
    </row>
    <row r="569" spans="3:3">
      <c r="C569" t="s">
        <v>700</v>
      </c>
    </row>
    <row r="570" spans="3:3">
      <c r="C570" t="s">
        <v>501</v>
      </c>
    </row>
    <row r="571" spans="3:3">
      <c r="C571" t="s">
        <v>702</v>
      </c>
    </row>
    <row r="572" spans="3:3">
      <c r="C572" t="s">
        <v>184</v>
      </c>
    </row>
    <row r="573" spans="3:3">
      <c r="C573" t="s">
        <v>719</v>
      </c>
    </row>
    <row r="574" spans="3:3">
      <c r="C574" t="s">
        <v>690</v>
      </c>
    </row>
    <row r="575" spans="3:3">
      <c r="C575" t="s">
        <v>571</v>
      </c>
    </row>
    <row r="576" spans="3:3">
      <c r="C576" t="s">
        <v>527</v>
      </c>
    </row>
    <row r="577" spans="3:3">
      <c r="C577" t="s">
        <v>161</v>
      </c>
    </row>
    <row r="578" spans="3:3">
      <c r="C578" t="s">
        <v>116</v>
      </c>
    </row>
    <row r="579" spans="3:3">
      <c r="C579" t="s">
        <v>450</v>
      </c>
    </row>
    <row r="580" spans="3:3">
      <c r="C580" t="s">
        <v>613</v>
      </c>
    </row>
    <row r="581" spans="3:3">
      <c r="C581" t="s">
        <v>614</v>
      </c>
    </row>
    <row r="582" spans="3:3">
      <c r="C582" t="s">
        <v>388</v>
      </c>
    </row>
    <row r="583" spans="3:3">
      <c r="C583" t="s">
        <v>717</v>
      </c>
    </row>
    <row r="584" spans="3:3">
      <c r="C584" t="s">
        <v>481</v>
      </c>
    </row>
    <row r="585" spans="3:3">
      <c r="C585" t="s">
        <v>389</v>
      </c>
    </row>
    <row r="586" spans="3:3">
      <c r="C586" t="s">
        <v>594</v>
      </c>
    </row>
    <row r="587" spans="3:3">
      <c r="C587" t="s">
        <v>595</v>
      </c>
    </row>
    <row r="588" spans="3:3">
      <c r="C588" t="s">
        <v>390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801"/>
  <sheetViews>
    <sheetView topLeftCell="A4" workbookViewId="0">
      <selection activeCell="F432" sqref="F432"/>
    </sheetView>
  </sheetViews>
  <sheetFormatPr defaultColWidth="8.7109375" defaultRowHeight="15"/>
  <cols>
    <col min="1" max="1" width="10" customWidth="1"/>
    <col min="2" max="2" width="12" customWidth="1"/>
    <col min="3" max="3" width="8" customWidth="1"/>
    <col min="4" max="4" width="18" customWidth="1"/>
  </cols>
  <sheetData>
    <row r="1" spans="1:4">
      <c r="A1" s="2" t="s">
        <v>2028</v>
      </c>
      <c r="B1" s="2" t="s">
        <v>2044</v>
      </c>
      <c r="C1" s="2" t="s">
        <v>2029</v>
      </c>
      <c r="D1" s="2" t="s">
        <v>2045</v>
      </c>
    </row>
    <row r="2" spans="1:4">
      <c r="A2" t="s">
        <v>762</v>
      </c>
      <c r="B2" t="s">
        <v>750</v>
      </c>
      <c r="C2">
        <v>0</v>
      </c>
      <c r="D2">
        <v>75.819999999999993</v>
      </c>
    </row>
    <row r="3" spans="1:4">
      <c r="A3" t="s">
        <v>762</v>
      </c>
      <c r="B3" t="s">
        <v>750</v>
      </c>
      <c r="C3">
        <v>1</v>
      </c>
      <c r="D3">
        <v>75.28</v>
      </c>
    </row>
    <row r="4" spans="1:4">
      <c r="A4" t="s">
        <v>762</v>
      </c>
      <c r="B4" t="s">
        <v>750</v>
      </c>
      <c r="C4">
        <v>2</v>
      </c>
      <c r="D4">
        <v>74.31</v>
      </c>
    </row>
    <row r="5" spans="1:4">
      <c r="A5" t="s">
        <v>762</v>
      </c>
      <c r="B5" t="s">
        <v>750</v>
      </c>
      <c r="C5">
        <v>3</v>
      </c>
      <c r="D5">
        <v>73.34</v>
      </c>
    </row>
    <row r="6" spans="1:4">
      <c r="A6" t="s">
        <v>762</v>
      </c>
      <c r="B6" t="s">
        <v>750</v>
      </c>
      <c r="C6">
        <v>4</v>
      </c>
      <c r="D6">
        <v>72.349999999999994</v>
      </c>
    </row>
    <row r="7" spans="1:4">
      <c r="A7" t="s">
        <v>762</v>
      </c>
      <c r="B7" t="s">
        <v>750</v>
      </c>
      <c r="C7">
        <v>5</v>
      </c>
      <c r="D7">
        <v>71.37</v>
      </c>
    </row>
    <row r="8" spans="1:4">
      <c r="A8" t="s">
        <v>762</v>
      </c>
      <c r="B8" t="s">
        <v>750</v>
      </c>
      <c r="C8">
        <v>6</v>
      </c>
      <c r="D8">
        <v>70.38</v>
      </c>
    </row>
    <row r="9" spans="1:4">
      <c r="A9" t="s">
        <v>762</v>
      </c>
      <c r="B9" t="s">
        <v>750</v>
      </c>
      <c r="C9">
        <v>7</v>
      </c>
      <c r="D9">
        <v>69.39</v>
      </c>
    </row>
    <row r="10" spans="1:4">
      <c r="A10" t="s">
        <v>762</v>
      </c>
      <c r="B10" t="s">
        <v>750</v>
      </c>
      <c r="C10">
        <v>8</v>
      </c>
      <c r="D10">
        <v>68.400000000000006</v>
      </c>
    </row>
    <row r="11" spans="1:4">
      <c r="A11" t="s">
        <v>762</v>
      </c>
      <c r="B11" t="s">
        <v>750</v>
      </c>
      <c r="C11">
        <v>9</v>
      </c>
      <c r="D11">
        <v>67.41</v>
      </c>
    </row>
    <row r="12" spans="1:4">
      <c r="A12" t="s">
        <v>762</v>
      </c>
      <c r="B12" t="s">
        <v>750</v>
      </c>
      <c r="C12">
        <v>10</v>
      </c>
      <c r="D12">
        <v>66.41</v>
      </c>
    </row>
    <row r="13" spans="1:4">
      <c r="A13" t="s">
        <v>762</v>
      </c>
      <c r="B13" t="s">
        <v>750</v>
      </c>
      <c r="C13">
        <v>11</v>
      </c>
      <c r="D13">
        <v>65.42</v>
      </c>
    </row>
    <row r="14" spans="1:4">
      <c r="A14" t="s">
        <v>762</v>
      </c>
      <c r="B14" t="s">
        <v>750</v>
      </c>
      <c r="C14">
        <v>12</v>
      </c>
      <c r="D14">
        <v>64.430000000000007</v>
      </c>
    </row>
    <row r="15" spans="1:4">
      <c r="A15" t="s">
        <v>762</v>
      </c>
      <c r="B15" t="s">
        <v>750</v>
      </c>
      <c r="C15">
        <v>13</v>
      </c>
      <c r="D15">
        <v>63.44</v>
      </c>
    </row>
    <row r="16" spans="1:4">
      <c r="A16" t="s">
        <v>762</v>
      </c>
      <c r="B16" t="s">
        <v>750</v>
      </c>
      <c r="C16">
        <v>14</v>
      </c>
      <c r="D16">
        <v>62.45</v>
      </c>
    </row>
    <row r="17" spans="1:4">
      <c r="A17" t="s">
        <v>762</v>
      </c>
      <c r="B17" t="s">
        <v>750</v>
      </c>
      <c r="C17">
        <v>15</v>
      </c>
      <c r="D17">
        <v>61.48</v>
      </c>
    </row>
    <row r="18" spans="1:4">
      <c r="A18" t="s">
        <v>762</v>
      </c>
      <c r="B18" t="s">
        <v>750</v>
      </c>
      <c r="C18">
        <v>16</v>
      </c>
      <c r="D18">
        <v>60.51</v>
      </c>
    </row>
    <row r="19" spans="1:4">
      <c r="A19" t="s">
        <v>762</v>
      </c>
      <c r="B19" t="s">
        <v>750</v>
      </c>
      <c r="C19">
        <v>17</v>
      </c>
      <c r="D19">
        <v>59.55</v>
      </c>
    </row>
    <row r="20" spans="1:4">
      <c r="A20" t="s">
        <v>762</v>
      </c>
      <c r="B20" t="s">
        <v>750</v>
      </c>
      <c r="C20">
        <v>18</v>
      </c>
      <c r="D20">
        <v>58.6</v>
      </c>
    </row>
    <row r="21" spans="1:4">
      <c r="A21" t="s">
        <v>762</v>
      </c>
      <c r="B21" t="s">
        <v>750</v>
      </c>
      <c r="C21">
        <v>19</v>
      </c>
      <c r="D21">
        <v>57.66</v>
      </c>
    </row>
    <row r="22" spans="1:4">
      <c r="A22" t="s">
        <v>762</v>
      </c>
      <c r="B22" t="s">
        <v>750</v>
      </c>
      <c r="C22">
        <v>20</v>
      </c>
      <c r="D22">
        <v>56.72</v>
      </c>
    </row>
    <row r="23" spans="1:4">
      <c r="A23" t="s">
        <v>762</v>
      </c>
      <c r="B23" t="s">
        <v>750</v>
      </c>
      <c r="C23">
        <v>21</v>
      </c>
      <c r="D23">
        <v>55.78</v>
      </c>
    </row>
    <row r="24" spans="1:4">
      <c r="A24" t="s">
        <v>762</v>
      </c>
      <c r="B24" t="s">
        <v>750</v>
      </c>
      <c r="C24">
        <v>22</v>
      </c>
      <c r="D24">
        <v>54.86</v>
      </c>
    </row>
    <row r="25" spans="1:4">
      <c r="A25" t="s">
        <v>762</v>
      </c>
      <c r="B25" t="s">
        <v>750</v>
      </c>
      <c r="C25">
        <v>23</v>
      </c>
      <c r="D25">
        <v>53.93</v>
      </c>
    </row>
    <row r="26" spans="1:4">
      <c r="A26" t="s">
        <v>762</v>
      </c>
      <c r="B26" t="s">
        <v>750</v>
      </c>
      <c r="C26">
        <v>24</v>
      </c>
      <c r="D26">
        <v>53.01</v>
      </c>
    </row>
    <row r="27" spans="1:4">
      <c r="A27" t="s">
        <v>762</v>
      </c>
      <c r="B27" t="s">
        <v>750</v>
      </c>
      <c r="C27">
        <v>25</v>
      </c>
      <c r="D27">
        <v>52.09</v>
      </c>
    </row>
    <row r="28" spans="1:4">
      <c r="A28" t="s">
        <v>762</v>
      </c>
      <c r="B28" t="s">
        <v>750</v>
      </c>
      <c r="C28">
        <v>26</v>
      </c>
      <c r="D28">
        <v>51.18</v>
      </c>
    </row>
    <row r="29" spans="1:4">
      <c r="A29" t="s">
        <v>762</v>
      </c>
      <c r="B29" t="s">
        <v>750</v>
      </c>
      <c r="C29">
        <v>27</v>
      </c>
      <c r="D29">
        <v>50.26</v>
      </c>
    </row>
    <row r="30" spans="1:4">
      <c r="A30" t="s">
        <v>762</v>
      </c>
      <c r="B30" t="s">
        <v>750</v>
      </c>
      <c r="C30">
        <v>28</v>
      </c>
      <c r="D30">
        <v>49.35</v>
      </c>
    </row>
    <row r="31" spans="1:4">
      <c r="A31" t="s">
        <v>762</v>
      </c>
      <c r="B31" t="s">
        <v>750</v>
      </c>
      <c r="C31">
        <v>29</v>
      </c>
      <c r="D31">
        <v>48.44</v>
      </c>
    </row>
    <row r="32" spans="1:4">
      <c r="A32" t="s">
        <v>762</v>
      </c>
      <c r="B32" t="s">
        <v>750</v>
      </c>
      <c r="C32">
        <v>30</v>
      </c>
      <c r="D32">
        <v>47.54</v>
      </c>
    </row>
    <row r="33" spans="1:4">
      <c r="A33" t="s">
        <v>762</v>
      </c>
      <c r="B33" t="s">
        <v>750</v>
      </c>
      <c r="C33">
        <v>31</v>
      </c>
      <c r="D33">
        <v>46.64</v>
      </c>
    </row>
    <row r="34" spans="1:4">
      <c r="A34" t="s">
        <v>762</v>
      </c>
      <c r="B34" t="s">
        <v>750</v>
      </c>
      <c r="C34">
        <v>32</v>
      </c>
      <c r="D34">
        <v>45.74</v>
      </c>
    </row>
    <row r="35" spans="1:4">
      <c r="A35" t="s">
        <v>762</v>
      </c>
      <c r="B35" t="s">
        <v>750</v>
      </c>
      <c r="C35">
        <v>33</v>
      </c>
      <c r="D35">
        <v>44.85</v>
      </c>
    </row>
    <row r="36" spans="1:4">
      <c r="A36" t="s">
        <v>762</v>
      </c>
      <c r="B36" t="s">
        <v>750</v>
      </c>
      <c r="C36">
        <v>34</v>
      </c>
      <c r="D36">
        <v>43.96</v>
      </c>
    </row>
    <row r="37" spans="1:4">
      <c r="A37" t="s">
        <v>762</v>
      </c>
      <c r="B37" t="s">
        <v>750</v>
      </c>
      <c r="C37">
        <v>35</v>
      </c>
      <c r="D37">
        <v>43.07</v>
      </c>
    </row>
    <row r="38" spans="1:4">
      <c r="A38" t="s">
        <v>762</v>
      </c>
      <c r="B38" t="s">
        <v>750</v>
      </c>
      <c r="C38">
        <v>36</v>
      </c>
      <c r="D38">
        <v>42.18</v>
      </c>
    </row>
    <row r="39" spans="1:4">
      <c r="A39" t="s">
        <v>762</v>
      </c>
      <c r="B39" t="s">
        <v>750</v>
      </c>
      <c r="C39">
        <v>37</v>
      </c>
      <c r="D39">
        <v>41.29</v>
      </c>
    </row>
    <row r="40" spans="1:4">
      <c r="A40" t="s">
        <v>762</v>
      </c>
      <c r="B40" t="s">
        <v>750</v>
      </c>
      <c r="C40">
        <v>38</v>
      </c>
      <c r="D40">
        <v>40.4</v>
      </c>
    </row>
    <row r="41" spans="1:4">
      <c r="A41" t="s">
        <v>762</v>
      </c>
      <c r="B41" t="s">
        <v>750</v>
      </c>
      <c r="C41">
        <v>39</v>
      </c>
      <c r="D41">
        <v>39.520000000000003</v>
      </c>
    </row>
    <row r="42" spans="1:4">
      <c r="A42" t="s">
        <v>762</v>
      </c>
      <c r="B42" t="s">
        <v>750</v>
      </c>
      <c r="C42">
        <v>40</v>
      </c>
      <c r="D42">
        <v>38.64</v>
      </c>
    </row>
    <row r="43" spans="1:4">
      <c r="A43" t="s">
        <v>762</v>
      </c>
      <c r="B43" t="s">
        <v>750</v>
      </c>
      <c r="C43">
        <v>41</v>
      </c>
      <c r="D43">
        <v>37.76</v>
      </c>
    </row>
    <row r="44" spans="1:4">
      <c r="A44" t="s">
        <v>762</v>
      </c>
      <c r="B44" t="s">
        <v>750</v>
      </c>
      <c r="C44">
        <v>42</v>
      </c>
      <c r="D44">
        <v>36.880000000000003</v>
      </c>
    </row>
    <row r="45" spans="1:4">
      <c r="A45" t="s">
        <v>762</v>
      </c>
      <c r="B45" t="s">
        <v>750</v>
      </c>
      <c r="C45">
        <v>43</v>
      </c>
      <c r="D45">
        <v>36.01</v>
      </c>
    </row>
    <row r="46" spans="1:4">
      <c r="A46" t="s">
        <v>762</v>
      </c>
      <c r="B46" t="s">
        <v>750</v>
      </c>
      <c r="C46">
        <v>44</v>
      </c>
      <c r="D46">
        <v>35.14</v>
      </c>
    </row>
    <row r="47" spans="1:4">
      <c r="A47" t="s">
        <v>762</v>
      </c>
      <c r="B47" t="s">
        <v>750</v>
      </c>
      <c r="C47">
        <v>45</v>
      </c>
      <c r="D47">
        <v>34.270000000000003</v>
      </c>
    </row>
    <row r="48" spans="1:4">
      <c r="A48" t="s">
        <v>762</v>
      </c>
      <c r="B48" t="s">
        <v>750</v>
      </c>
      <c r="C48">
        <v>46</v>
      </c>
      <c r="D48">
        <v>33.4</v>
      </c>
    </row>
    <row r="49" spans="1:4">
      <c r="A49" t="s">
        <v>762</v>
      </c>
      <c r="B49" t="s">
        <v>750</v>
      </c>
      <c r="C49">
        <v>47</v>
      </c>
      <c r="D49">
        <v>32.53</v>
      </c>
    </row>
    <row r="50" spans="1:4">
      <c r="A50" t="s">
        <v>762</v>
      </c>
      <c r="B50" t="s">
        <v>750</v>
      </c>
      <c r="C50">
        <v>48</v>
      </c>
      <c r="D50">
        <v>31.67</v>
      </c>
    </row>
    <row r="51" spans="1:4">
      <c r="A51" t="s">
        <v>762</v>
      </c>
      <c r="B51" t="s">
        <v>750</v>
      </c>
      <c r="C51">
        <v>49</v>
      </c>
      <c r="D51">
        <v>30.81</v>
      </c>
    </row>
    <row r="52" spans="1:4">
      <c r="A52" t="s">
        <v>762</v>
      </c>
      <c r="B52" t="s">
        <v>750</v>
      </c>
      <c r="C52">
        <v>50</v>
      </c>
      <c r="D52">
        <v>29.96</v>
      </c>
    </row>
    <row r="53" spans="1:4">
      <c r="A53" t="s">
        <v>762</v>
      </c>
      <c r="B53" t="s">
        <v>750</v>
      </c>
      <c r="C53">
        <v>51</v>
      </c>
      <c r="D53">
        <v>29.11</v>
      </c>
    </row>
    <row r="54" spans="1:4">
      <c r="A54" t="s">
        <v>762</v>
      </c>
      <c r="B54" t="s">
        <v>750</v>
      </c>
      <c r="C54">
        <v>52</v>
      </c>
      <c r="D54">
        <v>28.27</v>
      </c>
    </row>
    <row r="55" spans="1:4">
      <c r="A55" t="s">
        <v>762</v>
      </c>
      <c r="B55" t="s">
        <v>750</v>
      </c>
      <c r="C55">
        <v>53</v>
      </c>
      <c r="D55">
        <v>27.44</v>
      </c>
    </row>
    <row r="56" spans="1:4">
      <c r="A56" t="s">
        <v>762</v>
      </c>
      <c r="B56" t="s">
        <v>750</v>
      </c>
      <c r="C56">
        <v>54</v>
      </c>
      <c r="D56">
        <v>26.61</v>
      </c>
    </row>
    <row r="57" spans="1:4">
      <c r="A57" t="s">
        <v>762</v>
      </c>
      <c r="B57" t="s">
        <v>750</v>
      </c>
      <c r="C57">
        <v>55</v>
      </c>
      <c r="D57">
        <v>25.8</v>
      </c>
    </row>
    <row r="58" spans="1:4">
      <c r="A58" t="s">
        <v>762</v>
      </c>
      <c r="B58" t="s">
        <v>750</v>
      </c>
      <c r="C58">
        <v>56</v>
      </c>
      <c r="D58">
        <v>24.99</v>
      </c>
    </row>
    <row r="59" spans="1:4">
      <c r="A59" t="s">
        <v>762</v>
      </c>
      <c r="B59" t="s">
        <v>750</v>
      </c>
      <c r="C59">
        <v>57</v>
      </c>
      <c r="D59">
        <v>24.19</v>
      </c>
    </row>
    <row r="60" spans="1:4">
      <c r="A60" t="s">
        <v>762</v>
      </c>
      <c r="B60" t="s">
        <v>750</v>
      </c>
      <c r="C60">
        <v>58</v>
      </c>
      <c r="D60">
        <v>23.4</v>
      </c>
    </row>
    <row r="61" spans="1:4">
      <c r="A61" t="s">
        <v>762</v>
      </c>
      <c r="B61" t="s">
        <v>750</v>
      </c>
      <c r="C61">
        <v>59</v>
      </c>
      <c r="D61">
        <v>22.63</v>
      </c>
    </row>
    <row r="62" spans="1:4">
      <c r="A62" t="s">
        <v>762</v>
      </c>
      <c r="B62" t="s">
        <v>750</v>
      </c>
      <c r="C62">
        <v>60</v>
      </c>
      <c r="D62">
        <v>21.87</v>
      </c>
    </row>
    <row r="63" spans="1:4">
      <c r="A63" t="s">
        <v>762</v>
      </c>
      <c r="B63" t="s">
        <v>750</v>
      </c>
      <c r="C63">
        <v>61</v>
      </c>
      <c r="D63">
        <v>21.11</v>
      </c>
    </row>
    <row r="64" spans="1:4">
      <c r="A64" t="s">
        <v>762</v>
      </c>
      <c r="B64" t="s">
        <v>750</v>
      </c>
      <c r="C64">
        <v>62</v>
      </c>
      <c r="D64">
        <v>20.37</v>
      </c>
    </row>
    <row r="65" spans="1:4">
      <c r="A65" t="s">
        <v>762</v>
      </c>
      <c r="B65" t="s">
        <v>750</v>
      </c>
      <c r="C65">
        <v>63</v>
      </c>
      <c r="D65">
        <v>19.64</v>
      </c>
    </row>
    <row r="66" spans="1:4">
      <c r="A66" t="s">
        <v>762</v>
      </c>
      <c r="B66" t="s">
        <v>750</v>
      </c>
      <c r="C66">
        <v>64</v>
      </c>
      <c r="D66">
        <v>18.91</v>
      </c>
    </row>
    <row r="67" spans="1:4">
      <c r="A67" t="s">
        <v>762</v>
      </c>
      <c r="B67" t="s">
        <v>750</v>
      </c>
      <c r="C67">
        <v>65</v>
      </c>
      <c r="D67">
        <v>18.190000000000001</v>
      </c>
    </row>
    <row r="68" spans="1:4">
      <c r="A68" t="s">
        <v>762</v>
      </c>
      <c r="B68" t="s">
        <v>750</v>
      </c>
      <c r="C68">
        <v>66</v>
      </c>
      <c r="D68">
        <v>17.489999999999998</v>
      </c>
    </row>
    <row r="69" spans="1:4">
      <c r="A69" t="s">
        <v>762</v>
      </c>
      <c r="B69" t="s">
        <v>750</v>
      </c>
      <c r="C69">
        <v>67</v>
      </c>
      <c r="D69">
        <v>16.79</v>
      </c>
    </row>
    <row r="70" spans="1:4">
      <c r="A70" t="s">
        <v>762</v>
      </c>
      <c r="B70" t="s">
        <v>750</v>
      </c>
      <c r="C70">
        <v>68</v>
      </c>
      <c r="D70">
        <v>16.100000000000001</v>
      </c>
    </row>
    <row r="71" spans="1:4">
      <c r="A71" t="s">
        <v>762</v>
      </c>
      <c r="B71" t="s">
        <v>750</v>
      </c>
      <c r="C71">
        <v>69</v>
      </c>
      <c r="D71">
        <v>15.42</v>
      </c>
    </row>
    <row r="72" spans="1:4">
      <c r="A72" t="s">
        <v>762</v>
      </c>
      <c r="B72" t="s">
        <v>750</v>
      </c>
      <c r="C72">
        <v>70</v>
      </c>
      <c r="D72">
        <v>14.74</v>
      </c>
    </row>
    <row r="73" spans="1:4">
      <c r="A73" t="s">
        <v>762</v>
      </c>
      <c r="B73" t="s">
        <v>750</v>
      </c>
      <c r="C73">
        <v>71</v>
      </c>
      <c r="D73">
        <v>14.07</v>
      </c>
    </row>
    <row r="74" spans="1:4">
      <c r="A74" t="s">
        <v>762</v>
      </c>
      <c r="B74" t="s">
        <v>750</v>
      </c>
      <c r="C74">
        <v>72</v>
      </c>
      <c r="D74">
        <v>13.41</v>
      </c>
    </row>
    <row r="75" spans="1:4">
      <c r="A75" t="s">
        <v>762</v>
      </c>
      <c r="B75" t="s">
        <v>750</v>
      </c>
      <c r="C75">
        <v>73</v>
      </c>
      <c r="D75">
        <v>12.76</v>
      </c>
    </row>
    <row r="76" spans="1:4">
      <c r="A76" t="s">
        <v>762</v>
      </c>
      <c r="B76" t="s">
        <v>750</v>
      </c>
      <c r="C76">
        <v>74</v>
      </c>
      <c r="D76">
        <v>12.11</v>
      </c>
    </row>
    <row r="77" spans="1:4">
      <c r="A77" t="s">
        <v>762</v>
      </c>
      <c r="B77" t="s">
        <v>750</v>
      </c>
      <c r="C77">
        <v>75</v>
      </c>
      <c r="D77">
        <v>11.48</v>
      </c>
    </row>
    <row r="78" spans="1:4">
      <c r="A78" t="s">
        <v>762</v>
      </c>
      <c r="B78" t="s">
        <v>750</v>
      </c>
      <c r="C78">
        <v>76</v>
      </c>
      <c r="D78">
        <v>10.86</v>
      </c>
    </row>
    <row r="79" spans="1:4">
      <c r="A79" t="s">
        <v>762</v>
      </c>
      <c r="B79" t="s">
        <v>750</v>
      </c>
      <c r="C79">
        <v>77</v>
      </c>
      <c r="D79">
        <v>10.25</v>
      </c>
    </row>
    <row r="80" spans="1:4">
      <c r="A80" t="s">
        <v>762</v>
      </c>
      <c r="B80" t="s">
        <v>750</v>
      </c>
      <c r="C80">
        <v>78</v>
      </c>
      <c r="D80">
        <v>9.66</v>
      </c>
    </row>
    <row r="81" spans="1:4">
      <c r="A81" t="s">
        <v>762</v>
      </c>
      <c r="B81" t="s">
        <v>750</v>
      </c>
      <c r="C81">
        <v>79</v>
      </c>
      <c r="D81">
        <v>9.09</v>
      </c>
    </row>
    <row r="82" spans="1:4">
      <c r="A82" t="s">
        <v>762</v>
      </c>
      <c r="B82" t="s">
        <v>750</v>
      </c>
      <c r="C82">
        <v>80</v>
      </c>
      <c r="D82">
        <v>8.5299999999999994</v>
      </c>
    </row>
    <row r="83" spans="1:4">
      <c r="A83" t="s">
        <v>762</v>
      </c>
      <c r="B83" t="s">
        <v>750</v>
      </c>
      <c r="C83">
        <v>81</v>
      </c>
      <c r="D83">
        <v>7.99</v>
      </c>
    </row>
    <row r="84" spans="1:4">
      <c r="A84" t="s">
        <v>762</v>
      </c>
      <c r="B84" t="s">
        <v>750</v>
      </c>
      <c r="C84">
        <v>82</v>
      </c>
      <c r="D84">
        <v>7.48</v>
      </c>
    </row>
    <row r="85" spans="1:4">
      <c r="A85" t="s">
        <v>762</v>
      </c>
      <c r="B85" t="s">
        <v>750</v>
      </c>
      <c r="C85">
        <v>83</v>
      </c>
      <c r="D85">
        <v>6.99</v>
      </c>
    </row>
    <row r="86" spans="1:4">
      <c r="A86" t="s">
        <v>762</v>
      </c>
      <c r="B86" t="s">
        <v>750</v>
      </c>
      <c r="C86">
        <v>84</v>
      </c>
      <c r="D86">
        <v>6.52</v>
      </c>
    </row>
    <row r="87" spans="1:4">
      <c r="A87" t="s">
        <v>762</v>
      </c>
      <c r="B87" t="s">
        <v>750</v>
      </c>
      <c r="C87">
        <v>85</v>
      </c>
      <c r="D87">
        <v>6.06</v>
      </c>
    </row>
    <row r="88" spans="1:4">
      <c r="A88" t="s">
        <v>762</v>
      </c>
      <c r="B88" t="s">
        <v>750</v>
      </c>
      <c r="C88">
        <v>86</v>
      </c>
      <c r="D88">
        <v>5.62</v>
      </c>
    </row>
    <row r="89" spans="1:4">
      <c r="A89" t="s">
        <v>762</v>
      </c>
      <c r="B89" t="s">
        <v>750</v>
      </c>
      <c r="C89">
        <v>87</v>
      </c>
      <c r="D89">
        <v>5.21</v>
      </c>
    </row>
    <row r="90" spans="1:4">
      <c r="A90" t="s">
        <v>762</v>
      </c>
      <c r="B90" t="s">
        <v>750</v>
      </c>
      <c r="C90">
        <v>88</v>
      </c>
      <c r="D90">
        <v>4.83</v>
      </c>
    </row>
    <row r="91" spans="1:4">
      <c r="A91" t="s">
        <v>762</v>
      </c>
      <c r="B91" t="s">
        <v>750</v>
      </c>
      <c r="C91">
        <v>89</v>
      </c>
      <c r="D91">
        <v>4.47</v>
      </c>
    </row>
    <row r="92" spans="1:4">
      <c r="A92" t="s">
        <v>762</v>
      </c>
      <c r="B92" t="s">
        <v>750</v>
      </c>
      <c r="C92">
        <v>90</v>
      </c>
      <c r="D92">
        <v>4.1399999999999997</v>
      </c>
    </row>
    <row r="93" spans="1:4">
      <c r="A93" t="s">
        <v>762</v>
      </c>
      <c r="B93" t="s">
        <v>750</v>
      </c>
      <c r="C93">
        <v>91</v>
      </c>
      <c r="D93">
        <v>3.83</v>
      </c>
    </row>
    <row r="94" spans="1:4">
      <c r="A94" t="s">
        <v>762</v>
      </c>
      <c r="B94" t="s">
        <v>750</v>
      </c>
      <c r="C94">
        <v>92</v>
      </c>
      <c r="D94">
        <v>3.54</v>
      </c>
    </row>
    <row r="95" spans="1:4">
      <c r="A95" t="s">
        <v>762</v>
      </c>
      <c r="B95" t="s">
        <v>750</v>
      </c>
      <c r="C95">
        <v>93</v>
      </c>
      <c r="D95">
        <v>3.28</v>
      </c>
    </row>
    <row r="96" spans="1:4">
      <c r="A96" t="s">
        <v>762</v>
      </c>
      <c r="B96" t="s">
        <v>750</v>
      </c>
      <c r="C96">
        <v>94</v>
      </c>
      <c r="D96">
        <v>3.05</v>
      </c>
    </row>
    <row r="97" spans="1:4">
      <c r="A97" t="s">
        <v>762</v>
      </c>
      <c r="B97" t="s">
        <v>750</v>
      </c>
      <c r="C97">
        <v>95</v>
      </c>
      <c r="D97">
        <v>2.83</v>
      </c>
    </row>
    <row r="98" spans="1:4">
      <c r="A98" t="s">
        <v>762</v>
      </c>
      <c r="B98" t="s">
        <v>750</v>
      </c>
      <c r="C98">
        <v>96</v>
      </c>
      <c r="D98">
        <v>2.63</v>
      </c>
    </row>
    <row r="99" spans="1:4">
      <c r="A99" t="s">
        <v>762</v>
      </c>
      <c r="B99" t="s">
        <v>750</v>
      </c>
      <c r="C99">
        <v>97</v>
      </c>
      <c r="D99">
        <v>2.4500000000000002</v>
      </c>
    </row>
    <row r="100" spans="1:4">
      <c r="A100" t="s">
        <v>762</v>
      </c>
      <c r="B100" t="s">
        <v>750</v>
      </c>
      <c r="C100">
        <v>98</v>
      </c>
      <c r="D100">
        <v>2.29</v>
      </c>
    </row>
    <row r="101" spans="1:4">
      <c r="A101" t="s">
        <v>762</v>
      </c>
      <c r="B101" t="s">
        <v>750</v>
      </c>
      <c r="C101">
        <v>99</v>
      </c>
      <c r="D101">
        <v>2.14</v>
      </c>
    </row>
    <row r="102" spans="1:4">
      <c r="A102" t="s">
        <v>746</v>
      </c>
      <c r="B102" t="s">
        <v>750</v>
      </c>
      <c r="C102">
        <v>0</v>
      </c>
      <c r="D102">
        <v>81.08</v>
      </c>
    </row>
    <row r="103" spans="1:4">
      <c r="A103" t="s">
        <v>746</v>
      </c>
      <c r="B103" t="s">
        <v>750</v>
      </c>
      <c r="C103">
        <v>1</v>
      </c>
      <c r="D103">
        <v>80.5</v>
      </c>
    </row>
    <row r="104" spans="1:4">
      <c r="A104" t="s">
        <v>746</v>
      </c>
      <c r="B104" t="s">
        <v>750</v>
      </c>
      <c r="C104">
        <v>2</v>
      </c>
      <c r="D104">
        <v>79.53</v>
      </c>
    </row>
    <row r="105" spans="1:4">
      <c r="A105" t="s">
        <v>746</v>
      </c>
      <c r="B105" t="s">
        <v>750</v>
      </c>
      <c r="C105">
        <v>3</v>
      </c>
      <c r="D105">
        <v>78.55</v>
      </c>
    </row>
    <row r="106" spans="1:4">
      <c r="A106" t="s">
        <v>746</v>
      </c>
      <c r="B106" t="s">
        <v>750</v>
      </c>
      <c r="C106">
        <v>4</v>
      </c>
      <c r="D106">
        <v>77.56</v>
      </c>
    </row>
    <row r="107" spans="1:4">
      <c r="A107" t="s">
        <v>746</v>
      </c>
      <c r="B107" t="s">
        <v>750</v>
      </c>
      <c r="C107">
        <v>5</v>
      </c>
      <c r="D107">
        <v>76.569999999999993</v>
      </c>
    </row>
    <row r="108" spans="1:4">
      <c r="A108" t="s">
        <v>746</v>
      </c>
      <c r="B108" t="s">
        <v>750</v>
      </c>
      <c r="C108">
        <v>6</v>
      </c>
      <c r="D108">
        <v>75.58</v>
      </c>
    </row>
    <row r="109" spans="1:4">
      <c r="A109" t="s">
        <v>746</v>
      </c>
      <c r="B109" t="s">
        <v>750</v>
      </c>
      <c r="C109">
        <v>7</v>
      </c>
      <c r="D109">
        <v>74.59</v>
      </c>
    </row>
    <row r="110" spans="1:4">
      <c r="A110" t="s">
        <v>746</v>
      </c>
      <c r="B110" t="s">
        <v>750</v>
      </c>
      <c r="C110">
        <v>8</v>
      </c>
      <c r="D110">
        <v>73.599999999999994</v>
      </c>
    </row>
    <row r="111" spans="1:4">
      <c r="A111" t="s">
        <v>746</v>
      </c>
      <c r="B111" t="s">
        <v>750</v>
      </c>
      <c r="C111">
        <v>9</v>
      </c>
      <c r="D111">
        <v>72.61</v>
      </c>
    </row>
    <row r="112" spans="1:4">
      <c r="A112" t="s">
        <v>746</v>
      </c>
      <c r="B112" t="s">
        <v>750</v>
      </c>
      <c r="C112">
        <v>10</v>
      </c>
      <c r="D112">
        <v>71.61</v>
      </c>
    </row>
    <row r="113" spans="1:4">
      <c r="A113" t="s">
        <v>746</v>
      </c>
      <c r="B113" t="s">
        <v>750</v>
      </c>
      <c r="C113">
        <v>11</v>
      </c>
      <c r="D113">
        <v>70.62</v>
      </c>
    </row>
    <row r="114" spans="1:4">
      <c r="A114" t="s">
        <v>746</v>
      </c>
      <c r="B114" t="s">
        <v>750</v>
      </c>
      <c r="C114">
        <v>12</v>
      </c>
      <c r="D114">
        <v>69.63</v>
      </c>
    </row>
    <row r="115" spans="1:4">
      <c r="A115" t="s">
        <v>746</v>
      </c>
      <c r="B115" t="s">
        <v>750</v>
      </c>
      <c r="C115">
        <v>13</v>
      </c>
      <c r="D115">
        <v>68.64</v>
      </c>
    </row>
    <row r="116" spans="1:4">
      <c r="A116" t="s">
        <v>746</v>
      </c>
      <c r="B116" t="s">
        <v>750</v>
      </c>
      <c r="C116">
        <v>14</v>
      </c>
      <c r="D116">
        <v>67.650000000000006</v>
      </c>
    </row>
    <row r="117" spans="1:4">
      <c r="A117" t="s">
        <v>746</v>
      </c>
      <c r="B117" t="s">
        <v>750</v>
      </c>
      <c r="C117">
        <v>15</v>
      </c>
      <c r="D117">
        <v>66.66</v>
      </c>
    </row>
    <row r="118" spans="1:4">
      <c r="A118" t="s">
        <v>746</v>
      </c>
      <c r="B118" t="s">
        <v>750</v>
      </c>
      <c r="C118">
        <v>16</v>
      </c>
      <c r="D118">
        <v>65.680000000000007</v>
      </c>
    </row>
    <row r="119" spans="1:4">
      <c r="A119" t="s">
        <v>746</v>
      </c>
      <c r="B119" t="s">
        <v>750</v>
      </c>
      <c r="C119">
        <v>17</v>
      </c>
      <c r="D119">
        <v>64.7</v>
      </c>
    </row>
    <row r="120" spans="1:4">
      <c r="A120" t="s">
        <v>746</v>
      </c>
      <c r="B120" t="s">
        <v>750</v>
      </c>
      <c r="C120">
        <v>18</v>
      </c>
      <c r="D120">
        <v>63.72</v>
      </c>
    </row>
    <row r="121" spans="1:4">
      <c r="A121" t="s">
        <v>746</v>
      </c>
      <c r="B121" t="s">
        <v>750</v>
      </c>
      <c r="C121">
        <v>19</v>
      </c>
      <c r="D121">
        <v>62.74</v>
      </c>
    </row>
    <row r="122" spans="1:4">
      <c r="A122" t="s">
        <v>746</v>
      </c>
      <c r="B122" t="s">
        <v>750</v>
      </c>
      <c r="C122">
        <v>20</v>
      </c>
      <c r="D122">
        <v>61.77</v>
      </c>
    </row>
    <row r="123" spans="1:4">
      <c r="A123" t="s">
        <v>746</v>
      </c>
      <c r="B123" t="s">
        <v>750</v>
      </c>
      <c r="C123">
        <v>21</v>
      </c>
      <c r="D123">
        <v>60.79</v>
      </c>
    </row>
    <row r="124" spans="1:4">
      <c r="A124" t="s">
        <v>746</v>
      </c>
      <c r="B124" t="s">
        <v>750</v>
      </c>
      <c r="C124">
        <v>22</v>
      </c>
      <c r="D124">
        <v>59.82</v>
      </c>
    </row>
    <row r="125" spans="1:4">
      <c r="A125" t="s">
        <v>746</v>
      </c>
      <c r="B125" t="s">
        <v>750</v>
      </c>
      <c r="C125">
        <v>23</v>
      </c>
      <c r="D125">
        <v>58.85</v>
      </c>
    </row>
    <row r="126" spans="1:4">
      <c r="A126" t="s">
        <v>746</v>
      </c>
      <c r="B126" t="s">
        <v>750</v>
      </c>
      <c r="C126">
        <v>24</v>
      </c>
      <c r="D126">
        <v>57.89</v>
      </c>
    </row>
    <row r="127" spans="1:4">
      <c r="A127" t="s">
        <v>746</v>
      </c>
      <c r="B127" t="s">
        <v>750</v>
      </c>
      <c r="C127">
        <v>25</v>
      </c>
      <c r="D127">
        <v>56.92</v>
      </c>
    </row>
    <row r="128" spans="1:4">
      <c r="A128" t="s">
        <v>746</v>
      </c>
      <c r="B128" t="s">
        <v>750</v>
      </c>
      <c r="C128">
        <v>26</v>
      </c>
      <c r="D128">
        <v>55.95</v>
      </c>
    </row>
    <row r="129" spans="1:4">
      <c r="A129" t="s">
        <v>746</v>
      </c>
      <c r="B129" t="s">
        <v>750</v>
      </c>
      <c r="C129">
        <v>27</v>
      </c>
      <c r="D129">
        <v>54.99</v>
      </c>
    </row>
    <row r="130" spans="1:4">
      <c r="A130" t="s">
        <v>746</v>
      </c>
      <c r="B130" t="s">
        <v>750</v>
      </c>
      <c r="C130">
        <v>28</v>
      </c>
      <c r="D130">
        <v>54.03</v>
      </c>
    </row>
    <row r="131" spans="1:4">
      <c r="A131" t="s">
        <v>746</v>
      </c>
      <c r="B131" t="s">
        <v>750</v>
      </c>
      <c r="C131">
        <v>29</v>
      </c>
      <c r="D131">
        <v>53.07</v>
      </c>
    </row>
    <row r="132" spans="1:4">
      <c r="A132" t="s">
        <v>746</v>
      </c>
      <c r="B132" t="s">
        <v>750</v>
      </c>
      <c r="C132">
        <v>30</v>
      </c>
      <c r="D132">
        <v>52.11</v>
      </c>
    </row>
    <row r="133" spans="1:4">
      <c r="A133" t="s">
        <v>746</v>
      </c>
      <c r="B133" t="s">
        <v>750</v>
      </c>
      <c r="C133">
        <v>31</v>
      </c>
      <c r="D133">
        <v>51.16</v>
      </c>
    </row>
    <row r="134" spans="1:4">
      <c r="A134" t="s">
        <v>746</v>
      </c>
      <c r="B134" t="s">
        <v>750</v>
      </c>
      <c r="C134">
        <v>32</v>
      </c>
      <c r="D134">
        <v>50.2</v>
      </c>
    </row>
    <row r="135" spans="1:4">
      <c r="A135" t="s">
        <v>746</v>
      </c>
      <c r="B135" t="s">
        <v>750</v>
      </c>
      <c r="C135">
        <v>33</v>
      </c>
      <c r="D135">
        <v>49.26</v>
      </c>
    </row>
    <row r="136" spans="1:4">
      <c r="A136" t="s">
        <v>746</v>
      </c>
      <c r="B136" t="s">
        <v>750</v>
      </c>
      <c r="C136">
        <v>34</v>
      </c>
      <c r="D136">
        <v>48.31</v>
      </c>
    </row>
    <row r="137" spans="1:4">
      <c r="A137" t="s">
        <v>746</v>
      </c>
      <c r="B137" t="s">
        <v>750</v>
      </c>
      <c r="C137">
        <v>35</v>
      </c>
      <c r="D137">
        <v>47.36</v>
      </c>
    </row>
    <row r="138" spans="1:4">
      <c r="A138" t="s">
        <v>746</v>
      </c>
      <c r="B138" t="s">
        <v>750</v>
      </c>
      <c r="C138">
        <v>36</v>
      </c>
      <c r="D138">
        <v>46.42</v>
      </c>
    </row>
    <row r="139" spans="1:4">
      <c r="A139" t="s">
        <v>746</v>
      </c>
      <c r="B139" t="s">
        <v>750</v>
      </c>
      <c r="C139">
        <v>37</v>
      </c>
      <c r="D139">
        <v>45.48</v>
      </c>
    </row>
    <row r="140" spans="1:4">
      <c r="A140" t="s">
        <v>746</v>
      </c>
      <c r="B140" t="s">
        <v>750</v>
      </c>
      <c r="C140">
        <v>38</v>
      </c>
      <c r="D140">
        <v>44.54</v>
      </c>
    </row>
    <row r="141" spans="1:4">
      <c r="A141" t="s">
        <v>746</v>
      </c>
      <c r="B141" t="s">
        <v>750</v>
      </c>
      <c r="C141">
        <v>39</v>
      </c>
      <c r="D141">
        <v>43.6</v>
      </c>
    </row>
    <row r="142" spans="1:4">
      <c r="A142" t="s">
        <v>746</v>
      </c>
      <c r="B142" t="s">
        <v>750</v>
      </c>
      <c r="C142">
        <v>40</v>
      </c>
      <c r="D142">
        <v>42.67</v>
      </c>
    </row>
    <row r="143" spans="1:4">
      <c r="A143" t="s">
        <v>746</v>
      </c>
      <c r="B143" t="s">
        <v>750</v>
      </c>
      <c r="C143">
        <v>41</v>
      </c>
      <c r="D143">
        <v>41.74</v>
      </c>
    </row>
    <row r="144" spans="1:4">
      <c r="A144" t="s">
        <v>746</v>
      </c>
      <c r="B144" t="s">
        <v>750</v>
      </c>
      <c r="C144">
        <v>42</v>
      </c>
      <c r="D144">
        <v>40.81</v>
      </c>
    </row>
    <row r="145" spans="1:4">
      <c r="A145" t="s">
        <v>746</v>
      </c>
      <c r="B145" t="s">
        <v>750</v>
      </c>
      <c r="C145">
        <v>43</v>
      </c>
      <c r="D145">
        <v>39.89</v>
      </c>
    </row>
    <row r="146" spans="1:4">
      <c r="A146" t="s">
        <v>746</v>
      </c>
      <c r="B146" t="s">
        <v>750</v>
      </c>
      <c r="C146">
        <v>44</v>
      </c>
      <c r="D146">
        <v>38.97</v>
      </c>
    </row>
    <row r="147" spans="1:4">
      <c r="A147" t="s">
        <v>746</v>
      </c>
      <c r="B147" t="s">
        <v>750</v>
      </c>
      <c r="C147">
        <v>45</v>
      </c>
      <c r="D147">
        <v>38.049999999999997</v>
      </c>
    </row>
    <row r="148" spans="1:4">
      <c r="A148" t="s">
        <v>746</v>
      </c>
      <c r="B148" t="s">
        <v>750</v>
      </c>
      <c r="C148">
        <v>46</v>
      </c>
      <c r="D148">
        <v>37.130000000000003</v>
      </c>
    </row>
    <row r="149" spans="1:4">
      <c r="A149" t="s">
        <v>746</v>
      </c>
      <c r="B149" t="s">
        <v>750</v>
      </c>
      <c r="C149">
        <v>47</v>
      </c>
      <c r="D149">
        <v>36.21</v>
      </c>
    </row>
    <row r="150" spans="1:4">
      <c r="A150" t="s">
        <v>746</v>
      </c>
      <c r="B150" t="s">
        <v>750</v>
      </c>
      <c r="C150">
        <v>48</v>
      </c>
      <c r="D150">
        <v>35.299999999999997</v>
      </c>
    </row>
    <row r="151" spans="1:4">
      <c r="A151" t="s">
        <v>746</v>
      </c>
      <c r="B151" t="s">
        <v>750</v>
      </c>
      <c r="C151">
        <v>49</v>
      </c>
      <c r="D151">
        <v>34.39</v>
      </c>
    </row>
    <row r="152" spans="1:4">
      <c r="A152" t="s">
        <v>746</v>
      </c>
      <c r="B152" t="s">
        <v>750</v>
      </c>
      <c r="C152">
        <v>50</v>
      </c>
      <c r="D152">
        <v>33.49</v>
      </c>
    </row>
    <row r="153" spans="1:4">
      <c r="A153" t="s">
        <v>746</v>
      </c>
      <c r="B153" t="s">
        <v>750</v>
      </c>
      <c r="C153">
        <v>51</v>
      </c>
      <c r="D153">
        <v>32.590000000000003</v>
      </c>
    </row>
    <row r="154" spans="1:4">
      <c r="A154" t="s">
        <v>746</v>
      </c>
      <c r="B154" t="s">
        <v>750</v>
      </c>
      <c r="C154">
        <v>52</v>
      </c>
      <c r="D154">
        <v>31.69</v>
      </c>
    </row>
    <row r="155" spans="1:4">
      <c r="A155" t="s">
        <v>746</v>
      </c>
      <c r="B155" t="s">
        <v>750</v>
      </c>
      <c r="C155">
        <v>53</v>
      </c>
      <c r="D155">
        <v>30.81</v>
      </c>
    </row>
    <row r="156" spans="1:4">
      <c r="A156" t="s">
        <v>746</v>
      </c>
      <c r="B156" t="s">
        <v>750</v>
      </c>
      <c r="C156">
        <v>54</v>
      </c>
      <c r="D156">
        <v>29.92</v>
      </c>
    </row>
    <row r="157" spans="1:4">
      <c r="A157" t="s">
        <v>746</v>
      </c>
      <c r="B157" t="s">
        <v>750</v>
      </c>
      <c r="C157">
        <v>55</v>
      </c>
      <c r="D157">
        <v>29.05</v>
      </c>
    </row>
    <row r="158" spans="1:4">
      <c r="A158" t="s">
        <v>746</v>
      </c>
      <c r="B158" t="s">
        <v>750</v>
      </c>
      <c r="C158">
        <v>56</v>
      </c>
      <c r="D158">
        <v>28.18</v>
      </c>
    </row>
    <row r="159" spans="1:4">
      <c r="A159" t="s">
        <v>746</v>
      </c>
      <c r="B159" t="s">
        <v>750</v>
      </c>
      <c r="C159">
        <v>57</v>
      </c>
      <c r="D159">
        <v>27.31</v>
      </c>
    </row>
    <row r="160" spans="1:4">
      <c r="A160" t="s">
        <v>746</v>
      </c>
      <c r="B160" t="s">
        <v>750</v>
      </c>
      <c r="C160">
        <v>58</v>
      </c>
      <c r="D160">
        <v>26.46</v>
      </c>
    </row>
    <row r="161" spans="1:4">
      <c r="A161" t="s">
        <v>746</v>
      </c>
      <c r="B161" t="s">
        <v>750</v>
      </c>
      <c r="C161">
        <v>59</v>
      </c>
      <c r="D161">
        <v>25.61</v>
      </c>
    </row>
    <row r="162" spans="1:4">
      <c r="A162" t="s">
        <v>746</v>
      </c>
      <c r="B162" t="s">
        <v>750</v>
      </c>
      <c r="C162">
        <v>60</v>
      </c>
      <c r="D162">
        <v>24.77</v>
      </c>
    </row>
    <row r="163" spans="1:4">
      <c r="A163" t="s">
        <v>746</v>
      </c>
      <c r="B163" t="s">
        <v>750</v>
      </c>
      <c r="C163">
        <v>61</v>
      </c>
      <c r="D163">
        <v>23.95</v>
      </c>
    </row>
    <row r="164" spans="1:4">
      <c r="A164" t="s">
        <v>746</v>
      </c>
      <c r="B164" t="s">
        <v>750</v>
      </c>
      <c r="C164">
        <v>62</v>
      </c>
      <c r="D164">
        <v>23.13</v>
      </c>
    </row>
    <row r="165" spans="1:4">
      <c r="A165" t="s">
        <v>746</v>
      </c>
      <c r="B165" t="s">
        <v>750</v>
      </c>
      <c r="C165">
        <v>63</v>
      </c>
      <c r="D165">
        <v>22.31</v>
      </c>
    </row>
    <row r="166" spans="1:4">
      <c r="A166" t="s">
        <v>746</v>
      </c>
      <c r="B166" t="s">
        <v>750</v>
      </c>
      <c r="C166">
        <v>64</v>
      </c>
      <c r="D166">
        <v>21.51</v>
      </c>
    </row>
    <row r="167" spans="1:4">
      <c r="A167" t="s">
        <v>746</v>
      </c>
      <c r="B167" t="s">
        <v>750</v>
      </c>
      <c r="C167">
        <v>65</v>
      </c>
      <c r="D167">
        <v>20.71</v>
      </c>
    </row>
    <row r="168" spans="1:4">
      <c r="A168" t="s">
        <v>746</v>
      </c>
      <c r="B168" t="s">
        <v>750</v>
      </c>
      <c r="C168">
        <v>66</v>
      </c>
      <c r="D168">
        <v>19.91</v>
      </c>
    </row>
    <row r="169" spans="1:4">
      <c r="A169" t="s">
        <v>746</v>
      </c>
      <c r="B169" t="s">
        <v>750</v>
      </c>
      <c r="C169">
        <v>67</v>
      </c>
      <c r="D169">
        <v>19.13</v>
      </c>
    </row>
    <row r="170" spans="1:4">
      <c r="A170" t="s">
        <v>746</v>
      </c>
      <c r="B170" t="s">
        <v>750</v>
      </c>
      <c r="C170">
        <v>68</v>
      </c>
      <c r="D170">
        <v>18.350000000000001</v>
      </c>
    </row>
    <row r="171" spans="1:4">
      <c r="A171" t="s">
        <v>746</v>
      </c>
      <c r="B171" t="s">
        <v>750</v>
      </c>
      <c r="C171">
        <v>69</v>
      </c>
      <c r="D171">
        <v>17.579999999999998</v>
      </c>
    </row>
    <row r="172" spans="1:4">
      <c r="A172" t="s">
        <v>746</v>
      </c>
      <c r="B172" t="s">
        <v>750</v>
      </c>
      <c r="C172">
        <v>70</v>
      </c>
      <c r="D172">
        <v>16.82</v>
      </c>
    </row>
    <row r="173" spans="1:4">
      <c r="A173" t="s">
        <v>746</v>
      </c>
      <c r="B173" t="s">
        <v>750</v>
      </c>
      <c r="C173">
        <v>71</v>
      </c>
      <c r="D173">
        <v>16.059999999999999</v>
      </c>
    </row>
    <row r="174" spans="1:4">
      <c r="A174" t="s">
        <v>746</v>
      </c>
      <c r="B174" t="s">
        <v>750</v>
      </c>
      <c r="C174">
        <v>72</v>
      </c>
      <c r="D174">
        <v>15.32</v>
      </c>
    </row>
    <row r="175" spans="1:4">
      <c r="A175" t="s">
        <v>746</v>
      </c>
      <c r="B175" t="s">
        <v>750</v>
      </c>
      <c r="C175">
        <v>73</v>
      </c>
      <c r="D175">
        <v>14.58</v>
      </c>
    </row>
    <row r="176" spans="1:4">
      <c r="A176" t="s">
        <v>746</v>
      </c>
      <c r="B176" t="s">
        <v>750</v>
      </c>
      <c r="C176">
        <v>74</v>
      </c>
      <c r="D176">
        <v>13.86</v>
      </c>
    </row>
    <row r="177" spans="1:4">
      <c r="A177" t="s">
        <v>746</v>
      </c>
      <c r="B177" t="s">
        <v>750</v>
      </c>
      <c r="C177">
        <v>75</v>
      </c>
      <c r="D177">
        <v>13.15</v>
      </c>
    </row>
    <row r="178" spans="1:4">
      <c r="A178" t="s">
        <v>746</v>
      </c>
      <c r="B178" t="s">
        <v>750</v>
      </c>
      <c r="C178">
        <v>76</v>
      </c>
      <c r="D178">
        <v>12.46</v>
      </c>
    </row>
    <row r="179" spans="1:4">
      <c r="A179" t="s">
        <v>746</v>
      </c>
      <c r="B179" t="s">
        <v>750</v>
      </c>
      <c r="C179">
        <v>77</v>
      </c>
      <c r="D179">
        <v>11.78</v>
      </c>
    </row>
    <row r="180" spans="1:4">
      <c r="A180" t="s">
        <v>746</v>
      </c>
      <c r="B180" t="s">
        <v>750</v>
      </c>
      <c r="C180">
        <v>78</v>
      </c>
      <c r="D180">
        <v>11.12</v>
      </c>
    </row>
    <row r="181" spans="1:4">
      <c r="A181" t="s">
        <v>746</v>
      </c>
      <c r="B181" t="s">
        <v>750</v>
      </c>
      <c r="C181">
        <v>79</v>
      </c>
      <c r="D181">
        <v>10.47</v>
      </c>
    </row>
    <row r="182" spans="1:4">
      <c r="A182" t="s">
        <v>746</v>
      </c>
      <c r="B182" t="s">
        <v>750</v>
      </c>
      <c r="C182">
        <v>80</v>
      </c>
      <c r="D182">
        <v>9.85</v>
      </c>
    </row>
    <row r="183" spans="1:4">
      <c r="A183" t="s">
        <v>746</v>
      </c>
      <c r="B183" t="s">
        <v>750</v>
      </c>
      <c r="C183">
        <v>81</v>
      </c>
      <c r="D183">
        <v>9.25</v>
      </c>
    </row>
    <row r="184" spans="1:4">
      <c r="A184" t="s">
        <v>746</v>
      </c>
      <c r="B184" t="s">
        <v>750</v>
      </c>
      <c r="C184">
        <v>82</v>
      </c>
      <c r="D184">
        <v>8.66</v>
      </c>
    </row>
    <row r="185" spans="1:4">
      <c r="A185" t="s">
        <v>746</v>
      </c>
      <c r="B185" t="s">
        <v>750</v>
      </c>
      <c r="C185">
        <v>83</v>
      </c>
      <c r="D185">
        <v>8.1</v>
      </c>
    </row>
    <row r="186" spans="1:4">
      <c r="A186" t="s">
        <v>746</v>
      </c>
      <c r="B186" t="s">
        <v>750</v>
      </c>
      <c r="C186">
        <v>84</v>
      </c>
      <c r="D186">
        <v>7.56</v>
      </c>
    </row>
    <row r="187" spans="1:4">
      <c r="A187" t="s">
        <v>746</v>
      </c>
      <c r="B187" t="s">
        <v>750</v>
      </c>
      <c r="C187">
        <v>85</v>
      </c>
      <c r="D187">
        <v>7.04</v>
      </c>
    </row>
    <row r="188" spans="1:4">
      <c r="A188" t="s">
        <v>746</v>
      </c>
      <c r="B188" t="s">
        <v>750</v>
      </c>
      <c r="C188">
        <v>86</v>
      </c>
      <c r="D188">
        <v>6.54</v>
      </c>
    </row>
    <row r="189" spans="1:4">
      <c r="A189" t="s">
        <v>746</v>
      </c>
      <c r="B189" t="s">
        <v>750</v>
      </c>
      <c r="C189">
        <v>87</v>
      </c>
      <c r="D189">
        <v>6.07</v>
      </c>
    </row>
    <row r="190" spans="1:4">
      <c r="A190" t="s">
        <v>746</v>
      </c>
      <c r="B190" t="s">
        <v>750</v>
      </c>
      <c r="C190">
        <v>88</v>
      </c>
      <c r="D190">
        <v>5.63</v>
      </c>
    </row>
    <row r="191" spans="1:4">
      <c r="A191" t="s">
        <v>746</v>
      </c>
      <c r="B191" t="s">
        <v>750</v>
      </c>
      <c r="C191">
        <v>89</v>
      </c>
      <c r="D191">
        <v>5.21</v>
      </c>
    </row>
    <row r="192" spans="1:4">
      <c r="A192" t="s">
        <v>746</v>
      </c>
      <c r="B192" t="s">
        <v>750</v>
      </c>
      <c r="C192">
        <v>90</v>
      </c>
      <c r="D192">
        <v>4.82</v>
      </c>
    </row>
    <row r="193" spans="1:4">
      <c r="A193" t="s">
        <v>746</v>
      </c>
      <c r="B193" t="s">
        <v>750</v>
      </c>
      <c r="C193">
        <v>91</v>
      </c>
      <c r="D193">
        <v>4.46</v>
      </c>
    </row>
    <row r="194" spans="1:4">
      <c r="A194" t="s">
        <v>746</v>
      </c>
      <c r="B194" t="s">
        <v>750</v>
      </c>
      <c r="C194">
        <v>92</v>
      </c>
      <c r="D194">
        <v>4.12</v>
      </c>
    </row>
    <row r="195" spans="1:4">
      <c r="A195" t="s">
        <v>746</v>
      </c>
      <c r="B195" t="s">
        <v>750</v>
      </c>
      <c r="C195">
        <v>93</v>
      </c>
      <c r="D195">
        <v>3.81</v>
      </c>
    </row>
    <row r="196" spans="1:4">
      <c r="A196" t="s">
        <v>746</v>
      </c>
      <c r="B196" t="s">
        <v>750</v>
      </c>
      <c r="C196">
        <v>94</v>
      </c>
      <c r="D196">
        <v>3.52</v>
      </c>
    </row>
    <row r="197" spans="1:4">
      <c r="A197" t="s">
        <v>746</v>
      </c>
      <c r="B197" t="s">
        <v>750</v>
      </c>
      <c r="C197">
        <v>95</v>
      </c>
      <c r="D197">
        <v>3.26</v>
      </c>
    </row>
    <row r="198" spans="1:4">
      <c r="A198" t="s">
        <v>746</v>
      </c>
      <c r="B198" t="s">
        <v>750</v>
      </c>
      <c r="C198">
        <v>96</v>
      </c>
      <c r="D198">
        <v>3.02</v>
      </c>
    </row>
    <row r="199" spans="1:4">
      <c r="A199" t="s">
        <v>746</v>
      </c>
      <c r="B199" t="s">
        <v>750</v>
      </c>
      <c r="C199">
        <v>97</v>
      </c>
      <c r="D199">
        <v>2.8</v>
      </c>
    </row>
    <row r="200" spans="1:4">
      <c r="A200" t="s">
        <v>746</v>
      </c>
      <c r="B200" t="s">
        <v>750</v>
      </c>
      <c r="C200">
        <v>98</v>
      </c>
      <c r="D200">
        <v>2.6</v>
      </c>
    </row>
    <row r="201" spans="1:4">
      <c r="A201" t="s">
        <v>746</v>
      </c>
      <c r="B201" t="s">
        <v>750</v>
      </c>
      <c r="C201">
        <v>99</v>
      </c>
      <c r="D201">
        <v>2.42</v>
      </c>
    </row>
    <row r="202" spans="1:4">
      <c r="A202" t="s">
        <v>762</v>
      </c>
      <c r="B202" t="s">
        <v>2046</v>
      </c>
      <c r="C202">
        <v>0</v>
      </c>
      <c r="D202">
        <v>78.45</v>
      </c>
    </row>
    <row r="203" spans="1:4">
      <c r="A203" t="s">
        <v>762</v>
      </c>
      <c r="B203" t="s">
        <v>2046</v>
      </c>
      <c r="C203">
        <v>1</v>
      </c>
      <c r="D203">
        <v>77.88</v>
      </c>
    </row>
    <row r="204" spans="1:4">
      <c r="A204" t="s">
        <v>762</v>
      </c>
      <c r="B204" t="s">
        <v>2046</v>
      </c>
      <c r="C204">
        <v>2</v>
      </c>
      <c r="D204">
        <v>76.91</v>
      </c>
    </row>
    <row r="205" spans="1:4">
      <c r="A205" t="s">
        <v>762</v>
      </c>
      <c r="B205" t="s">
        <v>2046</v>
      </c>
      <c r="C205">
        <v>3</v>
      </c>
      <c r="D205">
        <v>75.930000000000007</v>
      </c>
    </row>
    <row r="206" spans="1:4">
      <c r="A206" t="s">
        <v>762</v>
      </c>
      <c r="B206" t="s">
        <v>2046</v>
      </c>
      <c r="C206">
        <v>4</v>
      </c>
      <c r="D206">
        <v>74.95</v>
      </c>
    </row>
    <row r="207" spans="1:4">
      <c r="A207" t="s">
        <v>762</v>
      </c>
      <c r="B207" t="s">
        <v>2046</v>
      </c>
      <c r="C207">
        <v>5</v>
      </c>
      <c r="D207">
        <v>73.959999999999994</v>
      </c>
    </row>
    <row r="208" spans="1:4">
      <c r="A208" t="s">
        <v>762</v>
      </c>
      <c r="B208" t="s">
        <v>2046</v>
      </c>
      <c r="C208">
        <v>6</v>
      </c>
      <c r="D208">
        <v>72.97</v>
      </c>
    </row>
    <row r="209" spans="1:4">
      <c r="A209" t="s">
        <v>762</v>
      </c>
      <c r="B209" t="s">
        <v>2046</v>
      </c>
      <c r="C209">
        <v>7</v>
      </c>
      <c r="D209">
        <v>71.98</v>
      </c>
    </row>
    <row r="210" spans="1:4">
      <c r="A210" t="s">
        <v>762</v>
      </c>
      <c r="B210" t="s">
        <v>2046</v>
      </c>
      <c r="C210">
        <v>8</v>
      </c>
      <c r="D210">
        <v>70.989999999999995</v>
      </c>
    </row>
    <row r="211" spans="1:4">
      <c r="A211" t="s">
        <v>762</v>
      </c>
      <c r="B211" t="s">
        <v>2046</v>
      </c>
      <c r="C211">
        <v>9</v>
      </c>
      <c r="D211">
        <v>69.989999999999995</v>
      </c>
    </row>
    <row r="212" spans="1:4">
      <c r="A212" t="s">
        <v>762</v>
      </c>
      <c r="B212" t="s">
        <v>2046</v>
      </c>
      <c r="C212">
        <v>10</v>
      </c>
      <c r="D212">
        <v>69</v>
      </c>
    </row>
    <row r="213" spans="1:4">
      <c r="A213" t="s">
        <v>762</v>
      </c>
      <c r="B213" t="s">
        <v>2046</v>
      </c>
      <c r="C213">
        <v>11</v>
      </c>
      <c r="D213">
        <v>68</v>
      </c>
    </row>
    <row r="214" spans="1:4">
      <c r="A214" t="s">
        <v>762</v>
      </c>
      <c r="B214" t="s">
        <v>2046</v>
      </c>
      <c r="C214">
        <v>12</v>
      </c>
      <c r="D214">
        <v>67.010000000000005</v>
      </c>
    </row>
    <row r="215" spans="1:4">
      <c r="A215" t="s">
        <v>762</v>
      </c>
      <c r="B215" t="s">
        <v>2046</v>
      </c>
      <c r="C215">
        <v>13</v>
      </c>
      <c r="D215">
        <v>66.010000000000005</v>
      </c>
    </row>
    <row r="216" spans="1:4">
      <c r="A216" t="s">
        <v>762</v>
      </c>
      <c r="B216" t="s">
        <v>2046</v>
      </c>
      <c r="C216">
        <v>14</v>
      </c>
      <c r="D216">
        <v>65.03</v>
      </c>
    </row>
    <row r="217" spans="1:4">
      <c r="A217" t="s">
        <v>762</v>
      </c>
      <c r="B217" t="s">
        <v>2046</v>
      </c>
      <c r="C217">
        <v>15</v>
      </c>
      <c r="D217">
        <v>64.05</v>
      </c>
    </row>
    <row r="218" spans="1:4">
      <c r="A218" t="s">
        <v>762</v>
      </c>
      <c r="B218" t="s">
        <v>2046</v>
      </c>
      <c r="C218">
        <v>16</v>
      </c>
      <c r="D218">
        <v>63.08</v>
      </c>
    </row>
    <row r="219" spans="1:4">
      <c r="A219" t="s">
        <v>762</v>
      </c>
      <c r="B219" t="s">
        <v>2046</v>
      </c>
      <c r="C219">
        <v>17</v>
      </c>
      <c r="D219">
        <v>62.12</v>
      </c>
    </row>
    <row r="220" spans="1:4">
      <c r="A220" t="s">
        <v>762</v>
      </c>
      <c r="B220" t="s">
        <v>2046</v>
      </c>
      <c r="C220">
        <v>18</v>
      </c>
      <c r="D220">
        <v>61.17</v>
      </c>
    </row>
    <row r="221" spans="1:4">
      <c r="A221" t="s">
        <v>762</v>
      </c>
      <c r="B221" t="s">
        <v>2046</v>
      </c>
      <c r="C221">
        <v>19</v>
      </c>
      <c r="D221">
        <v>60.22</v>
      </c>
    </row>
    <row r="222" spans="1:4">
      <c r="A222" t="s">
        <v>762</v>
      </c>
      <c r="B222" t="s">
        <v>2046</v>
      </c>
      <c r="C222">
        <v>20</v>
      </c>
      <c r="D222">
        <v>59.28</v>
      </c>
    </row>
    <row r="223" spans="1:4">
      <c r="A223" t="s">
        <v>762</v>
      </c>
      <c r="B223" t="s">
        <v>2046</v>
      </c>
      <c r="C223">
        <v>21</v>
      </c>
      <c r="D223">
        <v>58.35</v>
      </c>
    </row>
    <row r="224" spans="1:4">
      <c r="A224" t="s">
        <v>762</v>
      </c>
      <c r="B224" t="s">
        <v>2046</v>
      </c>
      <c r="C224">
        <v>22</v>
      </c>
      <c r="D224">
        <v>57.42</v>
      </c>
    </row>
    <row r="225" spans="1:4">
      <c r="A225" t="s">
        <v>762</v>
      </c>
      <c r="B225" t="s">
        <v>2046</v>
      </c>
      <c r="C225">
        <v>23</v>
      </c>
      <c r="D225">
        <v>56.49</v>
      </c>
    </row>
    <row r="226" spans="1:4">
      <c r="A226" t="s">
        <v>762</v>
      </c>
      <c r="B226" t="s">
        <v>2046</v>
      </c>
      <c r="C226">
        <v>24</v>
      </c>
      <c r="D226">
        <v>55.58</v>
      </c>
    </row>
    <row r="227" spans="1:4">
      <c r="A227" t="s">
        <v>762</v>
      </c>
      <c r="B227" t="s">
        <v>2046</v>
      </c>
      <c r="C227">
        <v>25</v>
      </c>
      <c r="D227">
        <v>54.66</v>
      </c>
    </row>
    <row r="228" spans="1:4">
      <c r="A228" t="s">
        <v>762</v>
      </c>
      <c r="B228" t="s">
        <v>2046</v>
      </c>
      <c r="C228">
        <v>26</v>
      </c>
      <c r="D228">
        <v>53.76</v>
      </c>
    </row>
    <row r="229" spans="1:4">
      <c r="A229" t="s">
        <v>762</v>
      </c>
      <c r="B229" t="s">
        <v>2046</v>
      </c>
      <c r="C229">
        <v>27</v>
      </c>
      <c r="D229">
        <v>52.86</v>
      </c>
    </row>
    <row r="230" spans="1:4">
      <c r="A230" t="s">
        <v>762</v>
      </c>
      <c r="B230" t="s">
        <v>2046</v>
      </c>
      <c r="C230">
        <v>28</v>
      </c>
      <c r="D230">
        <v>51.96</v>
      </c>
    </row>
    <row r="231" spans="1:4">
      <c r="A231" t="s">
        <v>762</v>
      </c>
      <c r="B231" t="s">
        <v>2046</v>
      </c>
      <c r="C231">
        <v>29</v>
      </c>
      <c r="D231">
        <v>51.06</v>
      </c>
    </row>
    <row r="232" spans="1:4">
      <c r="A232" t="s">
        <v>762</v>
      </c>
      <c r="B232" t="s">
        <v>2046</v>
      </c>
      <c r="C232">
        <v>30</v>
      </c>
      <c r="D232">
        <v>50.17</v>
      </c>
    </row>
    <row r="233" spans="1:4">
      <c r="A233" t="s">
        <v>762</v>
      </c>
      <c r="B233" t="s">
        <v>2046</v>
      </c>
      <c r="C233">
        <v>31</v>
      </c>
      <c r="D233">
        <v>49.28</v>
      </c>
    </row>
    <row r="234" spans="1:4">
      <c r="A234" t="s">
        <v>762</v>
      </c>
      <c r="B234" t="s">
        <v>2046</v>
      </c>
      <c r="C234">
        <v>32</v>
      </c>
      <c r="D234">
        <v>48.38</v>
      </c>
    </row>
    <row r="235" spans="1:4">
      <c r="A235" t="s">
        <v>762</v>
      </c>
      <c r="B235" t="s">
        <v>2046</v>
      </c>
      <c r="C235">
        <v>33</v>
      </c>
      <c r="D235">
        <v>47.49</v>
      </c>
    </row>
    <row r="236" spans="1:4">
      <c r="A236" t="s">
        <v>762</v>
      </c>
      <c r="B236" t="s">
        <v>2046</v>
      </c>
      <c r="C236">
        <v>34</v>
      </c>
      <c r="D236">
        <v>46.6</v>
      </c>
    </row>
    <row r="237" spans="1:4">
      <c r="A237" t="s">
        <v>762</v>
      </c>
      <c r="B237" t="s">
        <v>2046</v>
      </c>
      <c r="C237">
        <v>35</v>
      </c>
      <c r="D237">
        <v>45.71</v>
      </c>
    </row>
    <row r="238" spans="1:4">
      <c r="A238" t="s">
        <v>762</v>
      </c>
      <c r="B238" t="s">
        <v>2046</v>
      </c>
      <c r="C238">
        <v>36</v>
      </c>
      <c r="D238">
        <v>44.81</v>
      </c>
    </row>
    <row r="239" spans="1:4">
      <c r="A239" t="s">
        <v>762</v>
      </c>
      <c r="B239" t="s">
        <v>2046</v>
      </c>
      <c r="C239">
        <v>37</v>
      </c>
      <c r="D239">
        <v>43.92</v>
      </c>
    </row>
    <row r="240" spans="1:4">
      <c r="A240" t="s">
        <v>762</v>
      </c>
      <c r="B240" t="s">
        <v>2046</v>
      </c>
      <c r="C240">
        <v>38</v>
      </c>
      <c r="D240">
        <v>43.03</v>
      </c>
    </row>
    <row r="241" spans="1:4">
      <c r="A241" t="s">
        <v>762</v>
      </c>
      <c r="B241" t="s">
        <v>2046</v>
      </c>
      <c r="C241">
        <v>39</v>
      </c>
      <c r="D241">
        <v>42.14</v>
      </c>
    </row>
    <row r="242" spans="1:4">
      <c r="A242" t="s">
        <v>762</v>
      </c>
      <c r="B242" t="s">
        <v>2046</v>
      </c>
      <c r="C242">
        <v>40</v>
      </c>
      <c r="D242">
        <v>41.25</v>
      </c>
    </row>
    <row r="243" spans="1:4">
      <c r="A243" t="s">
        <v>762</v>
      </c>
      <c r="B243" t="s">
        <v>2046</v>
      </c>
      <c r="C243">
        <v>41</v>
      </c>
      <c r="D243">
        <v>40.36</v>
      </c>
    </row>
    <row r="244" spans="1:4">
      <c r="A244" t="s">
        <v>762</v>
      </c>
      <c r="B244" t="s">
        <v>2046</v>
      </c>
      <c r="C244">
        <v>42</v>
      </c>
      <c r="D244">
        <v>39.47</v>
      </c>
    </row>
    <row r="245" spans="1:4">
      <c r="A245" t="s">
        <v>762</v>
      </c>
      <c r="B245" t="s">
        <v>2046</v>
      </c>
      <c r="C245">
        <v>43</v>
      </c>
      <c r="D245">
        <v>38.590000000000003</v>
      </c>
    </row>
    <row r="246" spans="1:4">
      <c r="A246" t="s">
        <v>762</v>
      </c>
      <c r="B246" t="s">
        <v>2046</v>
      </c>
      <c r="C246">
        <v>44</v>
      </c>
      <c r="D246">
        <v>37.700000000000003</v>
      </c>
    </row>
    <row r="247" spans="1:4">
      <c r="A247" t="s">
        <v>762</v>
      </c>
      <c r="B247" t="s">
        <v>2046</v>
      </c>
      <c r="C247">
        <v>45</v>
      </c>
      <c r="D247">
        <v>36.82</v>
      </c>
    </row>
    <row r="248" spans="1:4">
      <c r="A248" t="s">
        <v>762</v>
      </c>
      <c r="B248" t="s">
        <v>2046</v>
      </c>
      <c r="C248">
        <v>46</v>
      </c>
      <c r="D248">
        <v>35.93</v>
      </c>
    </row>
    <row r="249" spans="1:4">
      <c r="A249" t="s">
        <v>762</v>
      </c>
      <c r="B249" t="s">
        <v>2046</v>
      </c>
      <c r="C249">
        <v>47</v>
      </c>
      <c r="D249">
        <v>35.049999999999997</v>
      </c>
    </row>
    <row r="250" spans="1:4">
      <c r="A250" t="s">
        <v>762</v>
      </c>
      <c r="B250" t="s">
        <v>2046</v>
      </c>
      <c r="C250">
        <v>48</v>
      </c>
      <c r="D250">
        <v>34.17</v>
      </c>
    </row>
    <row r="251" spans="1:4">
      <c r="A251" t="s">
        <v>762</v>
      </c>
      <c r="B251" t="s">
        <v>2046</v>
      </c>
      <c r="C251">
        <v>49</v>
      </c>
      <c r="D251">
        <v>33.299999999999997</v>
      </c>
    </row>
    <row r="252" spans="1:4">
      <c r="A252" t="s">
        <v>762</v>
      </c>
      <c r="B252" t="s">
        <v>2046</v>
      </c>
      <c r="C252">
        <v>50</v>
      </c>
      <c r="D252">
        <v>32.42</v>
      </c>
    </row>
    <row r="253" spans="1:4">
      <c r="A253" t="s">
        <v>762</v>
      </c>
      <c r="B253" t="s">
        <v>2046</v>
      </c>
      <c r="C253">
        <v>51</v>
      </c>
      <c r="D253">
        <v>31.55</v>
      </c>
    </row>
    <row r="254" spans="1:4">
      <c r="A254" t="s">
        <v>762</v>
      </c>
      <c r="B254" t="s">
        <v>2046</v>
      </c>
      <c r="C254">
        <v>52</v>
      </c>
      <c r="D254">
        <v>30.68</v>
      </c>
    </row>
    <row r="255" spans="1:4">
      <c r="A255" t="s">
        <v>762</v>
      </c>
      <c r="B255" t="s">
        <v>2046</v>
      </c>
      <c r="C255">
        <v>53</v>
      </c>
      <c r="D255">
        <v>29.82</v>
      </c>
    </row>
    <row r="256" spans="1:4">
      <c r="A256" t="s">
        <v>762</v>
      </c>
      <c r="B256" t="s">
        <v>2046</v>
      </c>
      <c r="C256">
        <v>54</v>
      </c>
      <c r="D256">
        <v>28.97</v>
      </c>
    </row>
    <row r="257" spans="1:4">
      <c r="A257" t="s">
        <v>762</v>
      </c>
      <c r="B257" t="s">
        <v>2046</v>
      </c>
      <c r="C257">
        <v>55</v>
      </c>
      <c r="D257">
        <v>28.12</v>
      </c>
    </row>
    <row r="258" spans="1:4">
      <c r="A258" t="s">
        <v>762</v>
      </c>
      <c r="B258" t="s">
        <v>2046</v>
      </c>
      <c r="C258">
        <v>56</v>
      </c>
      <c r="D258">
        <v>27.28</v>
      </c>
    </row>
    <row r="259" spans="1:4">
      <c r="A259" t="s">
        <v>762</v>
      </c>
      <c r="B259" t="s">
        <v>2046</v>
      </c>
      <c r="C259">
        <v>57</v>
      </c>
      <c r="D259">
        <v>26.46</v>
      </c>
    </row>
    <row r="260" spans="1:4">
      <c r="A260" t="s">
        <v>762</v>
      </c>
      <c r="B260" t="s">
        <v>2046</v>
      </c>
      <c r="C260">
        <v>58</v>
      </c>
      <c r="D260">
        <v>25.64</v>
      </c>
    </row>
    <row r="261" spans="1:4">
      <c r="A261" t="s">
        <v>762</v>
      </c>
      <c r="B261" t="s">
        <v>2046</v>
      </c>
      <c r="C261">
        <v>59</v>
      </c>
      <c r="D261">
        <v>24.82</v>
      </c>
    </row>
    <row r="262" spans="1:4">
      <c r="A262" t="s">
        <v>762</v>
      </c>
      <c r="B262" t="s">
        <v>2046</v>
      </c>
      <c r="C262">
        <v>60</v>
      </c>
      <c r="D262">
        <v>24.02</v>
      </c>
    </row>
    <row r="263" spans="1:4">
      <c r="A263" t="s">
        <v>762</v>
      </c>
      <c r="B263" t="s">
        <v>2046</v>
      </c>
      <c r="C263">
        <v>61</v>
      </c>
      <c r="D263">
        <v>23.23</v>
      </c>
    </row>
    <row r="264" spans="1:4">
      <c r="A264" t="s">
        <v>762</v>
      </c>
      <c r="B264" t="s">
        <v>2046</v>
      </c>
      <c r="C264">
        <v>62</v>
      </c>
      <c r="D264">
        <v>22.45</v>
      </c>
    </row>
    <row r="265" spans="1:4">
      <c r="A265" t="s">
        <v>762</v>
      </c>
      <c r="B265" t="s">
        <v>2046</v>
      </c>
      <c r="C265">
        <v>63</v>
      </c>
      <c r="D265">
        <v>21.68</v>
      </c>
    </row>
    <row r="266" spans="1:4">
      <c r="A266" t="s">
        <v>762</v>
      </c>
      <c r="B266" t="s">
        <v>2046</v>
      </c>
      <c r="C266">
        <v>64</v>
      </c>
      <c r="D266">
        <v>20.91</v>
      </c>
    </row>
    <row r="267" spans="1:4">
      <c r="A267" t="s">
        <v>762</v>
      </c>
      <c r="B267" t="s">
        <v>2046</v>
      </c>
      <c r="C267">
        <v>65</v>
      </c>
      <c r="D267">
        <v>20.149999999999999</v>
      </c>
    </row>
    <row r="268" spans="1:4">
      <c r="A268" t="s">
        <v>762</v>
      </c>
      <c r="B268" t="s">
        <v>2046</v>
      </c>
      <c r="C268">
        <v>66</v>
      </c>
      <c r="D268">
        <v>19.399999999999999</v>
      </c>
    </row>
    <row r="269" spans="1:4">
      <c r="A269" t="s">
        <v>762</v>
      </c>
      <c r="B269" t="s">
        <v>2046</v>
      </c>
      <c r="C269">
        <v>67</v>
      </c>
      <c r="D269">
        <v>18.649999999999999</v>
      </c>
    </row>
    <row r="270" spans="1:4">
      <c r="A270" t="s">
        <v>762</v>
      </c>
      <c r="B270" t="s">
        <v>2046</v>
      </c>
      <c r="C270">
        <v>68</v>
      </c>
      <c r="D270">
        <v>17.920000000000002</v>
      </c>
    </row>
    <row r="271" spans="1:4">
      <c r="A271" t="s">
        <v>762</v>
      </c>
      <c r="B271" t="s">
        <v>2046</v>
      </c>
      <c r="C271">
        <v>69</v>
      </c>
      <c r="D271">
        <v>17.190000000000001</v>
      </c>
    </row>
    <row r="272" spans="1:4">
      <c r="A272" t="s">
        <v>762</v>
      </c>
      <c r="B272" t="s">
        <v>2046</v>
      </c>
      <c r="C272">
        <v>70</v>
      </c>
      <c r="D272">
        <v>16.47</v>
      </c>
    </row>
    <row r="273" spans="1:4">
      <c r="A273" t="s">
        <v>762</v>
      </c>
      <c r="B273" t="s">
        <v>2046</v>
      </c>
      <c r="C273">
        <v>71</v>
      </c>
      <c r="D273">
        <v>15.77</v>
      </c>
    </row>
    <row r="274" spans="1:4">
      <c r="A274" t="s">
        <v>762</v>
      </c>
      <c r="B274" t="s">
        <v>2046</v>
      </c>
      <c r="C274">
        <v>72</v>
      </c>
      <c r="D274">
        <v>15.07</v>
      </c>
    </row>
    <row r="275" spans="1:4">
      <c r="A275" t="s">
        <v>762</v>
      </c>
      <c r="B275" t="s">
        <v>2046</v>
      </c>
      <c r="C275">
        <v>73</v>
      </c>
      <c r="D275">
        <v>14.39</v>
      </c>
    </row>
    <row r="276" spans="1:4">
      <c r="A276" t="s">
        <v>762</v>
      </c>
      <c r="B276" t="s">
        <v>2046</v>
      </c>
      <c r="C276">
        <v>74</v>
      </c>
      <c r="D276">
        <v>13.72</v>
      </c>
    </row>
    <row r="277" spans="1:4">
      <c r="A277" t="s">
        <v>762</v>
      </c>
      <c r="B277" t="s">
        <v>2046</v>
      </c>
      <c r="C277">
        <v>75</v>
      </c>
      <c r="D277">
        <v>13.05</v>
      </c>
    </row>
    <row r="278" spans="1:4">
      <c r="A278" t="s">
        <v>762</v>
      </c>
      <c r="B278" t="s">
        <v>2046</v>
      </c>
      <c r="C278">
        <v>76</v>
      </c>
      <c r="D278">
        <v>12.39</v>
      </c>
    </row>
    <row r="279" spans="1:4">
      <c r="A279" t="s">
        <v>762</v>
      </c>
      <c r="B279" t="s">
        <v>2046</v>
      </c>
      <c r="C279">
        <v>77</v>
      </c>
      <c r="D279">
        <v>11.73</v>
      </c>
    </row>
    <row r="280" spans="1:4">
      <c r="A280" t="s">
        <v>762</v>
      </c>
      <c r="B280" t="s">
        <v>2046</v>
      </c>
      <c r="C280">
        <v>78</v>
      </c>
      <c r="D280">
        <v>11.09</v>
      </c>
    </row>
    <row r="281" spans="1:4">
      <c r="A281" t="s">
        <v>762</v>
      </c>
      <c r="B281" t="s">
        <v>2046</v>
      </c>
      <c r="C281">
        <v>79</v>
      </c>
      <c r="D281">
        <v>10.46</v>
      </c>
    </row>
    <row r="282" spans="1:4">
      <c r="A282" t="s">
        <v>762</v>
      </c>
      <c r="B282" t="s">
        <v>2046</v>
      </c>
      <c r="C282">
        <v>80</v>
      </c>
      <c r="D282">
        <v>9.85</v>
      </c>
    </row>
    <row r="283" spans="1:4">
      <c r="A283" t="s">
        <v>762</v>
      </c>
      <c r="B283" t="s">
        <v>2046</v>
      </c>
      <c r="C283">
        <v>81</v>
      </c>
      <c r="D283">
        <v>9.26</v>
      </c>
    </row>
    <row r="284" spans="1:4">
      <c r="A284" t="s">
        <v>762</v>
      </c>
      <c r="B284" t="s">
        <v>2046</v>
      </c>
      <c r="C284">
        <v>82</v>
      </c>
      <c r="D284">
        <v>8.6999999999999993</v>
      </c>
    </row>
    <row r="285" spans="1:4">
      <c r="A285" t="s">
        <v>762</v>
      </c>
      <c r="B285" t="s">
        <v>2046</v>
      </c>
      <c r="C285">
        <v>83</v>
      </c>
      <c r="D285">
        <v>8.15</v>
      </c>
    </row>
    <row r="286" spans="1:4">
      <c r="A286" t="s">
        <v>762</v>
      </c>
      <c r="B286" t="s">
        <v>2046</v>
      </c>
      <c r="C286">
        <v>84</v>
      </c>
      <c r="D286">
        <v>7.63</v>
      </c>
    </row>
    <row r="287" spans="1:4">
      <c r="A287" t="s">
        <v>762</v>
      </c>
      <c r="B287" t="s">
        <v>2046</v>
      </c>
      <c r="C287">
        <v>85</v>
      </c>
      <c r="D287">
        <v>7.12</v>
      </c>
    </row>
    <row r="288" spans="1:4">
      <c r="A288" t="s">
        <v>762</v>
      </c>
      <c r="B288" t="s">
        <v>2046</v>
      </c>
      <c r="C288">
        <v>86</v>
      </c>
      <c r="D288">
        <v>6.64</v>
      </c>
    </row>
    <row r="289" spans="1:4">
      <c r="A289" t="s">
        <v>762</v>
      </c>
      <c r="B289" t="s">
        <v>2046</v>
      </c>
      <c r="C289">
        <v>87</v>
      </c>
      <c r="D289">
        <v>6.17</v>
      </c>
    </row>
    <row r="290" spans="1:4">
      <c r="A290" t="s">
        <v>762</v>
      </c>
      <c r="B290" t="s">
        <v>2046</v>
      </c>
      <c r="C290">
        <v>88</v>
      </c>
      <c r="D290">
        <v>5.73</v>
      </c>
    </row>
    <row r="291" spans="1:4">
      <c r="A291" t="s">
        <v>762</v>
      </c>
      <c r="B291" t="s">
        <v>2046</v>
      </c>
      <c r="C291">
        <v>89</v>
      </c>
      <c r="D291">
        <v>5.32</v>
      </c>
    </row>
    <row r="292" spans="1:4">
      <c r="A292" t="s">
        <v>762</v>
      </c>
      <c r="B292" t="s">
        <v>2046</v>
      </c>
      <c r="C292">
        <v>90</v>
      </c>
      <c r="D292">
        <v>4.93</v>
      </c>
    </row>
    <row r="293" spans="1:4">
      <c r="A293" t="s">
        <v>762</v>
      </c>
      <c r="B293" t="s">
        <v>2046</v>
      </c>
      <c r="C293">
        <v>91</v>
      </c>
      <c r="D293">
        <v>4.57</v>
      </c>
    </row>
    <row r="294" spans="1:4">
      <c r="A294" t="s">
        <v>762</v>
      </c>
      <c r="B294" t="s">
        <v>2046</v>
      </c>
      <c r="C294">
        <v>92</v>
      </c>
      <c r="D294">
        <v>4.24</v>
      </c>
    </row>
    <row r="295" spans="1:4">
      <c r="A295" t="s">
        <v>762</v>
      </c>
      <c r="B295" t="s">
        <v>2046</v>
      </c>
      <c r="C295">
        <v>93</v>
      </c>
      <c r="D295">
        <v>3.93</v>
      </c>
    </row>
    <row r="296" spans="1:4">
      <c r="A296" t="s">
        <v>762</v>
      </c>
      <c r="B296" t="s">
        <v>2046</v>
      </c>
      <c r="C296">
        <v>94</v>
      </c>
      <c r="D296">
        <v>3.65</v>
      </c>
    </row>
    <row r="297" spans="1:4">
      <c r="A297" t="s">
        <v>762</v>
      </c>
      <c r="B297" t="s">
        <v>2046</v>
      </c>
      <c r="C297">
        <v>95</v>
      </c>
      <c r="D297">
        <v>3.4</v>
      </c>
    </row>
    <row r="298" spans="1:4">
      <c r="A298" t="s">
        <v>762</v>
      </c>
      <c r="B298" t="s">
        <v>2046</v>
      </c>
      <c r="C298">
        <v>96</v>
      </c>
      <c r="D298">
        <v>3.16</v>
      </c>
    </row>
    <row r="299" spans="1:4">
      <c r="A299" t="s">
        <v>762</v>
      </c>
      <c r="B299" t="s">
        <v>2046</v>
      </c>
      <c r="C299">
        <v>97</v>
      </c>
      <c r="D299">
        <v>2.95</v>
      </c>
    </row>
    <row r="300" spans="1:4">
      <c r="A300" t="s">
        <v>762</v>
      </c>
      <c r="B300" t="s">
        <v>2046</v>
      </c>
      <c r="C300">
        <v>98</v>
      </c>
      <c r="D300">
        <v>2.75</v>
      </c>
    </row>
    <row r="301" spans="1:4">
      <c r="A301" t="s">
        <v>762</v>
      </c>
      <c r="B301" t="s">
        <v>2046</v>
      </c>
      <c r="C301">
        <v>99</v>
      </c>
      <c r="D301">
        <v>2.58</v>
      </c>
    </row>
    <row r="302" spans="1:4">
      <c r="A302" t="s">
        <v>746</v>
      </c>
      <c r="B302" t="s">
        <v>2046</v>
      </c>
      <c r="C302">
        <v>0</v>
      </c>
      <c r="D302">
        <v>83.97</v>
      </c>
    </row>
    <row r="303" spans="1:4">
      <c r="A303" t="s">
        <v>746</v>
      </c>
      <c r="B303" t="s">
        <v>2046</v>
      </c>
      <c r="C303">
        <v>1</v>
      </c>
      <c r="D303">
        <v>83.36</v>
      </c>
    </row>
    <row r="304" spans="1:4">
      <c r="A304" t="s">
        <v>746</v>
      </c>
      <c r="B304" t="s">
        <v>2046</v>
      </c>
      <c r="C304">
        <v>2</v>
      </c>
      <c r="D304">
        <v>82.38</v>
      </c>
    </row>
    <row r="305" spans="1:4">
      <c r="A305" t="s">
        <v>746</v>
      </c>
      <c r="B305" t="s">
        <v>2046</v>
      </c>
      <c r="C305">
        <v>3</v>
      </c>
      <c r="D305">
        <v>81.400000000000006</v>
      </c>
    </row>
    <row r="306" spans="1:4">
      <c r="A306" t="s">
        <v>746</v>
      </c>
      <c r="B306" t="s">
        <v>2046</v>
      </c>
      <c r="C306">
        <v>4</v>
      </c>
      <c r="D306">
        <v>80.41</v>
      </c>
    </row>
    <row r="307" spans="1:4">
      <c r="A307" t="s">
        <v>746</v>
      </c>
      <c r="B307" t="s">
        <v>2046</v>
      </c>
      <c r="C307">
        <v>5</v>
      </c>
      <c r="D307">
        <v>79.42</v>
      </c>
    </row>
    <row r="308" spans="1:4">
      <c r="A308" t="s">
        <v>746</v>
      </c>
      <c r="B308" t="s">
        <v>2046</v>
      </c>
      <c r="C308">
        <v>6</v>
      </c>
      <c r="D308">
        <v>78.430000000000007</v>
      </c>
    </row>
    <row r="309" spans="1:4">
      <c r="A309" t="s">
        <v>746</v>
      </c>
      <c r="B309" t="s">
        <v>2046</v>
      </c>
      <c r="C309">
        <v>7</v>
      </c>
      <c r="D309">
        <v>77.430000000000007</v>
      </c>
    </row>
    <row r="310" spans="1:4">
      <c r="A310" t="s">
        <v>746</v>
      </c>
      <c r="B310" t="s">
        <v>2046</v>
      </c>
      <c r="C310">
        <v>8</v>
      </c>
      <c r="D310">
        <v>76.44</v>
      </c>
    </row>
    <row r="311" spans="1:4">
      <c r="A311" t="s">
        <v>746</v>
      </c>
      <c r="B311" t="s">
        <v>2046</v>
      </c>
      <c r="C311">
        <v>9</v>
      </c>
      <c r="D311">
        <v>75.45</v>
      </c>
    </row>
    <row r="312" spans="1:4">
      <c r="A312" t="s">
        <v>746</v>
      </c>
      <c r="B312" t="s">
        <v>2046</v>
      </c>
      <c r="C312">
        <v>10</v>
      </c>
      <c r="D312">
        <v>74.45</v>
      </c>
    </row>
    <row r="313" spans="1:4">
      <c r="A313" t="s">
        <v>746</v>
      </c>
      <c r="B313" t="s">
        <v>2046</v>
      </c>
      <c r="C313">
        <v>11</v>
      </c>
      <c r="D313">
        <v>73.459999999999994</v>
      </c>
    </row>
    <row r="314" spans="1:4">
      <c r="A314" t="s">
        <v>746</v>
      </c>
      <c r="B314" t="s">
        <v>2046</v>
      </c>
      <c r="C314">
        <v>12</v>
      </c>
      <c r="D314">
        <v>72.47</v>
      </c>
    </row>
    <row r="315" spans="1:4">
      <c r="A315" t="s">
        <v>746</v>
      </c>
      <c r="B315" t="s">
        <v>2046</v>
      </c>
      <c r="C315">
        <v>13</v>
      </c>
      <c r="D315">
        <v>71.47</v>
      </c>
    </row>
    <row r="316" spans="1:4">
      <c r="A316" t="s">
        <v>746</v>
      </c>
      <c r="B316" t="s">
        <v>2046</v>
      </c>
      <c r="C316">
        <v>14</v>
      </c>
      <c r="D316">
        <v>70.489999999999995</v>
      </c>
    </row>
    <row r="317" spans="1:4">
      <c r="A317" t="s">
        <v>746</v>
      </c>
      <c r="B317" t="s">
        <v>2046</v>
      </c>
      <c r="C317">
        <v>15</v>
      </c>
      <c r="D317">
        <v>69.5</v>
      </c>
    </row>
    <row r="318" spans="1:4">
      <c r="A318" t="s">
        <v>746</v>
      </c>
      <c r="B318" t="s">
        <v>2046</v>
      </c>
      <c r="C318">
        <v>16</v>
      </c>
      <c r="D318">
        <v>68.510000000000005</v>
      </c>
    </row>
    <row r="319" spans="1:4">
      <c r="A319" t="s">
        <v>746</v>
      </c>
      <c r="B319" t="s">
        <v>2046</v>
      </c>
      <c r="C319">
        <v>17</v>
      </c>
      <c r="D319">
        <v>67.53</v>
      </c>
    </row>
    <row r="320" spans="1:4">
      <c r="A320" t="s">
        <v>746</v>
      </c>
      <c r="B320" t="s">
        <v>2046</v>
      </c>
      <c r="C320">
        <v>18</v>
      </c>
      <c r="D320">
        <v>66.56</v>
      </c>
    </row>
    <row r="321" spans="1:4">
      <c r="A321" t="s">
        <v>746</v>
      </c>
      <c r="B321" t="s">
        <v>2046</v>
      </c>
      <c r="C321">
        <v>19</v>
      </c>
      <c r="D321">
        <v>65.58</v>
      </c>
    </row>
    <row r="322" spans="1:4">
      <c r="A322" t="s">
        <v>746</v>
      </c>
      <c r="B322" t="s">
        <v>2046</v>
      </c>
      <c r="C322">
        <v>20</v>
      </c>
      <c r="D322">
        <v>64.599999999999994</v>
      </c>
    </row>
    <row r="323" spans="1:4">
      <c r="A323" t="s">
        <v>746</v>
      </c>
      <c r="B323" t="s">
        <v>2046</v>
      </c>
      <c r="C323">
        <v>21</v>
      </c>
      <c r="D323">
        <v>63.63</v>
      </c>
    </row>
    <row r="324" spans="1:4">
      <c r="A324" t="s">
        <v>746</v>
      </c>
      <c r="B324" t="s">
        <v>2046</v>
      </c>
      <c r="C324">
        <v>22</v>
      </c>
      <c r="D324">
        <v>62.66</v>
      </c>
    </row>
    <row r="325" spans="1:4">
      <c r="A325" t="s">
        <v>746</v>
      </c>
      <c r="B325" t="s">
        <v>2046</v>
      </c>
      <c r="C325">
        <v>23</v>
      </c>
      <c r="D325">
        <v>61.69</v>
      </c>
    </row>
    <row r="326" spans="1:4">
      <c r="A326" t="s">
        <v>746</v>
      </c>
      <c r="B326" t="s">
        <v>2046</v>
      </c>
      <c r="C326">
        <v>24</v>
      </c>
      <c r="D326">
        <v>60.72</v>
      </c>
    </row>
    <row r="327" spans="1:4">
      <c r="A327" t="s">
        <v>746</v>
      </c>
      <c r="B327" t="s">
        <v>2046</v>
      </c>
      <c r="C327">
        <v>25</v>
      </c>
      <c r="D327">
        <v>59.75</v>
      </c>
    </row>
    <row r="328" spans="1:4">
      <c r="A328" t="s">
        <v>746</v>
      </c>
      <c r="B328" t="s">
        <v>2046</v>
      </c>
      <c r="C328">
        <v>26</v>
      </c>
      <c r="D328">
        <v>58.78</v>
      </c>
    </row>
    <row r="329" spans="1:4">
      <c r="A329" t="s">
        <v>746</v>
      </c>
      <c r="B329" t="s">
        <v>2046</v>
      </c>
      <c r="C329">
        <v>27</v>
      </c>
      <c r="D329">
        <v>57.81</v>
      </c>
    </row>
    <row r="330" spans="1:4">
      <c r="A330" t="s">
        <v>746</v>
      </c>
      <c r="B330" t="s">
        <v>2046</v>
      </c>
      <c r="C330">
        <v>28</v>
      </c>
      <c r="D330">
        <v>56.84</v>
      </c>
    </row>
    <row r="331" spans="1:4">
      <c r="A331" t="s">
        <v>746</v>
      </c>
      <c r="B331" t="s">
        <v>2046</v>
      </c>
      <c r="C331">
        <v>29</v>
      </c>
      <c r="D331">
        <v>55.87</v>
      </c>
    </row>
    <row r="332" spans="1:4">
      <c r="A332" t="s">
        <v>746</v>
      </c>
      <c r="B332" t="s">
        <v>2046</v>
      </c>
      <c r="C332">
        <v>30</v>
      </c>
      <c r="D332">
        <v>54.91</v>
      </c>
    </row>
    <row r="333" spans="1:4">
      <c r="A333" t="s">
        <v>746</v>
      </c>
      <c r="B333" t="s">
        <v>2046</v>
      </c>
      <c r="C333">
        <v>31</v>
      </c>
      <c r="D333">
        <v>53.94</v>
      </c>
    </row>
    <row r="334" spans="1:4">
      <c r="A334" t="s">
        <v>746</v>
      </c>
      <c r="B334" t="s">
        <v>2046</v>
      </c>
      <c r="C334">
        <v>32</v>
      </c>
      <c r="D334">
        <v>52.98</v>
      </c>
    </row>
    <row r="335" spans="1:4">
      <c r="A335" t="s">
        <v>746</v>
      </c>
      <c r="B335" t="s">
        <v>2046</v>
      </c>
      <c r="C335">
        <v>33</v>
      </c>
      <c r="D335">
        <v>52.02</v>
      </c>
    </row>
    <row r="336" spans="1:4">
      <c r="A336" t="s">
        <v>746</v>
      </c>
      <c r="B336" t="s">
        <v>2046</v>
      </c>
      <c r="C336">
        <v>34</v>
      </c>
      <c r="D336">
        <v>51.06</v>
      </c>
    </row>
    <row r="337" spans="1:4">
      <c r="A337" t="s">
        <v>746</v>
      </c>
      <c r="B337" t="s">
        <v>2046</v>
      </c>
      <c r="C337">
        <v>35</v>
      </c>
      <c r="D337">
        <v>50.1</v>
      </c>
    </row>
    <row r="338" spans="1:4">
      <c r="A338" t="s">
        <v>746</v>
      </c>
      <c r="B338" t="s">
        <v>2046</v>
      </c>
      <c r="C338">
        <v>36</v>
      </c>
      <c r="D338">
        <v>49.14</v>
      </c>
    </row>
    <row r="339" spans="1:4">
      <c r="A339" t="s">
        <v>746</v>
      </c>
      <c r="B339" t="s">
        <v>2046</v>
      </c>
      <c r="C339">
        <v>37</v>
      </c>
      <c r="D339">
        <v>48.19</v>
      </c>
    </row>
    <row r="340" spans="1:4">
      <c r="A340" t="s">
        <v>746</v>
      </c>
      <c r="B340" t="s">
        <v>2046</v>
      </c>
      <c r="C340">
        <v>38</v>
      </c>
      <c r="D340">
        <v>47.23</v>
      </c>
    </row>
    <row r="341" spans="1:4">
      <c r="A341" t="s">
        <v>746</v>
      </c>
      <c r="B341" t="s">
        <v>2046</v>
      </c>
      <c r="C341">
        <v>39</v>
      </c>
      <c r="D341">
        <v>46.27</v>
      </c>
    </row>
    <row r="342" spans="1:4">
      <c r="A342" t="s">
        <v>746</v>
      </c>
      <c r="B342" t="s">
        <v>2046</v>
      </c>
      <c r="C342">
        <v>40</v>
      </c>
      <c r="D342">
        <v>45.32</v>
      </c>
    </row>
    <row r="343" spans="1:4">
      <c r="A343" t="s">
        <v>746</v>
      </c>
      <c r="B343" t="s">
        <v>2046</v>
      </c>
      <c r="C343">
        <v>41</v>
      </c>
      <c r="D343">
        <v>44.37</v>
      </c>
    </row>
    <row r="344" spans="1:4">
      <c r="A344" t="s">
        <v>746</v>
      </c>
      <c r="B344" t="s">
        <v>2046</v>
      </c>
      <c r="C344">
        <v>42</v>
      </c>
      <c r="D344">
        <v>43.42</v>
      </c>
    </row>
    <row r="345" spans="1:4">
      <c r="A345" t="s">
        <v>746</v>
      </c>
      <c r="B345" t="s">
        <v>2046</v>
      </c>
      <c r="C345">
        <v>43</v>
      </c>
      <c r="D345">
        <v>42.47</v>
      </c>
    </row>
    <row r="346" spans="1:4">
      <c r="A346" t="s">
        <v>746</v>
      </c>
      <c r="B346" t="s">
        <v>2046</v>
      </c>
      <c r="C346">
        <v>44</v>
      </c>
      <c r="D346">
        <v>41.52</v>
      </c>
    </row>
    <row r="347" spans="1:4">
      <c r="A347" t="s">
        <v>746</v>
      </c>
      <c r="B347" t="s">
        <v>2046</v>
      </c>
      <c r="C347">
        <v>45</v>
      </c>
      <c r="D347">
        <v>40.58</v>
      </c>
    </row>
    <row r="348" spans="1:4">
      <c r="A348" t="s">
        <v>746</v>
      </c>
      <c r="B348" t="s">
        <v>2046</v>
      </c>
      <c r="C348">
        <v>46</v>
      </c>
      <c r="D348">
        <v>39.64</v>
      </c>
    </row>
    <row r="349" spans="1:4">
      <c r="A349" t="s">
        <v>746</v>
      </c>
      <c r="B349" t="s">
        <v>2046</v>
      </c>
      <c r="C349">
        <v>47</v>
      </c>
      <c r="D349">
        <v>38.71</v>
      </c>
    </row>
    <row r="350" spans="1:4">
      <c r="A350" t="s">
        <v>746</v>
      </c>
      <c r="B350" t="s">
        <v>2046</v>
      </c>
      <c r="C350">
        <v>48</v>
      </c>
      <c r="D350">
        <v>37.770000000000003</v>
      </c>
    </row>
    <row r="351" spans="1:4">
      <c r="A351" t="s">
        <v>746</v>
      </c>
      <c r="B351" t="s">
        <v>2046</v>
      </c>
      <c r="C351">
        <v>49</v>
      </c>
      <c r="D351">
        <v>36.840000000000003</v>
      </c>
    </row>
    <row r="352" spans="1:4">
      <c r="A352" t="s">
        <v>746</v>
      </c>
      <c r="B352" t="s">
        <v>2046</v>
      </c>
      <c r="C352">
        <v>50</v>
      </c>
      <c r="D352">
        <v>35.92</v>
      </c>
    </row>
    <row r="353" spans="1:4">
      <c r="A353" t="s">
        <v>746</v>
      </c>
      <c r="B353" t="s">
        <v>2046</v>
      </c>
      <c r="C353">
        <v>51</v>
      </c>
      <c r="D353">
        <v>34.99</v>
      </c>
    </row>
    <row r="354" spans="1:4">
      <c r="A354" t="s">
        <v>746</v>
      </c>
      <c r="B354" t="s">
        <v>2046</v>
      </c>
      <c r="C354">
        <v>52</v>
      </c>
      <c r="D354">
        <v>34.07</v>
      </c>
    </row>
    <row r="355" spans="1:4">
      <c r="A355" t="s">
        <v>746</v>
      </c>
      <c r="B355" t="s">
        <v>2046</v>
      </c>
      <c r="C355">
        <v>53</v>
      </c>
      <c r="D355">
        <v>33.159999999999997</v>
      </c>
    </row>
    <row r="356" spans="1:4">
      <c r="A356" t="s">
        <v>746</v>
      </c>
      <c r="B356" t="s">
        <v>2046</v>
      </c>
      <c r="C356">
        <v>54</v>
      </c>
      <c r="D356">
        <v>32.25</v>
      </c>
    </row>
    <row r="357" spans="1:4">
      <c r="A357" t="s">
        <v>746</v>
      </c>
      <c r="B357" t="s">
        <v>2046</v>
      </c>
      <c r="C357">
        <v>55</v>
      </c>
      <c r="D357">
        <v>31.34</v>
      </c>
    </row>
    <row r="358" spans="1:4">
      <c r="A358" t="s">
        <v>746</v>
      </c>
      <c r="B358" t="s">
        <v>2046</v>
      </c>
      <c r="C358">
        <v>56</v>
      </c>
      <c r="D358">
        <v>30.43</v>
      </c>
    </row>
    <row r="359" spans="1:4">
      <c r="A359" t="s">
        <v>746</v>
      </c>
      <c r="B359" t="s">
        <v>2046</v>
      </c>
      <c r="C359">
        <v>57</v>
      </c>
      <c r="D359">
        <v>29.53</v>
      </c>
    </row>
    <row r="360" spans="1:4">
      <c r="A360" t="s">
        <v>746</v>
      </c>
      <c r="B360" t="s">
        <v>2046</v>
      </c>
      <c r="C360">
        <v>58</v>
      </c>
      <c r="D360">
        <v>28.64</v>
      </c>
    </row>
    <row r="361" spans="1:4">
      <c r="A361" t="s">
        <v>746</v>
      </c>
      <c r="B361" t="s">
        <v>2046</v>
      </c>
      <c r="C361">
        <v>59</v>
      </c>
      <c r="D361">
        <v>27.75</v>
      </c>
    </row>
    <row r="362" spans="1:4">
      <c r="A362" t="s">
        <v>746</v>
      </c>
      <c r="B362" t="s">
        <v>2046</v>
      </c>
      <c r="C362">
        <v>60</v>
      </c>
      <c r="D362">
        <v>26.88</v>
      </c>
    </row>
    <row r="363" spans="1:4">
      <c r="A363" t="s">
        <v>746</v>
      </c>
      <c r="B363" t="s">
        <v>2046</v>
      </c>
      <c r="C363">
        <v>61</v>
      </c>
      <c r="D363">
        <v>26.01</v>
      </c>
    </row>
    <row r="364" spans="1:4">
      <c r="A364" t="s">
        <v>746</v>
      </c>
      <c r="B364" t="s">
        <v>2046</v>
      </c>
      <c r="C364">
        <v>62</v>
      </c>
      <c r="D364">
        <v>25.15</v>
      </c>
    </row>
    <row r="365" spans="1:4">
      <c r="A365" t="s">
        <v>746</v>
      </c>
      <c r="B365" t="s">
        <v>2046</v>
      </c>
      <c r="C365">
        <v>63</v>
      </c>
      <c r="D365">
        <v>24.29</v>
      </c>
    </row>
    <row r="366" spans="1:4">
      <c r="A366" t="s">
        <v>746</v>
      </c>
      <c r="B366" t="s">
        <v>2046</v>
      </c>
      <c r="C366">
        <v>64</v>
      </c>
      <c r="D366">
        <v>23.44</v>
      </c>
    </row>
    <row r="367" spans="1:4">
      <c r="A367" t="s">
        <v>746</v>
      </c>
      <c r="B367" t="s">
        <v>2046</v>
      </c>
      <c r="C367">
        <v>65</v>
      </c>
      <c r="D367">
        <v>22.6</v>
      </c>
    </row>
    <row r="368" spans="1:4">
      <c r="A368" t="s">
        <v>746</v>
      </c>
      <c r="B368" t="s">
        <v>2046</v>
      </c>
      <c r="C368">
        <v>66</v>
      </c>
      <c r="D368">
        <v>21.76</v>
      </c>
    </row>
    <row r="369" spans="1:4">
      <c r="A369" t="s">
        <v>746</v>
      </c>
      <c r="B369" t="s">
        <v>2046</v>
      </c>
      <c r="C369">
        <v>67</v>
      </c>
      <c r="D369">
        <v>20.92</v>
      </c>
    </row>
    <row r="370" spans="1:4">
      <c r="A370" t="s">
        <v>746</v>
      </c>
      <c r="B370" t="s">
        <v>2046</v>
      </c>
      <c r="C370">
        <v>68</v>
      </c>
      <c r="D370">
        <v>20.09</v>
      </c>
    </row>
    <row r="371" spans="1:4">
      <c r="A371" t="s">
        <v>746</v>
      </c>
      <c r="B371" t="s">
        <v>2046</v>
      </c>
      <c r="C371">
        <v>69</v>
      </c>
      <c r="D371">
        <v>19.27</v>
      </c>
    </row>
    <row r="372" spans="1:4">
      <c r="A372" t="s">
        <v>746</v>
      </c>
      <c r="B372" t="s">
        <v>2046</v>
      </c>
      <c r="C372">
        <v>70</v>
      </c>
      <c r="D372">
        <v>18.45</v>
      </c>
    </row>
    <row r="373" spans="1:4">
      <c r="A373" t="s">
        <v>746</v>
      </c>
      <c r="B373" t="s">
        <v>2046</v>
      </c>
      <c r="C373">
        <v>71</v>
      </c>
      <c r="D373">
        <v>17.649999999999999</v>
      </c>
    </row>
    <row r="374" spans="1:4">
      <c r="A374" t="s">
        <v>746</v>
      </c>
      <c r="B374" t="s">
        <v>2046</v>
      </c>
      <c r="C374">
        <v>72</v>
      </c>
      <c r="D374">
        <v>16.86</v>
      </c>
    </row>
    <row r="375" spans="1:4">
      <c r="A375" t="s">
        <v>746</v>
      </c>
      <c r="B375" t="s">
        <v>2046</v>
      </c>
      <c r="C375">
        <v>73</v>
      </c>
      <c r="D375">
        <v>16.09</v>
      </c>
    </row>
    <row r="376" spans="1:4">
      <c r="A376" t="s">
        <v>746</v>
      </c>
      <c r="B376" t="s">
        <v>2046</v>
      </c>
      <c r="C376">
        <v>74</v>
      </c>
      <c r="D376">
        <v>15.32</v>
      </c>
    </row>
    <row r="377" spans="1:4">
      <c r="A377" t="s">
        <v>746</v>
      </c>
      <c r="B377" t="s">
        <v>2046</v>
      </c>
      <c r="C377">
        <v>75</v>
      </c>
      <c r="D377">
        <v>14.56</v>
      </c>
    </row>
    <row r="378" spans="1:4">
      <c r="A378" t="s">
        <v>746</v>
      </c>
      <c r="B378" t="s">
        <v>2046</v>
      </c>
      <c r="C378">
        <v>76</v>
      </c>
      <c r="D378">
        <v>13.82</v>
      </c>
    </row>
    <row r="379" spans="1:4">
      <c r="A379" t="s">
        <v>746</v>
      </c>
      <c r="B379" t="s">
        <v>2046</v>
      </c>
      <c r="C379">
        <v>77</v>
      </c>
      <c r="D379">
        <v>13.09</v>
      </c>
    </row>
    <row r="380" spans="1:4">
      <c r="A380" t="s">
        <v>746</v>
      </c>
      <c r="B380" t="s">
        <v>2046</v>
      </c>
      <c r="C380">
        <v>78</v>
      </c>
      <c r="D380">
        <v>12.38</v>
      </c>
    </row>
    <row r="381" spans="1:4">
      <c r="A381" t="s">
        <v>746</v>
      </c>
      <c r="B381" t="s">
        <v>2046</v>
      </c>
      <c r="C381">
        <v>79</v>
      </c>
      <c r="D381">
        <v>11.68</v>
      </c>
    </row>
    <row r="382" spans="1:4">
      <c r="A382" t="s">
        <v>746</v>
      </c>
      <c r="B382" t="s">
        <v>2046</v>
      </c>
      <c r="C382">
        <v>80</v>
      </c>
      <c r="D382">
        <v>11</v>
      </c>
    </row>
    <row r="383" spans="1:4">
      <c r="A383" t="s">
        <v>746</v>
      </c>
      <c r="B383" t="s">
        <v>2046</v>
      </c>
      <c r="C383">
        <v>81</v>
      </c>
      <c r="D383">
        <v>10.33</v>
      </c>
    </row>
    <row r="384" spans="1:4">
      <c r="A384" t="s">
        <v>746</v>
      </c>
      <c r="B384" t="s">
        <v>2046</v>
      </c>
      <c r="C384">
        <v>82</v>
      </c>
      <c r="D384">
        <v>9.69</v>
      </c>
    </row>
    <row r="385" spans="1:4">
      <c r="A385" t="s">
        <v>746</v>
      </c>
      <c r="B385" t="s">
        <v>2046</v>
      </c>
      <c r="C385">
        <v>83</v>
      </c>
      <c r="D385">
        <v>9.08</v>
      </c>
    </row>
    <row r="386" spans="1:4">
      <c r="A386" t="s">
        <v>746</v>
      </c>
      <c r="B386" t="s">
        <v>2046</v>
      </c>
      <c r="C386">
        <v>84</v>
      </c>
      <c r="D386">
        <v>8.48</v>
      </c>
    </row>
    <row r="387" spans="1:4">
      <c r="A387" t="s">
        <v>746</v>
      </c>
      <c r="B387" t="s">
        <v>2046</v>
      </c>
      <c r="C387">
        <v>85</v>
      </c>
      <c r="D387">
        <v>7.91</v>
      </c>
    </row>
    <row r="388" spans="1:4">
      <c r="A388" t="s">
        <v>746</v>
      </c>
      <c r="B388" t="s">
        <v>2046</v>
      </c>
      <c r="C388">
        <v>86</v>
      </c>
      <c r="D388">
        <v>7.35</v>
      </c>
    </row>
    <row r="389" spans="1:4">
      <c r="A389" t="s">
        <v>746</v>
      </c>
      <c r="B389" t="s">
        <v>2046</v>
      </c>
      <c r="C389">
        <v>87</v>
      </c>
      <c r="D389">
        <v>6.82</v>
      </c>
    </row>
    <row r="390" spans="1:4">
      <c r="A390" t="s">
        <v>746</v>
      </c>
      <c r="B390" t="s">
        <v>2046</v>
      </c>
      <c r="C390">
        <v>88</v>
      </c>
      <c r="D390">
        <v>6.32</v>
      </c>
    </row>
    <row r="391" spans="1:4">
      <c r="A391" t="s">
        <v>746</v>
      </c>
      <c r="B391" t="s">
        <v>2046</v>
      </c>
      <c r="C391">
        <v>89</v>
      </c>
      <c r="D391">
        <v>5.84</v>
      </c>
    </row>
    <row r="392" spans="1:4">
      <c r="A392" t="s">
        <v>746</v>
      </c>
      <c r="B392" t="s">
        <v>2046</v>
      </c>
      <c r="C392">
        <v>90</v>
      </c>
      <c r="D392">
        <v>5.4</v>
      </c>
    </row>
    <row r="393" spans="1:4">
      <c r="A393" t="s">
        <v>746</v>
      </c>
      <c r="B393" t="s">
        <v>2046</v>
      </c>
      <c r="C393">
        <v>91</v>
      </c>
      <c r="D393">
        <v>4.99</v>
      </c>
    </row>
    <row r="394" spans="1:4">
      <c r="A394" t="s">
        <v>746</v>
      </c>
      <c r="B394" t="s">
        <v>2046</v>
      </c>
      <c r="C394">
        <v>92</v>
      </c>
      <c r="D394">
        <v>4.6100000000000003</v>
      </c>
    </row>
    <row r="395" spans="1:4">
      <c r="A395" t="s">
        <v>746</v>
      </c>
      <c r="B395" t="s">
        <v>2046</v>
      </c>
      <c r="C395">
        <v>93</v>
      </c>
      <c r="D395">
        <v>4.25</v>
      </c>
    </row>
    <row r="396" spans="1:4">
      <c r="A396" t="s">
        <v>746</v>
      </c>
      <c r="B396" t="s">
        <v>2046</v>
      </c>
      <c r="C396">
        <v>94</v>
      </c>
      <c r="D396">
        <v>3.93</v>
      </c>
    </row>
    <row r="397" spans="1:4">
      <c r="A397" t="s">
        <v>746</v>
      </c>
      <c r="B397" t="s">
        <v>2046</v>
      </c>
      <c r="C397">
        <v>95</v>
      </c>
      <c r="D397">
        <v>3.62</v>
      </c>
    </row>
    <row r="398" spans="1:4">
      <c r="A398" t="s">
        <v>746</v>
      </c>
      <c r="B398" t="s">
        <v>2046</v>
      </c>
      <c r="C398">
        <v>96</v>
      </c>
      <c r="D398">
        <v>3.35</v>
      </c>
    </row>
    <row r="399" spans="1:4">
      <c r="A399" t="s">
        <v>746</v>
      </c>
      <c r="B399" t="s">
        <v>2046</v>
      </c>
      <c r="C399">
        <v>97</v>
      </c>
      <c r="D399">
        <v>3.1</v>
      </c>
    </row>
    <row r="400" spans="1:4">
      <c r="A400" t="s">
        <v>746</v>
      </c>
      <c r="B400" t="s">
        <v>2046</v>
      </c>
      <c r="C400">
        <v>98</v>
      </c>
      <c r="D400">
        <v>2.87</v>
      </c>
    </row>
    <row r="401" spans="1:4">
      <c r="A401" t="s">
        <v>746</v>
      </c>
      <c r="B401" t="s">
        <v>2046</v>
      </c>
      <c r="C401">
        <v>99</v>
      </c>
      <c r="D401">
        <v>2.67</v>
      </c>
    </row>
    <row r="402" spans="1:4">
      <c r="A402" t="s">
        <v>762</v>
      </c>
      <c r="B402" t="s">
        <v>2047</v>
      </c>
      <c r="C402">
        <v>0</v>
      </c>
      <c r="D402">
        <v>70.3</v>
      </c>
    </row>
    <row r="403" spans="1:4">
      <c r="A403" t="s">
        <v>762</v>
      </c>
      <c r="B403" t="s">
        <v>2047</v>
      </c>
      <c r="C403">
        <v>1</v>
      </c>
      <c r="D403">
        <v>70.12</v>
      </c>
    </row>
    <row r="404" spans="1:4">
      <c r="A404" t="s">
        <v>762</v>
      </c>
      <c r="B404" t="s">
        <v>2047</v>
      </c>
      <c r="C404">
        <v>2</v>
      </c>
      <c r="D404">
        <v>69.180000000000007</v>
      </c>
    </row>
    <row r="405" spans="1:4">
      <c r="A405" t="s">
        <v>762</v>
      </c>
      <c r="B405" t="s">
        <v>2047</v>
      </c>
      <c r="C405">
        <v>3</v>
      </c>
      <c r="D405">
        <v>68.209999999999994</v>
      </c>
    </row>
    <row r="406" spans="1:4">
      <c r="A406" t="s">
        <v>762</v>
      </c>
      <c r="B406" t="s">
        <v>2047</v>
      </c>
      <c r="C406">
        <v>4</v>
      </c>
      <c r="D406">
        <v>67.239999999999995</v>
      </c>
    </row>
    <row r="407" spans="1:4">
      <c r="A407" t="s">
        <v>762</v>
      </c>
      <c r="B407" t="s">
        <v>2047</v>
      </c>
      <c r="C407">
        <v>5</v>
      </c>
      <c r="D407">
        <v>66.260000000000005</v>
      </c>
    </row>
    <row r="408" spans="1:4">
      <c r="A408" t="s">
        <v>762</v>
      </c>
      <c r="B408" t="s">
        <v>2047</v>
      </c>
      <c r="C408">
        <v>6</v>
      </c>
      <c r="D408">
        <v>65.28</v>
      </c>
    </row>
    <row r="409" spans="1:4">
      <c r="A409" t="s">
        <v>762</v>
      </c>
      <c r="B409" t="s">
        <v>2047</v>
      </c>
      <c r="C409">
        <v>7</v>
      </c>
      <c r="D409">
        <v>64.3</v>
      </c>
    </row>
    <row r="410" spans="1:4">
      <c r="A410" t="s">
        <v>762</v>
      </c>
      <c r="B410" t="s">
        <v>2047</v>
      </c>
      <c r="C410">
        <v>8</v>
      </c>
      <c r="D410">
        <v>63.32</v>
      </c>
    </row>
    <row r="411" spans="1:4">
      <c r="A411" t="s">
        <v>762</v>
      </c>
      <c r="B411" t="s">
        <v>2047</v>
      </c>
      <c r="C411">
        <v>9</v>
      </c>
      <c r="D411">
        <v>62.33</v>
      </c>
    </row>
    <row r="412" spans="1:4">
      <c r="A412" t="s">
        <v>762</v>
      </c>
      <c r="B412" t="s">
        <v>2047</v>
      </c>
      <c r="C412">
        <v>10</v>
      </c>
      <c r="D412">
        <v>61.34</v>
      </c>
    </row>
    <row r="413" spans="1:4">
      <c r="A413" t="s">
        <v>762</v>
      </c>
      <c r="B413" t="s">
        <v>2047</v>
      </c>
      <c r="C413">
        <v>11</v>
      </c>
      <c r="D413">
        <v>60.35</v>
      </c>
    </row>
    <row r="414" spans="1:4">
      <c r="A414" t="s">
        <v>762</v>
      </c>
      <c r="B414" t="s">
        <v>2047</v>
      </c>
      <c r="C414">
        <v>12</v>
      </c>
      <c r="D414">
        <v>59.36</v>
      </c>
    </row>
    <row r="415" spans="1:4">
      <c r="A415" t="s">
        <v>762</v>
      </c>
      <c r="B415" t="s">
        <v>2047</v>
      </c>
      <c r="C415">
        <v>13</v>
      </c>
      <c r="D415">
        <v>58.37</v>
      </c>
    </row>
    <row r="416" spans="1:4">
      <c r="A416" t="s">
        <v>762</v>
      </c>
      <c r="B416" t="s">
        <v>2047</v>
      </c>
      <c r="C416">
        <v>14</v>
      </c>
      <c r="D416">
        <v>57.4</v>
      </c>
    </row>
    <row r="417" spans="1:4">
      <c r="A417" t="s">
        <v>762</v>
      </c>
      <c r="B417" t="s">
        <v>2047</v>
      </c>
      <c r="C417">
        <v>15</v>
      </c>
      <c r="D417">
        <v>56.45</v>
      </c>
    </row>
    <row r="418" spans="1:4">
      <c r="A418" t="s">
        <v>762</v>
      </c>
      <c r="B418" t="s">
        <v>2047</v>
      </c>
      <c r="C418">
        <v>16</v>
      </c>
      <c r="D418">
        <v>55.52</v>
      </c>
    </row>
    <row r="419" spans="1:4">
      <c r="A419" t="s">
        <v>762</v>
      </c>
      <c r="B419" t="s">
        <v>2047</v>
      </c>
      <c r="C419">
        <v>17</v>
      </c>
      <c r="D419">
        <v>54.6</v>
      </c>
    </row>
    <row r="420" spans="1:4">
      <c r="A420" t="s">
        <v>762</v>
      </c>
      <c r="B420" t="s">
        <v>2047</v>
      </c>
      <c r="C420">
        <v>18</v>
      </c>
      <c r="D420">
        <v>53.7</v>
      </c>
    </row>
    <row r="421" spans="1:4">
      <c r="A421" t="s">
        <v>762</v>
      </c>
      <c r="B421" t="s">
        <v>2047</v>
      </c>
      <c r="C421">
        <v>19</v>
      </c>
      <c r="D421">
        <v>52.81</v>
      </c>
    </row>
    <row r="422" spans="1:4">
      <c r="A422" t="s">
        <v>762</v>
      </c>
      <c r="B422" t="s">
        <v>2047</v>
      </c>
      <c r="C422">
        <v>20</v>
      </c>
      <c r="D422">
        <v>51.93</v>
      </c>
    </row>
    <row r="423" spans="1:4">
      <c r="A423" t="s">
        <v>762</v>
      </c>
      <c r="B423" t="s">
        <v>2047</v>
      </c>
      <c r="C423">
        <v>21</v>
      </c>
      <c r="D423">
        <v>51.06</v>
      </c>
    </row>
    <row r="424" spans="1:4">
      <c r="A424" t="s">
        <v>762</v>
      </c>
      <c r="B424" t="s">
        <v>2047</v>
      </c>
      <c r="C424">
        <v>22</v>
      </c>
      <c r="D424">
        <v>50.19</v>
      </c>
    </row>
    <row r="425" spans="1:4">
      <c r="A425" t="s">
        <v>762</v>
      </c>
      <c r="B425" t="s">
        <v>2047</v>
      </c>
      <c r="C425">
        <v>23</v>
      </c>
      <c r="D425">
        <v>49.33</v>
      </c>
    </row>
    <row r="426" spans="1:4">
      <c r="A426" t="s">
        <v>762</v>
      </c>
      <c r="B426" t="s">
        <v>2047</v>
      </c>
      <c r="C426">
        <v>24</v>
      </c>
      <c r="D426">
        <v>48.47</v>
      </c>
    </row>
    <row r="427" spans="1:4">
      <c r="A427" t="s">
        <v>762</v>
      </c>
      <c r="B427" t="s">
        <v>2047</v>
      </c>
      <c r="C427">
        <v>25</v>
      </c>
      <c r="D427">
        <v>47.61</v>
      </c>
    </row>
    <row r="428" spans="1:4">
      <c r="A428" t="s">
        <v>762</v>
      </c>
      <c r="B428" t="s">
        <v>2047</v>
      </c>
      <c r="C428">
        <v>26</v>
      </c>
      <c r="D428">
        <v>46.75</v>
      </c>
    </row>
    <row r="429" spans="1:4">
      <c r="A429" t="s">
        <v>762</v>
      </c>
      <c r="B429" t="s">
        <v>2047</v>
      </c>
      <c r="C429">
        <v>27</v>
      </c>
      <c r="D429">
        <v>45.88</v>
      </c>
    </row>
    <row r="430" spans="1:4">
      <c r="A430" t="s">
        <v>762</v>
      </c>
      <c r="B430" t="s">
        <v>2047</v>
      </c>
      <c r="C430">
        <v>28</v>
      </c>
      <c r="D430">
        <v>45.01</v>
      </c>
    </row>
    <row r="431" spans="1:4">
      <c r="A431" t="s">
        <v>762</v>
      </c>
      <c r="B431" t="s">
        <v>2047</v>
      </c>
      <c r="C431">
        <v>29</v>
      </c>
      <c r="D431">
        <v>44.15</v>
      </c>
    </row>
    <row r="432" spans="1:4">
      <c r="A432" t="s">
        <v>762</v>
      </c>
      <c r="B432" t="s">
        <v>2047</v>
      </c>
      <c r="C432">
        <v>30</v>
      </c>
      <c r="D432">
        <v>43.29</v>
      </c>
    </row>
    <row r="433" spans="1:4">
      <c r="A433" t="s">
        <v>762</v>
      </c>
      <c r="B433" t="s">
        <v>2047</v>
      </c>
      <c r="C433">
        <v>31</v>
      </c>
      <c r="D433">
        <v>42.44</v>
      </c>
    </row>
    <row r="434" spans="1:4">
      <c r="A434" t="s">
        <v>762</v>
      </c>
      <c r="B434" t="s">
        <v>2047</v>
      </c>
      <c r="C434">
        <v>32</v>
      </c>
      <c r="D434">
        <v>41.58</v>
      </c>
    </row>
    <row r="435" spans="1:4">
      <c r="A435" t="s">
        <v>762</v>
      </c>
      <c r="B435" t="s">
        <v>2047</v>
      </c>
      <c r="C435">
        <v>33</v>
      </c>
      <c r="D435">
        <v>40.729999999999997</v>
      </c>
    </row>
    <row r="436" spans="1:4">
      <c r="A436" t="s">
        <v>762</v>
      </c>
      <c r="B436" t="s">
        <v>2047</v>
      </c>
      <c r="C436">
        <v>34</v>
      </c>
      <c r="D436">
        <v>39.89</v>
      </c>
    </row>
    <row r="437" spans="1:4">
      <c r="A437" t="s">
        <v>762</v>
      </c>
      <c r="B437" t="s">
        <v>2047</v>
      </c>
      <c r="C437">
        <v>35</v>
      </c>
      <c r="D437">
        <v>39.04</v>
      </c>
    </row>
    <row r="438" spans="1:4">
      <c r="A438" t="s">
        <v>762</v>
      </c>
      <c r="B438" t="s">
        <v>2047</v>
      </c>
      <c r="C438">
        <v>36</v>
      </c>
      <c r="D438">
        <v>38.200000000000003</v>
      </c>
    </row>
    <row r="439" spans="1:4">
      <c r="A439" t="s">
        <v>762</v>
      </c>
      <c r="B439" t="s">
        <v>2047</v>
      </c>
      <c r="C439">
        <v>37</v>
      </c>
      <c r="D439">
        <v>37.36</v>
      </c>
    </row>
    <row r="440" spans="1:4">
      <c r="A440" t="s">
        <v>762</v>
      </c>
      <c r="B440" t="s">
        <v>2047</v>
      </c>
      <c r="C440">
        <v>38</v>
      </c>
      <c r="D440">
        <v>36.53</v>
      </c>
    </row>
    <row r="441" spans="1:4">
      <c r="A441" t="s">
        <v>762</v>
      </c>
      <c r="B441" t="s">
        <v>2047</v>
      </c>
      <c r="C441">
        <v>39</v>
      </c>
      <c r="D441">
        <v>35.71</v>
      </c>
    </row>
    <row r="442" spans="1:4">
      <c r="A442" t="s">
        <v>762</v>
      </c>
      <c r="B442" t="s">
        <v>2047</v>
      </c>
      <c r="C442">
        <v>40</v>
      </c>
      <c r="D442">
        <v>34.89</v>
      </c>
    </row>
    <row r="443" spans="1:4">
      <c r="A443" t="s">
        <v>762</v>
      </c>
      <c r="B443" t="s">
        <v>2047</v>
      </c>
      <c r="C443">
        <v>41</v>
      </c>
      <c r="D443">
        <v>34.07</v>
      </c>
    </row>
    <row r="444" spans="1:4">
      <c r="A444" t="s">
        <v>762</v>
      </c>
      <c r="B444" t="s">
        <v>2047</v>
      </c>
      <c r="C444">
        <v>42</v>
      </c>
      <c r="D444">
        <v>33.26</v>
      </c>
    </row>
    <row r="445" spans="1:4">
      <c r="A445" t="s">
        <v>762</v>
      </c>
      <c r="B445" t="s">
        <v>2047</v>
      </c>
      <c r="C445">
        <v>43</v>
      </c>
      <c r="D445">
        <v>32.450000000000003</v>
      </c>
    </row>
    <row r="446" spans="1:4">
      <c r="A446" t="s">
        <v>762</v>
      </c>
      <c r="B446" t="s">
        <v>2047</v>
      </c>
      <c r="C446">
        <v>44</v>
      </c>
      <c r="D446">
        <v>31.64</v>
      </c>
    </row>
    <row r="447" spans="1:4">
      <c r="A447" t="s">
        <v>762</v>
      </c>
      <c r="B447" t="s">
        <v>2047</v>
      </c>
      <c r="C447">
        <v>45</v>
      </c>
      <c r="D447">
        <v>30.84</v>
      </c>
    </row>
    <row r="448" spans="1:4">
      <c r="A448" t="s">
        <v>762</v>
      </c>
      <c r="B448" t="s">
        <v>2047</v>
      </c>
      <c r="C448">
        <v>46</v>
      </c>
      <c r="D448">
        <v>30.04</v>
      </c>
    </row>
    <row r="449" spans="1:4">
      <c r="A449" t="s">
        <v>762</v>
      </c>
      <c r="B449" t="s">
        <v>2047</v>
      </c>
      <c r="C449">
        <v>47</v>
      </c>
      <c r="D449">
        <v>29.24</v>
      </c>
    </row>
    <row r="450" spans="1:4">
      <c r="A450" t="s">
        <v>762</v>
      </c>
      <c r="B450" t="s">
        <v>2047</v>
      </c>
      <c r="C450">
        <v>48</v>
      </c>
      <c r="D450">
        <v>28.45</v>
      </c>
    </row>
    <row r="451" spans="1:4">
      <c r="A451" t="s">
        <v>762</v>
      </c>
      <c r="B451" t="s">
        <v>2047</v>
      </c>
      <c r="C451">
        <v>49</v>
      </c>
      <c r="D451">
        <v>27.66</v>
      </c>
    </row>
    <row r="452" spans="1:4">
      <c r="A452" t="s">
        <v>762</v>
      </c>
      <c r="B452" t="s">
        <v>2047</v>
      </c>
      <c r="C452">
        <v>50</v>
      </c>
      <c r="D452">
        <v>26.88</v>
      </c>
    </row>
    <row r="453" spans="1:4">
      <c r="A453" t="s">
        <v>762</v>
      </c>
      <c r="B453" t="s">
        <v>2047</v>
      </c>
      <c r="C453">
        <v>51</v>
      </c>
      <c r="D453">
        <v>26.1</v>
      </c>
    </row>
    <row r="454" spans="1:4">
      <c r="A454" t="s">
        <v>762</v>
      </c>
      <c r="B454" t="s">
        <v>2047</v>
      </c>
      <c r="C454">
        <v>52</v>
      </c>
      <c r="D454">
        <v>25.33</v>
      </c>
    </row>
    <row r="455" spans="1:4">
      <c r="A455" t="s">
        <v>762</v>
      </c>
      <c r="B455" t="s">
        <v>2047</v>
      </c>
      <c r="C455">
        <v>53</v>
      </c>
      <c r="D455">
        <v>24.57</v>
      </c>
    </row>
    <row r="456" spans="1:4">
      <c r="A456" t="s">
        <v>762</v>
      </c>
      <c r="B456" t="s">
        <v>2047</v>
      </c>
      <c r="C456">
        <v>54</v>
      </c>
      <c r="D456">
        <v>23.82</v>
      </c>
    </row>
    <row r="457" spans="1:4">
      <c r="A457" t="s">
        <v>762</v>
      </c>
      <c r="B457" t="s">
        <v>2047</v>
      </c>
      <c r="C457">
        <v>55</v>
      </c>
      <c r="D457">
        <v>23.07</v>
      </c>
    </row>
    <row r="458" spans="1:4">
      <c r="A458" t="s">
        <v>762</v>
      </c>
      <c r="B458" t="s">
        <v>2047</v>
      </c>
      <c r="C458">
        <v>56</v>
      </c>
      <c r="D458">
        <v>22.34</v>
      </c>
    </row>
    <row r="459" spans="1:4">
      <c r="A459" t="s">
        <v>762</v>
      </c>
      <c r="B459" t="s">
        <v>2047</v>
      </c>
      <c r="C459">
        <v>57</v>
      </c>
      <c r="D459">
        <v>21.62</v>
      </c>
    </row>
    <row r="460" spans="1:4">
      <c r="A460" t="s">
        <v>762</v>
      </c>
      <c r="B460" t="s">
        <v>2047</v>
      </c>
      <c r="C460">
        <v>58</v>
      </c>
      <c r="D460">
        <v>20.91</v>
      </c>
    </row>
    <row r="461" spans="1:4">
      <c r="A461" t="s">
        <v>762</v>
      </c>
      <c r="B461" t="s">
        <v>2047</v>
      </c>
      <c r="C461">
        <v>59</v>
      </c>
      <c r="D461">
        <v>20.21</v>
      </c>
    </row>
    <row r="462" spans="1:4">
      <c r="A462" t="s">
        <v>762</v>
      </c>
      <c r="B462" t="s">
        <v>2047</v>
      </c>
      <c r="C462">
        <v>60</v>
      </c>
      <c r="D462">
        <v>19.53</v>
      </c>
    </row>
    <row r="463" spans="1:4">
      <c r="A463" t="s">
        <v>762</v>
      </c>
      <c r="B463" t="s">
        <v>2047</v>
      </c>
      <c r="C463">
        <v>61</v>
      </c>
      <c r="D463">
        <v>18.87</v>
      </c>
    </row>
    <row r="464" spans="1:4">
      <c r="A464" t="s">
        <v>762</v>
      </c>
      <c r="B464" t="s">
        <v>2047</v>
      </c>
      <c r="C464">
        <v>62</v>
      </c>
      <c r="D464">
        <v>18.22</v>
      </c>
    </row>
    <row r="465" spans="1:4">
      <c r="A465" t="s">
        <v>762</v>
      </c>
      <c r="B465" t="s">
        <v>2047</v>
      </c>
      <c r="C465">
        <v>63</v>
      </c>
      <c r="D465">
        <v>17.59</v>
      </c>
    </row>
    <row r="466" spans="1:4">
      <c r="A466" t="s">
        <v>762</v>
      </c>
      <c r="B466" t="s">
        <v>2047</v>
      </c>
      <c r="C466">
        <v>64</v>
      </c>
      <c r="D466">
        <v>16.96</v>
      </c>
    </row>
    <row r="467" spans="1:4">
      <c r="A467" t="s">
        <v>762</v>
      </c>
      <c r="B467" t="s">
        <v>2047</v>
      </c>
      <c r="C467">
        <v>65</v>
      </c>
      <c r="D467">
        <v>16.36</v>
      </c>
    </row>
    <row r="468" spans="1:4">
      <c r="A468" t="s">
        <v>762</v>
      </c>
      <c r="B468" t="s">
        <v>2047</v>
      </c>
      <c r="C468">
        <v>66</v>
      </c>
      <c r="D468">
        <v>15.76</v>
      </c>
    </row>
    <row r="469" spans="1:4">
      <c r="A469" t="s">
        <v>762</v>
      </c>
      <c r="B469" t="s">
        <v>2047</v>
      </c>
      <c r="C469">
        <v>67</v>
      </c>
      <c r="D469">
        <v>15.18</v>
      </c>
    </row>
    <row r="470" spans="1:4">
      <c r="A470" t="s">
        <v>762</v>
      </c>
      <c r="B470" t="s">
        <v>2047</v>
      </c>
      <c r="C470">
        <v>68</v>
      </c>
      <c r="D470">
        <v>14.61</v>
      </c>
    </row>
    <row r="471" spans="1:4">
      <c r="A471" t="s">
        <v>762</v>
      </c>
      <c r="B471" t="s">
        <v>2047</v>
      </c>
      <c r="C471">
        <v>69</v>
      </c>
      <c r="D471">
        <v>14.05</v>
      </c>
    </row>
    <row r="472" spans="1:4">
      <c r="A472" t="s">
        <v>762</v>
      </c>
      <c r="B472" t="s">
        <v>2047</v>
      </c>
      <c r="C472">
        <v>70</v>
      </c>
      <c r="D472">
        <v>13.5</v>
      </c>
    </row>
    <row r="473" spans="1:4">
      <c r="A473" t="s">
        <v>762</v>
      </c>
      <c r="B473" t="s">
        <v>2047</v>
      </c>
      <c r="C473">
        <v>71</v>
      </c>
      <c r="D473">
        <v>12.96</v>
      </c>
    </row>
    <row r="474" spans="1:4">
      <c r="A474" t="s">
        <v>762</v>
      </c>
      <c r="B474" t="s">
        <v>2047</v>
      </c>
      <c r="C474">
        <v>72</v>
      </c>
      <c r="D474">
        <v>12.42</v>
      </c>
    </row>
    <row r="475" spans="1:4">
      <c r="A475" t="s">
        <v>762</v>
      </c>
      <c r="B475" t="s">
        <v>2047</v>
      </c>
      <c r="C475">
        <v>73</v>
      </c>
      <c r="D475">
        <v>11.89</v>
      </c>
    </row>
    <row r="476" spans="1:4">
      <c r="A476" t="s">
        <v>762</v>
      </c>
      <c r="B476" t="s">
        <v>2047</v>
      </c>
      <c r="C476">
        <v>74</v>
      </c>
      <c r="D476">
        <v>11.37</v>
      </c>
    </row>
    <row r="477" spans="1:4">
      <c r="A477" t="s">
        <v>762</v>
      </c>
      <c r="B477" t="s">
        <v>2047</v>
      </c>
      <c r="C477">
        <v>75</v>
      </c>
      <c r="D477">
        <v>10.85</v>
      </c>
    </row>
    <row r="478" spans="1:4">
      <c r="A478" t="s">
        <v>762</v>
      </c>
      <c r="B478" t="s">
        <v>2047</v>
      </c>
      <c r="C478">
        <v>76</v>
      </c>
      <c r="D478">
        <v>10.34</v>
      </c>
    </row>
    <row r="479" spans="1:4">
      <c r="A479" t="s">
        <v>762</v>
      </c>
      <c r="B479" t="s">
        <v>2047</v>
      </c>
      <c r="C479">
        <v>77</v>
      </c>
      <c r="D479">
        <v>9.82</v>
      </c>
    </row>
    <row r="480" spans="1:4">
      <c r="A480" t="s">
        <v>762</v>
      </c>
      <c r="B480" t="s">
        <v>2047</v>
      </c>
      <c r="C480">
        <v>78</v>
      </c>
      <c r="D480">
        <v>9.32</v>
      </c>
    </row>
    <row r="481" spans="1:4">
      <c r="A481" t="s">
        <v>762</v>
      </c>
      <c r="B481" t="s">
        <v>2047</v>
      </c>
      <c r="C481">
        <v>79</v>
      </c>
      <c r="D481">
        <v>8.83</v>
      </c>
    </row>
    <row r="482" spans="1:4">
      <c r="A482" t="s">
        <v>762</v>
      </c>
      <c r="B482" t="s">
        <v>2047</v>
      </c>
      <c r="C482">
        <v>80</v>
      </c>
      <c r="D482">
        <v>8.36</v>
      </c>
    </row>
    <row r="483" spans="1:4">
      <c r="A483" t="s">
        <v>762</v>
      </c>
      <c r="B483" t="s">
        <v>2047</v>
      </c>
      <c r="C483">
        <v>81</v>
      </c>
      <c r="D483">
        <v>7.9</v>
      </c>
    </row>
    <row r="484" spans="1:4">
      <c r="A484" t="s">
        <v>762</v>
      </c>
      <c r="B484" t="s">
        <v>2047</v>
      </c>
      <c r="C484">
        <v>82</v>
      </c>
      <c r="D484">
        <v>7.48</v>
      </c>
    </row>
    <row r="485" spans="1:4">
      <c r="A485" t="s">
        <v>762</v>
      </c>
      <c r="B485" t="s">
        <v>2047</v>
      </c>
      <c r="C485">
        <v>83</v>
      </c>
      <c r="D485">
        <v>7.06</v>
      </c>
    </row>
    <row r="486" spans="1:4">
      <c r="A486" t="s">
        <v>762</v>
      </c>
      <c r="B486" t="s">
        <v>2047</v>
      </c>
      <c r="C486">
        <v>84</v>
      </c>
      <c r="D486">
        <v>6.66</v>
      </c>
    </row>
    <row r="487" spans="1:4">
      <c r="A487" t="s">
        <v>762</v>
      </c>
      <c r="B487" t="s">
        <v>2047</v>
      </c>
      <c r="C487">
        <v>85</v>
      </c>
      <c r="D487">
        <v>6.27</v>
      </c>
    </row>
    <row r="488" spans="1:4">
      <c r="A488" t="s">
        <v>762</v>
      </c>
      <c r="B488" t="s">
        <v>2047</v>
      </c>
      <c r="C488">
        <v>86</v>
      </c>
      <c r="D488">
        <v>5.91</v>
      </c>
    </row>
    <row r="489" spans="1:4">
      <c r="A489" t="s">
        <v>762</v>
      </c>
      <c r="B489" t="s">
        <v>2047</v>
      </c>
      <c r="C489">
        <v>87</v>
      </c>
      <c r="D489">
        <v>5.54</v>
      </c>
    </row>
    <row r="490" spans="1:4">
      <c r="A490" t="s">
        <v>762</v>
      </c>
      <c r="B490" t="s">
        <v>2047</v>
      </c>
      <c r="C490">
        <v>88</v>
      </c>
      <c r="D490">
        <v>5.19</v>
      </c>
    </row>
    <row r="491" spans="1:4">
      <c r="A491" t="s">
        <v>762</v>
      </c>
      <c r="B491" t="s">
        <v>2047</v>
      </c>
      <c r="C491">
        <v>89</v>
      </c>
      <c r="D491">
        <v>4.8600000000000003</v>
      </c>
    </row>
    <row r="492" spans="1:4">
      <c r="A492" t="s">
        <v>762</v>
      </c>
      <c r="B492" t="s">
        <v>2047</v>
      </c>
      <c r="C492">
        <v>90</v>
      </c>
      <c r="D492">
        <v>4.55</v>
      </c>
    </row>
    <row r="493" spans="1:4">
      <c r="A493" t="s">
        <v>762</v>
      </c>
      <c r="B493" t="s">
        <v>2047</v>
      </c>
      <c r="C493">
        <v>91</v>
      </c>
      <c r="D493">
        <v>4.26</v>
      </c>
    </row>
    <row r="494" spans="1:4">
      <c r="A494" t="s">
        <v>762</v>
      </c>
      <c r="B494" t="s">
        <v>2047</v>
      </c>
      <c r="C494">
        <v>92</v>
      </c>
      <c r="D494">
        <v>3.99</v>
      </c>
    </row>
    <row r="495" spans="1:4">
      <c r="A495" t="s">
        <v>762</v>
      </c>
      <c r="B495" t="s">
        <v>2047</v>
      </c>
      <c r="C495">
        <v>93</v>
      </c>
      <c r="D495">
        <v>3.73</v>
      </c>
    </row>
    <row r="496" spans="1:4">
      <c r="A496" t="s">
        <v>762</v>
      </c>
      <c r="B496" t="s">
        <v>2047</v>
      </c>
      <c r="C496">
        <v>94</v>
      </c>
      <c r="D496">
        <v>3.5</v>
      </c>
    </row>
    <row r="497" spans="1:4">
      <c r="A497" t="s">
        <v>762</v>
      </c>
      <c r="B497" t="s">
        <v>2047</v>
      </c>
      <c r="C497">
        <v>95</v>
      </c>
      <c r="D497">
        <v>3.28</v>
      </c>
    </row>
    <row r="498" spans="1:4">
      <c r="A498" t="s">
        <v>762</v>
      </c>
      <c r="B498" t="s">
        <v>2047</v>
      </c>
      <c r="C498">
        <v>96</v>
      </c>
      <c r="D498">
        <v>3.08</v>
      </c>
    </row>
    <row r="499" spans="1:4">
      <c r="A499" t="s">
        <v>762</v>
      </c>
      <c r="B499" t="s">
        <v>2047</v>
      </c>
      <c r="C499">
        <v>97</v>
      </c>
      <c r="D499">
        <v>2.89</v>
      </c>
    </row>
    <row r="500" spans="1:4">
      <c r="A500" t="s">
        <v>762</v>
      </c>
      <c r="B500" t="s">
        <v>2047</v>
      </c>
      <c r="C500">
        <v>98</v>
      </c>
      <c r="D500">
        <v>2.72</v>
      </c>
    </row>
    <row r="501" spans="1:4">
      <c r="A501" t="s">
        <v>762</v>
      </c>
      <c r="B501" t="s">
        <v>2047</v>
      </c>
      <c r="C501">
        <v>99</v>
      </c>
      <c r="D501">
        <v>2.56</v>
      </c>
    </row>
    <row r="502" spans="1:4">
      <c r="A502" t="s">
        <v>746</v>
      </c>
      <c r="B502" t="s">
        <v>2047</v>
      </c>
      <c r="C502">
        <v>0</v>
      </c>
      <c r="D502">
        <v>77.63</v>
      </c>
    </row>
    <row r="503" spans="1:4">
      <c r="A503" t="s">
        <v>746</v>
      </c>
      <c r="B503" t="s">
        <v>2047</v>
      </c>
      <c r="C503">
        <v>1</v>
      </c>
      <c r="D503">
        <v>77.430000000000007</v>
      </c>
    </row>
    <row r="504" spans="1:4">
      <c r="A504" t="s">
        <v>746</v>
      </c>
      <c r="B504" t="s">
        <v>2047</v>
      </c>
      <c r="C504">
        <v>2</v>
      </c>
      <c r="D504">
        <v>76.48</v>
      </c>
    </row>
    <row r="505" spans="1:4">
      <c r="A505" t="s">
        <v>746</v>
      </c>
      <c r="B505" t="s">
        <v>2047</v>
      </c>
      <c r="C505">
        <v>3</v>
      </c>
      <c r="D505">
        <v>75.510000000000005</v>
      </c>
    </row>
    <row r="506" spans="1:4">
      <c r="A506" t="s">
        <v>746</v>
      </c>
      <c r="B506" t="s">
        <v>2047</v>
      </c>
      <c r="C506">
        <v>4</v>
      </c>
      <c r="D506">
        <v>74.540000000000006</v>
      </c>
    </row>
    <row r="507" spans="1:4">
      <c r="A507" t="s">
        <v>746</v>
      </c>
      <c r="B507" t="s">
        <v>2047</v>
      </c>
      <c r="C507">
        <v>5</v>
      </c>
      <c r="D507">
        <v>73.56</v>
      </c>
    </row>
    <row r="508" spans="1:4">
      <c r="A508" t="s">
        <v>746</v>
      </c>
      <c r="B508" t="s">
        <v>2047</v>
      </c>
      <c r="C508">
        <v>6</v>
      </c>
      <c r="D508">
        <v>72.58</v>
      </c>
    </row>
    <row r="509" spans="1:4">
      <c r="A509" t="s">
        <v>746</v>
      </c>
      <c r="B509" t="s">
        <v>2047</v>
      </c>
      <c r="C509">
        <v>7</v>
      </c>
      <c r="D509">
        <v>71.599999999999994</v>
      </c>
    </row>
    <row r="510" spans="1:4">
      <c r="A510" t="s">
        <v>746</v>
      </c>
      <c r="B510" t="s">
        <v>2047</v>
      </c>
      <c r="C510">
        <v>8</v>
      </c>
      <c r="D510">
        <v>70.61</v>
      </c>
    </row>
    <row r="511" spans="1:4">
      <c r="A511" t="s">
        <v>746</v>
      </c>
      <c r="B511" t="s">
        <v>2047</v>
      </c>
      <c r="C511">
        <v>9</v>
      </c>
      <c r="D511">
        <v>69.62</v>
      </c>
    </row>
    <row r="512" spans="1:4">
      <c r="A512" t="s">
        <v>746</v>
      </c>
      <c r="B512" t="s">
        <v>2047</v>
      </c>
      <c r="C512">
        <v>10</v>
      </c>
      <c r="D512">
        <v>68.64</v>
      </c>
    </row>
    <row r="513" spans="1:4">
      <c r="A513" t="s">
        <v>746</v>
      </c>
      <c r="B513" t="s">
        <v>2047</v>
      </c>
      <c r="C513">
        <v>11</v>
      </c>
      <c r="D513">
        <v>67.650000000000006</v>
      </c>
    </row>
    <row r="514" spans="1:4">
      <c r="A514" t="s">
        <v>746</v>
      </c>
      <c r="B514" t="s">
        <v>2047</v>
      </c>
      <c r="C514">
        <v>12</v>
      </c>
      <c r="D514">
        <v>66.66</v>
      </c>
    </row>
    <row r="515" spans="1:4">
      <c r="A515" t="s">
        <v>746</v>
      </c>
      <c r="B515" t="s">
        <v>2047</v>
      </c>
      <c r="C515">
        <v>13</v>
      </c>
      <c r="D515">
        <v>65.67</v>
      </c>
    </row>
    <row r="516" spans="1:4">
      <c r="A516" t="s">
        <v>746</v>
      </c>
      <c r="B516" t="s">
        <v>2047</v>
      </c>
      <c r="C516">
        <v>14</v>
      </c>
      <c r="D516">
        <v>64.69</v>
      </c>
    </row>
    <row r="517" spans="1:4">
      <c r="A517" t="s">
        <v>746</v>
      </c>
      <c r="B517" t="s">
        <v>2047</v>
      </c>
      <c r="C517">
        <v>15</v>
      </c>
      <c r="D517">
        <v>63.71</v>
      </c>
    </row>
    <row r="518" spans="1:4">
      <c r="A518" t="s">
        <v>746</v>
      </c>
      <c r="B518" t="s">
        <v>2047</v>
      </c>
      <c r="C518">
        <v>16</v>
      </c>
      <c r="D518">
        <v>62.73</v>
      </c>
    </row>
    <row r="519" spans="1:4">
      <c r="A519" t="s">
        <v>746</v>
      </c>
      <c r="B519" t="s">
        <v>2047</v>
      </c>
      <c r="C519">
        <v>17</v>
      </c>
      <c r="D519">
        <v>61.76</v>
      </c>
    </row>
    <row r="520" spans="1:4">
      <c r="A520" t="s">
        <v>746</v>
      </c>
      <c r="B520" t="s">
        <v>2047</v>
      </c>
      <c r="C520">
        <v>18</v>
      </c>
      <c r="D520">
        <v>60.8</v>
      </c>
    </row>
    <row r="521" spans="1:4">
      <c r="A521" t="s">
        <v>746</v>
      </c>
      <c r="B521" t="s">
        <v>2047</v>
      </c>
      <c r="C521">
        <v>19</v>
      </c>
      <c r="D521">
        <v>59.84</v>
      </c>
    </row>
    <row r="522" spans="1:4">
      <c r="A522" t="s">
        <v>746</v>
      </c>
      <c r="B522" t="s">
        <v>2047</v>
      </c>
      <c r="C522">
        <v>20</v>
      </c>
      <c r="D522">
        <v>58.88</v>
      </c>
    </row>
    <row r="523" spans="1:4">
      <c r="A523" t="s">
        <v>746</v>
      </c>
      <c r="B523" t="s">
        <v>2047</v>
      </c>
      <c r="C523">
        <v>21</v>
      </c>
      <c r="D523">
        <v>57.92</v>
      </c>
    </row>
    <row r="524" spans="1:4">
      <c r="A524" t="s">
        <v>746</v>
      </c>
      <c r="B524" t="s">
        <v>2047</v>
      </c>
      <c r="C524">
        <v>22</v>
      </c>
      <c r="D524">
        <v>56.98</v>
      </c>
    </row>
    <row r="525" spans="1:4">
      <c r="A525" t="s">
        <v>746</v>
      </c>
      <c r="B525" t="s">
        <v>2047</v>
      </c>
      <c r="C525">
        <v>23</v>
      </c>
      <c r="D525">
        <v>56.03</v>
      </c>
    </row>
    <row r="526" spans="1:4">
      <c r="A526" t="s">
        <v>746</v>
      </c>
      <c r="B526" t="s">
        <v>2047</v>
      </c>
      <c r="C526">
        <v>24</v>
      </c>
      <c r="D526">
        <v>55.09</v>
      </c>
    </row>
    <row r="527" spans="1:4">
      <c r="A527" t="s">
        <v>746</v>
      </c>
      <c r="B527" t="s">
        <v>2047</v>
      </c>
      <c r="C527">
        <v>25</v>
      </c>
      <c r="D527">
        <v>54.14</v>
      </c>
    </row>
    <row r="528" spans="1:4">
      <c r="A528" t="s">
        <v>746</v>
      </c>
      <c r="B528" t="s">
        <v>2047</v>
      </c>
      <c r="C528">
        <v>26</v>
      </c>
      <c r="D528">
        <v>53.2</v>
      </c>
    </row>
    <row r="529" spans="1:4">
      <c r="A529" t="s">
        <v>746</v>
      </c>
      <c r="B529" t="s">
        <v>2047</v>
      </c>
      <c r="C529">
        <v>27</v>
      </c>
      <c r="D529">
        <v>52.26</v>
      </c>
    </row>
    <row r="530" spans="1:4">
      <c r="A530" t="s">
        <v>746</v>
      </c>
      <c r="B530" t="s">
        <v>2047</v>
      </c>
      <c r="C530">
        <v>28</v>
      </c>
      <c r="D530">
        <v>51.32</v>
      </c>
    </row>
    <row r="531" spans="1:4">
      <c r="A531" t="s">
        <v>746</v>
      </c>
      <c r="B531" t="s">
        <v>2047</v>
      </c>
      <c r="C531">
        <v>29</v>
      </c>
      <c r="D531">
        <v>50.39</v>
      </c>
    </row>
    <row r="532" spans="1:4">
      <c r="A532" t="s">
        <v>746</v>
      </c>
      <c r="B532" t="s">
        <v>2047</v>
      </c>
      <c r="C532">
        <v>30</v>
      </c>
      <c r="D532">
        <v>49.46</v>
      </c>
    </row>
    <row r="533" spans="1:4">
      <c r="A533" t="s">
        <v>746</v>
      </c>
      <c r="B533" t="s">
        <v>2047</v>
      </c>
      <c r="C533">
        <v>31</v>
      </c>
      <c r="D533">
        <v>48.53</v>
      </c>
    </row>
    <row r="534" spans="1:4">
      <c r="A534" t="s">
        <v>746</v>
      </c>
      <c r="B534" t="s">
        <v>2047</v>
      </c>
      <c r="C534">
        <v>32</v>
      </c>
      <c r="D534">
        <v>47.6</v>
      </c>
    </row>
    <row r="535" spans="1:4">
      <c r="A535" t="s">
        <v>746</v>
      </c>
      <c r="B535" t="s">
        <v>2047</v>
      </c>
      <c r="C535">
        <v>33</v>
      </c>
      <c r="D535">
        <v>46.68</v>
      </c>
    </row>
    <row r="536" spans="1:4">
      <c r="A536" t="s">
        <v>746</v>
      </c>
      <c r="B536" t="s">
        <v>2047</v>
      </c>
      <c r="C536">
        <v>34</v>
      </c>
      <c r="D536">
        <v>45.76</v>
      </c>
    </row>
    <row r="537" spans="1:4">
      <c r="A537" t="s">
        <v>746</v>
      </c>
      <c r="B537" t="s">
        <v>2047</v>
      </c>
      <c r="C537">
        <v>35</v>
      </c>
      <c r="D537">
        <v>44.84</v>
      </c>
    </row>
    <row r="538" spans="1:4">
      <c r="A538" t="s">
        <v>746</v>
      </c>
      <c r="B538" t="s">
        <v>2047</v>
      </c>
      <c r="C538">
        <v>36</v>
      </c>
      <c r="D538">
        <v>43.93</v>
      </c>
    </row>
    <row r="539" spans="1:4">
      <c r="A539" t="s">
        <v>746</v>
      </c>
      <c r="B539" t="s">
        <v>2047</v>
      </c>
      <c r="C539">
        <v>37</v>
      </c>
      <c r="D539">
        <v>43.02</v>
      </c>
    </row>
    <row r="540" spans="1:4">
      <c r="A540" t="s">
        <v>746</v>
      </c>
      <c r="B540" t="s">
        <v>2047</v>
      </c>
      <c r="C540">
        <v>38</v>
      </c>
      <c r="D540">
        <v>42.11</v>
      </c>
    </row>
    <row r="541" spans="1:4">
      <c r="A541" t="s">
        <v>746</v>
      </c>
      <c r="B541" t="s">
        <v>2047</v>
      </c>
      <c r="C541">
        <v>39</v>
      </c>
      <c r="D541">
        <v>41.21</v>
      </c>
    </row>
    <row r="542" spans="1:4">
      <c r="A542" t="s">
        <v>746</v>
      </c>
      <c r="B542" t="s">
        <v>2047</v>
      </c>
      <c r="C542">
        <v>40</v>
      </c>
      <c r="D542">
        <v>40.31</v>
      </c>
    </row>
    <row r="543" spans="1:4">
      <c r="A543" t="s">
        <v>746</v>
      </c>
      <c r="B543" t="s">
        <v>2047</v>
      </c>
      <c r="C543">
        <v>41</v>
      </c>
      <c r="D543">
        <v>39.42</v>
      </c>
    </row>
    <row r="544" spans="1:4">
      <c r="A544" t="s">
        <v>746</v>
      </c>
      <c r="B544" t="s">
        <v>2047</v>
      </c>
      <c r="C544">
        <v>42</v>
      </c>
      <c r="D544">
        <v>38.54</v>
      </c>
    </row>
    <row r="545" spans="1:4">
      <c r="A545" t="s">
        <v>746</v>
      </c>
      <c r="B545" t="s">
        <v>2047</v>
      </c>
      <c r="C545">
        <v>43</v>
      </c>
      <c r="D545">
        <v>37.659999999999997</v>
      </c>
    </row>
    <row r="546" spans="1:4">
      <c r="A546" t="s">
        <v>746</v>
      </c>
      <c r="B546" t="s">
        <v>2047</v>
      </c>
      <c r="C546">
        <v>44</v>
      </c>
      <c r="D546">
        <v>36.78</v>
      </c>
    </row>
    <row r="547" spans="1:4">
      <c r="A547" t="s">
        <v>746</v>
      </c>
      <c r="B547" t="s">
        <v>2047</v>
      </c>
      <c r="C547">
        <v>45</v>
      </c>
      <c r="D547">
        <v>35.909999999999997</v>
      </c>
    </row>
    <row r="548" spans="1:4">
      <c r="A548" t="s">
        <v>746</v>
      </c>
      <c r="B548" t="s">
        <v>2047</v>
      </c>
      <c r="C548">
        <v>46</v>
      </c>
      <c r="D548">
        <v>35.03</v>
      </c>
    </row>
    <row r="549" spans="1:4">
      <c r="A549" t="s">
        <v>746</v>
      </c>
      <c r="B549" t="s">
        <v>2047</v>
      </c>
      <c r="C549">
        <v>47</v>
      </c>
      <c r="D549">
        <v>34.159999999999997</v>
      </c>
    </row>
    <row r="550" spans="1:4">
      <c r="A550" t="s">
        <v>746</v>
      </c>
      <c r="B550" t="s">
        <v>2047</v>
      </c>
      <c r="C550">
        <v>48</v>
      </c>
      <c r="D550">
        <v>33.299999999999997</v>
      </c>
    </row>
    <row r="551" spans="1:4">
      <c r="A551" t="s">
        <v>746</v>
      </c>
      <c r="B551" t="s">
        <v>2047</v>
      </c>
      <c r="C551">
        <v>49</v>
      </c>
      <c r="D551">
        <v>32.44</v>
      </c>
    </row>
    <row r="552" spans="1:4">
      <c r="A552" t="s">
        <v>746</v>
      </c>
      <c r="B552" t="s">
        <v>2047</v>
      </c>
      <c r="C552">
        <v>50</v>
      </c>
      <c r="D552">
        <v>31.58</v>
      </c>
    </row>
    <row r="553" spans="1:4">
      <c r="A553" t="s">
        <v>746</v>
      </c>
      <c r="B553" t="s">
        <v>2047</v>
      </c>
      <c r="C553">
        <v>51</v>
      </c>
      <c r="D553">
        <v>30.73</v>
      </c>
    </row>
    <row r="554" spans="1:4">
      <c r="A554" t="s">
        <v>746</v>
      </c>
      <c r="B554" t="s">
        <v>2047</v>
      </c>
      <c r="C554">
        <v>52</v>
      </c>
      <c r="D554">
        <v>29.88</v>
      </c>
    </row>
    <row r="555" spans="1:4">
      <c r="A555" t="s">
        <v>746</v>
      </c>
      <c r="B555" t="s">
        <v>2047</v>
      </c>
      <c r="C555">
        <v>53</v>
      </c>
      <c r="D555">
        <v>29.03</v>
      </c>
    </row>
    <row r="556" spans="1:4">
      <c r="A556" t="s">
        <v>746</v>
      </c>
      <c r="B556" t="s">
        <v>2047</v>
      </c>
      <c r="C556">
        <v>54</v>
      </c>
      <c r="D556">
        <v>28.2</v>
      </c>
    </row>
    <row r="557" spans="1:4">
      <c r="A557" t="s">
        <v>746</v>
      </c>
      <c r="B557" t="s">
        <v>2047</v>
      </c>
      <c r="C557">
        <v>55</v>
      </c>
      <c r="D557">
        <v>27.37</v>
      </c>
    </row>
    <row r="558" spans="1:4">
      <c r="A558" t="s">
        <v>746</v>
      </c>
      <c r="B558" t="s">
        <v>2047</v>
      </c>
      <c r="C558">
        <v>56</v>
      </c>
      <c r="D558">
        <v>26.56</v>
      </c>
    </row>
    <row r="559" spans="1:4">
      <c r="A559" t="s">
        <v>746</v>
      </c>
      <c r="B559" t="s">
        <v>2047</v>
      </c>
      <c r="C559">
        <v>57</v>
      </c>
      <c r="D559">
        <v>25.75</v>
      </c>
    </row>
    <row r="560" spans="1:4">
      <c r="A560" t="s">
        <v>746</v>
      </c>
      <c r="B560" t="s">
        <v>2047</v>
      </c>
      <c r="C560">
        <v>58</v>
      </c>
      <c r="D560">
        <v>24.96</v>
      </c>
    </row>
    <row r="561" spans="1:4">
      <c r="A561" t="s">
        <v>746</v>
      </c>
      <c r="B561" t="s">
        <v>2047</v>
      </c>
      <c r="C561">
        <v>59</v>
      </c>
      <c r="D561">
        <v>24.17</v>
      </c>
    </row>
    <row r="562" spans="1:4">
      <c r="A562" t="s">
        <v>746</v>
      </c>
      <c r="B562" t="s">
        <v>2047</v>
      </c>
      <c r="C562">
        <v>60</v>
      </c>
      <c r="D562">
        <v>23.4</v>
      </c>
    </row>
    <row r="563" spans="1:4">
      <c r="A563" t="s">
        <v>746</v>
      </c>
      <c r="B563" t="s">
        <v>2047</v>
      </c>
      <c r="C563">
        <v>61</v>
      </c>
      <c r="D563">
        <v>22.64</v>
      </c>
    </row>
    <row r="564" spans="1:4">
      <c r="A564" t="s">
        <v>746</v>
      </c>
      <c r="B564" t="s">
        <v>2047</v>
      </c>
      <c r="C564">
        <v>62</v>
      </c>
      <c r="D564">
        <v>21.88</v>
      </c>
    </row>
    <row r="565" spans="1:4">
      <c r="A565" t="s">
        <v>746</v>
      </c>
      <c r="B565" t="s">
        <v>2047</v>
      </c>
      <c r="C565">
        <v>63</v>
      </c>
      <c r="D565">
        <v>21.14</v>
      </c>
    </row>
    <row r="566" spans="1:4">
      <c r="A566" t="s">
        <v>746</v>
      </c>
      <c r="B566" t="s">
        <v>2047</v>
      </c>
      <c r="C566">
        <v>64</v>
      </c>
      <c r="D566">
        <v>20.41</v>
      </c>
    </row>
    <row r="567" spans="1:4">
      <c r="A567" t="s">
        <v>746</v>
      </c>
      <c r="B567" t="s">
        <v>2047</v>
      </c>
      <c r="C567">
        <v>65</v>
      </c>
      <c r="D567">
        <v>19.68</v>
      </c>
    </row>
    <row r="568" spans="1:4">
      <c r="A568" t="s">
        <v>746</v>
      </c>
      <c r="B568" t="s">
        <v>2047</v>
      </c>
      <c r="C568">
        <v>66</v>
      </c>
      <c r="D568">
        <v>18.97</v>
      </c>
    </row>
    <row r="569" spans="1:4">
      <c r="A569" t="s">
        <v>746</v>
      </c>
      <c r="B569" t="s">
        <v>2047</v>
      </c>
      <c r="C569">
        <v>67</v>
      </c>
      <c r="D569">
        <v>18.27</v>
      </c>
    </row>
    <row r="570" spans="1:4">
      <c r="A570" t="s">
        <v>746</v>
      </c>
      <c r="B570" t="s">
        <v>2047</v>
      </c>
      <c r="C570">
        <v>68</v>
      </c>
      <c r="D570">
        <v>17.57</v>
      </c>
    </row>
    <row r="571" spans="1:4">
      <c r="A571" t="s">
        <v>746</v>
      </c>
      <c r="B571" t="s">
        <v>2047</v>
      </c>
      <c r="C571">
        <v>69</v>
      </c>
      <c r="D571">
        <v>16.89</v>
      </c>
    </row>
    <row r="572" spans="1:4">
      <c r="A572" t="s">
        <v>746</v>
      </c>
      <c r="B572" t="s">
        <v>2047</v>
      </c>
      <c r="C572">
        <v>70</v>
      </c>
      <c r="D572">
        <v>16.21</v>
      </c>
    </row>
    <row r="573" spans="1:4">
      <c r="A573" t="s">
        <v>746</v>
      </c>
      <c r="B573" t="s">
        <v>2047</v>
      </c>
      <c r="C573">
        <v>71</v>
      </c>
      <c r="D573">
        <v>15.54</v>
      </c>
    </row>
    <row r="574" spans="1:4">
      <c r="A574" t="s">
        <v>746</v>
      </c>
      <c r="B574" t="s">
        <v>2047</v>
      </c>
      <c r="C574">
        <v>72</v>
      </c>
      <c r="D574">
        <v>14.88</v>
      </c>
    </row>
    <row r="575" spans="1:4">
      <c r="A575" t="s">
        <v>746</v>
      </c>
      <c r="B575" t="s">
        <v>2047</v>
      </c>
      <c r="C575">
        <v>73</v>
      </c>
      <c r="D575">
        <v>14.23</v>
      </c>
    </row>
    <row r="576" spans="1:4">
      <c r="A576" t="s">
        <v>746</v>
      </c>
      <c r="B576" t="s">
        <v>2047</v>
      </c>
      <c r="C576">
        <v>74</v>
      </c>
      <c r="D576">
        <v>13.59</v>
      </c>
    </row>
    <row r="577" spans="1:4">
      <c r="A577" t="s">
        <v>746</v>
      </c>
      <c r="B577" t="s">
        <v>2047</v>
      </c>
      <c r="C577">
        <v>75</v>
      </c>
      <c r="D577">
        <v>12.95</v>
      </c>
    </row>
    <row r="578" spans="1:4">
      <c r="A578" t="s">
        <v>746</v>
      </c>
      <c r="B578" t="s">
        <v>2047</v>
      </c>
      <c r="C578">
        <v>76</v>
      </c>
      <c r="D578">
        <v>12.32</v>
      </c>
    </row>
    <row r="579" spans="1:4">
      <c r="A579" t="s">
        <v>746</v>
      </c>
      <c r="B579" t="s">
        <v>2047</v>
      </c>
      <c r="C579">
        <v>77</v>
      </c>
      <c r="D579">
        <v>11.7</v>
      </c>
    </row>
    <row r="580" spans="1:4">
      <c r="A580" t="s">
        <v>746</v>
      </c>
      <c r="B580" t="s">
        <v>2047</v>
      </c>
      <c r="C580">
        <v>78</v>
      </c>
      <c r="D580">
        <v>11.1</v>
      </c>
    </row>
    <row r="581" spans="1:4">
      <c r="A581" t="s">
        <v>746</v>
      </c>
      <c r="B581" t="s">
        <v>2047</v>
      </c>
      <c r="C581">
        <v>79</v>
      </c>
      <c r="D581">
        <v>10.51</v>
      </c>
    </row>
    <row r="582" spans="1:4">
      <c r="A582" t="s">
        <v>746</v>
      </c>
      <c r="B582" t="s">
        <v>2047</v>
      </c>
      <c r="C582">
        <v>80</v>
      </c>
      <c r="D582">
        <v>9.94</v>
      </c>
    </row>
    <row r="583" spans="1:4">
      <c r="A583" t="s">
        <v>746</v>
      </c>
      <c r="B583" t="s">
        <v>2047</v>
      </c>
      <c r="C583">
        <v>81</v>
      </c>
      <c r="D583">
        <v>9.39</v>
      </c>
    </row>
    <row r="584" spans="1:4">
      <c r="A584" t="s">
        <v>746</v>
      </c>
      <c r="B584" t="s">
        <v>2047</v>
      </c>
      <c r="C584">
        <v>82</v>
      </c>
      <c r="D584">
        <v>8.8699999999999992</v>
      </c>
    </row>
    <row r="585" spans="1:4">
      <c r="A585" t="s">
        <v>746</v>
      </c>
      <c r="B585" t="s">
        <v>2047</v>
      </c>
      <c r="C585">
        <v>83</v>
      </c>
      <c r="D585">
        <v>8.36</v>
      </c>
    </row>
    <row r="586" spans="1:4">
      <c r="A586" t="s">
        <v>746</v>
      </c>
      <c r="B586" t="s">
        <v>2047</v>
      </c>
      <c r="C586">
        <v>84</v>
      </c>
      <c r="D586">
        <v>7.86</v>
      </c>
    </row>
    <row r="587" spans="1:4">
      <c r="A587" t="s">
        <v>746</v>
      </c>
      <c r="B587" t="s">
        <v>2047</v>
      </c>
      <c r="C587">
        <v>85</v>
      </c>
      <c r="D587">
        <v>7.39</v>
      </c>
    </row>
    <row r="588" spans="1:4">
      <c r="A588" t="s">
        <v>746</v>
      </c>
      <c r="B588" t="s">
        <v>2047</v>
      </c>
      <c r="C588">
        <v>86</v>
      </c>
      <c r="D588">
        <v>6.93</v>
      </c>
    </row>
    <row r="589" spans="1:4">
      <c r="A589" t="s">
        <v>746</v>
      </c>
      <c r="B589" t="s">
        <v>2047</v>
      </c>
      <c r="C589">
        <v>87</v>
      </c>
      <c r="D589">
        <v>6.5</v>
      </c>
    </row>
    <row r="590" spans="1:4">
      <c r="A590" t="s">
        <v>746</v>
      </c>
      <c r="B590" t="s">
        <v>2047</v>
      </c>
      <c r="C590">
        <v>88</v>
      </c>
      <c r="D590">
        <v>6.09</v>
      </c>
    </row>
    <row r="591" spans="1:4">
      <c r="A591" t="s">
        <v>746</v>
      </c>
      <c r="B591" t="s">
        <v>2047</v>
      </c>
      <c r="C591">
        <v>89</v>
      </c>
      <c r="D591">
        <v>5.7</v>
      </c>
    </row>
    <row r="592" spans="1:4">
      <c r="A592" t="s">
        <v>746</v>
      </c>
      <c r="B592" t="s">
        <v>2047</v>
      </c>
      <c r="C592">
        <v>90</v>
      </c>
      <c r="D592">
        <v>5.34</v>
      </c>
    </row>
    <row r="593" spans="1:4">
      <c r="A593" t="s">
        <v>746</v>
      </c>
      <c r="B593" t="s">
        <v>2047</v>
      </c>
      <c r="C593">
        <v>91</v>
      </c>
      <c r="D593">
        <v>4.99</v>
      </c>
    </row>
    <row r="594" spans="1:4">
      <c r="A594" t="s">
        <v>746</v>
      </c>
      <c r="B594" t="s">
        <v>2047</v>
      </c>
      <c r="C594">
        <v>92</v>
      </c>
      <c r="D594">
        <v>4.67</v>
      </c>
    </row>
    <row r="595" spans="1:4">
      <c r="A595" t="s">
        <v>746</v>
      </c>
      <c r="B595" t="s">
        <v>2047</v>
      </c>
      <c r="C595">
        <v>93</v>
      </c>
      <c r="D595">
        <v>4.37</v>
      </c>
    </row>
    <row r="596" spans="1:4">
      <c r="A596" t="s">
        <v>746</v>
      </c>
      <c r="B596" t="s">
        <v>2047</v>
      </c>
      <c r="C596">
        <v>94</v>
      </c>
      <c r="D596">
        <v>4.08</v>
      </c>
    </row>
    <row r="597" spans="1:4">
      <c r="A597" t="s">
        <v>746</v>
      </c>
      <c r="B597" t="s">
        <v>2047</v>
      </c>
      <c r="C597">
        <v>95</v>
      </c>
      <c r="D597">
        <v>3.82</v>
      </c>
    </row>
    <row r="598" spans="1:4">
      <c r="A598" t="s">
        <v>746</v>
      </c>
      <c r="B598" t="s">
        <v>2047</v>
      </c>
      <c r="C598">
        <v>96</v>
      </c>
      <c r="D598">
        <v>3.57</v>
      </c>
    </row>
    <row r="599" spans="1:4">
      <c r="A599" t="s">
        <v>746</v>
      </c>
      <c r="B599" t="s">
        <v>2047</v>
      </c>
      <c r="C599">
        <v>97</v>
      </c>
      <c r="D599">
        <v>3.35</v>
      </c>
    </row>
    <row r="600" spans="1:4">
      <c r="A600" t="s">
        <v>746</v>
      </c>
      <c r="B600" t="s">
        <v>2047</v>
      </c>
      <c r="C600">
        <v>98</v>
      </c>
      <c r="D600">
        <v>3.14</v>
      </c>
    </row>
    <row r="601" spans="1:4">
      <c r="A601" t="s">
        <v>746</v>
      </c>
      <c r="B601" t="s">
        <v>2047</v>
      </c>
      <c r="C601">
        <v>99</v>
      </c>
      <c r="D601">
        <v>2.94</v>
      </c>
    </row>
    <row r="602" spans="1:4">
      <c r="A602" t="s">
        <v>762</v>
      </c>
      <c r="B602" t="s">
        <v>2048</v>
      </c>
      <c r="C602">
        <v>0</v>
      </c>
      <c r="D602">
        <v>78.45</v>
      </c>
    </row>
    <row r="603" spans="1:4">
      <c r="A603" t="s">
        <v>762</v>
      </c>
      <c r="B603" t="s">
        <v>2048</v>
      </c>
      <c r="C603">
        <v>1</v>
      </c>
      <c r="D603">
        <v>77.8</v>
      </c>
    </row>
    <row r="604" spans="1:4">
      <c r="A604" t="s">
        <v>762</v>
      </c>
      <c r="B604" t="s">
        <v>2048</v>
      </c>
      <c r="C604">
        <v>2</v>
      </c>
      <c r="D604">
        <v>76.819999999999993</v>
      </c>
    </row>
    <row r="605" spans="1:4">
      <c r="A605" t="s">
        <v>762</v>
      </c>
      <c r="B605" t="s">
        <v>2048</v>
      </c>
      <c r="C605">
        <v>3</v>
      </c>
      <c r="D605">
        <v>75.84</v>
      </c>
    </row>
    <row r="606" spans="1:4">
      <c r="A606" t="s">
        <v>762</v>
      </c>
      <c r="B606" t="s">
        <v>2048</v>
      </c>
      <c r="C606">
        <v>4</v>
      </c>
      <c r="D606">
        <v>74.849999999999994</v>
      </c>
    </row>
    <row r="607" spans="1:4">
      <c r="A607" t="s">
        <v>762</v>
      </c>
      <c r="B607" t="s">
        <v>2048</v>
      </c>
      <c r="C607">
        <v>5</v>
      </c>
      <c r="D607">
        <v>73.86</v>
      </c>
    </row>
    <row r="608" spans="1:4">
      <c r="A608" t="s">
        <v>762</v>
      </c>
      <c r="B608" t="s">
        <v>2048</v>
      </c>
      <c r="C608">
        <v>6</v>
      </c>
      <c r="D608">
        <v>72.87</v>
      </c>
    </row>
    <row r="609" spans="1:4">
      <c r="A609" t="s">
        <v>762</v>
      </c>
      <c r="B609" t="s">
        <v>2048</v>
      </c>
      <c r="C609">
        <v>7</v>
      </c>
      <c r="D609">
        <v>71.88</v>
      </c>
    </row>
    <row r="610" spans="1:4">
      <c r="A610" t="s">
        <v>762</v>
      </c>
      <c r="B610" t="s">
        <v>2048</v>
      </c>
      <c r="C610">
        <v>8</v>
      </c>
      <c r="D610">
        <v>70.89</v>
      </c>
    </row>
    <row r="611" spans="1:4">
      <c r="A611" t="s">
        <v>762</v>
      </c>
      <c r="B611" t="s">
        <v>2048</v>
      </c>
      <c r="C611">
        <v>9</v>
      </c>
      <c r="D611">
        <v>69.89</v>
      </c>
    </row>
    <row r="612" spans="1:4">
      <c r="A612" t="s">
        <v>762</v>
      </c>
      <c r="B612" t="s">
        <v>2048</v>
      </c>
      <c r="C612">
        <v>10</v>
      </c>
      <c r="D612">
        <v>68.900000000000006</v>
      </c>
    </row>
    <row r="613" spans="1:4">
      <c r="A613" t="s">
        <v>762</v>
      </c>
      <c r="B613" t="s">
        <v>2048</v>
      </c>
      <c r="C613">
        <v>11</v>
      </c>
      <c r="D613">
        <v>67.91</v>
      </c>
    </row>
    <row r="614" spans="1:4">
      <c r="A614" t="s">
        <v>762</v>
      </c>
      <c r="B614" t="s">
        <v>2048</v>
      </c>
      <c r="C614">
        <v>12</v>
      </c>
      <c r="D614">
        <v>66.91</v>
      </c>
    </row>
    <row r="615" spans="1:4">
      <c r="A615" t="s">
        <v>762</v>
      </c>
      <c r="B615" t="s">
        <v>2048</v>
      </c>
      <c r="C615">
        <v>13</v>
      </c>
      <c r="D615">
        <v>65.92</v>
      </c>
    </row>
    <row r="616" spans="1:4">
      <c r="A616" t="s">
        <v>762</v>
      </c>
      <c r="B616" t="s">
        <v>2048</v>
      </c>
      <c r="C616">
        <v>14</v>
      </c>
      <c r="D616">
        <v>64.930000000000007</v>
      </c>
    </row>
    <row r="617" spans="1:4">
      <c r="A617" t="s">
        <v>762</v>
      </c>
      <c r="B617" t="s">
        <v>2048</v>
      </c>
      <c r="C617">
        <v>15</v>
      </c>
      <c r="D617">
        <v>63.95</v>
      </c>
    </row>
    <row r="618" spans="1:4">
      <c r="A618" t="s">
        <v>762</v>
      </c>
      <c r="B618" t="s">
        <v>2048</v>
      </c>
      <c r="C618">
        <v>16</v>
      </c>
      <c r="D618">
        <v>62.97</v>
      </c>
    </row>
    <row r="619" spans="1:4">
      <c r="A619" t="s">
        <v>762</v>
      </c>
      <c r="B619" t="s">
        <v>2048</v>
      </c>
      <c r="C619">
        <v>17</v>
      </c>
      <c r="D619">
        <v>61.99</v>
      </c>
    </row>
    <row r="620" spans="1:4">
      <c r="A620" t="s">
        <v>762</v>
      </c>
      <c r="B620" t="s">
        <v>2048</v>
      </c>
      <c r="C620">
        <v>18</v>
      </c>
      <c r="D620">
        <v>61.02</v>
      </c>
    </row>
    <row r="621" spans="1:4">
      <c r="A621" t="s">
        <v>762</v>
      </c>
      <c r="B621" t="s">
        <v>2048</v>
      </c>
      <c r="C621">
        <v>19</v>
      </c>
      <c r="D621">
        <v>60.06</v>
      </c>
    </row>
    <row r="622" spans="1:4">
      <c r="A622" t="s">
        <v>762</v>
      </c>
      <c r="B622" t="s">
        <v>2048</v>
      </c>
      <c r="C622">
        <v>20</v>
      </c>
      <c r="D622">
        <v>59.09</v>
      </c>
    </row>
    <row r="623" spans="1:4">
      <c r="A623" t="s">
        <v>762</v>
      </c>
      <c r="B623" t="s">
        <v>2048</v>
      </c>
      <c r="C623">
        <v>21</v>
      </c>
      <c r="D623">
        <v>58.13</v>
      </c>
    </row>
    <row r="624" spans="1:4">
      <c r="A624" t="s">
        <v>762</v>
      </c>
      <c r="B624" t="s">
        <v>2048</v>
      </c>
      <c r="C624">
        <v>22</v>
      </c>
      <c r="D624">
        <v>57.17</v>
      </c>
    </row>
    <row r="625" spans="1:4">
      <c r="A625" t="s">
        <v>762</v>
      </c>
      <c r="B625" t="s">
        <v>2048</v>
      </c>
      <c r="C625">
        <v>23</v>
      </c>
      <c r="D625">
        <v>56.22</v>
      </c>
    </row>
    <row r="626" spans="1:4">
      <c r="A626" t="s">
        <v>762</v>
      </c>
      <c r="B626" t="s">
        <v>2048</v>
      </c>
      <c r="C626">
        <v>24</v>
      </c>
      <c r="D626">
        <v>55.27</v>
      </c>
    </row>
    <row r="627" spans="1:4">
      <c r="A627" t="s">
        <v>762</v>
      </c>
      <c r="B627" t="s">
        <v>2048</v>
      </c>
      <c r="C627">
        <v>25</v>
      </c>
      <c r="D627">
        <v>54.32</v>
      </c>
    </row>
    <row r="628" spans="1:4">
      <c r="A628" t="s">
        <v>762</v>
      </c>
      <c r="B628" t="s">
        <v>2048</v>
      </c>
      <c r="C628">
        <v>26</v>
      </c>
      <c r="D628">
        <v>53.37</v>
      </c>
    </row>
    <row r="629" spans="1:4">
      <c r="A629" t="s">
        <v>762</v>
      </c>
      <c r="B629" t="s">
        <v>2048</v>
      </c>
      <c r="C629">
        <v>27</v>
      </c>
      <c r="D629">
        <v>52.43</v>
      </c>
    </row>
    <row r="630" spans="1:4">
      <c r="A630" t="s">
        <v>762</v>
      </c>
      <c r="B630" t="s">
        <v>2048</v>
      </c>
      <c r="C630">
        <v>28</v>
      </c>
      <c r="D630">
        <v>51.48</v>
      </c>
    </row>
    <row r="631" spans="1:4">
      <c r="A631" t="s">
        <v>762</v>
      </c>
      <c r="B631" t="s">
        <v>2048</v>
      </c>
      <c r="C631">
        <v>29</v>
      </c>
      <c r="D631">
        <v>50.55</v>
      </c>
    </row>
    <row r="632" spans="1:4">
      <c r="A632" t="s">
        <v>762</v>
      </c>
      <c r="B632" t="s">
        <v>2048</v>
      </c>
      <c r="C632">
        <v>30</v>
      </c>
      <c r="D632">
        <v>49.61</v>
      </c>
    </row>
    <row r="633" spans="1:4">
      <c r="A633" t="s">
        <v>762</v>
      </c>
      <c r="B633" t="s">
        <v>2048</v>
      </c>
      <c r="C633">
        <v>31</v>
      </c>
      <c r="D633">
        <v>48.68</v>
      </c>
    </row>
    <row r="634" spans="1:4">
      <c r="A634" t="s">
        <v>762</v>
      </c>
      <c r="B634" t="s">
        <v>2048</v>
      </c>
      <c r="C634">
        <v>32</v>
      </c>
      <c r="D634">
        <v>47.76</v>
      </c>
    </row>
    <row r="635" spans="1:4">
      <c r="A635" t="s">
        <v>762</v>
      </c>
      <c r="B635" t="s">
        <v>2048</v>
      </c>
      <c r="C635">
        <v>33</v>
      </c>
      <c r="D635">
        <v>46.83</v>
      </c>
    </row>
    <row r="636" spans="1:4">
      <c r="A636" t="s">
        <v>762</v>
      </c>
      <c r="B636" t="s">
        <v>2048</v>
      </c>
      <c r="C636">
        <v>34</v>
      </c>
      <c r="D636">
        <v>45.92</v>
      </c>
    </row>
    <row r="637" spans="1:4">
      <c r="A637" t="s">
        <v>762</v>
      </c>
      <c r="B637" t="s">
        <v>2048</v>
      </c>
      <c r="C637">
        <v>35</v>
      </c>
      <c r="D637">
        <v>45</v>
      </c>
    </row>
    <row r="638" spans="1:4">
      <c r="A638" t="s">
        <v>762</v>
      </c>
      <c r="B638" t="s">
        <v>2048</v>
      </c>
      <c r="C638">
        <v>36</v>
      </c>
      <c r="D638">
        <v>44.08</v>
      </c>
    </row>
    <row r="639" spans="1:4">
      <c r="A639" t="s">
        <v>762</v>
      </c>
      <c r="B639" t="s">
        <v>2048</v>
      </c>
      <c r="C639">
        <v>37</v>
      </c>
      <c r="D639">
        <v>43.17</v>
      </c>
    </row>
    <row r="640" spans="1:4">
      <c r="A640" t="s">
        <v>762</v>
      </c>
      <c r="B640" t="s">
        <v>2048</v>
      </c>
      <c r="C640">
        <v>38</v>
      </c>
      <c r="D640">
        <v>42.26</v>
      </c>
    </row>
    <row r="641" spans="1:4">
      <c r="A641" t="s">
        <v>762</v>
      </c>
      <c r="B641" t="s">
        <v>2048</v>
      </c>
      <c r="C641">
        <v>39</v>
      </c>
      <c r="D641">
        <v>41.35</v>
      </c>
    </row>
    <row r="642" spans="1:4">
      <c r="A642" t="s">
        <v>762</v>
      </c>
      <c r="B642" t="s">
        <v>2048</v>
      </c>
      <c r="C642">
        <v>40</v>
      </c>
      <c r="D642">
        <v>40.450000000000003</v>
      </c>
    </row>
    <row r="643" spans="1:4">
      <c r="A643" t="s">
        <v>762</v>
      </c>
      <c r="B643" t="s">
        <v>2048</v>
      </c>
      <c r="C643">
        <v>41</v>
      </c>
      <c r="D643">
        <v>39.54</v>
      </c>
    </row>
    <row r="644" spans="1:4">
      <c r="A644" t="s">
        <v>762</v>
      </c>
      <c r="B644" t="s">
        <v>2048</v>
      </c>
      <c r="C644">
        <v>42</v>
      </c>
      <c r="D644">
        <v>38.65</v>
      </c>
    </row>
    <row r="645" spans="1:4">
      <c r="A645" t="s">
        <v>762</v>
      </c>
      <c r="B645" t="s">
        <v>2048</v>
      </c>
      <c r="C645">
        <v>43</v>
      </c>
      <c r="D645">
        <v>37.75</v>
      </c>
    </row>
    <row r="646" spans="1:4">
      <c r="A646" t="s">
        <v>762</v>
      </c>
      <c r="B646" t="s">
        <v>2048</v>
      </c>
      <c r="C646">
        <v>44</v>
      </c>
      <c r="D646">
        <v>36.86</v>
      </c>
    </row>
    <row r="647" spans="1:4">
      <c r="A647" t="s">
        <v>762</v>
      </c>
      <c r="B647" t="s">
        <v>2048</v>
      </c>
      <c r="C647">
        <v>45</v>
      </c>
      <c r="D647">
        <v>35.96</v>
      </c>
    </row>
    <row r="648" spans="1:4">
      <c r="A648" t="s">
        <v>762</v>
      </c>
      <c r="B648" t="s">
        <v>2048</v>
      </c>
      <c r="C648">
        <v>46</v>
      </c>
      <c r="D648">
        <v>35.07</v>
      </c>
    </row>
    <row r="649" spans="1:4">
      <c r="A649" t="s">
        <v>762</v>
      </c>
      <c r="B649" t="s">
        <v>2048</v>
      </c>
      <c r="C649">
        <v>47</v>
      </c>
      <c r="D649">
        <v>34.18</v>
      </c>
    </row>
    <row r="650" spans="1:4">
      <c r="A650" t="s">
        <v>762</v>
      </c>
      <c r="B650" t="s">
        <v>2048</v>
      </c>
      <c r="C650">
        <v>48</v>
      </c>
      <c r="D650">
        <v>33.299999999999997</v>
      </c>
    </row>
    <row r="651" spans="1:4">
      <c r="A651" t="s">
        <v>762</v>
      </c>
      <c r="B651" t="s">
        <v>2048</v>
      </c>
      <c r="C651">
        <v>49</v>
      </c>
      <c r="D651">
        <v>32.42</v>
      </c>
    </row>
    <row r="652" spans="1:4">
      <c r="A652" t="s">
        <v>762</v>
      </c>
      <c r="B652" t="s">
        <v>2048</v>
      </c>
      <c r="C652">
        <v>50</v>
      </c>
      <c r="D652">
        <v>31.55</v>
      </c>
    </row>
    <row r="653" spans="1:4">
      <c r="A653" t="s">
        <v>762</v>
      </c>
      <c r="B653" t="s">
        <v>2048</v>
      </c>
      <c r="C653">
        <v>51</v>
      </c>
      <c r="D653">
        <v>30.68</v>
      </c>
    </row>
    <row r="654" spans="1:4">
      <c r="A654" t="s">
        <v>762</v>
      </c>
      <c r="B654" t="s">
        <v>2048</v>
      </c>
      <c r="C654">
        <v>52</v>
      </c>
      <c r="D654">
        <v>29.82</v>
      </c>
    </row>
    <row r="655" spans="1:4">
      <c r="A655" t="s">
        <v>762</v>
      </c>
      <c r="B655" t="s">
        <v>2048</v>
      </c>
      <c r="C655">
        <v>53</v>
      </c>
      <c r="D655">
        <v>28.96</v>
      </c>
    </row>
    <row r="656" spans="1:4">
      <c r="A656" t="s">
        <v>762</v>
      </c>
      <c r="B656" t="s">
        <v>2048</v>
      </c>
      <c r="C656">
        <v>54</v>
      </c>
      <c r="D656">
        <v>28.11</v>
      </c>
    </row>
    <row r="657" spans="1:4">
      <c r="A657" t="s">
        <v>762</v>
      </c>
      <c r="B657" t="s">
        <v>2048</v>
      </c>
      <c r="C657">
        <v>55</v>
      </c>
      <c r="D657">
        <v>27.27</v>
      </c>
    </row>
    <row r="658" spans="1:4">
      <c r="A658" t="s">
        <v>762</v>
      </c>
      <c r="B658" t="s">
        <v>2048</v>
      </c>
      <c r="C658">
        <v>56</v>
      </c>
      <c r="D658">
        <v>26.44</v>
      </c>
    </row>
    <row r="659" spans="1:4">
      <c r="A659" t="s">
        <v>762</v>
      </c>
      <c r="B659" t="s">
        <v>2048</v>
      </c>
      <c r="C659">
        <v>57</v>
      </c>
      <c r="D659">
        <v>25.61</v>
      </c>
    </row>
    <row r="660" spans="1:4">
      <c r="A660" t="s">
        <v>762</v>
      </c>
      <c r="B660" t="s">
        <v>2048</v>
      </c>
      <c r="C660">
        <v>58</v>
      </c>
      <c r="D660">
        <v>24.79</v>
      </c>
    </row>
    <row r="661" spans="1:4">
      <c r="A661" t="s">
        <v>762</v>
      </c>
      <c r="B661" t="s">
        <v>2048</v>
      </c>
      <c r="C661">
        <v>59</v>
      </c>
      <c r="D661">
        <v>23.99</v>
      </c>
    </row>
    <row r="662" spans="1:4">
      <c r="A662" t="s">
        <v>762</v>
      </c>
      <c r="B662" t="s">
        <v>2048</v>
      </c>
      <c r="C662">
        <v>60</v>
      </c>
      <c r="D662">
        <v>23.19</v>
      </c>
    </row>
    <row r="663" spans="1:4">
      <c r="A663" t="s">
        <v>762</v>
      </c>
      <c r="B663" t="s">
        <v>2048</v>
      </c>
      <c r="C663">
        <v>61</v>
      </c>
      <c r="D663">
        <v>22.41</v>
      </c>
    </row>
    <row r="664" spans="1:4">
      <c r="A664" t="s">
        <v>762</v>
      </c>
      <c r="B664" t="s">
        <v>2048</v>
      </c>
      <c r="C664">
        <v>62</v>
      </c>
      <c r="D664">
        <v>21.63</v>
      </c>
    </row>
    <row r="665" spans="1:4">
      <c r="A665" t="s">
        <v>762</v>
      </c>
      <c r="B665" t="s">
        <v>2048</v>
      </c>
      <c r="C665">
        <v>63</v>
      </c>
      <c r="D665">
        <v>20.86</v>
      </c>
    </row>
    <row r="666" spans="1:4">
      <c r="A666" t="s">
        <v>762</v>
      </c>
      <c r="B666" t="s">
        <v>2048</v>
      </c>
      <c r="C666">
        <v>64</v>
      </c>
      <c r="D666">
        <v>20.100000000000001</v>
      </c>
    </row>
    <row r="667" spans="1:4">
      <c r="A667" t="s">
        <v>762</v>
      </c>
      <c r="B667" t="s">
        <v>2048</v>
      </c>
      <c r="C667">
        <v>65</v>
      </c>
      <c r="D667">
        <v>19.34</v>
      </c>
    </row>
    <row r="668" spans="1:4">
      <c r="A668" t="s">
        <v>762</v>
      </c>
      <c r="B668" t="s">
        <v>2048</v>
      </c>
      <c r="C668">
        <v>66</v>
      </c>
      <c r="D668">
        <v>18.59</v>
      </c>
    </row>
    <row r="669" spans="1:4">
      <c r="A669" t="s">
        <v>762</v>
      </c>
      <c r="B669" t="s">
        <v>2048</v>
      </c>
      <c r="C669">
        <v>67</v>
      </c>
      <c r="D669">
        <v>17.850000000000001</v>
      </c>
    </row>
    <row r="670" spans="1:4">
      <c r="A670" t="s">
        <v>762</v>
      </c>
      <c r="B670" t="s">
        <v>2048</v>
      </c>
      <c r="C670">
        <v>68</v>
      </c>
      <c r="D670">
        <v>17.12</v>
      </c>
    </row>
    <row r="671" spans="1:4">
      <c r="A671" t="s">
        <v>762</v>
      </c>
      <c r="B671" t="s">
        <v>2048</v>
      </c>
      <c r="C671">
        <v>69</v>
      </c>
      <c r="D671">
        <v>16.39</v>
      </c>
    </row>
    <row r="672" spans="1:4">
      <c r="A672" t="s">
        <v>762</v>
      </c>
      <c r="B672" t="s">
        <v>2048</v>
      </c>
      <c r="C672">
        <v>70</v>
      </c>
      <c r="D672">
        <v>15.67</v>
      </c>
    </row>
    <row r="673" spans="1:4">
      <c r="A673" t="s">
        <v>762</v>
      </c>
      <c r="B673" t="s">
        <v>2048</v>
      </c>
      <c r="C673">
        <v>71</v>
      </c>
      <c r="D673">
        <v>14.96</v>
      </c>
    </row>
    <row r="674" spans="1:4">
      <c r="A674" t="s">
        <v>762</v>
      </c>
      <c r="B674" t="s">
        <v>2048</v>
      </c>
      <c r="C674">
        <v>72</v>
      </c>
      <c r="D674">
        <v>14.25</v>
      </c>
    </row>
    <row r="675" spans="1:4">
      <c r="A675" t="s">
        <v>762</v>
      </c>
      <c r="B675" t="s">
        <v>2048</v>
      </c>
      <c r="C675">
        <v>73</v>
      </c>
      <c r="D675">
        <v>13.56</v>
      </c>
    </row>
    <row r="676" spans="1:4">
      <c r="A676" t="s">
        <v>762</v>
      </c>
      <c r="B676" t="s">
        <v>2048</v>
      </c>
      <c r="C676">
        <v>74</v>
      </c>
      <c r="D676">
        <v>12.88</v>
      </c>
    </row>
    <row r="677" spans="1:4">
      <c r="A677" t="s">
        <v>762</v>
      </c>
      <c r="B677" t="s">
        <v>2048</v>
      </c>
      <c r="C677">
        <v>75</v>
      </c>
      <c r="D677">
        <v>12.21</v>
      </c>
    </row>
    <row r="678" spans="1:4">
      <c r="A678" t="s">
        <v>762</v>
      </c>
      <c r="B678" t="s">
        <v>2048</v>
      </c>
      <c r="C678">
        <v>76</v>
      </c>
      <c r="D678">
        <v>11.56</v>
      </c>
    </row>
    <row r="679" spans="1:4">
      <c r="A679" t="s">
        <v>762</v>
      </c>
      <c r="B679" t="s">
        <v>2048</v>
      </c>
      <c r="C679">
        <v>77</v>
      </c>
      <c r="D679">
        <v>10.91</v>
      </c>
    </row>
    <row r="680" spans="1:4">
      <c r="A680" t="s">
        <v>762</v>
      </c>
      <c r="B680" t="s">
        <v>2048</v>
      </c>
      <c r="C680">
        <v>78</v>
      </c>
      <c r="D680">
        <v>10.3</v>
      </c>
    </row>
    <row r="681" spans="1:4">
      <c r="A681" t="s">
        <v>762</v>
      </c>
      <c r="B681" t="s">
        <v>2048</v>
      </c>
      <c r="C681">
        <v>79</v>
      </c>
      <c r="D681">
        <v>9.69</v>
      </c>
    </row>
    <row r="682" spans="1:4">
      <c r="A682" t="s">
        <v>762</v>
      </c>
      <c r="B682" t="s">
        <v>2048</v>
      </c>
      <c r="C682">
        <v>80</v>
      </c>
      <c r="D682">
        <v>9.11</v>
      </c>
    </row>
    <row r="683" spans="1:4">
      <c r="A683" t="s">
        <v>762</v>
      </c>
      <c r="B683" t="s">
        <v>2048</v>
      </c>
      <c r="C683">
        <v>81</v>
      </c>
      <c r="D683">
        <v>8.5399999999999991</v>
      </c>
    </row>
    <row r="684" spans="1:4">
      <c r="A684" t="s">
        <v>762</v>
      </c>
      <c r="B684" t="s">
        <v>2048</v>
      </c>
      <c r="C684">
        <v>82</v>
      </c>
      <c r="D684">
        <v>8</v>
      </c>
    </row>
    <row r="685" spans="1:4">
      <c r="A685" t="s">
        <v>762</v>
      </c>
      <c r="B685" t="s">
        <v>2048</v>
      </c>
      <c r="C685">
        <v>83</v>
      </c>
      <c r="D685">
        <v>7.48</v>
      </c>
    </row>
    <row r="686" spans="1:4">
      <c r="A686" t="s">
        <v>762</v>
      </c>
      <c r="B686" t="s">
        <v>2048</v>
      </c>
      <c r="C686">
        <v>84</v>
      </c>
      <c r="D686">
        <v>6.97</v>
      </c>
    </row>
    <row r="687" spans="1:4">
      <c r="A687" t="s">
        <v>762</v>
      </c>
      <c r="B687" t="s">
        <v>2048</v>
      </c>
      <c r="C687">
        <v>85</v>
      </c>
      <c r="D687">
        <v>6.49</v>
      </c>
    </row>
    <row r="688" spans="1:4">
      <c r="A688" t="s">
        <v>762</v>
      </c>
      <c r="B688" t="s">
        <v>2048</v>
      </c>
      <c r="C688">
        <v>86</v>
      </c>
      <c r="D688">
        <v>6.03</v>
      </c>
    </row>
    <row r="689" spans="1:4">
      <c r="A689" t="s">
        <v>762</v>
      </c>
      <c r="B689" t="s">
        <v>2048</v>
      </c>
      <c r="C689">
        <v>87</v>
      </c>
      <c r="D689">
        <v>5.59</v>
      </c>
    </row>
    <row r="690" spans="1:4">
      <c r="A690" t="s">
        <v>762</v>
      </c>
      <c r="B690" t="s">
        <v>2048</v>
      </c>
      <c r="C690">
        <v>88</v>
      </c>
      <c r="D690">
        <v>5.18</v>
      </c>
    </row>
    <row r="691" spans="1:4">
      <c r="A691" t="s">
        <v>762</v>
      </c>
      <c r="B691" t="s">
        <v>2048</v>
      </c>
      <c r="C691">
        <v>89</v>
      </c>
      <c r="D691">
        <v>4.79</v>
      </c>
    </row>
    <row r="692" spans="1:4">
      <c r="A692" t="s">
        <v>762</v>
      </c>
      <c r="B692" t="s">
        <v>2048</v>
      </c>
      <c r="C692">
        <v>90</v>
      </c>
      <c r="D692">
        <v>4.43</v>
      </c>
    </row>
    <row r="693" spans="1:4">
      <c r="A693" t="s">
        <v>762</v>
      </c>
      <c r="B693" t="s">
        <v>2048</v>
      </c>
      <c r="C693">
        <v>91</v>
      </c>
      <c r="D693">
        <v>4.0999999999999996</v>
      </c>
    </row>
    <row r="694" spans="1:4">
      <c r="A694" t="s">
        <v>762</v>
      </c>
      <c r="B694" t="s">
        <v>2048</v>
      </c>
      <c r="C694">
        <v>92</v>
      </c>
      <c r="D694">
        <v>3.79</v>
      </c>
    </row>
    <row r="695" spans="1:4">
      <c r="A695" t="s">
        <v>762</v>
      </c>
      <c r="B695" t="s">
        <v>2048</v>
      </c>
      <c r="C695">
        <v>93</v>
      </c>
      <c r="D695">
        <v>3.51</v>
      </c>
    </row>
    <row r="696" spans="1:4">
      <c r="A696" t="s">
        <v>762</v>
      </c>
      <c r="B696" t="s">
        <v>2048</v>
      </c>
      <c r="C696">
        <v>94</v>
      </c>
      <c r="D696">
        <v>3.25</v>
      </c>
    </row>
    <row r="697" spans="1:4">
      <c r="A697" t="s">
        <v>762</v>
      </c>
      <c r="B697" t="s">
        <v>2048</v>
      </c>
      <c r="C697">
        <v>95</v>
      </c>
      <c r="D697">
        <v>3.01</v>
      </c>
    </row>
    <row r="698" spans="1:4">
      <c r="A698" t="s">
        <v>762</v>
      </c>
      <c r="B698" t="s">
        <v>2048</v>
      </c>
      <c r="C698">
        <v>96</v>
      </c>
      <c r="D698">
        <v>2.8</v>
      </c>
    </row>
    <row r="699" spans="1:4">
      <c r="A699" t="s">
        <v>762</v>
      </c>
      <c r="B699" t="s">
        <v>2048</v>
      </c>
      <c r="C699">
        <v>97</v>
      </c>
      <c r="D699">
        <v>2.6</v>
      </c>
    </row>
    <row r="700" spans="1:4">
      <c r="A700" t="s">
        <v>762</v>
      </c>
      <c r="B700" t="s">
        <v>2048</v>
      </c>
      <c r="C700">
        <v>98</v>
      </c>
      <c r="D700">
        <v>2.42</v>
      </c>
    </row>
    <row r="701" spans="1:4">
      <c r="A701" t="s">
        <v>762</v>
      </c>
      <c r="B701" t="s">
        <v>2048</v>
      </c>
      <c r="C701">
        <v>99</v>
      </c>
      <c r="D701">
        <v>2.2599999999999998</v>
      </c>
    </row>
    <row r="702" spans="1:4">
      <c r="A702" t="s">
        <v>746</v>
      </c>
      <c r="B702" t="s">
        <v>2048</v>
      </c>
      <c r="C702">
        <v>0</v>
      </c>
      <c r="D702">
        <v>76.02</v>
      </c>
    </row>
    <row r="703" spans="1:4">
      <c r="A703" t="s">
        <v>746</v>
      </c>
      <c r="B703" t="s">
        <v>2048</v>
      </c>
      <c r="C703">
        <v>1</v>
      </c>
      <c r="D703">
        <v>75.39</v>
      </c>
    </row>
    <row r="704" spans="1:4">
      <c r="A704" t="s">
        <v>746</v>
      </c>
      <c r="B704" t="s">
        <v>2048</v>
      </c>
      <c r="C704">
        <v>2</v>
      </c>
      <c r="D704">
        <v>74.430000000000007</v>
      </c>
    </row>
    <row r="705" spans="1:4">
      <c r="A705" t="s">
        <v>746</v>
      </c>
      <c r="B705" t="s">
        <v>2048</v>
      </c>
      <c r="C705">
        <v>3</v>
      </c>
      <c r="D705">
        <v>73.45</v>
      </c>
    </row>
    <row r="706" spans="1:4">
      <c r="A706" t="s">
        <v>746</v>
      </c>
      <c r="B706" t="s">
        <v>2048</v>
      </c>
      <c r="C706">
        <v>4</v>
      </c>
      <c r="D706">
        <v>72.47</v>
      </c>
    </row>
    <row r="707" spans="1:4">
      <c r="A707" t="s">
        <v>746</v>
      </c>
      <c r="B707" t="s">
        <v>2048</v>
      </c>
      <c r="C707">
        <v>5</v>
      </c>
      <c r="D707">
        <v>71.48</v>
      </c>
    </row>
    <row r="708" spans="1:4">
      <c r="A708" t="s">
        <v>746</v>
      </c>
      <c r="B708" t="s">
        <v>2048</v>
      </c>
      <c r="C708">
        <v>6</v>
      </c>
      <c r="D708">
        <v>70.489999999999995</v>
      </c>
    </row>
    <row r="709" spans="1:4">
      <c r="A709" t="s">
        <v>746</v>
      </c>
      <c r="B709" t="s">
        <v>2048</v>
      </c>
      <c r="C709">
        <v>7</v>
      </c>
      <c r="D709">
        <v>69.5</v>
      </c>
    </row>
    <row r="710" spans="1:4">
      <c r="A710" t="s">
        <v>746</v>
      </c>
      <c r="B710" t="s">
        <v>2048</v>
      </c>
      <c r="C710">
        <v>8</v>
      </c>
      <c r="D710">
        <v>68.510000000000005</v>
      </c>
    </row>
    <row r="711" spans="1:4">
      <c r="A711" t="s">
        <v>746</v>
      </c>
      <c r="B711" t="s">
        <v>2048</v>
      </c>
      <c r="C711">
        <v>9</v>
      </c>
      <c r="D711">
        <v>67.52</v>
      </c>
    </row>
    <row r="712" spans="1:4">
      <c r="A712" t="s">
        <v>746</v>
      </c>
      <c r="B712" t="s">
        <v>2048</v>
      </c>
      <c r="C712">
        <v>10</v>
      </c>
      <c r="D712">
        <v>66.52</v>
      </c>
    </row>
    <row r="713" spans="1:4">
      <c r="A713" t="s">
        <v>746</v>
      </c>
      <c r="B713" t="s">
        <v>2048</v>
      </c>
      <c r="C713">
        <v>11</v>
      </c>
      <c r="D713">
        <v>65.53</v>
      </c>
    </row>
    <row r="714" spans="1:4">
      <c r="A714" t="s">
        <v>746</v>
      </c>
      <c r="B714" t="s">
        <v>2048</v>
      </c>
      <c r="C714">
        <v>12</v>
      </c>
      <c r="D714">
        <v>64.540000000000006</v>
      </c>
    </row>
    <row r="715" spans="1:4">
      <c r="A715" t="s">
        <v>746</v>
      </c>
      <c r="B715" t="s">
        <v>2048</v>
      </c>
      <c r="C715">
        <v>13</v>
      </c>
      <c r="D715">
        <v>63.55</v>
      </c>
    </row>
    <row r="716" spans="1:4">
      <c r="A716" t="s">
        <v>746</v>
      </c>
      <c r="B716" t="s">
        <v>2048</v>
      </c>
      <c r="C716">
        <v>14</v>
      </c>
      <c r="D716">
        <v>62.56</v>
      </c>
    </row>
    <row r="717" spans="1:4">
      <c r="A717" t="s">
        <v>746</v>
      </c>
      <c r="B717" t="s">
        <v>2048</v>
      </c>
      <c r="C717">
        <v>15</v>
      </c>
      <c r="D717">
        <v>61.58</v>
      </c>
    </row>
    <row r="718" spans="1:4">
      <c r="A718" t="s">
        <v>746</v>
      </c>
      <c r="B718" t="s">
        <v>2048</v>
      </c>
      <c r="C718">
        <v>16</v>
      </c>
      <c r="D718">
        <v>60.61</v>
      </c>
    </row>
    <row r="719" spans="1:4">
      <c r="A719" t="s">
        <v>746</v>
      </c>
      <c r="B719" t="s">
        <v>2048</v>
      </c>
      <c r="C719">
        <v>17</v>
      </c>
      <c r="D719">
        <v>59.64</v>
      </c>
    </row>
    <row r="720" spans="1:4">
      <c r="A720" t="s">
        <v>746</v>
      </c>
      <c r="B720" t="s">
        <v>2048</v>
      </c>
      <c r="C720">
        <v>18</v>
      </c>
      <c r="D720">
        <v>58.68</v>
      </c>
    </row>
    <row r="721" spans="1:4">
      <c r="A721" t="s">
        <v>746</v>
      </c>
      <c r="B721" t="s">
        <v>2048</v>
      </c>
      <c r="C721">
        <v>19</v>
      </c>
      <c r="D721">
        <v>57.73</v>
      </c>
    </row>
    <row r="722" spans="1:4">
      <c r="A722" t="s">
        <v>746</v>
      </c>
      <c r="B722" t="s">
        <v>2048</v>
      </c>
      <c r="C722">
        <v>20</v>
      </c>
      <c r="D722">
        <v>56.77</v>
      </c>
    </row>
    <row r="723" spans="1:4">
      <c r="A723" t="s">
        <v>746</v>
      </c>
      <c r="B723" t="s">
        <v>2048</v>
      </c>
      <c r="C723">
        <v>21</v>
      </c>
      <c r="D723">
        <v>55.83</v>
      </c>
    </row>
    <row r="724" spans="1:4">
      <c r="A724" t="s">
        <v>746</v>
      </c>
      <c r="B724" t="s">
        <v>2048</v>
      </c>
      <c r="C724">
        <v>22</v>
      </c>
      <c r="D724">
        <v>54.88</v>
      </c>
    </row>
    <row r="725" spans="1:4">
      <c r="A725" t="s">
        <v>746</v>
      </c>
      <c r="B725" t="s">
        <v>2048</v>
      </c>
      <c r="C725">
        <v>23</v>
      </c>
      <c r="D725">
        <v>53.94</v>
      </c>
    </row>
    <row r="726" spans="1:4">
      <c r="A726" t="s">
        <v>746</v>
      </c>
      <c r="B726" t="s">
        <v>2048</v>
      </c>
      <c r="C726">
        <v>24</v>
      </c>
      <c r="D726">
        <v>53.01</v>
      </c>
    </row>
    <row r="727" spans="1:4">
      <c r="A727" t="s">
        <v>746</v>
      </c>
      <c r="B727" t="s">
        <v>2048</v>
      </c>
      <c r="C727">
        <v>25</v>
      </c>
      <c r="D727">
        <v>52.08</v>
      </c>
    </row>
    <row r="728" spans="1:4">
      <c r="A728" t="s">
        <v>746</v>
      </c>
      <c r="B728" t="s">
        <v>2048</v>
      </c>
      <c r="C728">
        <v>26</v>
      </c>
      <c r="D728">
        <v>51.15</v>
      </c>
    </row>
    <row r="729" spans="1:4">
      <c r="A729" t="s">
        <v>746</v>
      </c>
      <c r="B729" t="s">
        <v>2048</v>
      </c>
      <c r="C729">
        <v>27</v>
      </c>
      <c r="D729">
        <v>50.22</v>
      </c>
    </row>
    <row r="730" spans="1:4">
      <c r="A730" t="s">
        <v>746</v>
      </c>
      <c r="B730" t="s">
        <v>2048</v>
      </c>
      <c r="C730">
        <v>28</v>
      </c>
      <c r="D730">
        <v>49.3</v>
      </c>
    </row>
    <row r="731" spans="1:4">
      <c r="A731" t="s">
        <v>746</v>
      </c>
      <c r="B731" t="s">
        <v>2048</v>
      </c>
      <c r="C731">
        <v>29</v>
      </c>
      <c r="D731">
        <v>48.38</v>
      </c>
    </row>
    <row r="732" spans="1:4">
      <c r="A732" t="s">
        <v>746</v>
      </c>
      <c r="B732" t="s">
        <v>2048</v>
      </c>
      <c r="C732">
        <v>30</v>
      </c>
      <c r="D732">
        <v>47.47</v>
      </c>
    </row>
    <row r="733" spans="1:4">
      <c r="A733" t="s">
        <v>746</v>
      </c>
      <c r="B733" t="s">
        <v>2048</v>
      </c>
      <c r="C733">
        <v>31</v>
      </c>
      <c r="D733">
        <v>46.56</v>
      </c>
    </row>
    <row r="734" spans="1:4">
      <c r="A734" t="s">
        <v>746</v>
      </c>
      <c r="B734" t="s">
        <v>2048</v>
      </c>
      <c r="C734">
        <v>32</v>
      </c>
      <c r="D734">
        <v>45.66</v>
      </c>
    </row>
    <row r="735" spans="1:4">
      <c r="A735" t="s">
        <v>746</v>
      </c>
      <c r="B735" t="s">
        <v>2048</v>
      </c>
      <c r="C735">
        <v>33</v>
      </c>
      <c r="D735">
        <v>44.76</v>
      </c>
    </row>
    <row r="736" spans="1:4">
      <c r="A736" t="s">
        <v>746</v>
      </c>
      <c r="B736" t="s">
        <v>2048</v>
      </c>
      <c r="C736">
        <v>34</v>
      </c>
      <c r="D736">
        <v>43.86</v>
      </c>
    </row>
    <row r="737" spans="1:4">
      <c r="A737" t="s">
        <v>746</v>
      </c>
      <c r="B737" t="s">
        <v>2048</v>
      </c>
      <c r="C737">
        <v>35</v>
      </c>
      <c r="D737">
        <v>42.97</v>
      </c>
    </row>
    <row r="738" spans="1:4">
      <c r="A738" t="s">
        <v>746</v>
      </c>
      <c r="B738" t="s">
        <v>2048</v>
      </c>
      <c r="C738">
        <v>36</v>
      </c>
      <c r="D738">
        <v>42.07</v>
      </c>
    </row>
    <row r="739" spans="1:4">
      <c r="A739" t="s">
        <v>746</v>
      </c>
      <c r="B739" t="s">
        <v>2048</v>
      </c>
      <c r="C739">
        <v>37</v>
      </c>
      <c r="D739">
        <v>41.19</v>
      </c>
    </row>
    <row r="740" spans="1:4">
      <c r="A740" t="s">
        <v>746</v>
      </c>
      <c r="B740" t="s">
        <v>2048</v>
      </c>
      <c r="C740">
        <v>38</v>
      </c>
      <c r="D740">
        <v>40.299999999999997</v>
      </c>
    </row>
    <row r="741" spans="1:4">
      <c r="A741" t="s">
        <v>746</v>
      </c>
      <c r="B741" t="s">
        <v>2048</v>
      </c>
      <c r="C741">
        <v>39</v>
      </c>
      <c r="D741">
        <v>39.409999999999997</v>
      </c>
    </row>
    <row r="742" spans="1:4">
      <c r="A742" t="s">
        <v>746</v>
      </c>
      <c r="B742" t="s">
        <v>2048</v>
      </c>
      <c r="C742">
        <v>40</v>
      </c>
      <c r="D742">
        <v>38.53</v>
      </c>
    </row>
    <row r="743" spans="1:4">
      <c r="A743" t="s">
        <v>746</v>
      </c>
      <c r="B743" t="s">
        <v>2048</v>
      </c>
      <c r="C743">
        <v>41</v>
      </c>
      <c r="D743">
        <v>37.65</v>
      </c>
    </row>
    <row r="744" spans="1:4">
      <c r="A744" t="s">
        <v>746</v>
      </c>
      <c r="B744" t="s">
        <v>2048</v>
      </c>
      <c r="C744">
        <v>42</v>
      </c>
      <c r="D744">
        <v>36.78</v>
      </c>
    </row>
    <row r="745" spans="1:4">
      <c r="A745" t="s">
        <v>746</v>
      </c>
      <c r="B745" t="s">
        <v>2048</v>
      </c>
      <c r="C745">
        <v>43</v>
      </c>
      <c r="D745">
        <v>35.9</v>
      </c>
    </row>
    <row r="746" spans="1:4">
      <c r="A746" t="s">
        <v>746</v>
      </c>
      <c r="B746" t="s">
        <v>2048</v>
      </c>
      <c r="C746">
        <v>44</v>
      </c>
      <c r="D746">
        <v>35.03</v>
      </c>
    </row>
    <row r="747" spans="1:4">
      <c r="A747" t="s">
        <v>746</v>
      </c>
      <c r="B747" t="s">
        <v>2048</v>
      </c>
      <c r="C747">
        <v>45</v>
      </c>
      <c r="D747">
        <v>34.159999999999997</v>
      </c>
    </row>
    <row r="748" spans="1:4">
      <c r="A748" t="s">
        <v>746</v>
      </c>
      <c r="B748" t="s">
        <v>2048</v>
      </c>
      <c r="C748">
        <v>46</v>
      </c>
      <c r="D748">
        <v>33.29</v>
      </c>
    </row>
    <row r="749" spans="1:4">
      <c r="A749" t="s">
        <v>746</v>
      </c>
      <c r="B749" t="s">
        <v>2048</v>
      </c>
      <c r="C749">
        <v>47</v>
      </c>
      <c r="D749">
        <v>32.42</v>
      </c>
    </row>
    <row r="750" spans="1:4">
      <c r="A750" t="s">
        <v>746</v>
      </c>
      <c r="B750" t="s">
        <v>2048</v>
      </c>
      <c r="C750">
        <v>48</v>
      </c>
      <c r="D750">
        <v>31.56</v>
      </c>
    </row>
    <row r="751" spans="1:4">
      <c r="A751" t="s">
        <v>746</v>
      </c>
      <c r="B751" t="s">
        <v>2048</v>
      </c>
      <c r="C751">
        <v>49</v>
      </c>
      <c r="D751">
        <v>30.7</v>
      </c>
    </row>
    <row r="752" spans="1:4">
      <c r="A752" t="s">
        <v>746</v>
      </c>
      <c r="B752" t="s">
        <v>2048</v>
      </c>
      <c r="C752">
        <v>50</v>
      </c>
      <c r="D752">
        <v>29.85</v>
      </c>
    </row>
    <row r="753" spans="1:4">
      <c r="A753" t="s">
        <v>746</v>
      </c>
      <c r="B753" t="s">
        <v>2048</v>
      </c>
      <c r="C753">
        <v>51</v>
      </c>
      <c r="D753">
        <v>29</v>
      </c>
    </row>
    <row r="754" spans="1:4">
      <c r="A754" t="s">
        <v>746</v>
      </c>
      <c r="B754" t="s">
        <v>2048</v>
      </c>
      <c r="C754">
        <v>52</v>
      </c>
      <c r="D754">
        <v>28.16</v>
      </c>
    </row>
    <row r="755" spans="1:4">
      <c r="A755" t="s">
        <v>746</v>
      </c>
      <c r="B755" t="s">
        <v>2048</v>
      </c>
      <c r="C755">
        <v>53</v>
      </c>
      <c r="D755">
        <v>27.33</v>
      </c>
    </row>
    <row r="756" spans="1:4">
      <c r="A756" t="s">
        <v>746</v>
      </c>
      <c r="B756" t="s">
        <v>2048</v>
      </c>
      <c r="C756">
        <v>54</v>
      </c>
      <c r="D756">
        <v>26.5</v>
      </c>
    </row>
    <row r="757" spans="1:4">
      <c r="A757" t="s">
        <v>746</v>
      </c>
      <c r="B757" t="s">
        <v>2048</v>
      </c>
      <c r="C757">
        <v>55</v>
      </c>
      <c r="D757">
        <v>25.69</v>
      </c>
    </row>
    <row r="758" spans="1:4">
      <c r="A758" t="s">
        <v>746</v>
      </c>
      <c r="B758" t="s">
        <v>2048</v>
      </c>
      <c r="C758">
        <v>56</v>
      </c>
      <c r="D758">
        <v>24.88</v>
      </c>
    </row>
    <row r="759" spans="1:4">
      <c r="A759" t="s">
        <v>746</v>
      </c>
      <c r="B759" t="s">
        <v>2048</v>
      </c>
      <c r="C759">
        <v>57</v>
      </c>
      <c r="D759">
        <v>24.08</v>
      </c>
    </row>
    <row r="760" spans="1:4">
      <c r="A760" t="s">
        <v>746</v>
      </c>
      <c r="B760" t="s">
        <v>2048</v>
      </c>
      <c r="C760">
        <v>58</v>
      </c>
      <c r="D760">
        <v>23.3</v>
      </c>
    </row>
    <row r="761" spans="1:4">
      <c r="A761" t="s">
        <v>746</v>
      </c>
      <c r="B761" t="s">
        <v>2048</v>
      </c>
      <c r="C761">
        <v>59</v>
      </c>
      <c r="D761">
        <v>22.52</v>
      </c>
    </row>
    <row r="762" spans="1:4">
      <c r="A762" t="s">
        <v>746</v>
      </c>
      <c r="B762" t="s">
        <v>2048</v>
      </c>
      <c r="C762">
        <v>60</v>
      </c>
      <c r="D762">
        <v>21.76</v>
      </c>
    </row>
    <row r="763" spans="1:4">
      <c r="A763" t="s">
        <v>746</v>
      </c>
      <c r="B763" t="s">
        <v>2048</v>
      </c>
      <c r="C763">
        <v>61</v>
      </c>
      <c r="D763">
        <v>21.01</v>
      </c>
    </row>
    <row r="764" spans="1:4">
      <c r="A764" t="s">
        <v>746</v>
      </c>
      <c r="B764" t="s">
        <v>2048</v>
      </c>
      <c r="C764">
        <v>62</v>
      </c>
      <c r="D764">
        <v>20.260000000000002</v>
      </c>
    </row>
    <row r="765" spans="1:4">
      <c r="A765" t="s">
        <v>746</v>
      </c>
      <c r="B765" t="s">
        <v>2048</v>
      </c>
      <c r="C765">
        <v>63</v>
      </c>
      <c r="D765">
        <v>19.53</v>
      </c>
    </row>
    <row r="766" spans="1:4">
      <c r="A766" t="s">
        <v>746</v>
      </c>
      <c r="B766" t="s">
        <v>2048</v>
      </c>
      <c r="C766">
        <v>64</v>
      </c>
      <c r="D766">
        <v>18.8</v>
      </c>
    </row>
    <row r="767" spans="1:4">
      <c r="A767" t="s">
        <v>746</v>
      </c>
      <c r="B767" t="s">
        <v>2048</v>
      </c>
      <c r="C767">
        <v>65</v>
      </c>
      <c r="D767">
        <v>18.079999999999998</v>
      </c>
    </row>
    <row r="768" spans="1:4">
      <c r="A768" t="s">
        <v>746</v>
      </c>
      <c r="B768" t="s">
        <v>2048</v>
      </c>
      <c r="C768">
        <v>66</v>
      </c>
      <c r="D768">
        <v>17.36</v>
      </c>
    </row>
    <row r="769" spans="1:4">
      <c r="A769" t="s">
        <v>746</v>
      </c>
      <c r="B769" t="s">
        <v>2048</v>
      </c>
      <c r="C769">
        <v>67</v>
      </c>
      <c r="D769">
        <v>16.66</v>
      </c>
    </row>
    <row r="770" spans="1:4">
      <c r="A770" t="s">
        <v>746</v>
      </c>
      <c r="B770" t="s">
        <v>2048</v>
      </c>
      <c r="C770">
        <v>68</v>
      </c>
      <c r="D770">
        <v>15.97</v>
      </c>
    </row>
    <row r="771" spans="1:4">
      <c r="A771" t="s">
        <v>746</v>
      </c>
      <c r="B771" t="s">
        <v>2048</v>
      </c>
      <c r="C771">
        <v>69</v>
      </c>
      <c r="D771">
        <v>15.28</v>
      </c>
    </row>
    <row r="772" spans="1:4">
      <c r="A772" t="s">
        <v>746</v>
      </c>
      <c r="B772" t="s">
        <v>2048</v>
      </c>
      <c r="C772">
        <v>70</v>
      </c>
      <c r="D772">
        <v>14.6</v>
      </c>
    </row>
    <row r="773" spans="1:4">
      <c r="A773" t="s">
        <v>746</v>
      </c>
      <c r="B773" t="s">
        <v>2048</v>
      </c>
      <c r="C773">
        <v>71</v>
      </c>
      <c r="D773">
        <v>13.93</v>
      </c>
    </row>
    <row r="774" spans="1:4">
      <c r="A774" t="s">
        <v>746</v>
      </c>
      <c r="B774" t="s">
        <v>2048</v>
      </c>
      <c r="C774">
        <v>72</v>
      </c>
      <c r="D774">
        <v>13.26</v>
      </c>
    </row>
    <row r="775" spans="1:4">
      <c r="A775" t="s">
        <v>746</v>
      </c>
      <c r="B775" t="s">
        <v>2048</v>
      </c>
      <c r="C775">
        <v>73</v>
      </c>
      <c r="D775">
        <v>12.6</v>
      </c>
    </row>
    <row r="776" spans="1:4">
      <c r="A776" t="s">
        <v>746</v>
      </c>
      <c r="B776" t="s">
        <v>2048</v>
      </c>
      <c r="C776">
        <v>74</v>
      </c>
      <c r="D776">
        <v>11.96</v>
      </c>
    </row>
    <row r="777" spans="1:4">
      <c r="A777" t="s">
        <v>746</v>
      </c>
      <c r="B777" t="s">
        <v>2048</v>
      </c>
      <c r="C777">
        <v>75</v>
      </c>
      <c r="D777">
        <v>11.32</v>
      </c>
    </row>
    <row r="778" spans="1:4">
      <c r="A778" t="s">
        <v>746</v>
      </c>
      <c r="B778" t="s">
        <v>2048</v>
      </c>
      <c r="C778">
        <v>76</v>
      </c>
      <c r="D778">
        <v>10.71</v>
      </c>
    </row>
    <row r="779" spans="1:4">
      <c r="A779" t="s">
        <v>746</v>
      </c>
      <c r="B779" t="s">
        <v>2048</v>
      </c>
      <c r="C779">
        <v>77</v>
      </c>
      <c r="D779">
        <v>10.09</v>
      </c>
    </row>
    <row r="780" spans="1:4">
      <c r="A780" t="s">
        <v>746</v>
      </c>
      <c r="B780" t="s">
        <v>2048</v>
      </c>
      <c r="C780">
        <v>78</v>
      </c>
      <c r="D780">
        <v>9.51</v>
      </c>
    </row>
    <row r="781" spans="1:4">
      <c r="A781" t="s">
        <v>746</v>
      </c>
      <c r="B781" t="s">
        <v>2048</v>
      </c>
      <c r="C781">
        <v>79</v>
      </c>
      <c r="D781">
        <v>8.93</v>
      </c>
    </row>
    <row r="782" spans="1:4">
      <c r="A782" t="s">
        <v>746</v>
      </c>
      <c r="B782" t="s">
        <v>2048</v>
      </c>
      <c r="C782">
        <v>80</v>
      </c>
      <c r="D782">
        <v>8.3800000000000008</v>
      </c>
    </row>
    <row r="783" spans="1:4">
      <c r="A783" t="s">
        <v>746</v>
      </c>
      <c r="B783" t="s">
        <v>2048</v>
      </c>
      <c r="C783">
        <v>81</v>
      </c>
      <c r="D783">
        <v>7.84</v>
      </c>
    </row>
    <row r="784" spans="1:4">
      <c r="A784" t="s">
        <v>746</v>
      </c>
      <c r="B784" t="s">
        <v>2048</v>
      </c>
      <c r="C784">
        <v>82</v>
      </c>
      <c r="D784">
        <v>7.33</v>
      </c>
    </row>
    <row r="785" spans="1:4">
      <c r="A785" t="s">
        <v>746</v>
      </c>
      <c r="B785" t="s">
        <v>2048</v>
      </c>
      <c r="C785">
        <v>83</v>
      </c>
      <c r="D785">
        <v>6.84</v>
      </c>
    </row>
    <row r="786" spans="1:4">
      <c r="A786" t="s">
        <v>746</v>
      </c>
      <c r="B786" t="s">
        <v>2048</v>
      </c>
      <c r="C786">
        <v>84</v>
      </c>
      <c r="D786">
        <v>6.37</v>
      </c>
    </row>
    <row r="787" spans="1:4">
      <c r="A787" t="s">
        <v>746</v>
      </c>
      <c r="B787" t="s">
        <v>2048</v>
      </c>
      <c r="C787">
        <v>85</v>
      </c>
      <c r="D787">
        <v>5.92</v>
      </c>
    </row>
    <row r="788" spans="1:4">
      <c r="A788" t="s">
        <v>746</v>
      </c>
      <c r="B788" t="s">
        <v>2048</v>
      </c>
      <c r="C788">
        <v>86</v>
      </c>
      <c r="D788">
        <v>5.49</v>
      </c>
    </row>
    <row r="789" spans="1:4">
      <c r="A789" t="s">
        <v>746</v>
      </c>
      <c r="B789" t="s">
        <v>2048</v>
      </c>
      <c r="C789">
        <v>87</v>
      </c>
      <c r="D789">
        <v>5.07</v>
      </c>
    </row>
    <row r="790" spans="1:4">
      <c r="A790" t="s">
        <v>746</v>
      </c>
      <c r="B790" t="s">
        <v>2048</v>
      </c>
      <c r="C790">
        <v>88</v>
      </c>
      <c r="D790">
        <v>4.68</v>
      </c>
    </row>
    <row r="791" spans="1:4">
      <c r="A791" t="s">
        <v>746</v>
      </c>
      <c r="B791" t="s">
        <v>2048</v>
      </c>
      <c r="C791">
        <v>89</v>
      </c>
      <c r="D791">
        <v>4.32</v>
      </c>
    </row>
    <row r="792" spans="1:4">
      <c r="A792" t="s">
        <v>746</v>
      </c>
      <c r="B792" t="s">
        <v>2048</v>
      </c>
      <c r="C792">
        <v>90</v>
      </c>
      <c r="D792">
        <v>3.99</v>
      </c>
    </row>
    <row r="793" spans="1:4">
      <c r="A793" t="s">
        <v>746</v>
      </c>
      <c r="B793" t="s">
        <v>2048</v>
      </c>
      <c r="C793">
        <v>91</v>
      </c>
      <c r="D793">
        <v>3.69</v>
      </c>
    </row>
    <row r="794" spans="1:4">
      <c r="A794" t="s">
        <v>746</v>
      </c>
      <c r="B794" t="s">
        <v>2048</v>
      </c>
      <c r="C794">
        <v>92</v>
      </c>
      <c r="D794">
        <v>3.4</v>
      </c>
    </row>
    <row r="795" spans="1:4">
      <c r="A795" t="s">
        <v>746</v>
      </c>
      <c r="B795" t="s">
        <v>2048</v>
      </c>
      <c r="C795">
        <v>93</v>
      </c>
      <c r="D795">
        <v>3.15</v>
      </c>
    </row>
    <row r="796" spans="1:4">
      <c r="A796" t="s">
        <v>746</v>
      </c>
      <c r="B796" t="s">
        <v>2048</v>
      </c>
      <c r="C796">
        <v>94</v>
      </c>
      <c r="D796">
        <v>2.91</v>
      </c>
    </row>
    <row r="797" spans="1:4">
      <c r="A797" t="s">
        <v>746</v>
      </c>
      <c r="B797" t="s">
        <v>2048</v>
      </c>
      <c r="C797">
        <v>95</v>
      </c>
      <c r="D797">
        <v>2.7</v>
      </c>
    </row>
    <row r="798" spans="1:4">
      <c r="A798" t="s">
        <v>746</v>
      </c>
      <c r="B798" t="s">
        <v>2048</v>
      </c>
      <c r="C798">
        <v>96</v>
      </c>
      <c r="D798">
        <v>2.5099999999999998</v>
      </c>
    </row>
    <row r="799" spans="1:4">
      <c r="A799" t="s">
        <v>746</v>
      </c>
      <c r="B799" t="s">
        <v>2048</v>
      </c>
      <c r="C799">
        <v>97</v>
      </c>
      <c r="D799">
        <v>2.33</v>
      </c>
    </row>
    <row r="800" spans="1:4">
      <c r="A800" t="s">
        <v>746</v>
      </c>
      <c r="B800" t="s">
        <v>2048</v>
      </c>
      <c r="C800">
        <v>98</v>
      </c>
      <c r="D800">
        <v>2.1800000000000002</v>
      </c>
    </row>
    <row r="801" spans="1:4">
      <c r="A801" t="s">
        <v>746</v>
      </c>
      <c r="B801" t="s">
        <v>2048</v>
      </c>
      <c r="C801">
        <v>99</v>
      </c>
      <c r="D801">
        <v>2.04</v>
      </c>
    </row>
  </sheetData>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26D9E-F872-4D98-A6AE-5A90CB6854A0}">
  <dimension ref="A1:D51"/>
  <sheetViews>
    <sheetView workbookViewId="0">
      <selection activeCell="E6" sqref="E6"/>
    </sheetView>
  </sheetViews>
  <sheetFormatPr defaultColWidth="9" defaultRowHeight="15.95"/>
  <cols>
    <col min="1" max="1" width="18.140625" style="16" bestFit="1" customWidth="1"/>
    <col min="2" max="2" width="7.28515625" style="16" bestFit="1" customWidth="1"/>
    <col min="3" max="3" width="17.28515625" style="16" bestFit="1" customWidth="1"/>
    <col min="4" max="4" width="12.28515625" style="13" customWidth="1"/>
    <col min="5" max="16384" width="9" style="13"/>
  </cols>
  <sheetData>
    <row r="1" spans="1:3" ht="15.75">
      <c r="A1" s="16" t="s">
        <v>2049</v>
      </c>
      <c r="B1" s="16" t="s">
        <v>2029</v>
      </c>
      <c r="C1" s="15" t="s">
        <v>725</v>
      </c>
    </row>
    <row r="2" spans="1:3">
      <c r="A2" s="16">
        <v>2025</v>
      </c>
      <c r="B2" s="21">
        <v>67</v>
      </c>
      <c r="C2" s="17">
        <v>6648.5011000000004</v>
      </c>
    </row>
    <row r="3" spans="1:3">
      <c r="A3" s="16">
        <v>2026</v>
      </c>
      <c r="B3" s="21">
        <v>68</v>
      </c>
      <c r="C3" s="17">
        <v>19110.379700000001</v>
      </c>
    </row>
    <row r="4" spans="1:3">
      <c r="A4" s="16">
        <v>2027</v>
      </c>
      <c r="B4" s="21">
        <v>69</v>
      </c>
      <c r="C4" s="17">
        <v>18668.6787</v>
      </c>
    </row>
    <row r="5" spans="1:3">
      <c r="A5" s="16">
        <v>2028</v>
      </c>
      <c r="B5" s="21">
        <v>70</v>
      </c>
      <c r="C5" s="17">
        <v>18879.052899999999</v>
      </c>
    </row>
    <row r="6" spans="1:3">
      <c r="A6" s="16">
        <v>2029</v>
      </c>
      <c r="B6" s="21">
        <v>71</v>
      </c>
      <c r="C6" s="17">
        <v>19478.078399999999</v>
      </c>
    </row>
    <row r="7" spans="1:3">
      <c r="A7" s="16">
        <v>2030</v>
      </c>
      <c r="B7" s="21">
        <v>72</v>
      </c>
      <c r="C7" s="17">
        <v>26784.247899999998</v>
      </c>
    </row>
    <row r="8" spans="1:3">
      <c r="A8" s="16">
        <v>2031</v>
      </c>
      <c r="B8" s="21">
        <v>73</v>
      </c>
      <c r="C8" s="17">
        <v>27532.879499999999</v>
      </c>
    </row>
    <row r="9" spans="1:3">
      <c r="A9" s="16">
        <v>2032</v>
      </c>
      <c r="B9" s="21">
        <v>74</v>
      </c>
      <c r="C9" s="17">
        <v>27599.007099999999</v>
      </c>
    </row>
    <row r="10" spans="1:3">
      <c r="A10" s="16">
        <v>2033</v>
      </c>
      <c r="B10" s="21">
        <v>75</v>
      </c>
      <c r="C10" s="17">
        <v>34378.320599999999</v>
      </c>
    </row>
    <row r="11" spans="1:3">
      <c r="A11" s="16">
        <v>2034</v>
      </c>
      <c r="B11" s="21">
        <v>76</v>
      </c>
      <c r="C11" s="17">
        <v>19696.696499999998</v>
      </c>
    </row>
    <row r="12" spans="1:3">
      <c r="A12" s="16">
        <v>2035</v>
      </c>
      <c r="B12" s="21">
        <v>77</v>
      </c>
      <c r="C12" s="17">
        <v>25833.0985</v>
      </c>
    </row>
    <row r="13" spans="1:3">
      <c r="A13" s="16">
        <v>2036</v>
      </c>
      <c r="B13" s="21">
        <v>78</v>
      </c>
      <c r="C13" s="17">
        <v>25690.605</v>
      </c>
    </row>
    <row r="14" spans="1:3">
      <c r="A14" s="16">
        <v>2037</v>
      </c>
      <c r="B14" s="21">
        <v>79</v>
      </c>
      <c r="C14" s="17">
        <v>25505.122800000001</v>
      </c>
    </row>
    <row r="15" spans="1:3">
      <c r="A15" s="16">
        <v>2038</v>
      </c>
      <c r="B15" s="21">
        <v>80</v>
      </c>
      <c r="C15" s="17">
        <v>25368.819299999999</v>
      </c>
    </row>
    <row r="16" spans="1:3">
      <c r="A16" s="16">
        <v>2039</v>
      </c>
      <c r="B16" s="21">
        <v>81</v>
      </c>
      <c r="C16" s="17">
        <v>25096.587</v>
      </c>
    </row>
    <row r="17" spans="1:3">
      <c r="A17" s="16">
        <v>2040</v>
      </c>
      <c r="B17" s="21">
        <v>82</v>
      </c>
      <c r="C17" s="17">
        <v>24948.770700000001</v>
      </c>
    </row>
    <row r="18" spans="1:3">
      <c r="A18" s="16">
        <v>2041</v>
      </c>
      <c r="B18" s="21">
        <v>83</v>
      </c>
      <c r="C18" s="17">
        <v>24590.116699999999</v>
      </c>
    </row>
    <row r="19" spans="1:3" ht="15.75">
      <c r="A19" s="16">
        <v>2042</v>
      </c>
      <c r="B19" s="21">
        <v>84</v>
      </c>
      <c r="C19" s="17">
        <v>26500.356800000001</v>
      </c>
    </row>
    <row r="20" spans="1:3" ht="15.75">
      <c r="C20" s="18">
        <f>SUM(C2:C19)</f>
        <v>422309.31919999997</v>
      </c>
    </row>
    <row r="38" spans="4:4" ht="15.75">
      <c r="D38" s="14"/>
    </row>
    <row r="39" spans="4:4" ht="15.75">
      <c r="D39" s="14"/>
    </row>
    <row r="40" spans="4:4" ht="15.75">
      <c r="D40" s="14"/>
    </row>
    <row r="41" spans="4:4" ht="15.75">
      <c r="D41" s="14"/>
    </row>
    <row r="42" spans="4:4" ht="15.75">
      <c r="D42" s="14"/>
    </row>
    <row r="43" spans="4:4" ht="15.75">
      <c r="D43" s="14"/>
    </row>
    <row r="44" spans="4:4" ht="15.75">
      <c r="D44" s="14"/>
    </row>
    <row r="45" spans="4:4" ht="15.75">
      <c r="D45" s="14"/>
    </row>
    <row r="46" spans="4:4" ht="15.75">
      <c r="D46" s="14"/>
    </row>
    <row r="47" spans="4:4" ht="15.75">
      <c r="D47" s="14"/>
    </row>
    <row r="48" spans="4:4" ht="15.75">
      <c r="D48" s="14"/>
    </row>
    <row r="49" spans="4:4" ht="15.75">
      <c r="D49" s="14"/>
    </row>
    <row r="50" spans="4:4" ht="15.75">
      <c r="D50" s="14"/>
    </row>
    <row r="51" spans="4:4" ht="15.75"/>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A1164-E462-489A-AC4F-BCB368434739}">
  <dimension ref="A1:G5"/>
  <sheetViews>
    <sheetView workbookViewId="0">
      <selection activeCell="D4" sqref="D4"/>
    </sheetView>
  </sheetViews>
  <sheetFormatPr defaultColWidth="9" defaultRowHeight="15.95"/>
  <cols>
    <col min="1" max="1" width="100.140625" style="13" bestFit="1" customWidth="1"/>
    <col min="2" max="2" width="8.7109375" style="13" hidden="1" customWidth="1"/>
    <col min="3" max="3" width="45.7109375" style="13" bestFit="1" customWidth="1"/>
    <col min="4" max="4" width="14.28515625" style="13" bestFit="1" customWidth="1"/>
    <col min="5" max="5" width="20.5703125" style="13" bestFit="1" customWidth="1"/>
    <col min="6" max="6" width="13" style="13" hidden="1" customWidth="1"/>
    <col min="7" max="7" width="52.85546875" style="13" hidden="1" customWidth="1"/>
    <col min="8" max="8" width="62.7109375" style="13" bestFit="1" customWidth="1"/>
    <col min="9" max="10" width="62.28515625" style="13" bestFit="1" customWidth="1"/>
    <col min="11" max="12" width="59.28515625" style="13" bestFit="1" customWidth="1"/>
    <col min="13" max="14" width="62.7109375" style="13" bestFit="1" customWidth="1"/>
    <col min="15" max="16384" width="9" style="13"/>
  </cols>
  <sheetData>
    <row r="1" spans="1:7">
      <c r="A1" s="31" t="s">
        <v>2050</v>
      </c>
      <c r="B1" s="31" t="s">
        <v>10</v>
      </c>
      <c r="C1" s="32" t="s">
        <v>2051</v>
      </c>
      <c r="D1" s="32" t="s">
        <v>2052</v>
      </c>
      <c r="E1" s="33" t="s">
        <v>2053</v>
      </c>
      <c r="F1" s="13" t="s">
        <v>32</v>
      </c>
      <c r="G1" s="13" t="s">
        <v>53</v>
      </c>
    </row>
    <row r="2" spans="1:7">
      <c r="A2" s="13" t="s">
        <v>23</v>
      </c>
      <c r="B2" s="13" t="s">
        <v>24</v>
      </c>
      <c r="C2" s="30">
        <v>19110.379661999999</v>
      </c>
      <c r="D2" s="29">
        <v>82784.690802188095</v>
      </c>
      <c r="E2" s="14">
        <v>82784.690802188095</v>
      </c>
      <c r="F2" s="13">
        <v>108</v>
      </c>
      <c r="G2" s="13" t="s">
        <v>57</v>
      </c>
    </row>
    <row r="3" spans="1:7">
      <c r="A3" s="13" t="s">
        <v>27</v>
      </c>
      <c r="B3" s="13" t="s">
        <v>24</v>
      </c>
      <c r="C3" s="30">
        <v>27258.215952000002</v>
      </c>
      <c r="D3" s="29">
        <v>7669.0759978993947</v>
      </c>
      <c r="E3" s="14">
        <v>90453.766800087484</v>
      </c>
      <c r="F3" s="13">
        <v>208</v>
      </c>
      <c r="G3" s="13" t="s">
        <v>61</v>
      </c>
    </row>
    <row r="4" spans="1:7">
      <c r="A4" s="13" t="s">
        <v>27</v>
      </c>
      <c r="B4" s="13" t="s">
        <v>24</v>
      </c>
      <c r="C4" s="30">
        <v>27258.215952000002</v>
      </c>
      <c r="D4" s="29">
        <v>108625.3790894196</v>
      </c>
      <c r="E4" s="14">
        <v>199079.14588950708</v>
      </c>
      <c r="F4" s="13">
        <v>308</v>
      </c>
      <c r="G4" s="13" t="s">
        <v>63</v>
      </c>
    </row>
    <row r="5" spans="1:7">
      <c r="A5" s="13" t="s">
        <v>29</v>
      </c>
      <c r="B5" s="13" t="s">
        <v>24</v>
      </c>
      <c r="C5" s="30">
        <v>25520.90871</v>
      </c>
      <c r="D5" s="29">
        <v>223230.17326094178</v>
      </c>
      <c r="E5" s="14">
        <v>422309.31915044889</v>
      </c>
      <c r="F5" s="13">
        <v>408</v>
      </c>
      <c r="G5" s="13" t="s">
        <v>67</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BF05C-4B47-4949-B18E-D05BEFD43F65}">
  <dimension ref="A1:G8"/>
  <sheetViews>
    <sheetView workbookViewId="0">
      <selection activeCell="D9" sqref="D9"/>
    </sheetView>
  </sheetViews>
  <sheetFormatPr defaultColWidth="9" defaultRowHeight="15.95"/>
  <cols>
    <col min="1" max="1" width="100.140625" style="13" bestFit="1" customWidth="1"/>
    <col min="2" max="2" width="17.85546875" style="13" bestFit="1" customWidth="1"/>
    <col min="3" max="3" width="22" style="13" bestFit="1" customWidth="1"/>
    <col min="4" max="4" width="8.42578125" style="13" bestFit="1" customWidth="1"/>
    <col min="5" max="5" width="17.5703125" style="13" bestFit="1" customWidth="1"/>
    <col min="6" max="6" width="14.28515625" style="13" bestFit="1" customWidth="1"/>
    <col min="7" max="7" width="59.28515625" style="13" bestFit="1" customWidth="1"/>
    <col min="8" max="16384" width="9" style="13"/>
  </cols>
  <sheetData>
    <row r="1" spans="1:7">
      <c r="A1" s="13" t="s">
        <v>2050</v>
      </c>
      <c r="B1" s="13" t="s">
        <v>2054</v>
      </c>
      <c r="C1" s="13" t="s">
        <v>10</v>
      </c>
      <c r="D1" s="13" t="s">
        <v>2055</v>
      </c>
      <c r="E1" s="13" t="s">
        <v>954</v>
      </c>
      <c r="F1" s="13" t="s">
        <v>32</v>
      </c>
      <c r="G1" s="13" t="s">
        <v>53</v>
      </c>
    </row>
    <row r="2" spans="1:7">
      <c r="A2" s="13" t="s">
        <v>23</v>
      </c>
      <c r="B2" s="13">
        <v>146</v>
      </c>
      <c r="C2" s="13" t="s">
        <v>24</v>
      </c>
      <c r="D2" s="19">
        <v>56.76</v>
      </c>
      <c r="E2" s="13">
        <v>20.12</v>
      </c>
      <c r="F2" s="13">
        <v>108</v>
      </c>
      <c r="G2" s="13" t="s">
        <v>57</v>
      </c>
    </row>
    <row r="3" spans="1:7">
      <c r="A3" s="13" t="s">
        <v>27</v>
      </c>
      <c r="B3" s="13">
        <v>252</v>
      </c>
      <c r="C3" s="13" t="s">
        <v>24</v>
      </c>
      <c r="D3" s="19">
        <v>80.959999999999994</v>
      </c>
      <c r="E3" s="13">
        <v>28.89</v>
      </c>
      <c r="F3" s="13">
        <v>208</v>
      </c>
      <c r="G3" s="13" t="s">
        <v>61</v>
      </c>
    </row>
    <row r="4" spans="1:7">
      <c r="A4" s="13" t="s">
        <v>27</v>
      </c>
      <c r="B4" s="13">
        <v>252</v>
      </c>
      <c r="C4" s="13" t="s">
        <v>24</v>
      </c>
      <c r="D4" s="19">
        <v>80.959999999999994</v>
      </c>
      <c r="E4" s="13">
        <v>28.89</v>
      </c>
      <c r="F4" s="13">
        <v>308</v>
      </c>
      <c r="G4" s="13" t="s">
        <v>63</v>
      </c>
    </row>
    <row r="5" spans="1:7">
      <c r="A5" s="13" t="s">
        <v>29</v>
      </c>
      <c r="B5" s="13">
        <v>253</v>
      </c>
      <c r="C5" s="13" t="s">
        <v>24</v>
      </c>
      <c r="D5" s="19">
        <v>75.8</v>
      </c>
      <c r="E5" s="13">
        <v>27.29</v>
      </c>
      <c r="F5" s="13">
        <v>408</v>
      </c>
      <c r="G5" s="13" t="s">
        <v>67</v>
      </c>
    </row>
    <row r="8" spans="1:7">
      <c r="D8" s="13">
        <f>80.96*365.25</f>
        <v>29570.639999999999</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548235"/>
  </sheetPr>
  <dimension ref="A1:F15"/>
  <sheetViews>
    <sheetView workbookViewId="0">
      <selection activeCell="C13" sqref="C13"/>
    </sheetView>
  </sheetViews>
  <sheetFormatPr defaultColWidth="8.7109375" defaultRowHeight="15"/>
  <cols>
    <col min="1" max="1" width="35" customWidth="1"/>
    <col min="2" max="2" width="10" customWidth="1"/>
    <col min="3" max="3" width="14" customWidth="1"/>
    <col min="4" max="4" width="60" customWidth="1"/>
    <col min="5" max="5" width="13.7109375" customWidth="1"/>
  </cols>
  <sheetData>
    <row r="1" spans="1:6" ht="18.95">
      <c r="A1" s="1" t="s">
        <v>2056</v>
      </c>
    </row>
    <row r="2" spans="1:6">
      <c r="A2" s="7" t="s">
        <v>2057</v>
      </c>
    </row>
    <row r="4" spans="1:6">
      <c r="A4" s="2" t="s">
        <v>10</v>
      </c>
      <c r="B4" s="2" t="s">
        <v>2058</v>
      </c>
      <c r="C4" s="2" t="s">
        <v>2059</v>
      </c>
      <c r="D4" s="2" t="s">
        <v>53</v>
      </c>
      <c r="E4" t="s">
        <v>2060</v>
      </c>
      <c r="F4" t="s">
        <v>2061</v>
      </c>
    </row>
    <row r="5" spans="1:6">
      <c r="A5" t="s">
        <v>959</v>
      </c>
      <c r="B5" s="9" t="b">
        <v>0</v>
      </c>
      <c r="C5" t="s">
        <v>2062</v>
      </c>
      <c r="D5" s="10" t="s">
        <v>2063</v>
      </c>
      <c r="E5">
        <v>100</v>
      </c>
    </row>
    <row r="6" spans="1:6">
      <c r="A6" t="s">
        <v>960</v>
      </c>
      <c r="B6" s="9" t="b">
        <v>0</v>
      </c>
      <c r="C6" t="s">
        <v>2062</v>
      </c>
      <c r="D6" s="10" t="s">
        <v>2063</v>
      </c>
      <c r="E6">
        <v>100</v>
      </c>
    </row>
    <row r="7" spans="1:6">
      <c r="A7" t="s">
        <v>961</v>
      </c>
      <c r="B7" s="9" t="b">
        <v>0</v>
      </c>
      <c r="C7" t="s">
        <v>2062</v>
      </c>
      <c r="D7" s="10" t="s">
        <v>2063</v>
      </c>
      <c r="E7">
        <v>100</v>
      </c>
    </row>
    <row r="8" spans="1:6">
      <c r="A8" t="s">
        <v>962</v>
      </c>
      <c r="B8" s="9" t="b">
        <v>0</v>
      </c>
      <c r="C8" t="s">
        <v>2062</v>
      </c>
      <c r="D8" s="10" t="s">
        <v>2063</v>
      </c>
      <c r="E8">
        <v>100</v>
      </c>
    </row>
    <row r="9" spans="1:6">
      <c r="A9" t="s">
        <v>963</v>
      </c>
      <c r="B9" s="9" t="b">
        <v>0</v>
      </c>
      <c r="C9" t="s">
        <v>2062</v>
      </c>
      <c r="D9" s="10" t="s">
        <v>2063</v>
      </c>
      <c r="E9">
        <v>100</v>
      </c>
    </row>
    <row r="10" spans="1:6">
      <c r="A10" t="s">
        <v>964</v>
      </c>
      <c r="B10" s="9" t="b">
        <v>0</v>
      </c>
      <c r="C10" t="s">
        <v>2062</v>
      </c>
      <c r="D10" s="10" t="s">
        <v>2063</v>
      </c>
      <c r="E10">
        <v>100</v>
      </c>
    </row>
    <row r="11" spans="1:6">
      <c r="A11" t="s">
        <v>965</v>
      </c>
      <c r="B11" s="9" t="b">
        <v>0</v>
      </c>
      <c r="C11" t="s">
        <v>2062</v>
      </c>
      <c r="D11" s="10" t="s">
        <v>2063</v>
      </c>
      <c r="E11">
        <v>100</v>
      </c>
    </row>
    <row r="12" spans="1:6">
      <c r="A12" t="s">
        <v>24</v>
      </c>
      <c r="B12" s="9" t="b">
        <v>1</v>
      </c>
      <c r="C12" t="s">
        <v>2064</v>
      </c>
      <c r="D12" s="10" t="s">
        <v>2065</v>
      </c>
      <c r="E12">
        <v>100</v>
      </c>
    </row>
    <row r="13" spans="1:6">
      <c r="A13" t="s">
        <v>966</v>
      </c>
      <c r="B13" s="9" t="b">
        <v>0</v>
      </c>
      <c r="C13" t="s">
        <v>2066</v>
      </c>
      <c r="D13" s="10" t="s">
        <v>2067</v>
      </c>
      <c r="E13">
        <v>100</v>
      </c>
    </row>
    <row r="14" spans="1:6">
      <c r="A14" t="s">
        <v>967</v>
      </c>
      <c r="B14" s="9" t="b">
        <v>0</v>
      </c>
      <c r="C14" t="s">
        <v>2066</v>
      </c>
      <c r="D14" s="10" t="s">
        <v>2068</v>
      </c>
      <c r="E14">
        <v>100</v>
      </c>
    </row>
    <row r="15" spans="1:6">
      <c r="A15" t="s">
        <v>969</v>
      </c>
      <c r="B15" s="9" t="b">
        <v>0</v>
      </c>
      <c r="C15" t="s">
        <v>2066</v>
      </c>
      <c r="D15" s="10" t="s">
        <v>2069</v>
      </c>
      <c r="E15">
        <v>100</v>
      </c>
    </row>
  </sheetData>
  <dataValidations count="1">
    <dataValidation type="list" sqref="B5:B15" xr:uid="{00000000-0002-0000-1200-000000000000}">
      <formula1>"TRUE,FALSE"</formula1>
    </dataValidation>
  </dataValidations>
  <pageMargins left="0.75" right="0.75" top="1" bottom="1" header="0.5" footer="0.5"/>
  <pageSetup paperSize="9" orientation="portrait" horizontalDpi="300" verticalDpi="300"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112D0-92CF-4F75-B2CA-D07FF58BCEF3}">
  <dimension ref="A1:E26"/>
  <sheetViews>
    <sheetView workbookViewId="0">
      <selection activeCell="C9" sqref="C9"/>
    </sheetView>
  </sheetViews>
  <sheetFormatPr defaultColWidth="8.7109375" defaultRowHeight="15"/>
  <cols>
    <col min="1" max="2" width="26.7109375" customWidth="1"/>
    <col min="3" max="4" width="14.28515625" customWidth="1"/>
    <col min="5" max="5" width="10.7109375" customWidth="1"/>
  </cols>
  <sheetData>
    <row r="1" spans="1:5" ht="18.95">
      <c r="A1" s="25" t="s">
        <v>2070</v>
      </c>
    </row>
    <row r="3" spans="1:5">
      <c r="A3" s="26" t="s">
        <v>2071</v>
      </c>
      <c r="B3" s="26" t="s">
        <v>2072</v>
      </c>
      <c r="C3" s="26" t="s">
        <v>2073</v>
      </c>
      <c r="D3" s="26" t="s">
        <v>2074</v>
      </c>
      <c r="E3" s="26" t="s">
        <v>2075</v>
      </c>
    </row>
    <row r="4" spans="1:5">
      <c r="A4" t="s">
        <v>2076</v>
      </c>
      <c r="B4" t="s">
        <v>2077</v>
      </c>
      <c r="C4">
        <v>45.81</v>
      </c>
      <c r="D4">
        <f>IFERROR(VALUE(INDEX(TechnicalSummary[Value],7)),0)</f>
        <v>66.41</v>
      </c>
      <c r="E4" t="str">
        <f t="shared" ref="E4:E10" si="0">IF(ABS(C4-D4)&lt;0.1,"PASS","FAIL")</f>
        <v>FAIL</v>
      </c>
    </row>
    <row r="5" spans="1:5">
      <c r="A5" t="s">
        <v>2078</v>
      </c>
      <c r="B5" t="s">
        <v>2079</v>
      </c>
      <c r="C5">
        <v>83.86</v>
      </c>
      <c r="D5">
        <f>IFERROR(VALUE(INDEX(TechnicalSummary[Value],28)),0)</f>
        <v>83.86</v>
      </c>
      <c r="E5" t="str">
        <f t="shared" si="0"/>
        <v>PASS</v>
      </c>
    </row>
    <row r="6" spans="1:5">
      <c r="A6" t="s">
        <v>772</v>
      </c>
      <c r="B6" t="s">
        <v>2080</v>
      </c>
      <c r="C6">
        <v>16.28</v>
      </c>
      <c r="D6">
        <f>IFERROR(VALUE(INDEX(TechnicalSummary[Value],23)),0)</f>
        <v>4.37</v>
      </c>
      <c r="E6" t="str">
        <f t="shared" si="0"/>
        <v>FAIL</v>
      </c>
    </row>
    <row r="7" spans="1:5">
      <c r="A7" t="s">
        <v>2081</v>
      </c>
      <c r="B7" t="s">
        <v>2082</v>
      </c>
      <c r="C7">
        <v>87.01</v>
      </c>
      <c r="D7">
        <f>_xlfn.XLOOKUP("Houston-The Woodlands-Sugar Land, TX",GeoAdj[Area],GeoAdj[Adjustment_Pct],0)</f>
        <v>87.01</v>
      </c>
      <c r="E7" t="str">
        <f t="shared" si="0"/>
        <v>PASS</v>
      </c>
    </row>
    <row r="8" spans="1:5">
      <c r="A8" t="s">
        <v>2083</v>
      </c>
      <c r="B8" t="s">
        <v>24</v>
      </c>
      <c r="C8">
        <v>51.25</v>
      </c>
      <c r="D8" cm="1">
        <f t="array" ref="D8">SUMPRODUCT((DVD_Data[Table_Number]=311)*(DVD_Data[Time Use Category]="Household Production")*DVD_Data[Dollar Value of a Day])</f>
        <v>51.25</v>
      </c>
      <c r="E8" t="str">
        <f t="shared" si="0"/>
        <v>PASS</v>
      </c>
    </row>
    <row r="9" spans="1:5">
      <c r="A9" t="s">
        <v>2084</v>
      </c>
      <c r="B9" t="s">
        <v>2085</v>
      </c>
      <c r="C9">
        <v>70.260000000000005</v>
      </c>
      <c r="D9" cm="1">
        <f t="array" ref="D9">SUMPRODUCT((DVD_Data[Table_Number]=360)*(DVD_Data[Time Use Category]="Household Production")*DVD_Data[Dollar Value of a Day])</f>
        <v>70.260000000000005</v>
      </c>
      <c r="E9" t="str">
        <f t="shared" si="0"/>
        <v>PASS</v>
      </c>
    </row>
    <row r="10" spans="1:5">
      <c r="A10" t="s">
        <v>2086</v>
      </c>
      <c r="B10" t="s">
        <v>2087</v>
      </c>
      <c r="C10">
        <v>44.59</v>
      </c>
      <c r="D10">
        <f>INDEX(AuditDetail[Adjusted_DVD],1)</f>
        <v>52.321368</v>
      </c>
      <c r="E10" t="str">
        <f t="shared" si="0"/>
        <v>FAIL</v>
      </c>
    </row>
    <row r="11" spans="1:5">
      <c r="A11" t="s">
        <v>2088</v>
      </c>
      <c r="B11" t="s">
        <v>2089</v>
      </c>
      <c r="C11">
        <v>16287.46</v>
      </c>
      <c r="D11">
        <f>INDEX(AuditDetail[Annual_Base],1)</f>
        <v>19110.379661999999</v>
      </c>
      <c r="E11" t="str">
        <f>IF(ABS(C11-D11)&lt;10,"PASS","FAIL")</f>
        <v>FAIL</v>
      </c>
    </row>
    <row r="12" spans="1:5">
      <c r="A12" t="s">
        <v>2090</v>
      </c>
      <c r="B12" t="s">
        <v>2091</v>
      </c>
      <c r="C12">
        <v>10912.6</v>
      </c>
      <c r="D12">
        <f>INDEX(AuditDetail[Low Cost per Use],1)</f>
        <v>19110.379661999999</v>
      </c>
      <c r="E12" t="str">
        <f>IF(ABS(C12-D12)&lt;10,"PASS","FAIL")</f>
        <v>FAIL</v>
      </c>
    </row>
    <row r="13" spans="1:5">
      <c r="A13" t="s">
        <v>2092</v>
      </c>
      <c r="B13" t="s">
        <v>2093</v>
      </c>
      <c r="C13">
        <v>2.2690000000000001</v>
      </c>
      <c r="D13" t="str">
        <f>VLOOKUP("2027",'GetBloombergDailyYieldCurve (2)'!A:C,3,FALSE)</f>
        <v>2.359</v>
      </c>
      <c r="E13" t="str">
        <f>IF(ABS(C13-D13)&lt;0.01,"PASS","FAIL")</f>
        <v>FAIL</v>
      </c>
    </row>
    <row r="14" spans="1:5">
      <c r="A14" t="s">
        <v>2094</v>
      </c>
      <c r="B14" t="s">
        <v>2095</v>
      </c>
      <c r="C14">
        <v>436067</v>
      </c>
      <c r="D14">
        <f ca="1">SUM(PV_ByYear[Present Value])</f>
        <v>422375.24580000003</v>
      </c>
      <c r="E14" t="str">
        <f ca="1">IF(ABS(C14-D14)&lt;1000,"PASS","CHECK")</f>
        <v>CHECK</v>
      </c>
    </row>
    <row r="16" spans="1:5">
      <c r="A16" s="23" t="s">
        <v>2096</v>
      </c>
      <c r="B16" s="23" t="str">
        <f ca="1">COUNTIF(E4:E14,"PASS")&amp;" of "&amp;COUNTA(E4:E14)</f>
        <v>4 of 11</v>
      </c>
    </row>
    <row r="18" spans="1:5" ht="15.95">
      <c r="A18" s="27" t="s">
        <v>2097</v>
      </c>
    </row>
    <row r="19" spans="1:5">
      <c r="A19" t="s">
        <v>2098</v>
      </c>
      <c r="B19" t="s">
        <v>2099</v>
      </c>
      <c r="C19">
        <v>44.59</v>
      </c>
      <c r="D19">
        <f>51.25*0.8701</f>
        <v>44.592624999999998</v>
      </c>
      <c r="E19" t="str">
        <f>IF(ABS(C19-D19)&lt;0.01,"PASS","FAIL")</f>
        <v>PASS</v>
      </c>
    </row>
    <row r="20" spans="1:5">
      <c r="A20" s="23" t="s">
        <v>2100</v>
      </c>
    </row>
    <row r="21" spans="1:5">
      <c r="A21" t="s">
        <v>2101</v>
      </c>
      <c r="B21">
        <f>51.25*0.8701</f>
        <v>44.592624999999998</v>
      </c>
      <c r="C21">
        <f>51.25*0.8701</f>
        <v>44.592624999999998</v>
      </c>
      <c r="D21">
        <f>INDEX(AuditDetail[Adjusted_DVD],1)</f>
        <v>52.321368</v>
      </c>
      <c r="E21" t="str">
        <f>IF(ABS(C21-D21)&lt;0.01,"✓","✗")</f>
        <v>✗</v>
      </c>
    </row>
    <row r="22" spans="1:5">
      <c r="A22" t="s">
        <v>2102</v>
      </c>
      <c r="C22">
        <f>C21*365.25</f>
        <v>16287.456281249999</v>
      </c>
      <c r="D22">
        <f>INDEX(AuditDetail[Annual_Base],1)</f>
        <v>19110.379661999999</v>
      </c>
      <c r="E22" t="str">
        <f>IF(ABS(C22-D22)&lt;1,"✓","✗")</f>
        <v>✗</v>
      </c>
    </row>
    <row r="23" spans="1:5">
      <c r="A23" t="s">
        <v>2103</v>
      </c>
      <c r="C23">
        <f>C22*0.67</f>
        <v>10912.5957084375</v>
      </c>
      <c r="D23">
        <f>INDEX(AuditDetail[Low Cost per Use],1)</f>
        <v>19110.379661999999</v>
      </c>
      <c r="E23" t="str">
        <f>IF(ABS(C23-D23)&lt;1,"✓","✗")</f>
        <v>✗</v>
      </c>
    </row>
    <row r="25" spans="1:5">
      <c r="A25" s="23" t="s">
        <v>2104</v>
      </c>
    </row>
    <row r="26" spans="1:5">
      <c r="A26" t="s">
        <v>2105</v>
      </c>
      <c r="C26">
        <f ca="1">SUM(PV_ByYear[Present Value])</f>
        <v>422375.24580000003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3D71E-2734-7348-A87B-99614EF40A15}">
  <dimension ref="A1:C49"/>
  <sheetViews>
    <sheetView topLeftCell="A4" workbookViewId="0">
      <selection activeCell="B35" sqref="B35"/>
    </sheetView>
  </sheetViews>
  <sheetFormatPr defaultColWidth="11.7109375" defaultRowHeight="15"/>
  <cols>
    <col min="1" max="1" width="20.28515625" bestFit="1" customWidth="1"/>
    <col min="2" max="2" width="27" bestFit="1" customWidth="1"/>
    <col min="3" max="3" width="24.28515625" bestFit="1" customWidth="1"/>
  </cols>
  <sheetData>
    <row r="1" spans="1:3">
      <c r="A1" s="26" t="s">
        <v>727</v>
      </c>
      <c r="B1" s="26" t="s">
        <v>728</v>
      </c>
      <c r="C1" s="26" t="s">
        <v>53</v>
      </c>
    </row>
    <row r="2" spans="1:3">
      <c r="A2" t="s">
        <v>2106</v>
      </c>
      <c r="B2">
        <f>_xlfn.XLOOKUP("Husband Date of Birth",CaseInputs[Field],CaseInputs[Value],"")</f>
        <v>21170</v>
      </c>
      <c r="C2" t="s">
        <v>2107</v>
      </c>
    </row>
    <row r="3" spans="1:3">
      <c r="A3" t="s">
        <v>2108</v>
      </c>
      <c r="B3">
        <f>_xlfn.XLOOKUP("Wife Date of Birth",CaseInputs[Field],CaseInputs[Value],"")</f>
        <v>21547</v>
      </c>
      <c r="C3" t="s">
        <v>2107</v>
      </c>
    </row>
    <row r="4" spans="1:3">
      <c r="A4" t="s">
        <v>2109</v>
      </c>
      <c r="B4">
        <f>_xlfn.XLOOKUP("Youngest Child Date of Birth",CaseInputs[Field],CaseInputs[Value],"")</f>
        <v>0</v>
      </c>
      <c r="C4" t="s">
        <v>2107</v>
      </c>
    </row>
    <row r="5" spans="1:3">
      <c r="A5" t="s">
        <v>754</v>
      </c>
      <c r="B5" t="str">
        <f>_xlfn.XLOOKUP("Married",CaseInputs[Field],CaseInputs[Value],"Yes")</f>
        <v>Yes</v>
      </c>
      <c r="C5" t="s">
        <v>2110</v>
      </c>
    </row>
    <row r="6" spans="1:3">
      <c r="A6" t="s">
        <v>739</v>
      </c>
      <c r="B6" t="str">
        <f>_xlfn.XLOOKUP("Claimant",CaseInputs[Field],CaseInputs[Value],"Female")</f>
        <v>Female</v>
      </c>
      <c r="C6" t="s">
        <v>2111</v>
      </c>
    </row>
    <row r="7" spans="1:3">
      <c r="A7" t="s">
        <v>2112</v>
      </c>
      <c r="B7">
        <f>_xlfn.XLOOKUP("Evaluation Date",CaseInputs[Field],CaseInputs[Value],"")</f>
        <v>45804</v>
      </c>
      <c r="C7" t="s">
        <v>730</v>
      </c>
    </row>
    <row r="8" spans="1:3">
      <c r="A8" t="s">
        <v>2113</v>
      </c>
      <c r="B8">
        <f>_xlfn.XLOOKUP("Trial Date",CaseInputs[Field],CaseInputs[Value],"")</f>
        <v>46296</v>
      </c>
      <c r="C8" t="s">
        <v>732</v>
      </c>
    </row>
    <row r="9" spans="1:3">
      <c r="A9" t="s">
        <v>2114</v>
      </c>
      <c r="B9" t="str">
        <f>_xlfn.XLOOKUP("Husband Education",CaseInputs[Field],CaseInputs[Value],"All-Education")</f>
        <v>All-Education</v>
      </c>
    </row>
    <row r="10" spans="1:3">
      <c r="A10" t="s">
        <v>2115</v>
      </c>
      <c r="B10" t="str">
        <f>_xlfn.XLOOKUP("Wife Education",CaseInputs[Field],CaseInputs[Value],"All-Education")</f>
        <v>All-Education</v>
      </c>
    </row>
    <row r="11" spans="1:3">
      <c r="A11" t="s">
        <v>2116</v>
      </c>
      <c r="B11" t="str">
        <f>_xlfn.XLOOKUP("Husband Race",CaseInputs[Field],CaseInputs[Value],"All")</f>
        <v>All</v>
      </c>
    </row>
    <row r="12" spans="1:3">
      <c r="A12" t="s">
        <v>2117</v>
      </c>
      <c r="B12" t="str">
        <f>_xlfn.XLOOKUP("Wife Race",CaseInputs[Field],CaseInputs[Value],"All")</f>
        <v>All</v>
      </c>
    </row>
    <row r="13" spans="1:3">
      <c r="A13" t="s">
        <v>2118</v>
      </c>
      <c r="B13" t="str">
        <f>_xlfn.XLOOKUP("Claimant Employment Status",CaseInputs[Field],CaseInputs[Value],"Employed full-time")</f>
        <v>Employed full-time</v>
      </c>
    </row>
    <row r="14" spans="1:3">
      <c r="A14" t="s">
        <v>2119</v>
      </c>
      <c r="B14" t="str">
        <f>_xlfn.XLOOKUP("Spouse Employment Status",CaseInputs[Field],CaseInputs[Value],"Spouse employed")</f>
        <v>Spouse not employed</v>
      </c>
    </row>
    <row r="15" spans="1:3">
      <c r="A15" t="s">
        <v>2120</v>
      </c>
      <c r="B15" t="str">
        <f>_xlfn.XLOOKUP("Own/Rent",CaseInputs[Field],CaseInputs[Value],"N/A")</f>
        <v>N/A</v>
      </c>
    </row>
    <row r="16" spans="1:3">
      <c r="A16" t="s">
        <v>79</v>
      </c>
      <c r="B16" t="str">
        <f>_xlfn.XLOOKUP("State",CaseInputs[Field],CaseInputs[Value],"")</f>
        <v>Texas</v>
      </c>
    </row>
    <row r="17" spans="1:3">
      <c r="A17" t="s">
        <v>2121</v>
      </c>
      <c r="B17" t="str">
        <f>_xlfn.XLOOKUP("Geographic Area",CaseInputs[Field],CaseInputs[Value],"")</f>
        <v>Dallas-Fort Worth-Arlington, TX</v>
      </c>
    </row>
    <row r="18" spans="1:3">
      <c r="A18" t="s">
        <v>2122</v>
      </c>
      <c r="B18" t="str">
        <f>_xlfn.XLOOKUP("Adjust to Trial Year Dollars",CaseInputs[Field],CaseInputs[Value],"No")</f>
        <v>No</v>
      </c>
    </row>
    <row r="19" spans="1:3">
      <c r="A19" t="s">
        <v>2123</v>
      </c>
      <c r="B19">
        <f>_xlfn.XLOOKUP("2023 Base CPI (CPI-U)",CaseInputs[Field],CaseInputs[Value],304.702)</f>
        <v>304.702</v>
      </c>
    </row>
    <row r="20" spans="1:3">
      <c r="A20" t="s">
        <v>2124</v>
      </c>
      <c r="B20">
        <f>_xlfn.XLOOKUP("Trial Year CPI",CaseInputs[Field],CaseInputs[Value],0)</f>
        <v>0</v>
      </c>
    </row>
    <row r="21" spans="1:3">
      <c r="A21" t="s">
        <v>2125</v>
      </c>
      <c r="B21">
        <f>_xlfn.XLOOKUP("OASDI Growth Rate (%)",CaseInputs[Field],CaseInputs[Value],3.56)</f>
        <v>3.56</v>
      </c>
    </row>
    <row r="22" spans="1:3">
      <c r="A22" t="s">
        <v>2126</v>
      </c>
      <c r="B22" t="str">
        <f>_xlfn.XLOOKUP("End Point",CaseInputs[Field],CaseInputs[Value],"Claimant Life Expectancy")</f>
        <v>Custom Age</v>
      </c>
    </row>
    <row r="23" spans="1:3">
      <c r="A23" t="s">
        <v>2127</v>
      </c>
      <c r="B23">
        <f>_xlfn.XLOOKUP("Custom End Age",CaseInputs[Field],CaseInputs[Value],"")</f>
        <v>0</v>
      </c>
    </row>
    <row r="24" spans="1:3">
      <c r="A24" t="s">
        <v>2128</v>
      </c>
      <c r="B24">
        <f>_xlfn.XLOOKUP("Husband Life Expectancy Override",CaseInputs[Field],CaseInputs[Value],"")</f>
        <v>0</v>
      </c>
    </row>
    <row r="25" spans="1:3">
      <c r="A25" t="s">
        <v>2129</v>
      </c>
      <c r="B25">
        <f>_xlfn.XLOOKUP("Wife Life Expectancy Override",CaseInputs[Field],CaseInputs[Value],"")</f>
        <v>83.86</v>
      </c>
    </row>
    <row r="27" spans="1:3">
      <c r="A27" s="28" t="s">
        <v>2130</v>
      </c>
      <c r="B27" s="28"/>
      <c r="C27" s="28"/>
    </row>
    <row r="28" spans="1:3">
      <c r="A28" t="s">
        <v>2131</v>
      </c>
      <c r="B28" t="b">
        <f>IF(OR(B5="Yes",B5="TRUE",B5="true"),TRUE,FALSE)</f>
        <v>1</v>
      </c>
      <c r="C28" t="s">
        <v>2132</v>
      </c>
    </row>
    <row r="29" spans="1:3">
      <c r="A29" t="s">
        <v>2133</v>
      </c>
      <c r="B29">
        <f>IF(B2="","",(B7-B2)/365.25)</f>
        <v>67.444216290212182</v>
      </c>
      <c r="C29" t="s">
        <v>2134</v>
      </c>
    </row>
    <row r="30" spans="1:3">
      <c r="A30" t="s">
        <v>2135</v>
      </c>
      <c r="B30">
        <f>IF(B3="","",(B7-B3)/365.25)</f>
        <v>66.412046543463376</v>
      </c>
      <c r="C30" t="s">
        <v>2134</v>
      </c>
    </row>
    <row r="31" spans="1:3">
      <c r="A31" t="s">
        <v>2136</v>
      </c>
      <c r="B31">
        <f>IF(B4="","",(B7-B4)/365.25)</f>
        <v>125.40451745379877</v>
      </c>
      <c r="C31" t="s">
        <v>2134</v>
      </c>
    </row>
    <row r="32" spans="1:3">
      <c r="A32" t="s">
        <v>2137</v>
      </c>
      <c r="B32">
        <f>IF(B6="Male",B2,B3)</f>
        <v>21547</v>
      </c>
      <c r="C32" t="s">
        <v>2138</v>
      </c>
    </row>
    <row r="33" spans="1:3">
      <c r="A33" t="s">
        <v>2139</v>
      </c>
      <c r="B33">
        <f>IF(B28=FALSE,"",IF(B6="Male",B3,B2))</f>
        <v>21170</v>
      </c>
      <c r="C33" t="s">
        <v>2140</v>
      </c>
    </row>
    <row r="34" spans="1:3">
      <c r="A34" t="s">
        <v>2141</v>
      </c>
      <c r="B34">
        <f>IF(B6="Male",B29,B30)</f>
        <v>66.412046543463376</v>
      </c>
      <c r="C34" t="s">
        <v>2142</v>
      </c>
    </row>
    <row r="35" spans="1:3">
      <c r="A35" t="s">
        <v>2143</v>
      </c>
      <c r="B35">
        <f>IF(B28=FALSE,"",IF(B6="Male",B30,B29))</f>
        <v>67.444216290212182</v>
      </c>
      <c r="C35" t="s">
        <v>2144</v>
      </c>
    </row>
    <row r="36" spans="1:3">
      <c r="A36" t="s">
        <v>2145</v>
      </c>
      <c r="B36" t="str">
        <f>IF(B6="Male","M","F")</f>
        <v>F</v>
      </c>
      <c r="C36" t="s">
        <v>2146</v>
      </c>
    </row>
    <row r="37" spans="1:3">
      <c r="A37" t="s">
        <v>2147</v>
      </c>
      <c r="B37" t="str">
        <f>IF(B28=FALSE,"",IF(B6="Male","F","M"))</f>
        <v>M</v>
      </c>
      <c r="C37" t="s">
        <v>2146</v>
      </c>
    </row>
    <row r="38" spans="1:3">
      <c r="A38" t="s">
        <v>2148</v>
      </c>
      <c r="B38" t="str">
        <f>IF(B6="Male",B9,B10)</f>
        <v>All-Education</v>
      </c>
      <c r="C38" t="s">
        <v>2149</v>
      </c>
    </row>
    <row r="39" spans="1:3">
      <c r="A39" t="s">
        <v>2150</v>
      </c>
      <c r="B39" t="str">
        <f>IF(B28=FALSE,"",IF(B6="Male",B10,B9))</f>
        <v>All-Education</v>
      </c>
      <c r="C39" t="s">
        <v>2149</v>
      </c>
    </row>
    <row r="40" spans="1:3">
      <c r="A40" t="s">
        <v>2151</v>
      </c>
      <c r="B40" t="str">
        <f>IF(B6="Male",B11,B12)</f>
        <v>All</v>
      </c>
      <c r="C40" t="s">
        <v>2044</v>
      </c>
    </row>
    <row r="41" spans="1:3">
      <c r="A41" t="s">
        <v>2152</v>
      </c>
      <c r="B41" t="str">
        <f>IF(B28=FALSE,"",IF(B6="Male",B12,B11))</f>
        <v>All</v>
      </c>
      <c r="C41" t="s">
        <v>2044</v>
      </c>
    </row>
    <row r="42" spans="1:3">
      <c r="A42" t="s">
        <v>2153</v>
      </c>
      <c r="B42" t="str">
        <f>IF(B28,IF(B6="Male","Married men","Married women"),IF(B6="Male","Single men","Single women"))</f>
        <v>Married women</v>
      </c>
      <c r="C42" t="s">
        <v>2154</v>
      </c>
    </row>
    <row r="43" spans="1:3">
      <c r="A43" t="s">
        <v>2155</v>
      </c>
      <c r="B43" t="str">
        <f>IF(B28=FALSE,"",IF(B6="Male","Married women","Married men"))</f>
        <v>Married men</v>
      </c>
      <c r="C43" t="s">
        <v>2154</v>
      </c>
    </row>
    <row r="44" spans="1:3">
      <c r="A44" t="s">
        <v>7</v>
      </c>
      <c r="B44" t="str">
        <f>IF(B28=FALSE,"",B14)</f>
        <v>Spouse not employed</v>
      </c>
      <c r="C44" t="s">
        <v>2156</v>
      </c>
    </row>
    <row r="45" spans="1:3">
      <c r="A45" t="s">
        <v>2157</v>
      </c>
      <c r="B45">
        <f>IF(B6="Male",B24,B25)</f>
        <v>83.86</v>
      </c>
      <c r="C45" t="s">
        <v>2158</v>
      </c>
    </row>
    <row r="46" spans="1:3">
      <c r="A46" t="s">
        <v>2159</v>
      </c>
      <c r="B46">
        <f>IF(B28=FALSE,"",IF(B6="Male",B25,B24))</f>
        <v>0</v>
      </c>
      <c r="C46" t="s">
        <v>2158</v>
      </c>
    </row>
    <row r="47" spans="1:3">
      <c r="A47" t="s">
        <v>2160</v>
      </c>
      <c r="B47">
        <f>IF(AND(B18="Yes",B20&lt;&gt;"",B20&gt;0,B19&lt;&gt;"",B19&gt;0),B20/B19,1)</f>
        <v>1</v>
      </c>
      <c r="C47" t="s">
        <v>2161</v>
      </c>
    </row>
    <row r="48" spans="1:3">
      <c r="A48" t="s">
        <v>2162</v>
      </c>
      <c r="B48">
        <f>IF(B7="","",YEAR(B7)+(MONTH(B7)-1)/12+(DAY(B7)-1)/365.25)</f>
        <v>2025.4045174537987</v>
      </c>
      <c r="C48" t="s">
        <v>2163</v>
      </c>
    </row>
    <row r="49" spans="1:3">
      <c r="A49" t="s">
        <v>2164</v>
      </c>
      <c r="B49">
        <f>IF(B8="",B48,YEAR(B8)+(MONTH(B8)-1)/12+(DAY(B8)-1)/365.25)</f>
        <v>2026.75</v>
      </c>
      <c r="C49" t="s">
        <v>2163</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56CB6-E4D2-48C3-BD33-8904C3D9B0A6}">
  <dimension ref="A1:C37"/>
  <sheetViews>
    <sheetView showGridLines="0" workbookViewId="0">
      <selection activeCell="B5" sqref="B5"/>
    </sheetView>
  </sheetViews>
  <sheetFormatPr defaultColWidth="8.85546875" defaultRowHeight="15"/>
  <cols>
    <col min="1" max="1" width="0.7109375" customWidth="1"/>
    <col min="2" max="2" width="103.140625" customWidth="1"/>
    <col min="3" max="3" width="0.7109375" customWidth="1"/>
  </cols>
  <sheetData>
    <row r="1" spans="1:3" ht="33.950000000000003" customHeight="1">
      <c r="A1" s="34"/>
      <c r="B1" s="35" t="s">
        <v>2165</v>
      </c>
      <c r="C1" s="34"/>
    </row>
    <row r="2" spans="1:3" ht="24" customHeight="1">
      <c r="A2" s="36"/>
      <c r="B2" s="37" t="s">
        <v>2166</v>
      </c>
      <c r="C2" s="36"/>
    </row>
    <row r="3" spans="1:3" ht="6" customHeight="1"/>
    <row r="4" spans="1:3" ht="24" customHeight="1">
      <c r="A4" s="38"/>
      <c r="B4" s="39" t="s">
        <v>2167</v>
      </c>
      <c r="C4" s="38"/>
    </row>
    <row r="5" spans="1:3" ht="60">
      <c r="B5" s="40" t="s">
        <v>2168</v>
      </c>
    </row>
    <row r="6" spans="1:3" ht="6" customHeight="1"/>
    <row r="7" spans="1:3" ht="24" customHeight="1">
      <c r="A7" s="38"/>
      <c r="B7" s="39" t="s">
        <v>2169</v>
      </c>
      <c r="C7" s="38"/>
    </row>
    <row r="8" spans="1:3">
      <c r="B8" s="40" t="s">
        <v>2170</v>
      </c>
    </row>
    <row r="9" spans="1:3">
      <c r="B9" s="40" t="s">
        <v>2171</v>
      </c>
    </row>
    <row r="10" spans="1:3">
      <c r="B10" s="40" t="s">
        <v>2172</v>
      </c>
    </row>
    <row r="11" spans="1:3">
      <c r="B11" s="40" t="s">
        <v>2173</v>
      </c>
    </row>
    <row r="12" spans="1:3">
      <c r="B12" s="40" t="s">
        <v>2174</v>
      </c>
    </row>
    <row r="13" spans="1:3" ht="6" customHeight="1"/>
    <row r="14" spans="1:3" ht="24" customHeight="1">
      <c r="A14" s="38"/>
      <c r="B14" s="39" t="s">
        <v>2175</v>
      </c>
      <c r="C14" s="38"/>
    </row>
    <row r="15" spans="1:3" ht="45">
      <c r="B15" s="40" t="s">
        <v>2176</v>
      </c>
    </row>
    <row r="16" spans="1:3" ht="6" customHeight="1"/>
    <row r="17" spans="1:3" ht="24" customHeight="1">
      <c r="A17" s="38"/>
      <c r="B17" s="39" t="s">
        <v>2177</v>
      </c>
      <c r="C17" s="38"/>
    </row>
    <row r="18" spans="1:3">
      <c r="B18" s="40" t="s">
        <v>2178</v>
      </c>
    </row>
    <row r="19" spans="1:3" ht="24" customHeight="1">
      <c r="B19" s="41" t="s">
        <v>2179</v>
      </c>
    </row>
    <row r="20" spans="1:3" ht="30">
      <c r="B20" s="40" t="s">
        <v>2180</v>
      </c>
    </row>
    <row r="21" spans="1:3" ht="6" customHeight="1"/>
    <row r="22" spans="1:3" ht="24" customHeight="1">
      <c r="A22" s="38"/>
      <c r="B22" s="39" t="s">
        <v>2181</v>
      </c>
      <c r="C22" s="38"/>
    </row>
    <row r="23" spans="1:3" ht="60">
      <c r="B23" s="40" t="s">
        <v>2182</v>
      </c>
    </row>
    <row r="24" spans="1:3" ht="6" customHeight="1"/>
    <row r="25" spans="1:3" ht="24" customHeight="1">
      <c r="A25" s="38"/>
      <c r="B25" s="39" t="s">
        <v>2183</v>
      </c>
      <c r="C25" s="38"/>
    </row>
    <row r="26" spans="1:3">
      <c r="B26" s="40" t="s">
        <v>2184</v>
      </c>
    </row>
    <row r="27" spans="1:3" ht="24" customHeight="1">
      <c r="B27" s="41" t="s">
        <v>2185</v>
      </c>
    </row>
    <row r="28" spans="1:3" ht="30">
      <c r="B28" s="40" t="s">
        <v>2186</v>
      </c>
    </row>
    <row r="29" spans="1:3" ht="6" customHeight="1"/>
    <row r="30" spans="1:3" ht="24" customHeight="1">
      <c r="A30" s="38"/>
      <c r="B30" s="39" t="s">
        <v>2187</v>
      </c>
      <c r="C30" s="38"/>
    </row>
    <row r="31" spans="1:3" ht="60">
      <c r="B31" s="40" t="s">
        <v>2188</v>
      </c>
    </row>
    <row r="32" spans="1:3" ht="6" customHeight="1"/>
    <row r="33" spans="1:3" ht="24" customHeight="1">
      <c r="A33" s="38"/>
      <c r="B33" s="39" t="s">
        <v>2189</v>
      </c>
      <c r="C33" s="38"/>
    </row>
    <row r="34" spans="1:3" ht="24" customHeight="1">
      <c r="B34" s="41" t="s">
        <v>2190</v>
      </c>
    </row>
    <row r="35" spans="1:3" ht="30">
      <c r="B35" s="40" t="s">
        <v>2191</v>
      </c>
    </row>
    <row r="36" spans="1:3" ht="6" customHeight="1"/>
    <row r="37" spans="1:3" ht="21.95" customHeight="1">
      <c r="A37" s="34"/>
      <c r="B37" s="42" t="s">
        <v>2192</v>
      </c>
      <c r="C37" s="3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834D8B-100E-4CD1-BE04-10F0A4FB505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Shael Wolfson</cp:lastModifiedBy>
  <cp:revision/>
  <dcterms:created xsi:type="dcterms:W3CDTF">2026-02-24T00:40:00Z</dcterms:created>
  <dcterms:modified xsi:type="dcterms:W3CDTF">2026-04-02T19:28:07Z</dcterms:modified>
  <cp:category/>
  <cp:contentStatus/>
</cp:coreProperties>
</file>