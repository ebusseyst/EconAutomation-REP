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CB197169-970D-4CED-8E87-D05E14946990}" xr6:coauthVersionLast="47" xr6:coauthVersionMax="47" xr10:uidLastSave="{00000000-0000-0000-0000-000000000000}"/>
  <bookViews>
    <workbookView xWindow="-120" yWindow="-120" windowWidth="29040" windowHeight="15720" activeTab="1" xr2:uid="{8834851A-FAAC-46EF-BC8A-B827423CC2FA}"/>
    <workbookView xWindow="28680" yWindow="-75" windowWidth="29040" windowHeight="15720" firstSheet="9" activeTab="15" xr2:uid="{5FEE5682-69B8-485B-A993-B2FB12399616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externalReferences>
    <externalReference r:id="rId17"/>
  </externalReferences>
  <definedNames>
    <definedName name="_xleta.IF" hidden="1" xlm="1">#NAME?</definedName>
    <definedName name="_xleta.INDEX" hidden="1" xlm="1">#NAME?</definedName>
    <definedName name="_xleta.MATCH" hidden="1" xlm="1">#NAME?</definedName>
    <definedName name="_xleta.MIN" hidden="1" xlm="1">#NAME?</definedName>
    <definedName name="_xleta.VALUETOTEXT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Future_Cost_By_Year!$A$1:$D$32</definedName>
    <definedName name="ExternalData_1" localSheetId="5" hidden="1">'Roll Up'!$A$1:$AU$32</definedName>
    <definedName name="ExternalData_2" localSheetId="11" hidden="1">Pivoted_By_Year!$A$1:$J$2</definedName>
    <definedName name="ExternalData_2" localSheetId="10" hidden="1">PV_Totals_By_Item!$A$1:$G$4</definedName>
    <definedName name="ExternalData_3" localSheetId="9" hidden="1">PV_Summary_No_Rounding!$A$1:$G$4</definedName>
    <definedName name="WLE_DiscRates_YearColumn">IFERROR(_xlfn._xlws.FILTER('[1]Discount Rates'!$F$3:$F$33, '[1]Discount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2" i="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EX8" i="28"/>
  <c r="EX9" i="28"/>
  <c r="DR8" i="28"/>
  <c r="EH8" i="28"/>
  <c r="EH9" i="28"/>
  <c r="DR9" i="28"/>
  <c r="DB9" i="28"/>
  <c r="DB8" i="28"/>
  <c r="CL9" i="28"/>
  <c r="BV9" i="28"/>
  <c r="BF9" i="28"/>
  <c r="AP9" i="28"/>
  <c r="J9" i="28"/>
  <c r="Z9" i="28"/>
  <c r="CL8" i="28"/>
  <c r="BV8" i="28"/>
  <c r="BF8" i="28"/>
  <c r="AP8" i="28"/>
  <c r="Z8" i="28"/>
  <c r="J8" i="28"/>
  <c r="J5" i="28"/>
  <c r="J4" i="28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B3" i="12" l="1" a="1"/>
  <c r="B3" i="12" s="1"/>
  <c r="D36" i="8" l="1"/>
  <c r="D2" i="8"/>
  <c r="B16" i="31"/>
  <c r="B15" i="31"/>
  <c r="B11" i="31"/>
  <c r="B13" i="31" s="1"/>
  <c r="B19" i="31" s="1"/>
  <c r="B22" i="31" s="1"/>
  <c r="B10" i="31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I1" i="30" a="1"/>
  <c r="I1" i="30" s="1"/>
  <c r="F1" i="30" a="1"/>
  <c r="F1" i="30" s="1"/>
  <c r="K2" i="14"/>
  <c r="D41" i="30" a="1"/>
  <c r="D7" i="30" a="1"/>
  <c r="D54" i="30" a="1"/>
  <c r="D38" i="30" a="1"/>
  <c r="D23" i="30" a="1"/>
  <c r="D36" i="30" a="1"/>
  <c r="D52" i="30" a="1"/>
  <c r="D71" i="30" a="1"/>
  <c r="D9" i="30" a="1"/>
  <c r="D19" i="30" a="1"/>
  <c r="D25" i="30" a="1"/>
  <c r="D27" i="30" a="1"/>
  <c r="D10" i="30" a="1"/>
  <c r="D45" i="30" a="1"/>
  <c r="D33" i="30" a="1"/>
  <c r="D62" i="30" a="1"/>
  <c r="D66" i="30" a="1"/>
  <c r="D49" i="30" a="1"/>
  <c r="D34" i="30" a="1"/>
  <c r="D13" i="30" a="1"/>
  <c r="D72" i="30" a="1"/>
  <c r="D51" i="30" a="1"/>
  <c r="D65" i="30" a="1"/>
  <c r="D63" i="30" a="1"/>
  <c r="D43" i="30" a="1"/>
  <c r="D28" i="30" a="1"/>
  <c r="D8" i="30" a="1"/>
  <c r="D31" i="30" a="1"/>
  <c r="D15" i="30" a="1"/>
  <c r="D69" i="30" a="1"/>
  <c r="D14" i="30" a="1"/>
  <c r="D68" i="30" a="1"/>
  <c r="D29" i="30" a="1"/>
  <c r="D35" i="30" a="1"/>
  <c r="D30" i="30" a="1"/>
  <c r="D21" i="30" a="1"/>
  <c r="D44" i="30" a="1"/>
  <c r="D22" i="30" a="1"/>
  <c r="D57" i="30" a="1"/>
  <c r="D46" i="30" a="1"/>
  <c r="D48" i="30" a="1"/>
  <c r="D42" i="30" a="1"/>
  <c r="D32" i="30" a="1"/>
  <c r="D53" i="30" a="1"/>
  <c r="D37" i="30" a="1"/>
  <c r="D16" i="30" a="1"/>
  <c r="D40" i="30" a="1"/>
  <c r="D18" i="30" a="1"/>
  <c r="D70" i="30" a="1"/>
  <c r="D55" i="30" a="1"/>
  <c r="D56" i="30" a="1"/>
  <c r="D39" i="30" a="1"/>
  <c r="D67" i="30" a="1"/>
  <c r="D26" i="30" a="1"/>
  <c r="D24" i="30" a="1"/>
  <c r="D50" i="30" a="1"/>
  <c r="D64" i="30" a="1"/>
  <c r="D12" i="30" a="1"/>
  <c r="D20" i="30" a="1"/>
  <c r="D11" i="30" a="1"/>
  <c r="D17" i="30" a="1"/>
  <c r="D47" i="30" a="1"/>
  <c r="B12" i="31" l="1"/>
  <c r="B18" i="31" s="1"/>
  <c r="B21" i="31" s="1"/>
  <c r="F3" i="8" a="1"/>
  <c r="G3" i="8" a="1"/>
  <c r="H3" i="8" a="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39" i="30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3" i="30"/>
  <c r="D69" i="30"/>
  <c r="D30" i="30"/>
  <c r="D57" i="30"/>
  <c r="D62" i="30"/>
  <c r="D67" i="30"/>
  <c r="D72" i="30"/>
  <c r="D68" i="30"/>
  <c r="D28" i="30"/>
  <c r="D47" i="30"/>
  <c r="D27" i="30"/>
  <c r="D64" i="30"/>
  <c r="D65" i="30"/>
  <c r="D29" i="30"/>
  <c r="D66" i="30"/>
  <c r="D71" i="30"/>
  <c r="D37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G3" i="8" l="1"/>
  <c r="F33" i="8"/>
  <c r="F3" i="8"/>
  <c r="I10" i="8"/>
  <c r="I31" i="8"/>
  <c r="I32" i="8"/>
  <c r="I13" i="8"/>
  <c r="I14" i="8"/>
  <c r="I15" i="8"/>
  <c r="I16" i="8"/>
  <c r="I17" i="8"/>
  <c r="I18" i="8"/>
  <c r="I9" i="8"/>
  <c r="I19" i="8"/>
  <c r="I30" i="8"/>
  <c r="I11" i="8"/>
  <c r="I5" i="8"/>
  <c r="I6" i="8"/>
  <c r="I4" i="8"/>
  <c r="I29" i="8"/>
  <c r="I20" i="8"/>
  <c r="I21" i="8"/>
  <c r="I12" i="8"/>
  <c r="I22" i="8"/>
  <c r="I23" i="8"/>
  <c r="I24" i="8"/>
  <c r="I25" i="8"/>
  <c r="I26" i="8"/>
  <c r="I7" i="8"/>
  <c r="I27" i="8"/>
  <c r="I8" i="8"/>
  <c r="I28" i="8"/>
  <c r="H3" i="8"/>
  <c r="I3" i="8" s="1"/>
  <c r="J55" i="1"/>
  <c r="D4" i="30" s="1" a="1"/>
  <c r="D4" i="30" s="1"/>
  <c r="K55" i="1"/>
  <c r="D5" i="30" s="1" a="1"/>
  <c r="D5" i="30" s="1"/>
  <c r="I55" i="1"/>
  <c r="D3" i="30" s="1" a="1"/>
  <c r="D3" i="30" s="1"/>
  <c r="L55" i="1"/>
  <c r="D6" i="30" s="1" a="1"/>
  <c r="D6" i="30" s="1"/>
  <c r="B11" i="12"/>
  <c r="G33" i="8" l="1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tc={2BB2FAFC-7985-4023-8E11-A7992CE9402D}</author>
  </authors>
  <commentList>
    <comment ref="I4" authorId="0" shapeId="0" xr:uid="{2BB2FAFC-7985-4023-8E11-A7992CE9402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kind of an average of shorter durations (e.g., 5, 10, 15 would use 10 year duration); typically defaults to intervals of 5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J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L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M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<sst xmlns="http://schemas.openxmlformats.org/spreadsheetml/2006/main" count="1129" uniqueCount="498">
  <si>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</si>
  <si>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</si>
  <si>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</si>
  <si>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</si>
  <si>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</si>
  <si>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</si>
  <si>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</si>
  <si>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</si>
  <si>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</si>
  <si>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</si>
  <si>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</si>
  <si>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</si>
  <si>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</si>
  <si>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</si>
  <si>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</si>
  <si>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</si>
  <si>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</si>
  <si>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</si>
  <si>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</si>
  <si>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</si>
  <si>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</si>
  <si>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</si>
  <si>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</si>
  <si>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</si>
  <si>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</si>
  <si>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</si>
  <si>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</si>
  <si>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</si>
  <si>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</si>
  <si>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</si>
  <si>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</si>
  <si>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</si>
  <si>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</si>
  <si>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</si>
  <si>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</si>
  <si>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</si>
  <si>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</si>
  <si>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</si>
  <si>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</si>
  <si>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</si>
  <si>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</si>
  <si>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</si>
  <si>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</si>
  <si>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</si>
  <si>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</si>
  <si>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</si>
  <si>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</si>
  <si>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</si>
  <si>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</si>
  <si>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</si>
  <si>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</si>
  <si>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</si>
  <si>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</si>
  <si>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</si>
  <si>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</si>
  <si>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</si>
  <si>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</si>
  <si>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</si>
  <si>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</si>
  <si>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</si>
  <si>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</si>
  <si>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</si>
  <si>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</si>
  <si>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</si>
  <si>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</si>
  <si>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</si>
  <si>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</si>
  <si>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</si>
  <si>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</si>
  <si>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</si>
  <si>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</si>
  <si>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</si>
  <si>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</si>
  <si>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</si>
  <si>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</si>
  <si>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</si>
  <si>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</si>
  <si>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</si>
  <si>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</si>
  <si>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</si>
  <si>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</si>
  <si>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</si>
  <si>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</si>
  <si>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</si>
  <si>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</si>
  <si>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</si>
  <si>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</si>
  <si>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</si>
  <si>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</si>
  <si>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</si>
  <si>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</si>
  <si>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</si>
  <si>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</si>
  <si>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</si>
  <si>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</si>
  <si>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</si>
  <si>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</si>
  <si>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</si>
  <si>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</si>
  <si>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</si>
  <si>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</si>
  <si>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</si>
  <si>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</si>
  <si>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</si>
  <si>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</si>
  <si>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</si>
  <si>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</si>
  <si>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</si>
  <si>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</si>
  <si>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</si>
  <si>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</si>
  <si>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</si>
  <si>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</si>
  <si>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</si>
  <si>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</si>
  <si>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</si>
  <si>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</si>
  <si>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</si>
  <si>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</si>
  <si>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</si>
  <si>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</si>
  <si>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</si>
  <si>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</si>
  <si>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</si>
  <si>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</si>
  <si>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</si>
  <si>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</si>
  <si>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</si>
  <si>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</si>
  <si>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</si>
  <si>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</si>
  <si>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</si>
  <si>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</si>
  <si>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</si>
  <si>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</si>
  <si>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</si>
  <si>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</si>
  <si>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</si>
  <si>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</si>
  <si>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</si>
  <si>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</si>
  <si>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</si>
  <si>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</si>
  <si>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</si>
  <si>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</si>
  <si>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</si>
  <si>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</si>
  <si>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</si>
  <si>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</si>
  <si>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</si>
  <si>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</si>
  <si>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</si>
  <si>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</si>
  <si>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</si>
  <si>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</si>
  <si>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</si>
  <si>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</si>
  <si>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</si>
  <si>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</si>
  <si>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</si>
  <si>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</si>
  <si>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</si>
  <si>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</si>
  <si>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</si>
  <si>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</si>
  <si>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</si>
  <si>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</si>
  <si>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</si>
  <si>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</si>
  <si>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</si>
  <si>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</si>
  <si>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</si>
  <si>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</si>
  <si>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</si>
  <si>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</si>
  <si>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</si>
  <si>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</si>
  <si>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</si>
  <si>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</si>
  <si>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</si>
  <si>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</si>
  <si>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</si>
  <si>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</si>
  <si>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</si>
  <si>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</si>
  <si>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</si>
  <si>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</si>
  <si>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</si>
  <si>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</si>
  <si>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</si>
  <si>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</si>
  <si>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</si>
  <si>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</si>
  <si>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</si>
  <si>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</si>
  <si>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</si>
  <si>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</si>
  <si>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</si>
  <si>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</si>
  <si>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</si>
  <si>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</si>
  <si>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</si>
  <si>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</si>
  <si>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</si>
  <si>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</si>
  <si>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</si>
  <si>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</si>
  <si>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</si>
  <si>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</si>
  <si>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</si>
  <si>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</si>
  <si>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</si>
  <si>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</si>
  <si>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</si>
  <si>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</si>
  <si>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</si>
  <si>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</si>
  <si>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</si>
  <si>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</si>
  <si>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</si>
  <si>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</si>
  <si>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</si>
  <si>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</si>
  <si>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</si>
  <si>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</si>
  <si>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</si>
  <si>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</si>
  <si>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</si>
  <si>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</si>
  <si>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</si>
  <si>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</si>
  <si>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</si>
  <si>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</si>
  <si>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</si>
  <si>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</si>
  <si>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</si>
  <si>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</si>
  <si>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</si>
  <si>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</si>
  <si>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</si>
  <si>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</si>
  <si>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</si>
  <si>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</si>
  <si>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</si>
  <si>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</si>
  <si>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</si>
  <si>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</si>
  <si>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</si>
  <si>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</si>
  <si>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</si>
  <si>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</si>
  <si>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</si>
  <si>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</si>
  <si>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</si>
  <si>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</si>
  <si>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</si>
  <si>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</si>
  <si>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</si>
  <si>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</si>
  <si>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</si>
  <si>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</si>
  <si>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</si>
  <si>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3.993</t>
  </si>
  <si>
    <t>CONTINUOUS</t>
  </si>
  <si>
    <t>Standard</t>
  </si>
  <si>
    <t>Header</t>
  </si>
  <si>
    <t>Item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</si>
  <si>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</si>
  <si>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</si>
  <si>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</si>
  <si>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</si>
  <si>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</si>
  <si>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</si>
  <si>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</si>
  <si>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</si>
  <si>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</si>
  <si>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</si>
  <si>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</si>
  <si>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</si>
  <si>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</si>
  <si>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</si>
  <si>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</si>
  <si>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</si>
  <si>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</si>
  <si>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</si>
  <si>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</si>
  <si>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</si>
  <si>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</si>
  <si>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</si>
  <si>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</si>
  <si>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</si>
  <si>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</si>
  <si>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</si>
  <si>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</si>
  <si>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</si>
  <si>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</si>
  <si>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</si>
  <si>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</si>
  <si>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</si>
  <si>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</si>
  <si>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</si>
  <si>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</si>
  <si>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</si>
  <si>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</si>
  <si>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</si>
  <si>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</si>
  <si>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</si>
  <si>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</si>
  <si>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</si>
  <si>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</si>
  <si>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</si>
  <si>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</si>
  <si>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</si>
  <si>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</si>
  <si>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</si>
  <si>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</si>
  <si>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</si>
  <si>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</si>
  <si>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</si>
  <si>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</si>
  <si>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</si>
  <si>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</si>
  <si>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</si>
  <si>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</si>
  <si>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</si>
  <si>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</si>
  <si>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</si>
  <si>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</si>
  <si>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</si>
  <si>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</si>
  <si>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</si>
  <si>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</si>
  <si>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</si>
  <si>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</si>
  <si>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</si>
  <si>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</si>
  <si>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</si>
  <si>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</si>
  <si>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</si>
  <si>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</si>
  <si>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</si>
  <si>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</si>
  <si>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</si>
  <si>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</si>
  <si>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</si>
  <si>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</si>
  <si>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</si>
  <si>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</si>
  <si>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</si>
  <si>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</si>
  <si>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</si>
  <si>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</si>
  <si>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</si>
  <si>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</si>
  <si>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</si>
  <si>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</si>
  <si>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</si>
  <si>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</si>
  <si>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</si>
  <si>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</si>
  <si>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</si>
  <si>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</si>
  <si>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</si>
  <si>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</si>
  <si>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</si>
  <si>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</si>
  <si>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</si>
  <si>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</si>
  <si>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</si>
  <si>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</si>
  <si>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</si>
  <si>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</si>
  <si>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</si>
  <si>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</si>
  <si>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</si>
  <si>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</si>
  <si>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</si>
  <si>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</si>
  <si>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</si>
  <si>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</si>
  <si>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</si>
  <si>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</si>
  <si>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</si>
  <si>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</si>
  <si>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</si>
  <si>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</si>
  <si>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</si>
  <si>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</si>
  <si>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</si>
  <si>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</si>
  <si>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</si>
  <si>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</si>
  <si>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</si>
  <si>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</si>
  <si>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</si>
  <si>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</si>
  <si>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</si>
  <si>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</si>
  <si>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</si>
  <si>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</si>
  <si>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</si>
  <si>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</si>
  <si>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</si>
  <si>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</si>
  <si>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</si>
  <si>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</si>
  <si>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</si>
  <si>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</si>
  <si>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</si>
  <si>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</si>
  <si>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</si>
  <si>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test 1</t>
  </si>
  <si>
    <t>test 2</t>
  </si>
  <si>
    <t>testing</t>
  </si>
  <si>
    <t>evaluation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</si>
  <si>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</si>
  <si>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</si>
  <si>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</si>
  <si>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</si>
  <si>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</si>
  <si>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</si>
  <si>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</si>
  <si>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</si>
  <si>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</si>
  <si>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</si>
  <si>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</si>
  <si>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</si>
  <si>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</si>
  <si>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</si>
  <si>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</si>
  <si>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</si>
  <si>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</si>
  <si>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</si>
  <si>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</si>
  <si>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</si>
  <si>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</si>
  <si>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</si>
  <si>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</si>
  <si>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</si>
  <si>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</si>
  <si>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test 1 (1)</t>
  </si>
  <si>
    <t>TESTING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</si>
  <si>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</si>
  <si>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</si>
  <si>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</si>
  <si>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</si>
  <si>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</si>
  <si>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</si>
  <si>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&lt;ADD QUERY MONITOR VBA TO ENSURE FRESH MAX RATE USED</t>
  </si>
  <si>
    <t>Static</t>
  </si>
  <si>
    <t>counts inclusively</t>
  </si>
  <si>
    <t xml:space="preserve">for shorter than LE durations, take last year and </t>
  </si>
  <si>
    <t>go up # of rows = duration value + 1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</si>
  <si>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</si>
  <si>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</si>
  <si>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</si>
  <si>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</si>
  <si>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</si>
  <si>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</si>
  <si>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</si>
  <si>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</si>
  <si>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</si>
  <si>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</si>
  <si>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# of Years to End</t>
  </si>
  <si>
    <t>Reference Year</t>
  </si>
  <si>
    <t>CPI Duration Min</t>
  </si>
  <si>
    <t>CPI Duration Max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</si>
  <si>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</si>
  <si>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</si>
  <si>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</si>
  <si>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</si>
  <si>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</si>
  <si>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</si>
  <si>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</si>
  <si>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</si>
  <si>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</si>
  <si>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</si>
  <si>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</si>
  <si>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</si>
  <si>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</si>
  <si>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</si>
  <si>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</si>
  <si>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</si>
  <si>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</si>
  <si>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</si>
  <si>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</si>
  <si>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</si>
  <si>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</si>
  <si>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</si>
  <si>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</si>
  <si>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min # of years from start year to end year</t>
  </si>
  <si>
    <t>28 years</t>
  </si>
  <si>
    <t>&lt;- is 2009's 100.00 rate excluded intentionally?</t>
  </si>
  <si>
    <t>IMPORTED FROM DROPS</t>
  </si>
  <si>
    <t>Medical Equipment High</t>
  </si>
  <si>
    <t>Associated CPI Rates</t>
  </si>
  <si>
    <t>Low Duration Rate</t>
  </si>
  <si>
    <t>High Duration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</si>
</sst>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</cellStyleXfs>
  <cellXfs count="187">
    <xf numFmtId="0" fontId="0" fillId="0" borderId="0" xfId="0"/>
    <xf numFmtId="0" fontId="4" fillId="0" borderId="0" xfId="0" applyFont="1"/>
    <xf numFmtId="10" fontId="0" fillId="0" borderId="0" xfId="0" applyNumberFormat="1"/>
    <xf numFmtId="2" fontId="0" fillId="0" borderId="0" xfId="0" applyNumberFormat="1"/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8" fillId="3" borderId="0" xfId="0" applyFont="1" applyFill="1" applyAlignment="1">
      <alignment horizontal="left" vertical="top" wrapText="1"/>
    </xf>
    <xf numFmtId="0" fontId="9" fillId="3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center" wrapText="1"/>
    </xf>
    <xf numFmtId="0" fontId="8" fillId="4" borderId="0" xfId="0" applyFont="1" applyFill="1" applyAlignment="1">
      <alignment horizontal="center" wrapText="1"/>
    </xf>
    <xf numFmtId="0" fontId="8" fillId="5" borderId="0" xfId="0" applyFont="1" applyFill="1" applyAlignment="1">
      <alignment horizontal="left" vertical="center"/>
    </xf>
    <xf numFmtId="0" fontId="9" fillId="3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right" vertical="center"/>
    </xf>
    <xf numFmtId="164" fontId="4" fillId="0" borderId="0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/>
    <xf numFmtId="164" fontId="4" fillId="0" borderId="0" xfId="1" applyNumberFormat="1" applyFont="1"/>
    <xf numFmtId="164" fontId="4" fillId="0" borderId="2" xfId="1" applyNumberFormat="1" applyFont="1" applyFill="1" applyBorder="1"/>
    <xf numFmtId="164" fontId="4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4" fillId="0" borderId="0" xfId="0" applyNumberFormat="1" applyFont="1"/>
    <xf numFmtId="0" fontId="4" fillId="0" borderId="3" xfId="0" applyFont="1" applyBorder="1"/>
    <xf numFmtId="0" fontId="4" fillId="0" borderId="6" xfId="0" applyFont="1" applyBorder="1"/>
    <xf numFmtId="0" fontId="4" fillId="0" borderId="4" xfId="0" applyFont="1" applyBorder="1"/>
    <xf numFmtId="164" fontId="4" fillId="0" borderId="0" xfId="1" applyNumberFormat="1" applyFont="1" applyFill="1"/>
    <xf numFmtId="0" fontId="11" fillId="0" borderId="0" xfId="3" applyFont="1" applyAlignment="1">
      <alignment horizontal="left"/>
    </xf>
    <xf numFmtId="0" fontId="12" fillId="0" borderId="0" xfId="3" applyFont="1"/>
    <xf numFmtId="0" fontId="11" fillId="0" borderId="0" xfId="3" applyFont="1" applyAlignment="1">
      <alignment horizontal="left" vertical="top" wrapText="1"/>
    </xf>
    <xf numFmtId="0" fontId="11" fillId="0" borderId="1" xfId="3" applyFont="1" applyBorder="1" applyAlignment="1">
      <alignment horizontal="center" wrapText="1"/>
    </xf>
    <xf numFmtId="166" fontId="12" fillId="0" borderId="0" xfId="3" applyNumberFormat="1" applyFont="1" applyAlignment="1">
      <alignment horizontal="right"/>
    </xf>
    <xf numFmtId="167" fontId="12" fillId="0" borderId="0" xfId="3" applyNumberFormat="1" applyFont="1" applyAlignment="1">
      <alignment horizontal="right"/>
    </xf>
    <xf numFmtId="0" fontId="4" fillId="10" borderId="0" xfId="0" applyFont="1" applyFill="1"/>
    <xf numFmtId="10" fontId="4" fillId="0" borderId="0" xfId="0" applyNumberFormat="1" applyFont="1"/>
    <xf numFmtId="8" fontId="4" fillId="0" borderId="0" xfId="0" applyNumberFormat="1" applyFont="1"/>
    <xf numFmtId="8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/>
    </xf>
    <xf numFmtId="1" fontId="4" fillId="0" borderId="0" xfId="0" applyNumberFormat="1" applyFont="1"/>
    <xf numFmtId="0" fontId="10" fillId="0" borderId="0" xfId="3"/>
    <xf numFmtId="0" fontId="15" fillId="0" borderId="0" xfId="3" applyFont="1" applyAlignment="1">
      <alignment horizontal="left" vertical="top" wrapText="1"/>
    </xf>
    <xf numFmtId="0" fontId="15" fillId="0" borderId="1" xfId="3" applyFont="1" applyBorder="1" applyAlignment="1">
      <alignment horizontal="center" wrapText="1"/>
    </xf>
    <xf numFmtId="0" fontId="15" fillId="0" borderId="0" xfId="3" applyFont="1" applyAlignment="1">
      <alignment horizontal="left"/>
    </xf>
    <xf numFmtId="166" fontId="14" fillId="0" borderId="0" xfId="3" applyNumberFormat="1" applyFont="1" applyAlignment="1">
      <alignment horizontal="right"/>
    </xf>
    <xf numFmtId="167" fontId="14" fillId="0" borderId="0" xfId="3" applyNumberFormat="1" applyFont="1" applyAlignment="1">
      <alignment horizontal="right"/>
    </xf>
    <xf numFmtId="165" fontId="12" fillId="0" borderId="0" xfId="2" applyNumberFormat="1" applyFont="1" applyFill="1"/>
    <xf numFmtId="0" fontId="0" fillId="0" borderId="0" xfId="0" applyAlignment="1">
      <alignment vertical="center"/>
    </xf>
    <xf numFmtId="0" fontId="17" fillId="14" borderId="15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7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/>
    </xf>
    <xf numFmtId="0" fontId="18" fillId="14" borderId="18" xfId="0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/>
    </xf>
    <xf numFmtId="0" fontId="18" fillId="14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44" fontId="20" fillId="0" borderId="23" xfId="1" applyFont="1" applyFill="1" applyBorder="1" applyAlignment="1">
      <alignment horizontal="center" vertical="center"/>
    </xf>
    <xf numFmtId="0" fontId="20" fillId="15" borderId="24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6" borderId="26" xfId="0" applyFont="1" applyFill="1" applyBorder="1" applyAlignment="1">
      <alignment horizontal="center" vertical="center"/>
    </xf>
    <xf numFmtId="0" fontId="20" fillId="16" borderId="27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center" vertical="center"/>
    </xf>
    <xf numFmtId="0" fontId="20" fillId="0" borderId="30" xfId="0" applyFont="1" applyBorder="1"/>
    <xf numFmtId="0" fontId="20" fillId="0" borderId="31" xfId="0" applyFont="1" applyBorder="1"/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15" borderId="30" xfId="0" applyFont="1" applyFill="1" applyBorder="1"/>
    <xf numFmtId="0" fontId="20" fillId="15" borderId="31" xfId="0" applyFont="1" applyFill="1" applyBorder="1"/>
    <xf numFmtId="0" fontId="20" fillId="16" borderId="32" xfId="0" applyFont="1" applyFill="1" applyBorder="1" applyAlignment="1">
      <alignment horizontal="center" vertical="center"/>
    </xf>
    <xf numFmtId="0" fontId="20" fillId="16" borderId="33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165" fontId="20" fillId="0" borderId="23" xfId="0" applyNumberFormat="1" applyFont="1" applyBorder="1" applyAlignment="1">
      <alignment horizontal="center" vertical="center"/>
    </xf>
    <xf numFmtId="2" fontId="20" fillId="0" borderId="23" xfId="2" applyNumberFormat="1" applyFont="1" applyFill="1" applyBorder="1" applyAlignment="1">
      <alignment horizontal="center" vertical="center"/>
    </xf>
    <xf numFmtId="0" fontId="20" fillId="0" borderId="34" xfId="0" applyFont="1" applyBorder="1"/>
    <xf numFmtId="0" fontId="20" fillId="0" borderId="35" xfId="0" applyFont="1" applyBorder="1"/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20" fillId="0" borderId="28" xfId="0" applyFont="1" applyBorder="1" applyAlignment="1">
      <alignment vertical="center"/>
    </xf>
    <xf numFmtId="0" fontId="20" fillId="0" borderId="29" xfId="0" applyFont="1" applyBorder="1" applyAlignment="1">
      <alignment horizontal="center" vertical="center"/>
    </xf>
    <xf numFmtId="0" fontId="20" fillId="17" borderId="28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10" fillId="0" borderId="16" xfId="3" applyBorder="1" applyAlignment="1">
      <alignment wrapText="1"/>
    </xf>
    <xf numFmtId="165" fontId="20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9" fillId="10" borderId="28" xfId="0" applyFont="1" applyFill="1" applyBorder="1" applyAlignment="1">
      <alignment horizontal="left" vertical="center"/>
    </xf>
    <xf numFmtId="0" fontId="19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9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22" fillId="19" borderId="0" xfId="0" applyFont="1" applyFill="1"/>
    <xf numFmtId="0" fontId="22" fillId="19" borderId="43" xfId="0" applyFont="1" applyFill="1" applyBorder="1"/>
    <xf numFmtId="169" fontId="21" fillId="0" borderId="0" xfId="0" applyNumberFormat="1" applyFont="1"/>
    <xf numFmtId="0" fontId="24" fillId="0" borderId="0" xfId="0" applyFont="1"/>
    <xf numFmtId="0" fontId="23" fillId="0" borderId="0" xfId="0" applyFont="1"/>
    <xf numFmtId="0" fontId="23" fillId="0" borderId="29" xfId="0" applyFont="1" applyBorder="1" applyAlignment="1">
      <alignment horizontal="left"/>
    </xf>
    <xf numFmtId="168" fontId="23" fillId="0" borderId="29" xfId="0" applyNumberFormat="1" applyFont="1" applyBorder="1" applyAlignment="1">
      <alignment horizontal="left"/>
    </xf>
    <xf numFmtId="0" fontId="25" fillId="0" borderId="0" xfId="0" applyFont="1" applyAlignment="1">
      <alignment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0" fillId="0" borderId="29" xfId="0" applyFont="1" applyBorder="1" applyAlignment="1">
      <alignment horizontal="center"/>
    </xf>
    <xf numFmtId="0" fontId="31" fillId="0" borderId="0" xfId="0" applyFont="1"/>
    <xf numFmtId="0" fontId="29" fillId="0" borderId="29" xfId="0" applyFont="1" applyBorder="1" applyAlignment="1">
      <alignment horizontal="right"/>
    </xf>
    <xf numFmtId="0" fontId="32" fillId="0" borderId="0" xfId="0" applyFont="1" applyAlignment="1">
      <alignment horizontal="right"/>
    </xf>
    <xf numFmtId="169" fontId="32" fillId="0" borderId="0" xfId="0" applyNumberFormat="1" applyFont="1" applyAlignment="1">
      <alignment horizontal="center"/>
    </xf>
    <xf numFmtId="165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right"/>
    </xf>
    <xf numFmtId="170" fontId="32" fillId="0" borderId="0" xfId="0" applyNumberFormat="1" applyFont="1" applyAlignment="1">
      <alignment horizontal="center"/>
    </xf>
    <xf numFmtId="1" fontId="32" fillId="0" borderId="0" xfId="0" applyNumberFormat="1" applyFont="1" applyAlignment="1">
      <alignment horizontal="center"/>
    </xf>
    <xf numFmtId="0" fontId="32" fillId="0" borderId="0" xfId="0" applyFont="1"/>
    <xf numFmtId="170" fontId="32" fillId="0" borderId="0" xfId="0" applyNumberFormat="1" applyFont="1"/>
    <xf numFmtId="0" fontId="34" fillId="0" borderId="0" xfId="0" applyFont="1"/>
    <xf numFmtId="168" fontId="32" fillId="0" borderId="0" xfId="0" applyNumberFormat="1" applyFont="1" applyAlignment="1">
      <alignment horizontal="center"/>
    </xf>
    <xf numFmtId="0" fontId="14" fillId="0" borderId="16" xfId="3" applyFont="1" applyBorder="1" applyAlignment="1">
      <alignment horizontal="right" wrapText="1"/>
    </xf>
    <xf numFmtId="165" fontId="14" fillId="0" borderId="16" xfId="2" applyNumberFormat="1" applyFont="1" applyBorder="1" applyAlignment="1">
      <alignment horizontal="right"/>
    </xf>
    <xf numFmtId="0" fontId="36" fillId="0" borderId="0" xfId="0" applyFont="1"/>
    <xf numFmtId="0" fontId="23" fillId="0" borderId="0" xfId="0" applyFont="1" applyAlignment="1">
      <alignment horizontal="left"/>
    </xf>
    <xf numFmtId="10" fontId="23" fillId="0" borderId="0" xfId="0" applyNumberFormat="1" applyFont="1" applyAlignment="1">
      <alignment horizontal="left"/>
    </xf>
    <xf numFmtId="10" fontId="23" fillId="0" borderId="0" xfId="0" applyNumberFormat="1" applyFont="1"/>
    <xf numFmtId="0" fontId="23" fillId="21" borderId="44" xfId="0" applyFont="1" applyFill="1" applyBorder="1" applyAlignment="1">
      <alignment horizontal="left"/>
    </xf>
    <xf numFmtId="0" fontId="23" fillId="21" borderId="42" xfId="0" applyFont="1" applyFill="1" applyBorder="1" applyAlignment="1">
      <alignment horizontal="left"/>
    </xf>
    <xf numFmtId="168" fontId="23" fillId="21" borderId="42" xfId="0" applyNumberFormat="1" applyFont="1" applyFill="1" applyBorder="1" applyAlignment="1">
      <alignment horizontal="left"/>
    </xf>
    <xf numFmtId="0" fontId="23" fillId="20" borderId="45" xfId="0" applyFont="1" applyFill="1" applyBorder="1" applyAlignment="1">
      <alignment horizontal="left"/>
    </xf>
    <xf numFmtId="0" fontId="23" fillId="20" borderId="41" xfId="0" applyFont="1" applyFill="1" applyBorder="1" applyAlignment="1">
      <alignment horizontal="left"/>
    </xf>
    <xf numFmtId="168" fontId="23" fillId="20" borderId="41" xfId="0" applyNumberFormat="1" applyFont="1" applyFill="1" applyBorder="1" applyAlignment="1">
      <alignment horizontal="left"/>
    </xf>
    <xf numFmtId="0" fontId="23" fillId="21" borderId="45" xfId="0" applyFont="1" applyFill="1" applyBorder="1" applyAlignment="1">
      <alignment horizontal="left"/>
    </xf>
    <xf numFmtId="0" fontId="23" fillId="21" borderId="41" xfId="0" applyFont="1" applyFill="1" applyBorder="1" applyAlignment="1">
      <alignment horizontal="left"/>
    </xf>
    <xf numFmtId="168" fontId="23" fillId="21" borderId="41" xfId="0" applyNumberFormat="1" applyFont="1" applyFill="1" applyBorder="1" applyAlignment="1">
      <alignment horizontal="left"/>
    </xf>
    <xf numFmtId="0" fontId="35" fillId="22" borderId="0" xfId="0" applyFont="1" applyFill="1"/>
    <xf numFmtId="0" fontId="35" fillId="22" borderId="43" xfId="0" applyFont="1" applyFill="1" applyBorder="1"/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16" fillId="11" borderId="8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left" vertical="top" wrapText="1"/>
    </xf>
    <xf numFmtId="0" fontId="14" fillId="0" borderId="0" xfId="3" applyFont="1" applyAlignment="1">
      <alignment horizontal="left"/>
    </xf>
    <xf numFmtId="0" fontId="10" fillId="0" borderId="0" xfId="3"/>
    <xf numFmtId="0" fontId="13" fillId="0" borderId="0" xfId="3" applyFont="1" applyAlignment="1">
      <alignment horizontal="left"/>
    </xf>
    <xf numFmtId="0" fontId="14" fillId="0" borderId="0" xfId="3" applyFont="1" applyAlignment="1">
      <alignment horizontal="left" vertical="top" wrapText="1"/>
    </xf>
    <xf numFmtId="0" fontId="15" fillId="0" borderId="0" xfId="3" applyFont="1" applyAlignment="1">
      <alignment horizontal="left" vertical="top" wrapText="1"/>
    </xf>
    <xf numFmtId="0" fontId="11" fillId="0" borderId="0" xfId="3" applyFont="1" applyAlignment="1">
      <alignment horizontal="left"/>
    </xf>
    <xf numFmtId="0" fontId="12" fillId="0" borderId="0" xfId="3" applyFont="1"/>
    <xf numFmtId="0" fontId="12" fillId="0" borderId="0" xfId="3" applyFont="1" applyAlignment="1">
      <alignment horizontal="left"/>
    </xf>
    <xf numFmtId="0" fontId="12" fillId="0" borderId="0" xfId="3" applyFont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28" fillId="0" borderId="4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8" fillId="0" borderId="0" xfId="0" applyFont="1"/>
    <xf numFmtId="0" fontId="30" fillId="0" borderId="0" xfId="0" applyFont="1" applyBorder="1" applyAlignment="1">
      <alignment horizontal="center"/>
    </xf>
    <xf numFmtId="0" fontId="29" fillId="0" borderId="0" xfId="0" applyFont="1" applyBorder="1" applyAlignment="1">
      <alignment horizontal="right"/>
    </xf>
    <xf numFmtId="10" fontId="10" fillId="0" borderId="0" xfId="2" applyNumberFormat="1" applyFont="1"/>
    <xf numFmtId="165" fontId="14" fillId="0" borderId="16" xfId="2" applyNumberFormat="1" applyFont="1" applyFill="1" applyBorder="1" applyAlignment="1">
      <alignment horizontal="right"/>
    </xf>
    <xf numFmtId="165" fontId="12" fillId="0" borderId="16" xfId="2" applyNumberFormat="1" applyFont="1" applyBorder="1"/>
    <xf numFmtId="165" fontId="10" fillId="0" borderId="16" xfId="2" applyNumberFormat="1" applyFont="1" applyBorder="1"/>
    <xf numFmtId="165" fontId="12" fillId="0" borderId="16" xfId="2" applyNumberFormat="1" applyFont="1" applyFill="1" applyBorder="1"/>
    <xf numFmtId="165" fontId="12" fillId="0" borderId="3" xfId="2" applyNumberFormat="1" applyFont="1" applyFill="1" applyBorder="1"/>
    <xf numFmtId="165" fontId="10" fillId="0" borderId="16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4" fillId="0" borderId="0" xfId="2" applyNumberFormat="1" applyFont="1"/>
    <xf numFmtId="0" fontId="4" fillId="8" borderId="5" xfId="0" applyFont="1" applyFill="1" applyBorder="1" applyAlignment="1">
      <alignment horizontal="right"/>
    </xf>
    <xf numFmtId="0" fontId="4" fillId="24" borderId="5" xfId="0" applyFont="1" applyFill="1" applyBorder="1" applyAlignment="1">
      <alignment horizontal="right"/>
    </xf>
    <xf numFmtId="0" fontId="4" fillId="9" borderId="5" xfId="0" applyFont="1" applyFill="1" applyBorder="1" applyAlignment="1">
      <alignment horizontal="right"/>
    </xf>
    <xf numFmtId="0" fontId="4" fillId="23" borderId="5" xfId="0" applyFont="1" applyFill="1" applyBorder="1" applyAlignment="1">
      <alignment horizontal="right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21"/>
      <tableStyleElement type="headerRow" dxfId="120"/>
      <tableStyleElement type="totalRow" dxfId="1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Rates'!$F$6:$F$33</c:f>
              <c:strCache>
                <c:ptCount val="28"/>
                <c:pt idx="0">
                  <c:v>2030</c:v>
                </c:pt>
                <c:pt idx="1">
                  <c:v>2031</c:v>
                </c:pt>
                <c:pt idx="2">
                  <c:v>2032</c:v>
                </c:pt>
                <c:pt idx="3">
                  <c:v>2033</c:v>
                </c:pt>
                <c:pt idx="4">
                  <c:v>2034</c:v>
                </c:pt>
                <c:pt idx="5">
                  <c:v>2035</c:v>
                </c:pt>
                <c:pt idx="6">
                  <c:v>2036</c:v>
                </c:pt>
                <c:pt idx="7">
                  <c:v>2037</c:v>
                </c:pt>
                <c:pt idx="8">
                  <c:v>2038</c:v>
                </c:pt>
                <c:pt idx="9">
                  <c:v>2039</c:v>
                </c:pt>
                <c:pt idx="10">
                  <c:v>2040</c:v>
                </c:pt>
                <c:pt idx="11">
                  <c:v>2041</c:v>
                </c:pt>
                <c:pt idx="12">
                  <c:v>2042</c:v>
                </c:pt>
                <c:pt idx="13">
                  <c:v>2043</c:v>
                </c:pt>
                <c:pt idx="14">
                  <c:v>2044</c:v>
                </c:pt>
                <c:pt idx="15">
                  <c:v>2045</c:v>
                </c:pt>
                <c:pt idx="16">
                  <c:v>2046</c:v>
                </c:pt>
                <c:pt idx="17">
                  <c:v>2047</c:v>
                </c:pt>
                <c:pt idx="18">
                  <c:v>2048</c:v>
                </c:pt>
                <c:pt idx="19">
                  <c:v>2049</c:v>
                </c:pt>
                <c:pt idx="20">
                  <c:v>2050</c:v>
                </c:pt>
                <c:pt idx="21">
                  <c:v>2051</c:v>
                </c:pt>
                <c:pt idx="22">
                  <c:v>2052</c:v>
                </c:pt>
                <c:pt idx="23">
                  <c:v>2053</c:v>
                </c:pt>
                <c:pt idx="24">
                  <c:v>2054</c:v>
                </c:pt>
                <c:pt idx="25">
                  <c:v>2055</c:v>
                </c:pt>
                <c:pt idx="26">
                  <c:v>2056</c:v>
                </c:pt>
                <c:pt idx="27">
                  <c:v>*2057</c:v>
                </c:pt>
              </c:strCache>
            </c:strRef>
          </c:cat>
          <c:val>
            <c:numRef>
              <c:f>'Discount Rates'!$G$6:$G$33</c:f>
              <c:numCache>
                <c:formatCode>General</c:formatCode>
                <c:ptCount val="2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 formatCode="0.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35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504824</xdr:colOff>
      <xdr:row>18</xdr:row>
      <xdr:rowOff>152400</xdr:rowOff>
    </xdr:from>
    <xdr:to>
      <xdr:col>18</xdr:col>
      <xdr:colOff>400049</xdr:colOff>
      <xdr:row>33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33</xdr:row>
          <xdr:rowOff>104775</xdr:rowOff>
        </xdr:from>
        <xdr:to>
          <xdr:col>3</xdr:col>
          <xdr:colOff>1028700</xdr:colOff>
          <xdr:row>35</xdr:row>
          <xdr:rowOff>104775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200025</xdr:rowOff>
        </xdr:from>
        <xdr:to>
          <xdr:col>4</xdr:col>
          <xdr:colOff>923925</xdr:colOff>
          <xdr:row>2</xdr:row>
          <xdr:rowOff>47625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Bussey\GitHub\EconAutomation-REP\EconAutomation\src\supporting_docs\econ_wb_templates\PV2_Current.xlsm" TargetMode="External"/><Relationship Id="rId1" Type="http://schemas.openxmlformats.org/officeDocument/2006/relationships/externalLinkPath" Target="PV2_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_OUTPUTS"/>
      <sheetName val="Case Inputs"/>
      <sheetName val="Base 1 PV Loss WLE"/>
      <sheetName val="Base 1 PV Loss To Age"/>
      <sheetName val="Base 2 PV Loss WLE"/>
      <sheetName val="Base 2 PV Loss To Age"/>
      <sheetName val="Base 3 PV Loss WLE"/>
      <sheetName val="Base 3 PV Loss To Age"/>
      <sheetName val="Credit 1 PV Loss WLE"/>
      <sheetName val="Credit 1 PV Loss to Age"/>
      <sheetName val="Credit 2 PV Loss WLE"/>
      <sheetName val="Credit 2 PV Loss To Age"/>
      <sheetName val="Discount Rates"/>
      <sheetName val="LE_F"/>
      <sheetName val="LE_M"/>
      <sheetName val="WLE"/>
      <sheetName val="CPI Data"/>
      <sheetName val="HelperCel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F3">
            <v>2027</v>
          </cell>
        </row>
        <row r="4">
          <cell r="F4">
            <v>2028</v>
          </cell>
        </row>
        <row r="5">
          <cell r="F5">
            <v>2029</v>
          </cell>
        </row>
        <row r="6">
          <cell r="F6">
            <v>2030</v>
          </cell>
        </row>
        <row r="7">
          <cell r="F7">
            <v>2031</v>
          </cell>
        </row>
        <row r="8">
          <cell r="F8">
            <v>2032</v>
          </cell>
        </row>
        <row r="9">
          <cell r="F9">
            <v>2033</v>
          </cell>
        </row>
        <row r="10">
          <cell r="F10">
            <v>2034</v>
          </cell>
        </row>
        <row r="11">
          <cell r="F11">
            <v>2035</v>
          </cell>
        </row>
        <row r="12">
          <cell r="F12">
            <v>2036</v>
          </cell>
        </row>
        <row r="13">
          <cell r="F13">
            <v>2037</v>
          </cell>
        </row>
        <row r="14">
          <cell r="F14">
            <v>2038</v>
          </cell>
        </row>
        <row r="15">
          <cell r="F15">
            <v>2039</v>
          </cell>
        </row>
        <row r="16">
          <cell r="F16">
            <v>2040</v>
          </cell>
        </row>
        <row r="17">
          <cell r="F17">
            <v>2041</v>
          </cell>
        </row>
        <row r="18">
          <cell r="F18">
            <v>2042</v>
          </cell>
        </row>
        <row r="19">
          <cell r="F19">
            <v>2043</v>
          </cell>
        </row>
        <row r="20">
          <cell r="F20">
            <v>2044</v>
          </cell>
        </row>
        <row r="21">
          <cell r="F21">
            <v>2045</v>
          </cell>
        </row>
        <row r="22">
          <cell r="F22">
            <v>2046</v>
          </cell>
        </row>
        <row r="23">
          <cell r="F23">
            <v>2047</v>
          </cell>
        </row>
        <row r="24">
          <cell r="F24">
            <v>2048</v>
          </cell>
        </row>
        <row r="25">
          <cell r="F25">
            <v>2049</v>
          </cell>
        </row>
        <row r="26">
          <cell r="F26">
            <v>2050</v>
          </cell>
        </row>
        <row r="27">
          <cell r="F27">
            <v>2051</v>
          </cell>
        </row>
        <row r="28">
          <cell r="F28">
            <v>2052</v>
          </cell>
        </row>
        <row r="29">
          <cell r="F29">
            <v>2053</v>
          </cell>
        </row>
        <row r="30">
          <cell r="F30">
            <v>2054</v>
          </cell>
        </row>
        <row r="31">
          <cell r="F31">
            <v>2055</v>
          </cell>
        </row>
        <row r="32">
          <cell r="F32">
            <v>2056</v>
          </cell>
        </row>
        <row r="33">
          <cell r="F33" t="str">
            <v>*2057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16" headerRowBorderDxfId="115" tableBorderDxfId="114">
  <autoFilter ref="A2:D101" xr:uid="{C10D9EF0-FD23-48B8-93F2-AA9F47B7BA14}"/>
  <tableColumns count="4">
    <tableColumn id="1" xr3:uid="{DE8B3259-05C9-C14B-8834-0A26F5DD5C08}" name="Variable Name" dataDxfId="113"/>
    <tableColumn id="2" xr3:uid="{C88897C0-0B1B-D64F-B732-B0A2C2F73B6D}" name="Worksheet Name" dataDxfId="112"/>
    <tableColumn id="3" xr3:uid="{7EE51D35-8D7C-214B-8BFF-57D8D765E7CD}" name="Cell Reference" dataDxfId="111"/>
    <tableColumn id="4" xr3:uid="{D6B49E70-1CC5-C64B-8049-6EE43A46E18F}" name="Live Cell Value" dataDxfId="110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09" dataDxfId="108" totalsRowDxfId="107">
  <autoFilter ref="A1:S54" xr:uid="{00000000-0009-0000-0100-000001000000}"/>
  <tableColumns count="19">
    <tableColumn id="1" xr3:uid="{00000000-0010-0000-0000-000001000000}" name="Item Name" dataDxfId="49" totalsRowDxfId="18"/>
    <tableColumn id="13" xr3:uid="{69586349-5A6C-4C48-BCB1-5C8A5322D0D3}" name="ItemKey" dataDxfId="48" totalsRowDxfId="17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47" totalsRowDxfId="16"/>
    <tableColumn id="2" xr3:uid="{00000000-0010-0000-0000-000002000000}" name="Reference Year" dataDxfId="46" totalsRowDxfId="15"/>
    <tableColumn id="15" xr3:uid="{5E7EFE17-AC27-4775-8CCB-970D86383EBC}" name="Start Offset (Years)" dataDxfId="45" totalsRowDxfId="14"/>
    <tableColumn id="18" xr3:uid="{7C63A2AB-9AEB-4882-B8A2-7997A6D9B876}" name="Start Year" dataDxfId="37" totalsRowDxfId="13">
      <calculatedColumnFormula>ItemInputs[[#This Row],[Reference Year]]+ItemInputs[[#This Row],[Start Offset (Years)]]</calculatedColumnFormula>
    </tableColumn>
    <tableColumn id="3" xr3:uid="{00000000-0010-0000-0000-000003000000}" name="# of Years to End" dataDxfId="44" totalsRowDxfId="12"/>
    <tableColumn id="19" xr3:uid="{082E5365-5405-4FB6-80F0-AF1AC1BFFEDC}" name="End Year" dataDxfId="36" totalsRowDxfId="11"/>
    <tableColumn id="12" xr3:uid="{11331C1E-E934-4A8E-9BD9-32983E09B998}" name="InitialCostLow" totalsRowFunction="sum" dataDxfId="43" totalsRowDxfId="10"/>
    <tableColumn id="9" xr3:uid="{4312D196-F952-45D8-8741-437FA528B4CA}" name="InitialCostHigh" totalsRowFunction="sum" dataDxfId="42" totalsRowDxfId="9"/>
    <tableColumn id="4" xr3:uid="{00000000-0010-0000-0000-000004000000}" name="Low Cost per Use" totalsRowFunction="sum" dataDxfId="41" totalsRowDxfId="8"/>
    <tableColumn id="11" xr3:uid="{DD77257E-FAE9-4D41-827D-7595596F9F01}" name="High Cost per Use" totalsRowFunction="sum" dataDxfId="40" totalsRowDxfId="7"/>
    <tableColumn id="5" xr3:uid="{00000000-0010-0000-0000-000005000000}" name="Frequency" dataDxfId="39" totalsRowDxfId="6"/>
    <tableColumn id="7" xr3:uid="{0CBD786F-1716-4E4E-861E-B4051F17796E}" name="Interval (Years)" dataDxfId="38" totalsRowDxfId="5"/>
    <tableColumn id="10" xr3:uid="{25282397-8296-490A-B301-5F98E9B69B45}" name="Sort Order" dataDxfId="23" totalsRowDxfId="4"/>
    <tableColumn id="6" xr3:uid="{00000000-0010-0000-0000-000006000000}" name="Growth" dataDxfId="22" totalsRowDxfId="3" dataCellStyle="Percent">
      <calculatedColumnFormula>IFERROR(INDEX(HelperCells!F2:F21,MATCH(R2,HelperCells!E2:E21,0)),0)</calculatedColumnFormula>
    </tableColumn>
    <tableColumn id="8" xr3:uid="{DEF69107-78BD-43AA-948E-950FA8C9B6D6}" name="CostType" dataDxfId="21" totalsRowDxfId="2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20" totalsRowDxfId="1"/>
    <tableColumn id="21" xr3:uid="{2D2420E9-ED67-47C0-A8FC-3EA2F39B94BB}" name="Notes" dataDxfId="19" totalsRowDxfId="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106" dataDxfId="105">
  <autoFilter ref="A1:B3" xr:uid="{7914EDB0-A692-4509-9B14-CBA25587C27C}"/>
  <tableColumns count="2">
    <tableColumn id="1" xr3:uid="{7B5CB263-8595-47BB-9B83-A136D870840A}" name="Setting" dataDxfId="104"/>
    <tableColumn id="2" xr3:uid="{252EFA06-D044-48FF-AD5F-AD7217789FA2}" name="Value" dataDxfId="10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102" dataDxfId="101">
  <autoFilter ref="A5:B13" xr:uid="{A50B493A-AB6F-4FE2-A4D8-4ED87E71424C}"/>
  <tableColumns count="2">
    <tableColumn id="1" xr3:uid="{454320BB-D2B2-4D0A-B712-14824B86607B}" name="Option Name" dataDxfId="100"/>
    <tableColumn id="2" xr3:uid="{E25BE358-872F-4B95-8C86-8802A909B822}" name="Value" dataDxfId="9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98" dataDxfId="97">
  <autoFilter ref="G1:H2" xr:uid="{89F53BAA-F43D-4D75-8A4E-57A0DEB36107}"/>
  <tableColumns count="2">
    <tableColumn id="1" xr3:uid="{E9BC6FF2-8327-4755-81CC-187A8A29442E}" name="Year" dataDxfId="96"/>
    <tableColumn id="2" xr3:uid="{F1B0F7A0-9E8A-4722-B481-F03CDF78FF2D}" name="Discount Rate (Nominal)" dataDxfId="9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33" tableType="queryTable" totalsRowCount="1">
  <autoFilter ref="A1:AU32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94"/>
    <tableColumn id="2" xr3:uid="{BEE39F59-A19A-4844-AB3B-F69CCBBE3CB8}" name="TotalCostLow" dataDxfId="93"/>
    <tableColumn id="3" xr3:uid="{D3EAF15D-8A8A-454E-98CD-7D8BB727F07A}" name="TotalCostMid" dataDxfId="92"/>
    <tableColumn id="4" xr3:uid="{68B5591D-987C-42D5-AEBB-07D0120DED7D}" name="TotalCostHigh" dataDxfId="91"/>
    <tableColumn id="5" xr3:uid="{56DC093C-17AE-4859-BF59-5E7B3DE611DC}" name="AdjustedRate"/>
    <tableColumn id="6" xr3:uid="{A00483D8-9CC1-4FB1-ADEF-E9FB090DEB45}" name="AdjRate" dataDxfId="90"/>
    <tableColumn id="7" xr3:uid="{2CEB2B29-6B74-4E8E-B933-B2F833E5C50E}" name="PV_Low" dataDxfId="89"/>
    <tableColumn id="8" xr3:uid="{90A022E3-0BF8-4BEC-A762-CEC2DD854641}" name="PV_Mid" dataDxfId="88"/>
    <tableColumn id="9" xr3:uid="{9B568AFC-0A6F-4559-9198-C71A6C0BCEBC}" name="PV_High" dataDxfId="87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32" tableType="queryTable" totalsRowShown="0" headerRowDxfId="86">
  <autoFilter ref="A1:D32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85" dataDxfId="84">
  <autoFilter ref="A1:C37" xr:uid="{4E875877-9580-437F-888D-2345B7BB85DD}"/>
  <tableColumns count="3">
    <tableColumn id="1" xr3:uid="{DB055912-AF2D-4BCD-AEE5-BE6F46DA8D7C}" name="Year" dataDxfId="83"/>
    <tableColumn id="2" xr3:uid="{E592388B-A21E-4BE9-ACC6-A7E7F25B1CEE}" name="Discount Rate (Nominal)" dataDxfId="82"/>
    <tableColumn id="3" xr3:uid="{01343765-9C51-433B-8C62-967D1D5154EB}" name="%Rate" dataDxfId="8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4" tableType="queryTable" totalsRowShown="0" headerRowDxfId="80" dataDxfId="79">
  <autoFilter ref="A1:G4" xr:uid="{04B72DAB-FFA8-4BF2-811F-CB4D286E2022}"/>
  <tableColumns count="7">
    <tableColumn id="1" xr3:uid="{C0195139-DAFB-4B19-891E-9841DB46068F}" uniqueName="1" name="RowType" queryTableFieldId="1" dataDxfId="63"/>
    <tableColumn id="2" xr3:uid="{71DB2FC5-0689-4F86-A6B5-54437D3B175E}" uniqueName="2" name="CatSort" queryTableFieldId="2" dataDxfId="62"/>
    <tableColumn id="3" xr3:uid="{F6C6AF8E-B196-4FFD-867C-A2806D72705B}" uniqueName="3" name="HeaderRank" queryTableFieldId="3" dataDxfId="61"/>
    <tableColumn id="4" xr3:uid="{25637E68-D570-475A-8D61-6FA40C7EE9C7}" uniqueName="4" name="ITEM/SERVICE" queryTableFieldId="4" dataDxfId="60" dataCellStyle="Currency"/>
    <tableColumn id="5" xr3:uid="{CD1DA0BA-7388-4850-809D-90ACEBF3DFDE}" uniqueName="5" name="LOWER" queryTableFieldId="5" dataDxfId="59" dataCellStyle="Currency"/>
    <tableColumn id="6" xr3:uid="{6B7869F7-699B-4C3E-AC03-338ECB282AEE}" uniqueName="6" name="MIDPOINT" queryTableFieldId="6" dataDxfId="58" dataCellStyle="Currency"/>
    <tableColumn id="7" xr3:uid="{4354290A-5001-49BF-98A8-AF11E800D126}" uniqueName="7" name="UPPER" queryTableFieldId="7" dataDxfId="57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4" tableType="queryTable" headerRowDxfId="78" dataDxfId="77" totalsRowDxfId="76">
  <autoFilter ref="A1:G4" xr:uid="{6E7C1877-99EE-49EC-9E2B-5081AD3741C3}"/>
  <tableColumns count="7">
    <tableColumn id="5" xr3:uid="{4B646FE9-BCFB-4A51-82F5-7E0DB7AE7849}" uniqueName="5" name="RowType" queryTableFieldId="28" dataDxfId="56" dataCellStyle="Currency"/>
    <tableColumn id="6" xr3:uid="{21F03B1B-B6AB-4F34-B622-776640B2EEC8}" uniqueName="6" name="CatSort" queryTableFieldId="29" dataDxfId="55" dataCellStyle="Currency"/>
    <tableColumn id="7" xr3:uid="{A7FBFC2B-1830-40DB-8412-8D8ABED10172}" uniqueName="7" name="HeaderRank" queryTableFieldId="30" dataDxfId="54" dataCellStyle="Currency"/>
    <tableColumn id="1" xr3:uid="{F9F46062-182D-4AAA-8861-CEEAA03ADDBA}" uniqueName="1" name="ITEM/SERVICE" queryTableFieldId="24" dataDxfId="53" totalsRowDxfId="75"/>
    <tableColumn id="2" xr3:uid="{EE2E4551-8EB5-44CB-AE92-07AF8F679061}" uniqueName="2" name="LOWER" queryTableFieldId="25" dataDxfId="52" totalsRowDxfId="74" dataCellStyle="Currency"/>
    <tableColumn id="3" xr3:uid="{C3486620-2326-4D6A-BDD3-D3CEC5351208}" uniqueName="3" name="MIDPOINT" queryTableFieldId="26" dataDxfId="51" totalsRowDxfId="73" dataCellStyle="Currency"/>
    <tableColumn id="4" xr3:uid="{B6F4AE6F-7A5E-43F8-AF9A-0693CF4C0F30}" uniqueName="4" name="UPPER" totalsRowFunction="sum" queryTableFieldId="27" dataDxfId="50" totalsRowDxfId="72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71"/>
    <tableColumn id="3" xr3:uid="{AAD78A2C-03A7-46C3-8DFF-8198EECE1E75}" uniqueName="3" name="ItemKey (Low)" queryTableFieldId="4598" dataDxfId="70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69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68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67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QueryTable" displayName="Bloomberg_DiscRates_QueryTable" ref="A2:C32" tableType="queryTable" totalsRowShown="0" headerRowDxfId="118" dataDxfId="117">
  <autoFilter ref="A2:C32" xr:uid="{A3AB1506-1C62-4D21-9E0F-ABFD20A6F8C6}"/>
  <tableColumns count="3">
    <tableColumn id="1" xr3:uid="{017DBA49-A675-4A2C-9D3A-5D218FE48C0E}" uniqueName="1" name="Year" queryTableFieldId="1" dataDxfId="66"/>
    <tableColumn id="2" xr3:uid="{476B3F8B-5148-484F-94EA-C17412D817D4}" uniqueName="2" name="Time To Marity" queryTableFieldId="2" dataDxfId="65"/>
    <tableColumn id="4" xr3:uid="{2E9DC6B9-284C-4F1D-89BF-F5F446B57AC0}" uniqueName="4" name="Discount Rate (Nominal)" queryTableFieldId="4" dataDxfId="6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4" dT="2026-05-22T20:40:42.69" personId="{116FE519-BDB5-7647-ACEE-562D7F56BD69}" id="{2BB2FAFC-7985-4023-8E11-A7992CE9402D}">
    <text>This is kind of an average of shorter durations (e.g., 5, 10, 15 would use 10 year duration); typically defaults to intervals of 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J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J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L1" dT="2026-05-22T20:12:14.54" personId="{116FE519-BDB5-7647-ACEE-562D7F56BD69}" id="{775995B7-423C-46CC-A85D-3DCC137428C0}">
    <text>Next year’s DR</text>
  </threadedComment>
  <threadedComment ref="AM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workbookViewId="0">
      <selection activeCell="E5" sqref="E5"/>
    </sheetView>
    <sheetView workbookViewId="1">
      <selection sqref="A1:D1"/>
    </sheetView>
  </sheetViews>
  <sheetFormatPr defaultColWidth="8.85546875" defaultRowHeight="15" x14ac:dyDescent="0.25"/>
  <cols>
    <col min="1" max="1" width="34.85546875" bestFit="1" customWidth="1"/>
    <col min="2" max="2" width="31.42578125" bestFit="1" customWidth="1"/>
    <col min="3" max="3" width="17.28515625" customWidth="1"/>
    <col min="4" max="4" width="38.140625" customWidth="1"/>
    <col min="6" max="6" width="38.140625" bestFit="1" customWidth="1"/>
    <col min="7" max="7" width="30.140625" customWidth="1"/>
    <col min="9" max="9" width="42.42578125" customWidth="1"/>
    <col min="10" max="10" width="27" customWidth="1"/>
  </cols>
  <sheetData>
    <row r="1" spans="1:10" ht="21" x14ac:dyDescent="0.25">
      <c r="A1" s="149" t="s">
        <v>267</v>
      </c>
      <c r="B1" s="150"/>
      <c r="C1" s="150"/>
      <c r="D1" s="151"/>
      <c r="E1" s="54"/>
      <c r="F1" s="152" t="str" cm="1">
        <f t="array" aca="1" ref="F1" ca="1">_xlfn.TEXTAFTER(_xlfn.TEXTBEFORE(CELL("filename",A1),"]"),"[") &amp; " TABLES"</f>
        <v>WorkingCalc_Current.xlsm TABLES</v>
      </c>
      <c r="G1" s="153"/>
      <c r="H1" s="54"/>
      <c r="I1" s="154" t="str" cm="1">
        <f t="array" aca="1" ref="I1" ca="1">_xlfn.TEXTAFTER(_xlfn.TEXTBEFORE(CELL("filename",D1),"]"),"[") &amp; " CHARTS"</f>
        <v>WorkingCalc_Current.xlsm CHARTS</v>
      </c>
      <c r="J1" s="155"/>
    </row>
    <row r="2" spans="1:10" ht="15.75" x14ac:dyDescent="0.25">
      <c r="A2" s="55" t="s">
        <v>268</v>
      </c>
      <c r="B2" s="56" t="s">
        <v>269</v>
      </c>
      <c r="C2" s="56" t="s">
        <v>270</v>
      </c>
      <c r="D2" s="57" t="s">
        <v>271</v>
      </c>
      <c r="F2" s="58" t="s">
        <v>269</v>
      </c>
      <c r="G2" s="59" t="s">
        <v>272</v>
      </c>
      <c r="I2" s="60" t="s">
        <v>269</v>
      </c>
      <c r="J2" s="61" t="s">
        <v>273</v>
      </c>
    </row>
    <row r="3" spans="1:10" x14ac:dyDescent="0.25">
      <c r="A3" s="62" t="s">
        <v>274</v>
      </c>
      <c r="B3" s="63" t="s">
        <v>275</v>
      </c>
      <c r="C3" s="63" t="s">
        <v>276</v>
      </c>
      <c r="D3" s="64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5" t="s">
        <v>277</v>
      </c>
      <c r="G3" s="66" t="s">
        <v>277</v>
      </c>
      <c r="I3" s="67" t="s">
        <v>278</v>
      </c>
      <c r="J3" s="68" t="s">
        <v>279</v>
      </c>
    </row>
    <row r="4" spans="1:10" x14ac:dyDescent="0.25">
      <c r="A4" s="69" t="s">
        <v>280</v>
      </c>
      <c r="B4" s="70" t="s">
        <v>275</v>
      </c>
      <c r="C4" s="70" t="s">
        <v>281</v>
      </c>
      <c r="D4" s="64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1"/>
      <c r="G4" s="72"/>
      <c r="I4" s="73"/>
      <c r="J4" s="74"/>
    </row>
    <row r="5" spans="1:10" x14ac:dyDescent="0.25">
      <c r="A5" s="69" t="s">
        <v>282</v>
      </c>
      <c r="B5" s="70" t="s">
        <v>275</v>
      </c>
      <c r="C5" s="70" t="s">
        <v>283</v>
      </c>
      <c r="D5" s="64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5"/>
      <c r="G5" s="76"/>
      <c r="I5" s="77"/>
      <c r="J5" s="78"/>
    </row>
    <row r="6" spans="1:10" x14ac:dyDescent="0.25">
      <c r="A6" s="69" t="s">
        <v>284</v>
      </c>
      <c r="B6" s="70" t="s">
        <v>275</v>
      </c>
      <c r="C6" s="70" t="s">
        <v>285</v>
      </c>
      <c r="D6" s="64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1"/>
      <c r="G6" s="72"/>
      <c r="I6" s="73"/>
      <c r="J6" s="74"/>
    </row>
    <row r="7" spans="1:10" x14ac:dyDescent="0.25">
      <c r="A7" s="104" t="s">
        <v>286</v>
      </c>
      <c r="B7" s="70" t="s">
        <v>287</v>
      </c>
      <c r="C7" s="70" t="s">
        <v>372</v>
      </c>
      <c r="D7" s="80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1.5468972511925472E-2</v>
      </c>
      <c r="F7" s="75"/>
      <c r="G7" s="76"/>
      <c r="I7" s="77"/>
      <c r="J7" s="78"/>
    </row>
    <row r="8" spans="1:10" x14ac:dyDescent="0.25">
      <c r="A8" s="100" t="s">
        <v>288</v>
      </c>
      <c r="B8" s="70" t="s">
        <v>287</v>
      </c>
      <c r="C8" s="70" t="s">
        <v>373</v>
      </c>
      <c r="D8" s="80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2.3977134838169212E-2</v>
      </c>
      <c r="F8" s="71"/>
      <c r="G8" s="72"/>
      <c r="I8" s="73"/>
      <c r="J8" s="74"/>
    </row>
    <row r="9" spans="1:10" x14ac:dyDescent="0.25">
      <c r="A9" s="104" t="s">
        <v>289</v>
      </c>
      <c r="B9" s="70" t="s">
        <v>287</v>
      </c>
      <c r="C9" s="70" t="s">
        <v>374</v>
      </c>
      <c r="D9" s="97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1.6240253759025602E-2</v>
      </c>
      <c r="F9" s="75"/>
      <c r="G9" s="76"/>
      <c r="I9" s="77"/>
      <c r="J9" s="78"/>
    </row>
    <row r="10" spans="1:10" x14ac:dyDescent="0.25">
      <c r="A10" s="101" t="s">
        <v>290</v>
      </c>
      <c r="B10" s="98" t="s">
        <v>287</v>
      </c>
      <c r="C10" s="99" t="s">
        <v>375</v>
      </c>
      <c r="D10" s="97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2.0736944174645666E-2</v>
      </c>
      <c r="F10" s="71"/>
      <c r="G10" s="72"/>
      <c r="I10" s="73"/>
      <c r="J10" s="74"/>
    </row>
    <row r="11" spans="1:10" x14ac:dyDescent="0.25">
      <c r="A11" s="105" t="s">
        <v>291</v>
      </c>
      <c r="B11" s="98" t="s">
        <v>287</v>
      </c>
      <c r="C11" s="99" t="s">
        <v>376</v>
      </c>
      <c r="D11" s="97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2.9013238210415127E-2</v>
      </c>
      <c r="F11" s="75"/>
      <c r="G11" s="76"/>
      <c r="I11" s="77"/>
      <c r="J11" s="78"/>
    </row>
    <row r="12" spans="1:10" x14ac:dyDescent="0.25">
      <c r="A12" s="101" t="s">
        <v>292</v>
      </c>
      <c r="B12" s="98" t="s">
        <v>287</v>
      </c>
      <c r="C12" s="99" t="s">
        <v>377</v>
      </c>
      <c r="D12" s="97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3.5117348400309334E-2</v>
      </c>
      <c r="F12" s="71"/>
      <c r="G12" s="72"/>
      <c r="I12" s="73"/>
      <c r="J12" s="74"/>
    </row>
    <row r="13" spans="1:10" x14ac:dyDescent="0.25">
      <c r="A13" s="105" t="s">
        <v>293</v>
      </c>
      <c r="B13" s="98" t="s">
        <v>287</v>
      </c>
      <c r="C13" s="99" t="s">
        <v>378</v>
      </c>
      <c r="D13" s="97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1.7032105327638547E-2</v>
      </c>
      <c r="F13" s="75"/>
      <c r="G13" s="76"/>
      <c r="I13" s="77"/>
      <c r="J13" s="78"/>
    </row>
    <row r="14" spans="1:10" x14ac:dyDescent="0.25">
      <c r="A14" s="102" t="s">
        <v>294</v>
      </c>
      <c r="B14" s="98" t="s">
        <v>287</v>
      </c>
      <c r="C14" s="99" t="s">
        <v>379</v>
      </c>
      <c r="D14" s="97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2.9548225004298212E-2</v>
      </c>
      <c r="F14" s="71"/>
      <c r="G14" s="72"/>
      <c r="I14" s="73"/>
      <c r="J14" s="74"/>
    </row>
    <row r="15" spans="1:10" x14ac:dyDescent="0.25">
      <c r="A15" s="105" t="s">
        <v>295</v>
      </c>
      <c r="B15" s="98" t="s">
        <v>287</v>
      </c>
      <c r="C15" s="99" t="s">
        <v>380</v>
      </c>
      <c r="D15" s="97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1.3165871668195939E-2</v>
      </c>
      <c r="F15" s="75"/>
      <c r="G15" s="76"/>
      <c r="I15" s="77"/>
      <c r="J15" s="78"/>
    </row>
    <row r="16" spans="1:10" x14ac:dyDescent="0.25">
      <c r="A16" s="102" t="s">
        <v>296</v>
      </c>
      <c r="B16" s="98" t="s">
        <v>287</v>
      </c>
      <c r="C16" s="99" t="s">
        <v>381</v>
      </c>
      <c r="D16" s="97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5.9472711615842222E-3</v>
      </c>
      <c r="F16" s="71"/>
      <c r="G16" s="72"/>
      <c r="I16" s="73"/>
      <c r="J16" s="74"/>
    </row>
    <row r="17" spans="1:10" x14ac:dyDescent="0.25">
      <c r="A17" s="105" t="s">
        <v>297</v>
      </c>
      <c r="B17" s="98" t="s">
        <v>287</v>
      </c>
      <c r="C17" s="99" t="s">
        <v>382</v>
      </c>
      <c r="D17" s="97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3.1986541506141108E-2</v>
      </c>
      <c r="F17" s="75"/>
      <c r="G17" s="76"/>
      <c r="I17" s="77"/>
      <c r="J17" s="78"/>
    </row>
    <row r="18" spans="1:10" x14ac:dyDescent="0.25">
      <c r="A18" s="102" t="s">
        <v>298</v>
      </c>
      <c r="B18" s="98" t="s">
        <v>287</v>
      </c>
      <c r="C18" s="99" t="s">
        <v>383</v>
      </c>
      <c r="D18" s="97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2.5219757035239265E-2</v>
      </c>
      <c r="F18" s="71"/>
      <c r="G18" s="72"/>
      <c r="I18" s="73"/>
      <c r="J18" s="74"/>
    </row>
    <row r="19" spans="1:10" x14ac:dyDescent="0.25">
      <c r="A19" s="105" t="s">
        <v>299</v>
      </c>
      <c r="B19" s="98" t="s">
        <v>287</v>
      </c>
      <c r="C19" s="99" t="s">
        <v>384</v>
      </c>
      <c r="D19" s="97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4.243395960896823E-2</v>
      </c>
      <c r="F19" s="75"/>
      <c r="G19" s="76"/>
      <c r="I19" s="77"/>
      <c r="J19" s="78"/>
    </row>
    <row r="20" spans="1:10" x14ac:dyDescent="0.25">
      <c r="A20" s="102" t="s">
        <v>300</v>
      </c>
      <c r="B20" s="98" t="s">
        <v>287</v>
      </c>
      <c r="C20" s="99" t="s">
        <v>385</v>
      </c>
      <c r="D20" s="97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5.1105510345681227E-2</v>
      </c>
      <c r="F20" s="71"/>
      <c r="G20" s="72"/>
      <c r="I20" s="73"/>
      <c r="J20" s="74"/>
    </row>
    <row r="21" spans="1:10" x14ac:dyDescent="0.25">
      <c r="A21" s="105" t="s">
        <v>301</v>
      </c>
      <c r="B21" s="98" t="s">
        <v>287</v>
      </c>
      <c r="C21" s="99" t="s">
        <v>386</v>
      </c>
      <c r="D21" s="97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3.3582223276373169E-2</v>
      </c>
      <c r="F21" s="75"/>
      <c r="G21" s="76"/>
      <c r="I21" s="77"/>
      <c r="J21" s="78"/>
    </row>
    <row r="22" spans="1:10" x14ac:dyDescent="0.25">
      <c r="A22" s="102" t="s">
        <v>302</v>
      </c>
      <c r="B22" s="98" t="s">
        <v>287</v>
      </c>
      <c r="C22" s="99" t="s">
        <v>387</v>
      </c>
      <c r="D22" s="97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5.0180825244312333E-2</v>
      </c>
      <c r="F22" s="71"/>
      <c r="G22" s="72"/>
      <c r="I22" s="73"/>
      <c r="J22" s="74"/>
    </row>
    <row r="23" spans="1:10" x14ac:dyDescent="0.25">
      <c r="A23" s="105" t="s">
        <v>303</v>
      </c>
      <c r="B23" s="98" t="s">
        <v>287</v>
      </c>
      <c r="C23" s="99" t="s">
        <v>388</v>
      </c>
      <c r="D23" s="97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4.0322082991401498E-2</v>
      </c>
      <c r="F23" s="75"/>
      <c r="G23" s="76"/>
      <c r="I23" s="77"/>
      <c r="J23" s="78"/>
    </row>
    <row r="24" spans="1:10" x14ac:dyDescent="0.25">
      <c r="A24" s="103" t="s">
        <v>304</v>
      </c>
      <c r="B24" s="63" t="s">
        <v>287</v>
      </c>
      <c r="C24" s="63" t="s">
        <v>389</v>
      </c>
      <c r="D24" s="80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>5.2900906226266198E-2</v>
      </c>
      <c r="F24" s="71"/>
      <c r="G24" s="72"/>
      <c r="I24" s="73"/>
      <c r="J24" s="74"/>
    </row>
    <row r="25" spans="1:10" x14ac:dyDescent="0.25">
      <c r="A25" s="104" t="s">
        <v>305</v>
      </c>
      <c r="B25" s="70" t="s">
        <v>287</v>
      </c>
      <c r="C25" s="70" t="s">
        <v>390</v>
      </c>
      <c r="D25" s="80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1.2077933361885673E-2</v>
      </c>
      <c r="F25" s="75"/>
      <c r="G25" s="76"/>
      <c r="I25" s="77"/>
      <c r="J25" s="78"/>
    </row>
    <row r="26" spans="1:10" x14ac:dyDescent="0.25">
      <c r="A26" s="100" t="s">
        <v>306</v>
      </c>
      <c r="B26" s="70" t="s">
        <v>287</v>
      </c>
      <c r="C26" s="70" t="s">
        <v>391</v>
      </c>
      <c r="D26" s="80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6.8640376499573552E-3</v>
      </c>
      <c r="F26" s="71"/>
      <c r="G26" s="72"/>
      <c r="I26" s="73"/>
      <c r="J26" s="74"/>
    </row>
    <row r="27" spans="1:10" x14ac:dyDescent="0.25">
      <c r="A27" s="69" t="s">
        <v>307</v>
      </c>
      <c r="B27" s="70" t="s">
        <v>278</v>
      </c>
      <c r="C27" s="70" t="s">
        <v>308</v>
      </c>
      <c r="D27" s="81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5"/>
      <c r="G27" s="76"/>
      <c r="I27" s="77"/>
      <c r="J27" s="78"/>
    </row>
    <row r="28" spans="1:10" x14ac:dyDescent="0.25">
      <c r="A28" s="69" t="s">
        <v>309</v>
      </c>
      <c r="B28" s="70" t="s">
        <v>278</v>
      </c>
      <c r="C28" s="70" t="s">
        <v>310</v>
      </c>
      <c r="D28" s="81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1"/>
      <c r="G28" s="72"/>
      <c r="I28" s="73"/>
      <c r="J28" s="74"/>
    </row>
    <row r="29" spans="1:10" x14ac:dyDescent="0.25">
      <c r="A29" s="69" t="s">
        <v>311</v>
      </c>
      <c r="B29" s="70" t="s">
        <v>278</v>
      </c>
      <c r="C29" s="70" t="s">
        <v>312</v>
      </c>
      <c r="D29" s="81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5"/>
      <c r="G29" s="76"/>
      <c r="I29" s="77"/>
      <c r="J29" s="78"/>
    </row>
    <row r="30" spans="1:10" x14ac:dyDescent="0.25">
      <c r="A30" s="69" t="s">
        <v>313</v>
      </c>
      <c r="B30" s="70" t="s">
        <v>278</v>
      </c>
      <c r="C30" s="70" t="s">
        <v>314</v>
      </c>
      <c r="D30" s="81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1"/>
      <c r="G30" s="72"/>
      <c r="I30" s="73"/>
      <c r="J30" s="74"/>
    </row>
    <row r="31" spans="1:10" x14ac:dyDescent="0.25">
      <c r="A31" s="69" t="str">
        <f>"WC_disc_rate_y"&amp;(ROW()-16)</f>
        <v>WC_disc_rate_y15</v>
      </c>
      <c r="B31" s="70" t="s">
        <v>278</v>
      </c>
      <c r="C31" s="70" t="s">
        <v>315</v>
      </c>
      <c r="D31" s="81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5"/>
      <c r="G31" s="76"/>
      <c r="I31" s="77"/>
      <c r="J31" s="78"/>
    </row>
    <row r="32" spans="1:10" x14ac:dyDescent="0.25">
      <c r="A32" s="69" t="str">
        <f t="shared" ref="A32:A56" si="0">"WC_disc_rate_y"&amp;(ROW()-16)</f>
        <v>WC_disc_rate_y16</v>
      </c>
      <c r="B32" s="70" t="s">
        <v>278</v>
      </c>
      <c r="C32" s="70" t="s">
        <v>316</v>
      </c>
      <c r="D32" s="81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1"/>
      <c r="G32" s="72"/>
      <c r="I32" s="73"/>
      <c r="J32" s="74"/>
    </row>
    <row r="33" spans="1:10" x14ac:dyDescent="0.25">
      <c r="A33" s="69" t="str">
        <f t="shared" si="0"/>
        <v>WC_disc_rate_y17</v>
      </c>
      <c r="B33" s="70" t="s">
        <v>278</v>
      </c>
      <c r="C33" s="70" t="s">
        <v>317</v>
      </c>
      <c r="D33" s="81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5"/>
      <c r="G33" s="76"/>
      <c r="I33" s="77"/>
      <c r="J33" s="78"/>
    </row>
    <row r="34" spans="1:10" x14ac:dyDescent="0.25">
      <c r="A34" s="69" t="str">
        <f t="shared" si="0"/>
        <v>WC_disc_rate_y18</v>
      </c>
      <c r="B34" s="70" t="s">
        <v>278</v>
      </c>
      <c r="C34" s="70" t="s">
        <v>318</v>
      </c>
      <c r="D34" s="81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1"/>
      <c r="G34" s="72"/>
      <c r="I34" s="73"/>
      <c r="J34" s="74"/>
    </row>
    <row r="35" spans="1:10" x14ac:dyDescent="0.25">
      <c r="A35" s="69" t="str">
        <f t="shared" si="0"/>
        <v>WC_disc_rate_y19</v>
      </c>
      <c r="B35" s="70" t="s">
        <v>278</v>
      </c>
      <c r="C35" s="70" t="s">
        <v>319</v>
      </c>
      <c r="D35" s="81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5"/>
      <c r="G35" s="76"/>
      <c r="I35" s="77"/>
      <c r="J35" s="78"/>
    </row>
    <row r="36" spans="1:10" x14ac:dyDescent="0.25">
      <c r="A36" s="69" t="str">
        <f t="shared" si="0"/>
        <v>WC_disc_rate_y20</v>
      </c>
      <c r="B36" s="70" t="s">
        <v>278</v>
      </c>
      <c r="C36" s="70" t="s">
        <v>320</v>
      </c>
      <c r="D36" s="81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1"/>
      <c r="G36" s="72"/>
      <c r="I36" s="73"/>
      <c r="J36" s="74"/>
    </row>
    <row r="37" spans="1:10" x14ac:dyDescent="0.25">
      <c r="A37" s="69" t="str">
        <f t="shared" si="0"/>
        <v>WC_disc_rate_y21</v>
      </c>
      <c r="B37" s="70" t="s">
        <v>278</v>
      </c>
      <c r="C37" s="70" t="s">
        <v>321</v>
      </c>
      <c r="D37" s="81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5"/>
      <c r="G37" s="76"/>
      <c r="I37" s="77"/>
      <c r="J37" s="78"/>
    </row>
    <row r="38" spans="1:10" x14ac:dyDescent="0.25">
      <c r="A38" s="69" t="str">
        <f t="shared" si="0"/>
        <v>WC_disc_rate_y22</v>
      </c>
      <c r="B38" s="70" t="s">
        <v>278</v>
      </c>
      <c r="C38" s="70" t="s">
        <v>322</v>
      </c>
      <c r="D38" s="81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1"/>
      <c r="G38" s="72"/>
      <c r="I38" s="73"/>
      <c r="J38" s="74"/>
    </row>
    <row r="39" spans="1:10" x14ac:dyDescent="0.25">
      <c r="A39" s="69" t="str">
        <f t="shared" si="0"/>
        <v>WC_disc_rate_y23</v>
      </c>
      <c r="B39" s="70" t="s">
        <v>278</v>
      </c>
      <c r="C39" s="70" t="s">
        <v>323</v>
      </c>
      <c r="D39" s="81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5"/>
      <c r="G39" s="76"/>
      <c r="I39" s="77"/>
      <c r="J39" s="78"/>
    </row>
    <row r="40" spans="1:10" ht="15.75" thickBot="1" x14ac:dyDescent="0.3">
      <c r="A40" s="69" t="str">
        <f t="shared" si="0"/>
        <v>WC_disc_rate_y24</v>
      </c>
      <c r="B40" s="70" t="s">
        <v>278</v>
      </c>
      <c r="C40" s="70" t="s">
        <v>324</v>
      </c>
      <c r="D40" s="81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2"/>
      <c r="G40" s="83"/>
      <c r="I40" s="84"/>
      <c r="J40" s="85"/>
    </row>
    <row r="41" spans="1:10" x14ac:dyDescent="0.25">
      <c r="A41" s="69" t="str">
        <f t="shared" si="0"/>
        <v>WC_disc_rate_y25</v>
      </c>
      <c r="B41" s="70" t="s">
        <v>278</v>
      </c>
      <c r="C41" s="70" t="s">
        <v>325</v>
      </c>
      <c r="D41" s="81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 x14ac:dyDescent="0.25">
      <c r="A42" s="69" t="str">
        <f t="shared" si="0"/>
        <v>WC_disc_rate_y26</v>
      </c>
      <c r="B42" s="70" t="s">
        <v>278</v>
      </c>
      <c r="C42" s="70" t="s">
        <v>326</v>
      </c>
      <c r="D42" s="81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 x14ac:dyDescent="0.25">
      <c r="A43" s="69" t="str">
        <f t="shared" si="0"/>
        <v>WC_disc_rate_y27</v>
      </c>
      <c r="B43" s="70" t="s">
        <v>278</v>
      </c>
      <c r="C43" s="70" t="s">
        <v>327</v>
      </c>
      <c r="D43" s="81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 x14ac:dyDescent="0.25">
      <c r="A44" s="69" t="str">
        <f t="shared" si="0"/>
        <v>WC_disc_rate_y28</v>
      </c>
      <c r="B44" s="70" t="s">
        <v>278</v>
      </c>
      <c r="C44" s="70" t="s">
        <v>328</v>
      </c>
      <c r="D44" s="81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329</v>
      </c>
    </row>
    <row r="45" spans="1:10" x14ac:dyDescent="0.25">
      <c r="A45" s="69" t="str">
        <f t="shared" si="0"/>
        <v>WC_disc_rate_y29</v>
      </c>
      <c r="B45" s="70" t="s">
        <v>278</v>
      </c>
      <c r="C45" s="70" t="s">
        <v>330</v>
      </c>
      <c r="D45" s="81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 x14ac:dyDescent="0.25">
      <c r="A46" s="69" t="str">
        <f t="shared" si="0"/>
        <v>WC_disc_rate_y30</v>
      </c>
      <c r="B46" s="70" t="s">
        <v>278</v>
      </c>
      <c r="C46" s="70" t="s">
        <v>331</v>
      </c>
      <c r="D46" s="81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 x14ac:dyDescent="0.25">
      <c r="A47" s="69" t="str">
        <f t="shared" si="0"/>
        <v>WC_disc_rate_y31</v>
      </c>
      <c r="B47" s="70" t="s">
        <v>278</v>
      </c>
      <c r="C47" s="70" t="s">
        <v>332</v>
      </c>
      <c r="D47" s="81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 x14ac:dyDescent="0.25">
      <c r="A48" s="69" t="str">
        <f t="shared" si="0"/>
        <v>WC_disc_rate_y32</v>
      </c>
      <c r="B48" s="70" t="s">
        <v>278</v>
      </c>
      <c r="C48" s="70" t="s">
        <v>333</v>
      </c>
      <c r="D48" s="81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 x14ac:dyDescent="0.25">
      <c r="A49" s="69" t="str">
        <f t="shared" si="0"/>
        <v>WC_disc_rate_y33</v>
      </c>
      <c r="B49" s="70" t="s">
        <v>278</v>
      </c>
      <c r="C49" s="70" t="s">
        <v>334</v>
      </c>
      <c r="D49" s="81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 x14ac:dyDescent="0.25">
      <c r="A50" s="69" t="str">
        <f t="shared" si="0"/>
        <v>WC_disc_rate_y34</v>
      </c>
      <c r="B50" s="70" t="s">
        <v>278</v>
      </c>
      <c r="C50" s="70" t="s">
        <v>335</v>
      </c>
      <c r="D50" s="81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 x14ac:dyDescent="0.25">
      <c r="A51" s="69" t="str">
        <f t="shared" si="0"/>
        <v>WC_disc_rate_y35</v>
      </c>
      <c r="B51" s="70" t="s">
        <v>278</v>
      </c>
      <c r="C51" s="70" t="s">
        <v>336</v>
      </c>
      <c r="D51" s="81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 x14ac:dyDescent="0.25">
      <c r="A52" s="69" t="str">
        <f t="shared" si="0"/>
        <v>WC_disc_rate_y36</v>
      </c>
      <c r="B52" s="70" t="s">
        <v>278</v>
      </c>
      <c r="C52" s="70" t="s">
        <v>337</v>
      </c>
      <c r="D52" s="81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 x14ac:dyDescent="0.25">
      <c r="A53" s="69" t="str">
        <f t="shared" si="0"/>
        <v>WC_disc_rate_y37</v>
      </c>
      <c r="B53" s="70" t="s">
        <v>278</v>
      </c>
      <c r="C53" s="70" t="s">
        <v>338</v>
      </c>
      <c r="D53" s="81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 x14ac:dyDescent="0.25">
      <c r="A54" s="69" t="str">
        <f t="shared" si="0"/>
        <v>WC_disc_rate_y38</v>
      </c>
      <c r="B54" s="70" t="s">
        <v>278</v>
      </c>
      <c r="C54" s="70" t="s">
        <v>339</v>
      </c>
      <c r="D54" s="81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 x14ac:dyDescent="0.25">
      <c r="A55" s="69" t="str">
        <f t="shared" si="0"/>
        <v>WC_disc_rate_y39</v>
      </c>
      <c r="B55" s="70" t="s">
        <v>278</v>
      </c>
      <c r="C55" s="70" t="s">
        <v>340</v>
      </c>
      <c r="D55" s="81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 x14ac:dyDescent="0.25">
      <c r="A56" s="69" t="str">
        <f t="shared" si="0"/>
        <v>WC_disc_rate_y40</v>
      </c>
      <c r="B56" s="70" t="s">
        <v>278</v>
      </c>
      <c r="C56" s="70" t="s">
        <v>341</v>
      </c>
      <c r="D56" s="81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 x14ac:dyDescent="0.25">
      <c r="A57" s="69" t="s">
        <v>342</v>
      </c>
      <c r="B57" s="70" t="s">
        <v>278</v>
      </c>
      <c r="C57" s="70" t="s">
        <v>341</v>
      </c>
      <c r="D57" s="81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 x14ac:dyDescent="0.25">
      <c r="A58" s="79" t="s">
        <v>343</v>
      </c>
      <c r="B58" s="70"/>
      <c r="C58" s="70"/>
      <c r="D58" s="86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 x14ac:dyDescent="0.25">
      <c r="A59" s="79" t="s">
        <v>344</v>
      </c>
      <c r="B59" s="70"/>
      <c r="C59" s="70"/>
      <c r="D59" s="86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 x14ac:dyDescent="0.25">
      <c r="A60" s="79" t="s">
        <v>345</v>
      </c>
      <c r="B60" s="70"/>
      <c r="C60" s="70"/>
      <c r="D60" s="86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 x14ac:dyDescent="0.25">
      <c r="A61" s="79" t="s">
        <v>346</v>
      </c>
      <c r="B61" s="70"/>
      <c r="C61" s="70"/>
      <c r="D61" s="86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 x14ac:dyDescent="0.25">
      <c r="A62" s="87" t="s">
        <v>347</v>
      </c>
      <c r="B62" s="70" t="s">
        <v>287</v>
      </c>
      <c r="C62" s="70" t="s">
        <v>317</v>
      </c>
      <c r="D62" s="86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348</v>
      </c>
    </row>
    <row r="63" spans="1:5" x14ac:dyDescent="0.25">
      <c r="A63" s="87" t="s">
        <v>349</v>
      </c>
      <c r="B63" s="70" t="s">
        <v>287</v>
      </c>
      <c r="C63" s="70" t="s">
        <v>350</v>
      </c>
      <c r="D63" s="86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 x14ac:dyDescent="0.25">
      <c r="A64" s="87" t="s">
        <v>351</v>
      </c>
      <c r="B64" s="70" t="s">
        <v>287</v>
      </c>
      <c r="C64" s="70" t="s">
        <v>352</v>
      </c>
      <c r="D64" s="86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 x14ac:dyDescent="0.25">
      <c r="A65" s="87" t="s">
        <v>353</v>
      </c>
      <c r="B65" s="70" t="s">
        <v>287</v>
      </c>
      <c r="C65" s="70" t="s">
        <v>354</v>
      </c>
      <c r="D65" s="86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 x14ac:dyDescent="0.25">
      <c r="A66" s="88" t="s">
        <v>355</v>
      </c>
      <c r="B66" s="89" t="s">
        <v>287</v>
      </c>
      <c r="C66" s="89" t="s">
        <v>356</v>
      </c>
      <c r="D66" s="86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 x14ac:dyDescent="0.25">
      <c r="A67" s="88" t="s">
        <v>357</v>
      </c>
      <c r="B67" s="89" t="s">
        <v>287</v>
      </c>
      <c r="C67" s="89" t="s">
        <v>358</v>
      </c>
      <c r="D67" s="86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 x14ac:dyDescent="0.25">
      <c r="A68" s="88" t="s">
        <v>359</v>
      </c>
      <c r="B68" s="89" t="s">
        <v>287</v>
      </c>
      <c r="C68" s="89" t="s">
        <v>360</v>
      </c>
      <c r="D68" s="86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 x14ac:dyDescent="0.25">
      <c r="A69" s="88" t="s">
        <v>361</v>
      </c>
      <c r="B69" s="89" t="s">
        <v>287</v>
      </c>
      <c r="C69" s="89" t="s">
        <v>362</v>
      </c>
      <c r="D69" s="86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 x14ac:dyDescent="0.25">
      <c r="A70" s="88" t="s">
        <v>363</v>
      </c>
      <c r="B70" s="89" t="s">
        <v>287</v>
      </c>
      <c r="C70" s="89" t="s">
        <v>364</v>
      </c>
      <c r="D70" s="86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 x14ac:dyDescent="0.25">
      <c r="A71" s="88" t="s">
        <v>365</v>
      </c>
      <c r="B71" s="89" t="s">
        <v>287</v>
      </c>
      <c r="C71" s="89" t="s">
        <v>366</v>
      </c>
      <c r="D71" s="86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 x14ac:dyDescent="0.25">
      <c r="A72" s="90" t="s">
        <v>367</v>
      </c>
      <c r="B72" s="89" t="s">
        <v>368</v>
      </c>
      <c r="C72" s="89" t="s">
        <v>369</v>
      </c>
      <c r="D72" s="86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1" t="s">
        <v>370</v>
      </c>
    </row>
    <row r="78" spans="1:6" x14ac:dyDescent="0.25">
      <c r="A78" s="92"/>
      <c r="B78" s="89"/>
      <c r="C78" s="89"/>
      <c r="D78" s="86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 x14ac:dyDescent="0.25">
      <c r="A79" s="92"/>
      <c r="B79" s="89"/>
      <c r="C79" s="89"/>
      <c r="D79" s="86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 x14ac:dyDescent="0.25">
      <c r="A80" s="92"/>
      <c r="B80" s="89"/>
      <c r="C80" s="89"/>
      <c r="D80" s="86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x14ac:dyDescent="0.25">
      <c r="A81" s="92"/>
      <c r="B81" s="89"/>
      <c r="C81" s="89"/>
      <c r="D81" s="86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x14ac:dyDescent="0.25">
      <c r="A82" s="92"/>
      <c r="B82" s="89"/>
      <c r="C82" s="89"/>
      <c r="D82" s="86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x14ac:dyDescent="0.25">
      <c r="A83" s="92"/>
      <c r="B83" s="89"/>
      <c r="C83" s="89"/>
      <c r="D83" s="86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x14ac:dyDescent="0.25">
      <c r="A84" s="92"/>
      <c r="B84" s="89"/>
      <c r="C84" s="89"/>
      <c r="D84" s="86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x14ac:dyDescent="0.25">
      <c r="A85" s="92"/>
      <c r="B85" s="89"/>
      <c r="C85" s="89"/>
      <c r="D85" s="86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x14ac:dyDescent="0.25">
      <c r="A86" s="92"/>
      <c r="B86" s="89"/>
      <c r="C86" s="89"/>
      <c r="D86" s="86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x14ac:dyDescent="0.25">
      <c r="A87" s="92"/>
      <c r="B87" s="89"/>
      <c r="C87" s="89"/>
      <c r="D87" s="86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x14ac:dyDescent="0.25">
      <c r="A88" s="92"/>
      <c r="B88" s="89"/>
      <c r="C88" s="89"/>
      <c r="D88" s="86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x14ac:dyDescent="0.25">
      <c r="A89" s="92"/>
      <c r="B89" s="89"/>
      <c r="C89" s="89"/>
      <c r="D89" s="86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x14ac:dyDescent="0.25">
      <c r="A90" s="92"/>
      <c r="B90" s="89"/>
      <c r="C90" s="89"/>
      <c r="D90" s="86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x14ac:dyDescent="0.25">
      <c r="A91" s="92"/>
      <c r="B91" s="89"/>
      <c r="C91" s="89"/>
      <c r="D91" s="86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x14ac:dyDescent="0.25">
      <c r="A92" s="92"/>
      <c r="B92" s="89"/>
      <c r="C92" s="89"/>
      <c r="D92" s="86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x14ac:dyDescent="0.25">
      <c r="A93" s="92"/>
      <c r="B93" s="89"/>
      <c r="C93" s="89"/>
      <c r="D93" s="86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x14ac:dyDescent="0.25">
      <c r="A94" s="92"/>
      <c r="B94" s="89"/>
      <c r="C94" s="89"/>
      <c r="D94" s="86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x14ac:dyDescent="0.25">
      <c r="A95" s="92"/>
      <c r="B95" s="89"/>
      <c r="C95" s="89"/>
      <c r="D95" s="86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x14ac:dyDescent="0.25">
      <c r="A96" s="92"/>
      <c r="B96" s="89"/>
      <c r="C96" s="89"/>
      <c r="D96" s="86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x14ac:dyDescent="0.25">
      <c r="A97" s="92"/>
      <c r="B97" s="89"/>
      <c r="C97" s="89"/>
      <c r="D97" s="86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x14ac:dyDescent="0.25">
      <c r="A98" s="92"/>
      <c r="B98" s="89"/>
      <c r="C98" s="89"/>
      <c r="D98" s="86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x14ac:dyDescent="0.25">
      <c r="A99" s="92"/>
      <c r="B99" s="89"/>
      <c r="C99" s="89"/>
      <c r="D99" s="86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x14ac:dyDescent="0.25">
      <c r="A100" s="92"/>
      <c r="B100" s="89"/>
      <c r="C100" s="89"/>
      <c r="D100" s="86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x14ac:dyDescent="0.25">
      <c r="A101" s="93"/>
      <c r="B101" s="94"/>
      <c r="C101" s="94"/>
      <c r="D101" s="95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tabSelected="1" workbookViewId="0">
      <selection activeCell="C9" sqref="C9"/>
    </sheetView>
    <sheetView workbookViewId="1"/>
  </sheetViews>
  <sheetFormatPr defaultColWidth="9.140625" defaultRowHeight="15.75" x14ac:dyDescent="0.25"/>
  <cols>
    <col min="1" max="1" width="71" style="1" customWidth="1"/>
    <col min="2" max="2" width="34.85546875" style="1" customWidth="1"/>
    <col min="3" max="3" width="62.7109375" style="1" customWidth="1"/>
    <col min="4" max="4" width="18.5703125" style="1" bestFit="1" customWidth="1"/>
    <col min="5" max="5" width="22.42578125" style="1" bestFit="1" customWidth="1"/>
    <col min="6" max="6" width="13.140625" style="1" bestFit="1" customWidth="1"/>
    <col min="7" max="7" width="20" style="1" bestFit="1" customWidth="1"/>
    <col min="8" max="8" width="12.140625" style="1" bestFit="1" customWidth="1"/>
    <col min="9" max="9" width="15.28515625" style="1" customWidth="1"/>
    <col min="10" max="10" width="13.140625" style="1" customWidth="1"/>
    <col min="11" max="11" width="16.85546875" style="1" customWidth="1"/>
    <col min="12" max="12" width="12.42578125" style="1" customWidth="1"/>
    <col min="13" max="14" width="9.140625" style="1"/>
    <col min="15" max="15" width="12.42578125" style="1" customWidth="1"/>
    <col min="16" max="16" width="10.28515625" style="1" bestFit="1" customWidth="1"/>
    <col min="17" max="17" width="12.5703125" style="1" bestFit="1" customWidth="1"/>
    <col min="18" max="18" width="31" style="1" bestFit="1" customWidth="1"/>
    <col min="19" max="19" width="12.5703125" style="1" customWidth="1"/>
    <col min="20" max="21" width="9.140625" style="1"/>
    <col min="22" max="22" width="0.85546875" style="1" customWidth="1"/>
    <col min="23" max="23" width="16.28515625" style="1" customWidth="1"/>
    <col min="24" max="24" width="18.42578125" style="1" customWidth="1"/>
    <col min="25" max="25" width="13.140625" style="1" customWidth="1"/>
    <col min="26" max="16384" width="9.140625" style="1"/>
  </cols>
  <sheetData>
    <row r="1" spans="1:19" x14ac:dyDescent="0.25">
      <c r="A1" s="1" t="s">
        <v>0</v>
      </c>
      <c r="B1" s="1" t="s">
        <v>52</v>
      </c>
      <c r="C1" s="1" t="s">
        <v>51</v>
      </c>
      <c r="D1" s="1" t="s">
        <v>464</v>
      </c>
      <c r="E1" s="1" t="s">
        <v>155</v>
      </c>
      <c r="F1" s="1" t="s">
        <v>1</v>
      </c>
      <c r="G1" s="1" t="s">
        <v>463</v>
      </c>
      <c r="H1" s="1" t="s">
        <v>462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455</v>
      </c>
      <c r="S1" s="1" t="s">
        <v>28</v>
      </c>
    </row>
    <row r="2" spans="1:19" x14ac:dyDescent="0.25">
      <c r="A2" t="s">
        <v>411</v>
      </c>
      <c r="B2" s="1" t="str">
        <f>ItemInputs[[#This Row],[Item Name]] &amp; " (" &amp; ItemInputs[[#This Row],[Sort Order]] &amp; ")"</f>
        <v>test 1 (1)</v>
      </c>
      <c r="C2" s="1" t="s">
        <v>413</v>
      </c>
      <c r="D2" s="1">
        <v>2026</v>
      </c>
      <c r="E2" s="1">
        <v>0</v>
      </c>
      <c r="F2" s="1">
        <f>ItemInputs[[#This Row],[Reference Year]]+ItemInputs[[#This Row],[Start Offset (Years)]]</f>
        <v>2026</v>
      </c>
      <c r="G2" s="1">
        <v>30</v>
      </c>
      <c r="H2" s="1">
        <f>ItemInputs[[#This Row],[Reference Year]]+ItemInputs[[#This Row],['# of Years to End]]</f>
        <v>2056</v>
      </c>
      <c r="I2" s="41">
        <v>0</v>
      </c>
      <c r="J2" s="41">
        <v>0</v>
      </c>
      <c r="K2" s="41">
        <v>0</v>
      </c>
      <c r="L2" s="41">
        <v>0</v>
      </c>
      <c r="M2" s="1">
        <v>1</v>
      </c>
      <c r="N2" s="1">
        <v>1</v>
      </c>
      <c r="O2" s="1">
        <v>1</v>
      </c>
      <c r="P2" s="182">
        <f>IFERROR(INDEX(HelperCells!F2:F21,MATCH(R2,HelperCells!E2:E21,0)),0)</f>
        <v>0</v>
      </c>
      <c r="Q2" s="43" t="str">
        <f>IF(VALUE(_xlfn.VALUETOTEXT(ItemInputs[[#This Row],[Interval (Years)]]))&gt;1,"Discerete","Continuous")</f>
        <v>Continuous</v>
      </c>
      <c r="R2" s="43"/>
      <c r="S2" s="183"/>
    </row>
    <row r="3" spans="1:19" x14ac:dyDescent="0.25">
      <c r="A3" t="s">
        <v>412</v>
      </c>
      <c r="B3" s="1" t="str">
        <f>ItemInputs[[#This Row],[Item Name]] &amp; " (" &amp; ItemInputs[[#This Row],[Sort Order]] &amp; ")"</f>
        <v>test 2 (2)</v>
      </c>
      <c r="C3" s="1" t="s">
        <v>414</v>
      </c>
      <c r="D3" s="1"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Row],['# of Years to End]]</f>
        <v>2041</v>
      </c>
      <c r="I3" s="41">
        <v>0</v>
      </c>
      <c r="J3" s="41">
        <v>0</v>
      </c>
      <c r="K3" s="41">
        <v>0</v>
      </c>
      <c r="L3" s="41">
        <v>0</v>
      </c>
      <c r="M3" s="1">
        <v>1</v>
      </c>
      <c r="N3" s="1">
        <v>1</v>
      </c>
      <c r="O3" s="1">
        <v>2</v>
      </c>
      <c r="P3" s="182">
        <f>IFERROR(INDEX(HelperCells!F3:F22,MATCH(R3,HelperCells!E3:E22,0)),0)</f>
        <v>0</v>
      </c>
      <c r="Q3" s="43" t="str">
        <f>IF(VALUE(_xlfn.VALUETOTEXT(ItemInputs[[#This Row],[Interval (Years)]]))&gt;1,"Discerete","Continuous")</f>
        <v>Continuous</v>
      </c>
      <c r="R3" s="43"/>
      <c r="S3" s="184"/>
    </row>
    <row r="4" spans="1:19" x14ac:dyDescent="0.25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Row],['# of Years to End]]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82">
        <f>IFERROR(INDEX(HelperCells!F4:F23,MATCH(R4,HelperCells!E4:E23,0)),0)</f>
        <v>0</v>
      </c>
      <c r="Q4" s="43" t="str">
        <f>IF(VALUE(_xlfn.VALUETOTEXT(ItemInputs[[#This Row],[Interval (Years)]]))&gt;1,"Discerete","Continuous")</f>
        <v>Continuous</v>
      </c>
      <c r="R4" s="43"/>
      <c r="S4" s="183"/>
    </row>
    <row r="5" spans="1:19" x14ac:dyDescent="0.25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Row],['# of Years to End]]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82">
        <f>IFERROR(INDEX(HelperCells!F5:F24,MATCH(R5,HelperCells!E5:E24,0)),0)</f>
        <v>0</v>
      </c>
      <c r="Q5" s="43" t="str">
        <f>IF(VALUE(_xlfn.VALUETOTEXT(ItemInputs[[#This Row],[Interval (Years)]]))&gt;1,"Discerete","Continuous")</f>
        <v>Continuous</v>
      </c>
      <c r="R5" s="43"/>
      <c r="S5" s="185"/>
    </row>
    <row r="6" spans="1:19" x14ac:dyDescent="0.25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Row],['# of Years to End]]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82">
        <f>IFERROR(INDEX(HelperCells!F6:F25,MATCH(R6,HelperCells!E6:E25,0)),0)</f>
        <v>0</v>
      </c>
      <c r="Q6" s="43" t="str">
        <f>IF(VALUE(_xlfn.VALUETOTEXT(ItemInputs[[#This Row],[Interval (Years)]]))&gt;1,"Discerete","Continuous")</f>
        <v>Continuous</v>
      </c>
      <c r="R6" s="43"/>
      <c r="S6" s="183"/>
    </row>
    <row r="7" spans="1:19" x14ac:dyDescent="0.25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Row],['# of Years to End]]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82">
        <f>IFERROR(INDEX(HelperCells!F7:F26,MATCH(R7,HelperCells!E7:E26,0)),0)</f>
        <v>0</v>
      </c>
      <c r="Q7" s="43" t="str">
        <f>IF(VALUE(_xlfn.VALUETOTEXT(ItemInputs[[#This Row],[Interval (Years)]]))&gt;1,"Discerete","Continuous")</f>
        <v>Continuous</v>
      </c>
      <c r="R7" s="43"/>
      <c r="S7" s="185"/>
    </row>
    <row r="8" spans="1:19" x14ac:dyDescent="0.25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Row],['# of Years to End]]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82">
        <f>IFERROR(INDEX(HelperCells!F8:F27,MATCH(R8,HelperCells!E8:E27,0)),0)</f>
        <v>0</v>
      </c>
      <c r="Q8" s="43" t="str">
        <f>IF(VALUE(_xlfn.VALUETOTEXT(ItemInputs[[#This Row],[Interval (Years)]]))&gt;1,"Discerete","Continuous")</f>
        <v>Continuous</v>
      </c>
      <c r="R8" s="43"/>
      <c r="S8" s="186"/>
    </row>
    <row r="9" spans="1:19" x14ac:dyDescent="0.25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Row],['# of Years to End]]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82">
        <f>IFERROR(INDEX(HelperCells!F9:F28,MATCH(R9,HelperCells!E9:E28,0)),0)</f>
        <v>0</v>
      </c>
      <c r="Q9" s="43" t="str">
        <f>IF(VALUE(_xlfn.VALUETOTEXT(ItemInputs[[#This Row],[Interval (Years)]]))&gt;1,"Discerete","Continuous")</f>
        <v>Continuous</v>
      </c>
      <c r="R9" s="43"/>
      <c r="S9" s="184"/>
    </row>
    <row r="10" spans="1:19" x14ac:dyDescent="0.25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Row],['# of Years to End]]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82">
        <f>IFERROR(INDEX(HelperCells!F10:F29,MATCH(R10,HelperCells!E10:E29,0)),0)</f>
        <v>0</v>
      </c>
      <c r="Q10" s="43" t="str">
        <f>IF(VALUE(_xlfn.VALUETOTEXT(ItemInputs[[#This Row],[Interval (Years)]]))&gt;1,"Discerete","Continuous")</f>
        <v>Continuous</v>
      </c>
      <c r="R10" s="43"/>
      <c r="S10" s="183"/>
    </row>
    <row r="11" spans="1:19" x14ac:dyDescent="0.25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Row],['# of Years to End]]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82">
        <f>IFERROR(INDEX(HelperCells!F11:F30,MATCH(R11,HelperCells!E11:E30,0)),0)</f>
        <v>0</v>
      </c>
      <c r="Q11" s="43" t="str">
        <f>IF(VALUE(_xlfn.VALUETOTEXT(ItemInputs[[#This Row],[Interval (Years)]]))&gt;1,"Discerete","Continuous")</f>
        <v>Continuous</v>
      </c>
      <c r="R11" s="43"/>
      <c r="S11" s="185"/>
    </row>
    <row r="12" spans="1:19" x14ac:dyDescent="0.25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Row],['# of Years to End]]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82">
        <f>IFERROR(INDEX(HelperCells!F12:F31,MATCH(R12,HelperCells!E12:E31,0)),0)</f>
        <v>0</v>
      </c>
      <c r="Q12" s="43" t="str">
        <f>IF(VALUE(_xlfn.VALUETOTEXT(ItemInputs[[#This Row],[Interval (Years)]]))&gt;1,"Discerete","Continuous")</f>
        <v>Continuous</v>
      </c>
      <c r="R12" s="43"/>
      <c r="S12" s="43"/>
    </row>
    <row r="13" spans="1:19" x14ac:dyDescent="0.25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Row],['# of Years to End]]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82">
        <f>IFERROR(INDEX(HelperCells!F13:F32,MATCH(R13,HelperCells!E13:E32,0)),0)</f>
        <v>0</v>
      </c>
      <c r="Q13" s="43" t="str">
        <f>IF(VALUE(_xlfn.VALUETOTEXT(ItemInputs[[#This Row],[Interval (Years)]]))&gt;1,"Discerete","Continuous")</f>
        <v>Continuous</v>
      </c>
      <c r="R13" s="43"/>
      <c r="S13" s="43"/>
    </row>
    <row r="14" spans="1:19" x14ac:dyDescent="0.25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Row],['# of Years to End]]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82">
        <f>IFERROR(INDEX(HelperCells!F14:F33,MATCH(R14,HelperCells!E14:E33,0)),0)</f>
        <v>0</v>
      </c>
      <c r="Q14" s="43" t="str">
        <f>IF(VALUE(_xlfn.VALUETOTEXT(ItemInputs[[#This Row],[Interval (Years)]]))&gt;1,"Discerete","Continuous")</f>
        <v>Continuous</v>
      </c>
      <c r="R14" s="43"/>
      <c r="S14" s="43"/>
    </row>
    <row r="15" spans="1:19" x14ac:dyDescent="0.25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Row],['# of Years to End]]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82">
        <f>IFERROR(INDEX(HelperCells!F15:F34,MATCH(R15,HelperCells!E15:E34,0)),0)</f>
        <v>0</v>
      </c>
      <c r="Q15" s="43" t="str">
        <f>IF(VALUE(_xlfn.VALUETOTEXT(ItemInputs[[#This Row],[Interval (Years)]]))&gt;1,"Discerete","Continuous")</f>
        <v>Continuous</v>
      </c>
      <c r="R15" s="43"/>
      <c r="S15" s="43"/>
    </row>
    <row r="16" spans="1:19" x14ac:dyDescent="0.25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Row],['# of Years to End]]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82">
        <f>IFERROR(INDEX(HelperCells!F16:F35,MATCH(R16,HelperCells!E16:E35,0)),0)</f>
        <v>0</v>
      </c>
      <c r="Q16" s="43" t="str">
        <f>IF(VALUE(_xlfn.VALUETOTEXT(ItemInputs[[#This Row],[Interval (Years)]]))&gt;1,"Discerete","Continuous")</f>
        <v>Continuous</v>
      </c>
      <c r="R16" s="43"/>
      <c r="S16" s="43"/>
    </row>
    <row r="17" spans="1:19" x14ac:dyDescent="0.2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Row],['# of Years to End]]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82">
        <f>IFERROR(INDEX(HelperCells!F17:F36,MATCH(R17,HelperCells!E17:E36,0)),0)</f>
        <v>0</v>
      </c>
      <c r="Q17" s="43" t="str">
        <f>IF(VALUE(_xlfn.VALUETOTEXT(ItemInputs[[#This Row],[Interval (Years)]]))&gt;1,"Discerete","Continuous")</f>
        <v>Continuous</v>
      </c>
      <c r="R17" s="43"/>
      <c r="S17" s="43"/>
    </row>
    <row r="18" spans="1:19" x14ac:dyDescent="0.2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Row],['# of Years to End]]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82">
        <f>IFERROR(INDEX(HelperCells!F18:F37,MATCH(R18,HelperCells!E18:E37,0)),0)</f>
        <v>0</v>
      </c>
      <c r="Q18" s="43" t="str">
        <f>IF(VALUE(_xlfn.VALUETOTEXT(ItemInputs[[#This Row],[Interval (Years)]]))&gt;1,"Discerete","Continuous")</f>
        <v>Continuous</v>
      </c>
      <c r="R18" s="43"/>
      <c r="S18" s="43"/>
    </row>
    <row r="19" spans="1:19" x14ac:dyDescent="0.2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Row],['# of Years to End]]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82">
        <f>IFERROR(INDEX(HelperCells!F19:F38,MATCH(R19,HelperCells!E19:E38,0)),0)</f>
        <v>0</v>
      </c>
      <c r="Q19" s="43" t="str">
        <f>IF(VALUE(_xlfn.VALUETOTEXT(ItemInputs[[#This Row],[Interval (Years)]]))&gt;1,"Discerete","Continuous")</f>
        <v>Continuous</v>
      </c>
      <c r="R19" s="43"/>
      <c r="S19" s="43"/>
    </row>
    <row r="20" spans="1:19" x14ac:dyDescent="0.2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Row],['# of Years to End]]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82">
        <f>IFERROR(INDEX(HelperCells!F20:F39,MATCH(R20,HelperCells!E20:E39,0)),0)</f>
        <v>0</v>
      </c>
      <c r="Q20" s="43" t="str">
        <f>IF(VALUE(_xlfn.VALUETOTEXT(ItemInputs[[#This Row],[Interval (Years)]]))&gt;1,"Discerete","Continuous")</f>
        <v>Continuous</v>
      </c>
      <c r="R20" s="43"/>
      <c r="S20" s="43"/>
    </row>
    <row r="21" spans="1:19" x14ac:dyDescent="0.2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Row],['# of Years to End]]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82">
        <f>IFERROR(INDEX(HelperCells!F21:F40,MATCH(R21,HelperCells!E21:E40,0)),0)</f>
        <v>0</v>
      </c>
      <c r="Q21" s="43" t="str">
        <f>IF(VALUE(_xlfn.VALUETOTEXT(ItemInputs[[#This Row],[Interval (Years)]]))&gt;1,"Discerete","Continuous")</f>
        <v>Continuous</v>
      </c>
      <c r="R21" s="43"/>
      <c r="S21" s="43"/>
    </row>
    <row r="22" spans="1:19" x14ac:dyDescent="0.2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Row],['# of Years to End]]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82">
        <f>IFERROR(INDEX(HelperCells!F22:F41,MATCH(R22,HelperCells!E22:E41,0)),0)</f>
        <v>0</v>
      </c>
      <c r="Q22" s="43" t="str">
        <f>IF(VALUE(_xlfn.VALUETOTEXT(ItemInputs[[#This Row],[Interval (Years)]]))&gt;1,"Discerete","Continuous")</f>
        <v>Continuous</v>
      </c>
      <c r="R22" s="43"/>
      <c r="S22" s="43"/>
    </row>
    <row r="23" spans="1:19" x14ac:dyDescent="0.2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Row],['# of Years to End]]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82">
        <f>IFERROR(INDEX(HelperCells!F23:F42,MATCH(R23,HelperCells!E23:E42,0)),0)</f>
        <v>0</v>
      </c>
      <c r="Q23" s="43" t="str">
        <f>IF(VALUE(_xlfn.VALUETOTEXT(ItemInputs[[#This Row],[Interval (Years)]]))&gt;1,"Discerete","Continuous")</f>
        <v>Continuous</v>
      </c>
      <c r="R23" s="43"/>
      <c r="S23" s="43"/>
    </row>
    <row r="24" spans="1:19" x14ac:dyDescent="0.2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Row],['# of Years to End]]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82">
        <f>IFERROR(INDEX(HelperCells!F24:F43,MATCH(R24,HelperCells!E24:E43,0)),0)</f>
        <v>0</v>
      </c>
      <c r="Q24" s="43" t="str">
        <f>IF(VALUE(_xlfn.VALUETOTEXT(ItemInputs[[#This Row],[Interval (Years)]]))&gt;1,"Discerete","Continuous")</f>
        <v>Continuous</v>
      </c>
      <c r="R24" s="43"/>
      <c r="S24" s="43"/>
    </row>
    <row r="25" spans="1:19" x14ac:dyDescent="0.2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Row],['# of Years to End]]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82">
        <f>IFERROR(INDEX(HelperCells!F25:F44,MATCH(R25,HelperCells!E25:E44,0)),0)</f>
        <v>0</v>
      </c>
      <c r="Q25" s="43" t="str">
        <f>IF(VALUE(_xlfn.VALUETOTEXT(ItemInputs[[#This Row],[Interval (Years)]]))&gt;1,"Discerete","Continuous")</f>
        <v>Continuous</v>
      </c>
      <c r="R25" s="43"/>
      <c r="S25" s="43"/>
    </row>
    <row r="26" spans="1:19" x14ac:dyDescent="0.2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Row],['# of Years to End]]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82">
        <f>IFERROR(INDEX(HelperCells!F26:F45,MATCH(R26,HelperCells!E26:E45,0)),0)</f>
        <v>0</v>
      </c>
      <c r="Q26" s="43" t="str">
        <f>IF(VALUE(_xlfn.VALUETOTEXT(ItemInputs[[#This Row],[Interval (Years)]]))&gt;1,"Discerete","Continuous")</f>
        <v>Continuous</v>
      </c>
      <c r="R26" s="43"/>
      <c r="S26" s="43"/>
    </row>
    <row r="27" spans="1:19" x14ac:dyDescent="0.2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Row],['# of Years to End]]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82">
        <f>IFERROR(INDEX(HelperCells!F27:F46,MATCH(R27,HelperCells!E27:E46,0)),0)</f>
        <v>0</v>
      </c>
      <c r="Q27" s="43" t="str">
        <f>IF(VALUE(_xlfn.VALUETOTEXT(ItemInputs[[#This Row],[Interval (Years)]]))&gt;1,"Discerete","Continuous")</f>
        <v>Continuous</v>
      </c>
      <c r="R27" s="43"/>
      <c r="S27" s="43"/>
    </row>
    <row r="28" spans="1:19" x14ac:dyDescent="0.2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Row],['# of Years to End]]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82">
        <f>IFERROR(INDEX(HelperCells!F28:F47,MATCH(R28,HelperCells!E28:E47,0)),0)</f>
        <v>0</v>
      </c>
      <c r="Q28" s="43" t="str">
        <f>IF(VALUE(_xlfn.VALUETOTEXT(ItemInputs[[#This Row],[Interval (Years)]]))&gt;1,"Discerete","Continuous")</f>
        <v>Continuous</v>
      </c>
      <c r="R28" s="43"/>
      <c r="S28" s="43"/>
    </row>
    <row r="29" spans="1:19" x14ac:dyDescent="0.2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Row],['# of Years to End]]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82">
        <f>IFERROR(INDEX(HelperCells!F29:F48,MATCH(R29,HelperCells!E29:E48,0)),0)</f>
        <v>0</v>
      </c>
      <c r="Q29" s="43" t="str">
        <f>IF(VALUE(_xlfn.VALUETOTEXT(ItemInputs[[#This Row],[Interval (Years)]]))&gt;1,"Discerete","Continuous")</f>
        <v>Continuous</v>
      </c>
      <c r="R29" s="43"/>
      <c r="S29" s="43"/>
    </row>
    <row r="30" spans="1:19" x14ac:dyDescent="0.2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Row],['# of Years to End]]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82">
        <f>IFERROR(INDEX(HelperCells!F30:F49,MATCH(R30,HelperCells!E30:E49,0)),0)</f>
        <v>0</v>
      </c>
      <c r="Q30" s="43" t="str">
        <f>IF(VALUE(_xlfn.VALUETOTEXT(ItemInputs[[#This Row],[Interval (Years)]]))&gt;1,"Discerete","Continuous")</f>
        <v>Continuous</v>
      </c>
      <c r="R30" s="43"/>
      <c r="S30" s="43"/>
    </row>
    <row r="31" spans="1:19" x14ac:dyDescent="0.2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Row],['# of Years to End]]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82">
        <f>IFERROR(INDEX(HelperCells!F31:F50,MATCH(R31,HelperCells!E31:E50,0)),0)</f>
        <v>0</v>
      </c>
      <c r="Q31" s="43" t="str">
        <f>IF(VALUE(_xlfn.VALUETOTEXT(ItemInputs[[#This Row],[Interval (Years)]]))&gt;1,"Discerete","Continuous")</f>
        <v>Continuous</v>
      </c>
      <c r="R31" s="43"/>
      <c r="S31" s="43"/>
    </row>
    <row r="32" spans="1:19" x14ac:dyDescent="0.2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Row],['# of Years to End]]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82">
        <f>IFERROR(INDEX(HelperCells!F32:F51,MATCH(R32,HelperCells!E32:E51,0)),0)</f>
        <v>0</v>
      </c>
      <c r="Q32" s="43" t="str">
        <f>IF(VALUE(_xlfn.VALUETOTEXT(ItemInputs[[#This Row],[Interval (Years)]]))&gt;1,"Discerete","Continuous")</f>
        <v>Continuous</v>
      </c>
      <c r="R32" s="43"/>
      <c r="S32" s="43"/>
    </row>
    <row r="33" spans="1:19" x14ac:dyDescent="0.2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Row],['# of Years to End]]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82">
        <f>IFERROR(INDEX(HelperCells!F33:F52,MATCH(R33,HelperCells!E33:E52,0)),0)</f>
        <v>0</v>
      </c>
      <c r="Q33" s="43" t="str">
        <f>IF(VALUE(_xlfn.VALUETOTEXT(ItemInputs[[#This Row],[Interval (Years)]]))&gt;1,"Discerete","Continuous")</f>
        <v>Continuous</v>
      </c>
      <c r="R33" s="43"/>
      <c r="S33" s="43"/>
    </row>
    <row r="34" spans="1:19" x14ac:dyDescent="0.2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Row],['# of Years to End]]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82">
        <f>IFERROR(INDEX(HelperCells!F34:F53,MATCH(R34,HelperCells!E34:E53,0)),0)</f>
        <v>0</v>
      </c>
      <c r="Q34" s="43" t="str">
        <f>IF(VALUE(_xlfn.VALUETOTEXT(ItemInputs[[#This Row],[Interval (Years)]]))&gt;1,"Discerete","Continuous")</f>
        <v>Continuous</v>
      </c>
      <c r="R34" s="43"/>
      <c r="S34" s="43"/>
    </row>
    <row r="35" spans="1:19" x14ac:dyDescent="0.2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Row],['# of Years to End]]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82">
        <f>IFERROR(INDEX(HelperCells!F35:F54,MATCH(R35,HelperCells!E35:E54,0)),0)</f>
        <v>0</v>
      </c>
      <c r="Q35" s="43" t="str">
        <f>IF(VALUE(_xlfn.VALUETOTEXT(ItemInputs[[#This Row],[Interval (Years)]]))&gt;1,"Discerete","Continuous")</f>
        <v>Continuous</v>
      </c>
      <c r="R35" s="43"/>
      <c r="S35" s="43"/>
    </row>
    <row r="36" spans="1:19" x14ac:dyDescent="0.2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Row],['# of Years to End]]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82">
        <f>IFERROR(INDEX(HelperCells!F36:F55,MATCH(R36,HelperCells!E36:E55,0)),0)</f>
        <v>0</v>
      </c>
      <c r="Q36" s="43" t="str">
        <f>IF(VALUE(_xlfn.VALUETOTEXT(ItemInputs[[#This Row],[Interval (Years)]]))&gt;1,"Discerete","Continuous")</f>
        <v>Continuous</v>
      </c>
      <c r="R36" s="43"/>
      <c r="S36" s="43"/>
    </row>
    <row r="37" spans="1:19" x14ac:dyDescent="0.2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Row],['# of Years to End]]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82">
        <f>IFERROR(INDEX(HelperCells!F37:F56,MATCH(R37,HelperCells!E37:E56,0)),0)</f>
        <v>0</v>
      </c>
      <c r="Q37" s="43" t="str">
        <f>IF(VALUE(_xlfn.VALUETOTEXT(ItemInputs[[#This Row],[Interval (Years)]]))&gt;1,"Discerete","Continuous")</f>
        <v>Continuous</v>
      </c>
      <c r="R37" s="43"/>
      <c r="S37" s="43"/>
    </row>
    <row r="38" spans="1:19" x14ac:dyDescent="0.2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Row],['# of Years to End]]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82">
        <f>IFERROR(INDEX(HelperCells!F38:F57,MATCH(R38,HelperCells!E38:E57,0)),0)</f>
        <v>0</v>
      </c>
      <c r="Q38" s="43" t="str">
        <f>IF(VALUE(_xlfn.VALUETOTEXT(ItemInputs[[#This Row],[Interval (Years)]]))&gt;1,"Discerete","Continuous")</f>
        <v>Continuous</v>
      </c>
      <c r="R38" s="43"/>
      <c r="S38" s="43"/>
    </row>
    <row r="39" spans="1:19" x14ac:dyDescent="0.2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Row],['# of Years to End]]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82">
        <f>IFERROR(INDEX(HelperCells!F39:F58,MATCH(R39,HelperCells!E39:E58,0)),0)</f>
        <v>0</v>
      </c>
      <c r="Q39" s="43" t="str">
        <f>IF(VALUE(_xlfn.VALUETOTEXT(ItemInputs[[#This Row],[Interval (Years)]]))&gt;1,"Discerete","Continuous")</f>
        <v>Continuous</v>
      </c>
      <c r="R39" s="43"/>
      <c r="S39" s="43"/>
    </row>
    <row r="40" spans="1:19" x14ac:dyDescent="0.2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Row],['# of Years to End]]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82">
        <f>IFERROR(INDEX(HelperCells!F40:F59,MATCH(R40,HelperCells!E40:E59,0)),0)</f>
        <v>0</v>
      </c>
      <c r="Q40" s="43" t="str">
        <f>IF(VALUE(_xlfn.VALUETOTEXT(ItemInputs[[#This Row],[Interval (Years)]]))&gt;1,"Discerete","Continuous")</f>
        <v>Continuous</v>
      </c>
      <c r="R40" s="43"/>
      <c r="S40" s="43"/>
    </row>
    <row r="41" spans="1:19" x14ac:dyDescent="0.2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Row],['# of Years to End]]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82">
        <f>IFERROR(INDEX(HelperCells!F41:F60,MATCH(R41,HelperCells!E41:E60,0)),0)</f>
        <v>0</v>
      </c>
      <c r="Q41" s="43" t="str">
        <f>IF(VALUE(_xlfn.VALUETOTEXT(ItemInputs[[#This Row],[Interval (Years)]]))&gt;1,"Discerete","Continuous")</f>
        <v>Continuous</v>
      </c>
      <c r="R41" s="43"/>
      <c r="S41" s="43"/>
    </row>
    <row r="42" spans="1:19" x14ac:dyDescent="0.2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Row],['# of Years to End]]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82">
        <f>IFERROR(INDEX(HelperCells!F42:F61,MATCH(R42,HelperCells!E42:E61,0)),0)</f>
        <v>0</v>
      </c>
      <c r="Q42" s="43" t="str">
        <f>IF(VALUE(_xlfn.VALUETOTEXT(ItemInputs[[#This Row],[Interval (Years)]]))&gt;1,"Discerete","Continuous")</f>
        <v>Continuous</v>
      </c>
      <c r="R42" s="43"/>
      <c r="S42" s="43"/>
    </row>
    <row r="43" spans="1:19" x14ac:dyDescent="0.2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Row],['# of Years to End]]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82">
        <f>IFERROR(INDEX(HelperCells!F43:F62,MATCH(R43,HelperCells!E43:E62,0)),0)</f>
        <v>0</v>
      </c>
      <c r="Q43" s="43" t="str">
        <f>IF(VALUE(_xlfn.VALUETOTEXT(ItemInputs[[#This Row],[Interval (Years)]]))&gt;1,"Discerete","Continuous")</f>
        <v>Continuous</v>
      </c>
      <c r="R43" s="43"/>
      <c r="S43" s="43"/>
    </row>
    <row r="44" spans="1:19" x14ac:dyDescent="0.2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Row],['# of Years to End]]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82">
        <f>IFERROR(INDEX(HelperCells!F44:F63,MATCH(R44,HelperCells!E44:E63,0)),0)</f>
        <v>0</v>
      </c>
      <c r="Q44" s="43" t="str">
        <f>IF(VALUE(_xlfn.VALUETOTEXT(ItemInputs[[#This Row],[Interval (Years)]]))&gt;1,"Discerete","Continuous")</f>
        <v>Continuous</v>
      </c>
      <c r="R44" s="43"/>
      <c r="S44" s="43"/>
    </row>
    <row r="45" spans="1:19" x14ac:dyDescent="0.2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Row],['# of Years to End]]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82">
        <f>IFERROR(INDEX(HelperCells!F45:F64,MATCH(R45,HelperCells!E45:E64,0)),0)</f>
        <v>0</v>
      </c>
      <c r="Q45" s="43" t="str">
        <f>IF(VALUE(_xlfn.VALUETOTEXT(ItemInputs[[#This Row],[Interval (Years)]]))&gt;1,"Discerete","Continuous")</f>
        <v>Continuous</v>
      </c>
      <c r="R45" s="43"/>
      <c r="S45" s="43"/>
    </row>
    <row r="46" spans="1:19" x14ac:dyDescent="0.2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Row],['# of Years to End]]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82">
        <f>IFERROR(INDEX(HelperCells!F46:F65,MATCH(R46,HelperCells!E46:E65,0)),0)</f>
        <v>0</v>
      </c>
      <c r="Q46" s="43" t="str">
        <f>IF(VALUE(_xlfn.VALUETOTEXT(ItemInputs[[#This Row],[Interval (Years)]]))&gt;1,"Discerete","Continuous")</f>
        <v>Continuous</v>
      </c>
      <c r="R46" s="43"/>
      <c r="S46" s="43"/>
    </row>
    <row r="47" spans="1:19" x14ac:dyDescent="0.2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Row],['# of Years to End]]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82">
        <f>IFERROR(INDEX(HelperCells!F47:F66,MATCH(R47,HelperCells!E47:E66,0)),0)</f>
        <v>0</v>
      </c>
      <c r="Q47" s="43" t="str">
        <f>IF(VALUE(_xlfn.VALUETOTEXT(ItemInputs[[#This Row],[Interval (Years)]]))&gt;1,"Discerete","Continuous")</f>
        <v>Continuous</v>
      </c>
      <c r="R47" s="43"/>
      <c r="S47" s="43"/>
    </row>
    <row r="48" spans="1:19" x14ac:dyDescent="0.2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Row],['# of Years to End]]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82">
        <f>IFERROR(INDEX(HelperCells!F48:F67,MATCH(R48,HelperCells!E48:E67,0)),0)</f>
        <v>0</v>
      </c>
      <c r="Q48" s="43" t="str">
        <f>IF(VALUE(_xlfn.VALUETOTEXT(ItemInputs[[#This Row],[Interval (Years)]]))&gt;1,"Discerete","Continuous")</f>
        <v>Continuous</v>
      </c>
      <c r="R48" s="43"/>
      <c r="S48" s="43"/>
    </row>
    <row r="49" spans="1:19" x14ac:dyDescent="0.2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Row],['# of Years to End]]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82">
        <f>IFERROR(INDEX(HelperCells!F49:F68,MATCH(R49,HelperCells!E49:E68,0)),0)</f>
        <v>0</v>
      </c>
      <c r="Q49" s="43" t="str">
        <f>IF(VALUE(_xlfn.VALUETOTEXT(ItemInputs[[#This Row],[Interval (Years)]]))&gt;1,"Discerete","Continuous")</f>
        <v>Continuous</v>
      </c>
      <c r="R49" s="43"/>
      <c r="S49" s="43"/>
    </row>
    <row r="50" spans="1:19" x14ac:dyDescent="0.2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Row],['# of Years to End]]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82">
        <f>IFERROR(INDEX(HelperCells!F50:F69,MATCH(R50,HelperCells!E50:E69,0)),0)</f>
        <v>0</v>
      </c>
      <c r="Q50" s="43" t="str">
        <f>IF(VALUE(_xlfn.VALUETOTEXT(ItemInputs[[#This Row],[Interval (Years)]]))&gt;1,"Discerete","Continuous")</f>
        <v>Continuous</v>
      </c>
      <c r="R50" s="43"/>
      <c r="S50" s="43"/>
    </row>
    <row r="51" spans="1:19" x14ac:dyDescent="0.2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Row],['# of Years to End]]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82">
        <f>IFERROR(INDEX(HelperCells!F51:F70,MATCH(R51,HelperCells!E51:E70,0)),0)</f>
        <v>0</v>
      </c>
      <c r="Q51" s="43" t="str">
        <f>IF(VALUE(_xlfn.VALUETOTEXT(ItemInputs[[#This Row],[Interval (Years)]]))&gt;1,"Discerete","Continuous")</f>
        <v>Continuous</v>
      </c>
      <c r="R51" s="43"/>
      <c r="S51" s="43"/>
    </row>
    <row r="52" spans="1:19" x14ac:dyDescent="0.2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Row],['# of Years to End]]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82">
        <f>IFERROR(INDEX(HelperCells!F52:F71,MATCH(R52,HelperCells!E52:E71,0)),0)</f>
        <v>0</v>
      </c>
      <c r="Q52" s="43" t="str">
        <f>IF(VALUE(_xlfn.VALUETOTEXT(ItemInputs[[#This Row],[Interval (Years)]]))&gt;1,"Discerete","Continuous")</f>
        <v>Continuous</v>
      </c>
      <c r="R52" s="43"/>
      <c r="S52" s="43"/>
    </row>
    <row r="53" spans="1:19" x14ac:dyDescent="0.2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Row],['# of Years to End]]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82">
        <f>IFERROR(INDEX(HelperCells!F53:F72,MATCH(R53,HelperCells!E53:E72,0)),0)</f>
        <v>0</v>
      </c>
      <c r="Q53" s="43" t="str">
        <f>IF(VALUE(_xlfn.VALUETOTEXT(ItemInputs[[#This Row],[Interval (Years)]]))&gt;1,"Discerete","Continuous")</f>
        <v>Continuous</v>
      </c>
      <c r="R53" s="43"/>
      <c r="S53" s="43"/>
    </row>
    <row r="54" spans="1:19" x14ac:dyDescent="0.2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Row],['# of Years to End]]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82">
        <f>IFERROR(INDEX(HelperCells!F54:F73,MATCH(R54,HelperCells!E54:E73,0)),0)</f>
        <v>0</v>
      </c>
      <c r="Q54" s="43" t="str">
        <f>IF(VALUE(_xlfn.VALUETOTEXT(ItemInputs[[#This Row],[Interval (Years)]]))&gt;1,"Discerete","Continuous")</f>
        <v>Continuous</v>
      </c>
      <c r="R54" s="43"/>
      <c r="S54" s="43"/>
    </row>
    <row r="55" spans="1:19" x14ac:dyDescent="0.25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0</v>
      </c>
      <c r="L55" s="42">
        <f>SUBTOTAL(109,ItemInputs[High Cost per Use])</f>
        <v>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  <sheetView workbookViewId="1"/>
  </sheetViews>
  <sheetFormatPr defaultColWidth="8.85546875" defaultRowHeight="15" x14ac:dyDescent="0.25"/>
  <cols>
    <col min="2" max="2" width="18.85546875" customWidth="1"/>
    <col min="3" max="3" width="12" customWidth="1"/>
    <col min="4" max="4" width="10.42578125" customWidth="1"/>
    <col min="6" max="6" width="12.140625" customWidth="1"/>
    <col min="7" max="7" width="15" customWidth="1"/>
    <col min="9" max="9" width="12.7109375" customWidth="1"/>
  </cols>
  <sheetData>
    <row r="1" spans="1:28" x14ac:dyDescent="0.25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 x14ac:dyDescent="0.25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5.75" thickBot="1" x14ac:dyDescent="0.3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thickTop="1" x14ac:dyDescent="0.25">
      <c r="G4" s="2"/>
      <c r="L4">
        <f>(566.71/233.9)^(1/30)</f>
        <v>1.0299378574496976</v>
      </c>
    </row>
    <row r="5" spans="1:28" x14ac:dyDescent="0.25">
      <c r="G5" s="2"/>
    </row>
    <row r="6" spans="1:28" x14ac:dyDescent="0.25">
      <c r="G6" s="2"/>
    </row>
    <row r="7" spans="1:28" x14ac:dyDescent="0.25">
      <c r="G7" s="2"/>
    </row>
    <row r="8" spans="1:28" x14ac:dyDescent="0.25">
      <c r="G8" s="2"/>
    </row>
    <row r="9" spans="1:28" x14ac:dyDescent="0.25">
      <c r="G9" s="2"/>
    </row>
    <row r="10" spans="1:28" x14ac:dyDescent="0.25">
      <c r="G10" s="2"/>
      <c r="U10" s="7"/>
    </row>
    <row r="11" spans="1:28" x14ac:dyDescent="0.25">
      <c r="G11" s="2"/>
    </row>
    <row r="12" spans="1:28" x14ac:dyDescent="0.25">
      <c r="G12" s="2"/>
    </row>
    <row r="13" spans="1:28" x14ac:dyDescent="0.25">
      <c r="G13" s="2"/>
    </row>
    <row r="14" spans="1:28" x14ac:dyDescent="0.25">
      <c r="G14" s="2"/>
    </row>
    <row r="15" spans="1:28" x14ac:dyDescent="0.25">
      <c r="G15" s="2"/>
    </row>
    <row r="16" spans="1:28" x14ac:dyDescent="0.25">
      <c r="G16" s="2"/>
    </row>
    <row r="17" spans="7:21" x14ac:dyDescent="0.25">
      <c r="G17" s="2"/>
    </row>
    <row r="18" spans="7:21" x14ac:dyDescent="0.25">
      <c r="G18" s="2"/>
    </row>
    <row r="19" spans="7:21" x14ac:dyDescent="0.25">
      <c r="G19" s="2"/>
    </row>
    <row r="20" spans="7:21" x14ac:dyDescent="0.25">
      <c r="G20" s="2"/>
    </row>
    <row r="21" spans="7:21" x14ac:dyDescent="0.25">
      <c r="G21" s="2"/>
    </row>
    <row r="22" spans="7:21" x14ac:dyDescent="0.25">
      <c r="G22" s="2"/>
    </row>
    <row r="23" spans="7:21" x14ac:dyDescent="0.25">
      <c r="G23" s="2"/>
    </row>
    <row r="24" spans="7:21" x14ac:dyDescent="0.25">
      <c r="G24" s="2"/>
      <c r="U24" s="7"/>
    </row>
    <row r="25" spans="7:21" x14ac:dyDescent="0.25">
      <c r="G25" s="2"/>
    </row>
    <row r="26" spans="7:21" x14ac:dyDescent="0.25">
      <c r="G26" s="2"/>
    </row>
    <row r="27" spans="7:21" x14ac:dyDescent="0.25">
      <c r="G27" s="2"/>
    </row>
    <row r="28" spans="7:21" x14ac:dyDescent="0.25">
      <c r="G28" s="2"/>
    </row>
    <row r="29" spans="7:21" x14ac:dyDescent="0.25">
      <c r="G29" s="2"/>
    </row>
    <row r="30" spans="7:21" x14ac:dyDescent="0.25">
      <c r="G30" s="2"/>
    </row>
    <row r="31" spans="7:21" x14ac:dyDescent="0.25">
      <c r="G31" s="2"/>
    </row>
    <row r="32" spans="7:21" x14ac:dyDescent="0.25">
      <c r="G32" s="2"/>
    </row>
    <row r="33" spans="7:20" x14ac:dyDescent="0.25">
      <c r="G33" s="2"/>
    </row>
    <row r="34" spans="7:20" x14ac:dyDescent="0.25">
      <c r="G34" s="2"/>
      <c r="T34" s="2"/>
    </row>
    <row r="35" spans="7:20" x14ac:dyDescent="0.25">
      <c r="G35" s="2"/>
    </row>
    <row r="36" spans="7:20" x14ac:dyDescent="0.25">
      <c r="G36" s="2"/>
    </row>
    <row r="37" spans="7:20" x14ac:dyDescent="0.25">
      <c r="G37" s="2"/>
    </row>
    <row r="38" spans="7:20" x14ac:dyDescent="0.25">
      <c r="G38" s="2"/>
    </row>
    <row r="39" spans="7:20" x14ac:dyDescent="0.25">
      <c r="G39" s="2"/>
    </row>
    <row r="40" spans="7:20" x14ac:dyDescent="0.25">
      <c r="G40" s="2"/>
    </row>
    <row r="41" spans="7:20" x14ac:dyDescent="0.25">
      <c r="G41" s="2"/>
    </row>
    <row r="42" spans="7:20" x14ac:dyDescent="0.25">
      <c r="G42" s="2"/>
    </row>
    <row r="43" spans="7:20" x14ac:dyDescent="0.25">
      <c r="G43" s="2"/>
    </row>
    <row r="44" spans="7:20" x14ac:dyDescent="0.25">
      <c r="G44" s="2"/>
    </row>
    <row r="45" spans="7:20" x14ac:dyDescent="0.25">
      <c r="G45" s="2"/>
    </row>
    <row r="46" spans="7:20" x14ac:dyDescent="0.25">
      <c r="G46" s="2"/>
    </row>
    <row r="47" spans="7:20" x14ac:dyDescent="0.25">
      <c r="G47" s="2"/>
    </row>
    <row r="48" spans="7:20" x14ac:dyDescent="0.25">
      <c r="G48" s="2"/>
    </row>
    <row r="49" spans="4:37" x14ac:dyDescent="0.25">
      <c r="G49" s="2"/>
    </row>
    <row r="50" spans="4:37" x14ac:dyDescent="0.25">
      <c r="G50" s="2"/>
    </row>
    <row r="51" spans="4:37" x14ac:dyDescent="0.25">
      <c r="G51" s="2"/>
    </row>
    <row r="52" spans="4:37" x14ac:dyDescent="0.25">
      <c r="G52" s="2"/>
    </row>
    <row r="53" spans="4:37" x14ac:dyDescent="0.25">
      <c r="G53" s="2"/>
    </row>
    <row r="56" spans="4:37" x14ac:dyDescent="0.25">
      <c r="E56" s="2"/>
    </row>
    <row r="57" spans="4:37" x14ac:dyDescent="0.25">
      <c r="AK57" s="2"/>
    </row>
    <row r="58" spans="4:37" x14ac:dyDescent="0.25">
      <c r="D58" s="2"/>
    </row>
    <row r="59" spans="4:37" x14ac:dyDescent="0.25">
      <c r="L59" s="8"/>
    </row>
    <row r="60" spans="4:37" x14ac:dyDescent="0.25">
      <c r="E60" s="2"/>
    </row>
    <row r="90" spans="10:11" ht="24.75" x14ac:dyDescent="0.25">
      <c r="J90" s="10" t="s">
        <v>146</v>
      </c>
      <c r="K90" s="11" t="s">
        <v>147</v>
      </c>
    </row>
    <row r="91" spans="10:11" x14ac:dyDescent="0.25">
      <c r="J91" s="156" t="s">
        <v>31</v>
      </c>
      <c r="K91" s="156"/>
    </row>
    <row r="92" spans="10:11" ht="49.5" x14ac:dyDescent="0.25">
      <c r="J92" s="10" t="s">
        <v>32</v>
      </c>
      <c r="K92" s="11" t="s">
        <v>148</v>
      </c>
    </row>
    <row r="93" spans="10:11" x14ac:dyDescent="0.25">
      <c r="J93" s="10" t="s">
        <v>33</v>
      </c>
      <c r="K93" s="11" t="s">
        <v>34</v>
      </c>
    </row>
    <row r="94" spans="10:11" ht="16.5" x14ac:dyDescent="0.25">
      <c r="J94" s="10" t="s">
        <v>35</v>
      </c>
      <c r="K94" s="11" t="s">
        <v>149</v>
      </c>
    </row>
    <row r="95" spans="10:11" x14ac:dyDescent="0.25">
      <c r="J95" s="10" t="s">
        <v>36</v>
      </c>
      <c r="K95" s="11" t="s">
        <v>150</v>
      </c>
    </row>
    <row r="96" spans="10:11" x14ac:dyDescent="0.25">
      <c r="J96" s="12"/>
    </row>
    <row r="97" spans="10:24" x14ac:dyDescent="0.25">
      <c r="J97" s="12" t="s">
        <v>151</v>
      </c>
    </row>
    <row r="98" spans="10:24" x14ac:dyDescent="0.25">
      <c r="J98" s="12"/>
    </row>
    <row r="99" spans="10:24" x14ac:dyDescent="0.25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 x14ac:dyDescent="0.25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 x14ac:dyDescent="0.25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 x14ac:dyDescent="0.25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 x14ac:dyDescent="0.25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 x14ac:dyDescent="0.25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 x14ac:dyDescent="0.25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 x14ac:dyDescent="0.25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 x14ac:dyDescent="0.25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 x14ac:dyDescent="0.25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 x14ac:dyDescent="0.25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 x14ac:dyDescent="0.25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 x14ac:dyDescent="0.25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 x14ac:dyDescent="0.25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 x14ac:dyDescent="0.25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 x14ac:dyDescent="0.25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 x14ac:dyDescent="0.25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 x14ac:dyDescent="0.25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 x14ac:dyDescent="0.25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 x14ac:dyDescent="0.25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 x14ac:dyDescent="0.25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 x14ac:dyDescent="0.25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 x14ac:dyDescent="0.25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 x14ac:dyDescent="0.25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 x14ac:dyDescent="0.25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 x14ac:dyDescent="0.25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 x14ac:dyDescent="0.25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 x14ac:dyDescent="0.25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 x14ac:dyDescent="0.25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 x14ac:dyDescent="0.25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 x14ac:dyDescent="0.25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 x14ac:dyDescent="0.25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 x14ac:dyDescent="0.25">
      <c r="O133">
        <f>(630.162/223)^(1/30)</f>
        <v>1.0352333275855601</v>
      </c>
    </row>
  </sheetData>
  <mergeCells count="1">
    <mergeCell ref="J91:K9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D16" sqref="D16"/>
    </sheetView>
    <sheetView workbookViewId="1"/>
  </sheetViews>
  <sheetFormatPr defaultColWidth="9.140625" defaultRowHeight="15.75" x14ac:dyDescent="0.25"/>
  <cols>
    <col min="1" max="1" width="19.28515625" style="1" bestFit="1" customWidth="1"/>
    <col min="2" max="2" width="10.140625" style="1" bestFit="1" customWidth="1"/>
    <col min="3" max="7" width="9.140625" style="1"/>
    <col min="8" max="8" width="22.42578125" style="1" customWidth="1"/>
    <col min="9" max="16384" width="9.140625" style="1"/>
  </cols>
  <sheetData>
    <row r="1" spans="1:8" x14ac:dyDescent="0.25">
      <c r="A1" s="1" t="s">
        <v>9</v>
      </c>
      <c r="B1" s="1" t="s">
        <v>10</v>
      </c>
      <c r="G1" s="1" t="s">
        <v>2</v>
      </c>
      <c r="H1" s="1" t="s">
        <v>7</v>
      </c>
    </row>
    <row r="2" spans="1:8" x14ac:dyDescent="0.25">
      <c r="A2" s="1" t="s">
        <v>11</v>
      </c>
      <c r="B2" s="1">
        <v>30</v>
      </c>
    </row>
    <row r="3" spans="1:8" x14ac:dyDescent="0.25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  <c r="C3" s="1" t="s">
        <v>448</v>
      </c>
    </row>
    <row r="5" spans="1:8" x14ac:dyDescent="0.25">
      <c r="A5" s="1" t="s">
        <v>14</v>
      </c>
      <c r="B5" s="1" t="s">
        <v>10</v>
      </c>
    </row>
    <row r="6" spans="1:8" x14ac:dyDescent="0.25">
      <c r="A6" s="43" t="s">
        <v>15</v>
      </c>
      <c r="B6" s="43" t="s">
        <v>449</v>
      </c>
    </row>
    <row r="7" spans="1:8" x14ac:dyDescent="0.25">
      <c r="A7" s="43" t="s">
        <v>16</v>
      </c>
      <c r="B7" s="44">
        <v>0</v>
      </c>
    </row>
    <row r="8" spans="1:8" x14ac:dyDescent="0.25">
      <c r="A8" s="43" t="s">
        <v>17</v>
      </c>
      <c r="B8" s="43" t="b">
        <v>1</v>
      </c>
    </row>
    <row r="9" spans="1:8" x14ac:dyDescent="0.25">
      <c r="A9" s="43" t="s">
        <v>21</v>
      </c>
      <c r="B9" s="43" t="s">
        <v>23</v>
      </c>
    </row>
    <row r="10" spans="1:8" x14ac:dyDescent="0.25">
      <c r="A10" s="43" t="s">
        <v>154</v>
      </c>
      <c r="B10" s="44">
        <v>2026</v>
      </c>
    </row>
    <row r="11" spans="1:8" x14ac:dyDescent="0.25">
      <c r="A11" s="43" t="s">
        <v>22</v>
      </c>
      <c r="B11" s="44">
        <f>(B12-B13)/365.25</f>
        <v>33.746748802190282</v>
      </c>
    </row>
    <row r="12" spans="1:8" x14ac:dyDescent="0.25">
      <c r="A12" s="43" t="s">
        <v>168</v>
      </c>
      <c r="B12" s="45">
        <v>46037</v>
      </c>
    </row>
    <row r="13" spans="1:8" x14ac:dyDescent="0.25">
      <c r="A13" s="43" t="s">
        <v>169</v>
      </c>
      <c r="B13" s="45">
        <v>33711</v>
      </c>
    </row>
    <row r="15" spans="1:8" x14ac:dyDescent="0.25">
      <c r="A15" s="43" t="s">
        <v>465</v>
      </c>
      <c r="B15" s="1">
        <v>10</v>
      </c>
      <c r="D15" s="1" t="s">
        <v>490</v>
      </c>
    </row>
    <row r="16" spans="1:8" x14ac:dyDescent="0.25">
      <c r="A16" s="43" t="s">
        <v>466</v>
      </c>
      <c r="B16" s="1">
        <v>30</v>
      </c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topLeftCell="BW5" workbookViewId="0">
      <selection activeCell="BW6" sqref="BW6"/>
    </sheetView>
    <sheetView workbookViewId="1"/>
  </sheetViews>
  <sheetFormatPr defaultColWidth="9.140625" defaultRowHeight="15.75" x14ac:dyDescent="0.25"/>
  <cols>
    <col min="1" max="8" width="9.140625" style="1"/>
    <col min="9" max="9" width="13.28515625" style="1" bestFit="1" customWidth="1"/>
    <col min="10" max="10" width="9.140625" style="1"/>
    <col min="11" max="11" width="10.28515625" style="1" bestFit="1" customWidth="1"/>
    <col min="12" max="57" width="9.140625" style="1"/>
    <col min="58" max="58" width="9.7109375" style="1" bestFit="1" customWidth="1"/>
    <col min="59" max="88" width="9.140625" style="1"/>
    <col min="89" max="89" width="17.42578125" style="1" bestFit="1" customWidth="1"/>
    <col min="90" max="136" width="9.140625" style="1"/>
    <col min="137" max="137" width="17.42578125" style="1" bestFit="1" customWidth="1"/>
    <col min="138" max="152" width="9.140625" style="1"/>
    <col min="153" max="153" width="17.42578125" style="1" bestFit="1" customWidth="1"/>
    <col min="154" max="16384" width="9.140625" style="1"/>
  </cols>
  <sheetData>
    <row r="1" spans="2:160" x14ac:dyDescent="0.25">
      <c r="B1" s="159" t="s">
        <v>223</v>
      </c>
      <c r="C1" s="158"/>
      <c r="D1" s="158"/>
      <c r="E1" s="158"/>
      <c r="F1" s="158"/>
      <c r="G1" s="158"/>
      <c r="H1" s="47"/>
      <c r="I1" s="47"/>
      <c r="J1" s="47"/>
      <c r="K1" s="47"/>
      <c r="L1" s="47"/>
      <c r="M1" s="47"/>
      <c r="N1" s="47"/>
      <c r="O1" s="47"/>
      <c r="P1" s="47"/>
      <c r="R1" s="162" t="s">
        <v>223</v>
      </c>
      <c r="S1" s="163"/>
      <c r="T1" s="163"/>
      <c r="U1" s="163"/>
      <c r="V1" s="163"/>
      <c r="W1" s="163"/>
      <c r="X1" s="34"/>
      <c r="Y1" s="34"/>
      <c r="Z1" s="34"/>
      <c r="AA1" s="34"/>
      <c r="AB1" s="34"/>
      <c r="AC1" s="34"/>
      <c r="AD1" s="34"/>
      <c r="AE1" s="34"/>
      <c r="AF1" s="34"/>
      <c r="AH1" s="159" t="s">
        <v>223</v>
      </c>
      <c r="AI1" s="158"/>
      <c r="AJ1" s="158"/>
      <c r="AK1" s="158"/>
      <c r="AL1" s="158"/>
      <c r="AM1" s="158"/>
      <c r="AN1" s="47"/>
      <c r="AO1" s="47"/>
      <c r="AP1" s="47"/>
      <c r="AQ1" s="47"/>
      <c r="AR1" s="47"/>
      <c r="AS1" s="47"/>
      <c r="AT1" s="47"/>
      <c r="AU1" s="47"/>
      <c r="AV1" s="47"/>
      <c r="AX1" s="159" t="s">
        <v>223</v>
      </c>
      <c r="AY1" s="158"/>
      <c r="AZ1" s="158"/>
      <c r="BA1" s="158"/>
      <c r="BB1" s="158"/>
      <c r="BC1" s="158"/>
      <c r="BD1" s="47"/>
      <c r="BE1" s="47"/>
      <c r="BF1" s="47"/>
      <c r="BG1" s="47"/>
      <c r="BH1" s="47"/>
      <c r="BI1" s="47"/>
      <c r="BJ1" s="47"/>
      <c r="BK1" s="47"/>
      <c r="BL1" s="47"/>
      <c r="BN1" s="159" t="s">
        <v>223</v>
      </c>
      <c r="BO1" s="158"/>
      <c r="BP1" s="158"/>
      <c r="BQ1" s="158"/>
      <c r="BR1" s="158"/>
      <c r="BS1" s="158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59" t="s">
        <v>223</v>
      </c>
      <c r="CE1" s="158"/>
      <c r="CF1" s="158"/>
      <c r="CG1" s="158"/>
      <c r="CH1" s="158"/>
      <c r="CI1" s="158"/>
      <c r="CJ1" s="47"/>
      <c r="CK1" s="47"/>
      <c r="CL1" s="47"/>
      <c r="CM1" s="47"/>
      <c r="CN1" s="47"/>
      <c r="CO1" s="47"/>
      <c r="CP1" s="47"/>
      <c r="CQ1" s="47"/>
      <c r="CR1" s="47"/>
      <c r="CT1" s="159" t="s">
        <v>223</v>
      </c>
      <c r="CU1" s="158"/>
      <c r="CV1" s="158"/>
      <c r="CW1" s="158"/>
      <c r="CX1" s="158"/>
      <c r="CY1" s="158"/>
      <c r="CZ1" s="47"/>
      <c r="DA1" s="47"/>
      <c r="DB1" s="47"/>
      <c r="DC1" s="47"/>
      <c r="DD1" s="47"/>
      <c r="DE1" s="47"/>
      <c r="DF1" s="47"/>
      <c r="DG1" s="47"/>
      <c r="DH1" s="47"/>
      <c r="DJ1" s="159" t="s">
        <v>223</v>
      </c>
      <c r="DK1" s="158"/>
      <c r="DL1" s="158"/>
      <c r="DM1" s="158"/>
      <c r="DN1" s="158"/>
      <c r="DO1" s="158"/>
      <c r="DP1" s="47"/>
      <c r="DQ1" s="47"/>
      <c r="DR1" s="47"/>
      <c r="DS1" s="47"/>
      <c r="DT1" s="47"/>
      <c r="DU1" s="47"/>
      <c r="DV1" s="47"/>
      <c r="DW1" s="47"/>
      <c r="DX1" s="47"/>
      <c r="DZ1" s="159" t="s">
        <v>223</v>
      </c>
      <c r="EA1" s="158"/>
      <c r="EB1" s="158"/>
      <c r="EC1" s="158"/>
      <c r="ED1" s="158"/>
      <c r="EE1" s="158"/>
      <c r="EF1" s="47"/>
      <c r="EG1" s="47"/>
      <c r="EH1" s="47"/>
      <c r="EI1" s="47"/>
      <c r="EJ1" s="47"/>
      <c r="EK1" s="47"/>
      <c r="EL1" s="47"/>
      <c r="EM1" s="47"/>
      <c r="EN1" s="47"/>
      <c r="EP1" s="159" t="s">
        <v>223</v>
      </c>
      <c r="EQ1" s="158"/>
      <c r="ER1" s="158"/>
      <c r="ES1" s="158"/>
      <c r="ET1" s="158"/>
      <c r="EU1" s="158"/>
      <c r="EV1" s="47"/>
      <c r="EW1" s="47"/>
      <c r="EX1" s="47"/>
      <c r="EY1" s="47"/>
      <c r="EZ1" s="47"/>
      <c r="FA1" s="47"/>
      <c r="FB1" s="47"/>
      <c r="FC1" s="47"/>
      <c r="FD1" s="47"/>
    </row>
    <row r="2" spans="2:160" x14ac:dyDescent="0.25">
      <c r="B2" s="159" t="s">
        <v>224</v>
      </c>
      <c r="C2" s="158"/>
      <c r="D2" s="158"/>
      <c r="E2" s="158"/>
      <c r="F2" s="158"/>
      <c r="G2" s="158"/>
      <c r="H2" s="47"/>
      <c r="I2" s="47"/>
      <c r="J2" s="47"/>
      <c r="K2" s="47"/>
      <c r="L2" s="47"/>
      <c r="M2" s="47"/>
      <c r="N2" s="47"/>
      <c r="O2" s="47"/>
      <c r="P2" s="47"/>
      <c r="R2" s="162" t="s">
        <v>224</v>
      </c>
      <c r="S2" s="163"/>
      <c r="T2" s="163"/>
      <c r="U2" s="163"/>
      <c r="V2" s="163"/>
      <c r="W2" s="163"/>
      <c r="X2" s="34"/>
      <c r="Y2" s="34"/>
      <c r="Z2" s="34"/>
      <c r="AA2" s="34"/>
      <c r="AB2" s="34"/>
      <c r="AC2" s="34"/>
      <c r="AD2" s="34"/>
      <c r="AE2" s="34"/>
      <c r="AF2" s="34"/>
      <c r="AH2" s="159" t="s">
        <v>224</v>
      </c>
      <c r="AI2" s="158"/>
      <c r="AJ2" s="158"/>
      <c r="AK2" s="158"/>
      <c r="AL2" s="158"/>
      <c r="AM2" s="158"/>
      <c r="AN2" s="47"/>
      <c r="AO2" s="47"/>
      <c r="AP2" s="47"/>
      <c r="AQ2" s="47"/>
      <c r="AR2" s="47"/>
      <c r="AS2" s="47"/>
      <c r="AT2" s="47"/>
      <c r="AU2" s="47"/>
      <c r="AV2" s="47"/>
      <c r="AX2" s="159" t="s">
        <v>224</v>
      </c>
      <c r="AY2" s="158"/>
      <c r="AZ2" s="158"/>
      <c r="BA2" s="158"/>
      <c r="BB2" s="158"/>
      <c r="BC2" s="158"/>
      <c r="BD2" s="47"/>
      <c r="BE2" s="47"/>
      <c r="BF2" s="47"/>
      <c r="BG2" s="47"/>
      <c r="BH2" s="47"/>
      <c r="BI2" s="47"/>
      <c r="BJ2" s="47"/>
      <c r="BK2" s="47"/>
      <c r="BL2" s="47"/>
      <c r="BN2" s="159" t="s">
        <v>224</v>
      </c>
      <c r="BO2" s="158"/>
      <c r="BP2" s="158"/>
      <c r="BQ2" s="158"/>
      <c r="BR2" s="158"/>
      <c r="BS2" s="158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59" t="s">
        <v>224</v>
      </c>
      <c r="CE2" s="158"/>
      <c r="CF2" s="158"/>
      <c r="CG2" s="158"/>
      <c r="CH2" s="158"/>
      <c r="CI2" s="158"/>
      <c r="CJ2" s="47"/>
      <c r="CK2" s="47"/>
      <c r="CL2" s="47"/>
      <c r="CM2" s="47"/>
      <c r="CN2" s="47"/>
      <c r="CO2" s="47"/>
      <c r="CP2" s="47"/>
      <c r="CQ2" s="47"/>
      <c r="CR2" s="47"/>
      <c r="CT2" s="159" t="s">
        <v>224</v>
      </c>
      <c r="CU2" s="158"/>
      <c r="CV2" s="158"/>
      <c r="CW2" s="158"/>
      <c r="CX2" s="158"/>
      <c r="CY2" s="158"/>
      <c r="CZ2" s="47"/>
      <c r="DA2" s="47"/>
      <c r="DB2" s="47"/>
      <c r="DC2" s="47"/>
      <c r="DD2" s="47"/>
      <c r="DE2" s="47"/>
      <c r="DF2" s="47"/>
      <c r="DG2" s="47"/>
      <c r="DH2" s="47"/>
      <c r="DJ2" s="159" t="s">
        <v>224</v>
      </c>
      <c r="DK2" s="158"/>
      <c r="DL2" s="158"/>
      <c r="DM2" s="158"/>
      <c r="DN2" s="158"/>
      <c r="DO2" s="158"/>
      <c r="DP2" s="47"/>
      <c r="DQ2" s="47"/>
      <c r="DR2" s="47"/>
      <c r="DS2" s="47"/>
      <c r="DT2" s="47"/>
      <c r="DU2" s="47"/>
      <c r="DV2" s="47"/>
      <c r="DW2" s="47"/>
      <c r="DX2" s="47"/>
      <c r="DZ2" s="159" t="s">
        <v>224</v>
      </c>
      <c r="EA2" s="158"/>
      <c r="EB2" s="158"/>
      <c r="EC2" s="158"/>
      <c r="ED2" s="158"/>
      <c r="EE2" s="158"/>
      <c r="EF2" s="47"/>
      <c r="EG2" s="47"/>
      <c r="EH2" s="47"/>
      <c r="EI2" s="47"/>
      <c r="EJ2" s="47"/>
      <c r="EK2" s="47"/>
      <c r="EL2" s="47"/>
      <c r="EM2" s="47"/>
      <c r="EN2" s="47"/>
      <c r="EP2" s="159" t="s">
        <v>224</v>
      </c>
      <c r="EQ2" s="158"/>
      <c r="ER2" s="158"/>
      <c r="ES2" s="158"/>
      <c r="ET2" s="158"/>
      <c r="EU2" s="158"/>
      <c r="EV2" s="47"/>
      <c r="EW2" s="47"/>
      <c r="EX2" s="47"/>
      <c r="EY2" s="47"/>
      <c r="EZ2" s="47"/>
      <c r="FA2" s="47"/>
      <c r="FB2" s="47"/>
      <c r="FC2" s="47"/>
      <c r="FD2" s="47"/>
    </row>
    <row r="3" spans="2:160" x14ac:dyDescent="0.25">
      <c r="B3" s="158"/>
      <c r="C3" s="158"/>
      <c r="D3" s="158"/>
      <c r="E3" s="158"/>
      <c r="F3" s="158"/>
      <c r="G3" s="158"/>
      <c r="H3" s="47"/>
      <c r="I3" s="47" t="s">
        <v>493</v>
      </c>
      <c r="J3" s="47"/>
      <c r="K3" s="47"/>
      <c r="L3" s="47"/>
      <c r="M3" s="47"/>
      <c r="N3" s="47"/>
      <c r="O3" s="47"/>
      <c r="P3" s="47"/>
      <c r="R3" s="163"/>
      <c r="S3" s="163"/>
      <c r="T3" s="163"/>
      <c r="U3" s="163"/>
      <c r="V3" s="163"/>
      <c r="W3" s="163"/>
      <c r="X3" s="34"/>
      <c r="Y3" s="34"/>
      <c r="Z3" s="34"/>
      <c r="AA3" s="34"/>
      <c r="AB3" s="34"/>
      <c r="AC3" s="34"/>
      <c r="AD3" s="34"/>
      <c r="AE3" s="34"/>
      <c r="AF3" s="34"/>
      <c r="AH3" s="158"/>
      <c r="AI3" s="158"/>
      <c r="AJ3" s="158"/>
      <c r="AK3" s="158"/>
      <c r="AL3" s="158"/>
      <c r="AM3" s="158"/>
      <c r="AN3" s="47"/>
      <c r="AO3" s="47"/>
      <c r="AP3" s="47"/>
      <c r="AQ3" s="47"/>
      <c r="AR3" s="47"/>
      <c r="AS3" s="47"/>
      <c r="AT3" s="47"/>
      <c r="AU3" s="47"/>
      <c r="AV3" s="47"/>
      <c r="AX3" s="158"/>
      <c r="AY3" s="158"/>
      <c r="AZ3" s="158"/>
      <c r="BA3" s="158"/>
      <c r="BB3" s="158"/>
      <c r="BC3" s="158"/>
      <c r="BD3" s="47"/>
      <c r="BE3" s="47"/>
      <c r="BF3" s="47"/>
      <c r="BG3" s="47"/>
      <c r="BH3" s="47"/>
      <c r="BI3" s="47"/>
      <c r="BJ3" s="47"/>
      <c r="BK3" s="47"/>
      <c r="BL3" s="47"/>
      <c r="BN3" s="158"/>
      <c r="BO3" s="158"/>
      <c r="BP3" s="158"/>
      <c r="BQ3" s="158"/>
      <c r="BR3" s="158"/>
      <c r="BS3" s="158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58"/>
      <c r="CE3" s="158"/>
      <c r="CF3" s="158"/>
      <c r="CG3" s="158"/>
      <c r="CH3" s="158"/>
      <c r="CI3" s="158"/>
      <c r="CJ3" s="47"/>
      <c r="CK3" s="47"/>
      <c r="CL3" s="47"/>
      <c r="CM3" s="47"/>
      <c r="CN3" s="47"/>
      <c r="CO3" s="47"/>
      <c r="CP3" s="47"/>
      <c r="CQ3" s="47"/>
      <c r="CR3" s="47"/>
      <c r="CT3" s="158"/>
      <c r="CU3" s="158"/>
      <c r="CV3" s="158"/>
      <c r="CW3" s="158"/>
      <c r="CX3" s="158"/>
      <c r="CY3" s="158"/>
      <c r="CZ3" s="47"/>
      <c r="DA3" s="47"/>
      <c r="DB3" s="47"/>
      <c r="DC3" s="47"/>
      <c r="DD3" s="47"/>
      <c r="DE3" s="47"/>
      <c r="DF3" s="47"/>
      <c r="DG3" s="47"/>
      <c r="DH3" s="47"/>
      <c r="DJ3" s="158"/>
      <c r="DK3" s="158"/>
      <c r="DL3" s="158"/>
      <c r="DM3" s="158"/>
      <c r="DN3" s="158"/>
      <c r="DO3" s="158"/>
      <c r="DP3" s="47"/>
      <c r="DQ3" s="47"/>
      <c r="DR3" s="47"/>
      <c r="DS3" s="47"/>
      <c r="DT3" s="47"/>
      <c r="DU3" s="47"/>
      <c r="DV3" s="47"/>
      <c r="DW3" s="47"/>
      <c r="DX3" s="47"/>
      <c r="DZ3" s="158"/>
      <c r="EA3" s="158"/>
      <c r="EB3" s="158"/>
      <c r="EC3" s="158"/>
      <c r="ED3" s="158"/>
      <c r="EE3" s="158"/>
      <c r="EF3" s="47"/>
      <c r="EG3" s="47"/>
      <c r="EH3" s="47"/>
      <c r="EI3" s="47"/>
      <c r="EJ3" s="47"/>
      <c r="EK3" s="47"/>
      <c r="EL3" s="47"/>
      <c r="EM3" s="47"/>
      <c r="EN3" s="47"/>
      <c r="EP3" s="158"/>
      <c r="EQ3" s="158"/>
      <c r="ER3" s="158"/>
      <c r="ES3" s="158"/>
      <c r="ET3" s="158"/>
      <c r="EU3" s="158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31.5" x14ac:dyDescent="0.25">
      <c r="B4" s="48" t="s">
        <v>146</v>
      </c>
      <c r="C4" s="160" t="s">
        <v>170</v>
      </c>
      <c r="D4" s="158"/>
      <c r="E4" s="158"/>
      <c r="F4" s="158"/>
      <c r="G4" s="158"/>
      <c r="H4" s="47"/>
      <c r="I4" s="47" t="s">
        <v>453</v>
      </c>
      <c r="J4" s="47">
        <f>DROPS!B15</f>
        <v>10</v>
      </c>
      <c r="K4" s="47"/>
      <c r="L4" s="47" t="s">
        <v>450</v>
      </c>
      <c r="M4" s="47"/>
      <c r="N4" s="47"/>
      <c r="O4" s="47"/>
      <c r="P4" s="47"/>
      <c r="R4" s="35" t="s">
        <v>146</v>
      </c>
      <c r="S4" s="165" t="s">
        <v>225</v>
      </c>
      <c r="T4" s="163"/>
      <c r="U4" s="163"/>
      <c r="V4" s="163"/>
      <c r="W4" s="163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60" t="s">
        <v>147</v>
      </c>
      <c r="AJ4" s="158"/>
      <c r="AK4" s="158"/>
      <c r="AL4" s="158"/>
      <c r="AM4" s="158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60" t="s">
        <v>171</v>
      </c>
      <c r="AZ4" s="158"/>
      <c r="BA4" s="158"/>
      <c r="BB4" s="158"/>
      <c r="BC4" s="158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60" t="s">
        <v>244</v>
      </c>
      <c r="BP4" s="158"/>
      <c r="BQ4" s="158"/>
      <c r="BR4" s="158"/>
      <c r="BS4" s="158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60" t="s">
        <v>241</v>
      </c>
      <c r="CF4" s="158"/>
      <c r="CG4" s="158"/>
      <c r="CH4" s="158"/>
      <c r="CI4" s="158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60" t="s">
        <v>256</v>
      </c>
      <c r="CV4" s="158"/>
      <c r="CW4" s="158"/>
      <c r="CX4" s="158"/>
      <c r="CY4" s="158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60" t="s">
        <v>231</v>
      </c>
      <c r="DL4" s="158"/>
      <c r="DM4" s="158"/>
      <c r="DN4" s="158"/>
      <c r="DO4" s="158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60" t="s">
        <v>247</v>
      </c>
      <c r="EB4" s="158"/>
      <c r="EC4" s="158"/>
      <c r="ED4" s="158"/>
      <c r="EE4" s="158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60" t="s">
        <v>236</v>
      </c>
      <c r="ER4" s="158"/>
      <c r="ES4" s="158"/>
      <c r="ET4" s="158"/>
      <c r="EU4" s="158"/>
      <c r="EV4" s="47"/>
      <c r="EW4" s="47"/>
      <c r="EX4" s="47"/>
      <c r="EY4" s="47"/>
      <c r="EZ4" s="47"/>
      <c r="FA4" s="47"/>
      <c r="FB4" s="47"/>
      <c r="FC4" s="47"/>
      <c r="FD4" s="47"/>
    </row>
    <row r="5" spans="2:160" x14ac:dyDescent="0.25">
      <c r="B5" s="161" t="s">
        <v>31</v>
      </c>
      <c r="C5" s="158"/>
      <c r="D5" s="158"/>
      <c r="E5" s="158"/>
      <c r="F5" s="158"/>
      <c r="G5" s="158"/>
      <c r="H5" s="47"/>
      <c r="I5" s="47" t="s">
        <v>454</v>
      </c>
      <c r="J5" s="47">
        <f>DROPS!B16</f>
        <v>30</v>
      </c>
      <c r="K5" s="47"/>
      <c r="L5" s="47" t="s">
        <v>451</v>
      </c>
      <c r="M5" s="47"/>
      <c r="N5" s="47"/>
      <c r="O5" s="47"/>
      <c r="P5" s="47"/>
      <c r="R5" s="166" t="s">
        <v>31</v>
      </c>
      <c r="S5" s="163"/>
      <c r="T5" s="163"/>
      <c r="U5" s="163"/>
      <c r="V5" s="163"/>
      <c r="W5" s="163"/>
      <c r="X5" s="34"/>
      <c r="Y5" s="34"/>
      <c r="Z5" s="34"/>
      <c r="AA5" s="34"/>
      <c r="AB5" s="34"/>
      <c r="AC5" s="34"/>
      <c r="AD5" s="34"/>
      <c r="AE5" s="34"/>
      <c r="AF5" s="34"/>
      <c r="AH5" s="161" t="s">
        <v>31</v>
      </c>
      <c r="AI5" s="158"/>
      <c r="AJ5" s="158"/>
      <c r="AK5" s="158"/>
      <c r="AL5" s="158"/>
      <c r="AM5" s="158"/>
      <c r="AN5" s="47"/>
      <c r="AO5" s="47"/>
      <c r="AP5" s="47"/>
      <c r="AQ5" s="47"/>
      <c r="AR5" s="47"/>
      <c r="AS5" s="47"/>
      <c r="AT5" s="47"/>
      <c r="AU5" s="47"/>
      <c r="AV5" s="47"/>
      <c r="AX5" s="161" t="s">
        <v>31</v>
      </c>
      <c r="AY5" s="158"/>
      <c r="AZ5" s="158"/>
      <c r="BA5" s="158"/>
      <c r="BB5" s="158"/>
      <c r="BC5" s="158"/>
      <c r="BD5" s="47"/>
      <c r="BE5" s="47"/>
      <c r="BF5" s="47"/>
      <c r="BG5" s="47"/>
      <c r="BH5" s="47"/>
      <c r="BI5" s="47"/>
      <c r="BJ5" s="47"/>
      <c r="BK5" s="47"/>
      <c r="BL5" s="47"/>
      <c r="BN5" s="161" t="s">
        <v>31</v>
      </c>
      <c r="BO5" s="158"/>
      <c r="BP5" s="158"/>
      <c r="BQ5" s="158"/>
      <c r="BR5" s="158"/>
      <c r="BS5" s="158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61" t="s">
        <v>31</v>
      </c>
      <c r="CE5" s="158"/>
      <c r="CF5" s="158"/>
      <c r="CG5" s="158"/>
      <c r="CH5" s="158"/>
      <c r="CI5" s="158"/>
      <c r="CJ5" s="47"/>
      <c r="CK5" s="47"/>
      <c r="CL5" s="47"/>
      <c r="CM5" s="47"/>
      <c r="CN5" s="47"/>
      <c r="CO5" s="47"/>
      <c r="CP5" s="47"/>
      <c r="CQ5" s="47"/>
      <c r="CR5" s="47"/>
      <c r="CT5" s="161" t="s">
        <v>31</v>
      </c>
      <c r="CU5" s="158"/>
      <c r="CV5" s="158"/>
      <c r="CW5" s="158"/>
      <c r="CX5" s="158"/>
      <c r="CY5" s="158"/>
      <c r="CZ5" s="47"/>
      <c r="DA5" s="47"/>
      <c r="DB5" s="47"/>
      <c r="DC5" s="47"/>
      <c r="DD5" s="47"/>
      <c r="DE5" s="47"/>
      <c r="DF5" s="47"/>
      <c r="DG5" s="47"/>
      <c r="DH5" s="47"/>
      <c r="DJ5" s="161" t="s">
        <v>31</v>
      </c>
      <c r="DK5" s="158"/>
      <c r="DL5" s="158"/>
      <c r="DM5" s="158"/>
      <c r="DN5" s="158"/>
      <c r="DO5" s="158"/>
      <c r="DP5" s="47"/>
      <c r="DQ5" s="47"/>
      <c r="DR5" s="47"/>
      <c r="DS5" s="47"/>
      <c r="DT5" s="47"/>
      <c r="DU5" s="47"/>
      <c r="DV5" s="47"/>
      <c r="DW5" s="47"/>
      <c r="DX5" s="47"/>
      <c r="DZ5" s="161" t="s">
        <v>31</v>
      </c>
      <c r="EA5" s="158"/>
      <c r="EB5" s="158"/>
      <c r="EC5" s="158"/>
      <c r="ED5" s="158"/>
      <c r="EE5" s="158"/>
      <c r="EF5" s="47"/>
      <c r="EG5" s="47"/>
      <c r="EH5" s="47"/>
      <c r="EI5" s="47"/>
      <c r="EJ5" s="47"/>
      <c r="EK5" s="47"/>
      <c r="EL5" s="47"/>
      <c r="EM5" s="47"/>
      <c r="EN5" s="47"/>
      <c r="EP5" s="161" t="s">
        <v>31</v>
      </c>
      <c r="EQ5" s="158"/>
      <c r="ER5" s="158"/>
      <c r="ES5" s="158"/>
      <c r="ET5" s="158"/>
      <c r="EU5" s="158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1.5" x14ac:dyDescent="0.25">
      <c r="B6" s="48" t="s">
        <v>32</v>
      </c>
      <c r="C6" s="160" t="s">
        <v>172</v>
      </c>
      <c r="D6" s="158"/>
      <c r="E6" s="158"/>
      <c r="F6" s="158"/>
      <c r="G6" s="158"/>
      <c r="H6" s="47"/>
      <c r="I6" s="47"/>
      <c r="J6" s="47"/>
      <c r="K6" s="47"/>
      <c r="L6" s="47" t="s">
        <v>452</v>
      </c>
      <c r="M6" s="47"/>
      <c r="N6" s="47"/>
      <c r="O6" s="47"/>
      <c r="P6" s="47"/>
      <c r="R6" s="35" t="s">
        <v>32</v>
      </c>
      <c r="S6" s="165" t="s">
        <v>226</v>
      </c>
      <c r="T6" s="163"/>
      <c r="U6" s="163"/>
      <c r="V6" s="163"/>
      <c r="W6" s="163"/>
      <c r="X6" s="34"/>
      <c r="Y6" s="34"/>
      <c r="Z6" s="34"/>
      <c r="AA6" s="34"/>
      <c r="AB6" s="34"/>
      <c r="AC6" s="34"/>
      <c r="AD6" s="34"/>
      <c r="AE6" s="34"/>
      <c r="AF6" s="34"/>
      <c r="AH6" s="48" t="s">
        <v>32</v>
      </c>
      <c r="AI6" s="160" t="s">
        <v>148</v>
      </c>
      <c r="AJ6" s="158"/>
      <c r="AK6" s="158"/>
      <c r="AL6" s="158"/>
      <c r="AM6" s="158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60" t="s">
        <v>173</v>
      </c>
      <c r="AZ6" s="158"/>
      <c r="BA6" s="158"/>
      <c r="BB6" s="158"/>
      <c r="BC6" s="158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60" t="s">
        <v>245</v>
      </c>
      <c r="BP6" s="158"/>
      <c r="BQ6" s="158"/>
      <c r="BR6" s="158"/>
      <c r="BS6" s="158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60" t="s">
        <v>242</v>
      </c>
      <c r="CF6" s="158"/>
      <c r="CG6" s="158"/>
      <c r="CH6" s="158"/>
      <c r="CI6" s="158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60" t="s">
        <v>257</v>
      </c>
      <c r="CV6" s="158"/>
      <c r="CW6" s="158"/>
      <c r="CX6" s="158"/>
      <c r="CY6" s="158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60" t="s">
        <v>232</v>
      </c>
      <c r="DL6" s="158"/>
      <c r="DM6" s="158"/>
      <c r="DN6" s="158"/>
      <c r="DO6" s="158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60" t="s">
        <v>248</v>
      </c>
      <c r="EB6" s="158"/>
      <c r="EC6" s="158"/>
      <c r="ED6" s="158"/>
      <c r="EE6" s="158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60" t="s">
        <v>237</v>
      </c>
      <c r="ER6" s="158"/>
      <c r="ES6" s="158"/>
      <c r="ET6" s="158"/>
      <c r="EU6" s="158"/>
      <c r="EV6" s="47"/>
      <c r="EW6" s="47"/>
      <c r="EX6" s="47"/>
      <c r="EY6" s="47"/>
      <c r="EZ6" s="47"/>
      <c r="FA6" s="47"/>
      <c r="FB6" s="47"/>
      <c r="FC6" s="47"/>
      <c r="FD6" s="47"/>
    </row>
    <row r="7" spans="2:160" x14ac:dyDescent="0.25">
      <c r="B7" s="48" t="s">
        <v>33</v>
      </c>
      <c r="C7" s="160" t="s">
        <v>34</v>
      </c>
      <c r="D7" s="158"/>
      <c r="E7" s="158"/>
      <c r="F7" s="158"/>
      <c r="G7" s="158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165" t="s">
        <v>34</v>
      </c>
      <c r="T7" s="163"/>
      <c r="U7" s="163"/>
      <c r="V7" s="163"/>
      <c r="W7" s="163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60" t="s">
        <v>34</v>
      </c>
      <c r="AJ7" s="158"/>
      <c r="AK7" s="158"/>
      <c r="AL7" s="158"/>
      <c r="AM7" s="158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60" t="s">
        <v>34</v>
      </c>
      <c r="AZ7" s="158"/>
      <c r="BA7" s="158"/>
      <c r="BB7" s="158"/>
      <c r="BC7" s="158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60" t="s">
        <v>34</v>
      </c>
      <c r="BP7" s="158"/>
      <c r="BQ7" s="158"/>
      <c r="BR7" s="158"/>
      <c r="BS7" s="158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60" t="s">
        <v>34</v>
      </c>
      <c r="CF7" s="158"/>
      <c r="CG7" s="158"/>
      <c r="CH7" s="158"/>
      <c r="CI7" s="158"/>
      <c r="CJ7" s="47"/>
      <c r="CK7" s="47"/>
      <c r="CL7" s="178"/>
      <c r="CM7" s="47"/>
      <c r="CN7" s="47"/>
      <c r="CO7" s="47"/>
      <c r="CP7" s="47"/>
      <c r="CQ7" s="47"/>
      <c r="CR7" s="47"/>
      <c r="CT7" s="48" t="s">
        <v>33</v>
      </c>
      <c r="CU7" s="160" t="s">
        <v>34</v>
      </c>
      <c r="CV7" s="158"/>
      <c r="CW7" s="158"/>
      <c r="CX7" s="158"/>
      <c r="CY7" s="158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60" t="s">
        <v>34</v>
      </c>
      <c r="DL7" s="158"/>
      <c r="DM7" s="158"/>
      <c r="DN7" s="158"/>
      <c r="DO7" s="158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60" t="s">
        <v>34</v>
      </c>
      <c r="EB7" s="158"/>
      <c r="EC7" s="158"/>
      <c r="ED7" s="158"/>
      <c r="EE7" s="158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60" t="s">
        <v>34</v>
      </c>
      <c r="ER7" s="158"/>
      <c r="ES7" s="158"/>
      <c r="ET7" s="158"/>
      <c r="EU7" s="158"/>
      <c r="EV7" s="47"/>
      <c r="EW7" s="47"/>
      <c r="EX7" s="47"/>
      <c r="EY7" s="47"/>
      <c r="EZ7" s="47"/>
      <c r="FA7" s="47"/>
      <c r="FB7" s="47"/>
      <c r="FC7" s="47"/>
      <c r="FD7" s="47"/>
    </row>
    <row r="8" spans="2:160" x14ac:dyDescent="0.25">
      <c r="B8" s="48" t="s">
        <v>35</v>
      </c>
      <c r="C8" s="160" t="s">
        <v>144</v>
      </c>
      <c r="D8" s="158"/>
      <c r="E8" s="158"/>
      <c r="F8" s="158"/>
      <c r="G8" s="158"/>
      <c r="H8" s="47"/>
      <c r="I8" s="130" t="s">
        <v>496</v>
      </c>
      <c r="J8" s="174">
        <f>(N43/INDEX(N13:N43,MATCH(B43-$J$4,B13:B43,0)))^(1/$J$4)-1</f>
        <v>1.5468972511925472E-2</v>
      </c>
      <c r="K8" s="47"/>
      <c r="L8" s="47"/>
      <c r="M8" s="47"/>
      <c r="N8" s="53"/>
      <c r="O8" s="47"/>
      <c r="P8" s="47"/>
      <c r="R8" s="35" t="s">
        <v>35</v>
      </c>
      <c r="S8" s="165" t="s">
        <v>227</v>
      </c>
      <c r="T8" s="163"/>
      <c r="U8" s="163"/>
      <c r="V8" s="163"/>
      <c r="W8" s="163"/>
      <c r="X8" s="53"/>
      <c r="Y8" s="96" t="s">
        <v>496</v>
      </c>
      <c r="Z8" s="174">
        <f>(X43/INDEX(X13:X43,MATCH(R43-$J$4,R13:R43,0)))^(1/$J$4)-1</f>
        <v>1.6240253759025602E-2</v>
      </c>
      <c r="AA8" s="34"/>
      <c r="AB8" s="34"/>
      <c r="AC8" s="34"/>
      <c r="AD8" s="34"/>
      <c r="AE8" s="34"/>
      <c r="AF8" s="34"/>
      <c r="AH8" s="48" t="s">
        <v>35</v>
      </c>
      <c r="AI8" s="160" t="s">
        <v>149</v>
      </c>
      <c r="AJ8" s="158"/>
      <c r="AK8" s="158"/>
      <c r="AL8" s="158"/>
      <c r="AM8" s="158"/>
      <c r="AN8" s="47"/>
      <c r="AO8" s="96" t="s">
        <v>496</v>
      </c>
      <c r="AP8" s="177">
        <f>(AT43/INDEX(AT13:AT43,MATCH(AH43-$J$4,AH13:AH43,0)))^(1/$J$4)-1</f>
        <v>2.9013238210415127E-2</v>
      </c>
      <c r="AQ8" s="47"/>
      <c r="AR8" s="47"/>
      <c r="AS8" s="47"/>
      <c r="AT8" s="53"/>
      <c r="AU8" s="47"/>
      <c r="AV8" s="47"/>
      <c r="AX8" s="48" t="s">
        <v>35</v>
      </c>
      <c r="AY8" s="160" t="s">
        <v>174</v>
      </c>
      <c r="AZ8" s="158"/>
      <c r="BA8" s="158"/>
      <c r="BB8" s="158"/>
      <c r="BC8" s="158"/>
      <c r="BD8" s="47"/>
      <c r="BE8" s="96" t="s">
        <v>496</v>
      </c>
      <c r="BF8" s="177">
        <f>(BJ43/INDEX(BJ13:BJ43,MATCH(AX43-$J$4,AX13:AX43,0)))^(1/$J$4)-1</f>
        <v>1.7032105327638547E-2</v>
      </c>
      <c r="BG8" s="47"/>
      <c r="BH8" s="47"/>
      <c r="BI8" s="47"/>
      <c r="BJ8" s="53"/>
      <c r="BK8" s="47"/>
      <c r="BL8" s="47"/>
      <c r="BN8" s="48" t="s">
        <v>35</v>
      </c>
      <c r="BO8" s="160" t="s">
        <v>246</v>
      </c>
      <c r="BP8" s="158"/>
      <c r="BQ8" s="158"/>
      <c r="BR8" s="158"/>
      <c r="BS8" s="158"/>
      <c r="BT8" s="47"/>
      <c r="BU8" s="96" t="s">
        <v>496</v>
      </c>
      <c r="BV8" s="177">
        <f>(BZ29/INDEX(BZ13:BZ29,MATCH(BN29-$J$4,BN13:BN29,0)))^(1/$J$4)-1</f>
        <v>1.3165871668195939E-2</v>
      </c>
      <c r="BX8" s="47"/>
      <c r="BY8" s="47"/>
      <c r="BZ8" s="53"/>
      <c r="CA8" s="47"/>
      <c r="CB8" s="47"/>
      <c r="CD8" s="48" t="s">
        <v>35</v>
      </c>
      <c r="CE8" s="160" t="s">
        <v>243</v>
      </c>
      <c r="CF8" s="158"/>
      <c r="CG8" s="158"/>
      <c r="CH8" s="158"/>
      <c r="CI8" s="158"/>
      <c r="CJ8" s="47"/>
      <c r="CK8" s="96" t="s">
        <v>496</v>
      </c>
      <c r="CL8" s="177">
        <f>(CP43/INDEX(CP13:CP43,MATCH(CD43-$J$4,CD13:CD43,0)))^(1/$J$4)-1</f>
        <v>3.1986541506141108E-2</v>
      </c>
      <c r="CM8" s="47"/>
      <c r="CN8" s="47"/>
      <c r="CO8" s="47"/>
      <c r="CP8" s="53"/>
      <c r="CQ8" s="47"/>
      <c r="CR8" s="47"/>
      <c r="CT8" s="48" t="s">
        <v>35</v>
      </c>
      <c r="CU8" s="160" t="s">
        <v>258</v>
      </c>
      <c r="CV8" s="158"/>
      <c r="CW8" s="158"/>
      <c r="CX8" s="158"/>
      <c r="CY8" s="158"/>
      <c r="CZ8" s="47"/>
      <c r="DA8" s="96" t="s">
        <v>496</v>
      </c>
      <c r="DB8" s="177">
        <f>(DF42/INDEX(DF13:DF42,MATCH(CT42-$J$4,CT13:CT42,0)))^(1/$J$4)-1</f>
        <v>4.243395960896823E-2</v>
      </c>
      <c r="DD8" s="47"/>
      <c r="DE8" s="47"/>
      <c r="DF8" s="53"/>
      <c r="DH8" s="47"/>
      <c r="DJ8" s="48" t="s">
        <v>35</v>
      </c>
      <c r="DK8" s="160" t="s">
        <v>233</v>
      </c>
      <c r="DL8" s="158"/>
      <c r="DM8" s="158"/>
      <c r="DN8" s="158"/>
      <c r="DO8" s="158"/>
      <c r="DP8" s="47"/>
      <c r="DQ8" s="96" t="s">
        <v>496</v>
      </c>
      <c r="DR8" s="177">
        <f>(DS42/INDEX(DS14:DS42,MATCH(DJ42-$J$4,DJ13:DJ42,0)))^(1/$J$4)-1</f>
        <v>3.3582223276373169E-2</v>
      </c>
      <c r="DS8" s="53"/>
      <c r="DT8" s="47"/>
      <c r="DU8" s="47"/>
      <c r="DV8" s="53"/>
      <c r="DW8" s="47"/>
      <c r="DX8" s="47"/>
      <c r="DZ8" s="48" t="s">
        <v>35</v>
      </c>
      <c r="EA8" s="160" t="s">
        <v>139</v>
      </c>
      <c r="EB8" s="158"/>
      <c r="EC8" s="158"/>
      <c r="ED8" s="158"/>
      <c r="EE8" s="158"/>
      <c r="EF8" s="47"/>
      <c r="EG8" s="96" t="s">
        <v>496</v>
      </c>
      <c r="EH8" s="177">
        <f>(EI43/INDEX(EI13:EI43,MATCH(DZ43-$J$4,DZ13:DZ43,0)))^(1/$J$4)-1</f>
        <v>4.0322082991401498E-2</v>
      </c>
      <c r="EI8" s="47"/>
      <c r="EJ8" s="47"/>
      <c r="EK8" s="47"/>
      <c r="EL8" s="53"/>
      <c r="EM8" s="47"/>
      <c r="EN8" s="47"/>
      <c r="EP8" s="48" t="s">
        <v>35</v>
      </c>
      <c r="EQ8" s="160" t="s">
        <v>238</v>
      </c>
      <c r="ER8" s="158"/>
      <c r="ES8" s="158"/>
      <c r="ET8" s="158"/>
      <c r="EU8" s="158"/>
      <c r="EV8" s="47"/>
      <c r="EW8" s="96" t="s">
        <v>496</v>
      </c>
      <c r="EX8" s="177">
        <f>(EY29/INDEX(EY13:EY29,MATCH(EP29-$J$4,EP13:EP29,0)))^(1/$J$4)-1</f>
        <v>1.2077933361885673E-2</v>
      </c>
      <c r="EY8" s="47"/>
      <c r="EZ8" s="47"/>
      <c r="FA8" s="47"/>
      <c r="FB8" s="53"/>
      <c r="FC8" s="47"/>
      <c r="FD8" s="47"/>
    </row>
    <row r="9" spans="2:160" ht="33" customHeight="1" x14ac:dyDescent="0.25">
      <c r="B9" s="48" t="s">
        <v>36</v>
      </c>
      <c r="C9" s="160" t="s">
        <v>150</v>
      </c>
      <c r="D9" s="158"/>
      <c r="E9" s="158"/>
      <c r="F9" s="158"/>
      <c r="G9" s="158"/>
      <c r="H9" s="47"/>
      <c r="I9" s="130" t="s">
        <v>497</v>
      </c>
      <c r="J9" s="131">
        <f>(N43/N13)^(1/J5)-1</f>
        <v>2.3977134838169212E-2</v>
      </c>
      <c r="K9" s="47"/>
      <c r="L9" s="173"/>
      <c r="M9" s="47"/>
      <c r="N9" s="47"/>
      <c r="O9" s="47"/>
      <c r="P9" s="47"/>
      <c r="R9" s="35" t="s">
        <v>36</v>
      </c>
      <c r="S9" s="165" t="s">
        <v>228</v>
      </c>
      <c r="T9" s="163"/>
      <c r="U9" s="163"/>
      <c r="V9" s="163"/>
      <c r="W9" s="163"/>
      <c r="X9" s="34"/>
      <c r="Y9" s="96" t="s">
        <v>497</v>
      </c>
      <c r="Z9" s="175">
        <f>(X43/X13)^(1/J5)-1</f>
        <v>2.0736944174645666E-2</v>
      </c>
      <c r="AA9" s="34"/>
      <c r="AB9" s="34"/>
      <c r="AC9" s="34"/>
      <c r="AD9" s="34"/>
      <c r="AE9" s="34"/>
      <c r="AF9" s="34"/>
      <c r="AH9" s="48" t="s">
        <v>36</v>
      </c>
      <c r="AI9" s="160" t="s">
        <v>150</v>
      </c>
      <c r="AJ9" s="158"/>
      <c r="AK9" s="158"/>
      <c r="AL9" s="158"/>
      <c r="AM9" s="158"/>
      <c r="AN9" s="47"/>
      <c r="AO9" s="96" t="s">
        <v>497</v>
      </c>
      <c r="AP9" s="176">
        <f>(AT43/AT13)^(1/J5)-1</f>
        <v>3.5117348400309334E-2</v>
      </c>
      <c r="AQ9" s="47"/>
      <c r="AR9" s="47"/>
      <c r="AS9" s="47"/>
      <c r="AT9" s="47"/>
      <c r="AU9" s="47"/>
      <c r="AV9" s="47"/>
      <c r="AX9" s="48" t="s">
        <v>36</v>
      </c>
      <c r="AY9" s="160" t="s">
        <v>150</v>
      </c>
      <c r="AZ9" s="158"/>
      <c r="BA9" s="158"/>
      <c r="BB9" s="158"/>
      <c r="BC9" s="158"/>
      <c r="BD9" s="47"/>
      <c r="BE9" s="96" t="s">
        <v>497</v>
      </c>
      <c r="BF9" s="176">
        <f>(BJ43/BJ13)^(1/J5)-1</f>
        <v>2.9548225004298212E-2</v>
      </c>
      <c r="BG9" s="47"/>
      <c r="BH9" s="47"/>
      <c r="BI9" s="47"/>
      <c r="BJ9" s="47"/>
      <c r="BK9" s="47"/>
      <c r="BL9" s="47"/>
      <c r="BN9" s="48" t="s">
        <v>36</v>
      </c>
      <c r="BO9" s="160" t="s">
        <v>239</v>
      </c>
      <c r="BP9" s="158"/>
      <c r="BQ9" s="158"/>
      <c r="BR9" s="158"/>
      <c r="BS9" s="158"/>
      <c r="BT9" s="47"/>
      <c r="BU9" s="96" t="s">
        <v>497</v>
      </c>
      <c r="BV9" s="176">
        <f>(BZ29/BZ13)^(1/MIN(J5,COUNT(BZ13:BZ29)))-1</f>
        <v>5.9472711615842222E-3</v>
      </c>
      <c r="BW9" s="47" t="s">
        <v>261</v>
      </c>
      <c r="BX9" s="47"/>
      <c r="BY9" s="47"/>
      <c r="BZ9" s="47"/>
      <c r="CA9" s="47"/>
      <c r="CB9" s="47"/>
      <c r="CD9" s="48" t="s">
        <v>36</v>
      </c>
      <c r="CE9" s="160" t="s">
        <v>150</v>
      </c>
      <c r="CF9" s="158"/>
      <c r="CG9" s="158"/>
      <c r="CH9" s="158"/>
      <c r="CI9" s="158"/>
      <c r="CJ9" s="47"/>
      <c r="CK9" s="96" t="s">
        <v>497</v>
      </c>
      <c r="CL9" s="176">
        <f>(CP43/CP13)^(1/J5)-1</f>
        <v>2.5219757035239265E-2</v>
      </c>
      <c r="CM9" s="47"/>
      <c r="CN9" s="47"/>
      <c r="CO9" s="47"/>
      <c r="CP9" s="47"/>
      <c r="CQ9" s="47"/>
      <c r="CR9" s="47"/>
      <c r="CT9" s="48" t="s">
        <v>36</v>
      </c>
      <c r="CU9" s="160" t="s">
        <v>234</v>
      </c>
      <c r="CV9" s="158"/>
      <c r="CW9" s="158"/>
      <c r="CX9" s="158"/>
      <c r="CY9" s="158"/>
      <c r="CZ9" s="47"/>
      <c r="DA9" s="96" t="s">
        <v>497</v>
      </c>
      <c r="DB9" s="179">
        <f>(DF42/DF13)^(1/MIN($J$5,COUNT(DF13:DF42)))-1</f>
        <v>5.1105510345681227E-2</v>
      </c>
      <c r="DC9" s="47" t="s">
        <v>260</v>
      </c>
      <c r="DD9" s="47"/>
      <c r="DE9" s="47"/>
      <c r="DF9" s="47"/>
      <c r="DG9" s="47"/>
      <c r="DH9" s="47"/>
      <c r="DJ9" s="48" t="s">
        <v>36</v>
      </c>
      <c r="DK9" s="160" t="s">
        <v>234</v>
      </c>
      <c r="DL9" s="158"/>
      <c r="DM9" s="158"/>
      <c r="DN9" s="158"/>
      <c r="DO9" s="158"/>
      <c r="DP9" s="47"/>
      <c r="DQ9" s="96" t="s">
        <v>497</v>
      </c>
      <c r="DR9" s="176">
        <f>(DS42/DS14)^(1/MIN($J$5,COUNT(DS14:DS42)))-1</f>
        <v>5.0180825244312333E-2</v>
      </c>
      <c r="DS9" s="47" t="s">
        <v>491</v>
      </c>
      <c r="DT9" s="47"/>
      <c r="DU9" s="47"/>
      <c r="DV9" s="47"/>
      <c r="DW9" s="47"/>
      <c r="DX9" s="47"/>
      <c r="DZ9" s="48" t="s">
        <v>36</v>
      </c>
      <c r="EA9" s="160" t="s">
        <v>228</v>
      </c>
      <c r="EB9" s="158"/>
      <c r="EC9" s="158"/>
      <c r="ED9" s="158"/>
      <c r="EE9" s="158"/>
      <c r="EF9" s="47"/>
      <c r="EG9" s="96" t="s">
        <v>497</v>
      </c>
      <c r="EH9" s="179">
        <f>(EL43/EL13)^(1/MIN($J$5,COUNT(EL13:EL43)))-1</f>
        <v>5.2900906226266198E-2</v>
      </c>
      <c r="EI9" s="47"/>
      <c r="EJ9" s="47"/>
      <c r="EK9" s="47"/>
      <c r="EL9" s="47"/>
      <c r="EM9" s="47"/>
      <c r="EN9" s="47"/>
      <c r="EP9" s="48" t="s">
        <v>36</v>
      </c>
      <c r="EQ9" s="160" t="s">
        <v>239</v>
      </c>
      <c r="ER9" s="158"/>
      <c r="ES9" s="158"/>
      <c r="ET9" s="158"/>
      <c r="EU9" s="158"/>
      <c r="EV9" s="47"/>
      <c r="EW9" s="96" t="s">
        <v>497</v>
      </c>
      <c r="EX9" s="176">
        <f>(FB29/FB14)^(1/MIN($J$5, COUNT(FB14:FB29)))-1</f>
        <v>6.8640376499573552E-3</v>
      </c>
      <c r="EY9" s="47" t="s">
        <v>492</v>
      </c>
      <c r="EZ9" s="47"/>
      <c r="FA9" s="47"/>
      <c r="FB9" s="47"/>
      <c r="FC9" s="47"/>
      <c r="FD9" s="47"/>
    </row>
    <row r="10" spans="2:160" x14ac:dyDescent="0.25">
      <c r="B10" s="48" t="s">
        <v>229</v>
      </c>
      <c r="C10" s="157" t="s">
        <v>230</v>
      </c>
      <c r="D10" s="158"/>
      <c r="E10" s="158"/>
      <c r="F10" s="158"/>
      <c r="G10" s="158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164" t="s">
        <v>230</v>
      </c>
      <c r="T10" s="163"/>
      <c r="U10" s="163"/>
      <c r="V10" s="163"/>
      <c r="W10" s="163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57" t="s">
        <v>230</v>
      </c>
      <c r="AJ10" s="158"/>
      <c r="AK10" s="158"/>
      <c r="AL10" s="158"/>
      <c r="AM10" s="158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57" t="s">
        <v>230</v>
      </c>
      <c r="AZ10" s="158"/>
      <c r="BA10" s="158"/>
      <c r="BB10" s="158"/>
      <c r="BC10" s="158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57" t="s">
        <v>240</v>
      </c>
      <c r="BP10" s="158"/>
      <c r="BQ10" s="158"/>
      <c r="BR10" s="158"/>
      <c r="BS10" s="158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57" t="s">
        <v>230</v>
      </c>
      <c r="CF10" s="158"/>
      <c r="CG10" s="158"/>
      <c r="CH10" s="158"/>
      <c r="CI10" s="158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57" t="s">
        <v>235</v>
      </c>
      <c r="CV10" s="158"/>
      <c r="CW10" s="158"/>
      <c r="CX10" s="158"/>
      <c r="CY10" s="158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57" t="s">
        <v>235</v>
      </c>
      <c r="DL10" s="158"/>
      <c r="DM10" s="158"/>
      <c r="DN10" s="158"/>
      <c r="DO10" s="158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57" t="s">
        <v>230</v>
      </c>
      <c r="EB10" s="158"/>
      <c r="EC10" s="158"/>
      <c r="ED10" s="158"/>
      <c r="EE10" s="158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57" t="s">
        <v>240</v>
      </c>
      <c r="ER10" s="158"/>
      <c r="ES10" s="158"/>
      <c r="ET10" s="158"/>
      <c r="EU10" s="158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6.5" thickBot="1" x14ac:dyDescent="0.3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6.5" thickTop="1" x14ac:dyDescent="0.25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 x14ac:dyDescent="0.25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 x14ac:dyDescent="0.25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 x14ac:dyDescent="0.25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 x14ac:dyDescent="0.25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 x14ac:dyDescent="0.25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 x14ac:dyDescent="0.25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 x14ac:dyDescent="0.25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 x14ac:dyDescent="0.25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 x14ac:dyDescent="0.25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 x14ac:dyDescent="0.25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 x14ac:dyDescent="0.25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 x14ac:dyDescent="0.25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 x14ac:dyDescent="0.25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 x14ac:dyDescent="0.25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 x14ac:dyDescent="0.25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 x14ac:dyDescent="0.25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 x14ac:dyDescent="0.25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 x14ac:dyDescent="0.25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 x14ac:dyDescent="0.25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 x14ac:dyDescent="0.25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 x14ac:dyDescent="0.25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 x14ac:dyDescent="0.25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 x14ac:dyDescent="0.25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 x14ac:dyDescent="0.25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 x14ac:dyDescent="0.25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 x14ac:dyDescent="0.25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 x14ac:dyDescent="0.25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 x14ac:dyDescent="0.25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 x14ac:dyDescent="0.25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 x14ac:dyDescent="0.25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 x14ac:dyDescent="0.25">
      <c r="R45" s="159" t="s">
        <v>223</v>
      </c>
      <c r="S45" s="158"/>
      <c r="T45" s="158"/>
      <c r="U45" s="158"/>
      <c r="V45" s="158"/>
      <c r="W45" s="158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 x14ac:dyDescent="0.25">
      <c r="R46" s="159" t="s">
        <v>224</v>
      </c>
      <c r="S46" s="158"/>
      <c r="T46" s="158"/>
      <c r="U46" s="158"/>
      <c r="V46" s="158"/>
      <c r="W46" s="158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 x14ac:dyDescent="0.25">
      <c r="R47" s="158"/>
      <c r="S47" s="158"/>
      <c r="T47" s="158"/>
      <c r="U47" s="158"/>
      <c r="V47" s="158"/>
      <c r="W47" s="158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 x14ac:dyDescent="0.25">
      <c r="R48" s="48" t="s">
        <v>146</v>
      </c>
      <c r="S48" s="160" t="s">
        <v>225</v>
      </c>
      <c r="T48" s="158"/>
      <c r="U48" s="158"/>
      <c r="V48" s="158"/>
      <c r="W48" s="158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 x14ac:dyDescent="0.25">
      <c r="R49" s="161" t="s">
        <v>31</v>
      </c>
      <c r="S49" s="158"/>
      <c r="T49" s="158"/>
      <c r="U49" s="158"/>
      <c r="V49" s="158"/>
      <c r="W49" s="158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5.5" x14ac:dyDescent="0.25">
      <c r="R50" s="48" t="s">
        <v>32</v>
      </c>
      <c r="S50" s="160" t="s">
        <v>226</v>
      </c>
      <c r="T50" s="158"/>
      <c r="U50" s="158"/>
      <c r="V50" s="158"/>
      <c r="W50" s="158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 x14ac:dyDescent="0.25">
      <c r="R51" s="48" t="s">
        <v>33</v>
      </c>
      <c r="S51" s="160" t="s">
        <v>34</v>
      </c>
      <c r="T51" s="158"/>
      <c r="U51" s="158"/>
      <c r="V51" s="158"/>
      <c r="W51" s="158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 x14ac:dyDescent="0.25">
      <c r="R52" s="48" t="s">
        <v>35</v>
      </c>
      <c r="S52" s="160" t="s">
        <v>227</v>
      </c>
      <c r="T52" s="158"/>
      <c r="U52" s="158"/>
      <c r="V52" s="158"/>
      <c r="W52" s="158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5.5" x14ac:dyDescent="0.25">
      <c r="R53" s="48" t="s">
        <v>36</v>
      </c>
      <c r="S53" s="160" t="s">
        <v>228</v>
      </c>
      <c r="T53" s="158"/>
      <c r="U53" s="158"/>
      <c r="V53" s="158"/>
      <c r="W53" s="158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 x14ac:dyDescent="0.25">
      <c r="R54" s="48" t="s">
        <v>229</v>
      </c>
      <c r="S54" s="157" t="s">
        <v>230</v>
      </c>
      <c r="T54" s="158"/>
      <c r="U54" s="158"/>
      <c r="V54" s="158"/>
      <c r="W54" s="158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6.5" thickBot="1" x14ac:dyDescent="0.3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6.5" thickTop="1" x14ac:dyDescent="0.25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 x14ac:dyDescent="0.25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 x14ac:dyDescent="0.25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 x14ac:dyDescent="0.25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 x14ac:dyDescent="0.25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 x14ac:dyDescent="0.25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 x14ac:dyDescent="0.25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 x14ac:dyDescent="0.25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 x14ac:dyDescent="0.25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 x14ac:dyDescent="0.25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 x14ac:dyDescent="0.25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 x14ac:dyDescent="0.25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 x14ac:dyDescent="0.25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 x14ac:dyDescent="0.25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 x14ac:dyDescent="0.25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 x14ac:dyDescent="0.25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 x14ac:dyDescent="0.25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 x14ac:dyDescent="0.25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 x14ac:dyDescent="0.25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 x14ac:dyDescent="0.25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 x14ac:dyDescent="0.25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 x14ac:dyDescent="0.25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 x14ac:dyDescent="0.25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 x14ac:dyDescent="0.25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 x14ac:dyDescent="0.25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 x14ac:dyDescent="0.25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 x14ac:dyDescent="0.25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 x14ac:dyDescent="0.25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 x14ac:dyDescent="0.25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 x14ac:dyDescent="0.25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 x14ac:dyDescent="0.25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0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36"/>
  <sheetViews>
    <sheetView workbookViewId="0">
      <selection activeCell="O1" sqref="O1"/>
    </sheetView>
    <sheetView workbookViewId="1"/>
  </sheetViews>
  <sheetFormatPr defaultColWidth="8.85546875" defaultRowHeight="15" x14ac:dyDescent="0.25"/>
  <cols>
    <col min="1" max="1" width="13.140625" bestFit="1" customWidth="1"/>
    <col min="2" max="2" width="10.7109375" bestFit="1" customWidth="1"/>
    <col min="3" max="3" width="11.140625" bestFit="1" customWidth="1"/>
    <col min="4" max="4" width="11.85546875" bestFit="1" customWidth="1"/>
    <col min="5" max="5" width="20.42578125" bestFit="1" customWidth="1"/>
    <col min="6" max="6" width="11" bestFit="1" customWidth="1"/>
    <col min="7" max="7" width="16" bestFit="1" customWidth="1"/>
    <col min="8" max="8" width="16.42578125" bestFit="1" customWidth="1"/>
    <col min="9" max="9" width="18.5703125" bestFit="1" customWidth="1"/>
    <col min="10" max="10" width="19" bestFit="1" customWidth="1"/>
    <col min="11" max="11" width="12.5703125" bestFit="1" customWidth="1"/>
    <col min="12" max="12" width="17" bestFit="1" customWidth="1"/>
    <col min="13" max="13" width="12.42578125" bestFit="1" customWidth="1"/>
    <col min="14" max="14" width="10" bestFit="1" customWidth="1"/>
    <col min="15" max="15" width="11.42578125" bestFit="1" customWidth="1"/>
    <col min="16" max="16" width="16.5703125" bestFit="1" customWidth="1"/>
    <col min="17" max="17" width="10.42578125" bestFit="1" customWidth="1"/>
    <col min="18" max="18" width="12.7109375" bestFit="1" customWidth="1"/>
    <col min="19" max="19" width="9.42578125" bestFit="1" customWidth="1"/>
    <col min="20" max="20" width="10.28515625" bestFit="1" customWidth="1"/>
    <col min="21" max="21" width="9.7109375" bestFit="1" customWidth="1"/>
    <col min="22" max="22" width="14.28515625" bestFit="1" customWidth="1"/>
    <col min="23" max="23" width="11.7109375" bestFit="1" customWidth="1"/>
    <col min="24" max="24" width="15" bestFit="1" customWidth="1"/>
    <col min="25" max="25" width="11.42578125" bestFit="1" customWidth="1"/>
    <col min="26" max="26" width="13.42578125" bestFit="1" customWidth="1"/>
    <col min="27" max="27" width="18" bestFit="1" customWidth="1"/>
    <col min="28" max="28" width="18.42578125" bestFit="1" customWidth="1"/>
    <col min="29" max="29" width="18.5703125" bestFit="1" customWidth="1"/>
    <col min="30" max="30" width="19" bestFit="1" customWidth="1"/>
    <col min="31" max="31" width="17.42578125" bestFit="1" customWidth="1"/>
    <col min="32" max="32" width="17.85546875" bestFit="1" customWidth="1"/>
    <col min="33" max="33" width="18.28515625" bestFit="1" customWidth="1"/>
    <col min="34" max="34" width="18.7109375" bestFit="1" customWidth="1"/>
    <col min="35" max="35" width="9.85546875" bestFit="1" customWidth="1"/>
    <col min="36" max="36" width="25.28515625" bestFit="1" customWidth="1"/>
    <col min="37" max="37" width="11.5703125" bestFit="1" customWidth="1"/>
    <col min="38" max="38" width="21.7109375" bestFit="1" customWidth="1"/>
    <col min="39" max="39" width="15.85546875" bestFit="1" customWidth="1"/>
    <col min="40" max="40" width="20.7109375" bestFit="1" customWidth="1"/>
    <col min="41" max="43" width="12" bestFit="1" customWidth="1"/>
    <col min="44" max="44" width="13.7109375" bestFit="1" customWidth="1"/>
    <col min="45" max="45" width="20" bestFit="1" customWidth="1"/>
    <col min="46" max="46" width="20.42578125" bestFit="1" customWidth="1"/>
    <col min="47" max="47" width="20" bestFit="1" customWidth="1"/>
    <col min="48" max="48" width="18.42578125" bestFit="1" customWidth="1"/>
    <col min="49" max="49" width="25" bestFit="1" customWidth="1"/>
    <col min="50" max="50" width="46" customWidth="1"/>
    <col min="51" max="51" width="11.7109375" bestFit="1" customWidth="1"/>
    <col min="52" max="53" width="18.7109375" bestFit="1" customWidth="1"/>
    <col min="54" max="54" width="19.140625" bestFit="1" customWidth="1"/>
    <col min="55" max="55" width="60.42578125" customWidth="1"/>
    <col min="56" max="58" width="18.42578125" bestFit="1" customWidth="1"/>
    <col min="62" max="62" width="22.28515625" customWidth="1"/>
    <col min="67" max="67" width="15.42578125" customWidth="1"/>
  </cols>
  <sheetData>
    <row r="1" spans="1:47" x14ac:dyDescent="0.25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 x14ac:dyDescent="0.25">
      <c r="A2" t="s">
        <v>411</v>
      </c>
      <c r="B2" t="s">
        <v>440</v>
      </c>
      <c r="C2" t="s">
        <v>413</v>
      </c>
      <c r="D2">
        <v>2026</v>
      </c>
      <c r="E2">
        <v>0</v>
      </c>
      <c r="F2">
        <v>30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0</v>
      </c>
      <c r="O2" t="s">
        <v>27</v>
      </c>
      <c r="P2" t="s">
        <v>263</v>
      </c>
      <c r="Q2">
        <v>2026</v>
      </c>
      <c r="R2">
        <v>2056</v>
      </c>
      <c r="S2" t="s">
        <v>264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1</v>
      </c>
      <c r="AK2">
        <v>2027</v>
      </c>
      <c r="AL2">
        <v>2.5649999999999999</v>
      </c>
      <c r="AM2">
        <v>0</v>
      </c>
      <c r="AN2">
        <v>2.5649999999999999</v>
      </c>
      <c r="AO2">
        <v>1</v>
      </c>
      <c r="AP2">
        <v>1.0246541369941315</v>
      </c>
      <c r="AQ2">
        <v>1.0246541369941315</v>
      </c>
      <c r="AR2" t="b">
        <v>1</v>
      </c>
      <c r="AS2">
        <v>0</v>
      </c>
      <c r="AT2">
        <v>0</v>
      </c>
      <c r="AU2">
        <v>0</v>
      </c>
    </row>
    <row r="3" spans="1:47" x14ac:dyDescent="0.25">
      <c r="A3" t="s">
        <v>411</v>
      </c>
      <c r="B3" t="s">
        <v>440</v>
      </c>
      <c r="C3" t="s">
        <v>413</v>
      </c>
      <c r="D3">
        <v>2026</v>
      </c>
      <c r="E3">
        <v>0</v>
      </c>
      <c r="F3">
        <v>30</v>
      </c>
      <c r="G3">
        <v>0</v>
      </c>
      <c r="H3">
        <v>0</v>
      </c>
      <c r="I3">
        <v>0</v>
      </c>
      <c r="J3">
        <v>0</v>
      </c>
      <c r="K3">
        <v>1</v>
      </c>
      <c r="L3">
        <v>1</v>
      </c>
      <c r="M3">
        <v>1</v>
      </c>
      <c r="N3">
        <v>0</v>
      </c>
      <c r="O3" t="s">
        <v>27</v>
      </c>
      <c r="P3" t="s">
        <v>263</v>
      </c>
      <c r="Q3">
        <v>2026</v>
      </c>
      <c r="R3">
        <v>2056</v>
      </c>
      <c r="S3" t="s">
        <v>264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>
        <v>2.5649999999999999</v>
      </c>
      <c r="AK3">
        <v>2028</v>
      </c>
      <c r="AL3">
        <v>2.56</v>
      </c>
      <c r="AM3">
        <v>2.5649999999999999</v>
      </c>
      <c r="AN3">
        <v>2.56</v>
      </c>
      <c r="AO3">
        <v>1</v>
      </c>
      <c r="AP3">
        <v>1.0256019177632654</v>
      </c>
      <c r="AQ3">
        <v>1.0256019177632654</v>
      </c>
      <c r="AR3" t="b">
        <v>0</v>
      </c>
      <c r="AS3">
        <v>0</v>
      </c>
      <c r="AT3">
        <v>0</v>
      </c>
      <c r="AU3">
        <v>0</v>
      </c>
    </row>
    <row r="4" spans="1:47" x14ac:dyDescent="0.25">
      <c r="A4" t="s">
        <v>411</v>
      </c>
      <c r="B4" t="s">
        <v>440</v>
      </c>
      <c r="C4" t="s">
        <v>413</v>
      </c>
      <c r="D4">
        <v>2026</v>
      </c>
      <c r="E4">
        <v>0</v>
      </c>
      <c r="F4">
        <v>30</v>
      </c>
      <c r="G4">
        <v>0</v>
      </c>
      <c r="H4">
        <v>0</v>
      </c>
      <c r="I4">
        <v>0</v>
      </c>
      <c r="J4">
        <v>0</v>
      </c>
      <c r="K4">
        <v>1</v>
      </c>
      <c r="L4">
        <v>1</v>
      </c>
      <c r="M4">
        <v>1</v>
      </c>
      <c r="N4">
        <v>0</v>
      </c>
      <c r="O4" t="s">
        <v>27</v>
      </c>
      <c r="P4" t="s">
        <v>263</v>
      </c>
      <c r="Q4">
        <v>2026</v>
      </c>
      <c r="R4">
        <v>2056</v>
      </c>
      <c r="S4" t="s">
        <v>264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1</v>
      </c>
      <c r="AJ4">
        <v>2.56</v>
      </c>
      <c r="AK4">
        <v>2029</v>
      </c>
      <c r="AL4">
        <v>2.5649999999999999</v>
      </c>
      <c r="AM4">
        <v>2.56</v>
      </c>
      <c r="AN4">
        <v>2.5649999999999999</v>
      </c>
      <c r="AO4">
        <v>1.0256000000000001</v>
      </c>
      <c r="AP4">
        <v>1.0256480821468261</v>
      </c>
      <c r="AQ4">
        <v>1.051904673049785</v>
      </c>
      <c r="AR4" t="b">
        <v>0</v>
      </c>
      <c r="AS4">
        <v>0</v>
      </c>
      <c r="AT4">
        <v>0</v>
      </c>
      <c r="AU4">
        <v>0</v>
      </c>
    </row>
    <row r="5" spans="1:47" x14ac:dyDescent="0.25">
      <c r="A5" t="s">
        <v>411</v>
      </c>
      <c r="B5" t="s">
        <v>440</v>
      </c>
      <c r="C5" t="s">
        <v>413</v>
      </c>
      <c r="D5">
        <v>2026</v>
      </c>
      <c r="E5">
        <v>0</v>
      </c>
      <c r="F5">
        <v>30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 t="s">
        <v>27</v>
      </c>
      <c r="P5" t="s">
        <v>263</v>
      </c>
      <c r="Q5">
        <v>2026</v>
      </c>
      <c r="R5">
        <v>2056</v>
      </c>
      <c r="S5" t="s">
        <v>264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1</v>
      </c>
      <c r="AJ5">
        <v>2.5649999999999999</v>
      </c>
      <c r="AK5">
        <v>2030</v>
      </c>
      <c r="AL5">
        <v>2.6120000000000001</v>
      </c>
      <c r="AM5">
        <v>2.5649999999999999</v>
      </c>
      <c r="AN5">
        <v>2.6120000000000001</v>
      </c>
      <c r="AO5">
        <v>1.0519579225</v>
      </c>
      <c r="AP5">
        <v>1.0261019686313082</v>
      </c>
      <c r="AQ5">
        <v>1.0794160951945511</v>
      </c>
      <c r="AR5" t="b">
        <v>0</v>
      </c>
      <c r="AS5">
        <v>0</v>
      </c>
      <c r="AT5">
        <v>0</v>
      </c>
      <c r="AU5">
        <v>0</v>
      </c>
    </row>
    <row r="6" spans="1:47" x14ac:dyDescent="0.25">
      <c r="A6" t="s">
        <v>411</v>
      </c>
      <c r="B6" t="s">
        <v>440</v>
      </c>
      <c r="C6" t="s">
        <v>413</v>
      </c>
      <c r="D6">
        <v>2026</v>
      </c>
      <c r="E6">
        <v>0</v>
      </c>
      <c r="F6">
        <v>30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0</v>
      </c>
      <c r="O6" t="s">
        <v>27</v>
      </c>
      <c r="P6" t="s">
        <v>263</v>
      </c>
      <c r="Q6">
        <v>2026</v>
      </c>
      <c r="R6">
        <v>2056</v>
      </c>
      <c r="S6" t="s">
        <v>264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2.6120000000000001</v>
      </c>
      <c r="AK6">
        <v>2031</v>
      </c>
      <c r="AL6">
        <v>2.6640000000000001</v>
      </c>
      <c r="AM6">
        <v>2.6120000000000001</v>
      </c>
      <c r="AN6">
        <v>2.6640000000000001</v>
      </c>
      <c r="AO6">
        <v>1.0804245836849278</v>
      </c>
      <c r="AP6">
        <v>1.0266200499354656</v>
      </c>
      <c r="AQ6">
        <v>1.1091855400541253</v>
      </c>
      <c r="AR6" t="b">
        <v>0</v>
      </c>
      <c r="AS6">
        <v>0</v>
      </c>
      <c r="AT6">
        <v>0</v>
      </c>
      <c r="AU6">
        <v>0</v>
      </c>
    </row>
    <row r="7" spans="1:47" x14ac:dyDescent="0.25">
      <c r="A7" t="s">
        <v>411</v>
      </c>
      <c r="B7" t="s">
        <v>440</v>
      </c>
      <c r="C7" t="s">
        <v>413</v>
      </c>
      <c r="D7">
        <v>2026</v>
      </c>
      <c r="E7">
        <v>0</v>
      </c>
      <c r="F7">
        <v>30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0</v>
      </c>
      <c r="O7" t="s">
        <v>27</v>
      </c>
      <c r="P7" t="s">
        <v>263</v>
      </c>
      <c r="Q7">
        <v>2026</v>
      </c>
      <c r="R7">
        <v>2056</v>
      </c>
      <c r="S7" t="s">
        <v>264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1</v>
      </c>
      <c r="AJ7">
        <v>2.6640000000000001</v>
      </c>
      <c r="AK7">
        <v>2032</v>
      </c>
      <c r="AL7">
        <v>2.7370000000000001</v>
      </c>
      <c r="AM7">
        <v>2.6640000000000001</v>
      </c>
      <c r="AN7">
        <v>2.7370000000000001</v>
      </c>
      <c r="AO7">
        <v>1.1108942657831042</v>
      </c>
      <c r="AP7">
        <v>1.0273419904293792</v>
      </c>
      <c r="AQ7">
        <v>1.1412683261661982</v>
      </c>
      <c r="AR7" t="b">
        <v>0</v>
      </c>
      <c r="AS7">
        <v>0</v>
      </c>
      <c r="AT7">
        <v>0</v>
      </c>
      <c r="AU7">
        <v>0</v>
      </c>
    </row>
    <row r="8" spans="1:47" x14ac:dyDescent="0.25">
      <c r="A8" t="s">
        <v>411</v>
      </c>
      <c r="B8" t="s">
        <v>440</v>
      </c>
      <c r="C8" t="s">
        <v>413</v>
      </c>
      <c r="D8">
        <v>2026</v>
      </c>
      <c r="E8">
        <v>0</v>
      </c>
      <c r="F8">
        <v>30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1</v>
      </c>
      <c r="N8">
        <v>0</v>
      </c>
      <c r="O8" t="s">
        <v>27</v>
      </c>
      <c r="P8" t="s">
        <v>263</v>
      </c>
      <c r="Q8">
        <v>2026</v>
      </c>
      <c r="R8">
        <v>2056</v>
      </c>
      <c r="S8" t="s">
        <v>264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1</v>
      </c>
      <c r="AJ8">
        <v>2.7370000000000001</v>
      </c>
      <c r="AK8">
        <v>2033</v>
      </c>
      <c r="AL8">
        <v>2.8359999999999999</v>
      </c>
      <c r="AM8">
        <v>2.7370000000000001</v>
      </c>
      <c r="AN8">
        <v>2.8359999999999999</v>
      </c>
      <c r="AO8">
        <v>1.1445490235355693</v>
      </c>
      <c r="AP8">
        <v>1.0283220098091925</v>
      </c>
      <c r="AQ8">
        <v>1.1769649522072454</v>
      </c>
      <c r="AR8" t="b">
        <v>0</v>
      </c>
      <c r="AS8">
        <v>0</v>
      </c>
      <c r="AT8">
        <v>0</v>
      </c>
      <c r="AU8">
        <v>0</v>
      </c>
    </row>
    <row r="9" spans="1:47" x14ac:dyDescent="0.25">
      <c r="A9" t="s">
        <v>411</v>
      </c>
      <c r="B9" t="s">
        <v>440</v>
      </c>
      <c r="C9" t="s">
        <v>413</v>
      </c>
      <c r="D9">
        <v>2026</v>
      </c>
      <c r="E9">
        <v>0</v>
      </c>
      <c r="F9">
        <v>30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 t="s">
        <v>27</v>
      </c>
      <c r="P9" t="s">
        <v>263</v>
      </c>
      <c r="Q9">
        <v>2026</v>
      </c>
      <c r="R9">
        <v>2056</v>
      </c>
      <c r="S9" t="s">
        <v>264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1</v>
      </c>
      <c r="AJ9">
        <v>2.8359999999999999</v>
      </c>
      <c r="AK9">
        <v>2034</v>
      </c>
      <c r="AL9">
        <v>2.899</v>
      </c>
      <c r="AM9">
        <v>2.8359999999999999</v>
      </c>
      <c r="AN9">
        <v>2.899</v>
      </c>
      <c r="AO9">
        <v>1.1826903508812103</v>
      </c>
      <c r="AP9">
        <v>1.0289658284999905</v>
      </c>
      <c r="AQ9">
        <v>1.2169479567534291</v>
      </c>
      <c r="AR9" t="b">
        <v>0</v>
      </c>
      <c r="AS9">
        <v>0</v>
      </c>
      <c r="AT9">
        <v>0</v>
      </c>
      <c r="AU9">
        <v>0</v>
      </c>
    </row>
    <row r="10" spans="1:47" x14ac:dyDescent="0.25">
      <c r="A10" t="s">
        <v>411</v>
      </c>
      <c r="B10" t="s">
        <v>440</v>
      </c>
      <c r="C10" t="s">
        <v>413</v>
      </c>
      <c r="D10">
        <v>2026</v>
      </c>
      <c r="E10">
        <v>0</v>
      </c>
      <c r="F10">
        <v>30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1</v>
      </c>
      <c r="N10">
        <v>0</v>
      </c>
      <c r="O10" t="s">
        <v>27</v>
      </c>
      <c r="P10" t="s">
        <v>263</v>
      </c>
      <c r="Q10">
        <v>2026</v>
      </c>
      <c r="R10">
        <v>2056</v>
      </c>
      <c r="S10" t="s">
        <v>264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2.899</v>
      </c>
      <c r="AK10">
        <v>2035</v>
      </c>
      <c r="AL10">
        <v>2.9889999999999999</v>
      </c>
      <c r="AM10">
        <v>2.899</v>
      </c>
      <c r="AN10">
        <v>2.9889999999999999</v>
      </c>
      <c r="AO10">
        <v>1.2214567092268827</v>
      </c>
      <c r="AP10">
        <v>1.0298554649388991</v>
      </c>
      <c r="AQ10">
        <v>1.2579238671835888</v>
      </c>
      <c r="AR10" t="b">
        <v>0</v>
      </c>
      <c r="AS10">
        <v>0</v>
      </c>
      <c r="AT10">
        <v>0</v>
      </c>
      <c r="AU10">
        <v>0</v>
      </c>
    </row>
    <row r="11" spans="1:47" x14ac:dyDescent="0.25">
      <c r="A11" t="s">
        <v>411</v>
      </c>
      <c r="B11" t="s">
        <v>440</v>
      </c>
      <c r="C11" t="s">
        <v>413</v>
      </c>
      <c r="D11">
        <v>2026</v>
      </c>
      <c r="E11">
        <v>0</v>
      </c>
      <c r="F11">
        <v>30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0</v>
      </c>
      <c r="O11" t="s">
        <v>27</v>
      </c>
      <c r="P11" t="s">
        <v>263</v>
      </c>
      <c r="Q11">
        <v>2026</v>
      </c>
      <c r="R11">
        <v>2056</v>
      </c>
      <c r="S11" t="s">
        <v>264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2.9889999999999999</v>
      </c>
      <c r="AK11">
        <v>2036</v>
      </c>
      <c r="AL11">
        <v>3.0910000000000002</v>
      </c>
      <c r="AM11">
        <v>2.9889999999999999</v>
      </c>
      <c r="AN11">
        <v>3.0910000000000002</v>
      </c>
      <c r="AO11">
        <v>1.2656881968445639</v>
      </c>
      <c r="AP11">
        <v>1.0308708580880226</v>
      </c>
      <c r="AQ11">
        <v>1.3047610775530376</v>
      </c>
      <c r="AR11" t="b">
        <v>0</v>
      </c>
      <c r="AS11">
        <v>0</v>
      </c>
      <c r="AT11">
        <v>0</v>
      </c>
      <c r="AU11">
        <v>0</v>
      </c>
    </row>
    <row r="12" spans="1:47" x14ac:dyDescent="0.25">
      <c r="A12" t="s">
        <v>411</v>
      </c>
      <c r="B12" t="s">
        <v>440</v>
      </c>
      <c r="C12" t="s">
        <v>413</v>
      </c>
      <c r="D12">
        <v>2026</v>
      </c>
      <c r="E12">
        <v>0</v>
      </c>
      <c r="F12">
        <v>30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0</v>
      </c>
      <c r="O12" t="s">
        <v>27</v>
      </c>
      <c r="P12" t="s">
        <v>263</v>
      </c>
      <c r="Q12">
        <v>2026</v>
      </c>
      <c r="R12">
        <v>2056</v>
      </c>
      <c r="S12" t="s">
        <v>264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3.0910000000000002</v>
      </c>
      <c r="AK12">
        <v>2037</v>
      </c>
      <c r="AL12">
        <v>3.1829999999999998</v>
      </c>
      <c r="AM12">
        <v>3.0910000000000002</v>
      </c>
      <c r="AN12">
        <v>3.1829999999999998</v>
      </c>
      <c r="AO12">
        <v>1.3151847709872579</v>
      </c>
      <c r="AP12">
        <v>1.0317946971917529</v>
      </c>
      <c r="AQ12">
        <v>1.3570006725320027</v>
      </c>
      <c r="AR12" t="b">
        <v>0</v>
      </c>
      <c r="AS12">
        <v>0</v>
      </c>
      <c r="AT12">
        <v>0</v>
      </c>
      <c r="AU12">
        <v>0</v>
      </c>
    </row>
    <row r="13" spans="1:47" x14ac:dyDescent="0.25">
      <c r="A13" t="s">
        <v>411</v>
      </c>
      <c r="B13" t="s">
        <v>440</v>
      </c>
      <c r="C13" t="s">
        <v>413</v>
      </c>
      <c r="D13">
        <v>2026</v>
      </c>
      <c r="E13">
        <v>0</v>
      </c>
      <c r="F13">
        <v>30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1</v>
      </c>
      <c r="N13">
        <v>0</v>
      </c>
      <c r="O13" t="s">
        <v>27</v>
      </c>
      <c r="P13" t="s">
        <v>263</v>
      </c>
      <c r="Q13">
        <v>2026</v>
      </c>
      <c r="R13">
        <v>2056</v>
      </c>
      <c r="S13" t="s">
        <v>264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1</v>
      </c>
      <c r="AJ13">
        <v>3.1829999999999998</v>
      </c>
      <c r="AK13">
        <v>2038</v>
      </c>
      <c r="AL13">
        <v>3.28</v>
      </c>
      <c r="AM13">
        <v>3.1829999999999998</v>
      </c>
      <c r="AN13">
        <v>3.28</v>
      </c>
      <c r="AO13">
        <v>1.3679855387829769</v>
      </c>
      <c r="AP13">
        <v>1.0327627777087764</v>
      </c>
      <c r="AQ13">
        <v>1.4128045448989444</v>
      </c>
      <c r="AR13" t="b">
        <v>0</v>
      </c>
      <c r="AS13">
        <v>0</v>
      </c>
      <c r="AT13">
        <v>0</v>
      </c>
      <c r="AU13">
        <v>0</v>
      </c>
    </row>
    <row r="14" spans="1:47" x14ac:dyDescent="0.25">
      <c r="A14" t="s">
        <v>411</v>
      </c>
      <c r="B14" t="s">
        <v>440</v>
      </c>
      <c r="C14" t="s">
        <v>413</v>
      </c>
      <c r="D14">
        <v>2026</v>
      </c>
      <c r="E14">
        <v>0</v>
      </c>
      <c r="F14">
        <v>30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 t="s">
        <v>27</v>
      </c>
      <c r="P14" t="s">
        <v>263</v>
      </c>
      <c r="Q14">
        <v>2026</v>
      </c>
      <c r="R14">
        <v>2056</v>
      </c>
      <c r="S14" t="s">
        <v>264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1</v>
      </c>
      <c r="AJ14">
        <v>3.28</v>
      </c>
      <c r="AK14">
        <v>2039</v>
      </c>
      <c r="AL14">
        <v>3.3530000000000002</v>
      </c>
      <c r="AM14">
        <v>3.28</v>
      </c>
      <c r="AN14">
        <v>3.3530000000000002</v>
      </c>
      <c r="AO14">
        <v>1.4261937267892157</v>
      </c>
      <c r="AP14">
        <v>1.0335019904864482</v>
      </c>
      <c r="AQ14">
        <v>1.4739740554559402</v>
      </c>
      <c r="AR14" t="b">
        <v>0</v>
      </c>
      <c r="AS14">
        <v>0</v>
      </c>
      <c r="AT14">
        <v>0</v>
      </c>
      <c r="AU14">
        <v>0</v>
      </c>
    </row>
    <row r="15" spans="1:47" x14ac:dyDescent="0.25">
      <c r="A15" t="s">
        <v>411</v>
      </c>
      <c r="B15" t="s">
        <v>440</v>
      </c>
      <c r="C15" t="s">
        <v>413</v>
      </c>
      <c r="D15">
        <v>2026</v>
      </c>
      <c r="E15">
        <v>0</v>
      </c>
      <c r="F15">
        <v>30</v>
      </c>
      <c r="G15">
        <v>0</v>
      </c>
      <c r="H15">
        <v>0</v>
      </c>
      <c r="I15">
        <v>0</v>
      </c>
      <c r="J15">
        <v>0</v>
      </c>
      <c r="K15">
        <v>1</v>
      </c>
      <c r="L15">
        <v>1</v>
      </c>
      <c r="M15">
        <v>1</v>
      </c>
      <c r="N15">
        <v>0</v>
      </c>
      <c r="O15" t="s">
        <v>27</v>
      </c>
      <c r="P15" t="s">
        <v>263</v>
      </c>
      <c r="Q15">
        <v>2026</v>
      </c>
      <c r="R15">
        <v>2056</v>
      </c>
      <c r="S15" t="s">
        <v>264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1</v>
      </c>
      <c r="AJ15">
        <v>3.3530000000000002</v>
      </c>
      <c r="AK15">
        <v>2040</v>
      </c>
      <c r="AL15">
        <v>3.4329999999999998</v>
      </c>
      <c r="AM15">
        <v>3.3530000000000002</v>
      </c>
      <c r="AN15">
        <v>3.4329999999999998</v>
      </c>
      <c r="AO15">
        <v>1.4855150208793886</v>
      </c>
      <c r="AP15">
        <v>1.0342993036512831</v>
      </c>
      <c r="AQ15">
        <v>1.5364671516590729</v>
      </c>
      <c r="AR15" t="b">
        <v>0</v>
      </c>
      <c r="AS15">
        <v>0</v>
      </c>
      <c r="AT15">
        <v>0</v>
      </c>
      <c r="AU15">
        <v>0</v>
      </c>
    </row>
    <row r="16" spans="1:47" x14ac:dyDescent="0.25">
      <c r="A16" t="s">
        <v>411</v>
      </c>
      <c r="B16" t="s">
        <v>440</v>
      </c>
      <c r="C16" t="s">
        <v>413</v>
      </c>
      <c r="D16">
        <v>2026</v>
      </c>
      <c r="E16">
        <v>0</v>
      </c>
      <c r="F16">
        <v>30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1</v>
      </c>
      <c r="N16">
        <v>0</v>
      </c>
      <c r="O16" t="s">
        <v>27</v>
      </c>
      <c r="P16" t="s">
        <v>263</v>
      </c>
      <c r="Q16">
        <v>2026</v>
      </c>
      <c r="R16">
        <v>2056</v>
      </c>
      <c r="S16" t="s">
        <v>264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1</v>
      </c>
      <c r="AJ16">
        <v>3.4329999999999998</v>
      </c>
      <c r="AK16">
        <v>2041</v>
      </c>
      <c r="AL16">
        <v>3.4830000000000001</v>
      </c>
      <c r="AM16">
        <v>3.4329999999999998</v>
      </c>
      <c r="AN16">
        <v>3.4830000000000001</v>
      </c>
      <c r="AO16">
        <v>1.550845650878617</v>
      </c>
      <c r="AP16">
        <v>1.034810817460962</v>
      </c>
      <c r="AQ16">
        <v>1.6048318557414794</v>
      </c>
      <c r="AR16" t="b">
        <v>0</v>
      </c>
      <c r="AS16">
        <v>0</v>
      </c>
      <c r="AT16">
        <v>0</v>
      </c>
      <c r="AU16">
        <v>0</v>
      </c>
    </row>
    <row r="17" spans="1:47" x14ac:dyDescent="0.25">
      <c r="A17" t="s">
        <v>411</v>
      </c>
      <c r="B17" t="s">
        <v>440</v>
      </c>
      <c r="C17" t="s">
        <v>413</v>
      </c>
      <c r="D17">
        <v>2026</v>
      </c>
      <c r="E17">
        <v>0</v>
      </c>
      <c r="F17">
        <v>30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 t="s">
        <v>27</v>
      </c>
      <c r="P17" t="s">
        <v>263</v>
      </c>
      <c r="Q17">
        <v>2026</v>
      </c>
      <c r="R17">
        <v>2056</v>
      </c>
      <c r="S17" t="s">
        <v>264</v>
      </c>
      <c r="T17">
        <v>2041</v>
      </c>
      <c r="U17">
        <v>48.75</v>
      </c>
      <c r="V17">
        <v>1</v>
      </c>
      <c r="W17">
        <v>2041</v>
      </c>
      <c r="X17">
        <v>15</v>
      </c>
      <c r="Y17">
        <v>2041</v>
      </c>
      <c r="Z17">
        <v>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1</v>
      </c>
      <c r="AJ17">
        <v>3.4830000000000001</v>
      </c>
      <c r="AK17">
        <v>2042</v>
      </c>
      <c r="AL17">
        <v>3.5910000000000002</v>
      </c>
      <c r="AM17">
        <v>3.4830000000000001</v>
      </c>
      <c r="AN17">
        <v>3.5910000000000002</v>
      </c>
      <c r="AO17">
        <v>1.6149762783919435</v>
      </c>
      <c r="AP17">
        <v>1.0358685545626785</v>
      </c>
      <c r="AQ17">
        <v>1.6729031431508763</v>
      </c>
      <c r="AR17" t="b">
        <v>0</v>
      </c>
      <c r="AS17">
        <v>0</v>
      </c>
      <c r="AT17">
        <v>0</v>
      </c>
      <c r="AU17">
        <v>0</v>
      </c>
    </row>
    <row r="18" spans="1:47" x14ac:dyDescent="0.25">
      <c r="A18" t="s">
        <v>411</v>
      </c>
      <c r="B18" t="s">
        <v>440</v>
      </c>
      <c r="C18" t="s">
        <v>413</v>
      </c>
      <c r="D18">
        <v>2026</v>
      </c>
      <c r="E18">
        <v>0</v>
      </c>
      <c r="F18">
        <v>30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 t="s">
        <v>27</v>
      </c>
      <c r="P18" t="s">
        <v>263</v>
      </c>
      <c r="Q18">
        <v>2026</v>
      </c>
      <c r="R18">
        <v>2056</v>
      </c>
      <c r="S18" t="s">
        <v>264</v>
      </c>
      <c r="T18">
        <v>2042</v>
      </c>
      <c r="U18">
        <v>49.75</v>
      </c>
      <c r="V18">
        <v>1</v>
      </c>
      <c r="W18">
        <v>2042</v>
      </c>
      <c r="X18">
        <v>16</v>
      </c>
      <c r="Y18">
        <v>2042</v>
      </c>
      <c r="Z18">
        <v>1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3.5910000000000002</v>
      </c>
      <c r="AK18">
        <v>2043</v>
      </c>
      <c r="AL18">
        <v>3.7229999999999999</v>
      </c>
      <c r="AM18">
        <v>3.5910000000000002</v>
      </c>
      <c r="AN18">
        <v>3.7229999999999999</v>
      </c>
      <c r="AO18">
        <v>1.6975805172218692</v>
      </c>
      <c r="AP18">
        <v>1.0371793388564383</v>
      </c>
      <c r="AQ18">
        <v>1.7606954385077489</v>
      </c>
      <c r="AR18" t="b">
        <v>0</v>
      </c>
      <c r="AS18">
        <v>0</v>
      </c>
      <c r="AT18">
        <v>0</v>
      </c>
      <c r="AU18">
        <v>0</v>
      </c>
    </row>
    <row r="19" spans="1:47" x14ac:dyDescent="0.25">
      <c r="A19" t="s">
        <v>411</v>
      </c>
      <c r="B19" t="s">
        <v>440</v>
      </c>
      <c r="C19" t="s">
        <v>413</v>
      </c>
      <c r="D19">
        <v>2026</v>
      </c>
      <c r="E19">
        <v>0</v>
      </c>
      <c r="F19">
        <v>30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 t="s">
        <v>27</v>
      </c>
      <c r="P19" t="s">
        <v>263</v>
      </c>
      <c r="Q19">
        <v>2026</v>
      </c>
      <c r="R19">
        <v>2056</v>
      </c>
      <c r="S19" t="s">
        <v>264</v>
      </c>
      <c r="T19">
        <v>2043</v>
      </c>
      <c r="U19">
        <v>50.75</v>
      </c>
      <c r="V19">
        <v>1</v>
      </c>
      <c r="W19">
        <v>2043</v>
      </c>
      <c r="X19">
        <v>17</v>
      </c>
      <c r="Y19">
        <v>2043</v>
      </c>
      <c r="Z19">
        <v>1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1</v>
      </c>
      <c r="AJ19">
        <v>3.7229999999999999</v>
      </c>
      <c r="AK19">
        <v>2044</v>
      </c>
      <c r="AL19">
        <v>3.855</v>
      </c>
      <c r="AM19">
        <v>3.7229999999999999</v>
      </c>
      <c r="AN19">
        <v>3.855</v>
      </c>
      <c r="AO19">
        <v>1.7947382196055386</v>
      </c>
      <c r="AP19">
        <v>1.0384993388958803</v>
      </c>
      <c r="AQ19">
        <v>1.8638344545515211</v>
      </c>
      <c r="AR19" t="b">
        <v>0</v>
      </c>
      <c r="AS19">
        <v>0</v>
      </c>
      <c r="AT19">
        <v>0</v>
      </c>
      <c r="AU19">
        <v>0</v>
      </c>
    </row>
    <row r="20" spans="1:47" x14ac:dyDescent="0.25">
      <c r="A20" t="s">
        <v>411</v>
      </c>
      <c r="B20" t="s">
        <v>440</v>
      </c>
      <c r="C20" t="s">
        <v>413</v>
      </c>
      <c r="D20">
        <v>2026</v>
      </c>
      <c r="E20">
        <v>0</v>
      </c>
      <c r="F20">
        <v>30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 t="s">
        <v>27</v>
      </c>
      <c r="P20" t="s">
        <v>263</v>
      </c>
      <c r="Q20">
        <v>2026</v>
      </c>
      <c r="R20">
        <v>2056</v>
      </c>
      <c r="S20" t="s">
        <v>264</v>
      </c>
      <c r="T20">
        <v>2044</v>
      </c>
      <c r="U20">
        <v>51.75</v>
      </c>
      <c r="V20">
        <v>1</v>
      </c>
      <c r="W20">
        <v>2044</v>
      </c>
      <c r="X20">
        <v>18</v>
      </c>
      <c r="Y20">
        <v>2044</v>
      </c>
      <c r="Z20">
        <v>1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</v>
      </c>
      <c r="AJ20">
        <v>3.855</v>
      </c>
      <c r="AK20">
        <v>2045</v>
      </c>
      <c r="AL20">
        <v>3.9929999999999999</v>
      </c>
      <c r="AM20">
        <v>3.855</v>
      </c>
      <c r="AN20">
        <v>3.9929999999999999</v>
      </c>
      <c r="AO20">
        <v>1.9022428972118248</v>
      </c>
      <c r="AP20">
        <v>1.0398770346905171</v>
      </c>
      <c r="AQ20">
        <v>1.9780987032137305</v>
      </c>
      <c r="AR20" t="b">
        <v>0</v>
      </c>
      <c r="AS20">
        <v>0</v>
      </c>
      <c r="AT20">
        <v>0</v>
      </c>
      <c r="AU20">
        <v>0</v>
      </c>
    </row>
    <row r="21" spans="1:47" x14ac:dyDescent="0.25">
      <c r="A21" t="s">
        <v>411</v>
      </c>
      <c r="B21" t="s">
        <v>440</v>
      </c>
      <c r="C21" t="s">
        <v>413</v>
      </c>
      <c r="D21">
        <v>2026</v>
      </c>
      <c r="E21">
        <v>0</v>
      </c>
      <c r="F21">
        <v>30</v>
      </c>
      <c r="G21">
        <v>0</v>
      </c>
      <c r="H21">
        <v>0</v>
      </c>
      <c r="I21">
        <v>0</v>
      </c>
      <c r="J21">
        <v>0</v>
      </c>
      <c r="K21">
        <v>1</v>
      </c>
      <c r="L21">
        <v>1</v>
      </c>
      <c r="M21">
        <v>1</v>
      </c>
      <c r="N21">
        <v>0</v>
      </c>
      <c r="O21" t="s">
        <v>27</v>
      </c>
      <c r="P21" t="s">
        <v>263</v>
      </c>
      <c r="Q21">
        <v>2026</v>
      </c>
      <c r="R21">
        <v>2056</v>
      </c>
      <c r="S21" t="s">
        <v>264</v>
      </c>
      <c r="T21">
        <v>2045</v>
      </c>
      <c r="U21">
        <v>52.75</v>
      </c>
      <c r="V21">
        <v>1</v>
      </c>
      <c r="W21">
        <v>2045</v>
      </c>
      <c r="X21">
        <v>19</v>
      </c>
      <c r="Y21">
        <v>2045</v>
      </c>
      <c r="Z21">
        <v>1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1</v>
      </c>
      <c r="AJ21">
        <v>3.9929999999999999</v>
      </c>
      <c r="AK21">
        <v>2046</v>
      </c>
      <c r="AL21">
        <v>4.1159999999999997</v>
      </c>
      <c r="AM21">
        <v>3.9929999999999999</v>
      </c>
      <c r="AN21">
        <v>4.1159999999999997</v>
      </c>
      <c r="AO21">
        <v>2.0233635644242356</v>
      </c>
      <c r="AP21">
        <v>1.0411127950984846</v>
      </c>
      <c r="AQ21">
        <v>2.1065496960581487</v>
      </c>
      <c r="AR21" t="b">
        <v>0</v>
      </c>
      <c r="AS21">
        <v>0</v>
      </c>
      <c r="AT21">
        <v>0</v>
      </c>
      <c r="AU21">
        <v>0</v>
      </c>
    </row>
    <row r="22" spans="1:47" x14ac:dyDescent="0.25">
      <c r="A22" t="s">
        <v>411</v>
      </c>
      <c r="B22" t="s">
        <v>440</v>
      </c>
      <c r="C22" t="s">
        <v>413</v>
      </c>
      <c r="D22">
        <v>2026</v>
      </c>
      <c r="E22">
        <v>0</v>
      </c>
      <c r="F22">
        <v>30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1</v>
      </c>
      <c r="N22">
        <v>0</v>
      </c>
      <c r="O22" t="s">
        <v>27</v>
      </c>
      <c r="P22" t="s">
        <v>263</v>
      </c>
      <c r="Q22">
        <v>2026</v>
      </c>
      <c r="R22">
        <v>2056</v>
      </c>
      <c r="S22" t="s">
        <v>264</v>
      </c>
      <c r="T22">
        <v>2046</v>
      </c>
      <c r="U22">
        <v>53.75</v>
      </c>
      <c r="V22">
        <v>1</v>
      </c>
      <c r="W22">
        <v>2046</v>
      </c>
      <c r="X22">
        <v>20</v>
      </c>
      <c r="Y22">
        <v>2046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4.1159999999999997</v>
      </c>
      <c r="AK22">
        <v>2047</v>
      </c>
      <c r="AL22">
        <v>4.1980000000000004</v>
      </c>
      <c r="AM22">
        <v>4.1159999999999997</v>
      </c>
      <c r="AN22">
        <v>4.1980000000000004</v>
      </c>
      <c r="AO22">
        <v>2.1519492248027152</v>
      </c>
      <c r="AP22">
        <v>1.0419485360379603</v>
      </c>
      <c r="AQ22">
        <v>2.2422203444112125</v>
      </c>
      <c r="AR22" t="b">
        <v>0</v>
      </c>
      <c r="AS22">
        <v>0</v>
      </c>
      <c r="AT22">
        <v>0</v>
      </c>
      <c r="AU22">
        <v>0</v>
      </c>
    </row>
    <row r="23" spans="1:47" x14ac:dyDescent="0.25">
      <c r="A23" t="s">
        <v>411</v>
      </c>
      <c r="B23" t="s">
        <v>440</v>
      </c>
      <c r="C23" t="s">
        <v>413</v>
      </c>
      <c r="D23">
        <v>2026</v>
      </c>
      <c r="E23">
        <v>0</v>
      </c>
      <c r="F23">
        <v>30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0</v>
      </c>
      <c r="O23" t="s">
        <v>27</v>
      </c>
      <c r="P23" t="s">
        <v>263</v>
      </c>
      <c r="Q23">
        <v>2026</v>
      </c>
      <c r="R23">
        <v>2056</v>
      </c>
      <c r="S23" t="s">
        <v>264</v>
      </c>
      <c r="T23">
        <v>2047</v>
      </c>
      <c r="U23">
        <v>54.75</v>
      </c>
      <c r="V23">
        <v>1</v>
      </c>
      <c r="W23">
        <v>2047</v>
      </c>
      <c r="X23">
        <v>21</v>
      </c>
      <c r="Y23">
        <v>2047</v>
      </c>
      <c r="Z23">
        <v>1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1</v>
      </c>
      <c r="AJ23">
        <v>4.1980000000000004</v>
      </c>
      <c r="AK23">
        <v>2048</v>
      </c>
      <c r="AL23">
        <v>4.2640000000000002</v>
      </c>
      <c r="AM23">
        <v>4.1980000000000004</v>
      </c>
      <c r="AN23">
        <v>4.2640000000000002</v>
      </c>
      <c r="AO23">
        <v>2.2760807300501793</v>
      </c>
      <c r="AP23">
        <v>1.0426146772233114</v>
      </c>
      <c r="AQ23">
        <v>2.3730751756954667</v>
      </c>
      <c r="AR23" t="b">
        <v>0</v>
      </c>
      <c r="AS23">
        <v>0</v>
      </c>
      <c r="AT23">
        <v>0</v>
      </c>
      <c r="AU23">
        <v>0</v>
      </c>
    </row>
    <row r="24" spans="1:47" x14ac:dyDescent="0.25">
      <c r="A24" t="s">
        <v>411</v>
      </c>
      <c r="B24" t="s">
        <v>440</v>
      </c>
      <c r="C24" t="s">
        <v>413</v>
      </c>
      <c r="D24">
        <v>2026</v>
      </c>
      <c r="E24">
        <v>0</v>
      </c>
      <c r="F24">
        <v>30</v>
      </c>
      <c r="G24">
        <v>0</v>
      </c>
      <c r="H24">
        <v>0</v>
      </c>
      <c r="I24">
        <v>0</v>
      </c>
      <c r="J24">
        <v>0</v>
      </c>
      <c r="K24">
        <v>1</v>
      </c>
      <c r="L24">
        <v>1</v>
      </c>
      <c r="M24">
        <v>1</v>
      </c>
      <c r="N24">
        <v>0</v>
      </c>
      <c r="O24" t="s">
        <v>27</v>
      </c>
      <c r="P24" t="s">
        <v>263</v>
      </c>
      <c r="Q24">
        <v>2026</v>
      </c>
      <c r="R24">
        <v>2056</v>
      </c>
      <c r="S24" t="s">
        <v>264</v>
      </c>
      <c r="T24">
        <v>2048</v>
      </c>
      <c r="U24">
        <v>55.75</v>
      </c>
      <c r="V24">
        <v>1</v>
      </c>
      <c r="W24">
        <v>2048</v>
      </c>
      <c r="X24">
        <v>22</v>
      </c>
      <c r="Y24">
        <v>2048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1</v>
      </c>
      <c r="AJ24">
        <v>4.2640000000000002</v>
      </c>
      <c r="AK24">
        <v>2049</v>
      </c>
      <c r="AL24">
        <v>4.3099999999999996</v>
      </c>
      <c r="AM24">
        <v>4.2640000000000002</v>
      </c>
      <c r="AN24">
        <v>4.3099999999999996</v>
      </c>
      <c r="AO24">
        <v>2.4033777002810761</v>
      </c>
      <c r="AP24">
        <v>1.0430823524221198</v>
      </c>
      <c r="AQ24">
        <v>2.5069208653680493</v>
      </c>
      <c r="AR24" t="b">
        <v>0</v>
      </c>
      <c r="AS24">
        <v>0</v>
      </c>
      <c r="AT24">
        <v>0</v>
      </c>
      <c r="AU24">
        <v>0</v>
      </c>
    </row>
    <row r="25" spans="1:47" x14ac:dyDescent="0.25">
      <c r="A25" t="s">
        <v>411</v>
      </c>
      <c r="B25" t="s">
        <v>440</v>
      </c>
      <c r="C25" t="s">
        <v>413</v>
      </c>
      <c r="D25">
        <v>2026</v>
      </c>
      <c r="E25">
        <v>0</v>
      </c>
      <c r="F25">
        <v>30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0</v>
      </c>
      <c r="O25" t="s">
        <v>27</v>
      </c>
      <c r="P25" t="s">
        <v>263</v>
      </c>
      <c r="Q25">
        <v>2026</v>
      </c>
      <c r="R25">
        <v>2056</v>
      </c>
      <c r="S25" t="s">
        <v>264</v>
      </c>
      <c r="T25">
        <v>2049</v>
      </c>
      <c r="U25">
        <v>56.75</v>
      </c>
      <c r="V25">
        <v>1</v>
      </c>
      <c r="W25">
        <v>2049</v>
      </c>
      <c r="X25">
        <v>23</v>
      </c>
      <c r="Y25">
        <v>2049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4.3099999999999996</v>
      </c>
      <c r="AK25">
        <v>2050</v>
      </c>
      <c r="AL25">
        <v>4.3620000000000001</v>
      </c>
      <c r="AM25">
        <v>4.3099999999999996</v>
      </c>
      <c r="AN25">
        <v>4.3620000000000001</v>
      </c>
      <c r="AO25">
        <v>2.5302929116541275</v>
      </c>
      <c r="AP25">
        <v>1.0436000500145499</v>
      </c>
      <c r="AQ25">
        <v>2.6406138091537086</v>
      </c>
      <c r="AR25" t="b">
        <v>0</v>
      </c>
      <c r="AS25">
        <v>0</v>
      </c>
      <c r="AT25">
        <v>0</v>
      </c>
      <c r="AU25">
        <v>0</v>
      </c>
    </row>
    <row r="26" spans="1:47" x14ac:dyDescent="0.25">
      <c r="A26" t="s">
        <v>411</v>
      </c>
      <c r="B26" t="s">
        <v>440</v>
      </c>
      <c r="C26" t="s">
        <v>413</v>
      </c>
      <c r="D26">
        <v>2026</v>
      </c>
      <c r="E26">
        <v>0</v>
      </c>
      <c r="F26">
        <v>30</v>
      </c>
      <c r="G26">
        <v>0</v>
      </c>
      <c r="H26">
        <v>0</v>
      </c>
      <c r="I26">
        <v>0</v>
      </c>
      <c r="J26">
        <v>0</v>
      </c>
      <c r="K26">
        <v>1</v>
      </c>
      <c r="L26">
        <v>1</v>
      </c>
      <c r="M26">
        <v>1</v>
      </c>
      <c r="N26">
        <v>0</v>
      </c>
      <c r="O26" t="s">
        <v>27</v>
      </c>
      <c r="P26" t="s">
        <v>263</v>
      </c>
      <c r="Q26">
        <v>2026</v>
      </c>
      <c r="R26">
        <v>2056</v>
      </c>
      <c r="S26" t="s">
        <v>264</v>
      </c>
      <c r="T26">
        <v>2050</v>
      </c>
      <c r="U26">
        <v>57.75</v>
      </c>
      <c r="V26">
        <v>1</v>
      </c>
      <c r="W26">
        <v>2050</v>
      </c>
      <c r="X26">
        <v>24</v>
      </c>
      <c r="Y26">
        <v>2050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1</v>
      </c>
      <c r="AJ26">
        <v>4.3620000000000001</v>
      </c>
      <c r="AK26">
        <v>2051</v>
      </c>
      <c r="AL26">
        <v>4.3849999999999998</v>
      </c>
      <c r="AM26">
        <v>4.3620000000000001</v>
      </c>
      <c r="AN26">
        <v>4.3849999999999998</v>
      </c>
      <c r="AO26">
        <v>2.6697773679228782</v>
      </c>
      <c r="AP26">
        <v>1.0438411771474327</v>
      </c>
      <c r="AQ26">
        <v>2.7868235504541921</v>
      </c>
      <c r="AR26" t="b">
        <v>0</v>
      </c>
      <c r="AS26">
        <v>0</v>
      </c>
      <c r="AT26">
        <v>0</v>
      </c>
      <c r="AU26">
        <v>0</v>
      </c>
    </row>
    <row r="27" spans="1:47" x14ac:dyDescent="0.25">
      <c r="A27" t="s">
        <v>411</v>
      </c>
      <c r="B27" t="s">
        <v>440</v>
      </c>
      <c r="C27" t="s">
        <v>413</v>
      </c>
      <c r="D27">
        <v>2026</v>
      </c>
      <c r="E27">
        <v>0</v>
      </c>
      <c r="F27">
        <v>30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0</v>
      </c>
      <c r="O27" t="s">
        <v>27</v>
      </c>
      <c r="P27" t="s">
        <v>263</v>
      </c>
      <c r="Q27">
        <v>2026</v>
      </c>
      <c r="R27">
        <v>2056</v>
      </c>
      <c r="S27" t="s">
        <v>264</v>
      </c>
      <c r="T27">
        <v>2051</v>
      </c>
      <c r="U27">
        <v>58.75</v>
      </c>
      <c r="V27">
        <v>1</v>
      </c>
      <c r="W27">
        <v>2051</v>
      </c>
      <c r="X27">
        <v>25</v>
      </c>
      <c r="Y27">
        <v>2051</v>
      </c>
      <c r="Z27">
        <v>1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4.3849999999999998</v>
      </c>
      <c r="AK27">
        <v>2052</v>
      </c>
      <c r="AL27">
        <v>4.407</v>
      </c>
      <c r="AM27">
        <v>4.3849999999999998</v>
      </c>
      <c r="AN27">
        <v>4.407</v>
      </c>
      <c r="AO27">
        <v>2.8010076388023486</v>
      </c>
      <c r="AP27">
        <v>1.0440615607887789</v>
      </c>
      <c r="AQ27">
        <v>2.9244244071492722</v>
      </c>
      <c r="AR27" t="b">
        <v>0</v>
      </c>
      <c r="AS27">
        <v>0</v>
      </c>
      <c r="AT27">
        <v>0</v>
      </c>
      <c r="AU27">
        <v>0</v>
      </c>
    </row>
    <row r="28" spans="1:47" x14ac:dyDescent="0.25">
      <c r="A28" t="s">
        <v>411</v>
      </c>
      <c r="B28" t="s">
        <v>440</v>
      </c>
      <c r="C28" t="s">
        <v>413</v>
      </c>
      <c r="D28">
        <v>2026</v>
      </c>
      <c r="E28">
        <v>0</v>
      </c>
      <c r="F28">
        <v>30</v>
      </c>
      <c r="G28">
        <v>0</v>
      </c>
      <c r="H28">
        <v>0</v>
      </c>
      <c r="I28">
        <v>0</v>
      </c>
      <c r="J28">
        <v>0</v>
      </c>
      <c r="K28">
        <v>1</v>
      </c>
      <c r="L28">
        <v>1</v>
      </c>
      <c r="M28">
        <v>1</v>
      </c>
      <c r="N28">
        <v>0</v>
      </c>
      <c r="O28" t="s">
        <v>27</v>
      </c>
      <c r="P28" t="s">
        <v>263</v>
      </c>
      <c r="Q28">
        <v>2026</v>
      </c>
      <c r="R28">
        <v>2056</v>
      </c>
      <c r="S28" t="s">
        <v>264</v>
      </c>
      <c r="T28">
        <v>2052</v>
      </c>
      <c r="U28">
        <v>59.75</v>
      </c>
      <c r="V28">
        <v>1</v>
      </c>
      <c r="W28">
        <v>2052</v>
      </c>
      <c r="X28">
        <v>26</v>
      </c>
      <c r="Y28">
        <v>2052</v>
      </c>
      <c r="Z28">
        <v>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4.407</v>
      </c>
      <c r="AK28">
        <v>2053</v>
      </c>
      <c r="AL28">
        <v>4.4219999999999997</v>
      </c>
      <c r="AM28">
        <v>4.407</v>
      </c>
      <c r="AN28">
        <v>4.4219999999999997</v>
      </c>
      <c r="AO28">
        <v>2.9392763909468678</v>
      </c>
      <c r="AP28">
        <v>1.0442142461779214</v>
      </c>
      <c r="AQ28">
        <v>3.0692342808811448</v>
      </c>
      <c r="AR28" t="b">
        <v>0</v>
      </c>
      <c r="AS28">
        <v>0</v>
      </c>
      <c r="AT28">
        <v>0</v>
      </c>
      <c r="AU28">
        <v>0</v>
      </c>
    </row>
    <row r="29" spans="1:47" x14ac:dyDescent="0.25">
      <c r="A29" t="s">
        <v>411</v>
      </c>
      <c r="B29" t="s">
        <v>440</v>
      </c>
      <c r="C29" t="s">
        <v>413</v>
      </c>
      <c r="D29">
        <v>2026</v>
      </c>
      <c r="E29">
        <v>0</v>
      </c>
      <c r="F29">
        <v>30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0</v>
      </c>
      <c r="O29" t="s">
        <v>27</v>
      </c>
      <c r="P29" t="s">
        <v>263</v>
      </c>
      <c r="Q29">
        <v>2026</v>
      </c>
      <c r="R29">
        <v>2056</v>
      </c>
      <c r="S29" t="s">
        <v>264</v>
      </c>
      <c r="T29">
        <v>2053</v>
      </c>
      <c r="U29">
        <v>60.75</v>
      </c>
      <c r="V29">
        <v>1</v>
      </c>
      <c r="W29">
        <v>2053</v>
      </c>
      <c r="X29">
        <v>27</v>
      </c>
      <c r="Y29">
        <v>2053</v>
      </c>
      <c r="Z29">
        <v>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1</v>
      </c>
      <c r="AJ29">
        <v>4.4219999999999997</v>
      </c>
      <c r="AK29">
        <v>2054</v>
      </c>
      <c r="AL29">
        <v>4.4459999999999997</v>
      </c>
      <c r="AM29">
        <v>4.4219999999999997</v>
      </c>
      <c r="AN29">
        <v>4.4459999999999997</v>
      </c>
      <c r="AO29">
        <v>3.0802940893246067</v>
      </c>
      <c r="AP29">
        <v>1.0444507935033269</v>
      </c>
      <c r="AQ29">
        <v>3.2172156058186934</v>
      </c>
      <c r="AR29" t="b">
        <v>0</v>
      </c>
      <c r="AS29">
        <v>0</v>
      </c>
      <c r="AT29">
        <v>0</v>
      </c>
      <c r="AU29">
        <v>0</v>
      </c>
    </row>
    <row r="30" spans="1:47" x14ac:dyDescent="0.25">
      <c r="A30" t="s">
        <v>411</v>
      </c>
      <c r="B30" t="s">
        <v>440</v>
      </c>
      <c r="C30" t="s">
        <v>413</v>
      </c>
      <c r="D30">
        <v>2026</v>
      </c>
      <c r="E30">
        <v>0</v>
      </c>
      <c r="F30">
        <v>30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N30">
        <v>0</v>
      </c>
      <c r="O30" t="s">
        <v>27</v>
      </c>
      <c r="P30" t="s">
        <v>263</v>
      </c>
      <c r="Q30">
        <v>2026</v>
      </c>
      <c r="R30">
        <v>2056</v>
      </c>
      <c r="S30" t="s">
        <v>264</v>
      </c>
      <c r="T30">
        <v>2054</v>
      </c>
      <c r="U30">
        <v>61.75</v>
      </c>
      <c r="V30">
        <v>1</v>
      </c>
      <c r="W30">
        <v>2054</v>
      </c>
      <c r="X30">
        <v>28</v>
      </c>
      <c r="Y30">
        <v>2054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4.4459999999999997</v>
      </c>
      <c r="AK30">
        <v>2055</v>
      </c>
      <c r="AL30">
        <v>4.452</v>
      </c>
      <c r="AM30">
        <v>4.4459999999999997</v>
      </c>
      <c r="AN30">
        <v>4.452</v>
      </c>
      <c r="AO30">
        <v>3.2365247529584948</v>
      </c>
      <c r="AP30">
        <v>1.0445176985665714</v>
      </c>
      <c r="AQ30">
        <v>3.3806073863139479</v>
      </c>
      <c r="AR30" t="b">
        <v>0</v>
      </c>
      <c r="AS30">
        <v>0</v>
      </c>
      <c r="AT30">
        <v>0</v>
      </c>
      <c r="AU30">
        <v>0</v>
      </c>
    </row>
    <row r="31" spans="1:47" x14ac:dyDescent="0.25">
      <c r="A31" t="s">
        <v>411</v>
      </c>
      <c r="B31" t="s">
        <v>440</v>
      </c>
      <c r="C31" t="s">
        <v>413</v>
      </c>
      <c r="D31">
        <v>2026</v>
      </c>
      <c r="E31">
        <v>0</v>
      </c>
      <c r="F31">
        <v>30</v>
      </c>
      <c r="G31">
        <v>0</v>
      </c>
      <c r="H31">
        <v>0</v>
      </c>
      <c r="I31">
        <v>0</v>
      </c>
      <c r="J31">
        <v>0</v>
      </c>
      <c r="K31">
        <v>1</v>
      </c>
      <c r="L31">
        <v>1</v>
      </c>
      <c r="M31">
        <v>1</v>
      </c>
      <c r="N31">
        <v>0</v>
      </c>
      <c r="O31" t="s">
        <v>27</v>
      </c>
      <c r="P31" t="s">
        <v>263</v>
      </c>
      <c r="Q31">
        <v>2026</v>
      </c>
      <c r="R31">
        <v>2056</v>
      </c>
      <c r="S31" t="s">
        <v>264</v>
      </c>
      <c r="T31">
        <v>2055</v>
      </c>
      <c r="U31">
        <v>62.75</v>
      </c>
      <c r="V31">
        <v>1</v>
      </c>
      <c r="W31">
        <v>2055</v>
      </c>
      <c r="X31">
        <v>29</v>
      </c>
      <c r="Y31">
        <v>2055</v>
      </c>
      <c r="Z31">
        <v>1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1</v>
      </c>
      <c r="AJ31">
        <v>4.452</v>
      </c>
      <c r="AK31">
        <v>2056</v>
      </c>
      <c r="AL31">
        <v>4.4720000000000004</v>
      </c>
      <c r="AM31">
        <v>4.452</v>
      </c>
      <c r="AN31">
        <v>4.4720000000000004</v>
      </c>
      <c r="AO31">
        <v>3.3858622239447769</v>
      </c>
      <c r="AP31">
        <v>1.0447123280609132</v>
      </c>
      <c r="AQ31">
        <v>3.5372520064708488</v>
      </c>
      <c r="AR31" t="b">
        <v>0</v>
      </c>
      <c r="AS31">
        <v>0</v>
      </c>
      <c r="AT31">
        <v>0</v>
      </c>
      <c r="AU31">
        <v>0</v>
      </c>
    </row>
    <row r="32" spans="1:47" x14ac:dyDescent="0.25">
      <c r="A32" t="s">
        <v>411</v>
      </c>
      <c r="B32" t="s">
        <v>440</v>
      </c>
      <c r="C32" t="s">
        <v>413</v>
      </c>
      <c r="D32">
        <v>2026</v>
      </c>
      <c r="E32">
        <v>0</v>
      </c>
      <c r="M32">
        <v>1</v>
      </c>
      <c r="Q32">
        <v>2026</v>
      </c>
      <c r="R32">
        <v>2056</v>
      </c>
      <c r="T32">
        <v>2056</v>
      </c>
      <c r="U32">
        <v>63.75</v>
      </c>
      <c r="W32">
        <v>2056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S32">
        <v>0</v>
      </c>
      <c r="AT32">
        <v>0</v>
      </c>
      <c r="AU32">
        <v>0</v>
      </c>
    </row>
    <row r="34" spans="1:1" x14ac:dyDescent="0.25">
      <c r="A34" t="s">
        <v>445</v>
      </c>
    </row>
    <row r="35" spans="1:1" x14ac:dyDescent="0.25">
      <c r="A35" t="s">
        <v>446</v>
      </c>
    </row>
    <row r="36" spans="1:1" x14ac:dyDescent="0.25">
      <c r="A36" t="s">
        <v>447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  <sheetView workbookViewId="1"/>
  </sheetViews>
  <sheetFormatPr defaultColWidth="8.85546875" defaultRowHeight="15" x14ac:dyDescent="0.25"/>
  <cols>
    <col min="1" max="1" width="9.28515625" bestFit="1" customWidth="1"/>
    <col min="2" max="2" width="13.85546875" bestFit="1" customWidth="1"/>
    <col min="3" max="3" width="13.7109375" bestFit="1" customWidth="1"/>
    <col min="4" max="4" width="14.140625" bestFit="1" customWidth="1"/>
    <col min="5" max="5" width="14" bestFit="1" customWidth="1"/>
    <col min="6" max="6" width="9.28515625" bestFit="1" customWidth="1"/>
    <col min="7" max="9" width="11.7109375" bestFit="1" customWidth="1"/>
    <col min="10" max="10" width="16.7109375" bestFit="1" customWidth="1"/>
    <col min="11" max="11" width="15.42578125" bestFit="1" customWidth="1"/>
    <col min="12" max="12" width="16.42578125" bestFit="1" customWidth="1"/>
    <col min="13" max="13" width="15.28515625" bestFit="1" customWidth="1"/>
    <col min="14" max="14" width="17" bestFit="1" customWidth="1"/>
    <col min="15" max="15" width="15.85546875" bestFit="1" customWidth="1"/>
    <col min="16" max="16" width="17.42578125" bestFit="1" customWidth="1"/>
  </cols>
  <sheetData>
    <row r="1" spans="1:15" x14ac:dyDescent="0.2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 x14ac:dyDescent="0.2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 x14ac:dyDescent="0.2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 x14ac:dyDescent="0.2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 x14ac:dyDescent="0.2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 x14ac:dyDescent="0.2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 x14ac:dyDescent="0.2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 x14ac:dyDescent="0.2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 x14ac:dyDescent="0.2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 x14ac:dyDescent="0.2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 x14ac:dyDescent="0.2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 x14ac:dyDescent="0.2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 x14ac:dyDescent="0.2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 x14ac:dyDescent="0.2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 x14ac:dyDescent="0.2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 x14ac:dyDescent="0.2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 x14ac:dyDescent="0.25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 x14ac:dyDescent="0.25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 x14ac:dyDescent="0.25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 x14ac:dyDescent="0.25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 x14ac:dyDescent="0.25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 x14ac:dyDescent="0.25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 x14ac:dyDescent="0.25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 x14ac:dyDescent="0.25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 x14ac:dyDescent="0.25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 x14ac:dyDescent="0.25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 x14ac:dyDescent="0.25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 x14ac:dyDescent="0.25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 x14ac:dyDescent="0.25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 x14ac:dyDescent="0.25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 x14ac:dyDescent="0.25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 x14ac:dyDescent="0.25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 x14ac:dyDescent="0.25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 x14ac:dyDescent="0.25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 x14ac:dyDescent="0.25">
      <c r="A35">
        <v>2059</v>
      </c>
      <c r="B35">
        <v>0</v>
      </c>
      <c r="C35">
        <v>0</v>
      </c>
      <c r="D35">
        <v>0</v>
      </c>
    </row>
    <row r="36" spans="1:9" x14ac:dyDescent="0.25">
      <c r="A36">
        <v>2060</v>
      </c>
      <c r="B36">
        <v>0</v>
      </c>
      <c r="C36">
        <v>0</v>
      </c>
      <c r="D36">
        <v>0</v>
      </c>
    </row>
    <row r="37" spans="1:9" x14ac:dyDescent="0.25">
      <c r="A37">
        <v>2061</v>
      </c>
      <c r="B37">
        <v>0</v>
      </c>
      <c r="C37">
        <v>0</v>
      </c>
      <c r="D37">
        <v>0</v>
      </c>
    </row>
    <row r="38" spans="1:9" x14ac:dyDescent="0.25">
      <c r="A38">
        <v>2062</v>
      </c>
      <c r="B38">
        <v>0</v>
      </c>
      <c r="C38">
        <v>0</v>
      </c>
      <c r="D38">
        <v>0</v>
      </c>
    </row>
    <row r="39" spans="1:9" x14ac:dyDescent="0.25">
      <c r="A39">
        <v>2063</v>
      </c>
      <c r="B39">
        <v>0</v>
      </c>
      <c r="C39">
        <v>0</v>
      </c>
      <c r="D39">
        <v>0</v>
      </c>
    </row>
    <row r="40" spans="1:9" x14ac:dyDescent="0.25">
      <c r="A40">
        <v>2064</v>
      </c>
      <c r="B40">
        <v>0</v>
      </c>
      <c r="C40">
        <v>0</v>
      </c>
      <c r="D40">
        <v>0</v>
      </c>
    </row>
    <row r="41" spans="1:9" x14ac:dyDescent="0.25">
      <c r="A41">
        <v>2065</v>
      </c>
      <c r="B41">
        <v>0</v>
      </c>
      <c r="C41">
        <v>0</v>
      </c>
      <c r="D41">
        <v>0</v>
      </c>
    </row>
    <row r="42" spans="1:9" x14ac:dyDescent="0.25">
      <c r="A42">
        <v>2066</v>
      </c>
      <c r="B42">
        <v>0</v>
      </c>
      <c r="C42">
        <v>0</v>
      </c>
      <c r="D42">
        <v>0</v>
      </c>
    </row>
    <row r="43" spans="1:9" x14ac:dyDescent="0.25">
      <c r="A43">
        <v>2067</v>
      </c>
      <c r="B43">
        <v>0</v>
      </c>
      <c r="C43">
        <v>0</v>
      </c>
      <c r="D43">
        <v>0</v>
      </c>
    </row>
    <row r="44" spans="1:9" x14ac:dyDescent="0.25">
      <c r="A44">
        <v>2068</v>
      </c>
      <c r="B44">
        <v>0</v>
      </c>
      <c r="C44">
        <v>0</v>
      </c>
      <c r="D44">
        <v>0</v>
      </c>
    </row>
    <row r="45" spans="1:9" x14ac:dyDescent="0.25">
      <c r="A45">
        <v>2069</v>
      </c>
      <c r="B45">
        <v>0</v>
      </c>
      <c r="C45">
        <v>0</v>
      </c>
      <c r="D45">
        <v>0</v>
      </c>
    </row>
    <row r="46" spans="1:9" x14ac:dyDescent="0.25">
      <c r="A46">
        <v>2070</v>
      </c>
      <c r="B46">
        <v>0</v>
      </c>
      <c r="C46">
        <v>0</v>
      </c>
      <c r="D46">
        <v>0</v>
      </c>
    </row>
    <row r="47" spans="1:9" x14ac:dyDescent="0.25">
      <c r="A47">
        <v>2071</v>
      </c>
      <c r="B47">
        <v>0</v>
      </c>
      <c r="C47">
        <v>0</v>
      </c>
      <c r="D47">
        <v>0</v>
      </c>
    </row>
    <row r="48" spans="1:9" x14ac:dyDescent="0.25">
      <c r="A48">
        <v>2072</v>
      </c>
      <c r="B48">
        <v>0</v>
      </c>
      <c r="C48">
        <v>0</v>
      </c>
      <c r="D48">
        <v>0</v>
      </c>
    </row>
    <row r="49" spans="1:4" x14ac:dyDescent="0.25">
      <c r="A49">
        <v>2073</v>
      </c>
      <c r="B49">
        <v>0</v>
      </c>
      <c r="C49">
        <v>0</v>
      </c>
      <c r="D49">
        <v>0</v>
      </c>
    </row>
    <row r="50" spans="1:4" x14ac:dyDescent="0.25">
      <c r="A50">
        <v>2074</v>
      </c>
      <c r="B50">
        <v>0</v>
      </c>
      <c r="C50">
        <v>0</v>
      </c>
      <c r="D50">
        <v>0</v>
      </c>
    </row>
    <row r="51" spans="1:4" x14ac:dyDescent="0.25">
      <c r="A51">
        <v>2075</v>
      </c>
      <c r="B51">
        <v>0</v>
      </c>
      <c r="C51">
        <v>0</v>
      </c>
      <c r="D51">
        <v>0</v>
      </c>
    </row>
    <row r="52" spans="1:4" x14ac:dyDescent="0.25">
      <c r="A52">
        <v>2076</v>
      </c>
      <c r="B52">
        <v>0</v>
      </c>
      <c r="C52">
        <v>0</v>
      </c>
      <c r="D52">
        <v>0</v>
      </c>
    </row>
    <row r="53" spans="1:4" x14ac:dyDescent="0.25">
      <c r="A53">
        <v>2077</v>
      </c>
      <c r="B53">
        <v>0</v>
      </c>
      <c r="C53">
        <v>0</v>
      </c>
      <c r="D53">
        <v>0</v>
      </c>
    </row>
    <row r="54" spans="1:4" x14ac:dyDescent="0.25">
      <c r="A54">
        <v>2078</v>
      </c>
      <c r="B54">
        <v>0</v>
      </c>
      <c r="C54">
        <v>0</v>
      </c>
      <c r="D54">
        <v>0</v>
      </c>
    </row>
    <row r="55" spans="1:4" x14ac:dyDescent="0.25">
      <c r="A55">
        <v>2079</v>
      </c>
      <c r="B55">
        <v>0</v>
      </c>
      <c r="C55">
        <v>0</v>
      </c>
      <c r="D55">
        <v>0</v>
      </c>
    </row>
    <row r="56" spans="1:4" x14ac:dyDescent="0.25">
      <c r="A56">
        <v>2080</v>
      </c>
      <c r="B56">
        <v>0</v>
      </c>
      <c r="C56">
        <v>0</v>
      </c>
      <c r="D56">
        <v>0</v>
      </c>
    </row>
    <row r="57" spans="1:4" x14ac:dyDescent="0.25">
      <c r="A57">
        <v>2081</v>
      </c>
      <c r="B57">
        <v>0</v>
      </c>
      <c r="C57">
        <v>0</v>
      </c>
      <c r="D57">
        <v>0</v>
      </c>
    </row>
    <row r="58" spans="1:4" x14ac:dyDescent="0.25">
      <c r="A58">
        <v>2082</v>
      </c>
      <c r="B58">
        <v>0</v>
      </c>
      <c r="C58">
        <v>0</v>
      </c>
      <c r="D58">
        <v>0</v>
      </c>
    </row>
    <row r="59" spans="1:4" x14ac:dyDescent="0.25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32"/>
  <sheetViews>
    <sheetView workbookViewId="0"/>
    <sheetView workbookViewId="1"/>
  </sheetViews>
  <sheetFormatPr defaultColWidth="8.85546875" defaultRowHeight="15" x14ac:dyDescent="0.25"/>
  <cols>
    <col min="1" max="1" width="10.28515625" bestFit="1" customWidth="1"/>
    <col min="2" max="2" width="15.140625" bestFit="1" customWidth="1"/>
    <col min="3" max="3" width="15.7109375" bestFit="1" customWidth="1"/>
    <col min="4" max="4" width="15.140625" bestFit="1" customWidth="1"/>
    <col min="11" max="11" width="40.42578125" customWidth="1"/>
    <col min="12" max="12" width="54.7109375" customWidth="1"/>
    <col min="13" max="13" width="41.42578125" customWidth="1"/>
    <col min="14" max="14" width="21.42578125" customWidth="1"/>
    <col min="15" max="15" width="21.85546875" customWidth="1"/>
  </cols>
  <sheetData>
    <row r="1" spans="1:4" x14ac:dyDescent="0.25">
      <c r="A1" s="4" t="s">
        <v>3</v>
      </c>
      <c r="B1" s="4" t="s">
        <v>25</v>
      </c>
      <c r="C1" s="4" t="s">
        <v>59</v>
      </c>
      <c r="D1" s="4" t="s">
        <v>60</v>
      </c>
    </row>
    <row r="2" spans="1:4" x14ac:dyDescent="0.25">
      <c r="A2">
        <v>2026</v>
      </c>
      <c r="B2">
        <v>0</v>
      </c>
      <c r="C2">
        <v>0</v>
      </c>
      <c r="D2">
        <v>0</v>
      </c>
    </row>
    <row r="3" spans="1:4" x14ac:dyDescent="0.25">
      <c r="A3">
        <v>2027</v>
      </c>
      <c r="B3">
        <v>0</v>
      </c>
      <c r="C3">
        <v>0</v>
      </c>
      <c r="D3">
        <v>0</v>
      </c>
    </row>
    <row r="4" spans="1:4" x14ac:dyDescent="0.25">
      <c r="A4">
        <v>2028</v>
      </c>
      <c r="B4">
        <v>0</v>
      </c>
      <c r="C4">
        <v>0</v>
      </c>
      <c r="D4">
        <v>0</v>
      </c>
    </row>
    <row r="5" spans="1:4" x14ac:dyDescent="0.25">
      <c r="A5">
        <v>2029</v>
      </c>
      <c r="B5">
        <v>0</v>
      </c>
      <c r="C5">
        <v>0</v>
      </c>
      <c r="D5">
        <v>0</v>
      </c>
    </row>
    <row r="6" spans="1:4" x14ac:dyDescent="0.25">
      <c r="A6">
        <v>2030</v>
      </c>
      <c r="B6">
        <v>0</v>
      </c>
      <c r="C6">
        <v>0</v>
      </c>
      <c r="D6">
        <v>0</v>
      </c>
    </row>
    <row r="7" spans="1:4" x14ac:dyDescent="0.25">
      <c r="A7">
        <v>2031</v>
      </c>
      <c r="B7">
        <v>0</v>
      </c>
      <c r="C7">
        <v>0</v>
      </c>
      <c r="D7">
        <v>0</v>
      </c>
    </row>
    <row r="8" spans="1:4" x14ac:dyDescent="0.25">
      <c r="A8">
        <v>2032</v>
      </c>
      <c r="B8">
        <v>0</v>
      </c>
      <c r="C8">
        <v>0</v>
      </c>
      <c r="D8">
        <v>0</v>
      </c>
    </row>
    <row r="9" spans="1:4" x14ac:dyDescent="0.25">
      <c r="A9">
        <v>2033</v>
      </c>
      <c r="B9">
        <v>0</v>
      </c>
      <c r="C9">
        <v>0</v>
      </c>
      <c r="D9">
        <v>0</v>
      </c>
    </row>
    <row r="10" spans="1:4" x14ac:dyDescent="0.25">
      <c r="A10">
        <v>2034</v>
      </c>
      <c r="B10">
        <v>0</v>
      </c>
      <c r="C10">
        <v>0</v>
      </c>
      <c r="D10">
        <v>0</v>
      </c>
    </row>
    <row r="11" spans="1:4" x14ac:dyDescent="0.25">
      <c r="A11">
        <v>2035</v>
      </c>
      <c r="B11">
        <v>0</v>
      </c>
      <c r="C11">
        <v>0</v>
      </c>
      <c r="D11">
        <v>0</v>
      </c>
    </row>
    <row r="12" spans="1:4" x14ac:dyDescent="0.25">
      <c r="A12">
        <v>2036</v>
      </c>
      <c r="B12">
        <v>0</v>
      </c>
      <c r="C12">
        <v>0</v>
      </c>
      <c r="D12">
        <v>0</v>
      </c>
    </row>
    <row r="13" spans="1:4" x14ac:dyDescent="0.25">
      <c r="A13">
        <v>2037</v>
      </c>
      <c r="B13">
        <v>0</v>
      </c>
      <c r="C13">
        <v>0</v>
      </c>
      <c r="D13">
        <v>0</v>
      </c>
    </row>
    <row r="14" spans="1:4" x14ac:dyDescent="0.25">
      <c r="A14">
        <v>2038</v>
      </c>
      <c r="B14">
        <v>0</v>
      </c>
      <c r="C14">
        <v>0</v>
      </c>
      <c r="D14">
        <v>0</v>
      </c>
    </row>
    <row r="15" spans="1:4" x14ac:dyDescent="0.25">
      <c r="A15">
        <v>2039</v>
      </c>
      <c r="B15">
        <v>0</v>
      </c>
      <c r="C15">
        <v>0</v>
      </c>
      <c r="D15">
        <v>0</v>
      </c>
    </row>
    <row r="16" spans="1:4" x14ac:dyDescent="0.25">
      <c r="A16">
        <v>2040</v>
      </c>
      <c r="B16">
        <v>0</v>
      </c>
      <c r="C16">
        <v>0</v>
      </c>
      <c r="D16">
        <v>0</v>
      </c>
    </row>
    <row r="17" spans="1:4" x14ac:dyDescent="0.25">
      <c r="A17">
        <v>2041</v>
      </c>
      <c r="B17">
        <v>0</v>
      </c>
      <c r="C17">
        <v>0</v>
      </c>
      <c r="D17">
        <v>0</v>
      </c>
    </row>
    <row r="18" spans="1:4" x14ac:dyDescent="0.25">
      <c r="A18">
        <v>2042</v>
      </c>
      <c r="B18">
        <v>0</v>
      </c>
      <c r="C18">
        <v>0</v>
      </c>
      <c r="D18">
        <v>0</v>
      </c>
    </row>
    <row r="19" spans="1:4" x14ac:dyDescent="0.25">
      <c r="A19">
        <v>2043</v>
      </c>
      <c r="B19">
        <v>0</v>
      </c>
      <c r="C19">
        <v>0</v>
      </c>
      <c r="D19">
        <v>0</v>
      </c>
    </row>
    <row r="20" spans="1:4" x14ac:dyDescent="0.25">
      <c r="A20">
        <v>2044</v>
      </c>
      <c r="B20">
        <v>0</v>
      </c>
      <c r="C20">
        <v>0</v>
      </c>
      <c r="D20">
        <v>0</v>
      </c>
    </row>
    <row r="21" spans="1:4" x14ac:dyDescent="0.25">
      <c r="A21">
        <v>2045</v>
      </c>
      <c r="B21">
        <v>0</v>
      </c>
      <c r="C21">
        <v>0</v>
      </c>
      <c r="D21">
        <v>0</v>
      </c>
    </row>
    <row r="22" spans="1:4" x14ac:dyDescent="0.25">
      <c r="A22">
        <v>2046</v>
      </c>
      <c r="B22">
        <v>0</v>
      </c>
      <c r="C22">
        <v>0</v>
      </c>
      <c r="D22">
        <v>0</v>
      </c>
    </row>
    <row r="23" spans="1:4" x14ac:dyDescent="0.25">
      <c r="A23">
        <v>2047</v>
      </c>
      <c r="B23">
        <v>0</v>
      </c>
      <c r="C23">
        <v>0</v>
      </c>
      <c r="D23">
        <v>0</v>
      </c>
    </row>
    <row r="24" spans="1:4" x14ac:dyDescent="0.25">
      <c r="A24">
        <v>2048</v>
      </c>
      <c r="B24">
        <v>0</v>
      </c>
      <c r="C24">
        <v>0</v>
      </c>
      <c r="D24">
        <v>0</v>
      </c>
    </row>
    <row r="25" spans="1:4" x14ac:dyDescent="0.25">
      <c r="A25">
        <v>2049</v>
      </c>
      <c r="B25">
        <v>0</v>
      </c>
      <c r="C25">
        <v>0</v>
      </c>
      <c r="D25">
        <v>0</v>
      </c>
    </row>
    <row r="26" spans="1:4" x14ac:dyDescent="0.25">
      <c r="A26">
        <v>2050</v>
      </c>
      <c r="B26">
        <v>0</v>
      </c>
      <c r="C26">
        <v>0</v>
      </c>
      <c r="D26">
        <v>0</v>
      </c>
    </row>
    <row r="27" spans="1:4" x14ac:dyDescent="0.25">
      <c r="A27">
        <v>2051</v>
      </c>
      <c r="B27">
        <v>0</v>
      </c>
      <c r="C27">
        <v>0</v>
      </c>
      <c r="D27">
        <v>0</v>
      </c>
    </row>
    <row r="28" spans="1:4" x14ac:dyDescent="0.25">
      <c r="A28">
        <v>2052</v>
      </c>
      <c r="B28">
        <v>0</v>
      </c>
      <c r="C28">
        <v>0</v>
      </c>
      <c r="D28">
        <v>0</v>
      </c>
    </row>
    <row r="29" spans="1:4" x14ac:dyDescent="0.25">
      <c r="A29">
        <v>2053</v>
      </c>
      <c r="B29">
        <v>0</v>
      </c>
      <c r="C29">
        <v>0</v>
      </c>
      <c r="D29">
        <v>0</v>
      </c>
    </row>
    <row r="30" spans="1:4" x14ac:dyDescent="0.25">
      <c r="A30">
        <v>2054</v>
      </c>
      <c r="B30">
        <v>0</v>
      </c>
      <c r="C30">
        <v>0</v>
      </c>
      <c r="D30">
        <v>0</v>
      </c>
    </row>
    <row r="31" spans="1:4" x14ac:dyDescent="0.25">
      <c r="A31">
        <v>2055</v>
      </c>
      <c r="B31">
        <v>0</v>
      </c>
      <c r="C31">
        <v>0</v>
      </c>
      <c r="D31">
        <v>0</v>
      </c>
    </row>
    <row r="32" spans="1:4" x14ac:dyDescent="0.25">
      <c r="A32">
        <v>2056</v>
      </c>
      <c r="B32">
        <v>0</v>
      </c>
      <c r="C32">
        <v>0</v>
      </c>
      <c r="D32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  <sheetView workbookViewId="1"/>
  </sheetViews>
  <sheetFormatPr defaultColWidth="9.140625" defaultRowHeight="15.75" x14ac:dyDescent="0.25"/>
  <cols>
    <col min="1" max="1" width="9" style="46"/>
    <col min="2" max="2" width="22.42578125" style="28" customWidth="1"/>
    <col min="3" max="16384" width="9.140625" style="1"/>
  </cols>
  <sheetData>
    <row r="1" spans="1:5" x14ac:dyDescent="0.25">
      <c r="A1" s="46" t="s">
        <v>2</v>
      </c>
      <c r="B1" s="28" t="s">
        <v>7</v>
      </c>
      <c r="C1" s="40" t="s">
        <v>152</v>
      </c>
    </row>
    <row r="2" spans="1:5" x14ac:dyDescent="0.2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 x14ac:dyDescent="0.2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 x14ac:dyDescent="0.2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 x14ac:dyDescent="0.2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 x14ac:dyDescent="0.2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 x14ac:dyDescent="0.2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 x14ac:dyDescent="0.2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 x14ac:dyDescent="0.2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 x14ac:dyDescent="0.2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 x14ac:dyDescent="0.2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 x14ac:dyDescent="0.2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 x14ac:dyDescent="0.2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 x14ac:dyDescent="0.2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 x14ac:dyDescent="0.2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 x14ac:dyDescent="0.2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 x14ac:dyDescent="0.25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 x14ac:dyDescent="0.25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 x14ac:dyDescent="0.25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 x14ac:dyDescent="0.25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 x14ac:dyDescent="0.25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 x14ac:dyDescent="0.25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 x14ac:dyDescent="0.25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 x14ac:dyDescent="0.25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 x14ac:dyDescent="0.25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 x14ac:dyDescent="0.25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 x14ac:dyDescent="0.25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 x14ac:dyDescent="0.25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 x14ac:dyDescent="0.25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 x14ac:dyDescent="0.25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 x14ac:dyDescent="0.25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 x14ac:dyDescent="0.25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 x14ac:dyDescent="0.25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 x14ac:dyDescent="0.25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 x14ac:dyDescent="0.25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 x14ac:dyDescent="0.25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 x14ac:dyDescent="0.25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4"/>
  <sheetViews>
    <sheetView topLeftCell="D1" workbookViewId="0">
      <selection activeCell="H33" sqref="H33"/>
    </sheetView>
    <sheetView topLeftCell="D1" workbookViewId="1"/>
  </sheetViews>
  <sheetFormatPr defaultColWidth="9.140625" defaultRowHeight="15.75" x14ac:dyDescent="0.25"/>
  <cols>
    <col min="1" max="1" width="10.140625" style="1" hidden="1" customWidth="1"/>
    <col min="2" max="2" width="8.7109375" style="1" hidden="1" customWidth="1"/>
    <col min="3" max="3" width="12.42578125" style="1" hidden="1" customWidth="1"/>
    <col min="4" max="4" width="18.42578125" style="1" bestFit="1" customWidth="1"/>
    <col min="5" max="5" width="11.140625" style="1" bestFit="1" customWidth="1"/>
    <col min="6" max="6" width="14.28515625" style="1" bestFit="1" customWidth="1"/>
    <col min="7" max="7" width="10.140625" style="1" bestFit="1" customWidth="1"/>
    <col min="8" max="8" width="9.140625" style="1"/>
    <col min="9" max="9" width="46.42578125" style="1" customWidth="1"/>
    <col min="10" max="12" width="13.7109375" style="1" customWidth="1"/>
    <col min="13" max="16384" width="9.140625" style="1"/>
  </cols>
  <sheetData>
    <row r="1" spans="1:12" x14ac:dyDescent="0.25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 x14ac:dyDescent="0.25">
      <c r="A2" s="1" t="s">
        <v>265</v>
      </c>
      <c r="B2" s="1">
        <v>1</v>
      </c>
      <c r="C2" s="1">
        <v>0</v>
      </c>
      <c r="D2" s="22" t="s">
        <v>413</v>
      </c>
      <c r="E2" s="22"/>
      <c r="F2" s="22"/>
      <c r="G2" s="22"/>
    </row>
    <row r="3" spans="1:12" x14ac:dyDescent="0.25">
      <c r="A3" s="1" t="s">
        <v>266</v>
      </c>
      <c r="B3" s="1">
        <v>1</v>
      </c>
      <c r="C3" s="1">
        <v>1</v>
      </c>
      <c r="D3" s="22" t="s">
        <v>411</v>
      </c>
      <c r="E3" s="22">
        <v>0</v>
      </c>
      <c r="F3" s="22">
        <v>0</v>
      </c>
      <c r="G3" s="22">
        <v>0</v>
      </c>
    </row>
    <row r="4" spans="1:12" x14ac:dyDescent="0.25">
      <c r="A4" s="1" t="s">
        <v>20</v>
      </c>
      <c r="C4" s="1">
        <v>2</v>
      </c>
      <c r="D4" s="22" t="s">
        <v>167</v>
      </c>
      <c r="E4" s="22">
        <v>0</v>
      </c>
      <c r="F4" s="22">
        <v>0</v>
      </c>
      <c r="G4" s="22">
        <v>0</v>
      </c>
    </row>
  </sheetData>
  <conditionalFormatting sqref="A2:G2 A4:G112">
    <cfRule type="expression" dxfId="35" priority="1">
      <formula>OR($C2=0, $A2="Header")</formula>
    </cfRule>
  </conditionalFormatting>
  <conditionalFormatting sqref="A2:G4">
    <cfRule type="expression" dxfId="34" priority="2">
      <formula>$A2=Header</formula>
    </cfRule>
  </conditionalFormatting>
  <conditionalFormatting sqref="H2:XFD32">
    <cfRule type="expression" dxfId="33" priority="18">
      <formula>#REF!=Header</formula>
    </cfRule>
  </conditionalFormatting>
  <conditionalFormatting sqref="H33:XFD33">
    <cfRule type="expression" dxfId="32" priority="17">
      <formula>$A4=Header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5"/>
  <sheetViews>
    <sheetView workbookViewId="0"/>
    <sheetView workbookViewId="1"/>
  </sheetViews>
  <sheetFormatPr defaultColWidth="9" defaultRowHeight="15.75" x14ac:dyDescent="0.25"/>
  <cols>
    <col min="1" max="1" width="11.42578125" style="1" bestFit="1" customWidth="1"/>
    <col min="2" max="2" width="9.7109375" style="1" bestFit="1" customWidth="1"/>
    <col min="3" max="3" width="14" style="28" bestFit="1" customWidth="1"/>
    <col min="4" max="4" width="18.42578125" style="1" bestFit="1" customWidth="1"/>
    <col min="5" max="5" width="11.140625" style="1" bestFit="1" customWidth="1"/>
    <col min="6" max="6" width="14.28515625" style="1" bestFit="1" customWidth="1"/>
    <col min="7" max="7" width="10.140625" style="1" bestFit="1" customWidth="1"/>
    <col min="8" max="8" width="10.42578125" style="1" bestFit="1" customWidth="1"/>
    <col min="9" max="9" width="41.140625" style="1" customWidth="1"/>
    <col min="10" max="12" width="18.140625" style="1" customWidth="1"/>
    <col min="13" max="13" width="25.42578125" style="1" bestFit="1" customWidth="1"/>
    <col min="14" max="14" width="26.140625" style="1" bestFit="1" customWidth="1"/>
    <col min="15" max="15" width="17.140625" style="1" bestFit="1" customWidth="1"/>
    <col min="16" max="16" width="23.7109375" style="1" bestFit="1" customWidth="1"/>
    <col min="17" max="17" width="24" style="1" customWidth="1"/>
    <col min="18" max="18" width="10.140625" style="1" bestFit="1" customWidth="1"/>
    <col min="19" max="19" width="19.28515625" style="1" bestFit="1" customWidth="1"/>
    <col min="20" max="20" width="13" style="1" customWidth="1"/>
    <col min="21" max="21" width="19.7109375" style="1" bestFit="1" customWidth="1"/>
    <col min="22" max="22" width="11.85546875" style="1" bestFit="1" customWidth="1"/>
    <col min="23" max="23" width="18.85546875" style="1" bestFit="1" customWidth="1"/>
    <col min="24" max="16384" width="9" style="1"/>
  </cols>
  <sheetData>
    <row r="1" spans="1:12" x14ac:dyDescent="0.25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 x14ac:dyDescent="0.25">
      <c r="A2" s="26" t="s">
        <v>265</v>
      </c>
      <c r="B2" s="25">
        <v>1</v>
      </c>
      <c r="C2" s="27">
        <v>0</v>
      </c>
      <c r="D2" s="1" t="s">
        <v>441</v>
      </c>
      <c r="E2" s="22"/>
      <c r="F2" s="22"/>
      <c r="G2" s="22"/>
      <c r="J2" s="32"/>
      <c r="K2" s="32"/>
      <c r="L2" s="23"/>
    </row>
    <row r="3" spans="1:12" x14ac:dyDescent="0.25">
      <c r="A3" s="26" t="s">
        <v>266</v>
      </c>
      <c r="B3" s="25">
        <v>1</v>
      </c>
      <c r="C3" s="27">
        <v>1</v>
      </c>
      <c r="D3" s="1" t="s">
        <v>411</v>
      </c>
      <c r="E3" s="22">
        <v>0</v>
      </c>
      <c r="F3" s="22">
        <v>0</v>
      </c>
      <c r="G3" s="22">
        <v>0</v>
      </c>
      <c r="J3" s="32"/>
      <c r="K3" s="32"/>
      <c r="L3" s="23"/>
    </row>
    <row r="4" spans="1:12" x14ac:dyDescent="0.25">
      <c r="A4" s="26" t="s">
        <v>20</v>
      </c>
      <c r="B4" s="25"/>
      <c r="C4" s="27">
        <v>2</v>
      </c>
      <c r="D4" s="1" t="s">
        <v>167</v>
      </c>
      <c r="E4" s="22">
        <v>0</v>
      </c>
      <c r="F4" s="22">
        <v>0</v>
      </c>
      <c r="G4" s="22">
        <v>0</v>
      </c>
      <c r="J4" s="32"/>
      <c r="K4" s="32"/>
      <c r="L4" s="23"/>
    </row>
    <row r="5" spans="1:12" x14ac:dyDescent="0.25">
      <c r="J5" s="32"/>
      <c r="K5" s="32"/>
      <c r="L5" s="23"/>
    </row>
    <row r="6" spans="1:12" x14ac:dyDescent="0.25">
      <c r="E6" s="22"/>
      <c r="F6" s="22"/>
      <c r="G6" s="22"/>
      <c r="J6" s="32"/>
      <c r="K6" s="32"/>
      <c r="L6" s="23"/>
    </row>
    <row r="7" spans="1:12" x14ac:dyDescent="0.25">
      <c r="E7" s="22"/>
      <c r="F7" s="22"/>
      <c r="G7" s="22"/>
      <c r="J7" s="32"/>
      <c r="K7" s="32"/>
      <c r="L7" s="23"/>
    </row>
    <row r="8" spans="1:12" x14ac:dyDescent="0.25">
      <c r="E8" s="22"/>
      <c r="F8" s="22"/>
      <c r="G8" s="22"/>
      <c r="J8" s="32"/>
      <c r="K8" s="32"/>
      <c r="L8" s="23"/>
    </row>
    <row r="9" spans="1:12" x14ac:dyDescent="0.25">
      <c r="E9" s="22"/>
      <c r="F9" s="22"/>
      <c r="G9" s="22"/>
      <c r="J9" s="32"/>
      <c r="K9" s="32"/>
      <c r="L9" s="23"/>
    </row>
    <row r="10" spans="1:12" x14ac:dyDescent="0.25">
      <c r="E10" s="22"/>
      <c r="F10" s="22"/>
      <c r="G10" s="22"/>
      <c r="J10" s="32"/>
      <c r="K10" s="32"/>
      <c r="L10" s="23"/>
    </row>
    <row r="11" spans="1:12" x14ac:dyDescent="0.25">
      <c r="E11" s="22"/>
      <c r="F11" s="22"/>
      <c r="G11" s="22"/>
      <c r="J11" s="32"/>
      <c r="K11" s="32"/>
      <c r="L11" s="23"/>
    </row>
    <row r="12" spans="1:12" x14ac:dyDescent="0.25">
      <c r="E12" s="22"/>
      <c r="F12" s="22"/>
      <c r="G12" s="22"/>
      <c r="J12" s="32"/>
      <c r="K12" s="32"/>
      <c r="L12" s="23"/>
    </row>
    <row r="13" spans="1:12" x14ac:dyDescent="0.25">
      <c r="E13" s="22"/>
      <c r="F13" s="22"/>
      <c r="G13" s="22"/>
      <c r="J13" s="32"/>
      <c r="K13" s="32"/>
      <c r="L13" s="23"/>
    </row>
    <row r="14" spans="1:12" x14ac:dyDescent="0.25">
      <c r="E14" s="22"/>
      <c r="F14" s="22"/>
      <c r="G14" s="22"/>
      <c r="J14" s="32"/>
      <c r="K14" s="32"/>
      <c r="L14" s="23"/>
    </row>
    <row r="15" spans="1:12" x14ac:dyDescent="0.25">
      <c r="E15" s="22"/>
      <c r="F15" s="22"/>
      <c r="G15" s="22"/>
      <c r="J15" s="32"/>
      <c r="K15" s="32"/>
      <c r="L15" s="23"/>
    </row>
    <row r="16" spans="1:12" x14ac:dyDescent="0.25">
      <c r="E16" s="22"/>
      <c r="F16" s="22"/>
      <c r="G16" s="22"/>
      <c r="J16" s="32"/>
      <c r="K16" s="32"/>
      <c r="L16" s="23"/>
    </row>
    <row r="17" spans="5:20" x14ac:dyDescent="0.25">
      <c r="E17" s="22"/>
      <c r="F17" s="22"/>
      <c r="G17" s="22"/>
      <c r="J17" s="32"/>
      <c r="K17" s="32"/>
      <c r="L17" s="23"/>
    </row>
    <row r="18" spans="5:20" x14ac:dyDescent="0.25">
      <c r="E18" s="22"/>
      <c r="F18" s="22"/>
      <c r="G18" s="22"/>
      <c r="J18" s="32"/>
      <c r="K18" s="32"/>
      <c r="L18" s="23"/>
    </row>
    <row r="19" spans="5:20" x14ac:dyDescent="0.25">
      <c r="E19" s="22"/>
      <c r="F19" s="22"/>
      <c r="G19" s="22"/>
      <c r="I19" s="29"/>
      <c r="J19" s="24"/>
      <c r="K19" s="24"/>
      <c r="L19" s="24"/>
    </row>
    <row r="20" spans="5:20" x14ac:dyDescent="0.25">
      <c r="E20" s="22"/>
      <c r="F20" s="22"/>
      <c r="G20" s="22"/>
    </row>
    <row r="21" spans="5:20" x14ac:dyDescent="0.25">
      <c r="E21" s="22"/>
      <c r="F21" s="22"/>
      <c r="G21" s="22"/>
    </row>
    <row r="22" spans="5:20" x14ac:dyDescent="0.25">
      <c r="E22" s="22"/>
      <c r="F22" s="22"/>
      <c r="G22" s="22"/>
    </row>
    <row r="23" spans="5:20" x14ac:dyDescent="0.25">
      <c r="E23" s="22"/>
      <c r="F23" s="22"/>
      <c r="G23" s="22"/>
    </row>
    <row r="24" spans="5:20" x14ac:dyDescent="0.25">
      <c r="E24" s="22"/>
      <c r="F24" s="22"/>
      <c r="G24" s="22"/>
      <c r="J24" s="19"/>
      <c r="K24" s="19"/>
      <c r="L24" s="19"/>
      <c r="M24" s="19"/>
    </row>
    <row r="25" spans="5:20" x14ac:dyDescent="0.25">
      <c r="E25" s="22"/>
      <c r="F25" s="22"/>
      <c r="G25" s="22"/>
      <c r="J25" s="20"/>
      <c r="K25" s="18"/>
      <c r="L25" s="18"/>
      <c r="M25" s="18"/>
    </row>
    <row r="26" spans="5:20" x14ac:dyDescent="0.25">
      <c r="E26" s="22"/>
      <c r="F26" s="22"/>
      <c r="G26" s="22"/>
      <c r="J26" s="20"/>
      <c r="K26" s="18"/>
      <c r="L26" s="18"/>
      <c r="M26" s="18"/>
    </row>
    <row r="27" spans="5:20" x14ac:dyDescent="0.25">
      <c r="E27" s="22"/>
      <c r="F27" s="22"/>
      <c r="G27" s="22"/>
      <c r="J27" s="20"/>
      <c r="K27" s="18"/>
      <c r="L27" s="18"/>
      <c r="M27" s="18"/>
    </row>
    <row r="28" spans="5:20" x14ac:dyDescent="0.25">
      <c r="E28" s="22"/>
      <c r="F28" s="22"/>
      <c r="G28" s="22"/>
      <c r="J28" s="20"/>
      <c r="K28" s="18"/>
      <c r="L28" s="18"/>
      <c r="M28" s="18"/>
    </row>
    <row r="29" spans="5:20" x14ac:dyDescent="0.25">
      <c r="E29" s="22"/>
      <c r="F29" s="22"/>
      <c r="G29" s="22"/>
      <c r="P29" s="20"/>
      <c r="Q29" s="18"/>
      <c r="R29" s="18"/>
      <c r="S29" s="18"/>
    </row>
    <row r="30" spans="5:20" x14ac:dyDescent="0.25">
      <c r="E30" s="22"/>
      <c r="F30" s="22"/>
      <c r="G30" s="22"/>
      <c r="P30" s="20"/>
      <c r="Q30" s="18"/>
      <c r="R30" s="18"/>
      <c r="S30" s="18"/>
    </row>
    <row r="31" spans="5:20" x14ac:dyDescent="0.25">
      <c r="E31" s="22"/>
      <c r="F31" s="22"/>
      <c r="G31" s="22"/>
      <c r="Q31" s="20"/>
      <c r="R31" s="18"/>
      <c r="S31" s="18"/>
      <c r="T31" s="18"/>
    </row>
    <row r="32" spans="5:20" x14ac:dyDescent="0.25">
      <c r="E32" s="22"/>
      <c r="F32" s="22"/>
      <c r="G32" s="22"/>
      <c r="Q32" s="20"/>
      <c r="R32" s="18"/>
      <c r="S32" s="18"/>
      <c r="T32" s="18"/>
    </row>
    <row r="33" spans="5:20" x14ac:dyDescent="0.25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 x14ac:dyDescent="0.25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 x14ac:dyDescent="0.25">
      <c r="E35" s="22"/>
      <c r="F35" s="22"/>
      <c r="G35" s="22"/>
      <c r="J35" s="21"/>
      <c r="K35" s="21"/>
      <c r="L35" s="21"/>
      <c r="M35" s="21"/>
      <c r="N35" s="21"/>
    </row>
    <row r="36" spans="5:20" x14ac:dyDescent="0.25">
      <c r="E36" s="22"/>
      <c r="F36" s="22"/>
      <c r="G36" s="22"/>
      <c r="J36" s="21"/>
      <c r="K36" s="21"/>
      <c r="L36" s="21"/>
      <c r="M36" s="21"/>
      <c r="N36" s="21"/>
    </row>
    <row r="37" spans="5:20" x14ac:dyDescent="0.25">
      <c r="E37" s="22"/>
      <c r="F37" s="22"/>
      <c r="G37" s="22"/>
      <c r="J37" s="21"/>
      <c r="K37" s="21"/>
      <c r="L37" s="21"/>
      <c r="M37" s="21"/>
      <c r="N37" s="21"/>
    </row>
    <row r="38" spans="5:20" x14ac:dyDescent="0.25">
      <c r="E38" s="22"/>
      <c r="F38" s="22"/>
      <c r="G38" s="22"/>
      <c r="J38" s="21"/>
      <c r="K38" s="21"/>
      <c r="L38" s="21"/>
      <c r="M38" s="21"/>
      <c r="N38" s="21"/>
    </row>
    <row r="39" spans="5:20" x14ac:dyDescent="0.25">
      <c r="E39" s="22"/>
      <c r="F39" s="22"/>
      <c r="G39" s="22"/>
      <c r="J39" s="21"/>
      <c r="K39" s="21"/>
      <c r="L39" s="21"/>
      <c r="M39" s="21"/>
      <c r="N39" s="21"/>
    </row>
    <row r="40" spans="5:20" x14ac:dyDescent="0.25">
      <c r="E40" s="22"/>
      <c r="F40" s="22"/>
      <c r="G40" s="22"/>
      <c r="J40" s="21"/>
      <c r="K40" s="21"/>
      <c r="L40" s="21"/>
      <c r="M40" s="21"/>
      <c r="N40" s="21"/>
    </row>
    <row r="41" spans="5:20" x14ac:dyDescent="0.25">
      <c r="E41" s="22"/>
      <c r="F41" s="22"/>
      <c r="G41" s="22"/>
      <c r="J41" s="21"/>
      <c r="K41" s="21"/>
      <c r="L41" s="21"/>
      <c r="M41" s="21"/>
      <c r="N41" s="21"/>
    </row>
    <row r="42" spans="5:20" x14ac:dyDescent="0.25">
      <c r="E42" s="22"/>
      <c r="F42" s="22"/>
      <c r="G42" s="22"/>
      <c r="J42" s="21"/>
      <c r="K42" s="21"/>
      <c r="L42" s="21"/>
      <c r="M42" s="21"/>
      <c r="N42" s="21"/>
    </row>
    <row r="43" spans="5:20" x14ac:dyDescent="0.25">
      <c r="E43" s="22"/>
      <c r="F43" s="22"/>
      <c r="G43" s="22"/>
      <c r="J43" s="21"/>
      <c r="K43" s="21"/>
      <c r="L43" s="21"/>
      <c r="M43" s="21"/>
      <c r="N43" s="21"/>
    </row>
    <row r="44" spans="5:20" x14ac:dyDescent="0.25">
      <c r="E44" s="22"/>
      <c r="F44" s="22"/>
      <c r="G44" s="22"/>
      <c r="J44" s="21"/>
      <c r="K44" s="21"/>
      <c r="L44" s="21"/>
      <c r="M44" s="21"/>
      <c r="N44" s="21"/>
    </row>
    <row r="45" spans="5:20" x14ac:dyDescent="0.25">
      <c r="E45" s="22"/>
      <c r="F45" s="22"/>
      <c r="G45" s="22"/>
      <c r="J45" s="21"/>
      <c r="K45" s="21"/>
      <c r="L45" s="21"/>
      <c r="M45" s="21"/>
      <c r="N45" s="21"/>
    </row>
    <row r="46" spans="5:20" x14ac:dyDescent="0.25">
      <c r="E46" s="22"/>
      <c r="F46" s="22"/>
      <c r="G46" s="22"/>
      <c r="J46" s="21"/>
      <c r="K46" s="21"/>
      <c r="L46" s="21"/>
      <c r="M46" s="21"/>
      <c r="N46" s="21"/>
    </row>
    <row r="47" spans="5:20" x14ac:dyDescent="0.25">
      <c r="E47" s="22"/>
      <c r="F47" s="22"/>
      <c r="G47" s="22"/>
    </row>
    <row r="48" spans="5:20" x14ac:dyDescent="0.25">
      <c r="E48" s="22"/>
      <c r="F48" s="22"/>
      <c r="G48" s="22"/>
    </row>
    <row r="49" spans="5:7" x14ac:dyDescent="0.25">
      <c r="E49" s="22"/>
      <c r="F49" s="22"/>
      <c r="G49" s="22"/>
    </row>
    <row r="50" spans="5:7" x14ac:dyDescent="0.25">
      <c r="E50" s="22"/>
      <c r="F50" s="22"/>
      <c r="G50" s="22"/>
    </row>
    <row r="51" spans="5:7" x14ac:dyDescent="0.25">
      <c r="E51" s="22"/>
      <c r="F51" s="22"/>
      <c r="G51" s="22"/>
    </row>
    <row r="52" spans="5:7" x14ac:dyDescent="0.25">
      <c r="E52" s="22"/>
      <c r="F52" s="22"/>
      <c r="G52" s="22"/>
    </row>
    <row r="53" spans="5:7" x14ac:dyDescent="0.25">
      <c r="E53" s="22"/>
      <c r="F53" s="22"/>
      <c r="G53" s="22"/>
    </row>
    <row r="54" spans="5:7" x14ac:dyDescent="0.25">
      <c r="E54" s="22"/>
      <c r="F54" s="22"/>
      <c r="G54" s="22"/>
    </row>
    <row r="55" spans="5:7" x14ac:dyDescent="0.25">
      <c r="E55" s="22"/>
      <c r="F55" s="22"/>
      <c r="G55" s="22"/>
    </row>
    <row r="56" spans="5:7" x14ac:dyDescent="0.25">
      <c r="E56" s="22"/>
      <c r="F56" s="22"/>
      <c r="G56" s="22"/>
    </row>
    <row r="57" spans="5:7" x14ac:dyDescent="0.25">
      <c r="E57" s="22"/>
      <c r="F57" s="22"/>
      <c r="G57" s="22"/>
    </row>
    <row r="58" spans="5:7" x14ac:dyDescent="0.25">
      <c r="E58" s="22"/>
      <c r="F58" s="22"/>
      <c r="G58" s="22"/>
    </row>
    <row r="59" spans="5:7" x14ac:dyDescent="0.25">
      <c r="E59" s="22"/>
      <c r="F59" s="22"/>
      <c r="G59" s="22"/>
    </row>
    <row r="60" spans="5:7" x14ac:dyDescent="0.25">
      <c r="E60" s="22"/>
      <c r="F60" s="22"/>
      <c r="G60" s="22"/>
    </row>
    <row r="61" spans="5:7" x14ac:dyDescent="0.25">
      <c r="E61" s="22"/>
      <c r="F61" s="22"/>
      <c r="G61" s="22"/>
    </row>
    <row r="62" spans="5:7" x14ac:dyDescent="0.25">
      <c r="E62" s="22"/>
      <c r="F62" s="22"/>
      <c r="G62" s="22"/>
    </row>
    <row r="63" spans="5:7" x14ac:dyDescent="0.25">
      <c r="E63" s="22"/>
      <c r="F63" s="22"/>
      <c r="G63" s="22"/>
    </row>
    <row r="64" spans="5:7" x14ac:dyDescent="0.25">
      <c r="E64" s="22"/>
      <c r="F64" s="22"/>
      <c r="G64" s="22"/>
    </row>
    <row r="65" spans="5:7" x14ac:dyDescent="0.25">
      <c r="E65" s="22"/>
      <c r="F65" s="22"/>
      <c r="G65" s="22"/>
    </row>
    <row r="66" spans="5:7" x14ac:dyDescent="0.25">
      <c r="E66" s="22"/>
      <c r="F66" s="22"/>
      <c r="G66" s="22"/>
    </row>
    <row r="67" spans="5:7" x14ac:dyDescent="0.25">
      <c r="E67" s="22"/>
      <c r="F67" s="22"/>
      <c r="G67" s="22"/>
    </row>
    <row r="68" spans="5:7" x14ac:dyDescent="0.25">
      <c r="E68" s="22"/>
      <c r="F68" s="22"/>
      <c r="G68" s="22"/>
    </row>
    <row r="69" spans="5:7" x14ac:dyDescent="0.25">
      <c r="E69" s="22"/>
      <c r="F69" s="22"/>
      <c r="G69" s="22"/>
    </row>
    <row r="70" spans="5:7" x14ac:dyDescent="0.25">
      <c r="E70" s="22"/>
      <c r="F70" s="22"/>
      <c r="G70" s="22"/>
    </row>
    <row r="71" spans="5:7" x14ac:dyDescent="0.25">
      <c r="E71" s="22"/>
      <c r="F71" s="22"/>
      <c r="G71" s="22"/>
    </row>
    <row r="72" spans="5:7" x14ac:dyDescent="0.25">
      <c r="E72" s="22"/>
      <c r="F72" s="22"/>
      <c r="G72" s="22"/>
    </row>
    <row r="73" spans="5:7" x14ac:dyDescent="0.25">
      <c r="E73" s="22"/>
      <c r="F73" s="22"/>
      <c r="G73" s="22"/>
    </row>
    <row r="74" spans="5:7" x14ac:dyDescent="0.25">
      <c r="E74" s="22"/>
      <c r="F74" s="22"/>
      <c r="G74" s="22"/>
    </row>
    <row r="75" spans="5:7" x14ac:dyDescent="0.25">
      <c r="E75" s="22"/>
      <c r="F75" s="22"/>
      <c r="G75" s="22"/>
    </row>
    <row r="76" spans="5:7" x14ac:dyDescent="0.25">
      <c r="E76" s="22"/>
      <c r="F76" s="22"/>
      <c r="G76" s="22"/>
    </row>
    <row r="77" spans="5:7" x14ac:dyDescent="0.25">
      <c r="E77" s="22"/>
      <c r="F77" s="22"/>
      <c r="G77" s="22"/>
    </row>
    <row r="78" spans="5:7" x14ac:dyDescent="0.25">
      <c r="E78" s="22"/>
      <c r="F78" s="22"/>
      <c r="G78" s="22"/>
    </row>
    <row r="79" spans="5:7" x14ac:dyDescent="0.25">
      <c r="E79" s="22"/>
      <c r="F79" s="22"/>
      <c r="G79" s="22"/>
    </row>
    <row r="80" spans="5:7" x14ac:dyDescent="0.25">
      <c r="E80" s="22"/>
      <c r="F80" s="22"/>
      <c r="G80" s="22"/>
    </row>
    <row r="81" spans="5:7" x14ac:dyDescent="0.25">
      <c r="E81" s="22"/>
      <c r="F81" s="22"/>
      <c r="G81" s="22"/>
    </row>
    <row r="82" spans="5:7" x14ac:dyDescent="0.25">
      <c r="E82" s="22"/>
      <c r="F82" s="22"/>
      <c r="G82" s="22"/>
    </row>
    <row r="83" spans="5:7" x14ac:dyDescent="0.25">
      <c r="E83" s="22"/>
      <c r="F83" s="22"/>
      <c r="G83" s="22"/>
    </row>
    <row r="84" spans="5:7" x14ac:dyDescent="0.25">
      <c r="E84" s="22"/>
      <c r="F84" s="22"/>
      <c r="G84" s="22"/>
    </row>
    <row r="85" spans="5:7" x14ac:dyDescent="0.25">
      <c r="E85" s="22"/>
      <c r="F85" s="22"/>
      <c r="G85" s="22"/>
    </row>
    <row r="86" spans="5:7" x14ac:dyDescent="0.25">
      <c r="E86" s="22"/>
      <c r="F86" s="22"/>
      <c r="G86" s="22"/>
    </row>
    <row r="87" spans="5:7" x14ac:dyDescent="0.25">
      <c r="E87" s="22"/>
      <c r="F87" s="22"/>
      <c r="G87" s="22"/>
    </row>
    <row r="88" spans="5:7" x14ac:dyDescent="0.25">
      <c r="E88" s="22"/>
      <c r="F88" s="22"/>
      <c r="G88" s="22"/>
    </row>
    <row r="89" spans="5:7" x14ac:dyDescent="0.25">
      <c r="E89" s="22"/>
      <c r="F89" s="22"/>
      <c r="G89" s="22"/>
    </row>
    <row r="90" spans="5:7" x14ac:dyDescent="0.25">
      <c r="E90" s="22"/>
      <c r="F90" s="22"/>
      <c r="G90" s="22"/>
    </row>
    <row r="91" spans="5:7" x14ac:dyDescent="0.25">
      <c r="E91" s="22"/>
      <c r="F91" s="22"/>
      <c r="G91" s="22"/>
    </row>
    <row r="92" spans="5:7" x14ac:dyDescent="0.25">
      <c r="E92" s="22"/>
      <c r="F92" s="22"/>
      <c r="G92" s="22"/>
    </row>
    <row r="93" spans="5:7" x14ac:dyDescent="0.25">
      <c r="E93" s="22"/>
      <c r="F93" s="22"/>
      <c r="G93" s="22"/>
    </row>
    <row r="94" spans="5:7" x14ac:dyDescent="0.25">
      <c r="E94" s="22"/>
      <c r="F94" s="22"/>
      <c r="G94" s="22"/>
    </row>
    <row r="95" spans="5:7" x14ac:dyDescent="0.25">
      <c r="E95" s="22"/>
      <c r="F95" s="22"/>
      <c r="G95" s="22"/>
    </row>
    <row r="96" spans="5:7" x14ac:dyDescent="0.25">
      <c r="E96" s="22"/>
      <c r="F96" s="22"/>
      <c r="G96" s="22"/>
    </row>
    <row r="97" spans="5:7" x14ac:dyDescent="0.25">
      <c r="E97" s="22"/>
      <c r="F97" s="22"/>
      <c r="G97" s="22"/>
    </row>
    <row r="98" spans="5:7" x14ac:dyDescent="0.25">
      <c r="E98" s="22"/>
      <c r="F98" s="22"/>
      <c r="G98" s="22"/>
    </row>
    <row r="99" spans="5:7" x14ac:dyDescent="0.25">
      <c r="E99" s="22"/>
      <c r="F99" s="22"/>
      <c r="G99" s="22"/>
    </row>
    <row r="100" spans="5:7" x14ac:dyDescent="0.25">
      <c r="E100" s="22"/>
      <c r="F100" s="22"/>
      <c r="G100" s="22"/>
    </row>
    <row r="101" spans="5:7" x14ac:dyDescent="0.25">
      <c r="E101" s="22"/>
      <c r="F101" s="22"/>
      <c r="G101" s="22"/>
    </row>
    <row r="102" spans="5:7" x14ac:dyDescent="0.25">
      <c r="E102" s="22"/>
      <c r="F102" s="22"/>
      <c r="G102" s="22"/>
    </row>
    <row r="103" spans="5:7" x14ac:dyDescent="0.25">
      <c r="E103" s="22"/>
      <c r="F103" s="22"/>
      <c r="G103" s="22"/>
    </row>
    <row r="104" spans="5:7" x14ac:dyDescent="0.25">
      <c r="E104" s="22"/>
      <c r="F104" s="22"/>
      <c r="G104" s="22"/>
    </row>
    <row r="105" spans="5:7" x14ac:dyDescent="0.25">
      <c r="E105" s="22"/>
      <c r="F105" s="22"/>
      <c r="G105" s="22"/>
    </row>
    <row r="106" spans="5:7" x14ac:dyDescent="0.25">
      <c r="E106" s="22"/>
      <c r="F106" s="22"/>
      <c r="G106" s="22"/>
    </row>
    <row r="107" spans="5:7" x14ac:dyDescent="0.25">
      <c r="E107" s="22"/>
      <c r="F107" s="22"/>
      <c r="G107" s="22"/>
    </row>
    <row r="108" spans="5:7" x14ac:dyDescent="0.25">
      <c r="E108" s="22"/>
      <c r="F108" s="22"/>
      <c r="G108" s="22"/>
    </row>
    <row r="109" spans="5:7" x14ac:dyDescent="0.25">
      <c r="E109" s="22"/>
      <c r="F109" s="22"/>
      <c r="G109" s="22"/>
    </row>
    <row r="110" spans="5:7" x14ac:dyDescent="0.25">
      <c r="E110" s="22"/>
      <c r="F110" s="22"/>
      <c r="G110" s="22"/>
    </row>
    <row r="111" spans="5:7" x14ac:dyDescent="0.25">
      <c r="E111" s="22"/>
      <c r="F111" s="22"/>
      <c r="G111" s="22"/>
    </row>
    <row r="112" spans="5:7" x14ac:dyDescent="0.25">
      <c r="E112" s="22"/>
      <c r="F112" s="22"/>
      <c r="G112" s="22"/>
    </row>
    <row r="113" spans="5:7" x14ac:dyDescent="0.25">
      <c r="E113" s="22"/>
      <c r="F113" s="22"/>
      <c r="G113" s="22"/>
    </row>
    <row r="114" spans="5:7" x14ac:dyDescent="0.25">
      <c r="E114" s="22"/>
      <c r="F114" s="22"/>
      <c r="G114" s="22"/>
    </row>
    <row r="115" spans="5:7" x14ac:dyDescent="0.25">
      <c r="E115" s="22"/>
      <c r="F115" s="22"/>
      <c r="G115" s="22"/>
    </row>
    <row r="116" spans="5:7" x14ac:dyDescent="0.25">
      <c r="E116" s="22"/>
      <c r="F116" s="22"/>
      <c r="G116" s="22"/>
    </row>
    <row r="117" spans="5:7" x14ac:dyDescent="0.25">
      <c r="E117" s="22"/>
      <c r="F117" s="22"/>
      <c r="G117" s="22"/>
    </row>
    <row r="118" spans="5:7" x14ac:dyDescent="0.25">
      <c r="E118" s="22"/>
      <c r="F118" s="22"/>
      <c r="G118" s="22"/>
    </row>
    <row r="119" spans="5:7" x14ac:dyDescent="0.25">
      <c r="E119" s="22"/>
      <c r="F119" s="22"/>
      <c r="G119" s="22"/>
    </row>
    <row r="120" spans="5:7" x14ac:dyDescent="0.25">
      <c r="E120" s="22"/>
      <c r="F120" s="22"/>
      <c r="G120" s="22"/>
    </row>
    <row r="121" spans="5:7" x14ac:dyDescent="0.25">
      <c r="E121" s="22"/>
      <c r="F121" s="22"/>
      <c r="G121" s="22"/>
    </row>
    <row r="122" spans="5:7" x14ac:dyDescent="0.25">
      <c r="E122" s="22"/>
      <c r="F122" s="22"/>
      <c r="G122" s="22"/>
    </row>
    <row r="123" spans="5:7" x14ac:dyDescent="0.25">
      <c r="E123" s="22"/>
      <c r="F123" s="22"/>
      <c r="G123" s="22"/>
    </row>
    <row r="124" spans="5:7" x14ac:dyDescent="0.25">
      <c r="E124" s="22"/>
      <c r="F124" s="22"/>
      <c r="G124" s="22"/>
    </row>
    <row r="125" spans="5:7" x14ac:dyDescent="0.25">
      <c r="E125" s="22"/>
      <c r="F125" s="22"/>
      <c r="G125" s="22"/>
    </row>
    <row r="126" spans="5:7" x14ac:dyDescent="0.25">
      <c r="E126" s="22"/>
      <c r="F126" s="22"/>
      <c r="G126" s="22"/>
    </row>
    <row r="127" spans="5:7" x14ac:dyDescent="0.25">
      <c r="E127" s="22"/>
      <c r="F127" s="22"/>
      <c r="G127" s="22"/>
    </row>
    <row r="128" spans="5:7" x14ac:dyDescent="0.25">
      <c r="E128" s="22"/>
      <c r="F128" s="22"/>
      <c r="G128" s="22"/>
    </row>
    <row r="129" spans="5:7" x14ac:dyDescent="0.25">
      <c r="E129" s="22"/>
      <c r="F129" s="22"/>
      <c r="G129" s="22"/>
    </row>
    <row r="130" spans="5:7" x14ac:dyDescent="0.25">
      <c r="E130" s="22"/>
      <c r="F130" s="22"/>
      <c r="G130" s="22"/>
    </row>
    <row r="131" spans="5:7" x14ac:dyDescent="0.25">
      <c r="E131" s="22"/>
      <c r="F131" s="22"/>
      <c r="G131" s="22"/>
    </row>
    <row r="132" spans="5:7" x14ac:dyDescent="0.25">
      <c r="E132" s="22"/>
      <c r="F132" s="22"/>
      <c r="G132" s="22"/>
    </row>
    <row r="133" spans="5:7" x14ac:dyDescent="0.25">
      <c r="E133" s="22"/>
      <c r="F133" s="22"/>
      <c r="G133" s="22"/>
    </row>
    <row r="134" spans="5:7" x14ac:dyDescent="0.25">
      <c r="E134" s="22"/>
      <c r="F134" s="22"/>
      <c r="G134" s="22"/>
    </row>
    <row r="135" spans="5:7" x14ac:dyDescent="0.25">
      <c r="E135" s="22"/>
      <c r="F135" s="22"/>
      <c r="G135" s="22"/>
    </row>
    <row r="136" spans="5:7" x14ac:dyDescent="0.25">
      <c r="E136" s="22"/>
      <c r="F136" s="22"/>
      <c r="G136" s="22"/>
    </row>
    <row r="137" spans="5:7" x14ac:dyDescent="0.25">
      <c r="E137" s="22"/>
      <c r="F137" s="22"/>
      <c r="G137" s="22"/>
    </row>
    <row r="138" spans="5:7" x14ac:dyDescent="0.25">
      <c r="E138" s="22"/>
      <c r="F138" s="22"/>
      <c r="G138" s="22"/>
    </row>
    <row r="139" spans="5:7" x14ac:dyDescent="0.25">
      <c r="E139" s="22"/>
      <c r="F139" s="22"/>
      <c r="G139" s="22"/>
    </row>
    <row r="140" spans="5:7" x14ac:dyDescent="0.25">
      <c r="E140" s="22"/>
      <c r="F140" s="22"/>
      <c r="G140" s="22"/>
    </row>
    <row r="141" spans="5:7" x14ac:dyDescent="0.25">
      <c r="E141" s="22"/>
      <c r="F141" s="22"/>
      <c r="G141" s="22"/>
    </row>
    <row r="142" spans="5:7" x14ac:dyDescent="0.25">
      <c r="E142" s="22"/>
      <c r="F142" s="22"/>
      <c r="G142" s="22"/>
    </row>
    <row r="143" spans="5:7" x14ac:dyDescent="0.25">
      <c r="E143" s="22"/>
      <c r="F143" s="22"/>
      <c r="G143" s="22"/>
    </row>
    <row r="144" spans="5:7" x14ac:dyDescent="0.25">
      <c r="E144" s="22"/>
      <c r="F144" s="22"/>
      <c r="G144" s="22"/>
    </row>
    <row r="145" spans="5:7" x14ac:dyDescent="0.25">
      <c r="E145" s="22"/>
      <c r="F145" s="22"/>
      <c r="G145" s="22"/>
    </row>
    <row r="146" spans="5:7" x14ac:dyDescent="0.25">
      <c r="E146" s="22"/>
      <c r="F146" s="22"/>
      <c r="G146" s="22"/>
    </row>
    <row r="147" spans="5:7" x14ac:dyDescent="0.25">
      <c r="E147" s="22"/>
      <c r="F147" s="22"/>
      <c r="G147" s="22"/>
    </row>
    <row r="148" spans="5:7" x14ac:dyDescent="0.25">
      <c r="E148" s="22"/>
      <c r="F148" s="22"/>
      <c r="G148" s="22"/>
    </row>
    <row r="149" spans="5:7" x14ac:dyDescent="0.25">
      <c r="E149" s="22"/>
      <c r="F149" s="22"/>
      <c r="G149" s="22"/>
    </row>
    <row r="150" spans="5:7" x14ac:dyDescent="0.25">
      <c r="E150" s="22"/>
      <c r="F150" s="22"/>
      <c r="G150" s="22"/>
    </row>
    <row r="151" spans="5:7" x14ac:dyDescent="0.25">
      <c r="E151" s="22"/>
      <c r="F151" s="22"/>
      <c r="G151" s="22"/>
    </row>
    <row r="152" spans="5:7" x14ac:dyDescent="0.25">
      <c r="E152" s="22"/>
      <c r="F152" s="22"/>
      <c r="G152" s="22"/>
    </row>
    <row r="153" spans="5:7" x14ac:dyDescent="0.25">
      <c r="E153" s="22"/>
      <c r="F153" s="22"/>
      <c r="G153" s="22"/>
    </row>
    <row r="154" spans="5:7" x14ac:dyDescent="0.25">
      <c r="E154" s="22"/>
      <c r="F154" s="22"/>
      <c r="G154" s="22"/>
    </row>
    <row r="155" spans="5:7" x14ac:dyDescent="0.25">
      <c r="E155" s="22"/>
      <c r="F155" s="22"/>
      <c r="G155" s="22"/>
    </row>
    <row r="156" spans="5:7" x14ac:dyDescent="0.25">
      <c r="E156" s="22"/>
      <c r="F156" s="22"/>
      <c r="G156" s="22"/>
    </row>
    <row r="157" spans="5:7" x14ac:dyDescent="0.25">
      <c r="E157" s="22"/>
      <c r="F157" s="22"/>
      <c r="G157" s="22"/>
    </row>
    <row r="158" spans="5:7" x14ac:dyDescent="0.25">
      <c r="E158" s="22"/>
      <c r="F158" s="22"/>
      <c r="G158" s="22"/>
    </row>
    <row r="159" spans="5:7" x14ac:dyDescent="0.25">
      <c r="E159" s="22"/>
      <c r="F159" s="22"/>
      <c r="G159" s="22"/>
    </row>
    <row r="160" spans="5:7" x14ac:dyDescent="0.25">
      <c r="E160" s="22"/>
      <c r="F160" s="22"/>
      <c r="G160" s="22"/>
    </row>
    <row r="161" spans="5:7" x14ac:dyDescent="0.25">
      <c r="E161" s="22"/>
      <c r="F161" s="22"/>
      <c r="G161" s="22"/>
    </row>
    <row r="162" spans="5:7" x14ac:dyDescent="0.25">
      <c r="E162" s="22"/>
      <c r="F162" s="22"/>
      <c r="G162" s="22"/>
    </row>
    <row r="163" spans="5:7" x14ac:dyDescent="0.25">
      <c r="E163" s="22"/>
      <c r="F163" s="22"/>
      <c r="G163" s="22"/>
    </row>
    <row r="164" spans="5:7" x14ac:dyDescent="0.25">
      <c r="E164" s="22"/>
      <c r="F164" s="22"/>
      <c r="G164" s="22"/>
    </row>
    <row r="165" spans="5:7" x14ac:dyDescent="0.25">
      <c r="E165" s="22"/>
      <c r="F165" s="22"/>
      <c r="G165" s="22"/>
    </row>
    <row r="166" spans="5:7" x14ac:dyDescent="0.25">
      <c r="E166" s="22"/>
      <c r="F166" s="22"/>
      <c r="G166" s="22"/>
    </row>
    <row r="167" spans="5:7" x14ac:dyDescent="0.25">
      <c r="E167" s="22"/>
      <c r="F167" s="22"/>
      <c r="G167" s="22"/>
    </row>
    <row r="168" spans="5:7" x14ac:dyDescent="0.25">
      <c r="E168" s="22"/>
      <c r="F168" s="22"/>
      <c r="G168" s="22"/>
    </row>
    <row r="169" spans="5:7" x14ac:dyDescent="0.25">
      <c r="E169" s="22"/>
      <c r="F169" s="22"/>
      <c r="G169" s="22"/>
    </row>
    <row r="170" spans="5:7" x14ac:dyDescent="0.25">
      <c r="E170" s="22"/>
      <c r="F170" s="22"/>
      <c r="G170" s="22"/>
    </row>
    <row r="171" spans="5:7" x14ac:dyDescent="0.25">
      <c r="E171" s="22"/>
      <c r="F171" s="22"/>
      <c r="G171" s="22"/>
    </row>
    <row r="172" spans="5:7" x14ac:dyDescent="0.25">
      <c r="E172" s="22"/>
      <c r="F172" s="22"/>
      <c r="G172" s="22"/>
    </row>
    <row r="173" spans="5:7" x14ac:dyDescent="0.25">
      <c r="E173" s="22"/>
      <c r="F173" s="22"/>
      <c r="G173" s="22"/>
    </row>
    <row r="174" spans="5:7" x14ac:dyDescent="0.25">
      <c r="E174" s="22"/>
      <c r="F174" s="22"/>
      <c r="G174" s="22"/>
    </row>
    <row r="175" spans="5:7" x14ac:dyDescent="0.25">
      <c r="E175" s="22"/>
      <c r="F175" s="22"/>
      <c r="G175" s="22"/>
    </row>
    <row r="176" spans="5:7" x14ac:dyDescent="0.25">
      <c r="E176" s="22"/>
      <c r="F176" s="22"/>
      <c r="G176" s="22"/>
    </row>
    <row r="177" spans="5:7" x14ac:dyDescent="0.25">
      <c r="E177" s="22"/>
      <c r="F177" s="22"/>
      <c r="G177" s="22"/>
    </row>
    <row r="178" spans="5:7" x14ac:dyDescent="0.25">
      <c r="E178" s="22"/>
      <c r="F178" s="22"/>
      <c r="G178" s="22"/>
    </row>
    <row r="179" spans="5:7" x14ac:dyDescent="0.25">
      <c r="E179" s="22"/>
      <c r="F179" s="22"/>
      <c r="G179" s="22"/>
    </row>
    <row r="180" spans="5:7" x14ac:dyDescent="0.25">
      <c r="E180" s="22"/>
      <c r="F180" s="22"/>
      <c r="G180" s="22"/>
    </row>
    <row r="181" spans="5:7" x14ac:dyDescent="0.25">
      <c r="E181" s="22"/>
      <c r="F181" s="22"/>
      <c r="G181" s="22"/>
    </row>
    <row r="182" spans="5:7" x14ac:dyDescent="0.25">
      <c r="E182" s="22"/>
      <c r="F182" s="22"/>
      <c r="G182" s="22"/>
    </row>
    <row r="183" spans="5:7" x14ac:dyDescent="0.25">
      <c r="E183" s="22"/>
      <c r="F183" s="22"/>
      <c r="G183" s="22"/>
    </row>
    <row r="184" spans="5:7" x14ac:dyDescent="0.25">
      <c r="E184" s="22"/>
      <c r="F184" s="22"/>
      <c r="G184" s="22"/>
    </row>
    <row r="185" spans="5:7" x14ac:dyDescent="0.25">
      <c r="E185" s="22"/>
      <c r="F185" s="22"/>
      <c r="G185" s="22"/>
    </row>
    <row r="186" spans="5:7" x14ac:dyDescent="0.25">
      <c r="E186" s="22"/>
      <c r="F186" s="22"/>
      <c r="G186" s="22"/>
    </row>
    <row r="187" spans="5:7" x14ac:dyDescent="0.25">
      <c r="E187" s="22"/>
      <c r="F187" s="22"/>
      <c r="G187" s="22"/>
    </row>
    <row r="188" spans="5:7" x14ac:dyDescent="0.25">
      <c r="E188" s="22"/>
      <c r="F188" s="22"/>
      <c r="G188" s="22"/>
    </row>
    <row r="189" spans="5:7" x14ac:dyDescent="0.25">
      <c r="E189" s="22"/>
      <c r="F189" s="22"/>
      <c r="G189" s="22"/>
    </row>
    <row r="190" spans="5:7" x14ac:dyDescent="0.25">
      <c r="E190" s="22"/>
      <c r="F190" s="22"/>
      <c r="G190" s="22"/>
    </row>
    <row r="191" spans="5:7" x14ac:dyDescent="0.25">
      <c r="E191" s="22"/>
      <c r="F191" s="22"/>
      <c r="G191" s="22"/>
    </row>
    <row r="192" spans="5:7" x14ac:dyDescent="0.25">
      <c r="E192" s="22"/>
      <c r="F192" s="22"/>
      <c r="G192" s="22"/>
    </row>
    <row r="193" spans="5:7" x14ac:dyDescent="0.25">
      <c r="E193" s="22"/>
      <c r="F193" s="22"/>
      <c r="G193" s="22"/>
    </row>
    <row r="194" spans="5:7" x14ac:dyDescent="0.25">
      <c r="E194" s="22"/>
      <c r="F194" s="22"/>
      <c r="G194" s="22"/>
    </row>
    <row r="195" spans="5:7" x14ac:dyDescent="0.25">
      <c r="E195" s="22"/>
      <c r="F195" s="22"/>
      <c r="G195" s="22"/>
    </row>
    <row r="196" spans="5:7" x14ac:dyDescent="0.25">
      <c r="E196" s="22"/>
      <c r="F196" s="22"/>
      <c r="G196" s="22"/>
    </row>
    <row r="197" spans="5:7" x14ac:dyDescent="0.25">
      <c r="E197" s="22"/>
      <c r="F197" s="22"/>
      <c r="G197" s="22"/>
    </row>
    <row r="198" spans="5:7" x14ac:dyDescent="0.25">
      <c r="E198" s="22"/>
      <c r="F198" s="22"/>
      <c r="G198" s="22"/>
    </row>
    <row r="199" spans="5:7" x14ac:dyDescent="0.25">
      <c r="E199" s="22"/>
      <c r="F199" s="22"/>
      <c r="G199" s="22"/>
    </row>
    <row r="200" spans="5:7" x14ac:dyDescent="0.25">
      <c r="E200" s="22"/>
      <c r="F200" s="22"/>
      <c r="G200" s="22"/>
    </row>
    <row r="201" spans="5:7" x14ac:dyDescent="0.25">
      <c r="E201" s="22"/>
      <c r="F201" s="22"/>
      <c r="G201" s="22"/>
    </row>
    <row r="202" spans="5:7" x14ac:dyDescent="0.25">
      <c r="E202" s="22"/>
      <c r="F202" s="22"/>
      <c r="G202" s="22"/>
    </row>
    <row r="203" spans="5:7" x14ac:dyDescent="0.25">
      <c r="E203" s="22"/>
      <c r="F203" s="22"/>
      <c r="G203" s="22"/>
    </row>
    <row r="204" spans="5:7" x14ac:dyDescent="0.25">
      <c r="E204" s="22"/>
      <c r="F204" s="22"/>
      <c r="G204" s="22"/>
    </row>
    <row r="205" spans="5:7" x14ac:dyDescent="0.25">
      <c r="E205" s="22"/>
      <c r="F205" s="22"/>
      <c r="G205" s="22"/>
    </row>
    <row r="206" spans="5:7" x14ac:dyDescent="0.25">
      <c r="E206" s="22"/>
      <c r="F206" s="22"/>
      <c r="G206" s="22"/>
    </row>
    <row r="207" spans="5:7" x14ac:dyDescent="0.25">
      <c r="E207" s="22"/>
      <c r="F207" s="22"/>
      <c r="G207" s="22"/>
    </row>
    <row r="208" spans="5:7" x14ac:dyDescent="0.25">
      <c r="E208" s="22"/>
      <c r="F208" s="22"/>
      <c r="G208" s="22"/>
    </row>
    <row r="209" spans="5:7" x14ac:dyDescent="0.25">
      <c r="E209" s="22"/>
      <c r="F209" s="22"/>
      <c r="G209" s="22"/>
    </row>
    <row r="210" spans="5:7" x14ac:dyDescent="0.25">
      <c r="E210" s="22"/>
      <c r="F210" s="22"/>
      <c r="G210" s="22"/>
    </row>
    <row r="211" spans="5:7" x14ac:dyDescent="0.25">
      <c r="E211" s="22"/>
      <c r="F211" s="22"/>
      <c r="G211" s="22"/>
    </row>
    <row r="212" spans="5:7" x14ac:dyDescent="0.25">
      <c r="E212" s="22"/>
      <c r="F212" s="22"/>
      <c r="G212" s="22"/>
    </row>
    <row r="213" spans="5:7" x14ac:dyDescent="0.25">
      <c r="E213" s="22"/>
      <c r="F213" s="22"/>
      <c r="G213" s="22"/>
    </row>
    <row r="214" spans="5:7" x14ac:dyDescent="0.25">
      <c r="E214" s="22"/>
      <c r="F214" s="22"/>
      <c r="G214" s="22"/>
    </row>
    <row r="215" spans="5:7" x14ac:dyDescent="0.25">
      <c r="E215" s="22"/>
      <c r="F215" s="22"/>
      <c r="G215" s="22"/>
    </row>
    <row r="216" spans="5:7" x14ac:dyDescent="0.25">
      <c r="E216" s="22"/>
      <c r="F216" s="22"/>
      <c r="G216" s="22"/>
    </row>
    <row r="217" spans="5:7" x14ac:dyDescent="0.25">
      <c r="E217" s="22"/>
      <c r="F217" s="22"/>
      <c r="G217" s="22"/>
    </row>
    <row r="218" spans="5:7" x14ac:dyDescent="0.25">
      <c r="E218" s="22"/>
      <c r="F218" s="22"/>
      <c r="G218" s="22"/>
    </row>
    <row r="219" spans="5:7" x14ac:dyDescent="0.25">
      <c r="E219" s="22"/>
      <c r="F219" s="22"/>
      <c r="G219" s="22"/>
    </row>
    <row r="220" spans="5:7" x14ac:dyDescent="0.25">
      <c r="E220" s="22"/>
      <c r="F220" s="22"/>
      <c r="G220" s="22"/>
    </row>
    <row r="221" spans="5:7" x14ac:dyDescent="0.25">
      <c r="E221" s="22"/>
      <c r="F221" s="22"/>
      <c r="G221" s="22"/>
    </row>
    <row r="222" spans="5:7" x14ac:dyDescent="0.25">
      <c r="E222" s="22"/>
      <c r="F222" s="22"/>
      <c r="G222" s="22"/>
    </row>
    <row r="223" spans="5:7" x14ac:dyDescent="0.25">
      <c r="E223" s="22"/>
      <c r="F223" s="22"/>
      <c r="G223" s="22"/>
    </row>
    <row r="224" spans="5:7" x14ac:dyDescent="0.25">
      <c r="E224" s="22"/>
      <c r="F224" s="22"/>
      <c r="G224" s="22"/>
    </row>
    <row r="225" spans="5:7" x14ac:dyDescent="0.25">
      <c r="E225" s="22"/>
      <c r="F225" s="22"/>
      <c r="G225" s="22"/>
    </row>
    <row r="226" spans="5:7" x14ac:dyDescent="0.25">
      <c r="E226" s="22"/>
      <c r="F226" s="22"/>
      <c r="G226" s="22"/>
    </row>
    <row r="227" spans="5:7" x14ac:dyDescent="0.25">
      <c r="E227" s="22"/>
      <c r="F227" s="22"/>
      <c r="G227" s="22"/>
    </row>
    <row r="228" spans="5:7" x14ac:dyDescent="0.25">
      <c r="E228" s="22"/>
      <c r="F228" s="22"/>
      <c r="G228" s="22"/>
    </row>
    <row r="229" spans="5:7" x14ac:dyDescent="0.25">
      <c r="E229" s="22"/>
      <c r="F229" s="22"/>
      <c r="G229" s="22"/>
    </row>
    <row r="230" spans="5:7" x14ac:dyDescent="0.25">
      <c r="E230" s="22"/>
      <c r="F230" s="22"/>
      <c r="G230" s="22"/>
    </row>
    <row r="231" spans="5:7" x14ac:dyDescent="0.25">
      <c r="E231" s="22"/>
      <c r="F231" s="22"/>
      <c r="G231" s="22"/>
    </row>
    <row r="232" spans="5:7" x14ac:dyDescent="0.25">
      <c r="E232" s="22"/>
      <c r="F232" s="22"/>
      <c r="G232" s="22"/>
    </row>
    <row r="233" spans="5:7" x14ac:dyDescent="0.25">
      <c r="E233" s="22"/>
      <c r="F233" s="22"/>
      <c r="G233" s="22"/>
    </row>
    <row r="234" spans="5:7" x14ac:dyDescent="0.25">
      <c r="E234" s="22"/>
      <c r="F234" s="22"/>
      <c r="G234" s="22"/>
    </row>
    <row r="235" spans="5:7" x14ac:dyDescent="0.25">
      <c r="E235" s="22"/>
      <c r="F235" s="22"/>
      <c r="G235" s="22"/>
    </row>
    <row r="236" spans="5:7" x14ac:dyDescent="0.25">
      <c r="E236" s="22"/>
      <c r="F236" s="22"/>
      <c r="G236" s="22"/>
    </row>
    <row r="237" spans="5:7" x14ac:dyDescent="0.25">
      <c r="E237" s="22"/>
      <c r="F237" s="22"/>
      <c r="G237" s="22"/>
    </row>
    <row r="238" spans="5:7" x14ac:dyDescent="0.25">
      <c r="E238" s="22"/>
      <c r="F238" s="22"/>
      <c r="G238" s="22"/>
    </row>
    <row r="239" spans="5:7" x14ac:dyDescent="0.25">
      <c r="E239" s="22"/>
      <c r="F239" s="22"/>
      <c r="G239" s="22"/>
    </row>
    <row r="240" spans="5:7" x14ac:dyDescent="0.25">
      <c r="E240" s="22"/>
      <c r="F240" s="22"/>
      <c r="G240" s="22"/>
    </row>
    <row r="241" spans="5:7" x14ac:dyDescent="0.25">
      <c r="E241" s="22"/>
      <c r="F241" s="22"/>
      <c r="G241" s="22"/>
    </row>
    <row r="242" spans="5:7" x14ac:dyDescent="0.25">
      <c r="E242" s="22"/>
      <c r="F242" s="22"/>
      <c r="G242" s="22"/>
    </row>
    <row r="243" spans="5:7" x14ac:dyDescent="0.25">
      <c r="E243" s="22"/>
      <c r="F243" s="22"/>
      <c r="G243" s="22"/>
    </row>
    <row r="244" spans="5:7" x14ac:dyDescent="0.25">
      <c r="E244" s="22"/>
      <c r="F244" s="22"/>
      <c r="G244" s="22"/>
    </row>
    <row r="245" spans="5:7" x14ac:dyDescent="0.25">
      <c r="E245" s="22"/>
      <c r="F245" s="22"/>
      <c r="G245" s="22"/>
    </row>
    <row r="246" spans="5:7" x14ac:dyDescent="0.25">
      <c r="E246" s="22"/>
      <c r="F246" s="22"/>
      <c r="G246" s="22"/>
    </row>
    <row r="247" spans="5:7" x14ac:dyDescent="0.25">
      <c r="E247" s="22"/>
      <c r="F247" s="22"/>
      <c r="G247" s="22"/>
    </row>
    <row r="248" spans="5:7" x14ac:dyDescent="0.25">
      <c r="E248" s="22"/>
      <c r="F248" s="22"/>
      <c r="G248" s="22"/>
    </row>
    <row r="249" spans="5:7" x14ac:dyDescent="0.25">
      <c r="E249" s="22"/>
      <c r="F249" s="22"/>
      <c r="G249" s="22"/>
    </row>
    <row r="250" spans="5:7" x14ac:dyDescent="0.25">
      <c r="E250" s="22"/>
      <c r="F250" s="22"/>
      <c r="G250" s="22"/>
    </row>
    <row r="251" spans="5:7" x14ac:dyDescent="0.25">
      <c r="E251" s="22"/>
      <c r="F251" s="22"/>
      <c r="G251" s="22"/>
    </row>
    <row r="252" spans="5:7" x14ac:dyDescent="0.25">
      <c r="E252" s="22"/>
      <c r="F252" s="22"/>
      <c r="G252" s="22"/>
    </row>
    <row r="253" spans="5:7" x14ac:dyDescent="0.25">
      <c r="E253" s="22"/>
      <c r="F253" s="22"/>
      <c r="G253" s="22"/>
    </row>
    <row r="254" spans="5:7" x14ac:dyDescent="0.25">
      <c r="E254" s="22"/>
      <c r="F254" s="22"/>
      <c r="G254" s="22"/>
    </row>
    <row r="255" spans="5:7" x14ac:dyDescent="0.25">
      <c r="E255" s="22"/>
      <c r="F255" s="22"/>
      <c r="G255" s="22"/>
    </row>
    <row r="256" spans="5:7" x14ac:dyDescent="0.25">
      <c r="E256" s="22"/>
      <c r="F256" s="22"/>
      <c r="G256" s="22"/>
    </row>
    <row r="257" spans="5:7" x14ac:dyDescent="0.25">
      <c r="E257" s="22"/>
      <c r="F257" s="22"/>
      <c r="G257" s="22"/>
    </row>
    <row r="258" spans="5:7" x14ac:dyDescent="0.25">
      <c r="E258" s="22"/>
      <c r="F258" s="22"/>
      <c r="G258" s="22"/>
    </row>
    <row r="259" spans="5:7" x14ac:dyDescent="0.25">
      <c r="E259" s="22"/>
      <c r="F259" s="22"/>
      <c r="G259" s="22"/>
    </row>
    <row r="260" spans="5:7" x14ac:dyDescent="0.25">
      <c r="E260" s="22"/>
      <c r="F260" s="22"/>
      <c r="G260" s="22"/>
    </row>
    <row r="261" spans="5:7" x14ac:dyDescent="0.25">
      <c r="E261" s="22"/>
      <c r="F261" s="22"/>
      <c r="G261" s="22"/>
    </row>
    <row r="262" spans="5:7" x14ac:dyDescent="0.25">
      <c r="E262" s="22"/>
      <c r="F262" s="22"/>
      <c r="G262" s="22"/>
    </row>
    <row r="263" spans="5:7" x14ac:dyDescent="0.25">
      <c r="E263" s="22"/>
      <c r="F263" s="22"/>
      <c r="G263" s="22"/>
    </row>
    <row r="264" spans="5:7" x14ac:dyDescent="0.25">
      <c r="E264" s="22"/>
      <c r="F264" s="22"/>
      <c r="G264" s="22"/>
    </row>
    <row r="265" spans="5:7" x14ac:dyDescent="0.25">
      <c r="E265" s="22"/>
      <c r="F265" s="22"/>
      <c r="G265" s="22"/>
    </row>
    <row r="266" spans="5:7" x14ac:dyDescent="0.25">
      <c r="E266" s="22"/>
      <c r="F266" s="22"/>
      <c r="G266" s="22"/>
    </row>
    <row r="267" spans="5:7" x14ac:dyDescent="0.25">
      <c r="E267" s="22"/>
      <c r="F267" s="22"/>
      <c r="G267" s="22"/>
    </row>
    <row r="268" spans="5:7" x14ac:dyDescent="0.25">
      <c r="E268" s="22"/>
      <c r="F268" s="22"/>
      <c r="G268" s="22"/>
    </row>
    <row r="269" spans="5:7" x14ac:dyDescent="0.25">
      <c r="E269" s="22"/>
      <c r="F269" s="22"/>
      <c r="G269" s="22"/>
    </row>
    <row r="270" spans="5:7" x14ac:dyDescent="0.25">
      <c r="E270" s="22"/>
      <c r="F270" s="22"/>
      <c r="G270" s="22"/>
    </row>
    <row r="271" spans="5:7" x14ac:dyDescent="0.25">
      <c r="E271" s="22"/>
      <c r="F271" s="22"/>
      <c r="G271" s="22"/>
    </row>
    <row r="272" spans="5:7" x14ac:dyDescent="0.25">
      <c r="E272" s="22"/>
      <c r="F272" s="22"/>
      <c r="G272" s="22"/>
    </row>
    <row r="273" spans="5:7" x14ac:dyDescent="0.25">
      <c r="E273" s="22"/>
      <c r="F273" s="22"/>
      <c r="G273" s="22"/>
    </row>
    <row r="274" spans="5:7" x14ac:dyDescent="0.25">
      <c r="E274" s="22"/>
      <c r="F274" s="22"/>
      <c r="G274" s="22"/>
    </row>
    <row r="275" spans="5:7" x14ac:dyDescent="0.25">
      <c r="E275" s="22"/>
      <c r="F275" s="22"/>
      <c r="G275" s="22"/>
    </row>
    <row r="276" spans="5:7" x14ac:dyDescent="0.25">
      <c r="E276" s="22"/>
      <c r="F276" s="22"/>
      <c r="G276" s="22"/>
    </row>
    <row r="277" spans="5:7" x14ac:dyDescent="0.25">
      <c r="E277" s="22"/>
      <c r="F277" s="22"/>
      <c r="G277" s="22"/>
    </row>
    <row r="278" spans="5:7" x14ac:dyDescent="0.25">
      <c r="E278" s="22"/>
      <c r="F278" s="22"/>
      <c r="G278" s="22"/>
    </row>
    <row r="279" spans="5:7" x14ac:dyDescent="0.25">
      <c r="E279" s="22"/>
      <c r="F279" s="22"/>
      <c r="G279" s="22"/>
    </row>
    <row r="280" spans="5:7" x14ac:dyDescent="0.25">
      <c r="E280" s="22"/>
      <c r="F280" s="22"/>
      <c r="G280" s="22"/>
    </row>
    <row r="281" spans="5:7" x14ac:dyDescent="0.25">
      <c r="E281" s="22"/>
      <c r="F281" s="22"/>
      <c r="G281" s="22"/>
    </row>
    <row r="282" spans="5:7" x14ac:dyDescent="0.25">
      <c r="E282" s="22"/>
      <c r="F282" s="22"/>
      <c r="G282" s="22"/>
    </row>
    <row r="283" spans="5:7" x14ac:dyDescent="0.25">
      <c r="E283" s="22"/>
      <c r="F283" s="22"/>
      <c r="G283" s="22"/>
    </row>
    <row r="284" spans="5:7" x14ac:dyDescent="0.25">
      <c r="E284" s="22"/>
      <c r="F284" s="22"/>
      <c r="G284" s="22"/>
    </row>
    <row r="285" spans="5:7" x14ac:dyDescent="0.25">
      <c r="E285" s="22"/>
      <c r="F285" s="22"/>
      <c r="G285" s="22"/>
    </row>
    <row r="286" spans="5:7" x14ac:dyDescent="0.25">
      <c r="E286" s="22"/>
      <c r="F286" s="22"/>
      <c r="G286" s="22"/>
    </row>
    <row r="287" spans="5:7" x14ac:dyDescent="0.25">
      <c r="E287" s="22"/>
      <c r="F287" s="22"/>
      <c r="G287" s="22"/>
    </row>
    <row r="288" spans="5:7" x14ac:dyDescent="0.25">
      <c r="E288" s="22"/>
      <c r="F288" s="22"/>
      <c r="G288" s="22"/>
    </row>
    <row r="289" spans="5:7" x14ac:dyDescent="0.25">
      <c r="E289" s="22"/>
      <c r="F289" s="22"/>
      <c r="G289" s="22"/>
    </row>
    <row r="290" spans="5:7" x14ac:dyDescent="0.25">
      <c r="E290" s="22"/>
      <c r="F290" s="22"/>
      <c r="G290" s="22"/>
    </row>
    <row r="291" spans="5:7" x14ac:dyDescent="0.25">
      <c r="E291" s="22"/>
      <c r="F291" s="22"/>
      <c r="G291" s="22"/>
    </row>
    <row r="292" spans="5:7" x14ac:dyDescent="0.25">
      <c r="E292" s="22"/>
      <c r="F292" s="22"/>
      <c r="G292" s="22"/>
    </row>
    <row r="293" spans="5:7" x14ac:dyDescent="0.25">
      <c r="E293" s="22"/>
      <c r="F293" s="22"/>
      <c r="G293" s="22"/>
    </row>
    <row r="294" spans="5:7" x14ac:dyDescent="0.25">
      <c r="E294" s="22"/>
      <c r="F294" s="22"/>
      <c r="G294" s="22"/>
    </row>
    <row r="295" spans="5:7" x14ac:dyDescent="0.25">
      <c r="E295" s="22"/>
      <c r="F295" s="22"/>
      <c r="G295" s="22"/>
    </row>
    <row r="296" spans="5:7" x14ac:dyDescent="0.25">
      <c r="E296" s="22"/>
      <c r="F296" s="22"/>
      <c r="G296" s="22"/>
    </row>
    <row r="297" spans="5:7" x14ac:dyDescent="0.25">
      <c r="E297" s="22"/>
      <c r="F297" s="22"/>
      <c r="G297" s="22"/>
    </row>
    <row r="298" spans="5:7" x14ac:dyDescent="0.25">
      <c r="E298" s="22"/>
      <c r="F298" s="22"/>
      <c r="G298" s="22"/>
    </row>
    <row r="299" spans="5:7" x14ac:dyDescent="0.25">
      <c r="E299" s="22"/>
      <c r="F299" s="22"/>
      <c r="G299" s="22"/>
    </row>
    <row r="300" spans="5:7" x14ac:dyDescent="0.25">
      <c r="E300" s="22"/>
      <c r="F300" s="22"/>
      <c r="G300" s="22"/>
    </row>
    <row r="301" spans="5:7" x14ac:dyDescent="0.25">
      <c r="E301" s="22"/>
      <c r="F301" s="22"/>
      <c r="G301" s="22"/>
    </row>
    <row r="302" spans="5:7" x14ac:dyDescent="0.25">
      <c r="E302" s="22"/>
      <c r="F302" s="22"/>
      <c r="G302" s="22"/>
    </row>
    <row r="303" spans="5:7" x14ac:dyDescent="0.25">
      <c r="E303" s="22"/>
      <c r="F303" s="22"/>
      <c r="G303" s="22"/>
    </row>
    <row r="304" spans="5:7" x14ac:dyDescent="0.25">
      <c r="E304" s="22"/>
      <c r="F304" s="22"/>
      <c r="G304" s="22"/>
    </row>
    <row r="305" spans="5:7" x14ac:dyDescent="0.25">
      <c r="E305" s="22"/>
      <c r="F305" s="22"/>
      <c r="G305" s="22"/>
    </row>
    <row r="306" spans="5:7" x14ac:dyDescent="0.25">
      <c r="E306" s="22"/>
      <c r="F306" s="22"/>
      <c r="G306" s="22"/>
    </row>
    <row r="307" spans="5:7" x14ac:dyDescent="0.25">
      <c r="E307" s="22"/>
      <c r="F307" s="22"/>
      <c r="G307" s="22"/>
    </row>
    <row r="308" spans="5:7" x14ac:dyDescent="0.25">
      <c r="E308" s="22"/>
      <c r="F308" s="22"/>
      <c r="G308" s="22"/>
    </row>
    <row r="309" spans="5:7" x14ac:dyDescent="0.25">
      <c r="E309" s="22"/>
      <c r="F309" s="22"/>
      <c r="G309" s="22"/>
    </row>
    <row r="310" spans="5:7" x14ac:dyDescent="0.25">
      <c r="E310" s="22"/>
      <c r="F310" s="22"/>
      <c r="G310" s="22"/>
    </row>
    <row r="311" spans="5:7" x14ac:dyDescent="0.25">
      <c r="E311" s="22"/>
      <c r="F311" s="22"/>
      <c r="G311" s="22"/>
    </row>
    <row r="312" spans="5:7" x14ac:dyDescent="0.25">
      <c r="E312" s="22"/>
      <c r="F312" s="22"/>
      <c r="G312" s="22"/>
    </row>
    <row r="313" spans="5:7" x14ac:dyDescent="0.25">
      <c r="E313" s="22"/>
      <c r="F313" s="22"/>
      <c r="G313" s="22"/>
    </row>
    <row r="314" spans="5:7" x14ac:dyDescent="0.25">
      <c r="E314" s="22"/>
      <c r="F314" s="22"/>
      <c r="G314" s="22"/>
    </row>
    <row r="315" spans="5:7" x14ac:dyDescent="0.25">
      <c r="E315" s="22"/>
      <c r="F315" s="22"/>
      <c r="G315" s="22"/>
    </row>
    <row r="316" spans="5:7" x14ac:dyDescent="0.25">
      <c r="E316" s="22"/>
      <c r="F316" s="22"/>
      <c r="G316" s="22"/>
    </row>
    <row r="317" spans="5:7" x14ac:dyDescent="0.25">
      <c r="E317" s="22"/>
      <c r="F317" s="22"/>
      <c r="G317" s="22"/>
    </row>
    <row r="318" spans="5:7" x14ac:dyDescent="0.25">
      <c r="E318" s="22"/>
      <c r="F318" s="22"/>
      <c r="G318" s="22"/>
    </row>
    <row r="319" spans="5:7" x14ac:dyDescent="0.25">
      <c r="E319" s="22"/>
      <c r="F319" s="22"/>
      <c r="G319" s="22"/>
    </row>
    <row r="320" spans="5:7" x14ac:dyDescent="0.25">
      <c r="E320" s="22"/>
      <c r="F320" s="22"/>
      <c r="G320" s="22"/>
    </row>
    <row r="321" spans="5:7" x14ac:dyDescent="0.25">
      <c r="E321" s="22"/>
      <c r="F321" s="22"/>
      <c r="G321" s="22"/>
    </row>
    <row r="322" spans="5:7" x14ac:dyDescent="0.25">
      <c r="E322" s="22"/>
      <c r="F322" s="22"/>
      <c r="G322" s="22"/>
    </row>
    <row r="323" spans="5:7" x14ac:dyDescent="0.25">
      <c r="E323" s="22"/>
      <c r="F323" s="22"/>
      <c r="G323" s="22"/>
    </row>
    <row r="324" spans="5:7" x14ac:dyDescent="0.25">
      <c r="E324" s="22"/>
      <c r="F324" s="22"/>
      <c r="G324" s="22"/>
    </row>
    <row r="325" spans="5:7" x14ac:dyDescent="0.25">
      <c r="E325" s="22"/>
      <c r="F325" s="22"/>
      <c r="G325" s="22"/>
    </row>
    <row r="326" spans="5:7" x14ac:dyDescent="0.25">
      <c r="E326" s="22"/>
      <c r="F326" s="22"/>
      <c r="G326" s="22"/>
    </row>
    <row r="327" spans="5:7" x14ac:dyDescent="0.25">
      <c r="E327" s="22"/>
      <c r="F327" s="22"/>
      <c r="G327" s="22"/>
    </row>
    <row r="328" spans="5:7" x14ac:dyDescent="0.25">
      <c r="E328" s="22"/>
      <c r="F328" s="22"/>
      <c r="G328" s="22"/>
    </row>
    <row r="329" spans="5:7" x14ac:dyDescent="0.25">
      <c r="E329" s="22"/>
      <c r="F329" s="22"/>
      <c r="G329" s="22"/>
    </row>
    <row r="330" spans="5:7" x14ac:dyDescent="0.25">
      <c r="E330" s="22"/>
      <c r="F330" s="22"/>
      <c r="G330" s="22"/>
    </row>
    <row r="331" spans="5:7" x14ac:dyDescent="0.25">
      <c r="E331" s="22"/>
      <c r="F331" s="22"/>
      <c r="G331" s="22"/>
    </row>
    <row r="332" spans="5:7" x14ac:dyDescent="0.25">
      <c r="E332" s="22"/>
      <c r="F332" s="22"/>
      <c r="G332" s="22"/>
    </row>
    <row r="333" spans="5:7" x14ac:dyDescent="0.25">
      <c r="E333" s="22"/>
      <c r="F333" s="22"/>
      <c r="G333" s="22"/>
    </row>
    <row r="334" spans="5:7" x14ac:dyDescent="0.25">
      <c r="E334" s="22"/>
      <c r="F334" s="22"/>
      <c r="G334" s="22"/>
    </row>
    <row r="335" spans="5:7" x14ac:dyDescent="0.25">
      <c r="E335" s="22"/>
      <c r="F335" s="22"/>
      <c r="G335" s="22"/>
    </row>
    <row r="336" spans="5:7" x14ac:dyDescent="0.25">
      <c r="E336" s="22"/>
      <c r="F336" s="22"/>
      <c r="G336" s="22"/>
    </row>
    <row r="337" spans="5:7" x14ac:dyDescent="0.25">
      <c r="E337" s="22"/>
      <c r="F337" s="22"/>
      <c r="G337" s="22"/>
    </row>
    <row r="338" spans="5:7" x14ac:dyDescent="0.25">
      <c r="E338" s="22"/>
      <c r="F338" s="22"/>
      <c r="G338" s="22"/>
    </row>
    <row r="339" spans="5:7" x14ac:dyDescent="0.25">
      <c r="E339" s="22"/>
      <c r="F339" s="22"/>
      <c r="G339" s="22"/>
    </row>
    <row r="340" spans="5:7" x14ac:dyDescent="0.25">
      <c r="E340" s="22"/>
      <c r="F340" s="22"/>
      <c r="G340" s="22"/>
    </row>
    <row r="341" spans="5:7" x14ac:dyDescent="0.25">
      <c r="E341" s="22"/>
      <c r="F341" s="22"/>
      <c r="G341" s="22"/>
    </row>
    <row r="342" spans="5:7" x14ac:dyDescent="0.25">
      <c r="E342" s="22"/>
      <c r="F342" s="22"/>
      <c r="G342" s="22"/>
    </row>
    <row r="343" spans="5:7" x14ac:dyDescent="0.25">
      <c r="E343" s="22"/>
      <c r="F343" s="22"/>
      <c r="G343" s="22"/>
    </row>
    <row r="344" spans="5:7" x14ac:dyDescent="0.25">
      <c r="E344" s="22"/>
      <c r="F344" s="22"/>
      <c r="G344" s="22"/>
    </row>
    <row r="345" spans="5:7" x14ac:dyDescent="0.25">
      <c r="E345" s="22"/>
      <c r="F345" s="22"/>
      <c r="G345" s="22"/>
    </row>
    <row r="346" spans="5:7" x14ac:dyDescent="0.25">
      <c r="E346" s="22"/>
      <c r="F346" s="22"/>
      <c r="G346" s="22"/>
    </row>
    <row r="347" spans="5:7" x14ac:dyDescent="0.25">
      <c r="E347" s="22"/>
      <c r="F347" s="22"/>
      <c r="G347" s="22"/>
    </row>
    <row r="348" spans="5:7" x14ac:dyDescent="0.25">
      <c r="E348" s="22"/>
      <c r="F348" s="22"/>
      <c r="G348" s="22"/>
    </row>
    <row r="349" spans="5:7" x14ac:dyDescent="0.25">
      <c r="E349" s="22"/>
      <c r="F349" s="22"/>
      <c r="G349" s="22"/>
    </row>
    <row r="350" spans="5:7" x14ac:dyDescent="0.25">
      <c r="E350" s="22"/>
      <c r="F350" s="22"/>
      <c r="G350" s="22"/>
    </row>
    <row r="351" spans="5:7" x14ac:dyDescent="0.25">
      <c r="E351" s="22"/>
      <c r="F351" s="22"/>
      <c r="G351" s="22"/>
    </row>
    <row r="352" spans="5:7" x14ac:dyDescent="0.25">
      <c r="E352" s="22"/>
      <c r="F352" s="22"/>
      <c r="G352" s="22"/>
    </row>
    <row r="353" spans="5:7" x14ac:dyDescent="0.25">
      <c r="E353" s="22"/>
      <c r="F353" s="22"/>
      <c r="G353" s="22"/>
    </row>
    <row r="354" spans="5:7" x14ac:dyDescent="0.25">
      <c r="E354" s="22"/>
      <c r="F354" s="22"/>
      <c r="G354" s="22"/>
    </row>
    <row r="355" spans="5:7" x14ac:dyDescent="0.25">
      <c r="E355" s="22"/>
      <c r="F355" s="22"/>
      <c r="G355" s="22"/>
    </row>
    <row r="356" spans="5:7" x14ac:dyDescent="0.25">
      <c r="E356" s="22"/>
      <c r="F356" s="22"/>
      <c r="G356" s="22"/>
    </row>
    <row r="357" spans="5:7" x14ac:dyDescent="0.25">
      <c r="E357" s="22"/>
      <c r="F357" s="22"/>
      <c r="G357" s="22"/>
    </row>
    <row r="358" spans="5:7" x14ac:dyDescent="0.25">
      <c r="E358" s="22"/>
      <c r="F358" s="22"/>
      <c r="G358" s="22"/>
    </row>
    <row r="359" spans="5:7" x14ac:dyDescent="0.25">
      <c r="E359" s="22"/>
      <c r="F359" s="22"/>
      <c r="G359" s="22"/>
    </row>
    <row r="360" spans="5:7" x14ac:dyDescent="0.25">
      <c r="E360" s="22"/>
      <c r="F360" s="22"/>
      <c r="G360" s="22"/>
    </row>
    <row r="361" spans="5:7" x14ac:dyDescent="0.25">
      <c r="E361" s="22"/>
      <c r="F361" s="22"/>
      <c r="G361" s="22"/>
    </row>
    <row r="362" spans="5:7" x14ac:dyDescent="0.25">
      <c r="E362" s="22"/>
      <c r="F362" s="22"/>
      <c r="G362" s="22"/>
    </row>
    <row r="363" spans="5:7" x14ac:dyDescent="0.25">
      <c r="E363" s="22"/>
      <c r="F363" s="22"/>
      <c r="G363" s="22"/>
    </row>
    <row r="364" spans="5:7" x14ac:dyDescent="0.25">
      <c r="E364" s="22"/>
      <c r="F364" s="22"/>
      <c r="G364" s="22"/>
    </row>
    <row r="365" spans="5:7" x14ac:dyDescent="0.25">
      <c r="E365" s="22"/>
      <c r="F365" s="22"/>
      <c r="G365" s="22"/>
    </row>
    <row r="366" spans="5:7" x14ac:dyDescent="0.25">
      <c r="E366" s="22"/>
      <c r="F366" s="22"/>
      <c r="G366" s="22"/>
    </row>
    <row r="367" spans="5:7" x14ac:dyDescent="0.25">
      <c r="E367" s="22"/>
      <c r="F367" s="22"/>
      <c r="G367" s="22"/>
    </row>
    <row r="368" spans="5:7" x14ac:dyDescent="0.25">
      <c r="E368" s="22"/>
      <c r="F368" s="22"/>
      <c r="G368" s="22"/>
    </row>
    <row r="369" spans="5:7" x14ac:dyDescent="0.25">
      <c r="E369" s="22"/>
      <c r="F369" s="22"/>
      <c r="G369" s="22"/>
    </row>
    <row r="370" spans="5:7" x14ac:dyDescent="0.25">
      <c r="E370" s="22"/>
      <c r="F370" s="22"/>
      <c r="G370" s="22"/>
    </row>
    <row r="371" spans="5:7" x14ac:dyDescent="0.25">
      <c r="E371" s="22"/>
      <c r="F371" s="22"/>
      <c r="G371" s="22"/>
    </row>
    <row r="372" spans="5:7" x14ac:dyDescent="0.25">
      <c r="E372" s="22"/>
      <c r="F372" s="22"/>
      <c r="G372" s="22"/>
    </row>
    <row r="373" spans="5:7" x14ac:dyDescent="0.25">
      <c r="E373" s="22"/>
      <c r="F373" s="22"/>
      <c r="G373" s="22"/>
    </row>
    <row r="374" spans="5:7" x14ac:dyDescent="0.25">
      <c r="E374" s="22"/>
      <c r="F374" s="22"/>
      <c r="G374" s="22"/>
    </row>
    <row r="375" spans="5:7" x14ac:dyDescent="0.25">
      <c r="E375" s="22"/>
      <c r="F375" s="22"/>
      <c r="G375" s="22"/>
    </row>
    <row r="376" spans="5:7" x14ac:dyDescent="0.25">
      <c r="E376" s="22"/>
      <c r="F376" s="22"/>
      <c r="G376" s="22"/>
    </row>
    <row r="377" spans="5:7" x14ac:dyDescent="0.25">
      <c r="E377" s="22"/>
      <c r="F377" s="22"/>
      <c r="G377" s="22"/>
    </row>
    <row r="378" spans="5:7" x14ac:dyDescent="0.25">
      <c r="E378" s="22"/>
      <c r="F378" s="22"/>
      <c r="G378" s="22"/>
    </row>
    <row r="379" spans="5:7" x14ac:dyDescent="0.25">
      <c r="E379" s="22"/>
      <c r="F379" s="22"/>
      <c r="G379" s="22"/>
    </row>
    <row r="380" spans="5:7" x14ac:dyDescent="0.25">
      <c r="E380" s="22"/>
      <c r="F380" s="22"/>
      <c r="G380" s="22"/>
    </row>
    <row r="381" spans="5:7" x14ac:dyDescent="0.25">
      <c r="E381" s="22"/>
      <c r="F381" s="22"/>
      <c r="G381" s="22"/>
    </row>
    <row r="382" spans="5:7" x14ac:dyDescent="0.25">
      <c r="E382" s="22"/>
      <c r="F382" s="22"/>
      <c r="G382" s="22"/>
    </row>
    <row r="383" spans="5:7" x14ac:dyDescent="0.25">
      <c r="E383" s="22"/>
      <c r="F383" s="22"/>
      <c r="G383" s="22"/>
    </row>
    <row r="384" spans="5:7" x14ac:dyDescent="0.25">
      <c r="E384" s="22"/>
      <c r="F384" s="22"/>
      <c r="G384" s="22"/>
    </row>
    <row r="385" spans="5:7" x14ac:dyDescent="0.25">
      <c r="E385" s="22"/>
      <c r="F385" s="22"/>
      <c r="G385" s="22"/>
    </row>
    <row r="386" spans="5:7" x14ac:dyDescent="0.25">
      <c r="E386" s="22"/>
      <c r="F386" s="22"/>
      <c r="G386" s="22"/>
    </row>
    <row r="387" spans="5:7" x14ac:dyDescent="0.25">
      <c r="E387" s="22"/>
      <c r="F387" s="22"/>
      <c r="G387" s="22"/>
    </row>
    <row r="388" spans="5:7" x14ac:dyDescent="0.25">
      <c r="E388" s="22"/>
      <c r="F388" s="22"/>
      <c r="G388" s="22"/>
    </row>
    <row r="389" spans="5:7" x14ac:dyDescent="0.25">
      <c r="E389" s="22"/>
      <c r="F389" s="22"/>
      <c r="G389" s="22"/>
    </row>
    <row r="390" spans="5:7" x14ac:dyDescent="0.25">
      <c r="E390" s="22"/>
      <c r="F390" s="22"/>
      <c r="G390" s="22"/>
    </row>
    <row r="391" spans="5:7" x14ac:dyDescent="0.25">
      <c r="E391" s="22"/>
      <c r="F391" s="22"/>
      <c r="G391" s="22"/>
    </row>
    <row r="392" spans="5:7" x14ac:dyDescent="0.25">
      <c r="E392" s="22"/>
      <c r="F392" s="22"/>
      <c r="G392" s="22"/>
    </row>
    <row r="393" spans="5:7" x14ac:dyDescent="0.25">
      <c r="E393" s="22"/>
      <c r="F393" s="22"/>
      <c r="G393" s="22"/>
    </row>
    <row r="394" spans="5:7" x14ac:dyDescent="0.25">
      <c r="E394" s="22"/>
      <c r="F394" s="22"/>
      <c r="G394" s="22"/>
    </row>
    <row r="395" spans="5:7" x14ac:dyDescent="0.25">
      <c r="E395" s="22"/>
      <c r="F395" s="22"/>
      <c r="G395" s="22"/>
    </row>
    <row r="396" spans="5:7" x14ac:dyDescent="0.25">
      <c r="E396" s="22"/>
      <c r="F396" s="22"/>
      <c r="G396" s="22"/>
    </row>
    <row r="397" spans="5:7" x14ac:dyDescent="0.25">
      <c r="E397" s="22"/>
      <c r="F397" s="22"/>
      <c r="G397" s="22"/>
    </row>
    <row r="398" spans="5:7" x14ac:dyDescent="0.25">
      <c r="E398" s="22"/>
      <c r="F398" s="22"/>
      <c r="G398" s="22"/>
    </row>
    <row r="399" spans="5:7" x14ac:dyDescent="0.25">
      <c r="E399" s="22"/>
      <c r="F399" s="22"/>
      <c r="G399" s="22"/>
    </row>
    <row r="400" spans="5:7" x14ac:dyDescent="0.25">
      <c r="E400" s="22"/>
      <c r="F400" s="22"/>
      <c r="G400" s="22"/>
    </row>
    <row r="401" spans="5:7" x14ac:dyDescent="0.25">
      <c r="E401" s="22"/>
      <c r="F401" s="22"/>
      <c r="G401" s="22"/>
    </row>
    <row r="402" spans="5:7" x14ac:dyDescent="0.25">
      <c r="E402" s="22"/>
      <c r="F402" s="22"/>
      <c r="G402" s="22"/>
    </row>
    <row r="403" spans="5:7" x14ac:dyDescent="0.25">
      <c r="E403" s="22"/>
      <c r="F403" s="22"/>
      <c r="G403" s="22"/>
    </row>
    <row r="404" spans="5:7" x14ac:dyDescent="0.25">
      <c r="E404" s="22"/>
      <c r="F404" s="22"/>
      <c r="G404" s="22"/>
    </row>
    <row r="405" spans="5:7" x14ac:dyDescent="0.25">
      <c r="E405" s="22"/>
      <c r="F405" s="22"/>
      <c r="G405" s="22"/>
    </row>
  </sheetData>
  <phoneticPr fontId="3" type="noConversion"/>
  <conditionalFormatting sqref="I1:L1 E6:G23 D6:D24 B1:G4">
    <cfRule type="expression" dxfId="31" priority="5">
      <formula>$C1=2</formula>
    </cfRule>
    <cfRule type="expression" dxfId="30" priority="6">
      <formula>$C1=1</formula>
    </cfRule>
  </conditionalFormatting>
  <conditionalFormatting sqref="I2:L18">
    <cfRule type="expression" dxfId="29" priority="11">
      <formula>#REF!=2</formula>
    </cfRule>
    <cfRule type="expression" dxfId="28" priority="12">
      <formula>#REF!=1</formula>
    </cfRule>
  </conditionalFormatting>
  <conditionalFormatting sqref="I19:L19">
    <cfRule type="expression" dxfId="27" priority="9">
      <formula>$C4=2</formula>
    </cfRule>
    <cfRule type="expression" dxfId="26" priority="10">
      <formula>$C4=1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  <sheetView workbookViewId="1"/>
  </sheetViews>
  <sheetFormatPr defaultColWidth="8.85546875" defaultRowHeight="15" x14ac:dyDescent="0.25"/>
  <cols>
    <col min="1" max="1" width="10.28515625" bestFit="1" customWidth="1"/>
    <col min="2" max="2" width="16.28515625" bestFit="1" customWidth="1"/>
    <col min="3" max="3" width="13.85546875" bestFit="1" customWidth="1"/>
    <col min="4" max="4" width="17.7109375" bestFit="1" customWidth="1"/>
    <col min="5" max="5" width="16.28515625" bestFit="1" customWidth="1"/>
    <col min="6" max="6" width="13.85546875" bestFit="1" customWidth="1"/>
    <col min="7" max="7" width="17.7109375" bestFit="1" customWidth="1"/>
    <col min="8" max="8" width="16.7109375" bestFit="1" customWidth="1"/>
    <col min="9" max="9" width="14.28515625" bestFit="1" customWidth="1"/>
    <col min="10" max="10" width="18.140625" bestFit="1" customWidth="1"/>
    <col min="11" max="11" width="11.140625" bestFit="1" customWidth="1"/>
    <col min="12" max="12" width="11" bestFit="1" customWidth="1"/>
    <col min="13" max="13" width="16.42578125" bestFit="1" customWidth="1"/>
    <col min="14" max="14" width="10.140625" bestFit="1" customWidth="1"/>
    <col min="15" max="15" width="31.7109375" bestFit="1" customWidth="1"/>
    <col min="16" max="16" width="26.28515625" bestFit="1" customWidth="1"/>
    <col min="17" max="17" width="58.28515625" bestFit="1" customWidth="1"/>
    <col min="18" max="18" width="32.28515625" bestFit="1" customWidth="1"/>
    <col min="19" max="19" width="62.42578125" bestFit="1" customWidth="1"/>
    <col min="20" max="20" width="53.42578125" bestFit="1" customWidth="1"/>
    <col min="21" max="21" width="57.42578125" bestFit="1" customWidth="1"/>
    <col min="22" max="22" width="54.85546875" bestFit="1" customWidth="1"/>
    <col min="23" max="24" width="62.42578125" bestFit="1" customWidth="1"/>
    <col min="25" max="25" width="40.7109375" bestFit="1" customWidth="1"/>
    <col min="26" max="26" width="51.7109375" bestFit="1" customWidth="1"/>
    <col min="27" max="27" width="44.7109375" bestFit="1" customWidth="1"/>
    <col min="28" max="28" width="28.42578125" bestFit="1" customWidth="1"/>
    <col min="29" max="29" width="40.42578125" bestFit="1" customWidth="1"/>
    <col min="30" max="30" width="23.42578125" bestFit="1" customWidth="1"/>
    <col min="31" max="31" width="32" bestFit="1" customWidth="1"/>
    <col min="32" max="32" width="24" bestFit="1" customWidth="1"/>
    <col min="33" max="33" width="22.28515625" bestFit="1" customWidth="1"/>
    <col min="34" max="34" width="28.140625" bestFit="1" customWidth="1"/>
    <col min="35" max="35" width="37.28515625" bestFit="1" customWidth="1"/>
    <col min="36" max="36" width="40.140625" bestFit="1" customWidth="1"/>
    <col min="37" max="37" width="24.85546875" bestFit="1" customWidth="1"/>
    <col min="38" max="38" width="32.42578125" bestFit="1" customWidth="1"/>
    <col min="39" max="39" width="52.7109375" bestFit="1" customWidth="1"/>
    <col min="40" max="40" width="16.42578125" bestFit="1" customWidth="1"/>
    <col min="41" max="41" width="23.42578125" bestFit="1" customWidth="1"/>
    <col min="42" max="42" width="26.7109375" bestFit="1" customWidth="1"/>
    <col min="43" max="43" width="31.7109375" bestFit="1" customWidth="1"/>
    <col min="44" max="44" width="35.28515625" bestFit="1" customWidth="1"/>
    <col min="45" max="45" width="32.7109375" bestFit="1" customWidth="1"/>
    <col min="46" max="46" width="26.7109375" bestFit="1" customWidth="1"/>
    <col min="47" max="47" width="27.140625" bestFit="1" customWidth="1"/>
    <col min="48" max="48" width="23.7109375" bestFit="1" customWidth="1"/>
    <col min="49" max="49" width="45.42578125" bestFit="1" customWidth="1"/>
    <col min="50" max="50" width="41" bestFit="1" customWidth="1"/>
    <col min="51" max="51" width="28.140625" bestFit="1" customWidth="1"/>
    <col min="52" max="52" width="35.7109375" bestFit="1" customWidth="1"/>
    <col min="53" max="53" width="18.140625" bestFit="1" customWidth="1"/>
    <col min="54" max="54" width="18.42578125" bestFit="1" customWidth="1"/>
    <col min="55" max="55" width="15" bestFit="1" customWidth="1"/>
    <col min="56" max="56" width="27.42578125" bestFit="1" customWidth="1"/>
    <col min="57" max="57" width="16.42578125" bestFit="1" customWidth="1"/>
    <col min="58" max="58" width="30.42578125" bestFit="1" customWidth="1"/>
    <col min="59" max="59" width="26.28515625" bestFit="1" customWidth="1"/>
    <col min="60" max="60" width="23.42578125" bestFit="1" customWidth="1"/>
    <col min="61" max="61" width="23.140625" bestFit="1" customWidth="1"/>
    <col min="62" max="65" width="30.42578125" bestFit="1" customWidth="1"/>
    <col min="66" max="66" width="21" bestFit="1" customWidth="1"/>
    <col min="67" max="67" width="62.42578125" bestFit="1" customWidth="1"/>
    <col min="68" max="68" width="16.7109375" bestFit="1" customWidth="1"/>
    <col min="69" max="69" width="54.42578125" bestFit="1" customWidth="1"/>
    <col min="70" max="70" width="27.42578125" bestFit="1" customWidth="1"/>
    <col min="71" max="71" width="20.42578125" bestFit="1" customWidth="1"/>
    <col min="72" max="72" width="22.42578125" bestFit="1" customWidth="1"/>
    <col min="73" max="73" width="31.7109375" bestFit="1" customWidth="1"/>
    <col min="74" max="74" width="26.28515625" bestFit="1" customWidth="1"/>
    <col min="75" max="75" width="58.28515625" bestFit="1" customWidth="1"/>
    <col min="76" max="76" width="32.28515625" bestFit="1" customWidth="1"/>
    <col min="77" max="77" width="62.42578125" bestFit="1" customWidth="1"/>
    <col min="78" max="78" width="53.42578125" bestFit="1" customWidth="1"/>
    <col min="79" max="79" width="57.42578125" bestFit="1" customWidth="1"/>
    <col min="80" max="80" width="54.85546875" bestFit="1" customWidth="1"/>
    <col min="81" max="82" width="62.42578125" bestFit="1" customWidth="1"/>
    <col min="83" max="83" width="40.7109375" bestFit="1" customWidth="1"/>
    <col min="84" max="84" width="51.7109375" bestFit="1" customWidth="1"/>
    <col min="85" max="85" width="44.7109375" bestFit="1" customWidth="1"/>
    <col min="86" max="86" width="28.42578125" bestFit="1" customWidth="1"/>
    <col min="87" max="87" width="40.42578125" bestFit="1" customWidth="1"/>
    <col min="88" max="88" width="23.42578125" bestFit="1" customWidth="1"/>
    <col min="89" max="89" width="32" bestFit="1" customWidth="1"/>
    <col min="90" max="90" width="24" bestFit="1" customWidth="1"/>
    <col min="91" max="91" width="22.28515625" bestFit="1" customWidth="1"/>
    <col min="92" max="92" width="28.140625" bestFit="1" customWidth="1"/>
    <col min="93" max="93" width="37.28515625" bestFit="1" customWidth="1"/>
    <col min="94" max="94" width="40.140625" bestFit="1" customWidth="1"/>
    <col min="95" max="95" width="24.85546875" bestFit="1" customWidth="1"/>
    <col min="96" max="96" width="32.42578125" bestFit="1" customWidth="1"/>
    <col min="97" max="97" width="52.7109375" bestFit="1" customWidth="1"/>
    <col min="98" max="98" width="16.42578125" bestFit="1" customWidth="1"/>
    <col min="99" max="99" width="23.42578125" bestFit="1" customWidth="1"/>
    <col min="100" max="100" width="26.7109375" bestFit="1" customWidth="1"/>
    <col min="101" max="101" width="31.7109375" bestFit="1" customWidth="1"/>
    <col min="102" max="102" width="35.28515625" bestFit="1" customWidth="1"/>
    <col min="103" max="103" width="32.7109375" bestFit="1" customWidth="1"/>
    <col min="104" max="104" width="26.7109375" bestFit="1" customWidth="1"/>
    <col min="105" max="105" width="27.140625" bestFit="1" customWidth="1"/>
    <col min="106" max="106" width="23.7109375" bestFit="1" customWidth="1"/>
    <col min="107" max="107" width="45.42578125" bestFit="1" customWidth="1"/>
    <col min="108" max="108" width="41" bestFit="1" customWidth="1"/>
    <col min="109" max="109" width="28.140625" bestFit="1" customWidth="1"/>
    <col min="110" max="110" width="35.7109375" bestFit="1" customWidth="1"/>
    <col min="111" max="111" width="18.140625" bestFit="1" customWidth="1"/>
    <col min="112" max="112" width="18.42578125" bestFit="1" customWidth="1"/>
    <col min="113" max="113" width="15" bestFit="1" customWidth="1"/>
    <col min="114" max="114" width="27.42578125" bestFit="1" customWidth="1"/>
    <col min="115" max="115" width="16.42578125" bestFit="1" customWidth="1"/>
    <col min="116" max="116" width="30.42578125" bestFit="1" customWidth="1"/>
    <col min="117" max="117" width="26.28515625" bestFit="1" customWidth="1"/>
    <col min="118" max="118" width="23.42578125" bestFit="1" customWidth="1"/>
    <col min="119" max="119" width="23.140625" bestFit="1" customWidth="1"/>
    <col min="120" max="123" width="30.42578125" bestFit="1" customWidth="1"/>
    <col min="124" max="124" width="21" bestFit="1" customWidth="1"/>
    <col min="125" max="125" width="62.42578125" bestFit="1" customWidth="1"/>
    <col min="126" max="126" width="16.7109375" bestFit="1" customWidth="1"/>
    <col min="127" max="127" width="55" bestFit="1" customWidth="1"/>
    <col min="128" max="128" width="27.85546875" bestFit="1" customWidth="1"/>
    <col min="129" max="129" width="20.85546875" bestFit="1" customWidth="1"/>
    <col min="130" max="130" width="22.85546875" bestFit="1" customWidth="1"/>
    <col min="131" max="131" width="32.140625" bestFit="1" customWidth="1"/>
    <col min="132" max="132" width="26.7109375" bestFit="1" customWidth="1"/>
    <col min="133" max="133" width="58.7109375" bestFit="1" customWidth="1"/>
    <col min="134" max="134" width="32.7109375" bestFit="1" customWidth="1"/>
    <col min="135" max="135" width="62.42578125" bestFit="1" customWidth="1"/>
    <col min="136" max="136" width="54" bestFit="1" customWidth="1"/>
    <col min="137" max="137" width="58" bestFit="1" customWidth="1"/>
    <col min="138" max="138" width="55.140625" bestFit="1" customWidth="1"/>
    <col min="139" max="140" width="62.42578125" bestFit="1" customWidth="1"/>
    <col min="141" max="141" width="41" bestFit="1" customWidth="1"/>
    <col min="142" max="142" width="52.140625" bestFit="1" customWidth="1"/>
    <col min="143" max="143" width="45" bestFit="1" customWidth="1"/>
    <col min="144" max="144" width="28.85546875" bestFit="1" customWidth="1"/>
    <col min="145" max="145" width="40.85546875" bestFit="1" customWidth="1"/>
    <col min="146" max="146" width="24" bestFit="1" customWidth="1"/>
    <col min="147" max="147" width="32.42578125" bestFit="1" customWidth="1"/>
    <col min="148" max="148" width="24.42578125" bestFit="1" customWidth="1"/>
    <col min="149" max="149" width="22.7109375" bestFit="1" customWidth="1"/>
    <col min="150" max="150" width="28.42578125" bestFit="1" customWidth="1"/>
    <col min="151" max="151" width="37.85546875" bestFit="1" customWidth="1"/>
    <col min="152" max="152" width="40.42578125" bestFit="1" customWidth="1"/>
    <col min="153" max="153" width="25.140625" bestFit="1" customWidth="1"/>
    <col min="154" max="154" width="33" bestFit="1" customWidth="1"/>
    <col min="155" max="155" width="53.1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40625" bestFit="1" customWidth="1"/>
    <col min="160" max="160" width="35.7109375" bestFit="1" customWidth="1"/>
    <col min="161" max="161" width="33" bestFit="1" customWidth="1"/>
    <col min="162" max="162" width="27" bestFit="1" customWidth="1"/>
    <col min="163" max="163" width="27.42578125" bestFit="1" customWidth="1"/>
    <col min="164" max="164" width="24.140625" bestFit="1" customWidth="1"/>
    <col min="165" max="165" width="45.85546875" bestFit="1" customWidth="1"/>
    <col min="166" max="166" width="41.28515625" bestFit="1" customWidth="1"/>
    <col min="167" max="167" width="28.42578125" bestFit="1" customWidth="1"/>
    <col min="168" max="168" width="36.140625" bestFit="1" customWidth="1"/>
    <col min="169" max="169" width="18.7109375" bestFit="1" customWidth="1"/>
    <col min="170" max="170" width="18.85546875" bestFit="1" customWidth="1"/>
    <col min="171" max="171" width="15.28515625" bestFit="1" customWidth="1"/>
    <col min="172" max="172" width="27.85546875" bestFit="1" customWidth="1"/>
    <col min="173" max="173" width="17" bestFit="1" customWidth="1"/>
    <col min="174" max="174" width="31" bestFit="1" customWidth="1"/>
    <col min="175" max="175" width="26.7109375" bestFit="1" customWidth="1"/>
    <col min="176" max="176" width="24" bestFit="1" customWidth="1"/>
    <col min="177" max="177" width="23.42578125" bestFit="1" customWidth="1"/>
    <col min="178" max="181" width="31" bestFit="1" customWidth="1"/>
    <col min="182" max="182" width="21.42578125" bestFit="1" customWidth="1"/>
    <col min="183" max="183" width="62.42578125" bestFit="1" customWidth="1"/>
    <col min="184" max="184" width="17" bestFit="1" customWidth="1"/>
    <col min="185" max="185" width="10.85546875" bestFit="1" customWidth="1"/>
    <col min="186" max="190" width="11.42578125" bestFit="1" customWidth="1"/>
    <col min="191" max="208" width="12.42578125" bestFit="1" customWidth="1"/>
    <col min="209" max="209" width="17.7109375" bestFit="1" customWidth="1"/>
    <col min="210" max="218" width="11.42578125" bestFit="1" customWidth="1"/>
    <col min="219" max="236" width="12.42578125" bestFit="1" customWidth="1"/>
    <col min="237" max="237" width="17.7109375" bestFit="1" customWidth="1"/>
    <col min="238" max="246" width="12" bestFit="1" customWidth="1"/>
    <col min="247" max="264" width="13" bestFit="1" customWidth="1"/>
    <col min="265" max="265" width="18.140625" bestFit="1" customWidth="1"/>
    <col min="266" max="266" width="11.140625" bestFit="1" customWidth="1"/>
    <col min="267" max="267" width="32" bestFit="1" customWidth="1"/>
    <col min="268" max="268" width="26.7109375" bestFit="1" customWidth="1"/>
    <col min="269" max="269" width="21.140625" bestFit="1" customWidth="1"/>
    <col min="270" max="270" width="32.42578125" bestFit="1" customWidth="1"/>
    <col min="271" max="271" width="33.140625" bestFit="1" customWidth="1"/>
    <col min="272" max="272" width="33.42578125" bestFit="1" customWidth="1"/>
    <col min="273" max="273" width="24.28515625" bestFit="1" customWidth="1"/>
    <col min="274" max="274" width="33.42578125" bestFit="1" customWidth="1"/>
    <col min="275" max="275" width="32" bestFit="1" customWidth="1"/>
    <col min="276" max="276" width="11.42578125" bestFit="1" customWidth="1"/>
    <col min="277" max="277" width="11" bestFit="1" customWidth="1"/>
    <col min="278" max="278" width="13.42578125" bestFit="1" customWidth="1"/>
    <col min="279" max="279" width="15.85546875" bestFit="1" customWidth="1"/>
    <col min="280" max="280" width="36.7109375" bestFit="1" customWidth="1"/>
    <col min="281" max="281" width="29.42578125" bestFit="1" customWidth="1"/>
    <col min="282" max="282" width="33.42578125" bestFit="1" customWidth="1"/>
    <col min="283" max="283" width="24.28515625" bestFit="1" customWidth="1"/>
    <col min="284" max="284" width="26.7109375" bestFit="1" customWidth="1"/>
    <col min="285" max="285" width="19.28515625" bestFit="1" customWidth="1"/>
    <col min="286" max="286" width="24.42578125" bestFit="1" customWidth="1"/>
    <col min="287" max="287" width="16" bestFit="1" customWidth="1"/>
    <col min="288" max="288" width="33" bestFit="1" customWidth="1"/>
    <col min="289" max="289" width="23.140625" bestFit="1" customWidth="1"/>
    <col min="290" max="290" width="16.140625" bestFit="1" customWidth="1"/>
    <col min="291" max="291" width="36.42578125" bestFit="1" customWidth="1"/>
    <col min="292" max="292" width="29.42578125" bestFit="1" customWidth="1"/>
    <col min="293" max="293" width="24.140625" bestFit="1" customWidth="1"/>
    <col min="294" max="294" width="33.42578125" bestFit="1" customWidth="1"/>
    <col min="295" max="295" width="32" bestFit="1" customWidth="1"/>
    <col min="296" max="296" width="26.42578125" bestFit="1" customWidth="1"/>
    <col min="297" max="297" width="21" bestFit="1" customWidth="1"/>
    <col min="298" max="298" width="32.42578125" bestFit="1" customWidth="1"/>
    <col min="299" max="299" width="33" bestFit="1" customWidth="1"/>
    <col min="300" max="300" width="33.28515625" bestFit="1" customWidth="1"/>
    <col min="301" max="301" width="24.140625" bestFit="1" customWidth="1"/>
    <col min="302" max="302" width="33.42578125" bestFit="1" customWidth="1"/>
    <col min="303" max="303" width="32" bestFit="1" customWidth="1"/>
    <col min="304" max="304" width="11.42578125" bestFit="1" customWidth="1"/>
    <col min="305" max="305" width="10.85546875" bestFit="1" customWidth="1"/>
    <col min="306" max="306" width="13.42578125" bestFit="1" customWidth="1"/>
    <col min="307" max="307" width="15.7109375" bestFit="1" customWidth="1"/>
    <col min="308" max="308" width="36.42578125" bestFit="1" customWidth="1"/>
    <col min="309" max="309" width="29.42578125" bestFit="1" customWidth="1"/>
    <col min="310" max="310" width="33.28515625" bestFit="1" customWidth="1"/>
    <col min="311" max="311" width="24.140625" bestFit="1" customWidth="1"/>
    <col min="312" max="312" width="26.42578125" bestFit="1" customWidth="1"/>
    <col min="313" max="313" width="19.140625" bestFit="1" customWidth="1"/>
    <col min="314" max="314" width="24.28515625" bestFit="1" customWidth="1"/>
    <col min="315" max="315" width="15.85546875" bestFit="1" customWidth="1"/>
    <col min="316" max="316" width="32.8554687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7109375" bestFit="1" customWidth="1"/>
    <col min="322" max="322" width="33.85546875" bestFit="1" customWidth="1"/>
    <col min="323" max="323" width="32.42578125" bestFit="1" customWidth="1"/>
    <col min="324" max="324" width="27" bestFit="1" customWidth="1"/>
    <col min="325" max="325" width="21.42578125" bestFit="1" customWidth="1"/>
    <col min="326" max="326" width="32.85546875" bestFit="1" customWidth="1"/>
    <col min="327" max="327" width="33.42578125" bestFit="1" customWidth="1"/>
    <col min="328" max="328" width="33.85546875" bestFit="1" customWidth="1"/>
    <col min="329" max="329" width="24.7109375" bestFit="1" customWidth="1"/>
    <col min="330" max="330" width="33.85546875" bestFit="1" customWidth="1"/>
    <col min="331" max="331" width="32.42578125" bestFit="1" customWidth="1"/>
    <col min="332" max="332" width="12" bestFit="1" customWidth="1"/>
    <col min="333" max="333" width="11.28515625" bestFit="1" customWidth="1"/>
    <col min="334" max="334" width="13.85546875" bestFit="1" customWidth="1"/>
    <col min="335" max="335" width="16.140625" bestFit="1" customWidth="1"/>
    <col min="336" max="336" width="37" bestFit="1" customWidth="1"/>
    <col min="337" max="337" width="30" bestFit="1" customWidth="1"/>
    <col min="338" max="338" width="33.85546875" bestFit="1" customWidth="1"/>
    <col min="339" max="339" width="24.7109375" bestFit="1" customWidth="1"/>
    <col min="340" max="340" width="27" bestFit="1" customWidth="1"/>
    <col min="341" max="341" width="19.7109375" bestFit="1" customWidth="1"/>
    <col min="342" max="342" width="24.7109375" bestFit="1" customWidth="1"/>
    <col min="343" max="343" width="16.28515625" bestFit="1" customWidth="1"/>
    <col min="344" max="344" width="33.28515625" bestFit="1" customWidth="1"/>
    <col min="345" max="345" width="23.42578125" bestFit="1" customWidth="1"/>
    <col min="346" max="346" width="16.42578125" customWidth="1"/>
    <col min="347" max="347" width="10.7109375" bestFit="1" customWidth="1"/>
    <col min="348" max="348" width="23.42578125" bestFit="1" customWidth="1"/>
    <col min="349" max="349" width="16.42578125" customWidth="1"/>
    <col min="350" max="350" width="10.7109375" bestFit="1" customWidth="1"/>
    <col min="351" max="351" width="34.85546875" bestFit="1" customWidth="1"/>
    <col min="352" max="352" width="29.7109375" bestFit="1" customWidth="1"/>
    <col min="353" max="353" width="42.7109375" bestFit="1" customWidth="1"/>
    <col min="354" max="354" width="42.85546875" bestFit="1" customWidth="1"/>
    <col min="355" max="355" width="32.140625" bestFit="1" customWidth="1"/>
    <col min="356" max="356" width="32.28515625" bestFit="1" customWidth="1"/>
    <col min="357" max="358" width="40" bestFit="1" customWidth="1"/>
    <col min="359" max="359" width="16.42578125" bestFit="1" customWidth="1"/>
    <col min="360" max="360" width="25.28515625" bestFit="1" customWidth="1"/>
    <col min="361" max="361" width="19.42578125" bestFit="1" customWidth="1"/>
    <col min="362" max="362" width="21.28515625" bestFit="1" customWidth="1"/>
    <col min="363" max="364" width="34.85546875" bestFit="1" customWidth="1"/>
    <col min="365" max="365" width="29.7109375" bestFit="1" customWidth="1"/>
    <col min="366" max="366" width="42.7109375" bestFit="1" customWidth="1"/>
    <col min="367" max="367" width="42.85546875" bestFit="1" customWidth="1"/>
    <col min="368" max="368" width="32.140625" bestFit="1" customWidth="1"/>
    <col min="369" max="369" width="32.28515625" bestFit="1" customWidth="1"/>
    <col min="370" max="371" width="40" bestFit="1" customWidth="1"/>
    <col min="372" max="372" width="16.42578125" bestFit="1" customWidth="1"/>
    <col min="373" max="373" width="25.7109375" bestFit="1" customWidth="1"/>
    <col min="374" max="374" width="19.85546875" bestFit="1" customWidth="1"/>
    <col min="375" max="375" width="21.7109375" bestFit="1" customWidth="1"/>
    <col min="376" max="377" width="35.28515625" bestFit="1" customWidth="1"/>
    <col min="378" max="378" width="30.140625" bestFit="1" customWidth="1"/>
    <col min="379" max="379" width="43.140625" bestFit="1" customWidth="1"/>
    <col min="380" max="380" width="43.28515625" bestFit="1" customWidth="1"/>
    <col min="381" max="381" width="32.42578125" bestFit="1" customWidth="1"/>
    <col min="382" max="382" width="32.7109375" bestFit="1" customWidth="1"/>
    <col min="383" max="384" width="40.42578125" bestFit="1" customWidth="1"/>
    <col min="385" max="385" width="17" bestFit="1" customWidth="1"/>
    <col min="386" max="386" width="11.7109375" bestFit="1" customWidth="1"/>
    <col min="387" max="387" width="32.42578125" bestFit="1" customWidth="1"/>
    <col min="388" max="388" width="43.28515625" bestFit="1" customWidth="1"/>
    <col min="389" max="389" width="32.42578125" bestFit="1" customWidth="1"/>
    <col min="390" max="390" width="43.140625" bestFit="1" customWidth="1"/>
    <col min="391" max="391" width="32.7109375" bestFit="1" customWidth="1"/>
    <col min="392" max="392" width="22.42578125" bestFit="1" customWidth="1"/>
    <col min="393" max="393" width="24.42578125" bestFit="1" customWidth="1"/>
    <col min="394" max="394" width="35.28515625" bestFit="1" customWidth="1"/>
    <col min="395" max="395" width="24.42578125" bestFit="1" customWidth="1"/>
    <col min="396" max="396" width="35.28515625" bestFit="1" customWidth="1"/>
    <col min="397" max="397" width="17" bestFit="1" customWidth="1"/>
    <col min="398" max="398" width="11.7109375" bestFit="1" customWidth="1"/>
    <col min="399" max="399" width="43.28515625" bestFit="1" customWidth="1"/>
    <col min="400" max="400" width="19.85546875" bestFit="1" customWidth="1"/>
    <col min="401" max="401" width="17" bestFit="1" customWidth="1"/>
    <col min="402" max="402" width="11.7109375" bestFit="1" customWidth="1"/>
    <col min="403" max="403" width="42.85546875" bestFit="1" customWidth="1"/>
    <col min="404" max="404" width="40.85546875" bestFit="1" customWidth="1"/>
    <col min="405" max="406" width="29.28515625" bestFit="1" customWidth="1"/>
    <col min="407" max="407" width="37.28515625" bestFit="1" customWidth="1"/>
    <col min="408" max="408" width="33.42578125" bestFit="1" customWidth="1"/>
    <col min="409" max="409" width="16.42578125" bestFit="1" customWidth="1"/>
    <col min="410" max="410" width="25.7109375" bestFit="1" customWidth="1"/>
    <col min="411" max="411" width="19.85546875" bestFit="1" customWidth="1"/>
    <col min="412" max="412" width="21.7109375" bestFit="1" customWidth="1"/>
    <col min="413" max="414" width="35.28515625" bestFit="1" customWidth="1"/>
    <col min="415" max="415" width="30.140625" bestFit="1" customWidth="1"/>
    <col min="416" max="416" width="43.28515625" bestFit="1" customWidth="1"/>
    <col min="417" max="417" width="41.28515625" bestFit="1" customWidth="1"/>
    <col min="418" max="419" width="29.7109375" bestFit="1" customWidth="1"/>
    <col min="420" max="420" width="37.85546875" bestFit="1" customWidth="1"/>
    <col min="421" max="421" width="34" bestFit="1" customWidth="1"/>
    <col min="422" max="422" width="17" bestFit="1" customWidth="1"/>
    <col min="423" max="423" width="11.7109375" bestFit="1" customWidth="1"/>
    <col min="424" max="424" width="34" bestFit="1" customWidth="1"/>
    <col min="425" max="425" width="17" bestFit="1" customWidth="1"/>
    <col min="426" max="426" width="11.7109375" bestFit="1" customWidth="1"/>
    <col min="427" max="427" width="19.85546875" bestFit="1" customWidth="1"/>
    <col min="428" max="428" width="21.7109375" bestFit="1" customWidth="1"/>
    <col min="429" max="430" width="35.28515625" bestFit="1" customWidth="1"/>
    <col min="431" max="431" width="30.140625" bestFit="1" customWidth="1"/>
    <col min="432" max="432" width="37.42578125" bestFit="1" customWidth="1"/>
    <col min="433" max="433" width="41.28515625" bestFit="1" customWidth="1"/>
    <col min="434" max="434" width="32.7109375" bestFit="1" customWidth="1"/>
    <col min="435" max="436" width="36.42578125" bestFit="1" customWidth="1"/>
    <col min="437" max="437" width="17" bestFit="1" customWidth="1"/>
    <col min="438" max="438" width="11.7109375" bestFit="1" customWidth="1"/>
    <col min="439" max="443" width="48.42578125" bestFit="1" customWidth="1"/>
    <col min="444" max="444" width="16.7109375" bestFit="1" customWidth="1"/>
    <col min="445" max="453" width="48.42578125" bestFit="1" customWidth="1"/>
    <col min="454" max="454" width="16.7109375" bestFit="1" customWidth="1"/>
    <col min="455" max="463" width="48.42578125" bestFit="1" customWidth="1"/>
    <col min="464" max="464" width="17" bestFit="1" customWidth="1"/>
    <col min="465" max="465" width="11.85546875" bestFit="1" customWidth="1"/>
    <col min="466" max="466" width="22" bestFit="1" customWidth="1"/>
    <col min="467" max="467" width="21.7109375" bestFit="1" customWidth="1"/>
    <col min="468" max="468" width="36.85546875" bestFit="1" customWidth="1"/>
    <col min="469" max="469" width="37.28515625" bestFit="1" customWidth="1"/>
    <col min="470" max="470" width="22.28515625" bestFit="1" customWidth="1"/>
    <col min="471" max="471" width="16" bestFit="1" customWidth="1"/>
    <col min="472" max="472" width="23.28515625" bestFit="1" customWidth="1"/>
    <col min="473" max="473" width="16.42578125" bestFit="1" customWidth="1"/>
    <col min="474" max="474" width="31.7109375" bestFit="1" customWidth="1"/>
    <col min="475" max="476" width="32" bestFit="1" customWidth="1"/>
    <col min="477" max="477" width="31.42578125" bestFit="1" customWidth="1"/>
    <col min="478" max="478" width="22" bestFit="1" customWidth="1"/>
    <col min="479" max="479" width="21.7109375" bestFit="1" customWidth="1"/>
    <col min="480" max="480" width="36.85546875" bestFit="1" customWidth="1"/>
    <col min="481" max="481" width="37.28515625" bestFit="1" customWidth="1"/>
    <col min="482" max="482" width="22.28515625" bestFit="1" customWidth="1"/>
    <col min="483" max="483" width="16" bestFit="1" customWidth="1"/>
    <col min="484" max="484" width="23.28515625" bestFit="1" customWidth="1"/>
    <col min="485" max="485" width="16.42578125" bestFit="1" customWidth="1"/>
    <col min="486" max="486" width="32" bestFit="1" customWidth="1"/>
    <col min="487" max="487" width="32.42578125" bestFit="1" customWidth="1"/>
    <col min="488" max="488" width="32.28515625" bestFit="1" customWidth="1"/>
    <col min="489" max="489" width="32" bestFit="1" customWidth="1"/>
    <col min="490" max="490" width="22.42578125" bestFit="1" customWidth="1"/>
    <col min="491" max="491" width="22.140625" bestFit="1" customWidth="1"/>
    <col min="492" max="492" width="37.28515625" bestFit="1" customWidth="1"/>
    <col min="493" max="493" width="37.85546875" bestFit="1" customWidth="1"/>
    <col min="494" max="494" width="22.7109375" bestFit="1" customWidth="1"/>
    <col min="495" max="495" width="16.42578125" bestFit="1" customWidth="1"/>
    <col min="496" max="496" width="23.7109375" bestFit="1" customWidth="1"/>
    <col min="497" max="497" width="17" bestFit="1" customWidth="1"/>
    <col min="498" max="498" width="11.7109375" bestFit="1" customWidth="1"/>
    <col min="499" max="499" width="41.7109375" bestFit="1" customWidth="1"/>
    <col min="500" max="501" width="14.28515625" bestFit="1" customWidth="1"/>
    <col min="502" max="503" width="13.7109375" bestFit="1" customWidth="1"/>
    <col min="504" max="505" width="13.85546875" bestFit="1" customWidth="1"/>
    <col min="506" max="507" width="16.28515625" bestFit="1" customWidth="1"/>
    <col min="508" max="509" width="18.42578125" bestFit="1" customWidth="1"/>
    <col min="510" max="511" width="20" bestFit="1" customWidth="1"/>
    <col min="512" max="513" width="22.42578125" bestFit="1" customWidth="1"/>
    <col min="514" max="515" width="33.42578125" bestFit="1" customWidth="1"/>
    <col min="516" max="519" width="24.28515625" bestFit="1" customWidth="1"/>
    <col min="520" max="521" width="31.140625" bestFit="1" customWidth="1"/>
    <col min="522" max="522" width="19" bestFit="1" customWidth="1"/>
    <col min="523" max="523" width="17.42578125" bestFit="1" customWidth="1"/>
    <col min="524" max="525" width="18.7109375" bestFit="1" customWidth="1"/>
    <col min="526" max="527" width="16.42578125" bestFit="1" customWidth="1"/>
    <col min="528" max="528" width="29.42578125" bestFit="1" customWidth="1"/>
    <col min="529" max="529" width="26" bestFit="1" customWidth="1"/>
    <col min="530" max="530" width="22" bestFit="1" customWidth="1"/>
    <col min="531" max="531" width="20.42578125" bestFit="1" customWidth="1"/>
    <col min="532" max="532" width="33" bestFit="1" customWidth="1"/>
    <col min="533" max="533" width="33.42578125" bestFit="1" customWidth="1"/>
    <col min="534" max="534" width="16.140625" bestFit="1" customWidth="1"/>
    <col min="535" max="535" width="39.7109375" bestFit="1" customWidth="1"/>
    <col min="536" max="536" width="22.7109375" bestFit="1" customWidth="1"/>
    <col min="537" max="537" width="24" bestFit="1" customWidth="1"/>
    <col min="538" max="538" width="23.140625" bestFit="1" customWidth="1"/>
    <col min="539" max="539" width="41.42578125" bestFit="1" customWidth="1"/>
    <col min="540" max="541" width="14.140625" bestFit="1" customWidth="1"/>
    <col min="542" max="543" width="13.42578125" bestFit="1" customWidth="1"/>
    <col min="544" max="545" width="13.7109375" bestFit="1" customWidth="1"/>
    <col min="546" max="547" width="16.140625" bestFit="1" customWidth="1"/>
    <col min="548" max="549" width="18.42578125" bestFit="1" customWidth="1"/>
    <col min="550" max="551" width="19.85546875" bestFit="1" customWidth="1"/>
    <col min="552" max="553" width="22.28515625" bestFit="1" customWidth="1"/>
    <col min="554" max="555" width="33.28515625" bestFit="1" customWidth="1"/>
    <col min="556" max="559" width="24.140625" bestFit="1" customWidth="1"/>
    <col min="560" max="561" width="31" bestFit="1" customWidth="1"/>
    <col min="562" max="562" width="18.85546875" bestFit="1" customWidth="1"/>
    <col min="563" max="563" width="17.28515625" bestFit="1" customWidth="1"/>
    <col min="564" max="565" width="18.42578125" bestFit="1" customWidth="1"/>
    <col min="566" max="567" width="16.28515625" bestFit="1" customWidth="1"/>
    <col min="568" max="568" width="29.42578125" bestFit="1" customWidth="1"/>
    <col min="569" max="569" width="26" bestFit="1" customWidth="1"/>
    <col min="570" max="570" width="22" bestFit="1" customWidth="1"/>
    <col min="571" max="571" width="20.42578125" bestFit="1" customWidth="1"/>
    <col min="572" max="572" width="32.85546875" bestFit="1" customWidth="1"/>
    <col min="573" max="573" width="33.28515625" bestFit="1" customWidth="1"/>
    <col min="574" max="574" width="16" bestFit="1" customWidth="1"/>
    <col min="575" max="575" width="40.140625" bestFit="1" customWidth="1"/>
    <col min="576" max="576" width="23.28515625" bestFit="1" customWidth="1"/>
    <col min="577" max="577" width="24.42578125" bestFit="1" customWidth="1"/>
    <col min="578" max="578" width="23.7109375" bestFit="1" customWidth="1"/>
    <col min="579" max="579" width="42" bestFit="1" customWidth="1"/>
    <col min="580" max="581" width="14.42578125" bestFit="1" customWidth="1"/>
    <col min="582" max="583" width="14" bestFit="1" customWidth="1"/>
    <col min="584" max="585" width="14.140625" bestFit="1" customWidth="1"/>
    <col min="586" max="587" width="16.42578125" bestFit="1" customWidth="1"/>
    <col min="588" max="589" width="18.85546875" bestFit="1" customWidth="1"/>
    <col min="590" max="591" width="20.28515625" bestFit="1" customWidth="1"/>
    <col min="592" max="593" width="22.85546875" bestFit="1" customWidth="1"/>
    <col min="594" max="595" width="33.85546875" bestFit="1" customWidth="1"/>
    <col min="596" max="599" width="24.7109375" bestFit="1" customWidth="1"/>
    <col min="600" max="601" width="31.42578125" bestFit="1" customWidth="1"/>
    <col min="602" max="602" width="19.42578125" bestFit="1" customWidth="1"/>
    <col min="603" max="603" width="17.85546875" bestFit="1" customWidth="1"/>
    <col min="604" max="605" width="19" bestFit="1" customWidth="1"/>
    <col min="606" max="607" width="16.7109375" bestFit="1" customWidth="1"/>
    <col min="608" max="608" width="30" bestFit="1" customWidth="1"/>
    <col min="609" max="609" width="26.42578125" bestFit="1" customWidth="1"/>
    <col min="610" max="610" width="22.42578125" bestFit="1" customWidth="1"/>
    <col min="611" max="611" width="20.85546875" bestFit="1" customWidth="1"/>
    <col min="612" max="612" width="33.28515625" bestFit="1" customWidth="1"/>
    <col min="613" max="613" width="33.7109375" bestFit="1" customWidth="1"/>
    <col min="614" max="614" width="16.42578125" bestFit="1" customWidth="1"/>
    <col min="615" max="615" width="11.7109375" bestFit="1" customWidth="1"/>
    <col min="616" max="616" width="32.28515625" bestFit="1" customWidth="1"/>
    <col min="617" max="617" width="28.42578125" bestFit="1" customWidth="1"/>
    <col min="618" max="618" width="41.28515625" bestFit="1" customWidth="1"/>
    <col min="619" max="619" width="32" bestFit="1" customWidth="1"/>
    <col min="620" max="620" width="30.85546875" bestFit="1" customWidth="1"/>
    <col min="621" max="621" width="38.42578125" bestFit="1" customWidth="1"/>
    <col min="622" max="622" width="45.42578125" bestFit="1" customWidth="1"/>
    <col min="623" max="623" width="43.85546875" bestFit="1" customWidth="1"/>
    <col min="624" max="624" width="46" bestFit="1" customWidth="1"/>
    <col min="625" max="625" width="55" bestFit="1" customWidth="1"/>
    <col min="626" max="626" width="28.42578125" bestFit="1" customWidth="1"/>
    <col min="627" max="627" width="27.42578125" bestFit="1" customWidth="1"/>
    <col min="628" max="628" width="32.42578125" bestFit="1" customWidth="1"/>
    <col min="629" max="629" width="28.42578125" bestFit="1" customWidth="1"/>
    <col min="630" max="630" width="37.42578125" bestFit="1" customWidth="1"/>
    <col min="631" max="631" width="31.28515625" bestFit="1" customWidth="1"/>
    <col min="632" max="632" width="45" bestFit="1" customWidth="1"/>
    <col min="633" max="633" width="25.42578125" bestFit="1" customWidth="1"/>
    <col min="634" max="634" width="40.85546875" bestFit="1" customWidth="1"/>
    <col min="635" max="635" width="33.42578125" bestFit="1" customWidth="1"/>
    <col min="636" max="636" width="38.28515625" bestFit="1" customWidth="1"/>
    <col min="637" max="637" width="16" bestFit="1" customWidth="1"/>
    <col min="638" max="638" width="21.85546875" bestFit="1" customWidth="1"/>
    <col min="639" max="639" width="21.140625" bestFit="1" customWidth="1"/>
    <col min="640" max="640" width="26.42578125" bestFit="1" customWidth="1"/>
    <col min="641" max="641" width="34.42578125" bestFit="1" customWidth="1"/>
    <col min="642" max="642" width="15.85546875" bestFit="1" customWidth="1"/>
    <col min="643" max="643" width="32.28515625" bestFit="1" customWidth="1"/>
    <col min="644" max="644" width="22.7109375" bestFit="1" customWidth="1"/>
    <col min="645" max="645" width="30.28515625" bestFit="1" customWidth="1"/>
    <col min="646" max="646" width="38.28515625" bestFit="1" customWidth="1"/>
    <col min="647" max="647" width="19.7109375" bestFit="1" customWidth="1"/>
    <col min="648" max="648" width="17.7109375" bestFit="1" customWidth="1"/>
    <col min="649" max="649" width="14.42578125" bestFit="1" customWidth="1"/>
    <col min="650" max="650" width="16" bestFit="1" customWidth="1"/>
    <col min="651" max="651" width="23.42578125" bestFit="1" customWidth="1"/>
    <col min="652" max="652" width="39.140625" bestFit="1" customWidth="1"/>
    <col min="653" max="653" width="51.28515625" bestFit="1" customWidth="1"/>
    <col min="654" max="654" width="23.42578125" bestFit="1" customWidth="1"/>
    <col min="655" max="655" width="27.42578125" bestFit="1" customWidth="1"/>
    <col min="656" max="656" width="21.42578125" bestFit="1" customWidth="1"/>
    <col min="657" max="657" width="19.7109375" bestFit="1" customWidth="1"/>
    <col min="658" max="658" width="46.42578125" bestFit="1" customWidth="1"/>
    <col min="659" max="659" width="44.7109375" bestFit="1" customWidth="1"/>
    <col min="660" max="660" width="19.7109375" bestFit="1" customWidth="1"/>
    <col min="661" max="661" width="16.140625" bestFit="1" customWidth="1"/>
    <col min="662" max="662" width="22.28515625" bestFit="1" customWidth="1"/>
    <col min="663" max="663" width="22.140625" bestFit="1" customWidth="1"/>
    <col min="664" max="664" width="31.28515625" bestFit="1" customWidth="1"/>
    <col min="665" max="665" width="16.140625" bestFit="1" customWidth="1"/>
    <col min="666" max="666" width="32.140625" bestFit="1" customWidth="1"/>
    <col min="667" max="667" width="28.42578125" bestFit="1" customWidth="1"/>
    <col min="668" max="668" width="41.140625" bestFit="1" customWidth="1"/>
    <col min="669" max="669" width="31.85546875" bestFit="1" customWidth="1"/>
    <col min="670" max="670" width="30.7109375" bestFit="1" customWidth="1"/>
    <col min="671" max="671" width="38.42578125" bestFit="1" customWidth="1"/>
    <col min="672" max="672" width="45.28515625" bestFit="1" customWidth="1"/>
    <col min="673" max="673" width="43.7109375" bestFit="1" customWidth="1"/>
    <col min="674" max="674" width="46" bestFit="1" customWidth="1"/>
    <col min="675" max="675" width="54.85546875" bestFit="1" customWidth="1"/>
    <col min="676" max="676" width="28.28515625" bestFit="1" customWidth="1"/>
    <col min="677" max="677" width="27.28515625" bestFit="1" customWidth="1"/>
    <col min="678" max="678" width="32.28515625" bestFit="1" customWidth="1"/>
    <col min="679" max="679" width="28.42578125" bestFit="1" customWidth="1"/>
    <col min="680" max="680" width="37.28515625" bestFit="1" customWidth="1"/>
    <col min="681" max="681" width="31" bestFit="1" customWidth="1"/>
    <col min="682" max="682" width="44.85546875" bestFit="1" customWidth="1"/>
    <col min="683" max="683" width="25.28515625" bestFit="1" customWidth="1"/>
    <col min="684" max="684" width="40.7109375" bestFit="1" customWidth="1"/>
    <col min="685" max="685" width="33.28515625" bestFit="1" customWidth="1"/>
    <col min="686" max="686" width="38.140625" bestFit="1" customWidth="1"/>
    <col min="687" max="687" width="16" bestFit="1" customWidth="1"/>
    <col min="688" max="688" width="21.7109375" bestFit="1" customWidth="1"/>
    <col min="689" max="689" width="21" bestFit="1" customWidth="1"/>
    <col min="690" max="690" width="26.42578125" bestFit="1" customWidth="1"/>
    <col min="691" max="691" width="34.42578125" bestFit="1" customWidth="1"/>
    <col min="692" max="692" width="15.7109375" bestFit="1" customWidth="1"/>
    <col min="693" max="693" width="32.140625" bestFit="1" customWidth="1"/>
    <col min="694" max="694" width="22.42578125" bestFit="1" customWidth="1"/>
    <col min="695" max="695" width="30.140625" bestFit="1" customWidth="1"/>
    <col min="696" max="696" width="38.140625" bestFit="1" customWidth="1"/>
    <col min="697" max="697" width="19.42578125" bestFit="1" customWidth="1"/>
    <col min="698" max="698" width="17.42578125" bestFit="1" customWidth="1"/>
    <col min="699" max="699" width="14.28515625" bestFit="1" customWidth="1"/>
    <col min="700" max="700" width="15.85546875" bestFit="1" customWidth="1"/>
    <col min="701" max="701" width="23.28515625" bestFit="1" customWidth="1"/>
    <col min="702" max="702" width="39" bestFit="1" customWidth="1"/>
    <col min="703" max="703" width="51.140625" bestFit="1" customWidth="1"/>
    <col min="704" max="704" width="23.42578125" bestFit="1" customWidth="1"/>
    <col min="705" max="705" width="27.28515625" bestFit="1" customWidth="1"/>
    <col min="706" max="706" width="21.42578125" bestFit="1" customWidth="1"/>
    <col min="707" max="707" width="19.42578125" bestFit="1" customWidth="1"/>
    <col min="708" max="708" width="46.42578125" bestFit="1" customWidth="1"/>
    <col min="709" max="709" width="44.42578125" bestFit="1" customWidth="1"/>
    <col min="710" max="710" width="19.42578125" bestFit="1" customWidth="1"/>
    <col min="711" max="711" width="16" bestFit="1" customWidth="1"/>
    <col min="712" max="712" width="22.85546875" bestFit="1" customWidth="1"/>
    <col min="713" max="713" width="22.42578125" bestFit="1" customWidth="1"/>
    <col min="714" max="714" width="31.85546875" bestFit="1" customWidth="1"/>
    <col min="715" max="715" width="16.42578125" bestFit="1" customWidth="1"/>
    <col min="716" max="716" width="32.7109375" bestFit="1" customWidth="1"/>
    <col min="717" max="717" width="29" bestFit="1" customWidth="1"/>
    <col min="718" max="718" width="41.42578125" bestFit="1" customWidth="1"/>
    <col min="719" max="719" width="32.28515625" bestFit="1" customWidth="1"/>
    <col min="720" max="720" width="31.28515625" bestFit="1" customWidth="1"/>
    <col min="721" max="721" width="39" bestFit="1" customWidth="1"/>
    <col min="722" max="722" width="45.85546875" bestFit="1" customWidth="1"/>
    <col min="723" max="723" width="44.140625" bestFit="1" customWidth="1"/>
    <col min="724" max="724" width="46.42578125" bestFit="1" customWidth="1"/>
    <col min="725" max="725" width="55.28515625" bestFit="1" customWidth="1"/>
    <col min="726" max="726" width="28.85546875" bestFit="1" customWidth="1"/>
    <col min="727" max="727" width="27.85546875" bestFit="1" customWidth="1"/>
    <col min="728" max="728" width="32.85546875" bestFit="1" customWidth="1"/>
    <col min="729" max="729" width="28.85546875" bestFit="1" customWidth="1"/>
    <col min="730" max="730" width="37.7109375" bestFit="1" customWidth="1"/>
    <col min="731" max="731" width="31.42578125" bestFit="1" customWidth="1"/>
    <col min="732" max="732" width="45.28515625" bestFit="1" customWidth="1"/>
    <col min="733" max="733" width="25.85546875" bestFit="1" customWidth="1"/>
    <col min="734" max="734" width="41.140625" bestFit="1" customWidth="1"/>
    <col min="735" max="735" width="33.7109375" bestFit="1" customWidth="1"/>
    <col min="736" max="736" width="38.7109375" bestFit="1" customWidth="1"/>
    <col min="737" max="737" width="16.42578125" bestFit="1" customWidth="1"/>
    <col min="738" max="738" width="22.140625" bestFit="1" customWidth="1"/>
    <col min="739" max="739" width="21.42578125" bestFit="1" customWidth="1"/>
    <col min="740" max="740" width="26.85546875" bestFit="1" customWidth="1"/>
    <col min="741" max="741" width="34.85546875" bestFit="1" customWidth="1"/>
    <col min="742" max="742" width="16.140625" bestFit="1" customWidth="1"/>
    <col min="743" max="743" width="32.7109375" bestFit="1" customWidth="1"/>
    <col min="744" max="744" width="23" bestFit="1" customWidth="1"/>
    <col min="745" max="745" width="30.7109375" bestFit="1" customWidth="1"/>
    <col min="746" max="746" width="38.42578125" bestFit="1" customWidth="1"/>
    <col min="747" max="747" width="20" bestFit="1" customWidth="1"/>
    <col min="748" max="748" width="18" bestFit="1" customWidth="1"/>
    <col min="749" max="749" width="14.7109375" bestFit="1" customWidth="1"/>
    <col min="750" max="750" width="16.28515625" bestFit="1" customWidth="1"/>
    <col min="751" max="751" width="23.85546875" bestFit="1" customWidth="1"/>
    <col min="752" max="752" width="39.42578125" bestFit="1" customWidth="1"/>
    <col min="753" max="753" width="51.7109375" bestFit="1" customWidth="1"/>
    <col min="754" max="754" width="24" bestFit="1" customWidth="1"/>
    <col min="755" max="755" width="27.710937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42578125" bestFit="1" customWidth="1"/>
    <col min="762" max="762" width="11.7109375" bestFit="1" customWidth="1"/>
    <col min="763" max="763" width="14.28515625" bestFit="1" customWidth="1"/>
    <col min="764" max="766" width="65.85546875" bestFit="1" customWidth="1"/>
    <col min="767" max="767" width="28" bestFit="1" customWidth="1"/>
    <col min="768" max="768" width="43.42578125" bestFit="1" customWidth="1"/>
    <col min="769" max="769" width="41.28515625" bestFit="1" customWidth="1"/>
    <col min="770" max="770" width="27.85546875" bestFit="1" customWidth="1"/>
    <col min="771" max="771" width="41.28515625" bestFit="1" customWidth="1"/>
    <col min="772" max="772" width="39" bestFit="1" customWidth="1"/>
    <col min="773" max="773" width="42.7109375" bestFit="1" customWidth="1"/>
    <col min="774" max="774" width="26.28515625" bestFit="1" customWidth="1"/>
    <col min="775" max="775" width="26" bestFit="1" customWidth="1"/>
    <col min="776" max="776" width="29.7109375" bestFit="1" customWidth="1"/>
    <col min="777" max="777" width="26.85546875" bestFit="1" customWidth="1"/>
    <col min="778" max="778" width="16.140625" bestFit="1" customWidth="1"/>
    <col min="779" max="779" width="12" bestFit="1" customWidth="1"/>
    <col min="780" max="780" width="11.85546875" bestFit="1" customWidth="1"/>
    <col min="781" max="781" width="11.42578125" bestFit="1" customWidth="1"/>
    <col min="782" max="782" width="13.28515625" bestFit="1" customWidth="1"/>
    <col min="783" max="783" width="14.140625" bestFit="1" customWidth="1"/>
    <col min="784" max="786" width="65.85546875" bestFit="1" customWidth="1"/>
    <col min="787" max="787" width="27.85546875" bestFit="1" customWidth="1"/>
    <col min="788" max="788" width="43.28515625" bestFit="1" customWidth="1"/>
    <col min="789" max="789" width="41.140625" bestFit="1" customWidth="1"/>
    <col min="790" max="790" width="27.7109375" bestFit="1" customWidth="1"/>
    <col min="791" max="791" width="41.140625" bestFit="1" customWidth="1"/>
    <col min="792" max="792" width="38.85546875" bestFit="1" customWidth="1"/>
    <col min="793" max="793" width="42.42578125" bestFit="1" customWidth="1"/>
    <col min="794" max="794" width="26.140625" bestFit="1" customWidth="1"/>
    <col min="795" max="795" width="26" bestFit="1" customWidth="1"/>
    <col min="796" max="796" width="29.42578125" bestFit="1" customWidth="1"/>
    <col min="797" max="797" width="26.7109375" bestFit="1" customWidth="1"/>
    <col min="798" max="798" width="16" bestFit="1" customWidth="1"/>
    <col min="799" max="799" width="12.42578125" bestFit="1" customWidth="1"/>
    <col min="800" max="800" width="12.28515625" bestFit="1" customWidth="1"/>
    <col min="801" max="801" width="11.85546875" bestFit="1" customWidth="1"/>
    <col min="802" max="802" width="13.85546875" bestFit="1" customWidth="1"/>
    <col min="803" max="803" width="14.7109375" bestFit="1" customWidth="1"/>
    <col min="804" max="806" width="65.85546875" bestFit="1" customWidth="1"/>
    <col min="807" max="807" width="28.28515625" bestFit="1" customWidth="1"/>
    <col min="808" max="808" width="43.85546875" bestFit="1" customWidth="1"/>
    <col min="809" max="809" width="41.7109375" bestFit="1" customWidth="1"/>
    <col min="810" max="810" width="28.140625" bestFit="1" customWidth="1"/>
    <col min="811" max="811" width="41.42578125" bestFit="1" customWidth="1"/>
    <col min="812" max="812" width="39.28515625" bestFit="1" customWidth="1"/>
    <col min="813" max="813" width="43" bestFit="1" customWidth="1"/>
    <col min="814" max="815" width="26.42578125" bestFit="1" customWidth="1"/>
    <col min="816" max="816" width="30" bestFit="1" customWidth="1"/>
    <col min="817" max="817" width="27.28515625" bestFit="1" customWidth="1"/>
    <col min="818" max="818" width="16.42578125" bestFit="1" customWidth="1"/>
    <col min="819" max="819" width="11.85546875" bestFit="1" customWidth="1"/>
    <col min="820" max="820" width="27.28515625" bestFit="1" customWidth="1"/>
    <col min="821" max="821" width="16.42578125" bestFit="1" customWidth="1"/>
    <col min="822" max="822" width="11.85546875" bestFit="1" customWidth="1"/>
    <col min="823" max="823" width="43.85546875" bestFit="1" customWidth="1"/>
    <col min="824" max="824" width="43.140625" bestFit="1" customWidth="1"/>
    <col min="825" max="825" width="28.85546875" bestFit="1" customWidth="1"/>
    <col min="826" max="826" width="43" bestFit="1" customWidth="1"/>
    <col min="827" max="827" width="40.42578125" bestFit="1" customWidth="1"/>
    <col min="828" max="828" width="43.85546875" bestFit="1" customWidth="1"/>
    <col min="829" max="829" width="27.85546875" bestFit="1" customWidth="1"/>
    <col min="830" max="830" width="27.42578125" bestFit="1" customWidth="1"/>
    <col min="831" max="831" width="31.140625" bestFit="1" customWidth="1"/>
    <col min="832" max="832" width="28.42578125" bestFit="1" customWidth="1"/>
    <col min="833" max="833" width="17" bestFit="1" customWidth="1"/>
    <col min="834" max="834" width="11.85546875" bestFit="1" customWidth="1"/>
    <col min="835" max="835" width="27.85546875" bestFit="1" customWidth="1"/>
    <col min="836" max="836" width="27.42578125" bestFit="1" customWidth="1"/>
    <col min="837" max="837" width="31.140625" bestFit="1" customWidth="1"/>
    <col min="838" max="838" width="28.42578125" bestFit="1" customWidth="1"/>
    <col min="839" max="839" width="33" bestFit="1" customWidth="1"/>
    <col min="840" max="840" width="43.85546875" bestFit="1" customWidth="1"/>
    <col min="841" max="842" width="17" bestFit="1" customWidth="1"/>
    <col min="843" max="843" width="11.85546875" bestFit="1" customWidth="1"/>
    <col min="844" max="845" width="17" bestFit="1" customWidth="1"/>
    <col min="846" max="846" width="11.85546875" bestFit="1" customWidth="1"/>
    <col min="847" max="847" width="27.42578125" bestFit="1" customWidth="1"/>
    <col min="848" max="848" width="31.140625" bestFit="1" customWidth="1"/>
    <col min="849" max="849" width="28.42578125" bestFit="1" customWidth="1"/>
    <col min="850" max="850" width="33" bestFit="1" customWidth="1"/>
    <col min="851" max="851" width="43.85546875" bestFit="1" customWidth="1"/>
    <col min="852" max="852" width="17" bestFit="1" customWidth="1"/>
    <col min="853" max="854" width="38.42578125" bestFit="1" customWidth="1"/>
    <col min="855" max="855" width="41.28515625" bestFit="1" customWidth="1"/>
    <col min="856" max="856" width="33" bestFit="1" customWidth="1"/>
    <col min="857" max="857" width="17" bestFit="1" customWidth="1"/>
    <col min="858" max="858" width="11.85546875" bestFit="1" customWidth="1"/>
    <col min="859" max="859" width="43" bestFit="1" customWidth="1"/>
    <col min="860" max="860" width="40.42578125" bestFit="1" customWidth="1"/>
    <col min="861" max="861" width="44.42578125" bestFit="1" customWidth="1"/>
    <col min="862" max="862" width="27.85546875" bestFit="1" customWidth="1"/>
    <col min="863" max="863" width="27.42578125" bestFit="1" customWidth="1"/>
    <col min="864" max="864" width="31.140625" bestFit="1" customWidth="1"/>
    <col min="865" max="865" width="28.42578125" bestFit="1" customWidth="1"/>
    <col min="866" max="866" width="33" bestFit="1" customWidth="1"/>
    <col min="867" max="867" width="53.140625" bestFit="1" customWidth="1"/>
    <col min="868" max="868" width="17" bestFit="1" customWidth="1"/>
    <col min="869" max="870" width="38.42578125" bestFit="1" customWidth="1"/>
    <col min="871" max="871" width="41.285156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5546875" bestFit="1" customWidth="1"/>
    <col min="876" max="876" width="15.28515625" bestFit="1" customWidth="1"/>
    <col min="877" max="877" width="21" bestFit="1" customWidth="1"/>
    <col min="878" max="878" width="27.140625" bestFit="1" customWidth="1"/>
    <col min="879" max="879" width="19.85546875" bestFit="1" customWidth="1"/>
    <col min="880" max="880" width="58" bestFit="1" customWidth="1"/>
    <col min="881" max="881" width="17" bestFit="1" customWidth="1"/>
    <col min="882" max="882" width="11.8554687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7109375" bestFit="1" customWidth="1"/>
    <col min="887" max="887" width="36.42578125" bestFit="1" customWidth="1"/>
    <col min="888" max="888" width="28.42578125" bestFit="1" customWidth="1"/>
    <col min="889" max="889" width="24" bestFit="1" customWidth="1"/>
    <col min="890" max="890" width="37.85546875" bestFit="1" customWidth="1"/>
    <col min="891" max="891" width="35.42578125" bestFit="1" customWidth="1"/>
    <col min="892" max="892" width="29" bestFit="1" customWidth="1"/>
    <col min="893" max="893" width="26" bestFit="1" customWidth="1"/>
    <col min="894" max="894" width="16.140625" bestFit="1" customWidth="1"/>
    <col min="895" max="895" width="31" bestFit="1" customWidth="1"/>
    <col min="896" max="896" width="10.85546875" bestFit="1" customWidth="1"/>
    <col min="897" max="897" width="11.42578125" bestFit="1" customWidth="1"/>
    <col min="898" max="898" width="11" bestFit="1" customWidth="1"/>
    <col min="899" max="899" width="17" bestFit="1" customWidth="1"/>
    <col min="900" max="900" width="15.7109375" bestFit="1" customWidth="1"/>
    <col min="901" max="901" width="13" bestFit="1" customWidth="1"/>
    <col min="902" max="902" width="25.85546875" bestFit="1" customWidth="1"/>
    <col min="903" max="903" width="29" bestFit="1" customWidth="1"/>
    <col min="904" max="904" width="27.85546875" bestFit="1" customWidth="1"/>
    <col min="905" max="905" width="31.42578125" bestFit="1" customWidth="1"/>
    <col min="906" max="906" width="36.42578125" bestFit="1" customWidth="1"/>
    <col min="907" max="907" width="28.28515625" bestFit="1" customWidth="1"/>
    <col min="908" max="908" width="23.85546875" bestFit="1" customWidth="1"/>
    <col min="909" max="909" width="37.7109375" bestFit="1" customWidth="1"/>
    <col min="910" max="910" width="35.28515625" bestFit="1" customWidth="1"/>
    <col min="911" max="911" width="29" bestFit="1" customWidth="1"/>
    <col min="912" max="912" width="25.85546875" bestFit="1" customWidth="1"/>
    <col min="913" max="913" width="16" bestFit="1" customWidth="1"/>
    <col min="914" max="914" width="31.42578125" bestFit="1" customWidth="1"/>
    <col min="915" max="915" width="11.28515625" bestFit="1" customWidth="1"/>
    <col min="916" max="916" width="12" bestFit="1" customWidth="1"/>
    <col min="917" max="917" width="11.42578125" bestFit="1" customWidth="1"/>
    <col min="918" max="918" width="17.42578125" bestFit="1" customWidth="1"/>
    <col min="919" max="919" width="16.140625" bestFit="1" customWidth="1"/>
    <col min="920" max="920" width="13.42578125" bestFit="1" customWidth="1"/>
    <col min="921" max="921" width="26.28515625" bestFit="1" customWidth="1"/>
    <col min="922" max="922" width="29.42578125" bestFit="1" customWidth="1"/>
    <col min="923" max="923" width="28.28515625" bestFit="1" customWidth="1"/>
    <col min="924" max="924" width="32" bestFit="1" customWidth="1"/>
    <col min="925" max="925" width="37" bestFit="1" customWidth="1"/>
    <col min="926" max="926" width="28.7109375" bestFit="1" customWidth="1"/>
    <col min="927" max="927" width="24.28515625" bestFit="1" customWidth="1"/>
    <col min="928" max="928" width="38.140625" bestFit="1" customWidth="1"/>
    <col min="929" max="929" width="35.85546875" bestFit="1" customWidth="1"/>
    <col min="930" max="930" width="29.42578125" bestFit="1" customWidth="1"/>
    <col min="931" max="931" width="26.28515625" bestFit="1" customWidth="1"/>
    <col min="932" max="932" width="16.42578125" bestFit="1" customWidth="1"/>
    <col min="933" max="933" width="11.7109375" bestFit="1" customWidth="1"/>
    <col min="934" max="934" width="30.42578125" bestFit="1" customWidth="1"/>
    <col min="935" max="935" width="21.28515625" bestFit="1" customWidth="1"/>
    <col min="936" max="936" width="32.28515625" bestFit="1" customWidth="1"/>
    <col min="937" max="937" width="32.140625" bestFit="1" customWidth="1"/>
    <col min="938" max="938" width="13.7109375" bestFit="1" customWidth="1"/>
    <col min="939" max="939" width="16.85546875" bestFit="1" customWidth="1"/>
    <col min="940" max="940" width="34.28515625" bestFit="1" customWidth="1"/>
    <col min="941" max="941" width="16.140625" bestFit="1" customWidth="1"/>
    <col min="942" max="942" width="33.28515625" bestFit="1" customWidth="1"/>
    <col min="943" max="943" width="25.7109375" bestFit="1" customWidth="1"/>
    <col min="944" max="944" width="23.7109375" bestFit="1" customWidth="1"/>
    <col min="945" max="945" width="30.85546875" bestFit="1" customWidth="1"/>
    <col min="946" max="946" width="30.42578125" bestFit="1" customWidth="1"/>
    <col min="947" max="947" width="21.140625" bestFit="1" customWidth="1"/>
    <col min="948" max="948" width="32.140625" bestFit="1" customWidth="1"/>
    <col min="949" max="949" width="32" bestFit="1" customWidth="1"/>
    <col min="950" max="950" width="13.42578125" bestFit="1" customWidth="1"/>
    <col min="951" max="951" width="16.7109375" bestFit="1" customWidth="1"/>
    <col min="952" max="952" width="34.140625" bestFit="1" customWidth="1"/>
    <col min="953" max="953" width="16" bestFit="1" customWidth="1"/>
    <col min="954" max="954" width="33.85546875" bestFit="1" customWidth="1"/>
    <col min="955" max="955" width="26.140625" bestFit="1" customWidth="1"/>
    <col min="956" max="956" width="24.140625" bestFit="1" customWidth="1"/>
    <col min="957" max="957" width="31.42578125" bestFit="1" customWidth="1"/>
    <col min="958" max="958" width="30.85546875" bestFit="1" customWidth="1"/>
    <col min="959" max="959" width="21.7109375" bestFit="1" customWidth="1"/>
    <col min="960" max="960" width="32.7109375" bestFit="1" customWidth="1"/>
    <col min="961" max="961" width="32.42578125" bestFit="1" customWidth="1"/>
    <col min="962" max="962" width="14" bestFit="1" customWidth="1"/>
    <col min="963" max="963" width="17.140625" bestFit="1" customWidth="1"/>
    <col min="964" max="964" width="34.42578125" bestFit="1" customWidth="1"/>
    <col min="965" max="965" width="16.42578125" bestFit="1" customWidth="1"/>
    <col min="966" max="966" width="11.7109375" bestFit="1" customWidth="1"/>
    <col min="967" max="967" width="22.85546875" bestFit="1" customWidth="1"/>
    <col min="968" max="968" width="16.140625" bestFit="1" customWidth="1"/>
    <col min="969" max="970" width="19.85546875" bestFit="1" customWidth="1"/>
    <col min="971" max="972" width="20" bestFit="1" customWidth="1"/>
    <col min="973" max="973" width="22.7109375" bestFit="1" customWidth="1"/>
    <col min="974" max="974" width="16" bestFit="1" customWidth="1"/>
    <col min="975" max="976" width="20.28515625" bestFit="1" customWidth="1"/>
    <col min="977" max="978" width="20.42578125" bestFit="1" customWidth="1"/>
    <col min="979" max="979" width="23.28515625" bestFit="1" customWidth="1"/>
    <col min="980" max="980" width="16.42578125" bestFit="1" customWidth="1"/>
    <col min="981" max="981" width="11.7109375" bestFit="1" customWidth="1"/>
    <col min="982" max="982" width="30.7109375" bestFit="1" customWidth="1"/>
    <col min="983" max="983" width="28.28515625" bestFit="1" customWidth="1"/>
    <col min="984" max="984" width="22.85546875" bestFit="1" customWidth="1"/>
    <col min="985" max="985" width="27" bestFit="1" customWidth="1"/>
    <col min="986" max="986" width="26.42578125" bestFit="1" customWidth="1"/>
    <col min="987" max="987" width="16.140625" bestFit="1" customWidth="1"/>
    <col min="988" max="988" width="36.42578125" bestFit="1" customWidth="1"/>
    <col min="989" max="989" width="30" bestFit="1" customWidth="1"/>
    <col min="990" max="990" width="31.7109375" bestFit="1" customWidth="1"/>
    <col min="991" max="991" width="28.28515625" bestFit="1" customWidth="1"/>
    <col min="992" max="992" width="30.42578125" bestFit="1" customWidth="1"/>
    <col min="993" max="993" width="28.140625" bestFit="1" customWidth="1"/>
    <col min="994" max="994" width="22.7109375" bestFit="1" customWidth="1"/>
    <col min="995" max="995" width="26.85546875" bestFit="1" customWidth="1"/>
    <col min="996" max="996" width="26.42578125" bestFit="1" customWidth="1"/>
    <col min="997" max="997" width="16" bestFit="1" customWidth="1"/>
    <col min="998" max="998" width="36.85546875" bestFit="1" customWidth="1"/>
    <col min="999" max="999" width="30.42578125" bestFit="1" customWidth="1"/>
    <col min="1000" max="1000" width="32.140625" bestFit="1" customWidth="1"/>
    <col min="1001" max="1001" width="28.7109375" bestFit="1" customWidth="1"/>
    <col min="1002" max="1002" width="31" bestFit="1" customWidth="1"/>
    <col min="1003" max="1003" width="28.7109375" bestFit="1" customWidth="1"/>
    <col min="1004" max="1004" width="23.140625" bestFit="1" customWidth="1"/>
    <col min="1005" max="1005" width="27.28515625" bestFit="1" customWidth="1"/>
    <col min="1006" max="1006" width="26.85546875" bestFit="1" customWidth="1"/>
    <col min="1007" max="1007" width="16.42578125" bestFit="1" customWidth="1"/>
    <col min="1008" max="1008" width="11.7109375" bestFit="1" customWidth="1"/>
    <col min="1009" max="1010" width="28" bestFit="1" customWidth="1"/>
    <col min="1011" max="1012" width="23.140625" bestFit="1" customWidth="1"/>
    <col min="1013" max="1013" width="31.7109375" bestFit="1" customWidth="1"/>
    <col min="1014" max="1014" width="22.28515625" bestFit="1" customWidth="1"/>
    <col min="1015" max="1015" width="19" bestFit="1" customWidth="1"/>
    <col min="1016" max="1016" width="28.42578125" bestFit="1" customWidth="1"/>
    <col min="1017" max="1017" width="22.7109375" bestFit="1" customWidth="1"/>
    <col min="1018" max="1018" width="28.140625" bestFit="1" customWidth="1"/>
    <col min="1019" max="1019" width="28.42578125" bestFit="1" customWidth="1"/>
    <col min="1020" max="1020" width="16" bestFit="1" customWidth="1"/>
    <col min="1021" max="1021" width="12.28515625" bestFit="1" customWidth="1"/>
    <col min="1022" max="1022" width="16.42578125" bestFit="1" customWidth="1"/>
    <col min="1023" max="1023" width="31.140625" bestFit="1" customWidth="1"/>
    <col min="1024" max="1024" width="11.42578125" bestFit="1" customWidth="1"/>
    <col min="1025" max="1025" width="12" bestFit="1" customWidth="1"/>
    <col min="1026" max="1026" width="17.7109375" bestFit="1" customWidth="1"/>
    <col min="1027" max="1027" width="11.42578125" bestFit="1" customWidth="1"/>
    <col min="1028" max="1028" width="14" bestFit="1" customWidth="1"/>
    <col min="1029" max="1029" width="16.42578125" bestFit="1" customWidth="1"/>
    <col min="1030" max="1031" width="28" bestFit="1" customWidth="1"/>
    <col min="1032" max="1033" width="23.140625" bestFit="1" customWidth="1"/>
    <col min="1034" max="1034" width="31.7109375" bestFit="1" customWidth="1"/>
    <col min="1035" max="1035" width="22.28515625" bestFit="1" customWidth="1"/>
    <col min="1036" max="1036" width="19" bestFit="1" customWidth="1"/>
    <col min="1037" max="1037" width="28.42578125" bestFit="1" customWidth="1"/>
    <col min="1038" max="1038" width="22.7109375" bestFit="1" customWidth="1"/>
    <col min="1039" max="1039" width="28.140625" bestFit="1" customWidth="1"/>
    <col min="1040" max="1040" width="28.42578125" bestFit="1" customWidth="1"/>
    <col min="1041" max="1041" width="16" bestFit="1" customWidth="1"/>
    <col min="1042" max="1042" width="12.28515625" bestFit="1" customWidth="1"/>
    <col min="1043" max="1043" width="16.42578125" bestFit="1" customWidth="1"/>
    <col min="1044" max="1044" width="31.42578125" bestFit="1" customWidth="1"/>
    <col min="1045" max="1045" width="11.85546875" bestFit="1" customWidth="1"/>
    <col min="1046" max="1046" width="12.42578125" bestFit="1" customWidth="1"/>
    <col min="1047" max="1047" width="18" bestFit="1" customWidth="1"/>
    <col min="1048" max="1048" width="12" bestFit="1" customWidth="1"/>
    <col min="1049" max="1049" width="14.42578125" bestFit="1" customWidth="1"/>
    <col min="1050" max="1050" width="16.85546875" bestFit="1" customWidth="1"/>
    <col min="1051" max="1052" width="28.28515625" bestFit="1" customWidth="1"/>
    <col min="1053" max="1054" width="23.42578125" bestFit="1" customWidth="1"/>
    <col min="1055" max="1055" width="32" bestFit="1" customWidth="1"/>
    <col min="1056" max="1056" width="22.7109375" bestFit="1" customWidth="1"/>
    <col min="1057" max="1057" width="19.42578125" bestFit="1" customWidth="1"/>
    <col min="1058" max="1058" width="29" bestFit="1" customWidth="1"/>
    <col min="1059" max="1059" width="23.140625" bestFit="1" customWidth="1"/>
    <col min="1060" max="1060" width="28.42578125" bestFit="1" customWidth="1"/>
    <col min="1061" max="1061" width="28.85546875" bestFit="1" customWidth="1"/>
    <col min="1062" max="1062" width="16.42578125" bestFit="1" customWidth="1"/>
    <col min="1063" max="1063" width="12.7109375" bestFit="1" customWidth="1"/>
    <col min="1064" max="1064" width="17" bestFit="1" customWidth="1"/>
    <col min="1065" max="1065" width="11.7109375" bestFit="1" customWidth="1"/>
    <col min="1066" max="1066" width="14.28515625" bestFit="1" customWidth="1"/>
    <col min="1067" max="1068" width="16.28515625" bestFit="1" customWidth="1"/>
    <col min="1069" max="1070" width="13.85546875" bestFit="1" customWidth="1"/>
    <col min="1071" max="1072" width="19.7109375" bestFit="1" customWidth="1"/>
    <col min="1073" max="1074" width="18.42578125" bestFit="1" customWidth="1"/>
    <col min="1075" max="1076" width="22.28515625" bestFit="1" customWidth="1"/>
    <col min="1077" max="1077" width="24.140625" bestFit="1" customWidth="1"/>
    <col min="1078" max="1079" width="33.28515625" bestFit="1" customWidth="1"/>
    <col min="1080" max="1083" width="24" bestFit="1" customWidth="1"/>
    <col min="1084" max="1085" width="40.85546875" bestFit="1" customWidth="1"/>
    <col min="1086" max="1087" width="22" bestFit="1" customWidth="1"/>
    <col min="1088" max="1088" width="32.7109375" bestFit="1" customWidth="1"/>
    <col min="1089" max="1089" width="23.85546875" bestFit="1" customWidth="1"/>
    <col min="1090" max="1090" width="22.140625" bestFit="1" customWidth="1"/>
    <col min="1091" max="1091" width="27.42578125" bestFit="1" customWidth="1"/>
    <col min="1092" max="1092" width="29" bestFit="1" customWidth="1"/>
    <col min="1093" max="1093" width="16.140625" bestFit="1" customWidth="1"/>
    <col min="1094" max="1094" width="25.42578125" bestFit="1" customWidth="1"/>
    <col min="1095" max="1096" width="13.42578125" bestFit="1" customWidth="1"/>
    <col min="1097" max="1098" width="14.140625" bestFit="1" customWidth="1"/>
    <col min="1099" max="1100" width="16.140625" bestFit="1" customWidth="1"/>
    <col min="1101" max="1102" width="13.7109375" bestFit="1" customWidth="1"/>
    <col min="1103" max="1104" width="19.42578125" bestFit="1" customWidth="1"/>
    <col min="1105" max="1106" width="18.42578125" bestFit="1" customWidth="1"/>
    <col min="1107" max="1108" width="22.140625" bestFit="1" customWidth="1"/>
    <col min="1109" max="1109" width="24" bestFit="1" customWidth="1"/>
    <col min="1110" max="1111" width="33.140625" bestFit="1" customWidth="1"/>
    <col min="1112" max="1115" width="24" bestFit="1" customWidth="1"/>
    <col min="1116" max="1117" width="40.7109375" bestFit="1" customWidth="1"/>
    <col min="1118" max="1119" width="21.85546875" bestFit="1" customWidth="1"/>
    <col min="1120" max="1120" width="32.42578125" bestFit="1" customWidth="1"/>
    <col min="1121" max="1121" width="23.7109375" bestFit="1" customWidth="1"/>
    <col min="1122" max="1122" width="22" bestFit="1" customWidth="1"/>
    <col min="1123" max="1123" width="27.42578125" bestFit="1" customWidth="1"/>
    <col min="1124" max="1124" width="28.85546875" bestFit="1" customWidth="1"/>
    <col min="1125" max="1125" width="16" bestFit="1" customWidth="1"/>
    <col min="1126" max="1126" width="25.85546875" bestFit="1" customWidth="1"/>
    <col min="1127" max="1128" width="14" bestFit="1" customWidth="1"/>
    <col min="1129" max="1130" width="14.42578125" bestFit="1" customWidth="1"/>
    <col min="1131" max="1132" width="16.42578125" bestFit="1" customWidth="1"/>
    <col min="1133" max="1134" width="14.140625" bestFit="1" customWidth="1"/>
    <col min="1135" max="1136" width="20" bestFit="1" customWidth="1"/>
    <col min="1137" max="1138" width="18.85546875" bestFit="1" customWidth="1"/>
    <col min="1139" max="1140" width="22.7109375" bestFit="1" customWidth="1"/>
    <col min="1141" max="1141" width="24.42578125" bestFit="1" customWidth="1"/>
    <col min="1142" max="1143" width="33.42578125" bestFit="1" customWidth="1"/>
    <col min="1144" max="1147" width="24.42578125" bestFit="1" customWidth="1"/>
    <col min="1148" max="1149" width="41.140625" bestFit="1" customWidth="1"/>
    <col min="1150" max="1151" width="22.28515625" bestFit="1" customWidth="1"/>
    <col min="1152" max="1152" width="33" bestFit="1" customWidth="1"/>
    <col min="1153" max="1153" width="24.140625" bestFit="1" customWidth="1"/>
    <col min="1154" max="1154" width="22.42578125" bestFit="1" customWidth="1"/>
    <col min="1155" max="1155" width="27.85546875" bestFit="1" customWidth="1"/>
    <col min="1156" max="1156" width="29.28515625" bestFit="1" customWidth="1"/>
    <col min="1157" max="1157" width="16.42578125" bestFit="1" customWidth="1"/>
    <col min="1158" max="1158" width="11.7109375" bestFit="1" customWidth="1"/>
    <col min="1159" max="1159" width="16.140625" bestFit="1" customWidth="1"/>
    <col min="1160" max="1160" width="33.42578125" bestFit="1" customWidth="1"/>
    <col min="1161" max="1161" width="36.42578125" bestFit="1" customWidth="1"/>
    <col min="1162" max="1162" width="15.7109375" bestFit="1" customWidth="1"/>
    <col min="1163" max="1163" width="11.85546875" bestFit="1" customWidth="1"/>
    <col min="1164" max="1164" width="16" bestFit="1" customWidth="1"/>
    <col min="1165" max="1165" width="34" bestFit="1" customWidth="1"/>
    <col min="1166" max="1166" width="36.85546875" bestFit="1" customWidth="1"/>
    <col min="1167" max="1167" width="16.140625" bestFit="1" customWidth="1"/>
    <col min="1168" max="1168" width="12.28515625" bestFit="1" customWidth="1"/>
    <col min="1169" max="1169" width="16.42578125" bestFit="1" customWidth="1"/>
    <col min="1170" max="1170" width="11.7109375" bestFit="1" customWidth="1"/>
    <col min="1171" max="1171" width="11.140625" bestFit="1" customWidth="1"/>
    <col min="1172" max="1172" width="13.42578125" bestFit="1" customWidth="1"/>
    <col min="1173" max="1173" width="17.140625" bestFit="1" customWidth="1"/>
    <col min="1174" max="1174" width="15.85546875" bestFit="1" customWidth="1"/>
    <col min="1175" max="1175" width="28.42578125" bestFit="1" customWidth="1"/>
    <col min="1176" max="1176" width="21" bestFit="1" customWidth="1"/>
    <col min="1177" max="1177" width="22.42578125" bestFit="1" customWidth="1"/>
    <col min="1178" max="1178" width="30.7109375" bestFit="1" customWidth="1"/>
    <col min="1179" max="1179" width="21.42578125" bestFit="1" customWidth="1"/>
    <col min="1180" max="1180" width="29.42578125" bestFit="1" customWidth="1"/>
    <col min="1181" max="1181" width="25.28515625" bestFit="1" customWidth="1"/>
    <col min="1182" max="1182" width="16.140625" customWidth="1"/>
    <col min="1183" max="1183" width="29" bestFit="1" customWidth="1"/>
    <col min="1184" max="1184" width="30.42578125" bestFit="1" customWidth="1"/>
    <col min="1185" max="1185" width="10.85546875" bestFit="1" customWidth="1"/>
    <col min="1186" max="1186" width="11.42578125" bestFit="1" customWidth="1"/>
    <col min="1187" max="1187" width="11" bestFit="1" customWidth="1"/>
    <col min="1188" max="1188" width="13.42578125" bestFit="1" customWidth="1"/>
    <col min="1189" max="1189" width="17" bestFit="1" customWidth="1"/>
    <col min="1190" max="1190" width="15.7109375" bestFit="1" customWidth="1"/>
    <col min="1191" max="1191" width="28.28515625" bestFit="1" customWidth="1"/>
    <col min="1192" max="1192" width="21" bestFit="1" customWidth="1"/>
    <col min="1193" max="1193" width="22.28515625" bestFit="1" customWidth="1"/>
    <col min="1194" max="1194" width="30.42578125" bestFit="1" customWidth="1"/>
    <col min="1195" max="1195" width="21.42578125" bestFit="1" customWidth="1"/>
    <col min="1196" max="1196" width="29.28515625" bestFit="1" customWidth="1"/>
    <col min="1197" max="1197" width="25.140625" bestFit="1" customWidth="1"/>
    <col min="1198" max="1198" width="16" bestFit="1" customWidth="1"/>
    <col min="1199" max="1199" width="29.42578125" bestFit="1" customWidth="1"/>
    <col min="1200" max="1200" width="30.85546875" bestFit="1" customWidth="1"/>
    <col min="1201" max="1201" width="11.28515625" bestFit="1" customWidth="1"/>
    <col min="1202" max="1202" width="12" bestFit="1" customWidth="1"/>
    <col min="1203" max="1203" width="11.42578125" bestFit="1" customWidth="1"/>
    <col min="1204" max="1204" width="13.85546875" bestFit="1" customWidth="1"/>
    <col min="1205" max="1205" width="17.42578125" bestFit="1" customWidth="1"/>
    <col min="1206" max="1206" width="16.140625" bestFit="1" customWidth="1"/>
    <col min="1207" max="1207" width="28.85546875" bestFit="1" customWidth="1"/>
    <col min="1208" max="1208" width="21.42578125" bestFit="1" customWidth="1"/>
    <col min="1209" max="1209" width="22.7109375" bestFit="1" customWidth="1"/>
    <col min="1210" max="1210" width="31" bestFit="1" customWidth="1"/>
    <col min="1211" max="1211" width="22" bestFit="1" customWidth="1"/>
    <col min="1212" max="1212" width="29.7109375" bestFit="1" customWidth="1"/>
    <col min="1213" max="1213" width="25.7109375" bestFit="1" customWidth="1"/>
    <col min="1214" max="1214" width="16.42578125" bestFit="1" customWidth="1"/>
    <col min="1215" max="1215" width="10.7109375" bestFit="1" customWidth="1"/>
    <col min="1216" max="1216" width="31.42578125" bestFit="1" customWidth="1"/>
    <col min="1217" max="1217" width="37.85546875" bestFit="1" customWidth="1"/>
    <col min="1218" max="1218" width="37.7109375" bestFit="1" customWidth="1"/>
    <col min="1219" max="1219" width="20" bestFit="1" customWidth="1"/>
    <col min="1220" max="1220" width="30.42578125" bestFit="1" customWidth="1"/>
    <col min="1221" max="1221" width="21.42578125" bestFit="1" customWidth="1"/>
    <col min="1222" max="1222" width="33.42578125" bestFit="1" customWidth="1"/>
    <col min="1223" max="1223" width="33.28515625" bestFit="1" customWidth="1"/>
    <col min="1224" max="1224" width="11.7109375" bestFit="1" customWidth="1"/>
    <col min="1225" max="1225" width="17.28515625" bestFit="1" customWidth="1"/>
    <col min="1226" max="1226" width="16" bestFit="1" customWidth="1"/>
    <col min="1227" max="1227" width="23.85546875" bestFit="1" customWidth="1"/>
    <col min="1228" max="1228" width="31.85546875" bestFit="1" customWidth="1"/>
    <col min="1229" max="1229" width="38.28515625" bestFit="1" customWidth="1"/>
    <col min="1230" max="1230" width="38.140625" bestFit="1" customWidth="1"/>
    <col min="1231" max="1231" width="20.42578125" bestFit="1" customWidth="1"/>
    <col min="1232" max="1232" width="31" bestFit="1" customWidth="1"/>
    <col min="1233" max="1233" width="22" bestFit="1" customWidth="1"/>
    <col min="1234" max="1234" width="33.85546875" bestFit="1" customWidth="1"/>
    <col min="1235" max="1235" width="33.7109375" bestFit="1" customWidth="1"/>
    <col min="1236" max="1236" width="12" bestFit="1" customWidth="1"/>
    <col min="1237" max="1237" width="17.85546875" bestFit="1" customWidth="1"/>
    <col min="1238" max="1238" width="16.42578125" bestFit="1" customWidth="1"/>
    <col min="1239" max="1239" width="11.7109375" bestFit="1" customWidth="1"/>
    <col min="1240" max="1240" width="15" bestFit="1" customWidth="1"/>
    <col min="1241" max="1242" width="16.85546875" bestFit="1" customWidth="1"/>
    <col min="1243" max="1244" width="19.28515625" bestFit="1" customWidth="1"/>
    <col min="1245" max="1246" width="31" bestFit="1" customWidth="1"/>
    <col min="1247" max="1248" width="16.28515625" bestFit="1" customWidth="1"/>
    <col min="1249" max="1250" width="14.28515625" bestFit="1" customWidth="1"/>
    <col min="1251" max="1253" width="28" bestFit="1" customWidth="1"/>
    <col min="1254" max="1254" width="30.42578125" bestFit="1" customWidth="1"/>
    <col min="1255" max="1256" width="34.7109375" bestFit="1" customWidth="1"/>
    <col min="1257" max="1258" width="25" bestFit="1" customWidth="1"/>
    <col min="1259" max="1260" width="31" bestFit="1" customWidth="1"/>
    <col min="1261" max="1262" width="23.85546875" bestFit="1" customWidth="1"/>
    <col min="1263" max="1264" width="25.28515625" bestFit="1" customWidth="1"/>
    <col min="1265" max="1266" width="32.42578125" bestFit="1" customWidth="1"/>
    <col min="1267" max="1267" width="41.42578125" bestFit="1" customWidth="1"/>
    <col min="1268" max="1268" width="25.85546875" bestFit="1" customWidth="1"/>
    <col min="1269" max="1269" width="31" bestFit="1" customWidth="1"/>
    <col min="1270" max="1270" width="25.7109375" bestFit="1" customWidth="1"/>
    <col min="1271" max="1271" width="23.7109375" bestFit="1" customWidth="1"/>
    <col min="1272" max="1272" width="21.28515625" bestFit="1" customWidth="1"/>
    <col min="1273" max="1273" width="16.7109375" bestFit="1" customWidth="1"/>
    <col min="1274" max="1274" width="29" bestFit="1" customWidth="1"/>
    <col min="1275" max="1276" width="14.140625" bestFit="1" customWidth="1"/>
    <col min="1277" max="1278" width="15" bestFit="1" customWidth="1"/>
    <col min="1279" max="1280" width="16.85546875" bestFit="1" customWidth="1"/>
    <col min="1281" max="1282" width="19.28515625" bestFit="1" customWidth="1"/>
    <col min="1283" max="1284" width="31" bestFit="1" customWidth="1"/>
    <col min="1285" max="1286" width="16.28515625" bestFit="1" customWidth="1"/>
    <col min="1287" max="1288" width="14.28515625" bestFit="1" customWidth="1"/>
    <col min="1289" max="1291" width="28" bestFit="1" customWidth="1"/>
    <col min="1292" max="1292" width="30.42578125" bestFit="1" customWidth="1"/>
    <col min="1293" max="1294" width="34.7109375" bestFit="1" customWidth="1"/>
    <col min="1295" max="1296" width="25" bestFit="1" customWidth="1"/>
    <col min="1297" max="1298" width="31" bestFit="1" customWidth="1"/>
    <col min="1299" max="1300" width="23.85546875" bestFit="1" customWidth="1"/>
    <col min="1301" max="1302" width="25.28515625" bestFit="1" customWidth="1"/>
    <col min="1303" max="1304" width="32.42578125" bestFit="1" customWidth="1"/>
    <col min="1305" max="1305" width="41.42578125" bestFit="1" customWidth="1"/>
    <col min="1306" max="1306" width="25.85546875" bestFit="1" customWidth="1"/>
    <col min="1307" max="1307" width="31" bestFit="1" customWidth="1"/>
    <col min="1308" max="1308" width="25.7109375" bestFit="1" customWidth="1"/>
    <col min="1309" max="1309" width="23.7109375" bestFit="1" customWidth="1"/>
    <col min="1310" max="1310" width="21.28515625" bestFit="1" customWidth="1"/>
    <col min="1311" max="1311" width="16.7109375" bestFit="1" customWidth="1"/>
    <col min="1312" max="1312" width="29.28515625" bestFit="1" customWidth="1"/>
    <col min="1313" max="1314" width="14.7109375" bestFit="1" customWidth="1"/>
    <col min="1315" max="1316" width="15.28515625" bestFit="1" customWidth="1"/>
    <col min="1317" max="1318" width="17.140625" bestFit="1" customWidth="1"/>
    <col min="1319" max="1320" width="19.7109375" bestFit="1" customWidth="1"/>
    <col min="1321" max="1322" width="31.28515625" bestFit="1" customWidth="1"/>
    <col min="1323" max="1324" width="16.7109375" bestFit="1" customWidth="1"/>
    <col min="1325" max="1326" width="14.85546875" bestFit="1" customWidth="1"/>
    <col min="1327" max="1329" width="28.42578125" bestFit="1" customWidth="1"/>
    <col min="1330" max="1330" width="31" bestFit="1" customWidth="1"/>
    <col min="1331" max="1332" width="35" bestFit="1" customWidth="1"/>
    <col min="1333" max="1334" width="25.42578125" bestFit="1" customWidth="1"/>
    <col min="1335" max="1336" width="31.42578125" bestFit="1" customWidth="1"/>
    <col min="1337" max="1338" width="24.28515625" bestFit="1" customWidth="1"/>
    <col min="1339" max="1340" width="25.7109375" bestFit="1" customWidth="1"/>
    <col min="1341" max="1342" width="32.85546875" bestFit="1" customWidth="1"/>
    <col min="1343" max="1343" width="41.42578125" bestFit="1" customWidth="1"/>
    <col min="1344" max="1344" width="26.42578125" bestFit="1" customWidth="1"/>
    <col min="1345" max="1345" width="31.28515625" bestFit="1" customWidth="1"/>
    <col min="1346" max="1346" width="26.28515625" bestFit="1" customWidth="1"/>
    <col min="1347" max="1347" width="24.140625" bestFit="1" customWidth="1"/>
    <col min="1348" max="1348" width="21.7109375" bestFit="1" customWidth="1"/>
    <col min="1349" max="1349" width="17" bestFit="1" customWidth="1"/>
    <col min="1350" max="1350" width="11.85546875" bestFit="1" customWidth="1"/>
    <col min="1351" max="1351" width="22.28515625" bestFit="1" customWidth="1"/>
    <col min="1352" max="1352" width="16.42578125" bestFit="1" customWidth="1"/>
    <col min="1353" max="1353" width="30.42578125" bestFit="1" customWidth="1"/>
    <col min="1354" max="1354" width="32.140625" bestFit="1" customWidth="1"/>
    <col min="1355" max="1355" width="27.42578125" bestFit="1" customWidth="1"/>
    <col min="1356" max="1356" width="31.7109375" bestFit="1" customWidth="1"/>
    <col min="1357" max="1357" width="22.28515625" bestFit="1" customWidth="1"/>
    <col min="1358" max="1358" width="16.42578125" bestFit="1" customWidth="1"/>
    <col min="1359" max="1359" width="30.85546875" bestFit="1" customWidth="1"/>
    <col min="1360" max="1360" width="32.42578125" bestFit="1" customWidth="1"/>
    <col min="1361" max="1361" width="27.85546875" bestFit="1" customWidth="1"/>
    <col min="1362" max="1362" width="32" bestFit="1" customWidth="1"/>
    <col min="1363" max="1363" width="22.7109375" bestFit="1" customWidth="1"/>
    <col min="1364" max="1364" width="17" bestFit="1" customWidth="1"/>
    <col min="1365" max="1365" width="10.42578125" bestFit="1" customWidth="1"/>
    <col min="1366" max="1366" width="59.42578125" bestFit="1" customWidth="1"/>
    <col min="1367" max="1367" width="47.85546875" bestFit="1" customWidth="1"/>
    <col min="1368" max="1368" width="70" bestFit="1" customWidth="1"/>
    <col min="1369" max="1369" width="70.7109375" bestFit="1" customWidth="1"/>
    <col min="1370" max="1370" width="27.28515625" bestFit="1" customWidth="1"/>
    <col min="1371" max="1371" width="17.7109375" bestFit="1" customWidth="1"/>
    <col min="1372" max="1372" width="25.85546875" bestFit="1" customWidth="1"/>
    <col min="1373" max="1373" width="16.140625" bestFit="1" customWidth="1"/>
    <col min="1374" max="1374" width="17.85546875" bestFit="1" customWidth="1"/>
    <col min="1375" max="1375" width="25" bestFit="1" customWidth="1"/>
    <col min="1376" max="1376" width="31.42578125" bestFit="1" customWidth="1"/>
    <col min="1377" max="1377" width="80.42578125" bestFit="1" customWidth="1"/>
    <col min="1378" max="1378" width="59.28515625" bestFit="1" customWidth="1"/>
    <col min="1379" max="1379" width="47.7109375" bestFit="1" customWidth="1"/>
    <col min="1380" max="1380" width="69.85546875" bestFit="1" customWidth="1"/>
    <col min="1381" max="1381" width="70.42578125" bestFit="1" customWidth="1"/>
    <col min="1382" max="1382" width="27.140625" bestFit="1" customWidth="1"/>
    <col min="1383" max="1383" width="17.42578125" bestFit="1" customWidth="1"/>
    <col min="1384" max="1384" width="25.7109375" bestFit="1" customWidth="1"/>
    <col min="1385" max="1385" width="16" bestFit="1" customWidth="1"/>
    <col min="1386" max="1386" width="18.28515625" bestFit="1" customWidth="1"/>
    <col min="1387" max="1387" width="25.42578125" bestFit="1" customWidth="1"/>
    <col min="1388" max="1388" width="32" bestFit="1" customWidth="1"/>
    <col min="1389" max="1389" width="80.42578125" bestFit="1" customWidth="1"/>
    <col min="1390" max="1390" width="59.85546875" bestFit="1" customWidth="1"/>
    <col min="1391" max="1391" width="48.140625" bestFit="1" customWidth="1"/>
    <col min="1392" max="1392" width="70.28515625" bestFit="1" customWidth="1"/>
    <col min="1393" max="1393" width="71" bestFit="1" customWidth="1"/>
    <col min="1394" max="1394" width="27.7109375" bestFit="1" customWidth="1"/>
    <col min="1395" max="1395" width="18" bestFit="1" customWidth="1"/>
    <col min="1396" max="1396" width="26.140625" bestFit="1" customWidth="1"/>
    <col min="1397" max="1397" width="16.42578125" bestFit="1" customWidth="1"/>
    <col min="1398" max="1398" width="11.85546875" bestFit="1" customWidth="1"/>
    <col min="1399" max="1401" width="14.28515625" bestFit="1" customWidth="1"/>
    <col min="1402" max="1404" width="13.85546875" bestFit="1" customWidth="1"/>
    <col min="1405" max="1407" width="16.28515625" bestFit="1" customWidth="1"/>
    <col min="1408" max="1410" width="20" bestFit="1" customWidth="1"/>
    <col min="1411" max="1413" width="18.42578125" bestFit="1" customWidth="1"/>
    <col min="1414" max="1416" width="28.85546875" bestFit="1" customWidth="1"/>
    <col min="1417" max="1420" width="33.42578125" bestFit="1" customWidth="1"/>
    <col min="1421" max="1423" width="31" bestFit="1" customWidth="1"/>
    <col min="1424" max="1424" width="39.7109375" bestFit="1" customWidth="1"/>
    <col min="1425" max="1425" width="31" bestFit="1" customWidth="1"/>
    <col min="1426" max="1426" width="24.42578125" bestFit="1" customWidth="1"/>
    <col min="1427" max="1427" width="32.42578125" bestFit="1" customWidth="1"/>
    <col min="1428" max="1428" width="32.85546875" bestFit="1" customWidth="1"/>
    <col min="1429" max="1429" width="32" bestFit="1" customWidth="1"/>
    <col min="1430" max="1430" width="38.7109375" bestFit="1" customWidth="1"/>
    <col min="1431" max="1431" width="20.42578125" bestFit="1" customWidth="1"/>
    <col min="1432" max="1432" width="21.42578125" bestFit="1" customWidth="1"/>
    <col min="1433" max="1433" width="18.85546875" bestFit="1" customWidth="1"/>
    <col min="1434" max="1434" width="20.42578125" bestFit="1" customWidth="1"/>
    <col min="1435" max="1435" width="19.42578125" bestFit="1" customWidth="1"/>
    <col min="1436" max="1436" width="17.85546875" bestFit="1" customWidth="1"/>
    <col min="1437" max="1437" width="24.42578125" bestFit="1" customWidth="1"/>
    <col min="1438" max="1438" width="21.42578125" bestFit="1" customWidth="1"/>
    <col min="1439" max="1439" width="18.42578125" bestFit="1" customWidth="1"/>
    <col min="1440" max="1440" width="38.140625" bestFit="1" customWidth="1"/>
    <col min="1441" max="1441" width="36.42578125" bestFit="1" customWidth="1"/>
    <col min="1442" max="1442" width="35.42578125" bestFit="1" customWidth="1"/>
    <col min="1443" max="1443" width="27" bestFit="1" customWidth="1"/>
    <col min="1444" max="1444" width="42.42578125" bestFit="1" customWidth="1"/>
    <col min="1445" max="1445" width="16.140625" bestFit="1" customWidth="1"/>
    <col min="1446" max="1446" width="32.140625" bestFit="1" customWidth="1"/>
    <col min="1447" max="1449" width="13.42578125" bestFit="1" customWidth="1"/>
    <col min="1450" max="1452" width="14.140625" bestFit="1" customWidth="1"/>
    <col min="1453" max="1455" width="13.7109375" bestFit="1" customWidth="1"/>
    <col min="1456" max="1458" width="16.140625" bestFit="1" customWidth="1"/>
    <col min="1459" max="1461" width="19.85546875" bestFit="1" customWidth="1"/>
    <col min="1462" max="1464" width="18.42578125" bestFit="1" customWidth="1"/>
    <col min="1465" max="1467" width="28.7109375" bestFit="1" customWidth="1"/>
    <col min="1468" max="1471" width="33.28515625" bestFit="1" customWidth="1"/>
    <col min="1472" max="1474" width="30.85546875" bestFit="1" customWidth="1"/>
    <col min="1475" max="1475" width="39.42578125" bestFit="1" customWidth="1"/>
    <col min="1476" max="1476" width="31" bestFit="1" customWidth="1"/>
    <col min="1477" max="1477" width="24.28515625" bestFit="1" customWidth="1"/>
    <col min="1478" max="1478" width="32.28515625" bestFit="1" customWidth="1"/>
    <col min="1479" max="1479" width="32.7109375" bestFit="1" customWidth="1"/>
    <col min="1480" max="1480" width="32" bestFit="1" customWidth="1"/>
    <col min="1481" max="1481" width="38.42578125" bestFit="1" customWidth="1"/>
    <col min="1482" max="1482" width="20.28515625" bestFit="1" customWidth="1"/>
    <col min="1483" max="1483" width="21.42578125" bestFit="1" customWidth="1"/>
    <col min="1484" max="1484" width="18.7109375" bestFit="1" customWidth="1"/>
    <col min="1485" max="1485" width="20.42578125" bestFit="1" customWidth="1"/>
    <col min="1486" max="1486" width="19.28515625" bestFit="1" customWidth="1"/>
    <col min="1487" max="1487" width="17.7109375" bestFit="1" customWidth="1"/>
    <col min="1488" max="1488" width="24.42578125" bestFit="1" customWidth="1"/>
    <col min="1489" max="1489" width="21.42578125" bestFit="1" customWidth="1"/>
    <col min="1490" max="1490" width="18.42578125" bestFit="1" customWidth="1"/>
    <col min="1491" max="1491" width="38" bestFit="1" customWidth="1"/>
    <col min="1492" max="1492" width="36.42578125" bestFit="1" customWidth="1"/>
    <col min="1493" max="1493" width="35.42578125" bestFit="1" customWidth="1"/>
    <col min="1494" max="1494" width="26.85546875" bestFit="1" customWidth="1"/>
    <col min="1495" max="1495" width="42.28515625" bestFit="1" customWidth="1"/>
    <col min="1496" max="1496" width="16" bestFit="1" customWidth="1"/>
    <col min="1497" max="1497" width="32.42578125" bestFit="1" customWidth="1"/>
    <col min="1498" max="1500" width="14" bestFit="1" customWidth="1"/>
    <col min="1501" max="1503" width="14.42578125" bestFit="1" customWidth="1"/>
    <col min="1504" max="1506" width="14.140625" bestFit="1" customWidth="1"/>
    <col min="1507" max="1509" width="16.42578125" bestFit="1" customWidth="1"/>
    <col min="1510" max="1512" width="20.28515625" bestFit="1" customWidth="1"/>
    <col min="1513" max="1515" width="18.85546875" bestFit="1" customWidth="1"/>
    <col min="1516" max="1518" width="29.140625" bestFit="1" customWidth="1"/>
    <col min="1519" max="1522" width="33.85546875" bestFit="1" customWidth="1"/>
    <col min="1523" max="1525" width="31.42578125" bestFit="1" customWidth="1"/>
    <col min="1526" max="1526" width="40" bestFit="1" customWidth="1"/>
    <col min="1527" max="1527" width="31.42578125" bestFit="1" customWidth="1"/>
    <col min="1528" max="1528" width="24.7109375" bestFit="1" customWidth="1"/>
    <col min="1529" max="1529" width="32.85546875" bestFit="1" customWidth="1"/>
    <col min="1530" max="1530" width="33.140625" bestFit="1" customWidth="1"/>
    <col min="1531" max="1531" width="32.42578125" bestFit="1" customWidth="1"/>
    <col min="1532" max="1532" width="39" bestFit="1" customWidth="1"/>
    <col min="1533" max="1533" width="20.7109375" bestFit="1" customWidth="1"/>
    <col min="1534" max="1534" width="21.85546875" bestFit="1" customWidth="1"/>
    <col min="1535" max="1535" width="19.140625" bestFit="1" customWidth="1"/>
    <col min="1536" max="1536" width="21" bestFit="1" customWidth="1"/>
    <col min="1537" max="1537" width="19.85546875" bestFit="1" customWidth="1"/>
    <col min="1538" max="1538" width="18.140625" bestFit="1" customWidth="1"/>
    <col min="1539" max="1539" width="24.85546875" bestFit="1" customWidth="1"/>
    <col min="1540" max="1540" width="22" bestFit="1" customWidth="1"/>
    <col min="1541" max="1541" width="18.85546875" bestFit="1" customWidth="1"/>
    <col min="1542" max="1542" width="38.42578125" bestFit="1" customWidth="1"/>
    <col min="1543" max="1543" width="36.85546875" bestFit="1" customWidth="1"/>
    <col min="1544" max="1544" width="35.85546875" bestFit="1" customWidth="1"/>
    <col min="1545" max="1545" width="27.28515625" bestFit="1" customWidth="1"/>
    <col min="1546" max="1546" width="42.7109375" bestFit="1" customWidth="1"/>
    <col min="1547" max="1547" width="16.42578125" bestFit="1" customWidth="1"/>
    <col min="1548" max="1548" width="11.7109375" bestFit="1" customWidth="1"/>
    <col min="1549" max="1549" width="25.28515625" bestFit="1" customWidth="1"/>
    <col min="1550" max="1550" width="22.85546875" bestFit="1" customWidth="1"/>
    <col min="1551" max="1551" width="28.42578125" bestFit="1" customWidth="1"/>
    <col min="1552" max="1552" width="23" bestFit="1" customWidth="1"/>
    <col min="1553" max="1553" width="25.42578125" bestFit="1" customWidth="1"/>
    <col min="1554" max="1554" width="29" bestFit="1" customWidth="1"/>
    <col min="1555" max="1555" width="21.42578125" bestFit="1" customWidth="1"/>
    <col min="1556" max="1556" width="20.42578125" bestFit="1" customWidth="1"/>
    <col min="1557" max="1557" width="35.42578125" bestFit="1" customWidth="1"/>
    <col min="1558" max="1558" width="31.42578125" bestFit="1" customWidth="1"/>
    <col min="1559" max="1559" width="31" bestFit="1" customWidth="1"/>
    <col min="1560" max="1560" width="26.7109375" bestFit="1" customWidth="1"/>
    <col min="1561" max="1561" width="34.7109375" bestFit="1" customWidth="1"/>
    <col min="1562" max="1562" width="36.42578125" bestFit="1" customWidth="1"/>
    <col min="1563" max="1563" width="36.85546875" bestFit="1" customWidth="1"/>
    <col min="1564" max="1564" width="34.42578125" bestFit="1" customWidth="1"/>
    <col min="1565" max="1565" width="36.42578125" bestFit="1" customWidth="1"/>
    <col min="1566" max="1566" width="36.85546875" bestFit="1" customWidth="1"/>
    <col min="1567" max="1567" width="35" bestFit="1" customWidth="1"/>
    <col min="1568" max="1568" width="33.42578125" bestFit="1" customWidth="1"/>
    <col min="1569" max="1569" width="36.85546875" bestFit="1" customWidth="1"/>
    <col min="1570" max="1570" width="37" bestFit="1" customWidth="1"/>
    <col min="1571" max="1571" width="58.42578125" bestFit="1" customWidth="1"/>
    <col min="1572" max="1572" width="28.7109375" bestFit="1" customWidth="1"/>
    <col min="1573" max="1573" width="16.140625" bestFit="1" customWidth="1"/>
    <col min="1574" max="1574" width="28.7109375" bestFit="1" customWidth="1"/>
    <col min="1575" max="1575" width="35.140625" bestFit="1" customWidth="1"/>
    <col min="1576" max="1576" width="36.28515625" bestFit="1" customWidth="1"/>
    <col min="1577" max="1577" width="23.28515625" bestFit="1" customWidth="1"/>
    <col min="1578" max="1578" width="25.140625" bestFit="1" customWidth="1"/>
    <col min="1579" max="1579" width="22.7109375" bestFit="1" customWidth="1"/>
    <col min="1580" max="1580" width="28.28515625" bestFit="1" customWidth="1"/>
    <col min="1581" max="1581" width="22.85546875" bestFit="1" customWidth="1"/>
    <col min="1582" max="1582" width="25.42578125" bestFit="1" customWidth="1"/>
    <col min="1583" max="1583" width="28.85546875" bestFit="1" customWidth="1"/>
    <col min="1584" max="1584" width="21.42578125" bestFit="1" customWidth="1"/>
    <col min="1585" max="1585" width="20.28515625" bestFit="1" customWidth="1"/>
    <col min="1586" max="1586" width="35.140625" bestFit="1" customWidth="1"/>
    <col min="1587" max="1587" width="31.42578125" bestFit="1" customWidth="1"/>
    <col min="1588" max="1588" width="30.85546875" bestFit="1" customWidth="1"/>
    <col min="1589" max="1589" width="26.42578125" bestFit="1" customWidth="1"/>
    <col min="1590" max="1590" width="34.42578125" bestFit="1" customWidth="1"/>
    <col min="1591" max="1591" width="36.28515625" bestFit="1" customWidth="1"/>
    <col min="1592" max="1592" width="36.7109375" bestFit="1" customWidth="1"/>
    <col min="1593" max="1593" width="34.42578125" bestFit="1" customWidth="1"/>
    <col min="1594" max="1594" width="36.28515625" bestFit="1" customWidth="1"/>
    <col min="1595" max="1595" width="36.7109375" bestFit="1" customWidth="1"/>
    <col min="1596" max="1596" width="35" bestFit="1" customWidth="1"/>
    <col min="1597" max="1597" width="33.28515625" bestFit="1" customWidth="1"/>
    <col min="1598" max="1598" width="36.7109375" bestFit="1" customWidth="1"/>
    <col min="1599" max="1599" width="36.85546875" bestFit="1" customWidth="1"/>
    <col min="1600" max="1600" width="58.28515625" bestFit="1" customWidth="1"/>
    <col min="1601" max="1601" width="28.42578125" bestFit="1" customWidth="1"/>
    <col min="1602" max="1602" width="16" bestFit="1" customWidth="1"/>
    <col min="1603" max="1603" width="29.140625" bestFit="1" customWidth="1"/>
    <col min="1604" max="1604" width="35.7109375" bestFit="1" customWidth="1"/>
    <col min="1605" max="1605" width="36.85546875" bestFit="1" customWidth="1"/>
    <col min="1606" max="1606" width="23.85546875" bestFit="1" customWidth="1"/>
    <col min="1607" max="1607" width="25.7109375" bestFit="1" customWidth="1"/>
    <col min="1608" max="1608" width="23.140625" bestFit="1" customWidth="1"/>
    <col min="1609" max="1609" width="28.85546875" bestFit="1" customWidth="1"/>
    <col min="1610" max="1610" width="23.42578125" bestFit="1" customWidth="1"/>
    <col min="1611" max="1611" width="26" bestFit="1" customWidth="1"/>
    <col min="1612" max="1612" width="29.28515625" bestFit="1" customWidth="1"/>
    <col min="1613" max="1613" width="22" bestFit="1" customWidth="1"/>
    <col min="1614" max="1614" width="20.85546875" bestFit="1" customWidth="1"/>
    <col min="1615" max="1615" width="35.7109375" bestFit="1" customWidth="1"/>
    <col min="1616" max="1616" width="31.85546875" bestFit="1" customWidth="1"/>
    <col min="1617" max="1617" width="31.28515625" bestFit="1" customWidth="1"/>
    <col min="1618" max="1618" width="27" bestFit="1" customWidth="1"/>
    <col min="1619" max="1619" width="35" bestFit="1" customWidth="1"/>
    <col min="1620" max="1620" width="36.85546875" bestFit="1" customWidth="1"/>
    <col min="1621" max="1621" width="37.140625" bestFit="1" customWidth="1"/>
    <col min="1622" max="1622" width="34.85546875" bestFit="1" customWidth="1"/>
    <col min="1623" max="1623" width="36.7109375" bestFit="1" customWidth="1"/>
    <col min="1624" max="1624" width="37.140625" bestFit="1" customWidth="1"/>
    <col min="1625" max="1625" width="35.42578125" bestFit="1" customWidth="1"/>
    <col min="1626" max="1626" width="33.85546875" bestFit="1" customWidth="1"/>
    <col min="1627" max="1627" width="37.140625" bestFit="1" customWidth="1"/>
    <col min="1628" max="1628" width="37.28515625" bestFit="1" customWidth="1"/>
    <col min="1629" max="1629" width="58.85546875" bestFit="1" customWidth="1"/>
    <col min="1630" max="1630" width="29" bestFit="1" customWidth="1"/>
    <col min="1631" max="1631" width="16.42578125" bestFit="1" customWidth="1"/>
    <col min="1632" max="1632" width="11.7109375" bestFit="1" customWidth="1"/>
    <col min="1633" max="1633" width="26.42578125" bestFit="1" customWidth="1"/>
    <col min="1634" max="1634" width="31.7109375" bestFit="1" customWidth="1"/>
    <col min="1635" max="1635" width="22.7109375" bestFit="1" customWidth="1"/>
    <col min="1636" max="1636" width="18.7109375" bestFit="1" customWidth="1"/>
    <col min="1637" max="1637" width="18.28515625" bestFit="1" customWidth="1"/>
    <col min="1638" max="1638" width="16.42578125" bestFit="1" customWidth="1"/>
    <col min="1639" max="1639" width="33.42578125" bestFit="1" customWidth="1"/>
    <col min="1640" max="1640" width="23.140625" bestFit="1" customWidth="1"/>
    <col min="1641" max="1641" width="22.85546875" bestFit="1" customWidth="1"/>
    <col min="1642" max="1643" width="26.42578125" bestFit="1" customWidth="1"/>
    <col min="1644" max="1644" width="31.7109375" bestFit="1" customWidth="1"/>
    <col min="1645" max="1645" width="22.7109375" bestFit="1" customWidth="1"/>
    <col min="1646" max="1646" width="18.7109375" bestFit="1" customWidth="1"/>
    <col min="1647" max="1647" width="18.28515625" bestFit="1" customWidth="1"/>
    <col min="1648" max="1648" width="16.42578125" bestFit="1" customWidth="1"/>
    <col min="1649" max="1649" width="34" bestFit="1" customWidth="1"/>
    <col min="1650" max="1650" width="23.42578125" bestFit="1" customWidth="1"/>
    <col min="1651" max="1651" width="23.28515625" bestFit="1" customWidth="1"/>
    <col min="1652" max="1653" width="26.85546875" bestFit="1" customWidth="1"/>
    <col min="1654" max="1654" width="32" bestFit="1" customWidth="1"/>
    <col min="1655" max="1655" width="23.140625" bestFit="1" customWidth="1"/>
    <col min="1656" max="1656" width="19.140625" bestFit="1" customWidth="1"/>
    <col min="1657" max="1657" width="18.7109375" bestFit="1" customWidth="1"/>
    <col min="1658" max="1658" width="17" bestFit="1" customWidth="1"/>
    <col min="1659" max="1659" width="11.7109375" bestFit="1" customWidth="1"/>
    <col min="1660" max="1660" width="30.85546875" bestFit="1" customWidth="1"/>
    <col min="1661" max="1661" width="29.42578125" bestFit="1" customWidth="1"/>
    <col min="1662" max="1662" width="33.4257812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7109375" bestFit="1" customWidth="1"/>
    <col min="1667" max="1667" width="30.42578125" bestFit="1" customWidth="1"/>
    <col min="1668" max="1668" width="28.28515625" bestFit="1" customWidth="1"/>
    <col min="1669" max="1669" width="21.42578125" bestFit="1" customWidth="1"/>
    <col min="1670" max="1670" width="26.85546875" bestFit="1" customWidth="1"/>
    <col min="1671" max="1671" width="23.85546875" bestFit="1" customWidth="1"/>
    <col min="1672" max="1672" width="30.85546875" bestFit="1" customWidth="1"/>
    <col min="1673" max="1673" width="36.85546875" bestFit="1" customWidth="1"/>
    <col min="1674" max="1674" width="28.28515625" bestFit="1" customWidth="1"/>
    <col min="1675" max="1675" width="25.28515625" bestFit="1" customWidth="1"/>
    <col min="1676" max="1676" width="24.42578125" bestFit="1" customWidth="1"/>
    <col min="1677" max="1677" width="34.42578125" bestFit="1" customWidth="1"/>
    <col min="1678" max="1678" width="26.42578125" bestFit="1" customWidth="1"/>
    <col min="1679" max="1679" width="26.7109375" bestFit="1" customWidth="1"/>
    <col min="1680" max="1680" width="23.42578125" bestFit="1" customWidth="1"/>
    <col min="1681" max="1681" width="26.85546875" bestFit="1" customWidth="1"/>
    <col min="1682" max="1683" width="30" bestFit="1" customWidth="1"/>
    <col min="1684" max="1685" width="24.28515625" bestFit="1" customWidth="1"/>
    <col min="1686" max="1686" width="32.85546875" bestFit="1" customWidth="1"/>
    <col min="1687" max="1687" width="26.42578125" bestFit="1" customWidth="1"/>
    <col min="1688" max="1692" width="28.140625" bestFit="1" customWidth="1"/>
    <col min="1693" max="1695" width="24.28515625" bestFit="1" customWidth="1"/>
    <col min="1696" max="1696" width="28.7109375" bestFit="1" customWidth="1"/>
    <col min="1697" max="1697" width="30.42578125" bestFit="1" customWidth="1"/>
    <col min="1698" max="1698" width="26.7109375" bestFit="1" customWidth="1"/>
    <col min="1699" max="1699" width="36.28515625" bestFit="1" customWidth="1"/>
    <col min="1700" max="1700" width="24.28515625" bestFit="1" customWidth="1"/>
    <col min="1701" max="1701" width="30" bestFit="1" customWidth="1"/>
    <col min="1702" max="1702" width="56" bestFit="1" customWidth="1"/>
    <col min="1703" max="1703" width="30.85546875" bestFit="1" customWidth="1"/>
    <col min="1704" max="1704" width="18.85546875" bestFit="1" customWidth="1"/>
    <col min="1705" max="1705" width="22.42578125" bestFit="1" customWidth="1"/>
    <col min="1706" max="1706" width="24.7109375" bestFit="1" customWidth="1"/>
    <col min="1707" max="1707" width="33" bestFit="1" customWidth="1"/>
    <col min="1708" max="1708" width="37" bestFit="1" customWidth="1"/>
    <col min="1709" max="1709" width="19.42578125" bestFit="1" customWidth="1"/>
    <col min="1710" max="1710" width="22.7109375" bestFit="1" customWidth="1"/>
    <col min="1711" max="1711" width="29.140625" bestFit="1" customWidth="1"/>
    <col min="1712" max="1712" width="28" bestFit="1" customWidth="1"/>
    <col min="1713" max="1713" width="38.7109375" bestFit="1" customWidth="1"/>
    <col min="1714" max="1714" width="24" bestFit="1" customWidth="1"/>
    <col min="1715" max="1715" width="23" bestFit="1" customWidth="1"/>
    <col min="1716" max="1716" width="25.28515625" bestFit="1" customWidth="1"/>
    <col min="1717" max="1717" width="28.85546875" bestFit="1" customWidth="1"/>
    <col min="1718" max="1718" width="26.85546875" bestFit="1" customWidth="1"/>
    <col min="1719" max="1719" width="30.42578125" bestFit="1" customWidth="1"/>
    <col min="1720" max="1720" width="34.42578125" bestFit="1" customWidth="1"/>
    <col min="1721" max="1721" width="21" bestFit="1" customWidth="1"/>
    <col min="1722" max="1722" width="24.7109375" bestFit="1" customWidth="1"/>
    <col min="1723" max="1723" width="32.28515625" bestFit="1" customWidth="1"/>
    <col min="1724" max="1724" width="37.85546875" bestFit="1" customWidth="1"/>
    <col min="1725" max="1725" width="25.42578125" bestFit="1" customWidth="1"/>
    <col min="1726" max="1726" width="22.42578125" bestFit="1" customWidth="1"/>
    <col min="1727" max="1727" width="28.42578125" bestFit="1" customWidth="1"/>
    <col min="1728" max="1728" width="16.42578125" bestFit="1" customWidth="1"/>
    <col min="1729" max="1729" width="13.42578125" bestFit="1" customWidth="1"/>
    <col min="1730" max="1730" width="27.42578125" bestFit="1" customWidth="1"/>
    <col min="1731" max="1731" width="28" bestFit="1" customWidth="1"/>
    <col min="1732" max="1732" width="40.42578125" bestFit="1" customWidth="1"/>
    <col min="1733" max="1733" width="30.85546875" bestFit="1" customWidth="1"/>
    <col min="1734" max="1734" width="29.42578125" bestFit="1" customWidth="1"/>
    <col min="1735" max="1735" width="33.4257812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7109375" bestFit="1" customWidth="1"/>
    <col min="1740" max="1740" width="30.42578125" bestFit="1" customWidth="1"/>
    <col min="1741" max="1741" width="28.28515625" bestFit="1" customWidth="1"/>
    <col min="1742" max="1742" width="21.42578125" bestFit="1" customWidth="1"/>
    <col min="1743" max="1743" width="26.85546875" bestFit="1" customWidth="1"/>
    <col min="1744" max="1744" width="23.85546875" bestFit="1" customWidth="1"/>
    <col min="1745" max="1745" width="30.85546875" bestFit="1" customWidth="1"/>
    <col min="1746" max="1746" width="36.85546875" bestFit="1" customWidth="1"/>
    <col min="1747" max="1747" width="28.28515625" bestFit="1" customWidth="1"/>
    <col min="1748" max="1748" width="25.28515625" bestFit="1" customWidth="1"/>
    <col min="1749" max="1749" width="24.42578125" bestFit="1" customWidth="1"/>
    <col min="1750" max="1750" width="34.42578125" bestFit="1" customWidth="1"/>
    <col min="1751" max="1751" width="26.42578125" bestFit="1" customWidth="1"/>
    <col min="1752" max="1752" width="26.7109375" bestFit="1" customWidth="1"/>
    <col min="1753" max="1753" width="23.42578125" bestFit="1" customWidth="1"/>
    <col min="1754" max="1754" width="26.85546875" bestFit="1" customWidth="1"/>
    <col min="1755" max="1756" width="30" bestFit="1" customWidth="1"/>
    <col min="1757" max="1758" width="24.28515625" bestFit="1" customWidth="1"/>
    <col min="1759" max="1759" width="32.85546875" bestFit="1" customWidth="1"/>
    <col min="1760" max="1760" width="26.42578125" bestFit="1" customWidth="1"/>
    <col min="1761" max="1765" width="28.140625" bestFit="1" customWidth="1"/>
    <col min="1766" max="1768" width="24.28515625" bestFit="1" customWidth="1"/>
    <col min="1769" max="1769" width="28.7109375" bestFit="1" customWidth="1"/>
    <col min="1770" max="1770" width="30.42578125" bestFit="1" customWidth="1"/>
    <col min="1771" max="1771" width="26.7109375" bestFit="1" customWidth="1"/>
    <col min="1772" max="1772" width="36.28515625" bestFit="1" customWidth="1"/>
    <col min="1773" max="1773" width="24.28515625" bestFit="1" customWidth="1"/>
    <col min="1774" max="1774" width="30" bestFit="1" customWidth="1"/>
    <col min="1775" max="1775" width="56" bestFit="1" customWidth="1"/>
    <col min="1776" max="1776" width="30.85546875" bestFit="1" customWidth="1"/>
    <col min="1777" max="1777" width="18.85546875" bestFit="1" customWidth="1"/>
    <col min="1778" max="1778" width="22.42578125" bestFit="1" customWidth="1"/>
    <col min="1779" max="1779" width="24.7109375" bestFit="1" customWidth="1"/>
    <col min="1780" max="1780" width="33" bestFit="1" customWidth="1"/>
    <col min="1781" max="1781" width="37" bestFit="1" customWidth="1"/>
    <col min="1782" max="1782" width="19.42578125" bestFit="1" customWidth="1"/>
    <col min="1783" max="1783" width="22.7109375" bestFit="1" customWidth="1"/>
    <col min="1784" max="1784" width="29.140625" bestFit="1" customWidth="1"/>
    <col min="1785" max="1785" width="28" bestFit="1" customWidth="1"/>
    <col min="1786" max="1786" width="38.7109375" bestFit="1" customWidth="1"/>
    <col min="1787" max="1787" width="24" bestFit="1" customWidth="1"/>
    <col min="1788" max="1788" width="23" bestFit="1" customWidth="1"/>
    <col min="1789" max="1789" width="25.28515625" bestFit="1" customWidth="1"/>
    <col min="1790" max="1790" width="28.85546875" bestFit="1" customWidth="1"/>
    <col min="1791" max="1791" width="26.85546875" bestFit="1" customWidth="1"/>
    <col min="1792" max="1792" width="30.42578125" bestFit="1" customWidth="1"/>
    <col min="1793" max="1793" width="34.42578125" bestFit="1" customWidth="1"/>
    <col min="1794" max="1794" width="21" bestFit="1" customWidth="1"/>
    <col min="1795" max="1795" width="24.7109375" bestFit="1" customWidth="1"/>
    <col min="1796" max="1796" width="32.28515625" bestFit="1" customWidth="1"/>
    <col min="1797" max="1797" width="37.85546875" bestFit="1" customWidth="1"/>
    <col min="1798" max="1798" width="25.42578125" bestFit="1" customWidth="1"/>
    <col min="1799" max="1799" width="22.42578125" bestFit="1" customWidth="1"/>
    <col min="1800" max="1800" width="28.42578125" bestFit="1" customWidth="1"/>
    <col min="1801" max="1801" width="16.42578125" bestFit="1" customWidth="1"/>
    <col min="1802" max="1802" width="14" bestFit="1" customWidth="1"/>
    <col min="1803" max="1803" width="28" bestFit="1" customWidth="1"/>
    <col min="1804" max="1804" width="28.28515625" bestFit="1" customWidth="1"/>
    <col min="1805" max="1805" width="41" bestFit="1" customWidth="1"/>
    <col min="1806" max="1806" width="31.28515625" bestFit="1" customWidth="1"/>
    <col min="1807" max="1807" width="30" bestFit="1" customWidth="1"/>
    <col min="1808" max="1808" width="34" bestFit="1" customWidth="1"/>
    <col min="1809" max="1809" width="31.42578125" bestFit="1" customWidth="1"/>
    <col min="1810" max="1810" width="33.42578125" bestFit="1" customWidth="1"/>
    <col min="1811" max="1811" width="32.28515625" bestFit="1" customWidth="1"/>
    <col min="1812" max="1812" width="26.140625" bestFit="1" customWidth="1"/>
    <col min="1813" max="1813" width="31" bestFit="1" customWidth="1"/>
    <col min="1814" max="1814" width="28.7109375" bestFit="1" customWidth="1"/>
    <col min="1815" max="1815" width="21.85546875" bestFit="1" customWidth="1"/>
    <col min="1816" max="1816" width="27.28515625" bestFit="1" customWidth="1"/>
    <col min="1817" max="1817" width="24.140625" bestFit="1" customWidth="1"/>
    <col min="1818" max="1818" width="31.28515625" bestFit="1" customWidth="1"/>
    <col min="1819" max="1819" width="37.28515625" bestFit="1" customWidth="1"/>
    <col min="1820" max="1820" width="28.7109375" bestFit="1" customWidth="1"/>
    <col min="1821" max="1821" width="25.7109375" bestFit="1" customWidth="1"/>
    <col min="1822" max="1822" width="24.85546875" bestFit="1" customWidth="1"/>
    <col min="1823" max="1823" width="34.85546875" bestFit="1" customWidth="1"/>
    <col min="1824" max="1824" width="26.85546875" bestFit="1" customWidth="1"/>
    <col min="1825" max="1825" width="27.140625" bestFit="1" customWidth="1"/>
    <col min="1826" max="1826" width="23.85546875" bestFit="1" customWidth="1"/>
    <col min="1827" max="1827" width="27.28515625" bestFit="1" customWidth="1"/>
    <col min="1828" max="1829" width="30.28515625" bestFit="1" customWidth="1"/>
    <col min="1830" max="1831" width="24.7109375" bestFit="1" customWidth="1"/>
    <col min="1832" max="1832" width="33.28515625" bestFit="1" customWidth="1"/>
    <col min="1833" max="1833" width="27" bestFit="1" customWidth="1"/>
    <col min="1834" max="1838" width="28.42578125" bestFit="1" customWidth="1"/>
    <col min="1839" max="1841" width="24.7109375" bestFit="1" customWidth="1"/>
    <col min="1842" max="1842" width="29.140625" bestFit="1" customWidth="1"/>
    <col min="1843" max="1843" width="30.85546875" bestFit="1" customWidth="1"/>
    <col min="1844" max="1844" width="27.140625" bestFit="1" customWidth="1"/>
    <col min="1845" max="1845" width="36.7109375" bestFit="1" customWidth="1"/>
    <col min="1846" max="1846" width="24.7109375" bestFit="1" customWidth="1"/>
    <col min="1847" max="1847" width="30.28515625" bestFit="1" customWidth="1"/>
    <col min="1848" max="1848" width="56.28515625" bestFit="1" customWidth="1"/>
    <col min="1849" max="1849" width="31.28515625" bestFit="1" customWidth="1"/>
    <col min="1850" max="1850" width="19.28515625" bestFit="1" customWidth="1"/>
    <col min="1851" max="1851" width="23" bestFit="1" customWidth="1"/>
    <col min="1852" max="1852" width="25.140625" bestFit="1" customWidth="1"/>
    <col min="1853" max="1853" width="33.42578125" bestFit="1" customWidth="1"/>
    <col min="1854" max="1854" width="37.42578125" bestFit="1" customWidth="1"/>
    <col min="1855" max="1855" width="19.85546875" bestFit="1" customWidth="1"/>
    <col min="1856" max="1856" width="23.140625" bestFit="1" customWidth="1"/>
    <col min="1857" max="1857" width="29.42578125" bestFit="1" customWidth="1"/>
    <col min="1858" max="1858" width="28.28515625" bestFit="1" customWidth="1"/>
    <col min="1859" max="1859" width="39.140625" bestFit="1" customWidth="1"/>
    <col min="1860" max="1860" width="24.28515625" bestFit="1" customWidth="1"/>
    <col min="1861" max="1861" width="23.42578125" bestFit="1" customWidth="1"/>
    <col min="1862" max="1862" width="25.7109375" bestFit="1" customWidth="1"/>
    <col min="1863" max="1863" width="29.28515625" bestFit="1" customWidth="1"/>
    <col min="1864" max="1864" width="27.28515625" bestFit="1" customWidth="1"/>
    <col min="1865" max="1865" width="30.85546875" bestFit="1" customWidth="1"/>
    <col min="1866" max="1866" width="34.85546875" bestFit="1" customWidth="1"/>
    <col min="1867" max="1867" width="21.42578125" bestFit="1" customWidth="1"/>
    <col min="1868" max="1868" width="25.140625" bestFit="1" customWidth="1"/>
    <col min="1869" max="1869" width="32.7109375" bestFit="1" customWidth="1"/>
    <col min="1870" max="1870" width="38.140625" bestFit="1" customWidth="1"/>
    <col min="1871" max="1871" width="25.85546875" bestFit="1" customWidth="1"/>
    <col min="1872" max="1872" width="22.85546875" bestFit="1" customWidth="1"/>
    <col min="1873" max="1873" width="29" bestFit="1" customWidth="1"/>
    <col min="1874" max="1874" width="17" bestFit="1" customWidth="1"/>
    <col min="1875" max="1875" width="10.7109375" bestFit="1" customWidth="1"/>
    <col min="1876" max="1878" width="14.28515625" bestFit="1" customWidth="1"/>
    <col min="1879" max="1881" width="13.85546875" bestFit="1" customWidth="1"/>
    <col min="1882" max="1884" width="16.28515625" bestFit="1" customWidth="1"/>
    <col min="1885" max="1887" width="20" bestFit="1" customWidth="1"/>
    <col min="1888" max="1890" width="18.42578125" bestFit="1" customWidth="1"/>
    <col min="1891" max="1893" width="28.85546875" bestFit="1" customWidth="1"/>
    <col min="1894" max="1897" width="33.42578125" customWidth="1"/>
    <col min="1898" max="1900" width="31" bestFit="1" customWidth="1"/>
    <col min="1901" max="1901" width="39.7109375" bestFit="1" customWidth="1"/>
    <col min="1902" max="1902" width="31" bestFit="1" customWidth="1"/>
    <col min="1903" max="1903" width="24.42578125" bestFit="1" customWidth="1"/>
    <col min="1904" max="1904" width="32.42578125" bestFit="1" customWidth="1"/>
    <col min="1905" max="1905" width="32.85546875" bestFit="1" customWidth="1"/>
    <col min="1906" max="1906" width="32" bestFit="1" customWidth="1"/>
    <col min="1907" max="1907" width="38.7109375" bestFit="1" customWidth="1"/>
    <col min="1908" max="1908" width="20.42578125" bestFit="1" customWidth="1"/>
    <col min="1909" max="1909" width="21.42578125" bestFit="1" customWidth="1"/>
    <col min="1910" max="1910" width="18.85546875" bestFit="1" customWidth="1"/>
    <col min="1911" max="1911" width="20.42578125" bestFit="1" customWidth="1"/>
    <col min="1912" max="1912" width="19.42578125" bestFit="1" customWidth="1"/>
    <col min="1913" max="1913" width="17.85546875" bestFit="1" customWidth="1"/>
    <col min="1914" max="1914" width="24.42578125" bestFit="1" customWidth="1"/>
    <col min="1915" max="1915" width="21.42578125" bestFit="1" customWidth="1"/>
    <col min="1916" max="1916" width="18.42578125" bestFit="1" customWidth="1"/>
    <col min="1917" max="1917" width="38.140625" bestFit="1" customWidth="1"/>
    <col min="1918" max="1918" width="36.42578125" bestFit="1" customWidth="1"/>
    <col min="1919" max="1919" width="35.42578125" bestFit="1" customWidth="1"/>
    <col min="1920" max="1920" width="27" bestFit="1" customWidth="1"/>
    <col min="1921" max="1921" width="42.42578125" bestFit="1" customWidth="1"/>
    <col min="1922" max="1922" width="16.140625" bestFit="1" customWidth="1"/>
    <col min="1923" max="1923" width="32.140625" bestFit="1" customWidth="1"/>
    <col min="1924" max="1926" width="13.42578125" bestFit="1" customWidth="1"/>
    <col min="1927" max="1929" width="14.140625" bestFit="1" customWidth="1"/>
    <col min="1930" max="1932" width="13.7109375" bestFit="1" customWidth="1"/>
    <col min="1933" max="1935" width="16.140625" bestFit="1" customWidth="1"/>
    <col min="1936" max="1938" width="19.85546875" bestFit="1" customWidth="1"/>
    <col min="1939" max="1941" width="18.42578125" bestFit="1" customWidth="1"/>
    <col min="1942" max="1944" width="28.7109375" bestFit="1" customWidth="1"/>
    <col min="1945" max="1948" width="33.28515625" bestFit="1" customWidth="1"/>
    <col min="1949" max="1951" width="30.85546875" bestFit="1" customWidth="1"/>
    <col min="1952" max="1952" width="39.42578125" bestFit="1" customWidth="1"/>
    <col min="1953" max="1953" width="31" bestFit="1" customWidth="1"/>
    <col min="1954" max="1954" width="24.28515625" bestFit="1" customWidth="1"/>
    <col min="1955" max="1955" width="32.28515625" bestFit="1" customWidth="1"/>
    <col min="1956" max="1956" width="32.7109375" bestFit="1" customWidth="1"/>
    <col min="1957" max="1957" width="32" bestFit="1" customWidth="1"/>
    <col min="1958" max="1958" width="38.42578125" bestFit="1" customWidth="1"/>
    <col min="1959" max="1959" width="20.28515625" bestFit="1" customWidth="1"/>
    <col min="1960" max="1960" width="21.42578125" bestFit="1" customWidth="1"/>
    <col min="1961" max="1961" width="18.7109375" bestFit="1" customWidth="1"/>
    <col min="1962" max="1962" width="20.42578125" bestFit="1" customWidth="1"/>
    <col min="1963" max="1963" width="19.28515625" bestFit="1" customWidth="1"/>
    <col min="1964" max="1964" width="17.7109375" bestFit="1" customWidth="1"/>
    <col min="1965" max="1965" width="24.42578125" bestFit="1" customWidth="1"/>
    <col min="1966" max="1966" width="21.42578125" bestFit="1" customWidth="1"/>
    <col min="1967" max="1967" width="18.42578125" bestFit="1" customWidth="1"/>
    <col min="1968" max="1968" width="38" bestFit="1" customWidth="1"/>
    <col min="1969" max="1969" width="36.42578125" bestFit="1" customWidth="1"/>
    <col min="1970" max="1970" width="35.42578125" bestFit="1" customWidth="1"/>
    <col min="1971" max="1971" width="26.85546875" bestFit="1" customWidth="1"/>
    <col min="1972" max="1972" width="42.28515625" bestFit="1" customWidth="1"/>
    <col min="1973" max="1973" width="16" bestFit="1" customWidth="1"/>
    <col min="1974" max="1974" width="32.42578125" bestFit="1" customWidth="1"/>
    <col min="1975" max="1977" width="14" bestFit="1" customWidth="1"/>
    <col min="1978" max="1980" width="14.42578125" bestFit="1" customWidth="1"/>
    <col min="1981" max="1983" width="14.140625" bestFit="1" customWidth="1"/>
    <col min="1984" max="1986" width="16.42578125" bestFit="1" customWidth="1"/>
    <col min="1987" max="1989" width="20.28515625" bestFit="1" customWidth="1"/>
    <col min="1990" max="1992" width="18.85546875" bestFit="1" customWidth="1"/>
    <col min="1993" max="1995" width="29.140625" bestFit="1" customWidth="1"/>
    <col min="1996" max="1999" width="33.85546875" bestFit="1" customWidth="1"/>
    <col min="2000" max="2002" width="31.42578125" bestFit="1" customWidth="1"/>
    <col min="2003" max="2003" width="40" bestFit="1" customWidth="1"/>
    <col min="2004" max="2004" width="31.42578125" bestFit="1" customWidth="1"/>
    <col min="2005" max="2005" width="24.7109375" bestFit="1" customWidth="1"/>
    <col min="2006" max="2006" width="32.85546875" bestFit="1" customWidth="1"/>
    <col min="2007" max="2007" width="33.140625" bestFit="1" customWidth="1"/>
    <col min="2008" max="2008" width="32.42578125" bestFit="1" customWidth="1"/>
    <col min="2009" max="2009" width="39" bestFit="1" customWidth="1"/>
    <col min="2010" max="2010" width="20.7109375" bestFit="1" customWidth="1"/>
    <col min="2011" max="2011" width="21.85546875" bestFit="1" customWidth="1"/>
    <col min="2012" max="2012" width="19.140625" bestFit="1" customWidth="1"/>
    <col min="2013" max="2013" width="21" bestFit="1" customWidth="1"/>
    <col min="2014" max="2014" width="19.85546875" bestFit="1" customWidth="1"/>
    <col min="2015" max="2015" width="18.140625" bestFit="1" customWidth="1"/>
    <col min="2016" max="2016" width="24.85546875" bestFit="1" customWidth="1"/>
    <col min="2017" max="2017" width="22" bestFit="1" customWidth="1"/>
    <col min="2018" max="2018" width="18.85546875" bestFit="1" customWidth="1"/>
    <col min="2019" max="2019" width="38.42578125" bestFit="1" customWidth="1"/>
    <col min="2020" max="2020" width="36.85546875" bestFit="1" customWidth="1"/>
    <col min="2021" max="2021" width="35.85546875" bestFit="1" customWidth="1"/>
    <col min="2022" max="2022" width="27.28515625" bestFit="1" customWidth="1"/>
    <col min="2023" max="2023" width="42.7109375" bestFit="1" customWidth="1"/>
    <col min="2024" max="2024" width="16.42578125" bestFit="1" customWidth="1"/>
    <col min="2025" max="2025" width="10.7109375" bestFit="1" customWidth="1"/>
    <col min="2026" max="2026" width="43.42578125" bestFit="1" customWidth="1"/>
    <col min="2027" max="2027" width="14.7109375" bestFit="1" customWidth="1"/>
    <col min="2028" max="2028" width="15.28515625" bestFit="1" customWidth="1"/>
    <col min="2029" max="2029" width="14.85546875" bestFit="1" customWidth="1"/>
    <col min="2030" max="2030" width="17.28515625" bestFit="1" customWidth="1"/>
    <col min="2031" max="2031" width="21" bestFit="1" customWidth="1"/>
    <col min="2032" max="2032" width="19.42578125" bestFit="1" customWidth="1"/>
    <col min="2033" max="2033" width="29.85546875" bestFit="1" customWidth="1"/>
    <col min="2034" max="2034" width="34.42578125" bestFit="1" customWidth="1"/>
    <col min="2035" max="2035" width="32" bestFit="1" customWidth="1"/>
    <col min="2036" max="2036" width="34.85546875" bestFit="1" customWidth="1"/>
    <col min="2037" max="2037" width="14.7109375" bestFit="1" customWidth="1"/>
    <col min="2038" max="2038" width="15.28515625" bestFit="1" customWidth="1"/>
    <col min="2039" max="2039" width="14.85546875" bestFit="1" customWidth="1"/>
    <col min="2040" max="2040" width="17.28515625" bestFit="1" customWidth="1"/>
    <col min="2041" max="2041" width="21" bestFit="1" customWidth="1"/>
    <col min="2042" max="2042" width="19.42578125" bestFit="1" customWidth="1"/>
    <col min="2043" max="2043" width="29.85546875" bestFit="1" customWidth="1"/>
    <col min="2044" max="2044" width="34.42578125" bestFit="1" customWidth="1"/>
    <col min="2045" max="2045" width="32" bestFit="1" customWidth="1"/>
    <col min="2046" max="2046" width="28.140625" bestFit="1" customWidth="1"/>
    <col min="2047" max="2047" width="36.140625" bestFit="1" customWidth="1"/>
    <col min="2048" max="2048" width="36.42578125" bestFit="1" customWidth="1"/>
    <col min="2049" max="2049" width="34.42578125" bestFit="1" customWidth="1"/>
    <col min="2050" max="2050" width="35.85546875" bestFit="1" customWidth="1"/>
    <col min="2051" max="2051" width="42.42578125" bestFit="1" customWidth="1"/>
    <col min="2052" max="2052" width="24.140625" bestFit="1" customWidth="1"/>
    <col min="2053" max="2053" width="25.28515625" bestFit="1" customWidth="1"/>
    <col min="2054" max="2054" width="22.42578125" bestFit="1" customWidth="1"/>
    <col min="2055" max="2055" width="24.28515625" bestFit="1" customWidth="1"/>
    <col min="2056" max="2056" width="23.140625" bestFit="1" customWidth="1"/>
    <col min="2057" max="2057" width="21.42578125" bestFit="1" customWidth="1"/>
    <col min="2058" max="2058" width="28.28515625" bestFit="1" customWidth="1"/>
    <col min="2059" max="2059" width="25.28515625" bestFit="1" customWidth="1"/>
    <col min="2060" max="2060" width="22.28515625" bestFit="1" customWidth="1"/>
    <col min="2061" max="2061" width="41.85546875" bestFit="1" customWidth="1"/>
    <col min="2062" max="2062" width="40.28515625" bestFit="1" customWidth="1"/>
    <col min="2063" max="2063" width="39.140625" bestFit="1" customWidth="1"/>
    <col min="2064" max="2064" width="30.7109375" bestFit="1" customWidth="1"/>
    <col min="2065" max="2065" width="46.140625" bestFit="1" customWidth="1"/>
    <col min="2066" max="2066" width="16.140625" customWidth="1"/>
    <col min="2067" max="2067" width="34.85546875" bestFit="1" customWidth="1"/>
    <col min="2068" max="2068" width="13.42578125" bestFit="1" customWidth="1"/>
    <col min="2069" max="2069" width="14.140625" bestFit="1" customWidth="1"/>
    <col min="2070" max="2070" width="13.7109375" bestFit="1" customWidth="1"/>
    <col min="2071" max="2071" width="16.140625" customWidth="1"/>
    <col min="2072" max="2072" width="19.85546875" bestFit="1" customWidth="1"/>
    <col min="2073" max="2073" width="18.42578125" bestFit="1" customWidth="1"/>
    <col min="2074" max="2074" width="28.7109375" bestFit="1" customWidth="1"/>
    <col min="2075" max="2075" width="33.28515625" bestFit="1" customWidth="1"/>
    <col min="2076" max="2076" width="32" bestFit="1" customWidth="1"/>
    <col min="2077" max="2077" width="43.28515625" bestFit="1" customWidth="1"/>
    <col min="2078" max="2078" width="14.42578125" bestFit="1" customWidth="1"/>
    <col min="2079" max="2079" width="15.140625" bestFit="1" customWidth="1"/>
    <col min="2080" max="2080" width="14.7109375" bestFit="1" customWidth="1"/>
    <col min="2081" max="2081" width="17.140625" bestFit="1" customWidth="1"/>
    <col min="2082" max="2082" width="20.85546875" bestFit="1" customWidth="1"/>
    <col min="2083" max="2083" width="19.42578125" bestFit="1" customWidth="1"/>
    <col min="2084" max="2084" width="29.7109375" bestFit="1" customWidth="1"/>
    <col min="2085" max="2085" width="34.28515625" bestFit="1" customWidth="1"/>
    <col min="2086" max="2086" width="32" bestFit="1" customWidth="1"/>
    <col min="2087" max="2087" width="34.7109375" bestFit="1" customWidth="1"/>
    <col min="2088" max="2088" width="14.42578125" bestFit="1" customWidth="1"/>
    <col min="2089" max="2089" width="15.140625" bestFit="1" customWidth="1"/>
    <col min="2090" max="2090" width="14.7109375" bestFit="1" customWidth="1"/>
    <col min="2091" max="2091" width="17.140625" bestFit="1" customWidth="1"/>
    <col min="2092" max="2092" width="20.85546875" bestFit="1" customWidth="1"/>
    <col min="2093" max="2093" width="19.42578125" bestFit="1" customWidth="1"/>
    <col min="2094" max="2094" width="29.7109375" bestFit="1" customWidth="1"/>
    <col min="2095" max="2095" width="34.285156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42578125" bestFit="1" customWidth="1"/>
    <col min="2100" max="2100" width="34.28515625" bestFit="1" customWidth="1"/>
    <col min="2101" max="2101" width="35.7109375" bestFit="1" customWidth="1"/>
    <col min="2102" max="2102" width="42.28515625" bestFit="1" customWidth="1"/>
    <col min="2103" max="2103" width="24" bestFit="1" customWidth="1"/>
    <col min="2104" max="2104" width="25.140625" bestFit="1" customWidth="1"/>
    <col min="2105" max="2105" width="22.42578125" bestFit="1" customWidth="1"/>
    <col min="2106" max="2106" width="24.140625" bestFit="1" customWidth="1"/>
    <col min="2107" max="2107" width="23" bestFit="1" customWidth="1"/>
    <col min="2108" max="2108" width="21.42578125" bestFit="1" customWidth="1"/>
    <col min="2109" max="2109" width="28.140625" bestFit="1" customWidth="1"/>
    <col min="2110" max="2110" width="25.140625" bestFit="1" customWidth="1"/>
    <col min="2111" max="2111" width="22.140625" bestFit="1" customWidth="1"/>
    <col min="2112" max="2112" width="41.7109375" bestFit="1" customWidth="1"/>
    <col min="2113" max="2113" width="40.140625" bestFit="1" customWidth="1"/>
    <col min="2114" max="2114" width="39" bestFit="1" customWidth="1"/>
    <col min="2115" max="2115" width="30.42578125" bestFit="1" customWidth="1"/>
    <col min="2116" max="2116" width="46" bestFit="1" customWidth="1"/>
    <col min="2117" max="2117" width="16" bestFit="1" customWidth="1"/>
    <col min="2118" max="2118" width="35.28515625" bestFit="1" customWidth="1"/>
    <col min="2119" max="2119" width="14" bestFit="1" customWidth="1"/>
    <col min="2120" max="2120" width="14.42578125" bestFit="1" customWidth="1"/>
    <col min="2121" max="2121" width="14.140625" bestFit="1" customWidth="1"/>
    <col min="2122" max="2122" width="16.42578125" bestFit="1" customWidth="1"/>
    <col min="2123" max="2123" width="20.28515625" bestFit="1" customWidth="1"/>
    <col min="2124" max="2124" width="18.85546875" bestFit="1" customWidth="1"/>
    <col min="2125" max="2125" width="29.140625" bestFit="1" customWidth="1"/>
    <col min="2126" max="2126" width="33.85546875" bestFit="1" customWidth="1"/>
    <col min="2127" max="2127" width="32.42578125" bestFit="1" customWidth="1"/>
    <col min="2128" max="2128" width="43.85546875" bestFit="1" customWidth="1"/>
    <col min="2129" max="2129" width="15" bestFit="1" customWidth="1"/>
    <col min="2130" max="2130" width="15.7109375" bestFit="1" customWidth="1"/>
    <col min="2131" max="2131" width="15.140625" bestFit="1" customWidth="1"/>
    <col min="2132" max="2132" width="17.42578125" bestFit="1" customWidth="1"/>
    <col min="2133" max="2133" width="21.28515625" bestFit="1" customWidth="1"/>
    <col min="2134" max="2134" width="20" bestFit="1" customWidth="1"/>
    <col min="2135" max="2135" width="30.140625" bestFit="1" customWidth="1"/>
    <col min="2136" max="2136" width="34.85546875" bestFit="1" customWidth="1"/>
    <col min="2137" max="2137" width="32.42578125" bestFit="1" customWidth="1"/>
    <col min="2138" max="2138" width="35.140625" bestFit="1" customWidth="1"/>
    <col min="2139" max="2139" width="15" bestFit="1" customWidth="1"/>
    <col min="2140" max="2140" width="15.7109375" bestFit="1" customWidth="1"/>
    <col min="2141" max="2141" width="15.140625" bestFit="1" customWidth="1"/>
    <col min="2142" max="2142" width="17.42578125" bestFit="1" customWidth="1"/>
    <col min="2143" max="2143" width="21.28515625" bestFit="1" customWidth="1"/>
    <col min="2144" max="2144" width="20" bestFit="1" customWidth="1"/>
    <col min="2145" max="2145" width="30.140625" bestFit="1" customWidth="1"/>
    <col min="2146" max="2146" width="34.85546875" bestFit="1" customWidth="1"/>
    <col min="2147" max="2147" width="32.42578125" bestFit="1" customWidth="1"/>
    <col min="2148" max="2148" width="28.42578125" bestFit="1" customWidth="1"/>
    <col min="2149" max="2149" width="36.42578125" bestFit="1" customWidth="1"/>
    <col min="2150" max="2150" width="37" bestFit="1" customWidth="1"/>
    <col min="2151" max="2151" width="34.85546875" bestFit="1" customWidth="1"/>
    <col min="2152" max="2152" width="36.140625" bestFit="1" customWidth="1"/>
    <col min="2153" max="2153" width="42.7109375" bestFit="1" customWidth="1"/>
    <col min="2154" max="2154" width="24.42578125" bestFit="1" customWidth="1"/>
    <col min="2155" max="2155" width="25.42578125" bestFit="1" customWidth="1"/>
    <col min="2156" max="2156" width="22.85546875" bestFit="1" customWidth="1"/>
    <col min="2157" max="2157" width="24.7109375" bestFit="1" customWidth="1"/>
    <col min="2158" max="2158" width="23.42578125" bestFit="1" customWidth="1"/>
    <col min="2159" max="2159" width="22" bestFit="1" customWidth="1"/>
    <col min="2160" max="2160" width="28.42578125" bestFit="1" customWidth="1"/>
    <col min="2161" max="2161" width="25.7109375" bestFit="1" customWidth="1"/>
    <col min="2162" max="2162" width="22.42578125" bestFit="1" customWidth="1"/>
    <col min="2163" max="2163" width="42.140625" bestFit="1" customWidth="1"/>
    <col min="2164" max="2164" width="40.42578125" bestFit="1" customWidth="1"/>
    <col min="2165" max="2165" width="39.42578125" bestFit="1" customWidth="1"/>
    <col min="2166" max="2166" width="31" bestFit="1" customWidth="1"/>
    <col min="2167" max="2167" width="46.42578125" bestFit="1" customWidth="1"/>
    <col min="2168" max="2168" width="16.42578125" bestFit="1" customWidth="1"/>
    <col min="2169" max="2169" width="10.140625" bestFit="1" customWidth="1"/>
    <col min="2170" max="2170" width="27.7109375" bestFit="1" customWidth="1"/>
    <col min="2171" max="2171" width="16" bestFit="1" customWidth="1"/>
    <col min="2172" max="2172" width="43.140625" bestFit="1" customWidth="1"/>
    <col min="2173" max="2173" width="28.140625" bestFit="1" customWidth="1"/>
    <col min="2174" max="2174" width="16.42578125" bestFit="1" customWidth="1"/>
    <col min="2175" max="2175" width="11.7109375" bestFit="1" customWidth="1"/>
    <col min="2176" max="2176" width="38.42578125" bestFit="1" customWidth="1"/>
    <col min="2177" max="2177" width="16" bestFit="1" customWidth="1"/>
    <col min="2178" max="2178" width="39.42578125" bestFit="1" customWidth="1"/>
    <col min="2179" max="2179" width="39" bestFit="1" customWidth="1"/>
    <col min="2180" max="2180" width="16.42578125" bestFit="1" customWidth="1"/>
    <col min="2181" max="2181" width="11.7109375" bestFit="1" customWidth="1"/>
    <col min="2182" max="2182" width="33.7109375" bestFit="1" customWidth="1"/>
    <col min="2183" max="2183" width="16.140625" bestFit="1" customWidth="1"/>
    <col min="2184" max="2184" width="39" bestFit="1" customWidth="1"/>
    <col min="2185" max="2185" width="38.42578125" bestFit="1" customWidth="1"/>
    <col min="2186" max="2186" width="23.28515625" bestFit="1" customWidth="1"/>
    <col min="2187" max="2187" width="22.7109375" bestFit="1" customWidth="1"/>
    <col min="2188" max="2188" width="29" bestFit="1" customWidth="1"/>
    <col min="2189" max="2189" width="35.85546875" bestFit="1" customWidth="1"/>
    <col min="2190" max="2190" width="25.42578125" bestFit="1" customWidth="1"/>
    <col min="2191" max="2191" width="32.140625" bestFit="1" customWidth="1"/>
    <col min="2192" max="2192" width="32" bestFit="1" customWidth="1"/>
    <col min="2193" max="2193" width="20.28515625" bestFit="1" customWidth="1"/>
    <col min="2194" max="2194" width="33.42578125" bestFit="1" customWidth="1"/>
    <col min="2195" max="2195" width="16" bestFit="1" customWidth="1"/>
    <col min="2196" max="2196" width="39.42578125" bestFit="1" customWidth="1"/>
    <col min="2197" max="2197" width="39" bestFit="1" customWidth="1"/>
    <col min="2198" max="2198" width="23.7109375" bestFit="1" customWidth="1"/>
    <col min="2199" max="2199" width="23.28515625" bestFit="1" customWidth="1"/>
    <col min="2200" max="2200" width="29.42578125" bestFit="1" customWidth="1"/>
    <col min="2201" max="2201" width="36.28515625" bestFit="1" customWidth="1"/>
    <col min="2202" max="2202" width="26" bestFit="1" customWidth="1"/>
    <col min="2203" max="2203" width="32.7109375" bestFit="1" customWidth="1"/>
    <col min="2204" max="2204" width="32.42578125" bestFit="1" customWidth="1"/>
    <col min="2205" max="2205" width="20.7109375" bestFit="1" customWidth="1"/>
    <col min="2206" max="2206" width="34" bestFit="1" customWidth="1"/>
    <col min="2207" max="2207" width="16.42578125" bestFit="1" customWidth="1"/>
    <col min="2208" max="2209" width="11.7109375" bestFit="1" customWidth="1"/>
    <col min="2210" max="2210" width="16.42578125" customWidth="1"/>
    <col min="2211" max="2211" width="11.7109375" bestFit="1" customWidth="1"/>
    <col min="2212" max="2212" width="19.42578125" bestFit="1" customWidth="1"/>
    <col min="2213" max="2213" width="21.140625" bestFit="1" customWidth="1"/>
    <col min="2214" max="2214" width="17.7109375" bestFit="1" customWidth="1"/>
    <col min="2215" max="2215" width="12.7109375" bestFit="1" customWidth="1"/>
    <col min="2216" max="2216" width="18.42578125" bestFit="1" customWidth="1"/>
    <col min="2217" max="2217" width="23.28515625" bestFit="1" customWidth="1"/>
    <col min="2218" max="2218" width="24.42578125" bestFit="1" customWidth="1"/>
    <col min="2219" max="2219" width="25.28515625" bestFit="1" customWidth="1"/>
    <col min="2220" max="2220" width="28" bestFit="1" customWidth="1"/>
    <col min="2221" max="2221" width="23.85546875" bestFit="1" customWidth="1"/>
    <col min="2222" max="2222" width="19.42578125" bestFit="1" customWidth="1"/>
    <col min="2223" max="2223" width="21.140625" bestFit="1" customWidth="1"/>
    <col min="2224" max="2224" width="17.7109375" bestFit="1" customWidth="1"/>
    <col min="2225" max="2225" width="13.140625" bestFit="1" customWidth="1"/>
    <col min="2226" max="2226" width="18.85546875" bestFit="1" customWidth="1"/>
    <col min="2227" max="2227" width="23.85546875" bestFit="1" customWidth="1"/>
    <col min="2228" max="2228" width="25" bestFit="1" customWidth="1"/>
    <col min="2229" max="2229" width="25.7109375" bestFit="1" customWidth="1"/>
    <col min="2230" max="2230" width="28.42578125" bestFit="1" customWidth="1"/>
    <col min="2231" max="2231" width="24.28515625" bestFit="1" customWidth="1"/>
    <col min="2232" max="2232" width="20" bestFit="1" customWidth="1"/>
    <col min="2233" max="2233" width="21.42578125" bestFit="1" customWidth="1"/>
    <col min="2234" max="2234" width="18.140625" customWidth="1"/>
    <col min="2235" max="2235" width="12" bestFit="1" customWidth="1"/>
    <col min="2236" max="2236" width="21.42578125" bestFit="1" customWidth="1"/>
    <col min="2237" max="2237" width="18.140625" bestFit="1" customWidth="1"/>
    <col min="2238" max="2238" width="18.7109375" bestFit="1" customWidth="1"/>
    <col min="2239" max="2239" width="20.140625" bestFit="1" customWidth="1"/>
    <col min="2240" max="2240" width="17" bestFit="1" customWidth="1"/>
    <col min="2241" max="2241" width="18.7109375" bestFit="1" customWidth="1"/>
    <col min="2242" max="2242" width="20.140625" bestFit="1" customWidth="1"/>
    <col min="2243" max="2243" width="17" bestFit="1" customWidth="1"/>
    <col min="2244" max="2244" width="18.7109375" bestFit="1" customWidth="1"/>
    <col min="2245" max="2245" width="20.140625" bestFit="1" customWidth="1"/>
    <col min="2246" max="2246" width="17" customWidth="1"/>
    <col min="2247" max="2247" width="19.28515625" bestFit="1" customWidth="1"/>
    <col min="2248" max="2248" width="21.85546875" bestFit="1" customWidth="1"/>
    <col min="2249" max="2249" width="23" bestFit="1" customWidth="1"/>
    <col min="2250" max="2250" width="12" bestFit="1" customWidth="1"/>
    <col min="2251" max="2251" width="20.28515625" bestFit="1" customWidth="1"/>
    <col min="2252" max="2252" width="16.42578125" customWidth="1"/>
    <col min="2253" max="2253" width="19.7109375" bestFit="1" customWidth="1"/>
    <col min="2254" max="2254" width="22.28515625" bestFit="1" customWidth="1"/>
    <col min="2255" max="2255" width="23.42578125" bestFit="1" customWidth="1"/>
    <col min="2256" max="2256" width="12.42578125" bestFit="1" customWidth="1"/>
    <col min="2257" max="2257" width="20.7109375" bestFit="1" customWidth="1"/>
    <col min="2258" max="2258" width="17" bestFit="1" customWidth="1"/>
    <col min="2259" max="2259" width="13.42578125" bestFit="1" customWidth="1"/>
    <col min="2260" max="2260" width="18.28515625" bestFit="1" customWidth="1"/>
    <col min="2261" max="2261" width="15.85546875" bestFit="1" customWidth="1"/>
    <col min="2262" max="2262" width="21.140625" bestFit="1" customWidth="1"/>
    <col min="2263" max="2263" width="20.28515625" bestFit="1" customWidth="1"/>
    <col min="2264" max="2264" width="16.42578125" bestFit="1" customWidth="1"/>
    <col min="2265" max="2265" width="13.85546875" bestFit="1" customWidth="1"/>
    <col min="2266" max="2266" width="18.7109375" bestFit="1" customWidth="1"/>
    <col min="2267" max="2267" width="16.140625" bestFit="1" customWidth="1"/>
    <col min="2268" max="2268" width="21.42578125" bestFit="1" customWidth="1"/>
    <col min="2269" max="2269" width="20.7109375" bestFit="1" customWidth="1"/>
    <col min="2270" max="2270" width="17" bestFit="1" customWidth="1"/>
    <col min="2271" max="2271" width="20.7109375" bestFit="1" customWidth="1"/>
    <col min="2272" max="2272" width="20" bestFit="1" customWidth="1"/>
    <col min="2273" max="2273" width="16.42578125" customWidth="1"/>
    <col min="2274" max="2274" width="6.42578125" bestFit="1" customWidth="1"/>
    <col min="2275" max="2275" width="10.42578125" bestFit="1" customWidth="1"/>
    <col min="2276" max="2276" width="11" bestFit="1" customWidth="1"/>
    <col min="2277" max="2278" width="11.7109375" customWidth="1"/>
    <col min="2279" max="2279" width="11.7109375" bestFit="1" customWidth="1"/>
    <col min="2280" max="2280" width="22.42578125" bestFit="1" customWidth="1"/>
    <col min="2281" max="2282" width="11.7109375" bestFit="1" customWidth="1"/>
    <col min="2283" max="2283" width="12.42578125" bestFit="1" customWidth="1"/>
    <col min="2284" max="2286" width="11.7109375" bestFit="1" customWidth="1"/>
    <col min="2287" max="2287" width="19.42578125" bestFit="1" customWidth="1"/>
    <col min="2288" max="2288" width="12.140625" bestFit="1" customWidth="1"/>
    <col min="2289" max="2289" width="11.7109375" bestFit="1" customWidth="1"/>
    <col min="2290" max="2290" width="25.7109375" bestFit="1" customWidth="1"/>
    <col min="2291" max="2292" width="11.7109375" bestFit="1" customWidth="1"/>
    <col min="2293" max="2293" width="25.7109375" customWidth="1"/>
    <col min="2294" max="2294" width="19.42578125" bestFit="1" customWidth="1"/>
    <col min="2295" max="2295" width="22.7109375" bestFit="1" customWidth="1"/>
    <col min="2296" max="2296" width="18.85546875" bestFit="1" customWidth="1"/>
    <col min="2297" max="2297" width="11.7109375" bestFit="1" customWidth="1"/>
    <col min="2298" max="2298" width="25.7109375" customWidth="1"/>
    <col min="2299" max="2299" width="18.85546875" bestFit="1" customWidth="1"/>
    <col min="2300" max="2300" width="11.7109375" bestFit="1" customWidth="1"/>
    <col min="2301" max="2301" width="25.7109375" bestFit="1" customWidth="1"/>
  </cols>
  <sheetData>
    <row r="1" spans="1:11" x14ac:dyDescent="0.25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 x14ac:dyDescent="0.25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  <sheetView workbookViewId="1"/>
  </sheetViews>
  <sheetFormatPr defaultColWidth="8.85546875" defaultRowHeight="15" x14ac:dyDescent="0.25"/>
  <cols>
    <col min="1" max="1" width="19.7109375" bestFit="1" customWidth="1"/>
    <col min="2" max="2" width="11" bestFit="1" customWidth="1"/>
  </cols>
  <sheetData>
    <row r="1" spans="1:2" x14ac:dyDescent="0.25">
      <c r="A1" t="s">
        <v>61</v>
      </c>
      <c r="B1" t="s">
        <v>10</v>
      </c>
    </row>
    <row r="2" spans="1:2" x14ac:dyDescent="0.25">
      <c r="A2" t="s">
        <v>15</v>
      </c>
      <c r="B2" t="s">
        <v>371</v>
      </c>
    </row>
    <row r="3" spans="1:2" x14ac:dyDescent="0.25">
      <c r="A3" t="s">
        <v>16</v>
      </c>
      <c r="B3">
        <v>0</v>
      </c>
    </row>
    <row r="4" spans="1:2" x14ac:dyDescent="0.25">
      <c r="A4" t="s">
        <v>17</v>
      </c>
      <c r="B4" t="b">
        <v>1</v>
      </c>
    </row>
    <row r="5" spans="1:2" x14ac:dyDescent="0.25">
      <c r="A5" t="s">
        <v>21</v>
      </c>
      <c r="B5" t="s">
        <v>23</v>
      </c>
    </row>
    <row r="6" spans="1:2" x14ac:dyDescent="0.25">
      <c r="A6" t="s">
        <v>154</v>
      </c>
      <c r="B6">
        <v>2026</v>
      </c>
    </row>
    <row r="7" spans="1:2" x14ac:dyDescent="0.25">
      <c r="A7" t="s">
        <v>22</v>
      </c>
      <c r="B7">
        <v>33.746748802190282</v>
      </c>
    </row>
    <row r="8" spans="1:2" x14ac:dyDescent="0.25">
      <c r="A8" t="s">
        <v>168</v>
      </c>
      <c r="B8">
        <v>46037</v>
      </c>
    </row>
    <row r="9" spans="1:2" x14ac:dyDescent="0.25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  <sheetView workbookViewId="1"/>
  </sheetViews>
  <sheetFormatPr defaultColWidth="8.85546875" defaultRowHeight="15" x14ac:dyDescent="0.25"/>
  <cols>
    <col min="1" max="1" width="20.140625" customWidth="1"/>
  </cols>
  <sheetData>
    <row r="14" spans="15:15" x14ac:dyDescent="0.25">
      <c r="O14">
        <f>200*2080</f>
        <v>416000</v>
      </c>
    </row>
    <row r="15" spans="15:15" x14ac:dyDescent="0.25">
      <c r="O15">
        <f>2080*50</f>
        <v>104000</v>
      </c>
    </row>
    <row r="16" spans="15:15" x14ac:dyDescent="0.25">
      <c r="O16">
        <f>O14-O15</f>
        <v>312000</v>
      </c>
    </row>
    <row r="17" spans="15:15" x14ac:dyDescent="0.2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workbookViewId="0">
      <selection activeCell="D21" sqref="D21"/>
    </sheetView>
    <sheetView workbookViewId="1">
      <selection sqref="A1:C1"/>
    </sheetView>
  </sheetViews>
  <sheetFormatPr defaultColWidth="9.140625" defaultRowHeight="15.75" x14ac:dyDescent="0.25"/>
  <cols>
    <col min="1" max="1" width="7.85546875" style="1" bestFit="1" customWidth="1"/>
    <col min="2" max="2" width="18.7109375" style="1" bestFit="1" customWidth="1"/>
    <col min="3" max="3" width="27.42578125" style="1" bestFit="1" customWidth="1"/>
    <col min="4" max="4" width="43.28515625" style="1" customWidth="1"/>
    <col min="5" max="5" width="15.42578125" style="1" customWidth="1"/>
    <col min="6" max="6" width="9.5703125" style="1" customWidth="1"/>
    <col min="7" max="7" width="17.140625" style="1" customWidth="1"/>
    <col min="8" max="8" width="25.140625" style="1" bestFit="1" customWidth="1"/>
    <col min="9" max="9" width="28" style="1" bestFit="1" customWidth="1"/>
    <col min="10" max="10" width="14.7109375" style="1" bestFit="1" customWidth="1"/>
    <col min="11" max="11" width="13.28515625" style="1" customWidth="1"/>
    <col min="12" max="16384" width="9.140625" style="1"/>
  </cols>
  <sheetData>
    <row r="1" spans="1:22" ht="18.95" customHeight="1" x14ac:dyDescent="0.25">
      <c r="A1" s="148" t="s">
        <v>399</v>
      </c>
      <c r="B1" s="148"/>
      <c r="C1" s="148"/>
      <c r="D1" s="113" t="s">
        <v>405</v>
      </c>
      <c r="E1" s="110"/>
      <c r="F1" s="148" t="s">
        <v>404</v>
      </c>
      <c r="G1" s="148"/>
      <c r="H1" s="148"/>
      <c r="I1" s="148"/>
      <c r="L1" s="110"/>
      <c r="M1" s="110"/>
      <c r="N1" s="110"/>
      <c r="O1" s="110"/>
      <c r="P1" s="110"/>
      <c r="Q1" s="110"/>
    </row>
    <row r="2" spans="1:22" x14ac:dyDescent="0.25">
      <c r="A2" s="1" t="s">
        <v>2</v>
      </c>
      <c r="B2" s="1" t="s">
        <v>62</v>
      </c>
      <c r="C2" s="1" t="s">
        <v>7</v>
      </c>
      <c r="D2" s="110" t="str">
        <f>IF(HelperCells!$B$3&lt;&gt;"","Updated: " &amp; TEXT(HelperCells!$B$3, "mm/dd/yyyy hh:mm am/pm"),"")</f>
        <v>Updated: 05/20/2026 01:40 PM</v>
      </c>
      <c r="E2" s="132" t="b">
        <v>0</v>
      </c>
      <c r="F2" s="145" t="s">
        <v>2</v>
      </c>
      <c r="G2" s="146" t="s">
        <v>62</v>
      </c>
      <c r="H2" s="146" t="s">
        <v>7</v>
      </c>
      <c r="I2" s="146" t="s">
        <v>410</v>
      </c>
      <c r="L2" s="110"/>
      <c r="M2" s="110"/>
      <c r="N2" s="110"/>
      <c r="O2" s="110"/>
      <c r="P2" s="110"/>
      <c r="Q2" s="110"/>
      <c r="U2" s="110" t="s">
        <v>396</v>
      </c>
      <c r="V2" s="110"/>
    </row>
    <row r="3" spans="1:22" x14ac:dyDescent="0.25">
      <c r="A3" s="110" t="s">
        <v>64</v>
      </c>
      <c r="B3" s="110" t="s">
        <v>63</v>
      </c>
      <c r="C3" s="135" t="s">
        <v>415</v>
      </c>
      <c r="F3" s="133" cm="1">
        <f t="array" ref="F3:F32">_xlfn._xlws.FILTER(VALUE(_xlfn.VALUETOTEXT(A$3:A$32)),VALUE(_xlfn.VALUETOTEXT($A$3:$A$32))&lt;=HelperCells!$B$22)</f>
        <v>2027</v>
      </c>
      <c r="G3" s="133" cm="1">
        <f t="array" ref="G3:G32">_xlfn._xlws.FILTER(VALUE(_xlfn.VALUETOTEXT(B$3:B$32)),VALUE(_xlfn.VALUETOTEXT($A$3:$A$32))&lt;=HelperCells!$B$22)</f>
        <v>1</v>
      </c>
      <c r="H3" s="133" cm="1">
        <f t="array" ref="H3:H32">_xlfn._xlws.FILTER(VALUE(_xlfn.VALUETOTEXT(C$3:C$32)),VALUE(_xlfn.VALUETOTEXT($A$3:$A$32))&lt;=HelperCells!$B$22)</f>
        <v>2.5649999999999999</v>
      </c>
      <c r="I3" s="134">
        <f>IF(H3&lt;&gt;"",(H3/100),"")</f>
        <v>2.5649999999999999E-2</v>
      </c>
      <c r="L3" s="110"/>
      <c r="M3" s="110"/>
      <c r="N3" s="110"/>
      <c r="O3" s="110"/>
      <c r="P3" s="110"/>
      <c r="Q3" s="110"/>
      <c r="U3" s="110"/>
      <c r="V3" s="110"/>
    </row>
    <row r="4" spans="1:22" x14ac:dyDescent="0.25">
      <c r="A4" s="110" t="s">
        <v>66</v>
      </c>
      <c r="B4" s="110" t="s">
        <v>65</v>
      </c>
      <c r="C4" s="135" t="s">
        <v>416</v>
      </c>
      <c r="F4" s="133">
        <v>2028</v>
      </c>
      <c r="G4" s="133">
        <v>2</v>
      </c>
      <c r="H4" s="133">
        <v>2.56</v>
      </c>
      <c r="I4" s="134">
        <f t="shared" ref="I4:I32" si="0">IF(H4&lt;&gt;"",(H4/100),"")</f>
        <v>2.5600000000000001E-2</v>
      </c>
      <c r="L4" s="110"/>
      <c r="M4" s="110"/>
      <c r="N4" s="110"/>
      <c r="O4" s="110"/>
      <c r="P4" s="110"/>
      <c r="Q4" s="110"/>
      <c r="U4" s="110" t="s">
        <v>392</v>
      </c>
      <c r="V4" s="110" t="s">
        <v>394</v>
      </c>
    </row>
    <row r="5" spans="1:22" x14ac:dyDescent="0.25">
      <c r="A5" s="110" t="s">
        <v>68</v>
      </c>
      <c r="B5" s="110" t="s">
        <v>67</v>
      </c>
      <c r="C5" s="135" t="s">
        <v>415</v>
      </c>
      <c r="E5" s="110"/>
      <c r="F5" s="133">
        <v>2029</v>
      </c>
      <c r="G5" s="133">
        <v>3</v>
      </c>
      <c r="H5" s="133">
        <v>2.5649999999999999</v>
      </c>
      <c r="I5" s="134">
        <f t="shared" si="0"/>
        <v>2.5649999999999999E-2</v>
      </c>
      <c r="L5" s="110"/>
      <c r="M5" s="110"/>
      <c r="N5" s="110"/>
      <c r="O5" s="110"/>
      <c r="P5" s="110"/>
      <c r="Q5" s="110"/>
      <c r="U5" s="110" t="s">
        <v>393</v>
      </c>
      <c r="V5" s="110" t="s">
        <v>395</v>
      </c>
    </row>
    <row r="6" spans="1:22" x14ac:dyDescent="0.25">
      <c r="A6" s="110" t="s">
        <v>70</v>
      </c>
      <c r="B6" s="110" t="s">
        <v>69</v>
      </c>
      <c r="C6" s="135" t="s">
        <v>417</v>
      </c>
      <c r="E6" s="110"/>
      <c r="F6" s="133">
        <v>2030</v>
      </c>
      <c r="G6" s="133">
        <v>4</v>
      </c>
      <c r="H6" s="133">
        <v>2.6120000000000001</v>
      </c>
      <c r="I6" s="134">
        <f t="shared" si="0"/>
        <v>2.6120000000000001E-2</v>
      </c>
      <c r="K6" s="110"/>
      <c r="L6" s="110"/>
      <c r="M6" s="110"/>
      <c r="N6" s="110"/>
      <c r="O6" s="110"/>
      <c r="P6" s="110"/>
      <c r="Q6" s="110"/>
      <c r="U6" s="110" t="s">
        <v>397</v>
      </c>
      <c r="V6" s="110" t="s">
        <v>398</v>
      </c>
    </row>
    <row r="7" spans="1:22" x14ac:dyDescent="0.25">
      <c r="A7" s="110" t="s">
        <v>72</v>
      </c>
      <c r="B7" s="110" t="s">
        <v>71</v>
      </c>
      <c r="C7" s="135" t="s">
        <v>418</v>
      </c>
      <c r="E7" s="110"/>
      <c r="F7" s="133">
        <v>2031</v>
      </c>
      <c r="G7" s="133">
        <v>5</v>
      </c>
      <c r="H7" s="133">
        <v>2.6640000000000001</v>
      </c>
      <c r="I7" s="134">
        <f t="shared" si="0"/>
        <v>2.664E-2</v>
      </c>
      <c r="J7" s="110"/>
      <c r="K7" s="110"/>
      <c r="L7" s="110"/>
      <c r="M7" s="110"/>
      <c r="N7" s="110"/>
      <c r="O7" s="110"/>
      <c r="P7" s="110"/>
      <c r="Q7" s="110"/>
    </row>
    <row r="8" spans="1:22" x14ac:dyDescent="0.25">
      <c r="A8" s="110" t="s">
        <v>74</v>
      </c>
      <c r="B8" s="110" t="s">
        <v>73</v>
      </c>
      <c r="C8" s="135" t="s">
        <v>442</v>
      </c>
      <c r="E8" s="110"/>
      <c r="F8" s="133">
        <v>2032</v>
      </c>
      <c r="G8" s="133">
        <v>6</v>
      </c>
      <c r="H8" s="133">
        <v>2.7370000000000001</v>
      </c>
      <c r="I8" s="134">
        <f t="shared" si="0"/>
        <v>2.7370000000000002E-2</v>
      </c>
      <c r="J8" s="110"/>
      <c r="K8" s="110"/>
      <c r="L8" s="110"/>
      <c r="M8" s="110"/>
      <c r="N8" s="110"/>
      <c r="O8" s="110"/>
      <c r="P8" s="110"/>
      <c r="Q8" s="110"/>
    </row>
    <row r="9" spans="1:22" x14ac:dyDescent="0.25">
      <c r="A9" s="110" t="s">
        <v>76</v>
      </c>
      <c r="B9" s="110" t="s">
        <v>75</v>
      </c>
      <c r="C9" s="135" t="s">
        <v>443</v>
      </c>
      <c r="E9" s="110"/>
      <c r="F9" s="133">
        <v>2033</v>
      </c>
      <c r="G9" s="133">
        <v>7</v>
      </c>
      <c r="H9" s="133">
        <v>2.8359999999999999</v>
      </c>
      <c r="I9" s="134">
        <f t="shared" si="0"/>
        <v>2.836E-2</v>
      </c>
      <c r="J9" s="110"/>
      <c r="K9" s="110"/>
      <c r="L9" s="110"/>
      <c r="M9" s="110"/>
      <c r="N9" s="110"/>
      <c r="O9" s="110"/>
      <c r="P9" s="110"/>
      <c r="Q9" s="110"/>
    </row>
    <row r="10" spans="1:22" x14ac:dyDescent="0.25">
      <c r="A10" s="110" t="s">
        <v>78</v>
      </c>
      <c r="B10" s="110" t="s">
        <v>77</v>
      </c>
      <c r="C10" s="135" t="s">
        <v>419</v>
      </c>
      <c r="E10" s="110"/>
      <c r="F10" s="133">
        <v>2034</v>
      </c>
      <c r="G10" s="133">
        <v>8</v>
      </c>
      <c r="H10" s="133">
        <v>2.899</v>
      </c>
      <c r="I10" s="134">
        <f t="shared" si="0"/>
        <v>2.8990000000000002E-2</v>
      </c>
      <c r="J10" s="110"/>
      <c r="K10" s="110"/>
      <c r="L10" s="110"/>
      <c r="M10" s="110"/>
      <c r="N10" s="110"/>
      <c r="O10" s="110"/>
      <c r="P10" s="110"/>
      <c r="Q10" s="110"/>
    </row>
    <row r="11" spans="1:22" x14ac:dyDescent="0.25">
      <c r="A11" s="110" t="s">
        <v>80</v>
      </c>
      <c r="B11" s="110" t="s">
        <v>79</v>
      </c>
      <c r="C11" s="135" t="s">
        <v>420</v>
      </c>
      <c r="E11" s="110"/>
      <c r="F11" s="133">
        <v>2035</v>
      </c>
      <c r="G11" s="133">
        <v>9</v>
      </c>
      <c r="H11" s="133">
        <v>2.9889999999999999</v>
      </c>
      <c r="I11" s="134">
        <f t="shared" si="0"/>
        <v>2.989E-2</v>
      </c>
      <c r="J11" s="110"/>
      <c r="K11" s="110"/>
      <c r="L11" s="110"/>
      <c r="M11" s="110"/>
      <c r="N11" s="110"/>
      <c r="O11" s="110"/>
      <c r="P11" s="110"/>
      <c r="Q11" s="110"/>
    </row>
    <row r="12" spans="1:22" x14ac:dyDescent="0.25">
      <c r="A12" s="110" t="s">
        <v>82</v>
      </c>
      <c r="B12" s="110" t="s">
        <v>81</v>
      </c>
      <c r="C12" s="135" t="s">
        <v>421</v>
      </c>
      <c r="E12" s="110"/>
      <c r="F12" s="111">
        <v>2036</v>
      </c>
      <c r="G12" s="111">
        <v>10</v>
      </c>
      <c r="H12" s="133">
        <v>3.0910000000000002</v>
      </c>
      <c r="I12" s="134">
        <f t="shared" si="0"/>
        <v>3.0910000000000003E-2</v>
      </c>
      <c r="J12" s="110"/>
      <c r="K12" s="110"/>
      <c r="L12" s="110"/>
      <c r="M12" s="110"/>
      <c r="N12" s="110"/>
      <c r="O12" s="110"/>
      <c r="P12" s="110"/>
      <c r="Q12" s="110"/>
    </row>
    <row r="13" spans="1:22" x14ac:dyDescent="0.25">
      <c r="A13" s="110" t="s">
        <v>84</v>
      </c>
      <c r="B13" s="110" t="s">
        <v>83</v>
      </c>
      <c r="C13" s="135" t="s">
        <v>422</v>
      </c>
      <c r="E13" s="110"/>
      <c r="F13" s="111">
        <v>2037</v>
      </c>
      <c r="G13" s="111">
        <v>11</v>
      </c>
      <c r="H13" s="133">
        <v>3.1829999999999998</v>
      </c>
      <c r="I13" s="134">
        <f t="shared" si="0"/>
        <v>3.1829999999999997E-2</v>
      </c>
      <c r="J13" s="110"/>
      <c r="K13" s="110"/>
      <c r="L13" s="110"/>
      <c r="M13" s="110"/>
      <c r="N13" s="110"/>
      <c r="O13" s="110"/>
      <c r="P13" s="110"/>
      <c r="Q13" s="110"/>
    </row>
    <row r="14" spans="1:22" x14ac:dyDescent="0.25">
      <c r="A14" s="110" t="s">
        <v>86</v>
      </c>
      <c r="B14" s="110" t="s">
        <v>85</v>
      </c>
      <c r="C14" s="135" t="s">
        <v>423</v>
      </c>
      <c r="E14" s="110"/>
      <c r="F14" s="111">
        <v>2038</v>
      </c>
      <c r="G14" s="111">
        <v>12</v>
      </c>
      <c r="H14" s="133">
        <v>3.28</v>
      </c>
      <c r="I14" s="134">
        <f t="shared" si="0"/>
        <v>3.2799999999999996E-2</v>
      </c>
      <c r="J14" s="110"/>
      <c r="K14" s="110"/>
      <c r="L14" s="110"/>
      <c r="M14" s="110"/>
      <c r="N14" s="110"/>
      <c r="O14" s="110"/>
      <c r="P14" s="110"/>
      <c r="Q14" s="110"/>
    </row>
    <row r="15" spans="1:22" x14ac:dyDescent="0.25">
      <c r="A15" s="110" t="s">
        <v>88</v>
      </c>
      <c r="B15" s="110" t="s">
        <v>87</v>
      </c>
      <c r="C15" s="135" t="s">
        <v>424</v>
      </c>
      <c r="E15" s="110"/>
      <c r="F15" s="111">
        <v>2039</v>
      </c>
      <c r="G15" s="111">
        <v>13</v>
      </c>
      <c r="H15" s="133">
        <v>3.3530000000000002</v>
      </c>
      <c r="I15" s="134">
        <f t="shared" si="0"/>
        <v>3.3530000000000004E-2</v>
      </c>
      <c r="J15" s="110"/>
      <c r="K15" s="110"/>
      <c r="L15" s="110"/>
      <c r="M15" s="110"/>
      <c r="N15" s="110"/>
      <c r="O15" s="110"/>
      <c r="P15" s="110"/>
      <c r="Q15" s="110"/>
    </row>
    <row r="16" spans="1:22" x14ac:dyDescent="0.25">
      <c r="A16" s="110" t="s">
        <v>90</v>
      </c>
      <c r="B16" s="110" t="s">
        <v>89</v>
      </c>
      <c r="C16" s="135" t="s">
        <v>425</v>
      </c>
      <c r="E16" s="110"/>
      <c r="F16" s="111">
        <v>2040</v>
      </c>
      <c r="G16" s="111">
        <v>14</v>
      </c>
      <c r="H16" s="133">
        <v>3.4329999999999998</v>
      </c>
      <c r="I16" s="134">
        <f t="shared" si="0"/>
        <v>3.4329999999999999E-2</v>
      </c>
      <c r="J16" s="110"/>
      <c r="K16" s="110"/>
      <c r="L16" s="110"/>
      <c r="M16" s="110"/>
      <c r="N16" s="110"/>
      <c r="O16" s="110"/>
      <c r="P16" s="110"/>
      <c r="Q16" s="110"/>
    </row>
    <row r="17" spans="1:17" x14ac:dyDescent="0.25">
      <c r="A17" s="110" t="s">
        <v>92</v>
      </c>
      <c r="B17" s="110" t="s">
        <v>91</v>
      </c>
      <c r="C17" s="135" t="s">
        <v>426</v>
      </c>
      <c r="E17" s="110"/>
      <c r="F17" s="111">
        <v>2041</v>
      </c>
      <c r="G17" s="111">
        <v>15</v>
      </c>
      <c r="H17" s="133">
        <v>3.4830000000000001</v>
      </c>
      <c r="I17" s="134">
        <f t="shared" si="0"/>
        <v>3.483E-2</v>
      </c>
      <c r="J17" s="110"/>
      <c r="K17" s="110"/>
      <c r="L17" s="110"/>
      <c r="M17" s="110"/>
      <c r="N17" s="110"/>
      <c r="O17" s="110"/>
      <c r="P17" s="110"/>
      <c r="Q17" s="110"/>
    </row>
    <row r="18" spans="1:17" x14ac:dyDescent="0.25">
      <c r="A18" s="110" t="s">
        <v>94</v>
      </c>
      <c r="B18" s="110" t="s">
        <v>93</v>
      </c>
      <c r="C18" s="135" t="s">
        <v>427</v>
      </c>
      <c r="E18" s="110"/>
      <c r="F18" s="111">
        <v>2042</v>
      </c>
      <c r="G18" s="111">
        <v>16</v>
      </c>
      <c r="H18" s="133">
        <v>3.5910000000000002</v>
      </c>
      <c r="I18" s="134">
        <f t="shared" si="0"/>
        <v>3.5910000000000004E-2</v>
      </c>
      <c r="J18" s="110"/>
      <c r="K18" s="110"/>
      <c r="L18" s="110"/>
      <c r="M18" s="110"/>
      <c r="N18" s="110"/>
      <c r="O18" s="110"/>
      <c r="P18" s="110"/>
      <c r="Q18" s="110"/>
    </row>
    <row r="19" spans="1:17" x14ac:dyDescent="0.25">
      <c r="A19" s="110" t="s">
        <v>96</v>
      </c>
      <c r="B19" s="110" t="s">
        <v>95</v>
      </c>
      <c r="C19" s="135" t="s">
        <v>428</v>
      </c>
      <c r="E19" s="110"/>
      <c r="F19" s="111">
        <v>2043</v>
      </c>
      <c r="G19" s="111">
        <v>17</v>
      </c>
      <c r="H19" s="133">
        <v>3.7229999999999999</v>
      </c>
      <c r="I19" s="134">
        <f t="shared" si="0"/>
        <v>3.7229999999999999E-2</v>
      </c>
      <c r="J19" s="110"/>
      <c r="K19" s="110"/>
      <c r="L19" s="110"/>
      <c r="M19" s="110"/>
      <c r="N19" s="110"/>
      <c r="O19" s="110"/>
      <c r="P19" s="110"/>
      <c r="Q19" s="110"/>
    </row>
    <row r="20" spans="1:17" x14ac:dyDescent="0.25">
      <c r="A20" s="110" t="s">
        <v>98</v>
      </c>
      <c r="B20" s="110" t="s">
        <v>97</v>
      </c>
      <c r="C20" s="135" t="s">
        <v>205</v>
      </c>
      <c r="E20" s="110"/>
      <c r="F20" s="111">
        <v>2044</v>
      </c>
      <c r="G20" s="111">
        <v>18</v>
      </c>
      <c r="H20" s="133">
        <v>3.855</v>
      </c>
      <c r="I20" s="134">
        <f t="shared" si="0"/>
        <v>3.8550000000000001E-2</v>
      </c>
      <c r="J20" s="110"/>
      <c r="K20" s="110"/>
      <c r="L20" s="110"/>
      <c r="M20" s="110"/>
      <c r="N20" s="110"/>
      <c r="O20" s="110"/>
      <c r="P20" s="110"/>
      <c r="Q20" s="110"/>
    </row>
    <row r="21" spans="1:17" x14ac:dyDescent="0.25">
      <c r="A21" s="110" t="s">
        <v>100</v>
      </c>
      <c r="B21" s="110" t="s">
        <v>99</v>
      </c>
      <c r="C21" s="135" t="s">
        <v>262</v>
      </c>
      <c r="E21" s="110"/>
      <c r="F21" s="111">
        <v>2045</v>
      </c>
      <c r="G21" s="111">
        <v>19</v>
      </c>
      <c r="H21" s="133">
        <v>3.9929999999999999</v>
      </c>
      <c r="I21" s="134">
        <f t="shared" si="0"/>
        <v>3.993E-2</v>
      </c>
      <c r="J21" s="110"/>
      <c r="K21" s="110"/>
      <c r="L21" s="110"/>
      <c r="M21" s="110"/>
      <c r="N21" s="110"/>
      <c r="O21" s="110"/>
      <c r="P21" s="110"/>
      <c r="Q21" s="110"/>
    </row>
    <row r="22" spans="1:17" x14ac:dyDescent="0.25">
      <c r="A22" s="110" t="s">
        <v>102</v>
      </c>
      <c r="B22" s="110" t="s">
        <v>101</v>
      </c>
      <c r="C22" s="135" t="s">
        <v>429</v>
      </c>
      <c r="E22" s="110"/>
      <c r="F22" s="111">
        <v>2046</v>
      </c>
      <c r="G22" s="111">
        <v>20</v>
      </c>
      <c r="H22" s="133">
        <v>4.1159999999999997</v>
      </c>
      <c r="I22" s="134">
        <f t="shared" si="0"/>
        <v>4.1159999999999995E-2</v>
      </c>
      <c r="J22" s="110"/>
      <c r="K22" s="110"/>
      <c r="L22" s="110"/>
      <c r="M22" s="110"/>
      <c r="N22" s="110"/>
      <c r="O22" s="110"/>
      <c r="P22" s="110"/>
      <c r="Q22" s="110"/>
    </row>
    <row r="23" spans="1:17" x14ac:dyDescent="0.25">
      <c r="A23" s="110" t="s">
        <v>104</v>
      </c>
      <c r="B23" s="110" t="s">
        <v>103</v>
      </c>
      <c r="C23" s="135" t="s">
        <v>430</v>
      </c>
      <c r="E23" s="110"/>
      <c r="F23" s="111">
        <v>2047</v>
      </c>
      <c r="G23" s="111">
        <v>21</v>
      </c>
      <c r="H23" s="133">
        <v>4.1980000000000004</v>
      </c>
      <c r="I23" s="134">
        <f t="shared" si="0"/>
        <v>4.1980000000000003E-2</v>
      </c>
      <c r="J23" s="110"/>
      <c r="K23" s="110"/>
      <c r="L23" s="110"/>
      <c r="M23" s="110"/>
      <c r="N23" s="110"/>
      <c r="O23" s="110"/>
      <c r="P23" s="110"/>
      <c r="Q23" s="110"/>
    </row>
    <row r="24" spans="1:17" x14ac:dyDescent="0.25">
      <c r="A24" s="110" t="s">
        <v>106</v>
      </c>
      <c r="B24" s="110" t="s">
        <v>105</v>
      </c>
      <c r="C24" s="135" t="s">
        <v>431</v>
      </c>
      <c r="E24" s="110"/>
      <c r="F24" s="111">
        <v>2048</v>
      </c>
      <c r="G24" s="111">
        <v>22</v>
      </c>
      <c r="H24" s="133">
        <v>4.2640000000000002</v>
      </c>
      <c r="I24" s="134">
        <f t="shared" si="0"/>
        <v>4.2640000000000004E-2</v>
      </c>
      <c r="J24" s="110"/>
      <c r="K24" s="110"/>
      <c r="L24" s="110"/>
      <c r="M24" s="110"/>
      <c r="N24" s="110"/>
      <c r="O24" s="110"/>
      <c r="P24" s="110"/>
      <c r="Q24" s="110"/>
    </row>
    <row r="25" spans="1:17" x14ac:dyDescent="0.25">
      <c r="A25" s="110" t="s">
        <v>108</v>
      </c>
      <c r="B25" s="110" t="s">
        <v>107</v>
      </c>
      <c r="C25" s="135" t="s">
        <v>432</v>
      </c>
      <c r="F25" s="133">
        <v>2049</v>
      </c>
      <c r="G25" s="111">
        <v>23</v>
      </c>
      <c r="H25" s="133">
        <v>4.3099999999999996</v>
      </c>
      <c r="I25" s="134">
        <f t="shared" si="0"/>
        <v>4.3099999999999999E-2</v>
      </c>
      <c r="J25" s="110"/>
      <c r="K25" s="110"/>
      <c r="L25" s="110"/>
      <c r="M25" s="110"/>
      <c r="N25" s="110"/>
      <c r="O25" s="110"/>
      <c r="P25" s="110"/>
      <c r="Q25" s="110"/>
    </row>
    <row r="26" spans="1:17" x14ac:dyDescent="0.25">
      <c r="A26" s="110" t="s">
        <v>110</v>
      </c>
      <c r="B26" s="110" t="s">
        <v>109</v>
      </c>
      <c r="C26" s="135" t="s">
        <v>433</v>
      </c>
      <c r="F26" s="133">
        <v>2050</v>
      </c>
      <c r="G26" s="111">
        <v>24</v>
      </c>
      <c r="H26" s="133">
        <v>4.3620000000000001</v>
      </c>
      <c r="I26" s="134">
        <f t="shared" si="0"/>
        <v>4.3619999999999999E-2</v>
      </c>
      <c r="J26" s="110"/>
      <c r="K26" s="110"/>
      <c r="L26" s="110"/>
      <c r="M26" s="110"/>
      <c r="N26" s="110"/>
      <c r="O26" s="110"/>
      <c r="P26" s="110"/>
      <c r="Q26" s="110"/>
    </row>
    <row r="27" spans="1:17" x14ac:dyDescent="0.25">
      <c r="A27" s="110" t="s">
        <v>112</v>
      </c>
      <c r="B27" s="110" t="s">
        <v>111</v>
      </c>
      <c r="C27" s="135" t="s">
        <v>434</v>
      </c>
      <c r="F27" s="133">
        <v>2051</v>
      </c>
      <c r="G27" s="111">
        <v>25</v>
      </c>
      <c r="H27" s="133">
        <v>4.3849999999999998</v>
      </c>
      <c r="I27" s="134">
        <f t="shared" si="0"/>
        <v>4.385E-2</v>
      </c>
      <c r="J27" s="110"/>
      <c r="K27" s="110"/>
      <c r="L27" s="110"/>
      <c r="M27" s="110"/>
      <c r="N27" s="110"/>
      <c r="O27" s="110"/>
      <c r="P27" s="110"/>
      <c r="Q27" s="110"/>
    </row>
    <row r="28" spans="1:17" x14ac:dyDescent="0.25">
      <c r="A28" s="110" t="s">
        <v>114</v>
      </c>
      <c r="B28" s="110" t="s">
        <v>113</v>
      </c>
      <c r="C28" s="135" t="s">
        <v>435</v>
      </c>
      <c r="F28" s="133">
        <v>2052</v>
      </c>
      <c r="G28" s="111">
        <v>26</v>
      </c>
      <c r="H28" s="133">
        <v>4.407</v>
      </c>
      <c r="I28" s="134">
        <f t="shared" si="0"/>
        <v>4.4069999999999998E-2</v>
      </c>
      <c r="J28" s="110"/>
      <c r="K28" s="110"/>
      <c r="L28" s="110"/>
      <c r="M28" s="110"/>
      <c r="N28" s="110"/>
      <c r="O28" s="110"/>
      <c r="P28" s="110"/>
      <c r="Q28" s="110"/>
    </row>
    <row r="29" spans="1:17" x14ac:dyDescent="0.25">
      <c r="A29" s="110" t="s">
        <v>116</v>
      </c>
      <c r="B29" s="110" t="s">
        <v>115</v>
      </c>
      <c r="C29" s="135" t="s">
        <v>436</v>
      </c>
      <c r="F29" s="133">
        <v>2053</v>
      </c>
      <c r="G29" s="111">
        <v>27</v>
      </c>
      <c r="H29" s="133">
        <v>4.4219999999999997</v>
      </c>
      <c r="I29" s="134">
        <f t="shared" si="0"/>
        <v>4.4219999999999995E-2</v>
      </c>
      <c r="J29" s="110"/>
      <c r="K29" s="110"/>
      <c r="L29" s="110"/>
      <c r="M29" s="110"/>
      <c r="N29" s="110"/>
      <c r="O29" s="110"/>
      <c r="P29" s="110"/>
      <c r="Q29" s="110"/>
    </row>
    <row r="30" spans="1:17" x14ac:dyDescent="0.25">
      <c r="A30" s="110" t="s">
        <v>118</v>
      </c>
      <c r="B30" s="110" t="s">
        <v>117</v>
      </c>
      <c r="C30" s="135" t="s">
        <v>437</v>
      </c>
      <c r="F30" s="133">
        <v>2054</v>
      </c>
      <c r="G30" s="111">
        <v>28</v>
      </c>
      <c r="H30" s="133">
        <v>4.4459999999999997</v>
      </c>
      <c r="I30" s="134">
        <f t="shared" si="0"/>
        <v>4.446E-2</v>
      </c>
      <c r="J30" s="110"/>
      <c r="K30" s="110"/>
      <c r="L30" s="110"/>
      <c r="M30" s="110"/>
      <c r="N30" s="110"/>
      <c r="O30" s="110"/>
      <c r="P30" s="110"/>
      <c r="Q30" s="110"/>
    </row>
    <row r="31" spans="1:17" x14ac:dyDescent="0.25">
      <c r="A31" s="110" t="s">
        <v>120</v>
      </c>
      <c r="B31" s="110" t="s">
        <v>119</v>
      </c>
      <c r="C31" s="135" t="s">
        <v>438</v>
      </c>
      <c r="F31" s="133">
        <v>2055</v>
      </c>
      <c r="G31" s="111">
        <v>29</v>
      </c>
      <c r="H31" s="133">
        <v>4.452</v>
      </c>
      <c r="I31" s="134">
        <f t="shared" si="0"/>
        <v>4.4519999999999997E-2</v>
      </c>
      <c r="J31" s="110"/>
      <c r="K31" s="110"/>
      <c r="L31" s="110"/>
      <c r="M31" s="110"/>
      <c r="N31" s="110"/>
      <c r="O31" s="110"/>
      <c r="P31" s="110"/>
      <c r="Q31" s="110"/>
    </row>
    <row r="32" spans="1:17" x14ac:dyDescent="0.25">
      <c r="A32" s="110" t="s">
        <v>249</v>
      </c>
      <c r="B32" s="110" t="s">
        <v>121</v>
      </c>
      <c r="C32" s="135" t="s">
        <v>439</v>
      </c>
      <c r="F32" s="133">
        <v>2056</v>
      </c>
      <c r="G32" s="111">
        <v>30</v>
      </c>
      <c r="H32" s="133">
        <v>4.4720000000000004</v>
      </c>
      <c r="I32" s="134">
        <f t="shared" si="0"/>
        <v>4.4720000000000003E-2</v>
      </c>
      <c r="J32" s="110"/>
      <c r="K32" s="110"/>
      <c r="L32" s="110"/>
      <c r="M32" s="110"/>
      <c r="N32" s="110"/>
      <c r="O32" s="110"/>
      <c r="P32" s="110"/>
      <c r="Q32" s="110"/>
    </row>
    <row r="33" spans="1:17" x14ac:dyDescent="0.25">
      <c r="E33" s="110"/>
      <c r="F33" s="111" t="str">
        <f>IF(F32&lt;&gt;"","*"&amp;F32+1,"")</f>
        <v>*2057</v>
      </c>
      <c r="G33" s="112" t="str">
        <f>IF(F33&lt;&gt;"","N/A","")</f>
        <v>N/A</v>
      </c>
      <c r="H33" s="133">
        <f>IF(F33&lt;&gt;"",H32,"")</f>
        <v>4.4720000000000004</v>
      </c>
      <c r="I33" s="134">
        <f>IF(H33&lt;&gt;"",H33/100,"")</f>
        <v>4.4720000000000003E-2</v>
      </c>
      <c r="J33" s="110"/>
      <c r="K33" s="110"/>
      <c r="L33" s="110"/>
      <c r="M33" s="110"/>
      <c r="N33" s="110"/>
      <c r="O33" s="110"/>
      <c r="P33" s="110"/>
      <c r="Q33" s="110"/>
    </row>
    <row r="34" spans="1:17" x14ac:dyDescent="0.25"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</row>
    <row r="35" spans="1:17" x14ac:dyDescent="0.25">
      <c r="A35" s="147" t="s">
        <v>407</v>
      </c>
      <c r="B35" s="147"/>
      <c r="C35" s="147"/>
      <c r="D35" s="109" t="b">
        <v>0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</row>
    <row r="36" spans="1:17" ht="16.5" thickBot="1" x14ac:dyDescent="0.3">
      <c r="A36" s="106" t="s">
        <v>2</v>
      </c>
      <c r="B36" s="107" t="s">
        <v>62</v>
      </c>
      <c r="C36" s="107" t="s">
        <v>7</v>
      </c>
      <c r="D36" s="110" t="str">
        <f>IF(HelperCells!$B$2&lt;&gt;"","Updated: " &amp; TEXT(HelperCells!$B$2, "mm/dd/yyyy hh:mm AM/PM"),"")</f>
        <v/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</row>
    <row r="37" spans="1:17" ht="16.5" thickTop="1" x14ac:dyDescent="0.25">
      <c r="A37" s="136"/>
      <c r="B37" s="137"/>
      <c r="C37" s="138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</row>
    <row r="38" spans="1:17" x14ac:dyDescent="0.25">
      <c r="A38" s="139"/>
      <c r="B38" s="140"/>
      <c r="C38" s="141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</row>
    <row r="39" spans="1:17" x14ac:dyDescent="0.25">
      <c r="A39" s="142"/>
      <c r="B39" s="143"/>
      <c r="C39" s="144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</row>
    <row r="40" spans="1:17" x14ac:dyDescent="0.25">
      <c r="A40" s="139"/>
      <c r="B40" s="140"/>
      <c r="C40" s="141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</row>
    <row r="41" spans="1:17" x14ac:dyDescent="0.25">
      <c r="A41" s="142"/>
      <c r="B41" s="143"/>
      <c r="C41" s="144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</row>
    <row r="42" spans="1:17" x14ac:dyDescent="0.25">
      <c r="A42" s="139"/>
      <c r="B42" s="140"/>
      <c r="C42" s="141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</row>
    <row r="43" spans="1:17" x14ac:dyDescent="0.25">
      <c r="A43" s="142"/>
      <c r="B43" s="143"/>
      <c r="C43" s="144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</row>
    <row r="44" spans="1:17" x14ac:dyDescent="0.25">
      <c r="A44" s="139"/>
      <c r="B44" s="140"/>
      <c r="C44" s="141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</row>
    <row r="45" spans="1:17" x14ac:dyDescent="0.25">
      <c r="A45" s="142"/>
      <c r="B45" s="143"/>
      <c r="C45" s="144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</row>
    <row r="46" spans="1:17" x14ac:dyDescent="0.25">
      <c r="A46" s="139"/>
      <c r="B46" s="140"/>
      <c r="C46" s="141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</row>
    <row r="47" spans="1:17" x14ac:dyDescent="0.25">
      <c r="A47" s="142"/>
      <c r="B47" s="143"/>
      <c r="C47" s="144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</row>
    <row r="48" spans="1:17" x14ac:dyDescent="0.25">
      <c r="A48" s="139"/>
      <c r="B48" s="140"/>
      <c r="C48" s="141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</row>
    <row r="49" spans="1:17" x14ac:dyDescent="0.25">
      <c r="A49" s="142"/>
      <c r="B49" s="143"/>
      <c r="C49" s="144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</row>
    <row r="50" spans="1:17" x14ac:dyDescent="0.25">
      <c r="A50" s="139"/>
      <c r="B50" s="140"/>
      <c r="C50" s="141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</row>
    <row r="51" spans="1:17" x14ac:dyDescent="0.25">
      <c r="A51" s="142"/>
      <c r="B51" s="143"/>
      <c r="C51" s="144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</row>
    <row r="52" spans="1:17" x14ac:dyDescent="0.25">
      <c r="A52" s="139"/>
      <c r="B52" s="140"/>
      <c r="C52" s="141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</row>
    <row r="53" spans="1:17" x14ac:dyDescent="0.25">
      <c r="A53" s="142"/>
      <c r="B53" s="143"/>
      <c r="C53" s="144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</row>
    <row r="54" spans="1:17" x14ac:dyDescent="0.25">
      <c r="A54" s="139"/>
      <c r="B54" s="140"/>
      <c r="C54" s="141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</row>
    <row r="55" spans="1:17" x14ac:dyDescent="0.25">
      <c r="A55" s="142"/>
      <c r="B55" s="143"/>
      <c r="C55" s="144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</row>
    <row r="56" spans="1:17" x14ac:dyDescent="0.25">
      <c r="A56" s="139"/>
      <c r="B56" s="140"/>
      <c r="C56" s="141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</row>
    <row r="57" spans="1:17" x14ac:dyDescent="0.25">
      <c r="A57" s="142"/>
      <c r="B57" s="143"/>
      <c r="C57" s="144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</row>
    <row r="58" spans="1:17" x14ac:dyDescent="0.25">
      <c r="A58" s="139"/>
      <c r="B58" s="140"/>
      <c r="C58" s="141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</row>
    <row r="59" spans="1:17" x14ac:dyDescent="0.25">
      <c r="A59" s="142"/>
      <c r="B59" s="143"/>
      <c r="C59" s="144"/>
    </row>
    <row r="60" spans="1:17" x14ac:dyDescent="0.25">
      <c r="A60" s="139"/>
      <c r="B60" s="140"/>
      <c r="C60" s="141"/>
    </row>
    <row r="61" spans="1:17" x14ac:dyDescent="0.25">
      <c r="A61" s="142"/>
      <c r="B61" s="143"/>
      <c r="C61" s="144"/>
    </row>
    <row r="62" spans="1:17" x14ac:dyDescent="0.25">
      <c r="A62" s="139"/>
      <c r="B62" s="140"/>
      <c r="C62" s="141"/>
    </row>
    <row r="63" spans="1:17" x14ac:dyDescent="0.25">
      <c r="A63" s="142"/>
      <c r="B63" s="143"/>
      <c r="C63" s="144"/>
    </row>
    <row r="64" spans="1:17" x14ac:dyDescent="0.25">
      <c r="A64" s="139"/>
      <c r="B64" s="140"/>
      <c r="C64" s="141"/>
    </row>
    <row r="65" spans="1:3" x14ac:dyDescent="0.25">
      <c r="A65" s="142"/>
      <c r="B65" s="143"/>
      <c r="C65" s="144"/>
    </row>
    <row r="66" spans="1:3" x14ac:dyDescent="0.25">
      <c r="A66" s="139"/>
      <c r="B66" s="140"/>
      <c r="C66" s="141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 s="108"/>
      <c r="B120"/>
      <c r="C120"/>
    </row>
  </sheetData>
  <mergeCells count="3">
    <mergeCell ref="A35:C35"/>
    <mergeCell ref="A1:C1"/>
    <mergeCell ref="F1:I1"/>
  </mergeCells>
  <conditionalFormatting sqref="F3:I33">
    <cfRule type="expression" dxfId="25" priority="1">
      <formula>AND($F3:$I3&lt;&gt;"", ISEVEN(ROW()))</formula>
    </cfRule>
    <cfRule type="expression" dxfId="24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28575</xdr:colOff>
                    <xdr:row>33</xdr:row>
                    <xdr:rowOff>104775</xdr:rowOff>
                  </from>
                  <to>
                    <xdr:col>3</xdr:col>
                    <xdr:colOff>1028700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4</xdr:col>
                    <xdr:colOff>923925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F36"/>
  <sheetViews>
    <sheetView workbookViewId="0">
      <selection activeCell="E22" sqref="E22"/>
    </sheetView>
    <sheetView tabSelected="1" workbookViewId="1">
      <selection activeCell="F22" sqref="F22"/>
    </sheetView>
  </sheetViews>
  <sheetFormatPr defaultColWidth="11.42578125" defaultRowHeight="15" x14ac:dyDescent="0.25"/>
  <cols>
    <col min="1" max="1" width="27.7109375" bestFit="1" customWidth="1"/>
    <col min="2" max="2" width="42.140625" bestFit="1" customWidth="1"/>
    <col min="5" max="5" width="30.7109375" bestFit="1" customWidth="1"/>
    <col min="6" max="6" width="19.42578125" bestFit="1" customWidth="1"/>
  </cols>
  <sheetData>
    <row r="1" spans="1:6" ht="15.75" x14ac:dyDescent="0.25">
      <c r="A1" s="168" t="s">
        <v>406</v>
      </c>
      <c r="B1" s="168"/>
      <c r="E1" s="170" t="s">
        <v>467</v>
      </c>
      <c r="F1" s="170" t="s">
        <v>495</v>
      </c>
    </row>
    <row r="2" spans="1:6" x14ac:dyDescent="0.25">
      <c r="A2" s="119" t="s">
        <v>408</v>
      </c>
      <c r="B2" s="120"/>
      <c r="E2" s="180" t="s">
        <v>456</v>
      </c>
      <c r="F2" s="181">
        <f>CPI!J8</f>
        <v>1.5468972511925472E-2</v>
      </c>
    </row>
    <row r="3" spans="1:6" x14ac:dyDescent="0.25">
      <c r="A3" s="119" t="s">
        <v>409</v>
      </c>
      <c r="B3" s="120">
        <v>46162.569918981484</v>
      </c>
      <c r="E3" s="180" t="s">
        <v>457</v>
      </c>
      <c r="F3" s="181">
        <f>CPI!J9</f>
        <v>2.3977134838169212E-2</v>
      </c>
    </row>
    <row r="4" spans="1:6" x14ac:dyDescent="0.25">
      <c r="A4" s="119" t="s">
        <v>476</v>
      </c>
      <c r="B4" s="121"/>
      <c r="E4" s="180" t="s">
        <v>484</v>
      </c>
      <c r="F4" s="181">
        <f>CPI!Z8</f>
        <v>1.6240253759025602E-2</v>
      </c>
    </row>
    <row r="5" spans="1:6" x14ac:dyDescent="0.25">
      <c r="A5" s="119" t="s">
        <v>444</v>
      </c>
      <c r="B5" s="122"/>
      <c r="E5" s="180" t="s">
        <v>485</v>
      </c>
      <c r="F5" s="181">
        <f>CPI!Z9</f>
        <v>2.0736944174645666E-2</v>
      </c>
    </row>
    <row r="6" spans="1:6" x14ac:dyDescent="0.25">
      <c r="E6" s="180" t="s">
        <v>458</v>
      </c>
      <c r="F6" s="181">
        <f>CPI!AP8</f>
        <v>2.9013238210415127E-2</v>
      </c>
    </row>
    <row r="7" spans="1:6" x14ac:dyDescent="0.25">
      <c r="E7" s="180" t="s">
        <v>459</v>
      </c>
      <c r="F7" s="181">
        <f>CPI!AP9</f>
        <v>3.5117348400309334E-2</v>
      </c>
    </row>
    <row r="8" spans="1:6" x14ac:dyDescent="0.25">
      <c r="A8" s="167" t="s">
        <v>473</v>
      </c>
      <c r="B8" s="167"/>
      <c r="E8" s="180" t="s">
        <v>478</v>
      </c>
      <c r="F8" s="181">
        <f>CPI!BF8</f>
        <v>1.7032105327638547E-2</v>
      </c>
    </row>
    <row r="9" spans="1:6" x14ac:dyDescent="0.25">
      <c r="A9" s="172" t="s">
        <v>468</v>
      </c>
      <c r="B9" s="171">
        <f>'Item Inputs'!D2</f>
        <v>2026</v>
      </c>
      <c r="E9" s="180" t="s">
        <v>479</v>
      </c>
      <c r="F9" s="181">
        <f>CPI!BF9</f>
        <v>2.9548225004298212E-2</v>
      </c>
    </row>
    <row r="10" spans="1:6" x14ac:dyDescent="0.25">
      <c r="A10" s="114" t="s">
        <v>400</v>
      </c>
      <c r="B10" s="115">
        <f>MIN(ItemInputs[Start Offset (Years)])</f>
        <v>0</v>
      </c>
      <c r="E10" s="180" t="s">
        <v>480</v>
      </c>
      <c r="F10" s="181">
        <f>CPI!BV8</f>
        <v>1.3165871668195939E-2</v>
      </c>
    </row>
    <row r="11" spans="1:6" x14ac:dyDescent="0.25">
      <c r="A11" s="114" t="s">
        <v>401</v>
      </c>
      <c r="B11" s="115">
        <f>MAX(ItemInputs[Start Offset (Years)])</f>
        <v>10</v>
      </c>
      <c r="E11" s="180" t="s">
        <v>481</v>
      </c>
      <c r="F11" s="181">
        <f>CPI!BV9</f>
        <v>5.9472711615842222E-3</v>
      </c>
    </row>
    <row r="12" spans="1:6" x14ac:dyDescent="0.25">
      <c r="A12" s="114" t="s">
        <v>471</v>
      </c>
      <c r="B12" s="115">
        <f>B9+B10</f>
        <v>2026</v>
      </c>
      <c r="E12" s="180" t="s">
        <v>460</v>
      </c>
      <c r="F12" s="181">
        <f>CPI!CL8</f>
        <v>3.1986541506141108E-2</v>
      </c>
    </row>
    <row r="13" spans="1:6" x14ac:dyDescent="0.25">
      <c r="A13" s="114" t="s">
        <v>472</v>
      </c>
      <c r="B13" s="115">
        <f>B9+B11</f>
        <v>2036</v>
      </c>
      <c r="E13" s="180" t="s">
        <v>461</v>
      </c>
      <c r="F13" s="181">
        <f>CPI!CL9</f>
        <v>2.5219757035239265E-2</v>
      </c>
    </row>
    <row r="14" spans="1:6" x14ac:dyDescent="0.25">
      <c r="A14" s="114"/>
      <c r="B14" s="115"/>
      <c r="E14" s="180" t="s">
        <v>482</v>
      </c>
      <c r="F14" s="181">
        <f>CPI!DB8</f>
        <v>4.243395960896823E-2</v>
      </c>
    </row>
    <row r="15" spans="1:6" x14ac:dyDescent="0.25">
      <c r="A15" s="114" t="s">
        <v>470</v>
      </c>
      <c r="B15" s="116">
        <f>MIN(ItemInputs['# of Years to End])</f>
        <v>0</v>
      </c>
      <c r="E15" s="180" t="s">
        <v>483</v>
      </c>
      <c r="F15" s="181">
        <f>CPI!DB9</f>
        <v>5.1105510345681227E-2</v>
      </c>
    </row>
    <row r="16" spans="1:6" x14ac:dyDescent="0.25">
      <c r="A16" s="114" t="s">
        <v>469</v>
      </c>
      <c r="B16" s="116">
        <f>MAX(ItemInputs['# of Years to End])</f>
        <v>30</v>
      </c>
      <c r="E16" s="180" t="s">
        <v>486</v>
      </c>
      <c r="F16" s="181">
        <f>CPI!DR8</f>
        <v>3.3582223276373169E-2</v>
      </c>
    </row>
    <row r="17" spans="1:6" x14ac:dyDescent="0.25">
      <c r="A17" s="114"/>
      <c r="B17" s="171"/>
      <c r="E17" s="180" t="s">
        <v>487</v>
      </c>
      <c r="F17" s="181">
        <f>CPI!DR9</f>
        <v>5.0180825244312333E-2</v>
      </c>
    </row>
    <row r="18" spans="1:6" x14ac:dyDescent="0.25">
      <c r="A18" s="114" t="s">
        <v>474</v>
      </c>
      <c r="B18" s="171">
        <f>B12+B15</f>
        <v>2026</v>
      </c>
      <c r="E18" s="180" t="s">
        <v>488</v>
      </c>
      <c r="F18" s="181">
        <f>CPI!EH8</f>
        <v>4.0322082991401498E-2</v>
      </c>
    </row>
    <row r="19" spans="1:6" x14ac:dyDescent="0.25">
      <c r="A19" s="114" t="s">
        <v>475</v>
      </c>
      <c r="B19" s="171">
        <f>B13+B16</f>
        <v>2066</v>
      </c>
      <c r="E19" s="180" t="s">
        <v>489</v>
      </c>
      <c r="F19" s="181">
        <f>CPI!EH9</f>
        <v>5.2900906226266198E-2</v>
      </c>
    </row>
    <row r="20" spans="1:6" x14ac:dyDescent="0.25">
      <c r="A20" s="117"/>
      <c r="B20" s="117"/>
      <c r="E20" s="180" t="s">
        <v>477</v>
      </c>
      <c r="F20" s="181">
        <f>CPI!EX8</f>
        <v>1.2077933361885673E-2</v>
      </c>
    </row>
    <row r="21" spans="1:6" x14ac:dyDescent="0.25">
      <c r="A21" s="118" t="s">
        <v>402</v>
      </c>
      <c r="B21" s="116">
        <f>B18+1</f>
        <v>2027</v>
      </c>
      <c r="E21" s="180" t="s">
        <v>494</v>
      </c>
      <c r="F21" s="181">
        <f>CPI!EX9</f>
        <v>6.8640376499573552E-3</v>
      </c>
    </row>
    <row r="22" spans="1:6" x14ac:dyDescent="0.25">
      <c r="A22" s="118" t="s">
        <v>403</v>
      </c>
      <c r="B22" s="116">
        <f>B19+1</f>
        <v>2067</v>
      </c>
    </row>
    <row r="25" spans="1:6" x14ac:dyDescent="0.25">
      <c r="A25" s="169"/>
      <c r="B25" s="169"/>
    </row>
    <row r="26" spans="1:6" x14ac:dyDescent="0.25">
      <c r="A26" s="123"/>
      <c r="B26" s="124"/>
    </row>
    <row r="27" spans="1:6" x14ac:dyDescent="0.25">
      <c r="A27" s="123"/>
      <c r="B27" s="125"/>
    </row>
    <row r="28" spans="1:6" x14ac:dyDescent="0.25">
      <c r="A28" s="123"/>
      <c r="B28" s="124"/>
    </row>
    <row r="29" spans="1:6" x14ac:dyDescent="0.25">
      <c r="A29" s="126"/>
      <c r="B29" s="127"/>
    </row>
    <row r="30" spans="1:6" x14ac:dyDescent="0.25">
      <c r="A30" s="123"/>
      <c r="B30" s="122"/>
    </row>
    <row r="31" spans="1:6" x14ac:dyDescent="0.25">
      <c r="A31" s="123"/>
      <c r="B31" s="125"/>
    </row>
    <row r="32" spans="1:6" x14ac:dyDescent="0.25">
      <c r="A32" s="123"/>
      <c r="B32" s="125"/>
    </row>
    <row r="33" spans="1:2" x14ac:dyDescent="0.25">
      <c r="A33" s="126"/>
      <c r="B33" s="128"/>
    </row>
    <row r="34" spans="1:2" x14ac:dyDescent="0.25">
      <c r="A34" s="123"/>
      <c r="B34" s="129"/>
    </row>
    <row r="35" spans="1:2" x14ac:dyDescent="0.25">
      <c r="A35" s="123"/>
      <c r="B35" s="129"/>
    </row>
    <row r="36" spans="1:2" x14ac:dyDescent="0.25">
      <c r="A36" s="123"/>
      <c r="B36" s="129"/>
    </row>
  </sheetData>
  <mergeCells count="3">
    <mergeCell ref="A8:B8"/>
    <mergeCell ref="A1:B1"/>
    <mergeCell ref="A25:B25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2026-05-22T22:26:49Z</dcterms:modified>
</cp:coreProperties>
</file>