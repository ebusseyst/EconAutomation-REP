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rinterSettings/printerSettings3.bin" ContentType="application/vnd.openxmlformats-officedocument.spreadsheetml.printerSettings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econ_wb_templates\"/>
    </mc:Choice>
  </mc:AlternateContent>
  <xr:revisionPtr revIDLastSave="0" documentId="13_ncr:1_{9C4A1A8E-417B-4713-8046-427A13D7242B}" xr6:coauthVersionLast="47" xr6:coauthVersionMax="47" xr10:uidLastSave="{00000000-0000-0000-0000-000000000000}"/>
  <bookViews>
    <workbookView xWindow="-120" yWindow="-120" windowWidth="29040" windowHeight="15720" xr2:uid="{1E1121EA-C6AD-483A-BF32-43B2704A5388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 (2)" sheetId="31" r:id="rId10"/>
    <sheet name="PV_Summary_No_Rounding" sheetId="29" r:id="rId11"/>
    <sheet name="PV_Totals_By_Item" sheetId="13" r:id="rId12"/>
    <sheet name="Pivoted_By_Year" sheetId="14" r:id="rId13"/>
    <sheet name="AppOptions" sheetId="16" r:id="rId14"/>
    <sheet name="Options " sheetId="15" r:id="rId15"/>
    <sheet name="GetBloombergDailyYieldCurve_cur" sheetId="8" r:id="rId16"/>
  </sheets>
  <definedNames>
    <definedName name="ExternalData_1" localSheetId="13" hidden="1">AppOptions!$A$1:$B$9</definedName>
    <definedName name="ExternalData_1" localSheetId="6" hidden="1">DepletionOfFunds!$A$1:$O$59</definedName>
    <definedName name="ExternalData_1" localSheetId="7" hidden="1">Future_Cost_By_Year!$A$1:$D$17</definedName>
    <definedName name="ExternalData_1" localSheetId="15" hidden="1">GetBloombergDailyYieldCurve_cur!$A$1:$C$31</definedName>
    <definedName name="ExternalData_1" localSheetId="5" hidden="1">'Roll Up'!$A$1:$AU$714</definedName>
    <definedName name="ExternalData_2" localSheetId="12" hidden="1">Pivoted_By_Year!$A$1:$J$2</definedName>
    <definedName name="ExternalData_2" localSheetId="11" hidden="1">PV_Totals_By_Item!$A$1:$G$57</definedName>
    <definedName name="ExternalData_3" localSheetId="10" hidden="1">PV_Summary_No_Rounding!$A$1:$G$57</definedName>
    <definedName name="ExternalData_4" localSheetId="9" hidden="1">'PV_Summary_No_Rounding (2)'!$A$1:$G$57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0" l="1" a="1"/>
  <c r="D24" i="30" s="1"/>
  <c r="D23" i="30" a="1"/>
  <c r="D23" i="30" s="1"/>
  <c r="D22" i="30" a="1"/>
  <c r="D22" i="30" s="1"/>
  <c r="D21" i="30" a="1"/>
  <c r="D21" i="30" s="1"/>
  <c r="D20" i="30" a="1"/>
  <c r="D20" i="30" s="1"/>
  <c r="D19" i="30" a="1"/>
  <c r="D19" i="30" s="1"/>
  <c r="D18" i="30" a="1"/>
  <c r="D18" i="30" s="1"/>
  <c r="D17" i="30" a="1"/>
  <c r="D17" i="30" s="1"/>
  <c r="D16" i="30" a="1"/>
  <c r="D16" i="30" s="1"/>
  <c r="D15" i="30" a="1"/>
  <c r="D15" i="30" s="1"/>
  <c r="D14" i="30" a="1"/>
  <c r="D14" i="30" s="1"/>
  <c r="D13" i="30" a="1"/>
  <c r="D13" i="30" s="1"/>
  <c r="D12" i="30" a="1"/>
  <c r="D12" i="30" s="1"/>
  <c r="D8" i="30" a="1"/>
  <c r="D8" i="30" s="1"/>
  <c r="D11" i="30" a="1"/>
  <c r="D11" i="30" s="1"/>
  <c r="D10" i="30" a="1"/>
  <c r="D10" i="30" s="1"/>
  <c r="I1" i="30" a="1"/>
  <c r="I1" i="30" s="1"/>
  <c r="F1" i="30" a="1"/>
  <c r="F1" i="30" s="1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G32" i="8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D101" i="30" a="1"/>
  <c r="D101" i="30" s="1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72" i="30" a="1"/>
  <c r="D72" i="30" s="1"/>
  <c r="D71" i="30" a="1"/>
  <c r="D71" i="30" s="1"/>
  <c r="D70" i="30" a="1"/>
  <c r="D70" i="30" s="1"/>
  <c r="D69" i="30" a="1"/>
  <c r="D69" i="30" s="1"/>
  <c r="D68" i="30" a="1"/>
  <c r="D68" i="30" s="1"/>
  <c r="D67" i="30" a="1"/>
  <c r="D67" i="30" s="1"/>
  <c r="D66" i="30" a="1"/>
  <c r="D66" i="30" s="1"/>
  <c r="D65" i="30" a="1"/>
  <c r="D65" i="30" s="1"/>
  <c r="D64" i="30" a="1"/>
  <c r="D64" i="30" s="1"/>
  <c r="D63" i="30" a="1"/>
  <c r="D63" i="30" s="1"/>
  <c r="D62" i="30" a="1"/>
  <c r="D62" i="30" s="1"/>
  <c r="D61" i="30" a="1"/>
  <c r="D61" i="30" s="1"/>
  <c r="D60" i="30" a="1"/>
  <c r="D60" i="30" s="1"/>
  <c r="D59" i="30" a="1"/>
  <c r="D59" i="30" s="1"/>
  <c r="D58" i="30" a="1"/>
  <c r="D58" i="30" s="1"/>
  <c r="D57" i="30" a="1"/>
  <c r="D57" i="30" s="1"/>
  <c r="D56" i="30" a="1"/>
  <c r="D56" i="30" s="1"/>
  <c r="D55" i="30" a="1"/>
  <c r="D55" i="30" s="1"/>
  <c r="D54" i="30" a="1"/>
  <c r="D54" i="30" s="1"/>
  <c r="D53" i="30" a="1"/>
  <c r="D53" i="30" s="1"/>
  <c r="D52" i="30" a="1"/>
  <c r="D52" i="30" s="1"/>
  <c r="D51" i="30" a="1"/>
  <c r="D51" i="30" s="1"/>
  <c r="D50" i="30" a="1"/>
  <c r="D50" i="30" s="1"/>
  <c r="D49" i="30" a="1"/>
  <c r="D49" i="30" s="1"/>
  <c r="D48" i="30" a="1"/>
  <c r="D48" i="30" s="1"/>
  <c r="D47" i="30" a="1"/>
  <c r="D47" i="30" s="1"/>
  <c r="D46" i="30" a="1"/>
  <c r="D46" i="30" s="1"/>
  <c r="D45" i="30" a="1"/>
  <c r="D45" i="30" s="1"/>
  <c r="D44" i="30" a="1"/>
  <c r="D44" i="30" s="1"/>
  <c r="D43" i="30" a="1"/>
  <c r="D43" i="30" s="1"/>
  <c r="D42" i="30" a="1"/>
  <c r="D42" i="30" s="1"/>
  <c r="D41" i="30" a="1"/>
  <c r="D41" i="30" s="1"/>
  <c r="D40" i="30" a="1"/>
  <c r="D40" i="30" s="1"/>
  <c r="D39" i="30" a="1"/>
  <c r="D39" i="30" s="1"/>
  <c r="D38" i="30" a="1"/>
  <c r="D38" i="30" s="1"/>
  <c r="D37" i="30" a="1"/>
  <c r="D37" i="30" s="1"/>
  <c r="D36" i="30" a="1"/>
  <c r="D36" i="30" s="1"/>
  <c r="D35" i="30" a="1"/>
  <c r="D35" i="30" s="1"/>
  <c r="D34" i="30" a="1"/>
  <c r="D34" i="30" s="1"/>
  <c r="D33" i="30" a="1"/>
  <c r="D33" i="30" s="1"/>
  <c r="D32" i="30" a="1"/>
  <c r="D32" i="30" s="1"/>
  <c r="D31" i="30" a="1"/>
  <c r="D31" i="30" s="1"/>
  <c r="D30" i="30" a="1"/>
  <c r="D30" i="30" s="1"/>
  <c r="D29" i="30" a="1"/>
  <c r="D29" i="30" s="1"/>
  <c r="D28" i="30" a="1"/>
  <c r="D28" i="30" s="1"/>
  <c r="D27" i="30" a="1"/>
  <c r="D27" i="30" s="1"/>
  <c r="D26" i="30" a="1"/>
  <c r="D26" i="30" s="1"/>
  <c r="D25" i="30" a="1"/>
  <c r="D25" i="30" s="1"/>
  <c r="D9" i="30" a="1"/>
  <c r="D9" i="30" s="1"/>
  <c r="D7" i="30" a="1"/>
  <c r="D7" i="30" s="1"/>
  <c r="EH8" i="28"/>
  <c r="DR8" i="28"/>
  <c r="BV8" i="28"/>
  <c r="EX8" i="28"/>
  <c r="CL8" i="28"/>
  <c r="BF8" i="28"/>
  <c r="AP8" i="28"/>
  <c r="J8" i="28"/>
  <c r="DB8" i="28"/>
  <c r="K2" i="14"/>
  <c r="F3" i="8"/>
  <c r="B8" i="1" l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Z8" i="28" l="1"/>
  <c r="H55" i="1" l="1"/>
  <c r="D4" i="30" s="1" a="1"/>
  <c r="D4" i="30" s="1"/>
  <c r="I55" i="1"/>
  <c r="D5" i="30" s="1" a="1"/>
  <c r="D5" i="30" s="1"/>
  <c r="G55" i="1"/>
  <c r="D3" i="30" s="1" a="1"/>
  <c r="D3" i="30" s="1"/>
  <c r="J55" i="1"/>
  <c r="D6" i="30" s="1" a="1"/>
  <c r="D6" i="30" s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 s="1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tc={EB2FA09B-B237-496B-835F-021A24B558AC}</author>
  </authors>
  <commentList>
    <comment ref="A58" authorId="0" shapeId="0" xr:uid="{EB2FA09B-B237-496B-835F-021A24B558AC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itemized, derived WC_disc_rate years between low and high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tc={4BF55CFA-BE96-4022-A20D-01B73FE2FDFD}</author>
  </authors>
  <commentList>
    <comment ref="AL1" authorId="0" shapeId="0" xr:uid="{4BF55CFA-BE96-4022-A20D-01B73FE2FD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lowest to highest non-zero DRs from this column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tc={5287E0B0-5832-4F99-85E0-E23AEDF1D5A7}</author>
    <author>tc={E705A557-1001-4634-BB81-6E8FEDF20CAA}</author>
  </authors>
  <commentList>
    <comment ref="D1" authorId="0" shapeId="0" xr:uid="{5287E0B0-5832-4F99-85E0-E23AEDF1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make a chart, currently manual</t>
      </text>
    </comment>
    <comment ref="E1" authorId="1" shapeId="0" xr:uid="{E705A557-1001-4634-BB81-6E8FEDF20CA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some sort of guard to confirm that # of items in table == Item Inputs
Also make sure the inputs match the Life Care Plan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3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4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5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6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7" xr16:uid="{255BD914-C41C-4300-9CDA-8AA433BB7055}" keepAlive="1" name="Query - PV_Summary_No_Rounding (2)" description="Connection to the 'PV_Summary_No_Rounding (2)' query in the workbook." type="5" refreshedVersion="8" background="1" saveData="1">
    <dbPr connection="Provider=Microsoft.Mashup.OleDb.1;Data Source=$Workbook$;Location=&quot;PV_Summary_No_Rounding (2)&quot;;Extended Properties=&quot;&quot;" command="SELECT * FROM [PV_Summary_No_Rounding (2)]"/>
  </connection>
  <connection id="8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9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<sst xmlns="http://schemas.openxmlformats.org/spreadsheetml/2006/main" count="5421" uniqueCount="530">
  <si>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</si>
  <si>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</si>
  <si>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</si>
  <si>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</si>
  <si>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</si>
  <si>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</si>
  <si>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</si>
  <si>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</si>
  <si>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</si>
  <si>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</si>
  <si>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</si>
  <si>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</si>
  <si>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</si>
  <si>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</si>
  <si>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</si>
  <si>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</si>
  <si>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</si>
  <si>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</si>
  <si>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</si>
  <si>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</si>
  <si>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</si>
  <si>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</si>
  <si>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</si>
  <si>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</si>
  <si>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</si>
  <si>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</si>
  <si>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</si>
  <si>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</si>
  <si>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</si>
  <si>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</si>
  <si>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</si>
  <si>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</si>
  <si>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</si>
  <si>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</si>
  <si>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</si>
  <si>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</si>
  <si>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</si>
  <si>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</si>
  <si>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</si>
  <si>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</si>
  <si>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</si>
  <si>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</si>
  <si>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</si>
  <si>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</si>
  <si>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</si>
  <si>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</si>
  <si>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</si>
  <si>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</si>
  <si>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</si>
  <si>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</si>
  <si>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</si>
  <si>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</si>
  <si>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</si>
  <si>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</si>
  <si>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</si>
  <si>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</si>
  <si>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</si>
  <si>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</si>
  <si>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</si>
  <si>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</si>
  <si>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</si>
  <si>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</si>
  <si>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</si>
  <si>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</si>
  <si>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</si>
  <si>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</si>
  <si>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</si>
  <si>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</si>
  <si>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</si>
  <si>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</si>
  <si>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</si>
  <si>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</si>
  <si>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</si>
  <si>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</si>
  <si>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</si>
  <si>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</si>
  <si>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</si>
  <si>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</si>
  <si>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</si>
  <si>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</si>
  <si>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</si>
  <si>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</si>
  <si>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</si>
  <si>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</si>
  <si>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</si>
  <si>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</si>
  <si>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</si>
  <si>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</si>
  <si>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</si>
  <si>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</si>
  <si>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</si>
  <si>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</si>
  <si>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</si>
  <si>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</si>
  <si>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</si>
  <si>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</si>
  <si>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</si>
  <si>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</si>
  <si>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</si>
  <si>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</si>
  <si>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</si>
  <si>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</si>
  <si>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</si>
  <si>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</si>
  <si>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</si>
  <si>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</si>
  <si>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</si>
  <si>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</si>
  <si>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</si>
  <si>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</si>
  <si>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</si>
  <si>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</si>
  <si>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</si>
  <si>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</si>
  <si>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</si>
  <si>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</si>
  <si>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</si>
  <si>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</si>
  <si>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</si>
  <si>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</si>
  <si>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</si>
  <si>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</si>
  <si>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</si>
  <si>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</si>
  <si>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</si>
  <si>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</si>
  <si>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</si>
  <si>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</si>
  <si>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</si>
  <si>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</si>
  <si>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</si>
  <si>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</si>
  <si>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</si>
  <si>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</si>
  <si>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</si>
  <si>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</si>
  <si>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</si>
  <si>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</si>
  <si>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</si>
  <si>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</si>
  <si>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</si>
  <si>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</si>
  <si>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</si>
  <si>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</si>
  <si>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</si>
  <si>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</si>
  <si>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</si>
  <si>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</si>
  <si>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</si>
  <si>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</si>
  <si>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</si>
  <si>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</si>
  <si>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</si>
  <si>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</si>
  <si>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</si>
  <si>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</si>
  <si>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</si>
  <si>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</si>
  <si>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</si>
  <si>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</si>
  <si>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</si>
  <si>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</si>
  <si>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</si>
  <si>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</si>
  <si>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</si>
  <si>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</si>
  <si>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</si>
  <si>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</si>
  <si>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</si>
  <si>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</si>
  <si>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</si>
  <si>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</si>
  <si>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</si>
  <si>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</si>
  <si>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</si>
  <si>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</si>
  <si>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</si>
  <si>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</si>
  <si>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</si>
  <si>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</si>
  <si>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</si>
  <si>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</si>
  <si>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</si>
  <si>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</si>
  <si>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</si>
  <si>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</si>
  <si>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</si>
  <si>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</si>
  <si>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</si>
  <si>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</si>
  <si>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</si>
  <si>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</si>
  <si>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</si>
  <si>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</si>
  <si>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</si>
  <si>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</si>
  <si>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</si>
  <si>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</si>
  <si>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</si>
  <si>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</si>
  <si>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</si>
  <si>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</si>
  <si>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</si>
  <si>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</si>
  <si>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</si>
  <si>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</si>
  <si>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</si>
  <si>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</si>
  <si>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</si>
  <si>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</si>
  <si>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</si>
  <si>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</si>
  <si>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</si>
  <si>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</si>
  <si>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</si>
  <si>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</si>
  <si>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</si>
  <si>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</si>
  <si>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</si>
  <si>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</si>
  <si>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</si>
  <si>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</si>
  <si>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</si>
  <si>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</si>
  <si>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</si>
  <si>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</si>
  <si>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</si>
  <si>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</si>
  <si>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</si>
  <si>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</si>
  <si>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</si>
  <si>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</si>
  <si>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</si>
  <si>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</si>
  <si>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</si>
  <si>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</si>
  <si>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</si>
  <si>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</si>
  <si>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</si>
  <si>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</si>
  <si>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</si>
  <si>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</si>
  <si>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</si>
  <si>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</si>
  <si>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</si>
  <si>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</si>
  <si>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</si>
  <si>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</si>
  <si>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</si>
  <si>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</si>
  <si>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</si>
  <si>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</si>
  <si>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</si>
  <si>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</si>
  <si>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</si>
  <si>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</si>
  <si>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</si>
  <si>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</si>
  <si>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</si>
  <si>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</si>
  <si>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</si>
  <si>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</si>
  <si>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Header</t>
  </si>
  <si>
    <t>Item</t>
  </si>
  <si>
    <t>PASTED YEAR</t>
  </si>
  <si>
    <t>PASTED DISCOUNT RATES</t>
  </si>
  <si>
    <t>Variable Name</t>
  </si>
  <si>
    <t>Worksheet Name</t>
  </si>
  <si>
    <t>Cell Reference</t>
  </si>
  <si>
    <t>Live Cell Value</t>
  </si>
  <si>
    <t>Item Inputs</t>
  </si>
  <si>
    <t>G55</t>
  </si>
  <si>
    <t>H55</t>
  </si>
  <si>
    <t>I55</t>
  </si>
  <si>
    <t>J55</t>
  </si>
  <si>
    <t>CPI</t>
  </si>
  <si>
    <t>GetBloombergDailyYieldCurve_cur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</si>
  <si>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</si>
  <si>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</si>
  <si>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</si>
  <si>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</si>
  <si>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</si>
  <si>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</si>
  <si>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</si>
  <si>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</si>
  <si>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</si>
  <si>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</si>
  <si>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</si>
  <si>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</si>
  <si>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</si>
  <si>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</si>
  <si>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</si>
  <si>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</si>
  <si>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</si>
  <si>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</si>
  <si>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</si>
  <si>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</si>
  <si>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</si>
  <si>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</si>
  <si>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</si>
  <si>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</si>
  <si>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</si>
  <si>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</si>
  <si>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</si>
  <si>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</si>
  <si>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</si>
  <si>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</si>
  <si>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# of years</t>
  </si>
  <si>
    <t>BY DEFAULT COMES FROM DURATION, NEEDS OVERRIDE</t>
  </si>
  <si>
    <t>&lt;IF MAX RANGE &lt; DURATION, MAX RANGE</t>
  </si>
  <si>
    <t>&lt;-normally # of years we have data for bond rates</t>
  </si>
  <si>
    <t>&lt;- currently last number of bond rates</t>
  </si>
  <si>
    <t>&lt;- need to fill</t>
  </si>
  <si>
    <t>&lt;- autofill</t>
  </si>
  <si>
    <t>&lt;- Shael/other economist provides this</t>
  </si>
  <si>
    <t>&lt;- LADDERED is standard,  TABLE used to incorporate DR from another worksheet (on 'CustomDiscountCurve'), STATIC is just one rate</t>
  </si>
  <si>
    <t>/\ * amount is updated on chart to match furthest-out DR (or DELETED ENTIRELY if duration &lt;30 years)</t>
  </si>
  <si>
    <t>IF RANGE OF DURATION, DIVIDED INTO TWO LINES</t>
  </si>
  <si>
    <t>/\LATER MERGED BACK INTO ONE LINE ON PV_SUMMARY_NO_ROUNDING</t>
  </si>
  <si>
    <t>test 1</t>
  </si>
  <si>
    <t>test 2</t>
  </si>
  <si>
    <t>Item 1</t>
  </si>
  <si>
    <t>Item 3</t>
  </si>
  <si>
    <t>Item 5</t>
  </si>
  <si>
    <t>Item 7</t>
  </si>
  <si>
    <t>Item 9</t>
  </si>
  <si>
    <t>Item 11</t>
  </si>
  <si>
    <t>Item 13</t>
  </si>
  <si>
    <t>Item 15</t>
  </si>
  <si>
    <t>Item 17</t>
  </si>
  <si>
    <t>Item 19</t>
  </si>
  <si>
    <t>Item 21</t>
  </si>
  <si>
    <t>Item 23</t>
  </si>
  <si>
    <t>Item 25</t>
  </si>
  <si>
    <t>Item 27</t>
  </si>
  <si>
    <t>Item 29</t>
  </si>
  <si>
    <t>Item 31</t>
  </si>
  <si>
    <t>Item 33</t>
  </si>
  <si>
    <t>Item 35</t>
  </si>
  <si>
    <t>Item 37</t>
  </si>
  <si>
    <t>Item 39</t>
  </si>
  <si>
    <t>Item 41</t>
  </si>
  <si>
    <t>Item 43</t>
  </si>
  <si>
    <t>Item 45</t>
  </si>
  <si>
    <t>Item 47</t>
  </si>
  <si>
    <t>Item 49</t>
  </si>
  <si>
    <t>Item 51</t>
  </si>
  <si>
    <t>Item 53</t>
  </si>
  <si>
    <t>Item 2</t>
  </si>
  <si>
    <t>Item 4</t>
  </si>
  <si>
    <t>Item 6</t>
  </si>
  <si>
    <t>Item 8</t>
  </si>
  <si>
    <t>Item 10</t>
  </si>
  <si>
    <t>Item 12</t>
  </si>
  <si>
    <t>Item 14</t>
  </si>
  <si>
    <t>Item 16</t>
  </si>
  <si>
    <t>Item 18</t>
  </si>
  <si>
    <t>Item 20</t>
  </si>
  <si>
    <t>Item 22</t>
  </si>
  <si>
    <t>Item 24</t>
  </si>
  <si>
    <t>Item 26</t>
  </si>
  <si>
    <t>Item 28</t>
  </si>
  <si>
    <t>Item 30</t>
  </si>
  <si>
    <t>Item 32</t>
  </si>
  <si>
    <t>Item 34</t>
  </si>
  <si>
    <t>Item 36</t>
  </si>
  <si>
    <t>Item 38</t>
  </si>
  <si>
    <t>Item 40</t>
  </si>
  <si>
    <t>Item 42</t>
  </si>
  <si>
    <t>Item 44</t>
  </si>
  <si>
    <t>Item 46</t>
  </si>
  <si>
    <t>Item 48</t>
  </si>
  <si>
    <t>Item 50</t>
  </si>
  <si>
    <t>Item 52</t>
  </si>
  <si>
    <t>WC_disc_rate_y1</t>
  </si>
  <si>
    <t>WC_disc_rate_max</t>
  </si>
  <si>
    <t>WC_disc_rate_y2</t>
  </si>
  <si>
    <t>WC_disc_rate_y3</t>
  </si>
  <si>
    <t>WC_disc_rate_y4</t>
  </si>
  <si>
    <t>WC_CPI_onetime_cost_low</t>
  </si>
  <si>
    <t>WC_CPI_onetime_cost_high</t>
  </si>
  <si>
    <t>WC_CPI_annual_cost_low</t>
  </si>
  <si>
    <t>WC_CPI_annual_cost_high</t>
  </si>
  <si>
    <t>WC_CPI_physer_cname</t>
  </si>
  <si>
    <t>WC_CPI_othmedpro_cname</t>
  </si>
  <si>
    <t>WC_CPI_medcarser_cname</t>
  </si>
  <si>
    <t>WC_CPI_predru_cname</t>
  </si>
  <si>
    <t>WC_CPI_nonpredru_cname</t>
  </si>
  <si>
    <t>WC_CPI_allite_cname</t>
  </si>
  <si>
    <t>WC_CPI_hosser_cname</t>
  </si>
  <si>
    <t>WC_CPI_inphosser_cname</t>
  </si>
  <si>
    <t>WC_CPI_outhosser_cname</t>
  </si>
  <si>
    <t>WC_CPI_medequsup_cname</t>
  </si>
  <si>
    <t>S8</t>
  </si>
  <si>
    <t>AI8</t>
  </si>
  <si>
    <t>AY8</t>
  </si>
  <si>
    <t>BO8</t>
  </si>
  <si>
    <t>CE8</t>
  </si>
  <si>
    <t>CU8</t>
  </si>
  <si>
    <t>DK8</t>
  </si>
  <si>
    <t>EA8</t>
  </si>
  <si>
    <t>EQ8</t>
  </si>
  <si>
    <t>LCP_expert</t>
  </si>
  <si>
    <t>REPORT_OUTPUTS</t>
  </si>
  <si>
    <t>Brandy Bradley, MHS, CRC, LRC, CLCP, CVE</t>
  </si>
  <si>
    <t>Table Name</t>
  </si>
  <si>
    <t>Chart Name</t>
  </si>
  <si>
    <t>PV_Summary_No_Rounding</t>
  </si>
  <si>
    <t>WC_Disc_Rate_Chart</t>
  </si>
  <si>
    <t>WORKING_CALC DATA</t>
  </si>
  <si>
    <t>WC_CPI_physer_growth_rate_high</t>
  </si>
  <si>
    <t>WC_CPI_physer_growth_rate_low</t>
  </si>
  <si>
    <t>2.433</t>
  </si>
  <si>
    <t>2.422</t>
  </si>
  <si>
    <t>2.421</t>
  </si>
  <si>
    <t>2.467</t>
  </si>
  <si>
    <t>2.517</t>
  </si>
  <si>
    <t>2.590</t>
  </si>
  <si>
    <t>2.688</t>
  </si>
  <si>
    <t>2.752</t>
  </si>
  <si>
    <t>2.842</t>
  </si>
  <si>
    <t>2.944</t>
  </si>
  <si>
    <t>3.036</t>
  </si>
  <si>
    <t>3.134</t>
  </si>
  <si>
    <t>3.207</t>
  </si>
  <si>
    <t>3.303</t>
  </si>
  <si>
    <t>3.356</t>
  </si>
  <si>
    <t>3.464</t>
  </si>
  <si>
    <t>3.596</t>
  </si>
  <si>
    <t>3.727</t>
  </si>
  <si>
    <t>3.864</t>
  </si>
  <si>
    <t>3.987</t>
  </si>
  <si>
    <t>4.064</t>
  </si>
  <si>
    <t>4.126</t>
  </si>
  <si>
    <t>4.168</t>
  </si>
  <si>
    <t>4.216</t>
  </si>
  <si>
    <t>4.235</t>
  </si>
  <si>
    <t>4.255</t>
  </si>
  <si>
    <t>4.268</t>
  </si>
  <si>
    <t>4.290</t>
  </si>
  <si>
    <t>4.293</t>
  </si>
  <si>
    <t>4.312</t>
  </si>
  <si>
    <t>Item 1 (1)</t>
  </si>
  <si>
    <t>CONTINUOUS</t>
  </si>
  <si>
    <t>Standard</t>
  </si>
  <si>
    <t>Item 2 (2)</t>
  </si>
  <si>
    <t>Item 3 (3)</t>
  </si>
  <si>
    <t>Item 4 (4)</t>
  </si>
  <si>
    <t>Item 5 (5)</t>
  </si>
  <si>
    <t>Item 6 (6)</t>
  </si>
  <si>
    <t>Item 7 (7)</t>
  </si>
  <si>
    <t>Item 8 (8)</t>
  </si>
  <si>
    <t>Item 9 (9)</t>
  </si>
  <si>
    <t>Item 10 (10)</t>
  </si>
  <si>
    <t>Item 11 (11)</t>
  </si>
  <si>
    <t>Item 12 (12)</t>
  </si>
  <si>
    <t>Item 13 (13)</t>
  </si>
  <si>
    <t>Item 14 (14)</t>
  </si>
  <si>
    <t>Item 15 (15)</t>
  </si>
  <si>
    <t>Item 16 (16)</t>
  </si>
  <si>
    <t>Item 17 (17)</t>
  </si>
  <si>
    <t>Item 18 (18)</t>
  </si>
  <si>
    <t>Item 19 (19)</t>
  </si>
  <si>
    <t>Item 20 (20)</t>
  </si>
  <si>
    <t>Item 21 (21)</t>
  </si>
  <si>
    <t>Item 22 (22)</t>
  </si>
  <si>
    <t>Item 23 (23)</t>
  </si>
  <si>
    <t>Item 24 (24)</t>
  </si>
  <si>
    <t>Item 25 (25)</t>
  </si>
  <si>
    <t>Item 26 (26)</t>
  </si>
  <si>
    <t>Item 27 (27)</t>
  </si>
  <si>
    <t>Item 28 (28)</t>
  </si>
  <si>
    <t>Item 29 (29)</t>
  </si>
  <si>
    <t>Item 30 (30)</t>
  </si>
  <si>
    <t>Item 31 (31)</t>
  </si>
  <si>
    <t>Item 32 (32)</t>
  </si>
  <si>
    <t>Item 33 (33)</t>
  </si>
  <si>
    <t>Item 34 (34)</t>
  </si>
  <si>
    <t>Item 35 (35)</t>
  </si>
  <si>
    <t>Item 36 (36)</t>
  </si>
  <si>
    <t>Item 37 (37)</t>
  </si>
  <si>
    <t>Item 38 (38)</t>
  </si>
  <si>
    <t>Item 39 (39)</t>
  </si>
  <si>
    <t>Item 40 (40)</t>
  </si>
  <si>
    <t>Item 41 (41)</t>
  </si>
  <si>
    <t>Item 42 (42)</t>
  </si>
  <si>
    <t>Item 43 (43)</t>
  </si>
  <si>
    <t>Item 44 (44)</t>
  </si>
  <si>
    <t>Item 45 (45)</t>
  </si>
  <si>
    <t>Item 46 (46)</t>
  </si>
  <si>
    <t>Item 47 (47)</t>
  </si>
  <si>
    <t>Item 48 (48)</t>
  </si>
  <si>
    <t>Item 49 (49)</t>
  </si>
  <si>
    <t>Item 50 (50)</t>
  </si>
  <si>
    <t>Item 51 (51)</t>
  </si>
  <si>
    <t>Item 52 (52)</t>
  </si>
  <si>
    <t>Item 53 (53)</t>
  </si>
  <si>
    <t>TEST 1</t>
  </si>
  <si>
    <t>TEST 2</t>
  </si>
  <si>
    <t>Laddered</t>
  </si>
  <si>
    <t>go to item inputs, find longest duration of annual item, then pull that many years +1 (unless exact with duration) from Bloomberg DRs</t>
  </si>
  <si>
    <t>&lt; capitalize first letter of each</t>
  </si>
  <si>
    <t>&lt; figure out why not all gray</t>
  </si>
  <si>
    <t>&lt;hide all gridlines</t>
  </si>
  <si>
    <t>Rate Low</t>
  </si>
  <si>
    <t>Rate High</t>
  </si>
  <si>
    <t>WC_CPI_othmedpro_growth_rate_low</t>
  </si>
  <si>
    <t>WC_CPI_othmedpro_growth_rate_high</t>
  </si>
  <si>
    <t>WC_CPI_medcarser_growth_rate_high</t>
  </si>
  <si>
    <t>WC_CPI_medcarser_growth_rate_low</t>
  </si>
  <si>
    <t>WC_CPI_predru_growth_rate_high</t>
  </si>
  <si>
    <t>WC_CPI_predru_growth_rate_low</t>
  </si>
  <si>
    <t>WC_CPI_nonpredru_growth_rate_high</t>
  </si>
  <si>
    <t>WC_CPI_nonpredru_growth_rate_low</t>
  </si>
  <si>
    <t>WC_CPI_allite_growth_rate_high</t>
  </si>
  <si>
    <t>WC_CPI_allite_growth_rate_low</t>
  </si>
  <si>
    <t>WC_CPI_hosser_growth_rate_high</t>
  </si>
  <si>
    <t>WC_CPI_hosser_growth_rate_low</t>
  </si>
  <si>
    <t>WC_CPI_inphosser_growth_rate_high</t>
  </si>
  <si>
    <t>WC_CPI_inphosser_growth_rate_low</t>
  </si>
  <si>
    <t>WC_CPI_outhosser_growth_rate_high</t>
  </si>
  <si>
    <t>WC_CPI_outhosser_growth_rate_low</t>
  </si>
  <si>
    <t>WC_CPI_medequsup_growth_rate_low</t>
  </si>
  <si>
    <t>WC_CPI_medequsup_growth_rate_high</t>
  </si>
  <si>
    <t>F77</t>
  </si>
  <si>
    <t>WC_disc_rate_duration_min</t>
  </si>
  <si>
    <t>WC_disc_rate_duration_max</t>
  </si>
  <si>
    <t>WC_CPI_duration_min</t>
  </si>
  <si>
    <t>WC_CPI_duration_max</t>
  </si>
  <si>
    <t>&lt;make section titles all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</si>
</sst>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#0.0"/>
    <numFmt numFmtId="167" formatCode="#0.000"/>
    <numFmt numFmtId="168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u/>
      <sz val="12"/>
      <color theme="1" tint="4.9989318521683403E-2"/>
      <name val="Aptos Display"/>
      <family val="2"/>
    </font>
    <font>
      <b/>
      <u/>
      <sz val="12"/>
      <name val="Aptos Display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B2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auto="1"/>
      </right>
      <top style="medium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theme="1" tint="4.9989318521683403E-2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 tint="4.9989318521683403E-2"/>
      </left>
      <right/>
      <top style="thin">
        <color auto="1"/>
      </top>
      <bottom/>
      <diagonal/>
    </border>
    <border>
      <left style="thin">
        <color theme="1"/>
      </left>
      <right style="medium">
        <color theme="1" tint="4.9989318521683403E-2"/>
      </right>
      <top style="thin">
        <color auto="1"/>
      </top>
      <bottom/>
      <diagonal/>
    </border>
    <border>
      <left style="medium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 tint="4.9989318521683403E-2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/>
      <diagonal/>
    </border>
    <border>
      <left style="medium">
        <color theme="1" tint="4.9989318521683403E-2"/>
      </left>
      <right/>
      <top style="thin">
        <color theme="0" tint="-0.14999847407452621"/>
      </top>
      <bottom style="medium">
        <color theme="1" tint="4.9989318521683403E-2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 style="thin">
        <color theme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26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0" fontId="10" fillId="0" borderId="1" xfId="3" applyFont="1" applyBorder="1" applyAlignment="1">
      <alignment horizontal="center" wrapText="1"/>
    </xf>
    <xf numFmtId="166" fontId="11" fillId="0" borderId="0" xfId="3" applyNumberFormat="1" applyFont="1" applyAlignment="1">
      <alignment horizontal="right"/>
    </xf>
    <xf numFmtId="167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6" fontId="13" fillId="0" borderId="0" xfId="3" applyNumberFormat="1" applyFont="1" applyAlignment="1">
      <alignment horizontal="right"/>
    </xf>
    <xf numFmtId="167" fontId="13" fillId="0" borderId="0" xfId="3" applyNumberFormat="1" applyFont="1" applyAlignment="1">
      <alignment horizontal="right"/>
    </xf>
    <xf numFmtId="165" fontId="11" fillId="0" borderId="0" xfId="2" applyNumberFormat="1" applyFont="1" applyFill="1"/>
    <xf numFmtId="0" fontId="15" fillId="0" borderId="0" xfId="0" applyFont="1"/>
    <xf numFmtId="0" fontId="0" fillId="0" borderId="0" xfId="0" applyAlignment="1">
      <alignment vertical="center"/>
    </xf>
    <xf numFmtId="168" fontId="3" fillId="0" borderId="0" xfId="0" applyNumberFormat="1" applyFont="1" applyAlignment="1">
      <alignment horizontal="left"/>
    </xf>
    <xf numFmtId="0" fontId="9" fillId="0" borderId="10" xfId="3" applyBorder="1"/>
    <xf numFmtId="165" fontId="11" fillId="2" borderId="10" xfId="2" applyNumberFormat="1" applyFont="1" applyFill="1" applyBorder="1"/>
    <xf numFmtId="0" fontId="0" fillId="13" borderId="0" xfId="0" applyFill="1"/>
    <xf numFmtId="0" fontId="18" fillId="0" borderId="17" xfId="0" applyFont="1" applyBorder="1"/>
    <xf numFmtId="0" fontId="18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10" xfId="3" applyBorder="1" applyAlignment="1">
      <alignment wrapText="1"/>
    </xf>
    <xf numFmtId="0" fontId="11" fillId="0" borderId="10" xfId="3" applyFont="1" applyBorder="1"/>
    <xf numFmtId="0" fontId="19" fillId="12" borderId="19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8" fillId="15" borderId="21" xfId="0" applyFont="1" applyFill="1" applyBorder="1" applyAlignment="1">
      <alignment horizontal="center"/>
    </xf>
    <xf numFmtId="0" fontId="18" fillId="15" borderId="22" xfId="0" applyFont="1" applyFill="1" applyBorder="1" applyAlignment="1">
      <alignment horizontal="center"/>
    </xf>
    <xf numFmtId="0" fontId="18" fillId="0" borderId="23" xfId="0" applyFont="1" applyBorder="1"/>
    <xf numFmtId="0" fontId="18" fillId="0" borderId="24" xfId="0" applyFont="1" applyBorder="1"/>
    <xf numFmtId="0" fontId="18" fillId="15" borderId="23" xfId="0" applyFont="1" applyFill="1" applyBorder="1"/>
    <xf numFmtId="0" fontId="18" fillId="15" borderId="24" xfId="0" applyFont="1" applyFill="1" applyBorder="1"/>
    <xf numFmtId="0" fontId="18" fillId="0" borderId="25" xfId="0" applyFont="1" applyBorder="1"/>
    <xf numFmtId="0" fontId="19" fillId="12" borderId="26" xfId="0" applyFont="1" applyFill="1" applyBorder="1" applyAlignment="1">
      <alignment horizontal="center" vertical="center"/>
    </xf>
    <xf numFmtId="0" fontId="19" fillId="12" borderId="27" xfId="0" applyFont="1" applyFill="1" applyBorder="1" applyAlignment="1">
      <alignment horizontal="center" vertical="center"/>
    </xf>
    <xf numFmtId="0" fontId="18" fillId="16" borderId="28" xfId="0" applyFont="1" applyFill="1" applyBorder="1" applyAlignment="1">
      <alignment horizontal="center" vertical="center"/>
    </xf>
    <xf numFmtId="0" fontId="18" fillId="16" borderId="29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16" borderId="30" xfId="0" applyFont="1" applyFill="1" applyBorder="1" applyAlignment="1">
      <alignment horizontal="center" vertical="center"/>
    </xf>
    <xf numFmtId="0" fontId="18" fillId="16" borderId="31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7" fillId="2" borderId="35" xfId="0" applyFont="1" applyFill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35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17" borderId="35" xfId="0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/>
    </xf>
    <xf numFmtId="44" fontId="18" fillId="0" borderId="37" xfId="1" applyFont="1" applyFill="1" applyBorder="1" applyAlignment="1">
      <alignment horizontal="center" vertical="center"/>
    </xf>
    <xf numFmtId="165" fontId="18" fillId="0" borderId="37" xfId="0" applyNumberFormat="1" applyFont="1" applyBorder="1" applyAlignment="1">
      <alignment horizontal="center" vertical="center"/>
    </xf>
    <xf numFmtId="2" fontId="18" fillId="0" borderId="3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20" fillId="12" borderId="33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horizontal="center" vertical="center"/>
    </xf>
    <xf numFmtId="0" fontId="20" fillId="12" borderId="36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2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/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auto="1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22"/>
      <tableStyleElement type="headerRow" dxfId="121"/>
      <tableStyleElement type="totalRow" dxfId="1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General</c:formatCode>
                <c:ptCount val="31"/>
                <c:pt idx="0">
                  <c:v>2.3519999999999999</c:v>
                </c:pt>
                <c:pt idx="1">
                  <c:v>2.3420000000000001</c:v>
                </c:pt>
                <c:pt idx="2">
                  <c:v>2.34</c:v>
                </c:pt>
                <c:pt idx="3">
                  <c:v>2.387</c:v>
                </c:pt>
                <c:pt idx="4">
                  <c:v>2.4380000000000002</c:v>
                </c:pt>
                <c:pt idx="5">
                  <c:v>2.5219999999999998</c:v>
                </c:pt>
                <c:pt idx="6">
                  <c:v>2.6219999999999999</c:v>
                </c:pt>
                <c:pt idx="7">
                  <c:v>2.6869999999999998</c:v>
                </c:pt>
                <c:pt idx="8">
                  <c:v>2.7789999999999999</c:v>
                </c:pt>
                <c:pt idx="9">
                  <c:v>2.883</c:v>
                </c:pt>
                <c:pt idx="10">
                  <c:v>2.996</c:v>
                </c:pt>
                <c:pt idx="11">
                  <c:v>3.1040000000000001</c:v>
                </c:pt>
                <c:pt idx="12">
                  <c:v>3.1779999999999999</c:v>
                </c:pt>
                <c:pt idx="13">
                  <c:v>3.274</c:v>
                </c:pt>
                <c:pt idx="14">
                  <c:v>3.3279999999999998</c:v>
                </c:pt>
                <c:pt idx="15">
                  <c:v>3.4350000000000001</c:v>
                </c:pt>
                <c:pt idx="16">
                  <c:v>3.5670000000000002</c:v>
                </c:pt>
                <c:pt idx="17">
                  <c:v>3.6989999999999998</c:v>
                </c:pt>
                <c:pt idx="18">
                  <c:v>3.835</c:v>
                </c:pt>
                <c:pt idx="19">
                  <c:v>3.9580000000000002</c:v>
                </c:pt>
                <c:pt idx="20">
                  <c:v>4.0339999999999998</c:v>
                </c:pt>
                <c:pt idx="21">
                  <c:v>4.0949999999999998</c:v>
                </c:pt>
                <c:pt idx="22">
                  <c:v>4.1360000000000001</c:v>
                </c:pt>
                <c:pt idx="23">
                  <c:v>4.1829999999999998</c:v>
                </c:pt>
                <c:pt idx="24">
                  <c:v>4.2009999999999996</c:v>
                </c:pt>
                <c:pt idx="25">
                  <c:v>4.22</c:v>
                </c:pt>
                <c:pt idx="26">
                  <c:v>4.2320000000000002</c:v>
                </c:pt>
                <c:pt idx="27">
                  <c:v>4.2539999999999996</c:v>
                </c:pt>
                <c:pt idx="28">
                  <c:v>4.2569999999999997</c:v>
                </c:pt>
                <c:pt idx="29">
                  <c:v>4.2750000000000004</c:v>
                </c:pt>
                <c:pt idx="30" formatCode="0.000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142875</xdr:rowOff>
        </xdr:from>
        <xdr:to>
          <xdr:col>10</xdr:col>
          <xdr:colOff>304800</xdr:colOff>
          <xdr:row>101</xdr:row>
          <xdr:rowOff>104775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F3207690-B64B-488B-81A4-49A7A1A43ED1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A4315D4B-66ED-4F06-A5AA-F9E0EBEE910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10D9EF0-FD23-48B8-93F2-AA9F47B7BA14}" name="Table18" displayName="Table18" ref="A2:D101" totalsRowShown="0" headerRowDxfId="119" headerRowBorderDxfId="118" tableBorderDxfId="117">
  <autoFilter ref="A2:D101" xr:uid="{C10D9EF0-FD23-48B8-93F2-AA9F47B7BA14}"/>
  <tableColumns count="4">
    <tableColumn id="1" xr3:uid="{53E2EF2D-0BD6-486D-9FED-870E8DE5E24D}" name="Variable Name" dataDxfId="116"/>
    <tableColumn id="2" xr3:uid="{8C449FFA-97A9-440E-82BE-AA24E2044255}" name="Worksheet Name" dataDxfId="115"/>
    <tableColumn id="3" xr3:uid="{9B275BE5-84C7-4655-8324-18BC11F03395}" name="Cell Reference" dataDxfId="114"/>
    <tableColumn id="4" xr3:uid="{FF09BA65-B7E8-4267-9273-A42779B29498}" name="Live Cell Value" dataDxfId="113">
      <calculatedColumnFormula array="1">IF(OR(IF(OR(A3="", B3="", C3=""), "", INDIRECT("'" &amp; B3 &amp; "'!" &amp; C3))=0, IF(OR(A3="", B3="", C3=""), "", INDIRECT("'" &amp; B3 &amp; "'!" &amp; C3))=""),"",INDIRECT("'" &amp; B3 &amp; "'!" &amp; C3))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12" dataDxfId="111" totalsRowDxfId="110">
  <autoFilter ref="A1:O54" xr:uid="{00000000-0009-0000-0100-000001000000}"/>
  <tableColumns count="15">
    <tableColumn id="1" xr3:uid="{00000000-0010-0000-0000-000001000000}" name="Item Name" dataDxfId="109" totalsRowDxfId="108">
      <calculatedColumnFormula>"Item " &amp; (ROW()-1)</calculatedColumnFormula>
    </tableColumn>
    <tableColumn id="13" xr3:uid="{69586349-5A6C-4C48-BCB1-5C8A5322D0D3}" name="ItemKey" dataDxfId="107" totalsRowDxfId="106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105" totalsRowDxfId="104"/>
    <tableColumn id="2" xr3:uid="{00000000-0010-0000-0000-000002000000}" name="Start Year" dataDxfId="103" totalsRowDxfId="102"/>
    <tableColumn id="15" xr3:uid="{5E7EFE17-AC27-4775-8CCB-970D86383EBC}" name="Start Offset (Years)" dataDxfId="101" totalsRowDxfId="100"/>
    <tableColumn id="3" xr3:uid="{00000000-0010-0000-0000-000003000000}" name="Duration" dataDxfId="99" totalsRowDxfId="98"/>
    <tableColumn id="12" xr3:uid="{11331C1E-E934-4A8E-9BD9-32983E09B998}" name="InitialCostLow" totalsRowFunction="sum" dataDxfId="97" totalsRowDxfId="96"/>
    <tableColumn id="9" xr3:uid="{4312D196-F952-45D8-8741-437FA528B4CA}" name="InitialCostHigh" totalsRowFunction="sum" dataDxfId="95" totalsRowDxfId="94"/>
    <tableColumn id="4" xr3:uid="{00000000-0010-0000-0000-000004000000}" name="Low Cost per Use" totalsRowFunction="sum" dataDxfId="93" totalsRowDxfId="92"/>
    <tableColumn id="11" xr3:uid="{DD77257E-FAE9-4D41-827D-7595596F9F01}" name="High Cost per Use" totalsRowFunction="sum" dataDxfId="91" totalsRowDxfId="90"/>
    <tableColumn id="5" xr3:uid="{00000000-0010-0000-0000-000005000000}" name="Frequency" dataDxfId="89" totalsRowDxfId="88"/>
    <tableColumn id="7" xr3:uid="{0CBD786F-1716-4E4E-861E-B4051F17796E}" name="Interval (Years)" dataDxfId="87" totalsRowDxfId="86"/>
    <tableColumn id="10" xr3:uid="{25282397-8296-490A-B301-5F98E9B69B45}" name="Sort Order" dataDxfId="85" totalsRowDxfId="84"/>
    <tableColumn id="6" xr3:uid="{00000000-0010-0000-0000-000006000000}" name="Growth" dataDxfId="83" totalsRowDxfId="82"/>
    <tableColumn id="8" xr3:uid="{DEF69107-78BD-43AA-948E-950FA8C9B6D6}" name="CostType" dataDxfId="81" totalsRowDxfId="8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79" dataDxfId="78">
  <autoFilter ref="A1:B3" xr:uid="{7914EDB0-A692-4509-9B14-CBA25587C27C}"/>
  <tableColumns count="2">
    <tableColumn id="1" xr3:uid="{7B5CB263-8595-47BB-9B83-A136D870840A}" name="Setting" dataDxfId="77"/>
    <tableColumn id="2" xr3:uid="{252EFA06-D044-48FF-AD5F-AD7217789FA2}" name="Value" dataDxfId="7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75" dataDxfId="74">
  <autoFilter ref="A5:B13" xr:uid="{A50B493A-AB6F-4FE2-A4D8-4ED87E71424C}"/>
  <tableColumns count="2">
    <tableColumn id="1" xr3:uid="{454320BB-D2B2-4D0A-B712-14824B86607B}" name="Option Name" dataDxfId="73"/>
    <tableColumn id="2" xr3:uid="{E25BE358-872F-4B95-8C86-8802A909B822}" name="Value" dataDxfId="7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71" dataDxfId="70">
  <autoFilter ref="G1:H2" xr:uid="{89F53BAA-F43D-4D75-8A4E-57A0DEB36107}"/>
  <tableColumns count="2">
    <tableColumn id="1" xr3:uid="{E9BC6FF2-8327-4755-81CC-187A8A29442E}" name="Year" dataDxfId="69"/>
    <tableColumn id="2" xr3:uid="{F1B0F7A0-9E8A-4722-B481-F03CDF78FF2D}" name="Discount Rate (Nominal)" dataDxfId="6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715" tableType="queryTable" totalsRowCount="1">
  <autoFilter ref="A1:AU714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 dataDxfId="67"/>
    <tableColumn id="9" xr3:uid="{41EB1891-AD72-434B-B12E-66605D7C3456}" uniqueName="9" name="Adjusted Rate" queryTableFieldId="30" dataDxfId="66" totalsRowDxfId="65"/>
    <tableColumn id="16" xr3:uid="{AE6E3BF3-2694-4408-83D4-997F62E35F57}" uniqueName="16" name="Adjusted Next Rate" queryTableFieldId="69" dataDxfId="64" totalsRowDxfId="63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2"/>
    <tableColumn id="2" xr3:uid="{BEE39F59-A19A-4844-AB3B-F69CCBBE3CB8}" name="TotalCostLow" dataDxfId="61"/>
    <tableColumn id="3" xr3:uid="{D3EAF15D-8A8A-454E-98CD-7D8BB727F07A}" name="TotalCostMid" dataDxfId="60"/>
    <tableColumn id="4" xr3:uid="{68B5591D-987C-42D5-AEBB-07D0120DED7D}" name="TotalCostHigh" dataDxfId="59"/>
    <tableColumn id="5" xr3:uid="{56DC093C-17AE-4859-BF59-5E7B3DE611DC}" name="AdjustedRate"/>
    <tableColumn id="6" xr3:uid="{A00483D8-9CC1-4FB1-ADEF-E9FB090DEB45}" name="AdjRate" dataDxfId="58"/>
    <tableColumn id="7" xr3:uid="{2CEB2B29-6B74-4E8E-B933-B2F833E5C50E}" name="PV_Low" dataDxfId="57"/>
    <tableColumn id="8" xr3:uid="{90A022E3-0BF8-4BEC-A762-CEC2DD854641}" name="PV_Mid" dataDxfId="56"/>
    <tableColumn id="9" xr3:uid="{9B568AFC-0A6F-4559-9198-C71A6C0BCEBC}" name="PV_High" dataDxfId="55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54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3" dataDxfId="52">
  <autoFilter ref="A1:C37" xr:uid="{4E875877-9580-437F-888D-2345B7BB85DD}"/>
  <tableColumns count="3">
    <tableColumn id="1" xr3:uid="{DB055912-AF2D-4BCD-AEE5-BE6F46DA8D7C}" name="Year" dataDxfId="51"/>
    <tableColumn id="2" xr3:uid="{E592388B-A21E-4BE9-ACC6-A7E7F25B1CEE}" name="Discount Rate (Nominal)" dataDxfId="50"/>
    <tableColumn id="3" xr3:uid="{01343765-9C51-433B-8C62-967D1D5154EB}" name="%Rate" dataDxfId="4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820640-43C1-49D3-82CB-F69755A7CE7E}" name="PV_Summary_No_Rounding__2" displayName="PV_Summary_No_Rounding__2" ref="A1:G57" tableType="queryTable" totalsRowShown="0">
  <autoFilter ref="A1:G57" xr:uid="{45820640-43C1-49D3-82CB-F69755A7CE7E}"/>
  <tableColumns count="7">
    <tableColumn id="1" xr3:uid="{8509B090-5A12-4F00-897B-96B04F7C20B9}" uniqueName="1" name="RowType" queryTableFieldId="1" dataDxfId="48"/>
    <tableColumn id="2" xr3:uid="{8FA9B422-79DA-4417-9CD9-EF35623FE4BC}" uniqueName="2" name="CatSort" queryTableFieldId="2"/>
    <tableColumn id="3" xr3:uid="{B55F7E22-9A91-4FF4-A14E-BF2EFAD7A26B}" uniqueName="3" name="HeaderRank" queryTableFieldId="3"/>
    <tableColumn id="4" xr3:uid="{0876D818-6FC3-4B49-B82A-1B8B076B4942}" uniqueName="4" name="ITEM/SERVICE" queryTableFieldId="4" dataDxfId="47"/>
    <tableColumn id="5" xr3:uid="{DAF079EC-0BA5-4264-ABFB-9C7E6864400E}" uniqueName="5" name="LOWER" queryTableFieldId="5"/>
    <tableColumn id="6" xr3:uid="{9B57B3AF-CB1E-4222-89BB-1B5E51CE999C}" uniqueName="6" name="MIDPOINT" queryTableFieldId="6"/>
    <tableColumn id="7" xr3:uid="{03D4E086-7829-4580-979D-973C04DC7E05}" uniqueName="7" name="UPPER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57" tableType="queryTable" totalsRowShown="0" headerRowDxfId="46" dataDxfId="45">
  <autoFilter ref="A1:G57" xr:uid="{04B72DAB-FFA8-4BF2-811F-CB4D286E2022}"/>
  <tableColumns count="7">
    <tableColumn id="1" xr3:uid="{C0195139-DAFB-4B19-891E-9841DB46068F}" uniqueName="1" name="RowType" queryTableFieldId="1" dataDxfId="44"/>
    <tableColumn id="2" xr3:uid="{71DB2FC5-0689-4F86-A6B5-54437D3B175E}" uniqueName="2" name="CatSort" queryTableFieldId="2" dataDxfId="43"/>
    <tableColumn id="3" xr3:uid="{F6C6AF8E-B196-4FFD-867C-A2806D72705B}" uniqueName="3" name="HeaderRank" queryTableFieldId="3" dataDxfId="42"/>
    <tableColumn id="4" xr3:uid="{25637E68-D570-475A-8D61-6FA40C7EE9C7}" uniqueName="4" name="ITEM/SERVICE" queryTableFieldId="4" dataDxfId="41" dataCellStyle="Currency"/>
    <tableColumn id="5" xr3:uid="{CD1DA0BA-7388-4850-809D-90ACEBF3DFDE}" uniqueName="5" name="LOWER" queryTableFieldId="5" dataDxfId="40" dataCellStyle="Currency"/>
    <tableColumn id="6" xr3:uid="{6B7869F7-699B-4C3E-AC03-338ECB282AEE}" uniqueName="6" name="MIDPOINT" queryTableFieldId="6" dataDxfId="39" dataCellStyle="Currency"/>
    <tableColumn id="7" xr3:uid="{4354290A-5001-49BF-98A8-AF11E800D126}" uniqueName="7" name="UPPER" queryTableFieldId="7" dataDxfId="38" dataCellStyle="Currency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57" tableType="queryTable" headerRowDxfId="37" dataDxfId="36" totalsRowDxfId="35">
  <autoFilter ref="A1:G57" xr:uid="{6E7C1877-99EE-49EC-9E2B-5081AD3741C3}"/>
  <tableColumns count="7">
    <tableColumn id="5" xr3:uid="{4B646FE9-BCFB-4A51-82F5-7E0DB7AE7849}" uniqueName="5" name="RowType" queryTableFieldId="28" dataDxfId="34" dataCellStyle="Currency"/>
    <tableColumn id="6" xr3:uid="{21F03B1B-B6AB-4F34-B622-776640B2EEC8}" uniqueName="6" name="CatSort" queryTableFieldId="29" dataDxfId="33" dataCellStyle="Currency"/>
    <tableColumn id="7" xr3:uid="{A7FBFC2B-1830-40DB-8412-8D8ABED10172}" uniqueName="7" name="HeaderRank" queryTableFieldId="30" dataDxfId="32" dataCellStyle="Currency"/>
    <tableColumn id="1" xr3:uid="{F9F46062-182D-4AAA-8861-CEEAA03ADDBA}" uniqueName="1" name="ITEM/SERVICE" queryTableFieldId="24" dataDxfId="31" totalsRowDxfId="30"/>
    <tableColumn id="2" xr3:uid="{EE2E4551-8EB5-44CB-AE92-07AF8F679061}" uniqueName="2" name="LOWER" queryTableFieldId="25" dataDxfId="29" totalsRowDxfId="28" dataCellStyle="Currency"/>
    <tableColumn id="3" xr3:uid="{C3486620-2326-4D6A-BDD3-D3CEC5351208}" uniqueName="3" name="MIDPOINT" queryTableFieldId="26" dataDxfId="27" totalsRowDxfId="26" dataCellStyle="Currency"/>
    <tableColumn id="4" xr3:uid="{B6F4AE6F-7A5E-43F8-AF9A-0693CF4C0F30}" uniqueName="4" name="UPPER" totalsRowFunction="sum" queryTableFieldId="27" dataDxfId="25" totalsRowDxfId="24" dataCellStyle="Currency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otalsRowShown="0">
  <autoFilter ref="A1:K2" xr:uid="{0A0A7437-1EEB-4F0D-8AAA-C79C2C3D1F79}"/>
  <tableColumns count="11">
    <tableColumn id="1" xr3:uid="{0A77EAB7-D5C8-4327-A7AC-B3B7DD2E5766}" name="YearList" dataDxfId="23"/>
    <tableColumn id="3" xr3:uid="{AAD78A2C-03A7-46C3-8DFF-8198EECE1E75}" name="ItemKey (Low)" dataDxfId="22"/>
    <tableColumn id="4" xr3:uid="{3DB04C61-78E9-4481-A307-3C799774432C}" name="Value (Low)"/>
    <tableColumn id="32" xr3:uid="{E11564CB-6398-4C55-B95C-37B9E3FC8B22}" name="Year Total (Low)"/>
    <tableColumn id="5" xr3:uid="{915072E0-D4A2-4D95-9B32-4F0D1D7CF2D2}" name="ItemKey (Mid)" dataDxfId="21"/>
    <tableColumn id="6" xr3:uid="{428B8927-4240-4A74-B94F-DE06D564A2E0}" name="Value (Mid)"/>
    <tableColumn id="35" xr3:uid="{71CB6ADE-A970-474C-88C4-0F798F08C88D}" name="Year Total (Mid)"/>
    <tableColumn id="7" xr3:uid="{7A4E5DE6-66FF-4936-A48F-519A3DB1B0CE}" name="ItemKey (High)" dataDxfId="20"/>
    <tableColumn id="8" xr3:uid="{3689BBFC-85A2-4C4B-8387-46E6CE3E46FE}" name="Value (High)"/>
    <tableColumn id="38" xr3:uid="{4CBF2134-17CC-4E3C-BE2E-4DB0900ECCC7}" name="Year Total (High)"/>
    <tableColumn id="2" xr3:uid="{DEC9B595-88D2-4018-8922-FD92A9226EBE}" name="Column1" dataDxfId="19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8" dataDxfId="17">
  <autoFilter ref="A1:C31" xr:uid="{A3AB1506-1C62-4D21-9E0F-ABFD20A6F8C6}"/>
  <tableColumns count="3">
    <tableColumn id="1" xr3:uid="{017DBA49-A675-4A2C-9D3A-5D218FE48C0E}" uniqueName="1" name="Year" queryTableFieldId="1" dataDxfId="16"/>
    <tableColumn id="2" xr3:uid="{476B3F8B-5148-484F-94EA-C17412D817D4}" uniqueName="2" name="Time To Marity" queryTableFieldId="2" dataDxfId="15"/>
    <tableColumn id="4" xr3:uid="{2E9DC6B9-284C-4F1D-89BF-F5F446B57AC0}" uniqueName="4" name="Discount Rate (Nominal)" queryTableFieldId="4" dataDxfId="1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677ED1B-92DB-4C05-A0F4-7DDDF858AC5E}" name="Table15" displayName="Table15" ref="F1:G32" totalsRowShown="0" headerRowDxfId="13" dataDxfId="12">
  <autoFilter ref="F1:G32" xr:uid="{2677ED1B-92DB-4C05-A0F4-7DDDF858AC5E}"/>
  <tableColumns count="2">
    <tableColumn id="1" xr3:uid="{09C2E8B9-C93E-4F00-8385-2C99A290C4DB}" name="PASTED YEAR" dataDxfId="11"/>
    <tableColumn id="2" xr3:uid="{79C887CD-1454-42DA-8402-ECB191C56F0F}" name="PASTED DISCOUNT RATES" dataDxfId="1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8" dT="2026-05-05T19:41:35.98" personId="{F3207690-B64B-488B-81A4-49A7A1A43ED1}" id="{EB2FA09B-B237-496B-835F-021A24B558AC}">
    <text>Need itemized, derived WC_disc_rate years between low and high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1" dT="2026-05-05T19:34:25.20" personId="{F3207690-B64B-488B-81A4-49A7A1A43ED1}" id="{4BF55CFA-BE96-4022-A20D-01B73FE2FDFD}">
    <text>Take lowest to highest non-zero DRs from this column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6-04-15T19:17:08.41" personId="{F3207690-B64B-488B-81A4-49A7A1A43ED1}" id="{5287E0B0-5832-4F99-85E0-E23AEDF1D5A7}">
    <text>Used to make a chart, currently manual</text>
  </threadedComment>
  <threadedComment ref="E1" dT="2026-04-27T20:15:22.63" personId="{F3207690-B64B-488B-81A4-49A7A1A43ED1}" id="{E705A557-1001-4634-BB81-6E8FEDF20CAA}">
    <text>Need some sort of guard to confirm that # of items in table == Item Inputs
Also make sure the inputs match the Life Care Plan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66C-DC45-47DB-8531-582E1C21B9BF}">
  <sheetPr>
    <tabColor rgb="FF00B0F0"/>
  </sheetPr>
  <dimension ref="A1:J101"/>
  <sheetViews>
    <sheetView tabSelected="1" workbookViewId="0">
      <selection activeCell="D16" sqref="D16"/>
    </sheetView>
  </sheetViews>
  <sheetFormatPr defaultRowHeight="15" x14ac:dyDescent="0.25"/>
  <cols>
    <col min="1" max="1" width="34.85546875" bestFit="1" customWidth="1"/>
    <col min="2" max="2" width="31.42578125" bestFit="1" customWidth="1"/>
    <col min="3" max="3" width="17.28515625" customWidth="1"/>
    <col min="4" max="4" width="38.140625" customWidth="1"/>
    <col min="6" max="6" width="38.140625" bestFit="1" customWidth="1"/>
    <col min="7" max="7" width="30.140625" customWidth="1"/>
    <col min="9" max="9" width="42.42578125" customWidth="1"/>
    <col min="10" max="10" width="27" customWidth="1"/>
  </cols>
  <sheetData>
    <row r="1" spans="1:10" ht="21" x14ac:dyDescent="0.25">
      <c r="A1" s="106" t="s">
        <v>409</v>
      </c>
      <c r="B1" s="107"/>
      <c r="C1" s="107"/>
      <c r="D1" s="108"/>
      <c r="E1" s="57"/>
      <c r="F1" s="109" t="str" cm="1">
        <f t="array" aca="1" ref="F1" ca="1">_xlfn.TEXTAFTER(_xlfn.TEXTBEFORE(CELL("filename",A1),"]"),"[") &amp; " TABLES"</f>
        <v>Working_CALC_VER1.11 (color coded).xlsx TABLES</v>
      </c>
      <c r="G1" s="110"/>
      <c r="H1" s="57"/>
      <c r="I1" s="111" t="str" cm="1">
        <f t="array" aca="1" ref="I1" ca="1">_xlfn.TEXTAFTER(_xlfn.TEXTBEFORE(CELL("filename",D1),"]"),"[") &amp; " CHARTS"</f>
        <v>Working_CALC_VER1.11 (color coded).xlsx CHARTS</v>
      </c>
      <c r="J1" s="112"/>
    </row>
    <row r="2" spans="1:10" ht="15.75" x14ac:dyDescent="0.25">
      <c r="A2" s="103" t="s">
        <v>266</v>
      </c>
      <c r="B2" s="104" t="s">
        <v>267</v>
      </c>
      <c r="C2" s="104" t="s">
        <v>268</v>
      </c>
      <c r="D2" s="105" t="s">
        <v>269</v>
      </c>
      <c r="F2" s="67" t="s">
        <v>267</v>
      </c>
      <c r="G2" s="68" t="s">
        <v>405</v>
      </c>
      <c r="I2" s="76" t="s">
        <v>267</v>
      </c>
      <c r="J2" s="77" t="s">
        <v>406</v>
      </c>
    </row>
    <row r="3" spans="1:10" x14ac:dyDescent="0.25">
      <c r="A3" s="90" t="s">
        <v>379</v>
      </c>
      <c r="B3" s="86" t="s">
        <v>270</v>
      </c>
      <c r="C3" s="86" t="s">
        <v>271</v>
      </c>
      <c r="D3" s="96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10</v>
      </c>
      <c r="F3" s="69" t="s">
        <v>407</v>
      </c>
      <c r="G3" s="70" t="s">
        <v>407</v>
      </c>
      <c r="I3" s="78" t="s">
        <v>276</v>
      </c>
      <c r="J3" s="79" t="s">
        <v>408</v>
      </c>
    </row>
    <row r="4" spans="1:10" x14ac:dyDescent="0.25">
      <c r="A4" s="91" t="s">
        <v>380</v>
      </c>
      <c r="B4" s="87" t="s">
        <v>270</v>
      </c>
      <c r="C4" s="87" t="s">
        <v>272</v>
      </c>
      <c r="D4" s="96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25</v>
      </c>
      <c r="F4" s="71"/>
      <c r="G4" s="72"/>
      <c r="I4" s="80"/>
      <c r="J4" s="81"/>
    </row>
    <row r="5" spans="1:10" x14ac:dyDescent="0.25">
      <c r="A5" s="91" t="s">
        <v>381</v>
      </c>
      <c r="B5" s="87" t="s">
        <v>270</v>
      </c>
      <c r="C5" s="87" t="s">
        <v>273</v>
      </c>
      <c r="D5" s="96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2081</v>
      </c>
      <c r="F5" s="73"/>
      <c r="G5" s="74"/>
      <c r="I5" s="82"/>
      <c r="J5" s="83"/>
    </row>
    <row r="6" spans="1:10" x14ac:dyDescent="0.25">
      <c r="A6" s="91" t="s">
        <v>382</v>
      </c>
      <c r="B6" s="87" t="s">
        <v>270</v>
      </c>
      <c r="C6" s="87" t="s">
        <v>274</v>
      </c>
      <c r="D6" s="96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7675</v>
      </c>
      <c r="F6" s="71"/>
      <c r="G6" s="72"/>
      <c r="I6" s="80"/>
      <c r="J6" s="81"/>
    </row>
    <row r="7" spans="1:10" x14ac:dyDescent="0.25">
      <c r="A7" s="85" t="s">
        <v>411</v>
      </c>
      <c r="B7" s="87" t="s">
        <v>275</v>
      </c>
      <c r="C7" s="87"/>
      <c r="D7" s="97" t="str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/>
      </c>
      <c r="F7" s="73"/>
      <c r="G7" s="74"/>
      <c r="I7" s="82"/>
      <c r="J7" s="83"/>
    </row>
    <row r="8" spans="1:10" x14ac:dyDescent="0.25">
      <c r="A8" s="85" t="s">
        <v>410</v>
      </c>
      <c r="B8" s="87" t="s">
        <v>275</v>
      </c>
      <c r="C8" s="87"/>
      <c r="D8" s="97" t="str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/>
      </c>
      <c r="F8" s="71"/>
      <c r="G8" s="72"/>
      <c r="I8" s="80"/>
      <c r="J8" s="81"/>
    </row>
    <row r="9" spans="1:10" x14ac:dyDescent="0.25">
      <c r="A9" s="85" t="s">
        <v>506</v>
      </c>
      <c r="B9" s="87" t="s">
        <v>275</v>
      </c>
      <c r="C9" s="87"/>
      <c r="D9" s="97" t="str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/>
      </c>
      <c r="F9" s="73"/>
      <c r="G9" s="74"/>
      <c r="I9" s="82"/>
      <c r="J9" s="83"/>
    </row>
    <row r="10" spans="1:10" x14ac:dyDescent="0.25">
      <c r="A10" s="85" t="s">
        <v>507</v>
      </c>
      <c r="B10" s="88" t="s">
        <v>275</v>
      </c>
      <c r="D10" s="97" t="str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/>
      </c>
      <c r="F10" s="71"/>
      <c r="G10" s="72"/>
      <c r="I10" s="80"/>
      <c r="J10" s="81"/>
    </row>
    <row r="11" spans="1:10" x14ac:dyDescent="0.25">
      <c r="A11" s="7" t="s">
        <v>509</v>
      </c>
      <c r="B11" s="88" t="s">
        <v>275</v>
      </c>
      <c r="D11" s="97" t="str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/>
      </c>
      <c r="F11" s="73"/>
      <c r="G11" s="74"/>
      <c r="I11" s="82"/>
      <c r="J11" s="83"/>
    </row>
    <row r="12" spans="1:10" x14ac:dyDescent="0.25">
      <c r="A12" s="85" t="s">
        <v>508</v>
      </c>
      <c r="B12" s="88" t="s">
        <v>275</v>
      </c>
      <c r="D12" s="97" t="str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/>
      </c>
      <c r="F12" s="71"/>
      <c r="G12" s="72"/>
      <c r="I12" s="80"/>
      <c r="J12" s="81"/>
    </row>
    <row r="13" spans="1:10" x14ac:dyDescent="0.25">
      <c r="A13" s="7" t="s">
        <v>511</v>
      </c>
      <c r="B13" s="88" t="s">
        <v>275</v>
      </c>
      <c r="D13" s="97" t="str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/>
      </c>
      <c r="F13" s="73"/>
      <c r="G13" s="74"/>
      <c r="I13" s="82"/>
      <c r="J13" s="83"/>
    </row>
    <row r="14" spans="1:10" x14ac:dyDescent="0.25">
      <c r="A14" s="7" t="s">
        <v>510</v>
      </c>
      <c r="B14" s="88" t="s">
        <v>275</v>
      </c>
      <c r="D14" s="97" t="str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/>
      </c>
      <c r="F14" s="71"/>
      <c r="G14" s="72"/>
      <c r="I14" s="80"/>
      <c r="J14" s="81"/>
    </row>
    <row r="15" spans="1:10" x14ac:dyDescent="0.25">
      <c r="A15" s="7" t="s">
        <v>513</v>
      </c>
      <c r="B15" s="88" t="s">
        <v>275</v>
      </c>
      <c r="D15" s="97" t="str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/>
      </c>
      <c r="F15" s="73"/>
      <c r="G15" s="74"/>
      <c r="I15" s="82"/>
      <c r="J15" s="83"/>
    </row>
    <row r="16" spans="1:10" x14ac:dyDescent="0.25">
      <c r="A16" s="7" t="s">
        <v>512</v>
      </c>
      <c r="B16" s="88" t="s">
        <v>275</v>
      </c>
      <c r="D16" s="97" t="str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/>
      </c>
      <c r="F16" s="71"/>
      <c r="G16" s="72"/>
      <c r="I16" s="80"/>
      <c r="J16" s="81"/>
    </row>
    <row r="17" spans="1:10" x14ac:dyDescent="0.25">
      <c r="A17" s="7" t="s">
        <v>515</v>
      </c>
      <c r="B17" s="88" t="s">
        <v>275</v>
      </c>
      <c r="D17" s="97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/>
      </c>
      <c r="F17" s="73"/>
      <c r="G17" s="74"/>
      <c r="I17" s="82"/>
      <c r="J17" s="83"/>
    </row>
    <row r="18" spans="1:10" x14ac:dyDescent="0.25">
      <c r="A18" s="7" t="s">
        <v>514</v>
      </c>
      <c r="B18" s="88" t="s">
        <v>275</v>
      </c>
      <c r="D18" s="97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/>
      </c>
      <c r="F18" s="71"/>
      <c r="G18" s="72"/>
      <c r="I18" s="80"/>
      <c r="J18" s="81"/>
    </row>
    <row r="19" spans="1:10" x14ac:dyDescent="0.25">
      <c r="A19" s="7" t="s">
        <v>517</v>
      </c>
      <c r="B19" s="88" t="s">
        <v>275</v>
      </c>
      <c r="D19" s="97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/>
      </c>
      <c r="F19" s="73"/>
      <c r="G19" s="74"/>
      <c r="I19" s="82"/>
      <c r="J19" s="83"/>
    </row>
    <row r="20" spans="1:10" x14ac:dyDescent="0.25">
      <c r="A20" s="7" t="s">
        <v>516</v>
      </c>
      <c r="B20" s="88" t="s">
        <v>275</v>
      </c>
      <c r="D20" s="97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/>
      </c>
      <c r="F20" s="71"/>
      <c r="G20" s="72"/>
      <c r="I20" s="80"/>
      <c r="J20" s="81"/>
    </row>
    <row r="21" spans="1:10" x14ac:dyDescent="0.25">
      <c r="A21" s="7" t="s">
        <v>519</v>
      </c>
      <c r="B21" s="88" t="s">
        <v>275</v>
      </c>
      <c r="D21" s="97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/>
      </c>
      <c r="F21" s="73"/>
      <c r="G21" s="74"/>
      <c r="I21" s="82"/>
      <c r="J21" s="83"/>
    </row>
    <row r="22" spans="1:10" x14ac:dyDescent="0.25">
      <c r="A22" s="7" t="s">
        <v>518</v>
      </c>
      <c r="B22" s="88" t="s">
        <v>275</v>
      </c>
      <c r="D22" s="97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/>
      </c>
      <c r="F22" s="71"/>
      <c r="G22" s="72"/>
      <c r="I22" s="80"/>
      <c r="J22" s="81"/>
    </row>
    <row r="23" spans="1:10" x14ac:dyDescent="0.25">
      <c r="A23" s="7" t="s">
        <v>521</v>
      </c>
      <c r="B23" s="88" t="s">
        <v>275</v>
      </c>
      <c r="D23" s="97" t="str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/>
      </c>
      <c r="F23" s="73"/>
      <c r="G23" s="74"/>
      <c r="I23" s="82"/>
      <c r="J23" s="83"/>
    </row>
    <row r="24" spans="1:10" x14ac:dyDescent="0.25">
      <c r="A24" s="7" t="s">
        <v>520</v>
      </c>
      <c r="B24" s="87" t="s">
        <v>275</v>
      </c>
      <c r="C24" s="87"/>
      <c r="D24" s="97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/>
      </c>
      <c r="F24" s="71"/>
      <c r="G24" s="72"/>
      <c r="I24" s="80"/>
      <c r="J24" s="81"/>
    </row>
    <row r="25" spans="1:10" x14ac:dyDescent="0.25">
      <c r="A25" s="85" t="s">
        <v>522</v>
      </c>
      <c r="B25" s="87" t="s">
        <v>275</v>
      </c>
      <c r="C25" s="87"/>
      <c r="D25" s="97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/>
      </c>
      <c r="F25" s="73"/>
      <c r="G25" s="74"/>
      <c r="I25" s="82"/>
      <c r="J25" s="83"/>
    </row>
    <row r="26" spans="1:10" x14ac:dyDescent="0.25">
      <c r="A26" s="85" t="s">
        <v>523</v>
      </c>
      <c r="B26" s="87" t="s">
        <v>275</v>
      </c>
      <c r="C26" s="87"/>
      <c r="D26" s="97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/>
      </c>
      <c r="F26" s="71"/>
      <c r="G26" s="72"/>
      <c r="I26" s="80"/>
      <c r="J26" s="81"/>
    </row>
    <row r="27" spans="1:10" x14ac:dyDescent="0.25">
      <c r="A27" s="91" t="s">
        <v>374</v>
      </c>
      <c r="B27" s="87" t="s">
        <v>276</v>
      </c>
      <c r="C27" s="87" t="s">
        <v>277</v>
      </c>
      <c r="D27" s="98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2.433</v>
      </c>
      <c r="F27" s="73"/>
      <c r="G27" s="74"/>
      <c r="I27" s="82"/>
      <c r="J27" s="83"/>
    </row>
    <row r="28" spans="1:10" x14ac:dyDescent="0.25">
      <c r="A28" s="91" t="s">
        <v>376</v>
      </c>
      <c r="B28" s="87" t="s">
        <v>276</v>
      </c>
      <c r="C28" s="87" t="s">
        <v>278</v>
      </c>
      <c r="D28" s="98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2.422</v>
      </c>
      <c r="F28" s="71"/>
      <c r="G28" s="72"/>
      <c r="I28" s="80"/>
      <c r="J28" s="81"/>
    </row>
    <row r="29" spans="1:10" x14ac:dyDescent="0.25">
      <c r="A29" s="91" t="s">
        <v>377</v>
      </c>
      <c r="B29" s="87" t="s">
        <v>276</v>
      </c>
      <c r="C29" s="87" t="s">
        <v>279</v>
      </c>
      <c r="D29" s="98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2.421</v>
      </c>
      <c r="F29" s="73"/>
      <c r="G29" s="74"/>
      <c r="I29" s="82"/>
      <c r="J29" s="83"/>
    </row>
    <row r="30" spans="1:10" x14ac:dyDescent="0.25">
      <c r="A30" s="91" t="s">
        <v>378</v>
      </c>
      <c r="B30" s="87" t="s">
        <v>276</v>
      </c>
      <c r="C30" s="87" t="s">
        <v>280</v>
      </c>
      <c r="D30" s="98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2.467</v>
      </c>
      <c r="F30" s="71"/>
      <c r="G30" s="72"/>
      <c r="I30" s="80"/>
      <c r="J30" s="81"/>
    </row>
    <row r="31" spans="1:10" x14ac:dyDescent="0.25">
      <c r="A31" s="91" t="str">
        <f>"WC_disc_rate_y"&amp;(ROW()-16)</f>
        <v>WC_disc_rate_y15</v>
      </c>
      <c r="B31" s="87" t="s">
        <v>276</v>
      </c>
      <c r="C31" s="87" t="s">
        <v>281</v>
      </c>
      <c r="D31" s="98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2.517</v>
      </c>
      <c r="F31" s="73"/>
      <c r="G31" s="74"/>
      <c r="I31" s="82"/>
      <c r="J31" s="83"/>
    </row>
    <row r="32" spans="1:10" x14ac:dyDescent="0.25">
      <c r="A32" s="91" t="str">
        <f t="shared" ref="A32:A56" si="0">"WC_disc_rate_y"&amp;(ROW()-16)</f>
        <v>WC_disc_rate_y16</v>
      </c>
      <c r="B32" s="87" t="s">
        <v>276</v>
      </c>
      <c r="C32" s="87" t="s">
        <v>282</v>
      </c>
      <c r="D32" s="98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2.590</v>
      </c>
      <c r="F32" s="71"/>
      <c r="G32" s="72"/>
      <c r="I32" s="80"/>
      <c r="J32" s="81"/>
    </row>
    <row r="33" spans="1:10" x14ac:dyDescent="0.25">
      <c r="A33" s="91" t="str">
        <f t="shared" si="0"/>
        <v>WC_disc_rate_y17</v>
      </c>
      <c r="B33" s="87" t="s">
        <v>276</v>
      </c>
      <c r="C33" s="87" t="s">
        <v>283</v>
      </c>
      <c r="D33" s="98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2.688</v>
      </c>
      <c r="F33" s="73"/>
      <c r="G33" s="74"/>
      <c r="I33" s="82"/>
      <c r="J33" s="83"/>
    </row>
    <row r="34" spans="1:10" x14ac:dyDescent="0.25">
      <c r="A34" s="91" t="str">
        <f t="shared" si="0"/>
        <v>WC_disc_rate_y18</v>
      </c>
      <c r="B34" s="87" t="s">
        <v>276</v>
      </c>
      <c r="C34" s="87" t="s">
        <v>284</v>
      </c>
      <c r="D34" s="98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2.752</v>
      </c>
      <c r="F34" s="71"/>
      <c r="G34" s="72"/>
      <c r="I34" s="80"/>
      <c r="J34" s="81"/>
    </row>
    <row r="35" spans="1:10" x14ac:dyDescent="0.25">
      <c r="A35" s="91" t="str">
        <f t="shared" si="0"/>
        <v>WC_disc_rate_y19</v>
      </c>
      <c r="B35" s="87" t="s">
        <v>276</v>
      </c>
      <c r="C35" s="87" t="s">
        <v>285</v>
      </c>
      <c r="D35" s="98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2.842</v>
      </c>
      <c r="F35" s="73"/>
      <c r="G35" s="74"/>
      <c r="I35" s="82"/>
      <c r="J35" s="83"/>
    </row>
    <row r="36" spans="1:10" x14ac:dyDescent="0.25">
      <c r="A36" s="91" t="str">
        <f t="shared" si="0"/>
        <v>WC_disc_rate_y20</v>
      </c>
      <c r="B36" s="87" t="s">
        <v>276</v>
      </c>
      <c r="C36" s="87" t="s">
        <v>286</v>
      </c>
      <c r="D36" s="98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2.944</v>
      </c>
      <c r="F36" s="71"/>
      <c r="G36" s="72"/>
      <c r="I36" s="80"/>
      <c r="J36" s="81"/>
    </row>
    <row r="37" spans="1:10" x14ac:dyDescent="0.25">
      <c r="A37" s="91" t="str">
        <f t="shared" si="0"/>
        <v>WC_disc_rate_y21</v>
      </c>
      <c r="B37" s="87" t="s">
        <v>276</v>
      </c>
      <c r="C37" s="87" t="s">
        <v>287</v>
      </c>
      <c r="D37" s="98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3.036</v>
      </c>
      <c r="F37" s="73"/>
      <c r="G37" s="74"/>
      <c r="I37" s="82"/>
      <c r="J37" s="83"/>
    </row>
    <row r="38" spans="1:10" x14ac:dyDescent="0.25">
      <c r="A38" s="91" t="str">
        <f t="shared" si="0"/>
        <v>WC_disc_rate_y22</v>
      </c>
      <c r="B38" s="87" t="s">
        <v>276</v>
      </c>
      <c r="C38" s="87" t="s">
        <v>288</v>
      </c>
      <c r="D38" s="98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3.134</v>
      </c>
      <c r="F38" s="71"/>
      <c r="G38" s="72"/>
      <c r="I38" s="80"/>
      <c r="J38" s="81"/>
    </row>
    <row r="39" spans="1:10" x14ac:dyDescent="0.25">
      <c r="A39" s="91" t="str">
        <f t="shared" si="0"/>
        <v>WC_disc_rate_y23</v>
      </c>
      <c r="B39" s="87" t="s">
        <v>276</v>
      </c>
      <c r="C39" s="87" t="s">
        <v>289</v>
      </c>
      <c r="D39" s="98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3.207</v>
      </c>
      <c r="F39" s="73"/>
      <c r="G39" s="74"/>
      <c r="I39" s="82"/>
      <c r="J39" s="83"/>
    </row>
    <row r="40" spans="1:10" ht="15.75" thickBot="1" x14ac:dyDescent="0.3">
      <c r="A40" s="91" t="str">
        <f t="shared" si="0"/>
        <v>WC_disc_rate_y24</v>
      </c>
      <c r="B40" s="87" t="s">
        <v>276</v>
      </c>
      <c r="C40" s="87" t="s">
        <v>290</v>
      </c>
      <c r="D40" s="98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3.303</v>
      </c>
      <c r="F40" s="75"/>
      <c r="G40" s="62"/>
      <c r="I40" s="84"/>
      <c r="J40" s="63"/>
    </row>
    <row r="41" spans="1:10" x14ac:dyDescent="0.25">
      <c r="A41" s="91" t="str">
        <f t="shared" si="0"/>
        <v>WC_disc_rate_y25</v>
      </c>
      <c r="B41" s="87" t="s">
        <v>276</v>
      </c>
      <c r="C41" s="87" t="s">
        <v>291</v>
      </c>
      <c r="D41" s="98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3.356</v>
      </c>
    </row>
    <row r="42" spans="1:10" x14ac:dyDescent="0.25">
      <c r="A42" s="91" t="str">
        <f t="shared" si="0"/>
        <v>WC_disc_rate_y26</v>
      </c>
      <c r="B42" s="87" t="s">
        <v>276</v>
      </c>
      <c r="C42" s="87" t="s">
        <v>292</v>
      </c>
      <c r="D42" s="98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3.464</v>
      </c>
    </row>
    <row r="43" spans="1:10" x14ac:dyDescent="0.25">
      <c r="A43" s="91" t="str">
        <f t="shared" si="0"/>
        <v>WC_disc_rate_y27</v>
      </c>
      <c r="B43" s="87" t="s">
        <v>276</v>
      </c>
      <c r="C43" s="87" t="s">
        <v>293</v>
      </c>
      <c r="D43" s="98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3.596</v>
      </c>
    </row>
    <row r="44" spans="1:10" x14ac:dyDescent="0.25">
      <c r="A44" s="91" t="str">
        <f t="shared" si="0"/>
        <v>WC_disc_rate_y28</v>
      </c>
      <c r="B44" s="87" t="s">
        <v>276</v>
      </c>
      <c r="C44" s="87" t="s">
        <v>294</v>
      </c>
      <c r="D44" s="98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3.727</v>
      </c>
      <c r="F44" t="s">
        <v>500</v>
      </c>
    </row>
    <row r="45" spans="1:10" x14ac:dyDescent="0.25">
      <c r="A45" s="91" t="str">
        <f t="shared" si="0"/>
        <v>WC_disc_rate_y29</v>
      </c>
      <c r="B45" s="87" t="s">
        <v>276</v>
      </c>
      <c r="C45" s="87" t="s">
        <v>295</v>
      </c>
      <c r="D45" s="98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3.864</v>
      </c>
    </row>
    <row r="46" spans="1:10" x14ac:dyDescent="0.25">
      <c r="A46" s="91" t="str">
        <f t="shared" si="0"/>
        <v>WC_disc_rate_y30</v>
      </c>
      <c r="B46" s="87" t="s">
        <v>276</v>
      </c>
      <c r="C46" s="87" t="s">
        <v>296</v>
      </c>
      <c r="D46" s="98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3.987</v>
      </c>
    </row>
    <row r="47" spans="1:10" x14ac:dyDescent="0.25">
      <c r="A47" s="91" t="str">
        <f t="shared" si="0"/>
        <v>WC_disc_rate_y31</v>
      </c>
      <c r="B47" s="87" t="s">
        <v>276</v>
      </c>
      <c r="C47" s="87" t="s">
        <v>297</v>
      </c>
      <c r="D47" s="98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4.064</v>
      </c>
    </row>
    <row r="48" spans="1:10" x14ac:dyDescent="0.25">
      <c r="A48" s="91" t="str">
        <f t="shared" si="0"/>
        <v>WC_disc_rate_y32</v>
      </c>
      <c r="B48" s="87" t="s">
        <v>276</v>
      </c>
      <c r="C48" s="87" t="s">
        <v>298</v>
      </c>
      <c r="D48" s="98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>4.126</v>
      </c>
    </row>
    <row r="49" spans="1:5" x14ac:dyDescent="0.25">
      <c r="A49" s="91" t="str">
        <f t="shared" si="0"/>
        <v>WC_disc_rate_y33</v>
      </c>
      <c r="B49" s="87" t="s">
        <v>276</v>
      </c>
      <c r="C49" s="87" t="s">
        <v>299</v>
      </c>
      <c r="D49" s="98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>4.168</v>
      </c>
    </row>
    <row r="50" spans="1:5" x14ac:dyDescent="0.25">
      <c r="A50" s="91" t="str">
        <f t="shared" si="0"/>
        <v>WC_disc_rate_y34</v>
      </c>
      <c r="B50" s="87" t="s">
        <v>276</v>
      </c>
      <c r="C50" s="87" t="s">
        <v>300</v>
      </c>
      <c r="D50" s="98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>4.216</v>
      </c>
    </row>
    <row r="51" spans="1:5" x14ac:dyDescent="0.25">
      <c r="A51" s="91" t="str">
        <f t="shared" si="0"/>
        <v>WC_disc_rate_y35</v>
      </c>
      <c r="B51" s="87" t="s">
        <v>276</v>
      </c>
      <c r="C51" s="87" t="s">
        <v>301</v>
      </c>
      <c r="D51" s="98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>4.235</v>
      </c>
    </row>
    <row r="52" spans="1:5" x14ac:dyDescent="0.25">
      <c r="A52" s="91" t="str">
        <f t="shared" si="0"/>
        <v>WC_disc_rate_y36</v>
      </c>
      <c r="B52" s="87" t="s">
        <v>276</v>
      </c>
      <c r="C52" s="87" t="s">
        <v>302</v>
      </c>
      <c r="D52" s="98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4.255</v>
      </c>
    </row>
    <row r="53" spans="1:5" x14ac:dyDescent="0.25">
      <c r="A53" s="91" t="str">
        <f t="shared" si="0"/>
        <v>WC_disc_rate_y37</v>
      </c>
      <c r="B53" s="87" t="s">
        <v>276</v>
      </c>
      <c r="C53" s="87" t="s">
        <v>303</v>
      </c>
      <c r="D53" s="98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4.268</v>
      </c>
    </row>
    <row r="54" spans="1:5" x14ac:dyDescent="0.25">
      <c r="A54" s="91" t="str">
        <f t="shared" si="0"/>
        <v>WC_disc_rate_y38</v>
      </c>
      <c r="B54" s="87" t="s">
        <v>276</v>
      </c>
      <c r="C54" s="87" t="s">
        <v>304</v>
      </c>
      <c r="D54" s="98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4.290</v>
      </c>
    </row>
    <row r="55" spans="1:5" x14ac:dyDescent="0.25">
      <c r="A55" s="91" t="str">
        <f t="shared" si="0"/>
        <v>WC_disc_rate_y39</v>
      </c>
      <c r="B55" s="87" t="s">
        <v>276</v>
      </c>
      <c r="C55" s="87" t="s">
        <v>305</v>
      </c>
      <c r="D55" s="98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4.293</v>
      </c>
    </row>
    <row r="56" spans="1:5" x14ac:dyDescent="0.25">
      <c r="A56" s="91" t="str">
        <f t="shared" si="0"/>
        <v>WC_disc_rate_y40</v>
      </c>
      <c r="B56" s="87" t="s">
        <v>276</v>
      </c>
      <c r="C56" s="87" t="s">
        <v>306</v>
      </c>
      <c r="D56" s="98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4.312</v>
      </c>
    </row>
    <row r="57" spans="1:5" x14ac:dyDescent="0.25">
      <c r="A57" s="91" t="s">
        <v>375</v>
      </c>
      <c r="B57" s="87" t="s">
        <v>276</v>
      </c>
      <c r="C57" s="87" t="s">
        <v>306</v>
      </c>
      <c r="D57" s="98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>4.312</v>
      </c>
    </row>
    <row r="58" spans="1:5" x14ac:dyDescent="0.25">
      <c r="A58" s="85" t="s">
        <v>525</v>
      </c>
      <c r="B58" s="87"/>
      <c r="C58" s="87"/>
      <c r="D58" s="99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5" x14ac:dyDescent="0.25">
      <c r="A59" s="85" t="s">
        <v>526</v>
      </c>
      <c r="B59" s="87"/>
      <c r="C59" s="87"/>
      <c r="D59" s="99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5" x14ac:dyDescent="0.25">
      <c r="A60" s="85" t="s">
        <v>527</v>
      </c>
      <c r="B60" s="87"/>
      <c r="C60" s="87"/>
      <c r="D60" s="99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5" x14ac:dyDescent="0.25">
      <c r="A61" s="85" t="s">
        <v>528</v>
      </c>
      <c r="B61" s="87"/>
      <c r="C61" s="87"/>
      <c r="D61" s="99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5" x14ac:dyDescent="0.25">
      <c r="A62" s="92" t="s">
        <v>383</v>
      </c>
      <c r="B62" s="87" t="s">
        <v>275</v>
      </c>
      <c r="C62" s="87" t="s">
        <v>283</v>
      </c>
      <c r="D62" s="99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>Physicians' services</v>
      </c>
      <c r="E62" t="s">
        <v>501</v>
      </c>
    </row>
    <row r="63" spans="1:5" x14ac:dyDescent="0.25">
      <c r="A63" s="92" t="s">
        <v>384</v>
      </c>
      <c r="B63" s="87" t="s">
        <v>275</v>
      </c>
      <c r="C63" s="87" t="s">
        <v>393</v>
      </c>
      <c r="D63" s="99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>Services by other medical professionals</v>
      </c>
    </row>
    <row r="64" spans="1:5" x14ac:dyDescent="0.25">
      <c r="A64" s="92" t="s">
        <v>385</v>
      </c>
      <c r="B64" s="87" t="s">
        <v>275</v>
      </c>
      <c r="C64" s="87" t="s">
        <v>394</v>
      </c>
      <c r="D64" s="99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>Medical care services</v>
      </c>
    </row>
    <row r="65" spans="1:6" x14ac:dyDescent="0.25">
      <c r="A65" s="92" t="s">
        <v>386</v>
      </c>
      <c r="B65" s="87" t="s">
        <v>275</v>
      </c>
      <c r="C65" s="87" t="s">
        <v>395</v>
      </c>
      <c r="D65" s="99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>Prescription drugs</v>
      </c>
    </row>
    <row r="66" spans="1:6" x14ac:dyDescent="0.25">
      <c r="A66" s="93" t="s">
        <v>387</v>
      </c>
      <c r="B66" s="89" t="s">
        <v>275</v>
      </c>
      <c r="C66" s="89" t="s">
        <v>396</v>
      </c>
      <c r="D66" s="99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>Nonprescription drugs</v>
      </c>
    </row>
    <row r="67" spans="1:6" x14ac:dyDescent="0.25">
      <c r="A67" s="93" t="s">
        <v>388</v>
      </c>
      <c r="B67" s="89" t="s">
        <v>275</v>
      </c>
      <c r="C67" s="89" t="s">
        <v>397</v>
      </c>
      <c r="D67" s="99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>All items</v>
      </c>
    </row>
    <row r="68" spans="1:6" x14ac:dyDescent="0.25">
      <c r="A68" s="93" t="s">
        <v>389</v>
      </c>
      <c r="B68" s="89" t="s">
        <v>275</v>
      </c>
      <c r="C68" s="89" t="s">
        <v>398</v>
      </c>
      <c r="D68" s="99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>Hospital services</v>
      </c>
    </row>
    <row r="69" spans="1:6" x14ac:dyDescent="0.25">
      <c r="A69" s="93" t="s">
        <v>390</v>
      </c>
      <c r="B69" s="89" t="s">
        <v>275</v>
      </c>
      <c r="C69" s="89" t="s">
        <v>399</v>
      </c>
      <c r="D69" s="99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>Inpatient hospital services</v>
      </c>
    </row>
    <row r="70" spans="1:6" x14ac:dyDescent="0.25">
      <c r="A70" s="93" t="s">
        <v>391</v>
      </c>
      <c r="B70" s="89" t="s">
        <v>275</v>
      </c>
      <c r="C70" s="89" t="s">
        <v>400</v>
      </c>
      <c r="D70" s="99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>Outpatient hospital services</v>
      </c>
    </row>
    <row r="71" spans="1:6" x14ac:dyDescent="0.25">
      <c r="A71" s="93" t="s">
        <v>392</v>
      </c>
      <c r="B71" s="89" t="s">
        <v>275</v>
      </c>
      <c r="C71" s="89" t="s">
        <v>401</v>
      </c>
      <c r="D71" s="99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>Medical equipment and supplies</v>
      </c>
    </row>
    <row r="72" spans="1:6" x14ac:dyDescent="0.25">
      <c r="A72" s="94" t="s">
        <v>402</v>
      </c>
      <c r="B72" s="89" t="s">
        <v>403</v>
      </c>
      <c r="C72" s="89" t="s">
        <v>524</v>
      </c>
      <c r="D72" s="99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  <c r="F72" s="64" t="s">
        <v>404</v>
      </c>
    </row>
    <row r="78" spans="1:6" x14ac:dyDescent="0.25">
      <c r="A78" s="95"/>
      <c r="B78" s="89"/>
      <c r="C78" s="89"/>
      <c r="D78" s="99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6" x14ac:dyDescent="0.25">
      <c r="A79" s="95"/>
      <c r="B79" s="89"/>
      <c r="C79" s="89"/>
      <c r="D79" s="99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6" x14ac:dyDescent="0.25">
      <c r="A80" s="95"/>
      <c r="B80" s="89"/>
      <c r="C80" s="89"/>
      <c r="D80" s="99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 x14ac:dyDescent="0.25">
      <c r="A81" s="95"/>
      <c r="B81" s="89"/>
      <c r="C81" s="89"/>
      <c r="D81" s="99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 x14ac:dyDescent="0.25">
      <c r="A82" s="95"/>
      <c r="B82" s="89"/>
      <c r="C82" s="89"/>
      <c r="D82" s="99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 x14ac:dyDescent="0.25">
      <c r="A83" s="95"/>
      <c r="B83" s="89"/>
      <c r="C83" s="89"/>
      <c r="D83" s="99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 x14ac:dyDescent="0.25">
      <c r="A84" s="95"/>
      <c r="B84" s="89"/>
      <c r="C84" s="89"/>
      <c r="D84" s="99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 x14ac:dyDescent="0.25">
      <c r="A85" s="95"/>
      <c r="B85" s="89"/>
      <c r="C85" s="89"/>
      <c r="D85" s="99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 x14ac:dyDescent="0.25">
      <c r="A86" s="95"/>
      <c r="B86" s="89"/>
      <c r="C86" s="89"/>
      <c r="D86" s="99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 x14ac:dyDescent="0.25">
      <c r="A87" s="95"/>
      <c r="B87" s="89"/>
      <c r="C87" s="89"/>
      <c r="D87" s="99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 x14ac:dyDescent="0.25">
      <c r="A88" s="95"/>
      <c r="B88" s="89"/>
      <c r="C88" s="89"/>
      <c r="D88" s="99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 x14ac:dyDescent="0.25">
      <c r="A89" s="95"/>
      <c r="B89" s="89"/>
      <c r="C89" s="89"/>
      <c r="D89" s="99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 x14ac:dyDescent="0.25">
      <c r="A90" s="95"/>
      <c r="B90" s="89"/>
      <c r="C90" s="89"/>
      <c r="D90" s="99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 x14ac:dyDescent="0.25">
      <c r="A91" s="95"/>
      <c r="B91" s="89"/>
      <c r="C91" s="89"/>
      <c r="D91" s="99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 x14ac:dyDescent="0.25">
      <c r="A92" s="95"/>
      <c r="B92" s="89"/>
      <c r="C92" s="89"/>
      <c r="D92" s="99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 x14ac:dyDescent="0.25">
      <c r="A93" s="95"/>
      <c r="B93" s="89"/>
      <c r="C93" s="89"/>
      <c r="D93" s="99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 x14ac:dyDescent="0.25">
      <c r="A94" s="95"/>
      <c r="B94" s="89"/>
      <c r="C94" s="89"/>
      <c r="D94" s="99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 x14ac:dyDescent="0.25">
      <c r="A95" s="95"/>
      <c r="B95" s="89"/>
      <c r="C95" s="89"/>
      <c r="D95" s="99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x14ac:dyDescent="0.25">
      <c r="A96" s="95"/>
      <c r="B96" s="89"/>
      <c r="C96" s="89"/>
      <c r="D96" s="99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x14ac:dyDescent="0.25">
      <c r="A97" s="95"/>
      <c r="B97" s="89"/>
      <c r="C97" s="89"/>
      <c r="D97" s="99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x14ac:dyDescent="0.25">
      <c r="A98" s="95"/>
      <c r="B98" s="89"/>
      <c r="C98" s="89"/>
      <c r="D98" s="99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 x14ac:dyDescent="0.25">
      <c r="A99" s="95"/>
      <c r="B99" s="89"/>
      <c r="C99" s="89"/>
      <c r="D99" s="99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x14ac:dyDescent="0.25">
      <c r="A100" s="95"/>
      <c r="B100" s="89"/>
      <c r="C100" s="89"/>
      <c r="D100" s="99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  <row r="101" spans="1:4" x14ac:dyDescent="0.25">
      <c r="A101" s="100"/>
      <c r="B101" s="101"/>
      <c r="C101" s="101"/>
      <c r="D101" s="102" t="str" cm="1">
        <f t="array" aca="1" ref="D101" ca="1">IF(OR(IF(OR(A101="", B101="", C101=""), "", INDIRECT("'" &amp; B101 &amp; "'!" &amp; C101))=0, IF(OR(A101="", B101="", C101=""), "", INDIRECT("'" &amp; B101 &amp; "'!" &amp; C101))=""),"",INDIRECT("'" &amp; B101 &amp; "'!" &amp; C101))</f>
        <v/>
      </c>
    </row>
  </sheetData>
  <mergeCells count="3">
    <mergeCell ref="A1:D1"/>
    <mergeCell ref="F1:G1"/>
    <mergeCell ref="I1:J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P58"/>
  <sheetViews>
    <sheetView workbookViewId="0">
      <selection activeCell="N7" sqref="N7"/>
    </sheetView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4" width="15.28515625" style="1" customWidth="1"/>
    <col min="5" max="5" width="22.140625" style="1" bestFit="1" customWidth="1"/>
    <col min="6" max="6" width="15.28515625" style="1" customWidth="1"/>
    <col min="7" max="7" width="31" style="1" customWidth="1"/>
    <col min="8" max="8" width="24" style="1" customWidth="1"/>
    <col min="9" max="9" width="22" style="1" customWidth="1"/>
    <col min="10" max="10" width="28.5703125" style="1" customWidth="1"/>
    <col min="11" max="11" width="14.28515625" style="1" customWidth="1"/>
    <col min="12" max="12" width="9.140625" style="1"/>
    <col min="13" max="13" width="12.42578125" style="1" customWidth="1"/>
    <col min="14" max="14" width="10.5703125" style="1" customWidth="1"/>
    <col min="15" max="15" width="12.7109375" style="1" bestFit="1" customWidth="1"/>
    <col min="16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 t="str">
        <f t="shared" ref="A2:A33" si="0">"Item " &amp; (ROW()-1)</f>
        <v>Item 1</v>
      </c>
      <c r="B2" s="1" t="str">
        <f>ItemInputs[[#This Row],[Item Name]] &amp; " (" &amp; ItemInputs[[#This Row],[Sort Order]] &amp; ")"</f>
        <v>Item 1 (1)</v>
      </c>
      <c r="C2" s="1" t="s">
        <v>319</v>
      </c>
      <c r="D2" s="1">
        <v>2026</v>
      </c>
      <c r="E2" s="1">
        <v>0</v>
      </c>
      <c r="F2" s="1">
        <v>10</v>
      </c>
      <c r="G2" s="41">
        <v>10</v>
      </c>
      <c r="H2" s="41">
        <v>25</v>
      </c>
      <c r="I2" s="41">
        <v>1</v>
      </c>
      <c r="J2" s="41">
        <v>5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2"/>
    </row>
    <row r="3" spans="1:16" x14ac:dyDescent="0.25">
      <c r="A3" t="str">
        <f t="shared" si="0"/>
        <v>Item 2</v>
      </c>
      <c r="B3" s="1" t="str">
        <f>ItemInputs[[#This Row],[Item Name]] &amp; " (" &amp; ItemInputs[[#This Row],[Sort Order]] &amp; ")"</f>
        <v>Item 2 (2)</v>
      </c>
      <c r="C3" s="1" t="s">
        <v>320</v>
      </c>
      <c r="D3" s="1">
        <v>2026</v>
      </c>
      <c r="E3" s="1">
        <v>0</v>
      </c>
      <c r="F3" s="1">
        <v>15</v>
      </c>
      <c r="G3" s="41">
        <v>0</v>
      </c>
      <c r="H3" s="41">
        <v>0</v>
      </c>
      <c r="I3" s="41">
        <v>30</v>
      </c>
      <c r="J3" s="41">
        <v>45</v>
      </c>
      <c r="K3" s="1">
        <v>4</v>
      </c>
      <c r="L3" s="1">
        <v>2</v>
      </c>
      <c r="M3" s="1">
        <v>2</v>
      </c>
      <c r="N3" s="1">
        <v>0</v>
      </c>
      <c r="O3" s="1" t="s">
        <v>27</v>
      </c>
      <c r="P3" s="42"/>
    </row>
    <row r="4" spans="1:16" x14ac:dyDescent="0.25">
      <c r="A4" t="str">
        <f t="shared" si="0"/>
        <v>Item 3</v>
      </c>
      <c r="B4" s="1" t="str">
        <f>ItemInputs[[#This Row],[Item Name]] &amp; " (" &amp; ItemInputs[[#This Row],[Sort Order]] &amp; ")"</f>
        <v>Item 3 (3)</v>
      </c>
      <c r="C4" s="1" t="s">
        <v>319</v>
      </c>
      <c r="D4" s="1">
        <v>2026</v>
      </c>
      <c r="E4" s="1">
        <v>0</v>
      </c>
      <c r="F4" s="1">
        <v>10</v>
      </c>
      <c r="G4" s="41">
        <v>0</v>
      </c>
      <c r="H4" s="41">
        <v>0</v>
      </c>
      <c r="I4" s="41">
        <v>50</v>
      </c>
      <c r="J4" s="41">
        <v>250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2"/>
    </row>
    <row r="5" spans="1:16" x14ac:dyDescent="0.25">
      <c r="A5" t="str">
        <f t="shared" si="0"/>
        <v>Item 4</v>
      </c>
      <c r="B5" s="1" t="str">
        <f>ItemInputs[[#This Row],[Item Name]] &amp; " (" &amp; ItemInputs[[#This Row],[Sort Order]] &amp; ")"</f>
        <v>Item 4 (4)</v>
      </c>
      <c r="C5" s="1" t="s">
        <v>320</v>
      </c>
      <c r="D5" s="1">
        <v>2026</v>
      </c>
      <c r="E5" s="1">
        <v>0</v>
      </c>
      <c r="F5" s="1">
        <v>15</v>
      </c>
      <c r="G5" s="41">
        <v>0</v>
      </c>
      <c r="H5" s="41">
        <v>0</v>
      </c>
      <c r="I5" s="41">
        <v>30</v>
      </c>
      <c r="J5" s="41">
        <v>45</v>
      </c>
      <c r="K5" s="1">
        <v>4</v>
      </c>
      <c r="L5" s="1">
        <v>2</v>
      </c>
      <c r="M5" s="1">
        <v>4</v>
      </c>
      <c r="N5" s="1">
        <v>0</v>
      </c>
      <c r="O5" s="1" t="s">
        <v>27</v>
      </c>
      <c r="P5" s="43"/>
    </row>
    <row r="6" spans="1:16" x14ac:dyDescent="0.25">
      <c r="A6" t="str">
        <f t="shared" si="0"/>
        <v>Item 5</v>
      </c>
      <c r="B6" s="1" t="str">
        <f>ItemInputs[[#This Row],[Item Name]] &amp; " (" &amp; ItemInputs[[#This Row],[Sort Order]] &amp; ")"</f>
        <v>Item 5 (5)</v>
      </c>
      <c r="C6" s="1" t="s">
        <v>319</v>
      </c>
      <c r="D6" s="1">
        <v>2026</v>
      </c>
      <c r="E6" s="1">
        <v>0</v>
      </c>
      <c r="F6" s="1">
        <v>10</v>
      </c>
      <c r="G6" s="41">
        <v>0</v>
      </c>
      <c r="H6" s="41">
        <v>0</v>
      </c>
      <c r="I6" s="41">
        <v>50</v>
      </c>
      <c r="J6" s="41">
        <v>250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2"/>
    </row>
    <row r="7" spans="1:16" x14ac:dyDescent="0.25">
      <c r="A7" t="str">
        <f t="shared" si="0"/>
        <v>Item 6</v>
      </c>
      <c r="B7" s="1" t="str">
        <f>ItemInputs[[#This Row],[Item Name]] &amp; " (" &amp; ItemInputs[[#This Row],[Sort Order]] &amp; ")"</f>
        <v>Item 6 (6)</v>
      </c>
      <c r="C7" s="1" t="s">
        <v>320</v>
      </c>
      <c r="D7" s="1">
        <v>2026</v>
      </c>
      <c r="E7" s="1">
        <v>0</v>
      </c>
      <c r="F7" s="1">
        <v>15</v>
      </c>
      <c r="G7" s="41">
        <v>0</v>
      </c>
      <c r="H7" s="41">
        <v>0</v>
      </c>
      <c r="I7" s="41">
        <v>30</v>
      </c>
      <c r="J7" s="41">
        <v>45</v>
      </c>
      <c r="K7" s="1">
        <v>4</v>
      </c>
      <c r="L7" s="1">
        <v>2</v>
      </c>
      <c r="M7" s="1">
        <v>6</v>
      </c>
      <c r="N7" s="1">
        <v>0</v>
      </c>
      <c r="O7" s="1" t="s">
        <v>27</v>
      </c>
      <c r="P7" s="43"/>
    </row>
    <row r="8" spans="1:16" x14ac:dyDescent="0.25">
      <c r="A8" t="str">
        <f t="shared" si="0"/>
        <v>Item 7</v>
      </c>
      <c r="B8" s="1" t="str">
        <f>ItemInputs[[#This Row],[Item Name]] &amp; " (" &amp; ItemInputs[[#This Row],[Sort Order]] &amp; ")"</f>
        <v>Item 7 (7)</v>
      </c>
      <c r="C8" s="1" t="s">
        <v>319</v>
      </c>
      <c r="D8" s="1">
        <v>2026</v>
      </c>
      <c r="E8" s="1">
        <v>0</v>
      </c>
      <c r="F8" s="1">
        <v>10</v>
      </c>
      <c r="G8" s="41">
        <v>0</v>
      </c>
      <c r="H8" s="41">
        <v>0</v>
      </c>
      <c r="I8" s="41">
        <v>50</v>
      </c>
      <c r="J8" s="41">
        <v>250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3"/>
    </row>
    <row r="9" spans="1:16" x14ac:dyDescent="0.25">
      <c r="A9" t="str">
        <f t="shared" si="0"/>
        <v>Item 8</v>
      </c>
      <c r="B9" s="1" t="str">
        <f>ItemInputs[[#This Row],[Item Name]] &amp; " (" &amp; ItemInputs[[#This Row],[Sort Order]] &amp; ")"</f>
        <v>Item 8 (8)</v>
      </c>
      <c r="C9" s="1" t="s">
        <v>320</v>
      </c>
      <c r="D9" s="1">
        <v>2026</v>
      </c>
      <c r="E9" s="1">
        <v>0</v>
      </c>
      <c r="F9" s="1">
        <v>15</v>
      </c>
      <c r="G9" s="41">
        <v>0</v>
      </c>
      <c r="H9" s="41">
        <v>0</v>
      </c>
      <c r="I9" s="41">
        <v>30</v>
      </c>
      <c r="J9" s="41">
        <v>45</v>
      </c>
      <c r="K9" s="1">
        <v>4</v>
      </c>
      <c r="L9" s="1">
        <v>2</v>
      </c>
      <c r="M9" s="1">
        <v>8</v>
      </c>
      <c r="N9" s="1">
        <v>0</v>
      </c>
      <c r="O9" s="1" t="s">
        <v>27</v>
      </c>
      <c r="P9" s="42"/>
    </row>
    <row r="10" spans="1:16" x14ac:dyDescent="0.25">
      <c r="A10" t="str">
        <f t="shared" si="0"/>
        <v>Item 9</v>
      </c>
      <c r="B10" s="1" t="str">
        <f>ItemInputs[[#This Row],[Item Name]] &amp; " (" &amp; ItemInputs[[#This Row],[Sort Order]] &amp; ")"</f>
        <v>Item 9 (9)</v>
      </c>
      <c r="C10" s="1" t="s">
        <v>319</v>
      </c>
      <c r="D10" s="1">
        <v>2026</v>
      </c>
      <c r="E10" s="1">
        <v>0</v>
      </c>
      <c r="F10" s="1">
        <v>10</v>
      </c>
      <c r="G10" s="41">
        <v>0</v>
      </c>
      <c r="H10" s="41">
        <v>0</v>
      </c>
      <c r="I10" s="41">
        <v>50</v>
      </c>
      <c r="J10" s="41">
        <v>250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2"/>
    </row>
    <row r="11" spans="1:16" x14ac:dyDescent="0.25">
      <c r="A11" t="str">
        <f t="shared" si="0"/>
        <v>Item 10</v>
      </c>
      <c r="B11" s="1" t="str">
        <f>ItemInputs[[#This Row],[Item Name]] &amp; " (" &amp; ItemInputs[[#This Row],[Sort Order]] &amp; ")"</f>
        <v>Item 10 (10)</v>
      </c>
      <c r="C11" s="1" t="s">
        <v>320</v>
      </c>
      <c r="D11" s="1">
        <v>2026</v>
      </c>
      <c r="E11" s="1">
        <v>0</v>
      </c>
      <c r="F11" s="1">
        <v>15</v>
      </c>
      <c r="G11" s="41">
        <v>0</v>
      </c>
      <c r="H11" s="41">
        <v>0</v>
      </c>
      <c r="I11" s="41">
        <v>30</v>
      </c>
      <c r="J11" s="41">
        <v>45</v>
      </c>
      <c r="K11" s="1">
        <v>4</v>
      </c>
      <c r="L11" s="1">
        <v>2</v>
      </c>
      <c r="M11" s="1">
        <v>10</v>
      </c>
      <c r="N11" s="1">
        <v>0</v>
      </c>
      <c r="O11" s="1" t="s">
        <v>27</v>
      </c>
      <c r="P11" s="43"/>
    </row>
    <row r="12" spans="1:16" x14ac:dyDescent="0.25">
      <c r="A12" t="str">
        <f t="shared" si="0"/>
        <v>Item 11</v>
      </c>
      <c r="B12" s="1" t="str">
        <f>ItemInputs[[#This Row],[Item Name]] &amp; " (" &amp; ItemInputs[[#This Row],[Sort Order]] &amp; ")"</f>
        <v>Item 11 (11)</v>
      </c>
      <c r="C12" s="1" t="s">
        <v>319</v>
      </c>
      <c r="D12" s="1">
        <v>2026</v>
      </c>
      <c r="E12" s="1">
        <v>0</v>
      </c>
      <c r="F12" s="1">
        <v>10</v>
      </c>
      <c r="G12" s="41">
        <v>0</v>
      </c>
      <c r="H12" s="41">
        <v>0</v>
      </c>
      <c r="I12" s="41">
        <v>50</v>
      </c>
      <c r="J12" s="41">
        <v>250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 t="str">
        <f t="shared" si="0"/>
        <v>Item 12</v>
      </c>
      <c r="B13" s="1" t="str">
        <f>ItemInputs[[#This Row],[Item Name]] &amp; " (" &amp; ItemInputs[[#This Row],[Sort Order]] &amp; ")"</f>
        <v>Item 12 (12)</v>
      </c>
      <c r="C13" s="1" t="s">
        <v>320</v>
      </c>
      <c r="D13" s="1">
        <v>2026</v>
      </c>
      <c r="E13" s="1">
        <v>0</v>
      </c>
      <c r="F13" s="1">
        <v>15</v>
      </c>
      <c r="G13" s="41">
        <v>0</v>
      </c>
      <c r="H13" s="41">
        <v>0</v>
      </c>
      <c r="I13" s="41">
        <v>30</v>
      </c>
      <c r="J13" s="41">
        <v>45</v>
      </c>
      <c r="K13" s="1">
        <v>4</v>
      </c>
      <c r="L13" s="1">
        <v>2</v>
      </c>
      <c r="M13" s="1">
        <v>12</v>
      </c>
      <c r="N13" s="1">
        <v>0</v>
      </c>
      <c r="O13" s="1" t="s">
        <v>27</v>
      </c>
    </row>
    <row r="14" spans="1:16" x14ac:dyDescent="0.25">
      <c r="A14" t="str">
        <f t="shared" si="0"/>
        <v>Item 13</v>
      </c>
      <c r="B14" s="1" t="str">
        <f>ItemInputs[[#This Row],[Item Name]] &amp; " (" &amp; ItemInputs[[#This Row],[Sort Order]] &amp; ")"</f>
        <v>Item 13 (13)</v>
      </c>
      <c r="C14" s="1" t="s">
        <v>319</v>
      </c>
      <c r="D14" s="1">
        <v>2026</v>
      </c>
      <c r="E14" s="1">
        <v>0</v>
      </c>
      <c r="F14" s="1">
        <v>10</v>
      </c>
      <c r="G14" s="41">
        <v>0</v>
      </c>
      <c r="H14" s="41">
        <v>0</v>
      </c>
      <c r="I14" s="41">
        <v>50</v>
      </c>
      <c r="J14" s="41">
        <v>250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 t="str">
        <f t="shared" si="0"/>
        <v>Item 14</v>
      </c>
      <c r="B15" s="1" t="str">
        <f>ItemInputs[[#This Row],[Item Name]] &amp; " (" &amp; ItemInputs[[#This Row],[Sort Order]] &amp; ")"</f>
        <v>Item 14 (14)</v>
      </c>
      <c r="C15" s="1" t="s">
        <v>320</v>
      </c>
      <c r="D15" s="1">
        <v>2026</v>
      </c>
      <c r="E15" s="1">
        <v>0</v>
      </c>
      <c r="F15" s="1">
        <v>15</v>
      </c>
      <c r="G15" s="41">
        <v>0</v>
      </c>
      <c r="H15" s="41">
        <v>0</v>
      </c>
      <c r="I15" s="41">
        <v>30</v>
      </c>
      <c r="J15" s="41">
        <v>45</v>
      </c>
      <c r="K15" s="1">
        <v>4</v>
      </c>
      <c r="L15" s="1">
        <v>2</v>
      </c>
      <c r="M15" s="1">
        <v>14</v>
      </c>
      <c r="N15" s="1">
        <v>0</v>
      </c>
      <c r="O15" s="1" t="s">
        <v>27</v>
      </c>
    </row>
    <row r="16" spans="1:16" x14ac:dyDescent="0.25">
      <c r="A16" t="str">
        <f t="shared" si="0"/>
        <v>Item 15</v>
      </c>
      <c r="B16" s="1" t="str">
        <f>ItemInputs[[#This Row],[Item Name]] &amp; " (" &amp; ItemInputs[[#This Row],[Sort Order]] &amp; ")"</f>
        <v>Item 15 (15)</v>
      </c>
      <c r="C16" s="1" t="s">
        <v>319</v>
      </c>
      <c r="D16" s="1">
        <v>2026</v>
      </c>
      <c r="E16" s="1">
        <v>0</v>
      </c>
      <c r="F16" s="1">
        <v>10</v>
      </c>
      <c r="G16" s="41">
        <v>0</v>
      </c>
      <c r="H16" s="41">
        <v>0</v>
      </c>
      <c r="I16" s="41">
        <v>50</v>
      </c>
      <c r="J16" s="41">
        <v>250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 t="str">
        <f t="shared" si="0"/>
        <v>Item 16</v>
      </c>
      <c r="B17" s="1" t="str">
        <f>ItemInputs[[#This Row],[Item Name]] &amp; " (" &amp; ItemInputs[[#This Row],[Sort Order]] &amp; ")"</f>
        <v>Item 16 (16)</v>
      </c>
      <c r="C17" s="1" t="s">
        <v>320</v>
      </c>
      <c r="D17" s="1">
        <v>2026</v>
      </c>
      <c r="E17" s="1">
        <v>0</v>
      </c>
      <c r="F17" s="1">
        <v>15</v>
      </c>
      <c r="G17" s="41">
        <v>0</v>
      </c>
      <c r="H17" s="41">
        <v>0</v>
      </c>
      <c r="I17" s="41">
        <v>30</v>
      </c>
      <c r="J17" s="41">
        <v>45</v>
      </c>
      <c r="K17" s="1">
        <v>4</v>
      </c>
      <c r="L17" s="1">
        <v>2</v>
      </c>
      <c r="M17" s="1">
        <v>16</v>
      </c>
      <c r="N17" s="1">
        <v>0</v>
      </c>
      <c r="O17" s="1" t="s">
        <v>27</v>
      </c>
    </row>
    <row r="18" spans="1:15" x14ac:dyDescent="0.25">
      <c r="A18" t="str">
        <f t="shared" si="0"/>
        <v>Item 17</v>
      </c>
      <c r="B18" s="1" t="str">
        <f>ItemInputs[[#This Row],[Item Name]] &amp; " (" &amp; ItemInputs[[#This Row],[Sort Order]] &amp; ")"</f>
        <v>Item 17 (17)</v>
      </c>
      <c r="C18" s="1" t="s">
        <v>319</v>
      </c>
      <c r="D18" s="1">
        <v>2026</v>
      </c>
      <c r="E18" s="1">
        <v>0</v>
      </c>
      <c r="F18" s="1">
        <v>10</v>
      </c>
      <c r="G18" s="41">
        <v>0</v>
      </c>
      <c r="H18" s="41">
        <v>0</v>
      </c>
      <c r="I18" s="41">
        <v>50</v>
      </c>
      <c r="J18" s="41">
        <v>250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 t="str">
        <f t="shared" si="0"/>
        <v>Item 18</v>
      </c>
      <c r="B19" s="1" t="str">
        <f>ItemInputs[[#This Row],[Item Name]] &amp; " (" &amp; ItemInputs[[#This Row],[Sort Order]] &amp; ")"</f>
        <v>Item 18 (18)</v>
      </c>
      <c r="C19" s="1" t="s">
        <v>320</v>
      </c>
      <c r="D19" s="1">
        <v>2026</v>
      </c>
      <c r="E19" s="1">
        <v>0</v>
      </c>
      <c r="F19" s="1">
        <v>15</v>
      </c>
      <c r="G19" s="41">
        <v>0</v>
      </c>
      <c r="H19" s="41">
        <v>0</v>
      </c>
      <c r="I19" s="41">
        <v>30</v>
      </c>
      <c r="J19" s="41">
        <v>45</v>
      </c>
      <c r="K19" s="1">
        <v>4</v>
      </c>
      <c r="L19" s="1">
        <v>2</v>
      </c>
      <c r="M19" s="1">
        <v>18</v>
      </c>
      <c r="N19" s="1">
        <v>0</v>
      </c>
      <c r="O19" s="1" t="s">
        <v>27</v>
      </c>
    </row>
    <row r="20" spans="1:15" x14ac:dyDescent="0.25">
      <c r="A20" t="str">
        <f t="shared" si="0"/>
        <v>Item 19</v>
      </c>
      <c r="B20" s="1" t="str">
        <f>ItemInputs[[#This Row],[Item Name]] &amp; " (" &amp; ItemInputs[[#This Row],[Sort Order]] &amp; ")"</f>
        <v>Item 19 (19)</v>
      </c>
      <c r="C20" s="1" t="s">
        <v>319</v>
      </c>
      <c r="D20" s="1">
        <v>2026</v>
      </c>
      <c r="E20" s="1">
        <v>0</v>
      </c>
      <c r="F20" s="1">
        <v>10</v>
      </c>
      <c r="G20" s="41">
        <v>0</v>
      </c>
      <c r="H20" s="41">
        <v>0</v>
      </c>
      <c r="I20" s="41">
        <v>50</v>
      </c>
      <c r="J20" s="41">
        <v>250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 t="str">
        <f t="shared" si="0"/>
        <v>Item 20</v>
      </c>
      <c r="B21" s="1" t="str">
        <f>ItemInputs[[#This Row],[Item Name]] &amp; " (" &amp; ItemInputs[[#This Row],[Sort Order]] &amp; ")"</f>
        <v>Item 20 (20)</v>
      </c>
      <c r="C21" s="1" t="s">
        <v>320</v>
      </c>
      <c r="D21" s="1">
        <v>2026</v>
      </c>
      <c r="E21" s="1">
        <v>0</v>
      </c>
      <c r="F21" s="1">
        <v>15</v>
      </c>
      <c r="G21" s="41">
        <v>0</v>
      </c>
      <c r="H21" s="41">
        <v>0</v>
      </c>
      <c r="I21" s="41">
        <v>30</v>
      </c>
      <c r="J21" s="41">
        <v>45</v>
      </c>
      <c r="K21" s="1">
        <v>4</v>
      </c>
      <c r="L21" s="1">
        <v>2</v>
      </c>
      <c r="M21" s="1">
        <v>20</v>
      </c>
      <c r="N21" s="1">
        <v>0</v>
      </c>
      <c r="O21" s="1" t="s">
        <v>27</v>
      </c>
    </row>
    <row r="22" spans="1:15" x14ac:dyDescent="0.25">
      <c r="A22" t="str">
        <f t="shared" si="0"/>
        <v>Item 21</v>
      </c>
      <c r="B22" s="1" t="str">
        <f>ItemInputs[[#This Row],[Item Name]] &amp; " (" &amp; ItemInputs[[#This Row],[Sort Order]] &amp; ")"</f>
        <v>Item 21 (21)</v>
      </c>
      <c r="C22" s="1" t="s">
        <v>319</v>
      </c>
      <c r="D22" s="1">
        <v>2026</v>
      </c>
      <c r="E22" s="1">
        <v>0</v>
      </c>
      <c r="F22" s="1">
        <v>10</v>
      </c>
      <c r="G22" s="41">
        <v>0</v>
      </c>
      <c r="H22" s="41">
        <v>0</v>
      </c>
      <c r="I22" s="41">
        <v>50</v>
      </c>
      <c r="J22" s="41">
        <v>250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 t="str">
        <f t="shared" si="0"/>
        <v>Item 22</v>
      </c>
      <c r="B23" s="1" t="str">
        <f>ItemInputs[[#This Row],[Item Name]] &amp; " (" &amp; ItemInputs[[#This Row],[Sort Order]] &amp; ")"</f>
        <v>Item 22 (22)</v>
      </c>
      <c r="C23" s="1" t="s">
        <v>320</v>
      </c>
      <c r="D23" s="1">
        <v>2026</v>
      </c>
      <c r="E23" s="1">
        <v>0</v>
      </c>
      <c r="F23" s="1">
        <v>15</v>
      </c>
      <c r="G23" s="41">
        <v>0</v>
      </c>
      <c r="H23" s="41">
        <v>0</v>
      </c>
      <c r="I23" s="41">
        <v>30</v>
      </c>
      <c r="J23" s="41">
        <v>45</v>
      </c>
      <c r="K23" s="1">
        <v>4</v>
      </c>
      <c r="L23" s="1">
        <v>2</v>
      </c>
      <c r="M23" s="1">
        <v>22</v>
      </c>
      <c r="N23" s="1">
        <v>0</v>
      </c>
      <c r="O23" s="1" t="s">
        <v>27</v>
      </c>
    </row>
    <row r="24" spans="1:15" x14ac:dyDescent="0.25">
      <c r="A24" t="str">
        <f t="shared" si="0"/>
        <v>Item 23</v>
      </c>
      <c r="B24" s="1" t="str">
        <f>ItemInputs[[#This Row],[Item Name]] &amp; " (" &amp; ItemInputs[[#This Row],[Sort Order]] &amp; ")"</f>
        <v>Item 23 (23)</v>
      </c>
      <c r="C24" s="1" t="s">
        <v>319</v>
      </c>
      <c r="D24" s="1">
        <v>2026</v>
      </c>
      <c r="E24" s="1">
        <v>0</v>
      </c>
      <c r="F24" s="1">
        <v>10</v>
      </c>
      <c r="G24" s="41">
        <v>0</v>
      </c>
      <c r="H24" s="41">
        <v>0</v>
      </c>
      <c r="I24" s="41">
        <v>50</v>
      </c>
      <c r="J24" s="41">
        <v>250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 t="str">
        <f t="shared" si="0"/>
        <v>Item 24</v>
      </c>
      <c r="B25" s="1" t="str">
        <f>ItemInputs[[#This Row],[Item Name]] &amp; " (" &amp; ItemInputs[[#This Row],[Sort Order]] &amp; ")"</f>
        <v>Item 24 (24)</v>
      </c>
      <c r="C25" s="1" t="s">
        <v>320</v>
      </c>
      <c r="D25" s="1">
        <v>2026</v>
      </c>
      <c r="E25" s="1">
        <v>0</v>
      </c>
      <c r="F25" s="1">
        <v>15</v>
      </c>
      <c r="G25" s="41">
        <v>0</v>
      </c>
      <c r="H25" s="41">
        <v>0</v>
      </c>
      <c r="I25" s="41">
        <v>30</v>
      </c>
      <c r="J25" s="41">
        <v>45</v>
      </c>
      <c r="K25" s="1">
        <v>4</v>
      </c>
      <c r="L25" s="1">
        <v>2</v>
      </c>
      <c r="M25" s="1">
        <v>24</v>
      </c>
      <c r="N25" s="1">
        <v>0</v>
      </c>
      <c r="O25" s="1" t="s">
        <v>27</v>
      </c>
    </row>
    <row r="26" spans="1:15" x14ac:dyDescent="0.25">
      <c r="A26" t="str">
        <f t="shared" si="0"/>
        <v>Item 25</v>
      </c>
      <c r="B26" s="1" t="str">
        <f>ItemInputs[[#This Row],[Item Name]] &amp; " (" &amp; ItemInputs[[#This Row],[Sort Order]] &amp; ")"</f>
        <v>Item 25 (25)</v>
      </c>
      <c r="C26" s="1" t="s">
        <v>319</v>
      </c>
      <c r="D26" s="1">
        <v>2026</v>
      </c>
      <c r="E26" s="1">
        <v>0</v>
      </c>
      <c r="F26" s="1">
        <v>10</v>
      </c>
      <c r="G26" s="41">
        <v>0</v>
      </c>
      <c r="H26" s="41">
        <v>0</v>
      </c>
      <c r="I26" s="41">
        <v>50</v>
      </c>
      <c r="J26" s="41">
        <v>250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 t="str">
        <f t="shared" si="0"/>
        <v>Item 26</v>
      </c>
      <c r="B27" s="1" t="str">
        <f>ItemInputs[[#This Row],[Item Name]] &amp; " (" &amp; ItemInputs[[#This Row],[Sort Order]] &amp; ")"</f>
        <v>Item 26 (26)</v>
      </c>
      <c r="C27" s="1" t="s">
        <v>320</v>
      </c>
      <c r="D27" s="1">
        <v>2026</v>
      </c>
      <c r="E27" s="1">
        <v>0</v>
      </c>
      <c r="F27" s="1">
        <v>15</v>
      </c>
      <c r="G27" s="41">
        <v>0</v>
      </c>
      <c r="H27" s="41">
        <v>0</v>
      </c>
      <c r="I27" s="41">
        <v>30</v>
      </c>
      <c r="J27" s="41">
        <v>45</v>
      </c>
      <c r="K27" s="1">
        <v>4</v>
      </c>
      <c r="L27" s="1">
        <v>2</v>
      </c>
      <c r="M27" s="1">
        <v>26</v>
      </c>
      <c r="N27" s="1">
        <v>0</v>
      </c>
      <c r="O27" s="1" t="s">
        <v>27</v>
      </c>
    </row>
    <row r="28" spans="1:15" x14ac:dyDescent="0.25">
      <c r="A28" t="str">
        <f t="shared" si="0"/>
        <v>Item 27</v>
      </c>
      <c r="B28" s="1" t="str">
        <f>ItemInputs[[#This Row],[Item Name]] &amp; " (" &amp; ItemInputs[[#This Row],[Sort Order]] &amp; ")"</f>
        <v>Item 27 (27)</v>
      </c>
      <c r="C28" s="1" t="s">
        <v>319</v>
      </c>
      <c r="D28" s="1">
        <v>2026</v>
      </c>
      <c r="E28" s="1">
        <v>0</v>
      </c>
      <c r="F28" s="1">
        <v>10</v>
      </c>
      <c r="G28" s="41">
        <v>0</v>
      </c>
      <c r="H28" s="41">
        <v>0</v>
      </c>
      <c r="I28" s="41">
        <v>50</v>
      </c>
      <c r="J28" s="41">
        <v>250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 t="str">
        <f t="shared" si="0"/>
        <v>Item 28</v>
      </c>
      <c r="B29" s="1" t="str">
        <f>ItemInputs[[#This Row],[Item Name]] &amp; " (" &amp; ItemInputs[[#This Row],[Sort Order]] &amp; ")"</f>
        <v>Item 28 (28)</v>
      </c>
      <c r="C29" s="1" t="s">
        <v>320</v>
      </c>
      <c r="D29" s="1">
        <v>2026</v>
      </c>
      <c r="E29" s="1">
        <v>0</v>
      </c>
      <c r="F29" s="1">
        <v>15</v>
      </c>
      <c r="G29" s="41">
        <v>0</v>
      </c>
      <c r="H29" s="41">
        <v>0</v>
      </c>
      <c r="I29" s="41">
        <v>30</v>
      </c>
      <c r="J29" s="41">
        <v>45</v>
      </c>
      <c r="K29" s="1">
        <v>4</v>
      </c>
      <c r="L29" s="1">
        <v>2</v>
      </c>
      <c r="M29" s="1">
        <v>28</v>
      </c>
      <c r="N29" s="1">
        <v>0</v>
      </c>
      <c r="O29" s="1" t="s">
        <v>27</v>
      </c>
    </row>
    <row r="30" spans="1:15" x14ac:dyDescent="0.25">
      <c r="A30" t="str">
        <f t="shared" si="0"/>
        <v>Item 29</v>
      </c>
      <c r="B30" s="1" t="str">
        <f>ItemInputs[[#This Row],[Item Name]] &amp; " (" &amp; ItemInputs[[#This Row],[Sort Order]] &amp; ")"</f>
        <v>Item 29 (29)</v>
      </c>
      <c r="C30" s="1" t="s">
        <v>319</v>
      </c>
      <c r="D30" s="1">
        <v>2026</v>
      </c>
      <c r="E30" s="1">
        <v>0</v>
      </c>
      <c r="F30" s="1">
        <v>10</v>
      </c>
      <c r="G30" s="41">
        <v>0</v>
      </c>
      <c r="H30" s="41">
        <v>0</v>
      </c>
      <c r="I30" s="41">
        <v>50</v>
      </c>
      <c r="J30" s="41">
        <v>250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 t="str">
        <f t="shared" si="0"/>
        <v>Item 30</v>
      </c>
      <c r="B31" s="1" t="str">
        <f>ItemInputs[[#This Row],[Item Name]] &amp; " (" &amp; ItemInputs[[#This Row],[Sort Order]] &amp; ")"</f>
        <v>Item 30 (30)</v>
      </c>
      <c r="C31" s="1" t="s">
        <v>320</v>
      </c>
      <c r="D31" s="1">
        <v>2026</v>
      </c>
      <c r="E31" s="1">
        <v>0</v>
      </c>
      <c r="F31" s="1">
        <v>15</v>
      </c>
      <c r="G31" s="41">
        <v>0</v>
      </c>
      <c r="H31" s="41">
        <v>0</v>
      </c>
      <c r="I31" s="41">
        <v>30</v>
      </c>
      <c r="J31" s="41">
        <v>45</v>
      </c>
      <c r="K31" s="1">
        <v>4</v>
      </c>
      <c r="L31" s="1">
        <v>2</v>
      </c>
      <c r="M31" s="1">
        <v>30</v>
      </c>
      <c r="N31" s="1">
        <v>0</v>
      </c>
      <c r="O31" s="1" t="s">
        <v>27</v>
      </c>
    </row>
    <row r="32" spans="1:15" x14ac:dyDescent="0.25">
      <c r="A32" t="str">
        <f t="shared" si="0"/>
        <v>Item 31</v>
      </c>
      <c r="B32" s="1" t="str">
        <f>ItemInputs[[#This Row],[Item Name]] &amp; " (" &amp; ItemInputs[[#This Row],[Sort Order]] &amp; ")"</f>
        <v>Item 31 (31)</v>
      </c>
      <c r="C32" s="1" t="s">
        <v>319</v>
      </c>
      <c r="D32" s="1">
        <v>2026</v>
      </c>
      <c r="E32" s="1">
        <v>0</v>
      </c>
      <c r="F32" s="1">
        <v>10</v>
      </c>
      <c r="G32" s="41">
        <v>0</v>
      </c>
      <c r="H32" s="41">
        <v>0</v>
      </c>
      <c r="I32" s="41">
        <v>50</v>
      </c>
      <c r="J32" s="41">
        <v>250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 t="str">
        <f t="shared" si="0"/>
        <v>Item 32</v>
      </c>
      <c r="B33" s="1" t="str">
        <f>ItemInputs[[#This Row],[Item Name]] &amp; " (" &amp; ItemInputs[[#This Row],[Sort Order]] &amp; ")"</f>
        <v>Item 32 (32)</v>
      </c>
      <c r="C33" s="1" t="s">
        <v>320</v>
      </c>
      <c r="D33" s="1">
        <v>2026</v>
      </c>
      <c r="E33" s="1">
        <v>0</v>
      </c>
      <c r="F33" s="1">
        <v>15</v>
      </c>
      <c r="G33" s="41">
        <v>0</v>
      </c>
      <c r="H33" s="41">
        <v>0</v>
      </c>
      <c r="I33" s="41">
        <v>30</v>
      </c>
      <c r="J33" s="41">
        <v>45</v>
      </c>
      <c r="K33" s="1">
        <v>4</v>
      </c>
      <c r="L33" s="1">
        <v>2</v>
      </c>
      <c r="M33" s="1">
        <v>32</v>
      </c>
      <c r="N33" s="1">
        <v>0</v>
      </c>
      <c r="O33" s="1" t="s">
        <v>27</v>
      </c>
    </row>
    <row r="34" spans="1:15" x14ac:dyDescent="0.25">
      <c r="A34" t="str">
        <f t="shared" ref="A34:A54" si="1">"Item " &amp; (ROW()-1)</f>
        <v>Item 33</v>
      </c>
      <c r="B34" s="1" t="str">
        <f>ItemInputs[[#This Row],[Item Name]] &amp; " (" &amp; ItemInputs[[#This Row],[Sort Order]] &amp; ")"</f>
        <v>Item 33 (33)</v>
      </c>
      <c r="C34" s="1" t="s">
        <v>319</v>
      </c>
      <c r="D34" s="1">
        <v>2026</v>
      </c>
      <c r="E34" s="1">
        <v>0</v>
      </c>
      <c r="F34" s="1">
        <v>10</v>
      </c>
      <c r="G34" s="41">
        <v>0</v>
      </c>
      <c r="H34" s="41">
        <v>0</v>
      </c>
      <c r="I34" s="41">
        <v>50</v>
      </c>
      <c r="J34" s="41">
        <v>250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 t="str">
        <f t="shared" si="1"/>
        <v>Item 34</v>
      </c>
      <c r="B35" s="1" t="str">
        <f>ItemInputs[[#This Row],[Item Name]] &amp; " (" &amp; ItemInputs[[#This Row],[Sort Order]] &amp; ")"</f>
        <v>Item 34 (34)</v>
      </c>
      <c r="C35" s="1" t="s">
        <v>320</v>
      </c>
      <c r="D35" s="1">
        <v>2026</v>
      </c>
      <c r="E35" s="1">
        <v>0</v>
      </c>
      <c r="F35" s="1">
        <v>15</v>
      </c>
      <c r="G35" s="41">
        <v>0</v>
      </c>
      <c r="H35" s="41">
        <v>0</v>
      </c>
      <c r="I35" s="41">
        <v>30</v>
      </c>
      <c r="J35" s="41">
        <v>45</v>
      </c>
      <c r="K35" s="1">
        <v>4</v>
      </c>
      <c r="L35" s="1">
        <v>2</v>
      </c>
      <c r="M35" s="1">
        <v>34</v>
      </c>
      <c r="N35" s="1">
        <v>0</v>
      </c>
      <c r="O35" s="1" t="s">
        <v>27</v>
      </c>
    </row>
    <row r="36" spans="1:15" x14ac:dyDescent="0.25">
      <c r="A36" t="str">
        <f t="shared" si="1"/>
        <v>Item 35</v>
      </c>
      <c r="B36" s="1" t="str">
        <f>ItemInputs[[#This Row],[Item Name]] &amp; " (" &amp; ItemInputs[[#This Row],[Sort Order]] &amp; ")"</f>
        <v>Item 35 (35)</v>
      </c>
      <c r="C36" s="1" t="s">
        <v>319</v>
      </c>
      <c r="D36" s="1">
        <v>2026</v>
      </c>
      <c r="E36" s="1">
        <v>0</v>
      </c>
      <c r="F36" s="1">
        <v>10</v>
      </c>
      <c r="G36" s="41">
        <v>0</v>
      </c>
      <c r="H36" s="41">
        <v>0</v>
      </c>
      <c r="I36" s="41">
        <v>50</v>
      </c>
      <c r="J36" s="41">
        <v>250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 t="str">
        <f t="shared" si="1"/>
        <v>Item 36</v>
      </c>
      <c r="B37" s="1" t="str">
        <f>ItemInputs[[#This Row],[Item Name]] &amp; " (" &amp; ItemInputs[[#This Row],[Sort Order]] &amp; ")"</f>
        <v>Item 36 (36)</v>
      </c>
      <c r="C37" s="1" t="s">
        <v>320</v>
      </c>
      <c r="D37" s="1">
        <v>2026</v>
      </c>
      <c r="E37" s="1">
        <v>0</v>
      </c>
      <c r="F37" s="1">
        <v>15</v>
      </c>
      <c r="G37" s="41">
        <v>0</v>
      </c>
      <c r="H37" s="41">
        <v>0</v>
      </c>
      <c r="I37" s="41">
        <v>30</v>
      </c>
      <c r="J37" s="41">
        <v>45</v>
      </c>
      <c r="K37" s="1">
        <v>4</v>
      </c>
      <c r="L37" s="1">
        <v>2</v>
      </c>
      <c r="M37" s="1">
        <v>36</v>
      </c>
      <c r="N37" s="1">
        <v>0</v>
      </c>
      <c r="O37" s="1" t="s">
        <v>27</v>
      </c>
    </row>
    <row r="38" spans="1:15" x14ac:dyDescent="0.25">
      <c r="A38" t="str">
        <f t="shared" si="1"/>
        <v>Item 37</v>
      </c>
      <c r="B38" s="1" t="str">
        <f>ItemInputs[[#This Row],[Item Name]] &amp; " (" &amp; ItemInputs[[#This Row],[Sort Order]] &amp; ")"</f>
        <v>Item 37 (37)</v>
      </c>
      <c r="C38" s="1" t="s">
        <v>319</v>
      </c>
      <c r="D38" s="1">
        <v>2026</v>
      </c>
      <c r="E38" s="1">
        <v>0</v>
      </c>
      <c r="F38" s="1">
        <v>10</v>
      </c>
      <c r="G38" s="41">
        <v>0</v>
      </c>
      <c r="H38" s="41">
        <v>0</v>
      </c>
      <c r="I38" s="41">
        <v>50</v>
      </c>
      <c r="J38" s="41">
        <v>250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 t="str">
        <f t="shared" si="1"/>
        <v>Item 38</v>
      </c>
      <c r="B39" s="1" t="str">
        <f>ItemInputs[[#This Row],[Item Name]] &amp; " (" &amp; ItemInputs[[#This Row],[Sort Order]] &amp; ")"</f>
        <v>Item 38 (38)</v>
      </c>
      <c r="C39" s="1" t="s">
        <v>320</v>
      </c>
      <c r="D39" s="1">
        <v>2026</v>
      </c>
      <c r="E39" s="1">
        <v>0</v>
      </c>
      <c r="F39" s="1">
        <v>15</v>
      </c>
      <c r="G39" s="41">
        <v>0</v>
      </c>
      <c r="H39" s="41">
        <v>0</v>
      </c>
      <c r="I39" s="41">
        <v>30</v>
      </c>
      <c r="J39" s="41">
        <v>45</v>
      </c>
      <c r="K39" s="1">
        <v>4</v>
      </c>
      <c r="L39" s="1">
        <v>2</v>
      </c>
      <c r="M39" s="1">
        <v>38</v>
      </c>
      <c r="N39" s="1">
        <v>0</v>
      </c>
      <c r="O39" s="1" t="s">
        <v>27</v>
      </c>
    </row>
    <row r="40" spans="1:15" x14ac:dyDescent="0.25">
      <c r="A40" t="str">
        <f t="shared" si="1"/>
        <v>Item 39</v>
      </c>
      <c r="B40" s="1" t="str">
        <f>ItemInputs[[#This Row],[Item Name]] &amp; " (" &amp; ItemInputs[[#This Row],[Sort Order]] &amp; ")"</f>
        <v>Item 39 (39)</v>
      </c>
      <c r="C40" s="1" t="s">
        <v>319</v>
      </c>
      <c r="D40" s="1">
        <v>2026</v>
      </c>
      <c r="E40" s="1">
        <v>0</v>
      </c>
      <c r="F40" s="1">
        <v>10</v>
      </c>
      <c r="G40" s="41">
        <v>0</v>
      </c>
      <c r="H40" s="41">
        <v>0</v>
      </c>
      <c r="I40" s="41">
        <v>50</v>
      </c>
      <c r="J40" s="41">
        <v>250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 t="str">
        <f t="shared" si="1"/>
        <v>Item 40</v>
      </c>
      <c r="B41" s="1" t="str">
        <f>ItemInputs[[#This Row],[Item Name]] &amp; " (" &amp; ItemInputs[[#This Row],[Sort Order]] &amp; ")"</f>
        <v>Item 40 (40)</v>
      </c>
      <c r="C41" s="1" t="s">
        <v>320</v>
      </c>
      <c r="D41" s="1">
        <v>2026</v>
      </c>
      <c r="E41" s="1">
        <v>0</v>
      </c>
      <c r="F41" s="1">
        <v>15</v>
      </c>
      <c r="G41" s="41">
        <v>0</v>
      </c>
      <c r="H41" s="41">
        <v>0</v>
      </c>
      <c r="I41" s="41">
        <v>30</v>
      </c>
      <c r="J41" s="41">
        <v>45</v>
      </c>
      <c r="K41" s="1">
        <v>4</v>
      </c>
      <c r="L41" s="1">
        <v>2</v>
      </c>
      <c r="M41" s="1">
        <v>40</v>
      </c>
      <c r="N41" s="1">
        <v>0</v>
      </c>
      <c r="O41" s="1" t="s">
        <v>27</v>
      </c>
    </row>
    <row r="42" spans="1:15" x14ac:dyDescent="0.25">
      <c r="A42" t="str">
        <f t="shared" si="1"/>
        <v>Item 41</v>
      </c>
      <c r="B42" s="1" t="str">
        <f>ItemInputs[[#This Row],[Item Name]] &amp; " (" &amp; ItemInputs[[#This Row],[Sort Order]] &amp; ")"</f>
        <v>Item 41 (41)</v>
      </c>
      <c r="C42" s="1" t="s">
        <v>319</v>
      </c>
      <c r="D42" s="1">
        <v>2026</v>
      </c>
      <c r="E42" s="1">
        <v>0</v>
      </c>
      <c r="F42" s="1">
        <v>10</v>
      </c>
      <c r="G42" s="41">
        <v>0</v>
      </c>
      <c r="H42" s="41">
        <v>0</v>
      </c>
      <c r="I42" s="41">
        <v>50</v>
      </c>
      <c r="J42" s="41">
        <v>250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 t="str">
        <f t="shared" si="1"/>
        <v>Item 42</v>
      </c>
      <c r="B43" s="1" t="str">
        <f>ItemInputs[[#This Row],[Item Name]] &amp; " (" &amp; ItemInputs[[#This Row],[Sort Order]] &amp; ")"</f>
        <v>Item 42 (42)</v>
      </c>
      <c r="C43" s="1" t="s">
        <v>320</v>
      </c>
      <c r="D43" s="1">
        <v>2026</v>
      </c>
      <c r="E43" s="1">
        <v>0</v>
      </c>
      <c r="F43" s="1">
        <v>15</v>
      </c>
      <c r="G43" s="41">
        <v>0</v>
      </c>
      <c r="H43" s="41">
        <v>0</v>
      </c>
      <c r="I43" s="41">
        <v>30</v>
      </c>
      <c r="J43" s="41">
        <v>45</v>
      </c>
      <c r="K43" s="1">
        <v>4</v>
      </c>
      <c r="L43" s="1">
        <v>2</v>
      </c>
      <c r="M43" s="1">
        <v>42</v>
      </c>
      <c r="N43" s="1">
        <v>0</v>
      </c>
      <c r="O43" s="1" t="s">
        <v>27</v>
      </c>
    </row>
    <row r="44" spans="1:15" x14ac:dyDescent="0.25">
      <c r="A44" t="str">
        <f t="shared" si="1"/>
        <v>Item 43</v>
      </c>
      <c r="B44" s="1" t="str">
        <f>ItemInputs[[#This Row],[Item Name]] &amp; " (" &amp; ItemInputs[[#This Row],[Sort Order]] &amp; ")"</f>
        <v>Item 43 (43)</v>
      </c>
      <c r="C44" s="1" t="s">
        <v>319</v>
      </c>
      <c r="D44" s="1">
        <v>2026</v>
      </c>
      <c r="E44" s="1">
        <v>0</v>
      </c>
      <c r="F44" s="1">
        <v>10</v>
      </c>
      <c r="G44" s="41">
        <v>0</v>
      </c>
      <c r="H44" s="41">
        <v>0</v>
      </c>
      <c r="I44" s="41">
        <v>50</v>
      </c>
      <c r="J44" s="41">
        <v>250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 t="str">
        <f t="shared" si="1"/>
        <v>Item 44</v>
      </c>
      <c r="B45" s="1" t="str">
        <f>ItemInputs[[#This Row],[Item Name]] &amp; " (" &amp; ItemInputs[[#This Row],[Sort Order]] &amp; ")"</f>
        <v>Item 44 (44)</v>
      </c>
      <c r="C45" s="1" t="s">
        <v>320</v>
      </c>
      <c r="D45" s="1">
        <v>2026</v>
      </c>
      <c r="E45" s="1">
        <v>0</v>
      </c>
      <c r="F45" s="1">
        <v>15</v>
      </c>
      <c r="G45" s="41">
        <v>0</v>
      </c>
      <c r="H45" s="41">
        <v>0</v>
      </c>
      <c r="I45" s="41">
        <v>30</v>
      </c>
      <c r="J45" s="41">
        <v>45</v>
      </c>
      <c r="K45" s="1">
        <v>4</v>
      </c>
      <c r="L45" s="1">
        <v>2</v>
      </c>
      <c r="M45" s="1">
        <v>44</v>
      </c>
      <c r="N45" s="1">
        <v>0</v>
      </c>
      <c r="O45" s="1" t="s">
        <v>27</v>
      </c>
    </row>
    <row r="46" spans="1:15" x14ac:dyDescent="0.25">
      <c r="A46" t="str">
        <f t="shared" si="1"/>
        <v>Item 45</v>
      </c>
      <c r="B46" s="1" t="str">
        <f>ItemInputs[[#This Row],[Item Name]] &amp; " (" &amp; ItemInputs[[#This Row],[Sort Order]] &amp; ")"</f>
        <v>Item 45 (45)</v>
      </c>
      <c r="C46" s="1" t="s">
        <v>319</v>
      </c>
      <c r="D46" s="1">
        <v>2026</v>
      </c>
      <c r="E46" s="1">
        <v>0</v>
      </c>
      <c r="F46" s="1">
        <v>10</v>
      </c>
      <c r="G46" s="41">
        <v>0</v>
      </c>
      <c r="H46" s="41">
        <v>0</v>
      </c>
      <c r="I46" s="41">
        <v>50</v>
      </c>
      <c r="J46" s="41">
        <v>250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 t="str">
        <f t="shared" si="1"/>
        <v>Item 46</v>
      </c>
      <c r="B47" s="1" t="str">
        <f>ItemInputs[[#This Row],[Item Name]] &amp; " (" &amp; ItemInputs[[#This Row],[Sort Order]] &amp; ")"</f>
        <v>Item 46 (46)</v>
      </c>
      <c r="C47" s="1" t="s">
        <v>320</v>
      </c>
      <c r="D47" s="1">
        <v>2026</v>
      </c>
      <c r="E47" s="1">
        <v>0</v>
      </c>
      <c r="F47" s="1">
        <v>15</v>
      </c>
      <c r="G47" s="41">
        <v>0</v>
      </c>
      <c r="H47" s="41">
        <v>0</v>
      </c>
      <c r="I47" s="41">
        <v>30</v>
      </c>
      <c r="J47" s="41">
        <v>45</v>
      </c>
      <c r="K47" s="1">
        <v>4</v>
      </c>
      <c r="L47" s="1">
        <v>2</v>
      </c>
      <c r="M47" s="1">
        <v>46</v>
      </c>
      <c r="N47" s="1">
        <v>0</v>
      </c>
      <c r="O47" s="1" t="s">
        <v>27</v>
      </c>
    </row>
    <row r="48" spans="1:15" x14ac:dyDescent="0.25">
      <c r="A48" t="str">
        <f t="shared" si="1"/>
        <v>Item 47</v>
      </c>
      <c r="B48" s="1" t="str">
        <f>ItemInputs[[#This Row],[Item Name]] &amp; " (" &amp; ItemInputs[[#This Row],[Sort Order]] &amp; ")"</f>
        <v>Item 47 (47)</v>
      </c>
      <c r="C48" s="1" t="s">
        <v>319</v>
      </c>
      <c r="D48" s="1">
        <v>2026</v>
      </c>
      <c r="E48" s="1">
        <v>0</v>
      </c>
      <c r="F48" s="1">
        <v>10</v>
      </c>
      <c r="G48" s="41">
        <v>0</v>
      </c>
      <c r="H48" s="41">
        <v>0</v>
      </c>
      <c r="I48" s="41">
        <v>50</v>
      </c>
      <c r="J48" s="41">
        <v>250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 t="str">
        <f t="shared" si="1"/>
        <v>Item 48</v>
      </c>
      <c r="B49" s="1" t="str">
        <f>ItemInputs[[#This Row],[Item Name]] &amp; " (" &amp; ItemInputs[[#This Row],[Sort Order]] &amp; ")"</f>
        <v>Item 48 (48)</v>
      </c>
      <c r="C49" s="1" t="s">
        <v>320</v>
      </c>
      <c r="D49" s="1">
        <v>2026</v>
      </c>
      <c r="E49" s="1">
        <v>0</v>
      </c>
      <c r="F49" s="1">
        <v>15</v>
      </c>
      <c r="G49" s="41">
        <v>0</v>
      </c>
      <c r="H49" s="41">
        <v>0</v>
      </c>
      <c r="I49" s="41">
        <v>30</v>
      </c>
      <c r="J49" s="41">
        <v>45</v>
      </c>
      <c r="K49" s="1">
        <v>4</v>
      </c>
      <c r="L49" s="1">
        <v>2</v>
      </c>
      <c r="M49" s="1">
        <v>48</v>
      </c>
      <c r="N49" s="1">
        <v>0</v>
      </c>
      <c r="O49" s="1" t="s">
        <v>27</v>
      </c>
    </row>
    <row r="50" spans="1:15" x14ac:dyDescent="0.25">
      <c r="A50" t="str">
        <f t="shared" si="1"/>
        <v>Item 49</v>
      </c>
      <c r="B50" s="1" t="str">
        <f>ItemInputs[[#This Row],[Item Name]] &amp; " (" &amp; ItemInputs[[#This Row],[Sort Order]] &amp; ")"</f>
        <v>Item 49 (49)</v>
      </c>
      <c r="C50" s="1" t="s">
        <v>319</v>
      </c>
      <c r="D50" s="1">
        <v>2026</v>
      </c>
      <c r="E50" s="1">
        <v>0</v>
      </c>
      <c r="F50" s="1">
        <v>10</v>
      </c>
      <c r="G50" s="41">
        <v>0</v>
      </c>
      <c r="H50" s="41">
        <v>0</v>
      </c>
      <c r="I50" s="41">
        <v>50</v>
      </c>
      <c r="J50" s="41">
        <v>250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 t="str">
        <f t="shared" si="1"/>
        <v>Item 50</v>
      </c>
      <c r="B51" s="1" t="str">
        <f>ItemInputs[[#This Row],[Item Name]] &amp; " (" &amp; ItemInputs[[#This Row],[Sort Order]] &amp; ")"</f>
        <v>Item 50 (50)</v>
      </c>
      <c r="C51" s="1" t="s">
        <v>320</v>
      </c>
      <c r="D51" s="1">
        <v>2026</v>
      </c>
      <c r="E51" s="1">
        <v>0</v>
      </c>
      <c r="F51" s="1">
        <v>15</v>
      </c>
      <c r="G51" s="41">
        <v>0</v>
      </c>
      <c r="H51" s="41">
        <v>0</v>
      </c>
      <c r="I51" s="41">
        <v>30</v>
      </c>
      <c r="J51" s="41">
        <v>45</v>
      </c>
      <c r="K51" s="1">
        <v>4</v>
      </c>
      <c r="L51" s="1">
        <v>2</v>
      </c>
      <c r="M51" s="1">
        <v>50</v>
      </c>
      <c r="N51" s="1">
        <v>0</v>
      </c>
      <c r="O51" s="1" t="s">
        <v>27</v>
      </c>
    </row>
    <row r="52" spans="1:15" x14ac:dyDescent="0.25">
      <c r="A52" t="str">
        <f t="shared" si="1"/>
        <v>Item 51</v>
      </c>
      <c r="B52" s="1" t="str">
        <f>ItemInputs[[#This Row],[Item Name]] &amp; " (" &amp; ItemInputs[[#This Row],[Sort Order]] &amp; ")"</f>
        <v>Item 51 (51)</v>
      </c>
      <c r="C52" s="1" t="s">
        <v>319</v>
      </c>
      <c r="D52" s="1">
        <v>2026</v>
      </c>
      <c r="E52" s="1">
        <v>0</v>
      </c>
      <c r="F52" s="1">
        <v>10</v>
      </c>
      <c r="G52" s="41">
        <v>0</v>
      </c>
      <c r="H52" s="41">
        <v>0</v>
      </c>
      <c r="I52" s="41">
        <v>50</v>
      </c>
      <c r="J52" s="41">
        <v>250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 t="str">
        <f t="shared" si="1"/>
        <v>Item 52</v>
      </c>
      <c r="B53" s="1" t="str">
        <f>ItemInputs[[#This Row],[Item Name]] &amp; " (" &amp; ItemInputs[[#This Row],[Sort Order]] &amp; ")"</f>
        <v>Item 52 (52)</v>
      </c>
      <c r="C53" s="1" t="s">
        <v>320</v>
      </c>
      <c r="D53" s="1">
        <v>2026</v>
      </c>
      <c r="E53" s="1">
        <v>0</v>
      </c>
      <c r="F53" s="1">
        <v>15</v>
      </c>
      <c r="G53" s="41">
        <v>0</v>
      </c>
      <c r="H53" s="41">
        <v>0</v>
      </c>
      <c r="I53" s="41">
        <v>30</v>
      </c>
      <c r="J53" s="41">
        <v>45</v>
      </c>
      <c r="K53" s="1">
        <v>4</v>
      </c>
      <c r="L53" s="1">
        <v>2</v>
      </c>
      <c r="M53" s="1">
        <v>52</v>
      </c>
      <c r="N53" s="1">
        <v>0</v>
      </c>
      <c r="O53" s="1" t="s">
        <v>27</v>
      </c>
    </row>
    <row r="54" spans="1:15" x14ac:dyDescent="0.25">
      <c r="A54" t="str">
        <f t="shared" si="1"/>
        <v>Item 53</v>
      </c>
      <c r="B54" s="1" t="str">
        <f>ItemInputs[[#This Row],[Item Name]] &amp; " (" &amp; ItemInputs[[#This Row],[Sort Order]] &amp; ")"</f>
        <v>Item 53 (53)</v>
      </c>
      <c r="C54" s="1" t="s">
        <v>319</v>
      </c>
      <c r="D54" s="1">
        <v>2026</v>
      </c>
      <c r="E54" s="1">
        <v>0</v>
      </c>
      <c r="F54" s="1">
        <v>10</v>
      </c>
      <c r="G54" s="41">
        <v>0</v>
      </c>
      <c r="H54" s="41">
        <v>0</v>
      </c>
      <c r="I54" s="41">
        <v>50</v>
      </c>
      <c r="J54" s="41">
        <v>250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4">
        <f>SUBTOTAL(109,ItemInputs[InitialCostLow])</f>
        <v>10</v>
      </c>
      <c r="H55" s="44">
        <f>SUBTOTAL(109,ItemInputs[InitialCostHigh])</f>
        <v>25</v>
      </c>
      <c r="I55" s="44">
        <f>SUBTOTAL(109,ItemInputs[Low Cost per Use])</f>
        <v>2081</v>
      </c>
      <c r="J55" s="44">
        <f>SUBTOTAL(109,ItemInputs[High Cost per Use])</f>
        <v>7675</v>
      </c>
      <c r="K55" s="19"/>
      <c r="L55" s="19"/>
      <c r="M55" s="19"/>
      <c r="N55" s="19"/>
      <c r="O55" s="19"/>
    </row>
    <row r="57" spans="1:15" x14ac:dyDescent="0.25">
      <c r="C57" s="1" t="s">
        <v>317</v>
      </c>
    </row>
    <row r="58" spans="1:15" x14ac:dyDescent="0.25">
      <c r="C58" s="1" t="s">
        <v>318</v>
      </c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workbookViewId="0"/>
  </sheetViews>
  <sheetFormatPr defaultRowHeight="15" x14ac:dyDescent="0.25"/>
  <cols>
    <col min="2" max="2" width="18.85546875" customWidth="1"/>
    <col min="3" max="3" width="12" customWidth="1"/>
    <col min="4" max="4" width="10.5703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16.5" x14ac:dyDescent="0.25">
      <c r="J90" s="10" t="s">
        <v>146</v>
      </c>
      <c r="K90" s="11" t="s">
        <v>147</v>
      </c>
    </row>
    <row r="91" spans="10:11" x14ac:dyDescent="0.25">
      <c r="J91" s="113" t="s">
        <v>31</v>
      </c>
      <c r="K91" s="113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9</xdr:col>
                <xdr:colOff>0</xdr:colOff>
                <xdr:row>96</xdr:row>
                <xdr:rowOff>142875</xdr:rowOff>
              </from>
              <to>
                <xdr:col>10</xdr:col>
                <xdr:colOff>304800</xdr:colOff>
                <xdr:row>101</xdr:row>
                <xdr:rowOff>104775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>
    <tabColor theme="5"/>
  </sheetPr>
  <dimension ref="A1:H16"/>
  <sheetViews>
    <sheetView workbookViewId="0">
      <selection activeCell="G22" sqref="G22"/>
    </sheetView>
  </sheetViews>
  <sheetFormatPr defaultColWidth="9.140625" defaultRowHeight="15.75" x14ac:dyDescent="0.25"/>
  <cols>
    <col min="1" max="1" width="19.42578125" style="1" bestFit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  <c r="C2" s="1" t="s">
        <v>310</v>
      </c>
    </row>
    <row r="3" spans="1:8" x14ac:dyDescent="0.25">
      <c r="A3" s="1" t="s">
        <v>12</v>
      </c>
      <c r="B3" s="40">
        <v>0</v>
      </c>
      <c r="C3" s="1" t="s">
        <v>311</v>
      </c>
    </row>
    <row r="5" spans="1:8" x14ac:dyDescent="0.25">
      <c r="A5" s="1" t="s">
        <v>14</v>
      </c>
      <c r="B5" s="1" t="s">
        <v>10</v>
      </c>
    </row>
    <row r="6" spans="1:8" x14ac:dyDescent="0.25">
      <c r="A6" s="45" t="s">
        <v>15</v>
      </c>
      <c r="B6" s="45" t="s">
        <v>499</v>
      </c>
      <c r="C6" s="1" t="s">
        <v>315</v>
      </c>
    </row>
    <row r="7" spans="1:8" x14ac:dyDescent="0.25">
      <c r="A7" s="45" t="s">
        <v>16</v>
      </c>
      <c r="B7" s="46">
        <v>0</v>
      </c>
      <c r="C7" s="1" t="s">
        <v>314</v>
      </c>
    </row>
    <row r="8" spans="1:8" x14ac:dyDescent="0.25">
      <c r="A8" s="45" t="s">
        <v>17</v>
      </c>
      <c r="B8" s="45" t="b">
        <v>1</v>
      </c>
    </row>
    <row r="9" spans="1:8" x14ac:dyDescent="0.25">
      <c r="A9" s="45" t="s">
        <v>21</v>
      </c>
      <c r="B9" s="45" t="s">
        <v>23</v>
      </c>
    </row>
    <row r="10" spans="1:8" x14ac:dyDescent="0.25">
      <c r="A10" s="45" t="s">
        <v>154</v>
      </c>
      <c r="B10" s="46">
        <v>2026</v>
      </c>
      <c r="C10" s="1" t="s">
        <v>312</v>
      </c>
    </row>
    <row r="11" spans="1:8" x14ac:dyDescent="0.25">
      <c r="A11" s="45" t="s">
        <v>22</v>
      </c>
      <c r="B11" s="46">
        <f>(B12-B13)/365.25</f>
        <v>33.746748802190282</v>
      </c>
    </row>
    <row r="12" spans="1:8" x14ac:dyDescent="0.25">
      <c r="A12" s="45" t="s">
        <v>168</v>
      </c>
      <c r="B12" s="47">
        <v>46037</v>
      </c>
      <c r="C12" s="1" t="s">
        <v>313</v>
      </c>
    </row>
    <row r="13" spans="1:8" x14ac:dyDescent="0.25">
      <c r="A13" s="45" t="s">
        <v>169</v>
      </c>
      <c r="B13" s="47">
        <v>33711</v>
      </c>
      <c r="C13" s="1" t="s">
        <v>313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>
    <tabColor theme="6"/>
  </sheetPr>
  <dimension ref="B1:FD87"/>
  <sheetViews>
    <sheetView topLeftCell="DW1" workbookViewId="0">
      <selection activeCell="EW8" sqref="EW8:EX9"/>
    </sheetView>
  </sheetViews>
  <sheetFormatPr defaultColWidth="9.140625" defaultRowHeight="15.75" x14ac:dyDescent="0.25"/>
  <cols>
    <col min="1" max="11" width="9.140625" style="1"/>
    <col min="12" max="12" width="17.42578125" style="1" bestFit="1" customWidth="1"/>
    <col min="13" max="16384" width="9.140625" style="1"/>
  </cols>
  <sheetData>
    <row r="1" spans="2:160" x14ac:dyDescent="0.25">
      <c r="B1" s="116" t="s">
        <v>223</v>
      </c>
      <c r="C1" s="115"/>
      <c r="D1" s="115"/>
      <c r="E1" s="115"/>
      <c r="F1" s="115"/>
      <c r="G1" s="115"/>
      <c r="H1" s="49"/>
      <c r="I1" s="49"/>
      <c r="J1" s="49"/>
      <c r="K1" s="49"/>
      <c r="L1" s="49"/>
      <c r="M1" s="49"/>
      <c r="N1" s="49"/>
      <c r="O1" s="49"/>
      <c r="P1" s="49"/>
      <c r="R1" s="119" t="s">
        <v>223</v>
      </c>
      <c r="S1" s="120"/>
      <c r="T1" s="120"/>
      <c r="U1" s="120"/>
      <c r="V1" s="120"/>
      <c r="W1" s="120"/>
      <c r="X1" s="34"/>
      <c r="Y1" s="34"/>
      <c r="Z1" s="34"/>
      <c r="AA1" s="34"/>
      <c r="AB1" s="34"/>
      <c r="AC1" s="34"/>
      <c r="AD1" s="34"/>
      <c r="AE1" s="34"/>
      <c r="AF1" s="34"/>
      <c r="AH1" s="116" t="s">
        <v>223</v>
      </c>
      <c r="AI1" s="115"/>
      <c r="AJ1" s="115"/>
      <c r="AK1" s="115"/>
      <c r="AL1" s="115"/>
      <c r="AM1" s="115"/>
      <c r="AN1" s="49"/>
      <c r="AO1" s="49"/>
      <c r="AP1" s="49"/>
      <c r="AQ1" s="49"/>
      <c r="AR1" s="49"/>
      <c r="AS1" s="49"/>
      <c r="AT1" s="49"/>
      <c r="AU1" s="49"/>
      <c r="AV1" s="49"/>
      <c r="AX1" s="116" t="s">
        <v>223</v>
      </c>
      <c r="AY1" s="115"/>
      <c r="AZ1" s="115"/>
      <c r="BA1" s="115"/>
      <c r="BB1" s="115"/>
      <c r="BC1" s="115"/>
      <c r="BD1" s="49"/>
      <c r="BE1" s="49"/>
      <c r="BF1" s="49"/>
      <c r="BG1" s="49"/>
      <c r="BH1" s="49"/>
      <c r="BI1" s="49"/>
      <c r="BJ1" s="49"/>
      <c r="BK1" s="49"/>
      <c r="BL1" s="49"/>
      <c r="BN1" s="116" t="s">
        <v>223</v>
      </c>
      <c r="BO1" s="115"/>
      <c r="BP1" s="115"/>
      <c r="BQ1" s="115"/>
      <c r="BR1" s="115"/>
      <c r="BS1" s="115"/>
      <c r="BT1" s="49"/>
      <c r="BU1" s="49"/>
      <c r="BV1" s="49"/>
      <c r="BW1" s="49"/>
      <c r="BX1" s="49"/>
      <c r="BY1" s="49"/>
      <c r="BZ1" s="49"/>
      <c r="CA1" s="49"/>
      <c r="CB1" s="49"/>
      <c r="CC1" s="34"/>
      <c r="CD1" s="116" t="s">
        <v>223</v>
      </c>
      <c r="CE1" s="115"/>
      <c r="CF1" s="115"/>
      <c r="CG1" s="115"/>
      <c r="CH1" s="115"/>
      <c r="CI1" s="115"/>
      <c r="CJ1" s="49"/>
      <c r="CK1" s="49"/>
      <c r="CL1" s="49"/>
      <c r="CM1" s="49"/>
      <c r="CN1" s="49"/>
      <c r="CO1" s="49"/>
      <c r="CP1" s="49"/>
      <c r="CQ1" s="49"/>
      <c r="CR1" s="49"/>
      <c r="CT1" s="116" t="s">
        <v>223</v>
      </c>
      <c r="CU1" s="115"/>
      <c r="CV1" s="115"/>
      <c r="CW1" s="115"/>
      <c r="CX1" s="115"/>
      <c r="CY1" s="115"/>
      <c r="CZ1" s="49"/>
      <c r="DA1" s="49"/>
      <c r="DB1" s="49"/>
      <c r="DC1" s="49"/>
      <c r="DD1" s="49"/>
      <c r="DE1" s="49"/>
      <c r="DF1" s="49"/>
      <c r="DG1" s="49"/>
      <c r="DH1" s="49"/>
      <c r="DJ1" s="116" t="s">
        <v>223</v>
      </c>
      <c r="DK1" s="115"/>
      <c r="DL1" s="115"/>
      <c r="DM1" s="115"/>
      <c r="DN1" s="115"/>
      <c r="DO1" s="115"/>
      <c r="DP1" s="49"/>
      <c r="DQ1" s="49"/>
      <c r="DR1" s="49"/>
      <c r="DS1" s="49"/>
      <c r="DT1" s="49"/>
      <c r="DU1" s="49"/>
      <c r="DV1" s="49"/>
      <c r="DW1" s="49"/>
      <c r="DX1" s="49"/>
      <c r="DZ1" s="116" t="s">
        <v>223</v>
      </c>
      <c r="EA1" s="115"/>
      <c r="EB1" s="115"/>
      <c r="EC1" s="115"/>
      <c r="ED1" s="115"/>
      <c r="EE1" s="115"/>
      <c r="EF1" s="49"/>
      <c r="EG1" s="49"/>
      <c r="EH1" s="49"/>
      <c r="EI1" s="49"/>
      <c r="EJ1" s="49"/>
      <c r="EK1" s="49"/>
      <c r="EL1" s="49"/>
      <c r="EM1" s="49"/>
      <c r="EN1" s="49"/>
      <c r="EP1" s="116" t="s">
        <v>223</v>
      </c>
      <c r="EQ1" s="115"/>
      <c r="ER1" s="115"/>
      <c r="ES1" s="115"/>
      <c r="ET1" s="115"/>
      <c r="EU1" s="115"/>
      <c r="EV1" s="49"/>
      <c r="EW1" s="49"/>
      <c r="EX1" s="49"/>
      <c r="EY1" s="49"/>
      <c r="EZ1" s="49"/>
      <c r="FA1" s="49"/>
      <c r="FB1" s="49"/>
      <c r="FC1" s="49"/>
      <c r="FD1" s="49"/>
    </row>
    <row r="2" spans="2:160" x14ac:dyDescent="0.25">
      <c r="B2" s="116" t="s">
        <v>224</v>
      </c>
      <c r="C2" s="115"/>
      <c r="D2" s="115"/>
      <c r="E2" s="115"/>
      <c r="F2" s="115"/>
      <c r="G2" s="115"/>
      <c r="H2" s="49"/>
      <c r="I2" s="49"/>
      <c r="J2" s="49"/>
      <c r="K2" s="49"/>
      <c r="L2" s="49"/>
      <c r="M2" s="49"/>
      <c r="N2" s="49"/>
      <c r="O2" s="49"/>
      <c r="P2" s="49"/>
      <c r="R2" s="119" t="s">
        <v>224</v>
      </c>
      <c r="S2" s="120"/>
      <c r="T2" s="120"/>
      <c r="U2" s="120"/>
      <c r="V2" s="120"/>
      <c r="W2" s="120"/>
      <c r="X2" s="34"/>
      <c r="Y2" s="34"/>
      <c r="Z2" s="34"/>
      <c r="AA2" s="34"/>
      <c r="AB2" s="34"/>
      <c r="AC2" s="34"/>
      <c r="AD2" s="34"/>
      <c r="AE2" s="34"/>
      <c r="AF2" s="34"/>
      <c r="AH2" s="116" t="s">
        <v>224</v>
      </c>
      <c r="AI2" s="115"/>
      <c r="AJ2" s="115"/>
      <c r="AK2" s="115"/>
      <c r="AL2" s="115"/>
      <c r="AM2" s="115"/>
      <c r="AN2" s="49"/>
      <c r="AO2" s="49"/>
      <c r="AP2" s="49"/>
      <c r="AQ2" s="49"/>
      <c r="AR2" s="49"/>
      <c r="AS2" s="49"/>
      <c r="AT2" s="49"/>
      <c r="AU2" s="49"/>
      <c r="AV2" s="49"/>
      <c r="AX2" s="116" t="s">
        <v>224</v>
      </c>
      <c r="AY2" s="115"/>
      <c r="AZ2" s="115"/>
      <c r="BA2" s="115"/>
      <c r="BB2" s="115"/>
      <c r="BC2" s="115"/>
      <c r="BD2" s="49"/>
      <c r="BE2" s="49"/>
      <c r="BF2" s="49"/>
      <c r="BG2" s="49"/>
      <c r="BH2" s="49"/>
      <c r="BI2" s="49"/>
      <c r="BJ2" s="49"/>
      <c r="BK2" s="49"/>
      <c r="BL2" s="49"/>
      <c r="BN2" s="116" t="s">
        <v>224</v>
      </c>
      <c r="BO2" s="115"/>
      <c r="BP2" s="115"/>
      <c r="BQ2" s="115"/>
      <c r="BR2" s="115"/>
      <c r="BS2" s="115"/>
      <c r="BT2" s="49"/>
      <c r="BU2" s="49"/>
      <c r="BV2" s="49"/>
      <c r="BW2" s="49"/>
      <c r="BX2" s="49"/>
      <c r="BY2" s="49"/>
      <c r="BZ2" s="49"/>
      <c r="CA2" s="49"/>
      <c r="CB2" s="49"/>
      <c r="CC2" s="34"/>
      <c r="CD2" s="116" t="s">
        <v>224</v>
      </c>
      <c r="CE2" s="115"/>
      <c r="CF2" s="115"/>
      <c r="CG2" s="115"/>
      <c r="CH2" s="115"/>
      <c r="CI2" s="115"/>
      <c r="CJ2" s="49"/>
      <c r="CK2" s="49"/>
      <c r="CL2" s="49"/>
      <c r="CM2" s="49"/>
      <c r="CN2" s="49"/>
      <c r="CO2" s="49"/>
      <c r="CP2" s="49"/>
      <c r="CQ2" s="49"/>
      <c r="CR2" s="49"/>
      <c r="CT2" s="116" t="s">
        <v>224</v>
      </c>
      <c r="CU2" s="115"/>
      <c r="CV2" s="115"/>
      <c r="CW2" s="115"/>
      <c r="CX2" s="115"/>
      <c r="CY2" s="115"/>
      <c r="CZ2" s="49"/>
      <c r="DA2" s="49"/>
      <c r="DB2" s="49"/>
      <c r="DC2" s="49"/>
      <c r="DD2" s="49"/>
      <c r="DE2" s="49"/>
      <c r="DF2" s="49"/>
      <c r="DG2" s="49"/>
      <c r="DH2" s="49"/>
      <c r="DJ2" s="116" t="s">
        <v>224</v>
      </c>
      <c r="DK2" s="115"/>
      <c r="DL2" s="115"/>
      <c r="DM2" s="115"/>
      <c r="DN2" s="115"/>
      <c r="DO2" s="115"/>
      <c r="DP2" s="49"/>
      <c r="DQ2" s="49"/>
      <c r="DR2" s="49"/>
      <c r="DS2" s="49"/>
      <c r="DT2" s="49"/>
      <c r="DU2" s="49"/>
      <c r="DV2" s="49"/>
      <c r="DW2" s="49"/>
      <c r="DX2" s="49"/>
      <c r="DZ2" s="116" t="s">
        <v>224</v>
      </c>
      <c r="EA2" s="115"/>
      <c r="EB2" s="115"/>
      <c r="EC2" s="115"/>
      <c r="ED2" s="115"/>
      <c r="EE2" s="115"/>
      <c r="EF2" s="49"/>
      <c r="EG2" s="49"/>
      <c r="EH2" s="49"/>
      <c r="EI2" s="49"/>
      <c r="EJ2" s="49"/>
      <c r="EK2" s="49"/>
      <c r="EL2" s="49"/>
      <c r="EM2" s="49"/>
      <c r="EN2" s="49"/>
      <c r="EP2" s="116" t="s">
        <v>224</v>
      </c>
      <c r="EQ2" s="115"/>
      <c r="ER2" s="115"/>
      <c r="ES2" s="115"/>
      <c r="ET2" s="115"/>
      <c r="EU2" s="115"/>
      <c r="EV2" s="49"/>
      <c r="EW2" s="49"/>
      <c r="EX2" s="49"/>
      <c r="EY2" s="49"/>
      <c r="EZ2" s="49"/>
      <c r="FA2" s="49"/>
      <c r="FB2" s="49"/>
      <c r="FC2" s="49"/>
      <c r="FD2" s="49"/>
    </row>
    <row r="3" spans="2:160" x14ac:dyDescent="0.25">
      <c r="B3" s="115"/>
      <c r="C3" s="115"/>
      <c r="D3" s="115"/>
      <c r="E3" s="115"/>
      <c r="F3" s="115"/>
      <c r="G3" s="115"/>
      <c r="H3" s="49"/>
      <c r="I3" s="49"/>
      <c r="J3" s="49"/>
      <c r="K3" s="49"/>
      <c r="L3" s="49" t="s">
        <v>307</v>
      </c>
      <c r="M3" s="49" t="s">
        <v>308</v>
      </c>
      <c r="N3" s="49"/>
      <c r="O3" s="49"/>
      <c r="P3" s="49"/>
      <c r="R3" s="120"/>
      <c r="S3" s="120"/>
      <c r="T3" s="120"/>
      <c r="U3" s="120"/>
      <c r="V3" s="120"/>
      <c r="W3" s="120"/>
      <c r="X3" s="34"/>
      <c r="Y3" s="34"/>
      <c r="Z3" s="34"/>
      <c r="AA3" s="34"/>
      <c r="AB3" s="34"/>
      <c r="AC3" s="34"/>
      <c r="AD3" s="34"/>
      <c r="AE3" s="34"/>
      <c r="AF3" s="34"/>
      <c r="AH3" s="115"/>
      <c r="AI3" s="115"/>
      <c r="AJ3" s="115"/>
      <c r="AK3" s="115"/>
      <c r="AL3" s="115"/>
      <c r="AM3" s="115"/>
      <c r="AN3" s="49"/>
      <c r="AO3" s="49"/>
      <c r="AP3" s="49"/>
      <c r="AQ3" s="49"/>
      <c r="AR3" s="49"/>
      <c r="AS3" s="49"/>
      <c r="AT3" s="49"/>
      <c r="AU3" s="49"/>
      <c r="AV3" s="49"/>
      <c r="AX3" s="115"/>
      <c r="AY3" s="115"/>
      <c r="AZ3" s="115"/>
      <c r="BA3" s="115"/>
      <c r="BB3" s="115"/>
      <c r="BC3" s="115"/>
      <c r="BD3" s="49"/>
      <c r="BE3" s="49"/>
      <c r="BF3" s="49"/>
      <c r="BG3" s="49"/>
      <c r="BH3" s="49"/>
      <c r="BI3" s="49"/>
      <c r="BJ3" s="49"/>
      <c r="BK3" s="49"/>
      <c r="BL3" s="49"/>
      <c r="BN3" s="115"/>
      <c r="BO3" s="115"/>
      <c r="BP3" s="115"/>
      <c r="BQ3" s="115"/>
      <c r="BR3" s="115"/>
      <c r="BS3" s="115"/>
      <c r="BT3" s="49"/>
      <c r="BU3" s="49"/>
      <c r="BV3" s="49"/>
      <c r="BW3" s="49"/>
      <c r="BX3" s="49"/>
      <c r="BY3" s="49"/>
      <c r="BZ3" s="49"/>
      <c r="CA3" s="49"/>
      <c r="CB3" s="49"/>
      <c r="CC3" s="34"/>
      <c r="CD3" s="115"/>
      <c r="CE3" s="115"/>
      <c r="CF3" s="115"/>
      <c r="CG3" s="115"/>
      <c r="CH3" s="115"/>
      <c r="CI3" s="115"/>
      <c r="CJ3" s="49"/>
      <c r="CK3" s="49"/>
      <c r="CL3" s="49"/>
      <c r="CM3" s="49"/>
      <c r="CN3" s="49"/>
      <c r="CO3" s="49"/>
      <c r="CP3" s="49"/>
      <c r="CQ3" s="49"/>
      <c r="CR3" s="49"/>
      <c r="CT3" s="115"/>
      <c r="CU3" s="115"/>
      <c r="CV3" s="115"/>
      <c r="CW3" s="115"/>
      <c r="CX3" s="115"/>
      <c r="CY3" s="115"/>
      <c r="CZ3" s="49"/>
      <c r="DA3" s="49"/>
      <c r="DB3" s="49"/>
      <c r="DC3" s="49"/>
      <c r="DD3" s="49"/>
      <c r="DE3" s="49"/>
      <c r="DF3" s="49"/>
      <c r="DG3" s="49"/>
      <c r="DH3" s="49"/>
      <c r="DJ3" s="115"/>
      <c r="DK3" s="115"/>
      <c r="DL3" s="115"/>
      <c r="DM3" s="115"/>
      <c r="DN3" s="115"/>
      <c r="DO3" s="115"/>
      <c r="DP3" s="49"/>
      <c r="DQ3" s="49"/>
      <c r="DR3" s="49"/>
      <c r="DS3" s="49"/>
      <c r="DT3" s="49"/>
      <c r="DU3" s="49"/>
      <c r="DV3" s="49"/>
      <c r="DW3" s="49"/>
      <c r="DX3" s="49"/>
      <c r="DZ3" s="115"/>
      <c r="EA3" s="115"/>
      <c r="EB3" s="115"/>
      <c r="EC3" s="115"/>
      <c r="ED3" s="115"/>
      <c r="EE3" s="115"/>
      <c r="EF3" s="49"/>
      <c r="EG3" s="49"/>
      <c r="EH3" s="49"/>
      <c r="EI3" s="49"/>
      <c r="EJ3" s="49"/>
      <c r="EK3" s="49"/>
      <c r="EL3" s="49"/>
      <c r="EM3" s="49"/>
      <c r="EN3" s="49"/>
      <c r="EP3" s="115"/>
      <c r="EQ3" s="115"/>
      <c r="ER3" s="115"/>
      <c r="ES3" s="115"/>
      <c r="ET3" s="115"/>
      <c r="EU3" s="115"/>
      <c r="EV3" s="49"/>
      <c r="EW3" s="49"/>
      <c r="EX3" s="49"/>
      <c r="EY3" s="49"/>
      <c r="EZ3" s="49"/>
      <c r="FA3" s="49"/>
      <c r="FB3" s="49"/>
      <c r="FC3" s="49"/>
      <c r="FD3" s="49"/>
    </row>
    <row r="4" spans="2:160" ht="31.5" x14ac:dyDescent="0.25">
      <c r="B4" s="50" t="s">
        <v>146</v>
      </c>
      <c r="C4" s="117" t="s">
        <v>170</v>
      </c>
      <c r="D4" s="115"/>
      <c r="E4" s="115"/>
      <c r="F4" s="115"/>
      <c r="G4" s="115"/>
      <c r="H4" s="49"/>
      <c r="I4" s="49"/>
      <c r="J4" s="49"/>
      <c r="K4" s="49"/>
      <c r="L4" s="49"/>
      <c r="M4" s="49" t="s">
        <v>309</v>
      </c>
      <c r="N4" s="49"/>
      <c r="O4" s="49"/>
      <c r="P4" s="49"/>
      <c r="R4" s="35" t="s">
        <v>146</v>
      </c>
      <c r="S4" s="122" t="s">
        <v>225</v>
      </c>
      <c r="T4" s="120"/>
      <c r="U4" s="120"/>
      <c r="V4" s="120"/>
      <c r="W4" s="120"/>
      <c r="X4" s="34"/>
      <c r="Y4" s="34"/>
      <c r="Z4" s="34"/>
      <c r="AA4" s="34"/>
      <c r="AB4" s="34"/>
      <c r="AC4" s="34"/>
      <c r="AD4" s="34"/>
      <c r="AE4" s="34"/>
      <c r="AF4" s="34"/>
      <c r="AH4" s="50" t="s">
        <v>146</v>
      </c>
      <c r="AI4" s="117" t="s">
        <v>147</v>
      </c>
      <c r="AJ4" s="115"/>
      <c r="AK4" s="115"/>
      <c r="AL4" s="115"/>
      <c r="AM4" s="115"/>
      <c r="AN4" s="49"/>
      <c r="AO4" s="49"/>
      <c r="AP4" s="49"/>
      <c r="AQ4" s="49"/>
      <c r="AR4" s="49"/>
      <c r="AS4" s="49"/>
      <c r="AT4" s="49"/>
      <c r="AU4" s="49"/>
      <c r="AV4" s="49"/>
      <c r="AX4" s="50" t="s">
        <v>146</v>
      </c>
      <c r="AY4" s="117" t="s">
        <v>171</v>
      </c>
      <c r="AZ4" s="115"/>
      <c r="BA4" s="115"/>
      <c r="BB4" s="115"/>
      <c r="BC4" s="115"/>
      <c r="BD4" s="49"/>
      <c r="BE4" s="49"/>
      <c r="BF4" s="49"/>
      <c r="BG4" s="49"/>
      <c r="BH4" s="49"/>
      <c r="BI4" s="49"/>
      <c r="BJ4" s="49"/>
      <c r="BK4" s="49"/>
      <c r="BL4" s="49"/>
      <c r="BN4" s="50" t="s">
        <v>146</v>
      </c>
      <c r="BO4" s="117" t="s">
        <v>244</v>
      </c>
      <c r="BP4" s="115"/>
      <c r="BQ4" s="115"/>
      <c r="BR4" s="115"/>
      <c r="BS4" s="115"/>
      <c r="BT4" s="49"/>
      <c r="BU4" s="49"/>
      <c r="BV4" s="49"/>
      <c r="BW4" s="49"/>
      <c r="BX4" s="49"/>
      <c r="BY4" s="49"/>
      <c r="BZ4" s="49"/>
      <c r="CA4" s="49"/>
      <c r="CB4" s="49"/>
      <c r="CC4" s="34"/>
      <c r="CD4" s="50" t="s">
        <v>146</v>
      </c>
      <c r="CE4" s="117" t="s">
        <v>241</v>
      </c>
      <c r="CF4" s="115"/>
      <c r="CG4" s="115"/>
      <c r="CH4" s="115"/>
      <c r="CI4" s="115"/>
      <c r="CJ4" s="49"/>
      <c r="CK4" s="49"/>
      <c r="CL4" s="49"/>
      <c r="CM4" s="49"/>
      <c r="CN4" s="49"/>
      <c r="CO4" s="49"/>
      <c r="CP4" s="49"/>
      <c r="CQ4" s="49"/>
      <c r="CR4" s="49"/>
      <c r="CT4" s="50" t="s">
        <v>146</v>
      </c>
      <c r="CU4" s="117" t="s">
        <v>256</v>
      </c>
      <c r="CV4" s="115"/>
      <c r="CW4" s="115"/>
      <c r="CX4" s="115"/>
      <c r="CY4" s="115"/>
      <c r="CZ4" s="49"/>
      <c r="DA4" s="49"/>
      <c r="DB4" s="49"/>
      <c r="DC4" s="49"/>
      <c r="DD4" s="49"/>
      <c r="DE4" s="49"/>
      <c r="DF4" s="49"/>
      <c r="DG4" s="49"/>
      <c r="DH4" s="49"/>
      <c r="DJ4" s="50" t="s">
        <v>146</v>
      </c>
      <c r="DK4" s="117" t="s">
        <v>231</v>
      </c>
      <c r="DL4" s="115"/>
      <c r="DM4" s="115"/>
      <c r="DN4" s="115"/>
      <c r="DO4" s="115"/>
      <c r="DP4" s="49"/>
      <c r="DQ4" s="49"/>
      <c r="DR4" s="49"/>
      <c r="DS4" s="49"/>
      <c r="DT4" s="49"/>
      <c r="DU4" s="49"/>
      <c r="DV4" s="49"/>
      <c r="DW4" s="49"/>
      <c r="DX4" s="49"/>
      <c r="DZ4" s="50" t="s">
        <v>146</v>
      </c>
      <c r="EA4" s="117" t="s">
        <v>247</v>
      </c>
      <c r="EB4" s="115"/>
      <c r="EC4" s="115"/>
      <c r="ED4" s="115"/>
      <c r="EE4" s="115"/>
      <c r="EF4" s="49"/>
      <c r="EG4" s="49"/>
      <c r="EH4" s="49"/>
      <c r="EI4" s="49"/>
      <c r="EJ4" s="49"/>
      <c r="EK4" s="49"/>
      <c r="EL4" s="49"/>
      <c r="EM4" s="49"/>
      <c r="EN4" s="49"/>
      <c r="EP4" s="50" t="s">
        <v>146</v>
      </c>
      <c r="EQ4" s="117" t="s">
        <v>236</v>
      </c>
      <c r="ER4" s="115"/>
      <c r="ES4" s="115"/>
      <c r="ET4" s="115"/>
      <c r="EU4" s="115"/>
      <c r="EV4" s="49"/>
      <c r="EW4" s="49"/>
      <c r="EX4" s="49"/>
      <c r="EY4" s="49"/>
      <c r="EZ4" s="49"/>
      <c r="FA4" s="49"/>
      <c r="FB4" s="49"/>
      <c r="FC4" s="49"/>
      <c r="FD4" s="49"/>
    </row>
    <row r="5" spans="2:160" x14ac:dyDescent="0.25">
      <c r="B5" s="118" t="s">
        <v>31</v>
      </c>
      <c r="C5" s="115"/>
      <c r="D5" s="115"/>
      <c r="E5" s="115"/>
      <c r="F5" s="115"/>
      <c r="G5" s="115"/>
      <c r="H5" s="49"/>
      <c r="I5" s="49"/>
      <c r="J5" s="49"/>
      <c r="K5" s="49"/>
      <c r="L5" s="49"/>
      <c r="M5" s="49"/>
      <c r="N5" s="49"/>
      <c r="O5" s="49"/>
      <c r="P5" s="49"/>
      <c r="R5" s="125" t="s">
        <v>31</v>
      </c>
      <c r="S5" s="120"/>
      <c r="T5" s="120"/>
      <c r="U5" s="120"/>
      <c r="V5" s="120"/>
      <c r="W5" s="120"/>
      <c r="X5" s="34"/>
      <c r="Y5" s="34"/>
      <c r="Z5" s="34"/>
      <c r="AA5" s="34"/>
      <c r="AB5" s="34"/>
      <c r="AC5" s="34"/>
      <c r="AD5" s="34"/>
      <c r="AE5" s="34"/>
      <c r="AF5" s="34"/>
      <c r="AH5" s="118" t="s">
        <v>31</v>
      </c>
      <c r="AI5" s="115"/>
      <c r="AJ5" s="115"/>
      <c r="AK5" s="115"/>
      <c r="AL5" s="115"/>
      <c r="AM5" s="115"/>
      <c r="AN5" s="49"/>
      <c r="AO5" s="49"/>
      <c r="AP5" s="49"/>
      <c r="AQ5" s="49"/>
      <c r="AR5" s="49"/>
      <c r="AS5" s="49"/>
      <c r="AT5" s="49"/>
      <c r="AU5" s="49"/>
      <c r="AV5" s="49"/>
      <c r="AX5" s="118" t="s">
        <v>31</v>
      </c>
      <c r="AY5" s="115"/>
      <c r="AZ5" s="115"/>
      <c r="BA5" s="115"/>
      <c r="BB5" s="115"/>
      <c r="BC5" s="115"/>
      <c r="BD5" s="49"/>
      <c r="BE5" s="49"/>
      <c r="BF5" s="49"/>
      <c r="BG5" s="49"/>
      <c r="BH5" s="49"/>
      <c r="BI5" s="49"/>
      <c r="BJ5" s="49"/>
      <c r="BK5" s="49"/>
      <c r="BL5" s="49"/>
      <c r="BN5" s="118" t="s">
        <v>31</v>
      </c>
      <c r="BO5" s="115"/>
      <c r="BP5" s="115"/>
      <c r="BQ5" s="115"/>
      <c r="BR5" s="115"/>
      <c r="BS5" s="115"/>
      <c r="BT5" s="49"/>
      <c r="BU5" s="49"/>
      <c r="BV5" s="49"/>
      <c r="BW5" s="49"/>
      <c r="BX5" s="49"/>
      <c r="BY5" s="49"/>
      <c r="BZ5" s="49"/>
      <c r="CA5" s="49"/>
      <c r="CB5" s="49"/>
      <c r="CC5" s="34"/>
      <c r="CD5" s="118" t="s">
        <v>31</v>
      </c>
      <c r="CE5" s="115"/>
      <c r="CF5" s="115"/>
      <c r="CG5" s="115"/>
      <c r="CH5" s="115"/>
      <c r="CI5" s="115"/>
      <c r="CJ5" s="49"/>
      <c r="CK5" s="49"/>
      <c r="CL5" s="49"/>
      <c r="CM5" s="49"/>
      <c r="CN5" s="49"/>
      <c r="CO5" s="49"/>
      <c r="CP5" s="49"/>
      <c r="CQ5" s="49"/>
      <c r="CR5" s="49"/>
      <c r="CT5" s="118" t="s">
        <v>31</v>
      </c>
      <c r="CU5" s="115"/>
      <c r="CV5" s="115"/>
      <c r="CW5" s="115"/>
      <c r="CX5" s="115"/>
      <c r="CY5" s="115"/>
      <c r="CZ5" s="49"/>
      <c r="DA5" s="49"/>
      <c r="DB5" s="49"/>
      <c r="DC5" s="49"/>
      <c r="DD5" s="49"/>
      <c r="DE5" s="49"/>
      <c r="DF5" s="49"/>
      <c r="DG5" s="49"/>
      <c r="DH5" s="49"/>
      <c r="DJ5" s="118" t="s">
        <v>31</v>
      </c>
      <c r="DK5" s="115"/>
      <c r="DL5" s="115"/>
      <c r="DM5" s="115"/>
      <c r="DN5" s="115"/>
      <c r="DO5" s="115"/>
      <c r="DP5" s="49"/>
      <c r="DQ5" s="49"/>
      <c r="DR5" s="49"/>
      <c r="DS5" s="49"/>
      <c r="DT5" s="49"/>
      <c r="DU5" s="49"/>
      <c r="DV5" s="49"/>
      <c r="DW5" s="49"/>
      <c r="DX5" s="49"/>
      <c r="DZ5" s="118" t="s">
        <v>31</v>
      </c>
      <c r="EA5" s="115"/>
      <c r="EB5" s="115"/>
      <c r="EC5" s="115"/>
      <c r="ED5" s="115"/>
      <c r="EE5" s="115"/>
      <c r="EF5" s="49"/>
      <c r="EG5" s="49"/>
      <c r="EH5" s="49"/>
      <c r="EI5" s="49"/>
      <c r="EJ5" s="49"/>
      <c r="EK5" s="49"/>
      <c r="EL5" s="49"/>
      <c r="EM5" s="49"/>
      <c r="EN5" s="49"/>
      <c r="EP5" s="118" t="s">
        <v>31</v>
      </c>
      <c r="EQ5" s="115"/>
      <c r="ER5" s="115"/>
      <c r="ES5" s="115"/>
      <c r="ET5" s="115"/>
      <c r="EU5" s="115"/>
      <c r="EV5" s="49"/>
      <c r="EW5" s="49"/>
      <c r="EX5" s="49"/>
      <c r="EY5" s="49"/>
      <c r="EZ5" s="49"/>
      <c r="FA5" s="49"/>
      <c r="FB5" s="49"/>
      <c r="FC5" s="49"/>
      <c r="FD5" s="49"/>
    </row>
    <row r="6" spans="2:160" ht="31.5" x14ac:dyDescent="0.25">
      <c r="B6" s="50" t="s">
        <v>32</v>
      </c>
      <c r="C6" s="117" t="s">
        <v>172</v>
      </c>
      <c r="D6" s="115"/>
      <c r="E6" s="115"/>
      <c r="F6" s="115"/>
      <c r="G6" s="115"/>
      <c r="H6" s="49"/>
      <c r="I6" s="49"/>
      <c r="J6" s="49"/>
      <c r="K6" s="49"/>
      <c r="L6" s="49"/>
      <c r="M6" s="49"/>
      <c r="N6" s="49"/>
      <c r="O6" s="49"/>
      <c r="P6" s="49"/>
      <c r="R6" s="35" t="s">
        <v>32</v>
      </c>
      <c r="S6" s="122" t="s">
        <v>226</v>
      </c>
      <c r="T6" s="120"/>
      <c r="U6" s="120"/>
      <c r="V6" s="120"/>
      <c r="W6" s="120"/>
      <c r="X6" s="34"/>
      <c r="Y6" s="34"/>
      <c r="Z6" s="34"/>
      <c r="AA6" s="34"/>
      <c r="AB6" s="34"/>
      <c r="AC6" s="34"/>
      <c r="AD6" s="34"/>
      <c r="AE6" s="34"/>
      <c r="AF6" s="34"/>
      <c r="AH6" s="50" t="s">
        <v>32</v>
      </c>
      <c r="AI6" s="117" t="s">
        <v>148</v>
      </c>
      <c r="AJ6" s="115"/>
      <c r="AK6" s="115"/>
      <c r="AL6" s="115"/>
      <c r="AM6" s="115"/>
      <c r="AN6" s="49"/>
      <c r="AO6" s="49"/>
      <c r="AP6" s="49"/>
      <c r="AQ6" s="49"/>
      <c r="AR6" s="49"/>
      <c r="AS6" s="49"/>
      <c r="AT6" s="49"/>
      <c r="AU6" s="49"/>
      <c r="AV6" s="49"/>
      <c r="AX6" s="50" t="s">
        <v>32</v>
      </c>
      <c r="AY6" s="117" t="s">
        <v>173</v>
      </c>
      <c r="AZ6" s="115"/>
      <c r="BA6" s="115"/>
      <c r="BB6" s="115"/>
      <c r="BC6" s="115"/>
      <c r="BD6" s="49"/>
      <c r="BE6" s="49"/>
      <c r="BF6" s="49"/>
      <c r="BG6" s="49"/>
      <c r="BH6" s="49"/>
      <c r="BI6" s="49"/>
      <c r="BJ6" s="49"/>
      <c r="BK6" s="49"/>
      <c r="BL6" s="49"/>
      <c r="BN6" s="50" t="s">
        <v>32</v>
      </c>
      <c r="BO6" s="117" t="s">
        <v>245</v>
      </c>
      <c r="BP6" s="115"/>
      <c r="BQ6" s="115"/>
      <c r="BR6" s="115"/>
      <c r="BS6" s="115"/>
      <c r="BT6" s="49"/>
      <c r="BU6" s="49"/>
      <c r="BV6" s="49"/>
      <c r="BW6" s="49"/>
      <c r="BX6" s="49"/>
      <c r="BY6" s="49"/>
      <c r="BZ6" s="49"/>
      <c r="CA6" s="49"/>
      <c r="CB6" s="49"/>
      <c r="CD6" s="50" t="s">
        <v>32</v>
      </c>
      <c r="CE6" s="117" t="s">
        <v>242</v>
      </c>
      <c r="CF6" s="115"/>
      <c r="CG6" s="115"/>
      <c r="CH6" s="115"/>
      <c r="CI6" s="115"/>
      <c r="CJ6" s="49"/>
      <c r="CK6" s="49"/>
      <c r="CL6" s="49"/>
      <c r="CM6" s="49"/>
      <c r="CN6" s="49"/>
      <c r="CO6" s="49"/>
      <c r="CP6" s="49"/>
      <c r="CQ6" s="49"/>
      <c r="CR6" s="49"/>
      <c r="CT6" s="50" t="s">
        <v>32</v>
      </c>
      <c r="CU6" s="117" t="s">
        <v>257</v>
      </c>
      <c r="CV6" s="115"/>
      <c r="CW6" s="115"/>
      <c r="CX6" s="115"/>
      <c r="CY6" s="115"/>
      <c r="CZ6" s="49"/>
      <c r="DA6" s="49"/>
      <c r="DB6" s="49"/>
      <c r="DC6" s="49"/>
      <c r="DD6" s="49"/>
      <c r="DE6" s="49"/>
      <c r="DF6" s="49"/>
      <c r="DG6" s="49"/>
      <c r="DH6" s="49"/>
      <c r="DJ6" s="50" t="s">
        <v>32</v>
      </c>
      <c r="DK6" s="117" t="s">
        <v>232</v>
      </c>
      <c r="DL6" s="115"/>
      <c r="DM6" s="115"/>
      <c r="DN6" s="115"/>
      <c r="DO6" s="115"/>
      <c r="DP6" s="49"/>
      <c r="DQ6" s="49"/>
      <c r="DR6" s="49"/>
      <c r="DS6" s="49"/>
      <c r="DT6" s="49"/>
      <c r="DU6" s="49"/>
      <c r="DV6" s="49"/>
      <c r="DW6" s="49"/>
      <c r="DX6" s="49"/>
      <c r="DZ6" s="50" t="s">
        <v>32</v>
      </c>
      <c r="EA6" s="117" t="s">
        <v>248</v>
      </c>
      <c r="EB6" s="115"/>
      <c r="EC6" s="115"/>
      <c r="ED6" s="115"/>
      <c r="EE6" s="115"/>
      <c r="EF6" s="49"/>
      <c r="EG6" s="49"/>
      <c r="EH6" s="49"/>
      <c r="EI6" s="49"/>
      <c r="EJ6" s="49"/>
      <c r="EK6" s="49"/>
      <c r="EL6" s="49"/>
      <c r="EM6" s="49"/>
      <c r="EN6" s="49"/>
      <c r="EP6" s="50" t="s">
        <v>32</v>
      </c>
      <c r="EQ6" s="117" t="s">
        <v>237</v>
      </c>
      <c r="ER6" s="115"/>
      <c r="ES6" s="115"/>
      <c r="ET6" s="115"/>
      <c r="EU6" s="115"/>
      <c r="EV6" s="49"/>
      <c r="EW6" s="49"/>
      <c r="EX6" s="49"/>
      <c r="EY6" s="49"/>
      <c r="EZ6" s="49"/>
      <c r="FA6" s="49"/>
      <c r="FB6" s="49"/>
      <c r="FC6" s="49"/>
      <c r="FD6" s="49"/>
    </row>
    <row r="7" spans="2:160" x14ac:dyDescent="0.25">
      <c r="B7" s="50" t="s">
        <v>33</v>
      </c>
      <c r="C7" s="117" t="s">
        <v>34</v>
      </c>
      <c r="D7" s="115"/>
      <c r="E7" s="115"/>
      <c r="F7" s="115"/>
      <c r="G7" s="115"/>
      <c r="H7" s="49"/>
      <c r="I7" s="49"/>
      <c r="J7" s="49"/>
      <c r="K7" s="49"/>
      <c r="L7" s="49"/>
      <c r="M7" s="49"/>
      <c r="N7" s="49"/>
      <c r="O7" s="49"/>
      <c r="P7" s="49"/>
      <c r="R7" s="35" t="s">
        <v>33</v>
      </c>
      <c r="S7" s="122" t="s">
        <v>34</v>
      </c>
      <c r="T7" s="120"/>
      <c r="U7" s="120"/>
      <c r="V7" s="120"/>
      <c r="W7" s="120"/>
      <c r="X7" s="34"/>
      <c r="Y7" s="34"/>
      <c r="Z7" s="34"/>
      <c r="AA7" s="34"/>
      <c r="AB7" s="34"/>
      <c r="AC7" s="34"/>
      <c r="AD7" s="34"/>
      <c r="AE7" s="34"/>
      <c r="AF7" s="34"/>
      <c r="AH7" s="50" t="s">
        <v>33</v>
      </c>
      <c r="AI7" s="117" t="s">
        <v>34</v>
      </c>
      <c r="AJ7" s="115"/>
      <c r="AK7" s="115"/>
      <c r="AL7" s="115"/>
      <c r="AM7" s="115"/>
      <c r="AN7" s="49"/>
      <c r="AO7" s="49"/>
      <c r="AP7" s="49"/>
      <c r="AQ7" s="49"/>
      <c r="AR7" s="49"/>
      <c r="AS7" s="49"/>
      <c r="AT7" s="49"/>
      <c r="AU7" s="49"/>
      <c r="AV7" s="49"/>
      <c r="AX7" s="50" t="s">
        <v>33</v>
      </c>
      <c r="AY7" s="117" t="s">
        <v>34</v>
      </c>
      <c r="AZ7" s="115"/>
      <c r="BA7" s="115"/>
      <c r="BB7" s="115"/>
      <c r="BC7" s="115"/>
      <c r="BD7" s="49"/>
      <c r="BE7" s="49"/>
      <c r="BF7" s="49"/>
      <c r="BG7" s="49"/>
      <c r="BH7" s="49"/>
      <c r="BI7" s="49"/>
      <c r="BJ7" s="49"/>
      <c r="BK7" s="49"/>
      <c r="BL7" s="49"/>
      <c r="BN7" s="50" t="s">
        <v>33</v>
      </c>
      <c r="BO7" s="117" t="s">
        <v>34</v>
      </c>
      <c r="BP7" s="115"/>
      <c r="BQ7" s="115"/>
      <c r="BR7" s="115"/>
      <c r="BS7" s="115"/>
      <c r="BT7" s="49"/>
      <c r="BU7" s="49"/>
      <c r="BV7" s="49"/>
      <c r="BW7" s="49"/>
      <c r="BX7" s="49"/>
      <c r="BY7" s="49"/>
      <c r="BZ7" s="49"/>
      <c r="CA7" s="49"/>
      <c r="CB7" s="49"/>
      <c r="CD7" s="50" t="s">
        <v>33</v>
      </c>
      <c r="CE7" s="117" t="s">
        <v>34</v>
      </c>
      <c r="CF7" s="115"/>
      <c r="CG7" s="115"/>
      <c r="CH7" s="115"/>
      <c r="CI7" s="115"/>
      <c r="CJ7" s="49"/>
      <c r="CK7" s="49"/>
      <c r="CL7" s="49"/>
      <c r="CM7" s="49"/>
      <c r="CN7" s="49"/>
      <c r="CO7" s="49"/>
      <c r="CP7" s="49"/>
      <c r="CQ7" s="49"/>
      <c r="CR7" s="49"/>
      <c r="CT7" s="50" t="s">
        <v>33</v>
      </c>
      <c r="CU7" s="117" t="s">
        <v>34</v>
      </c>
      <c r="CV7" s="115"/>
      <c r="CW7" s="115"/>
      <c r="CX7" s="115"/>
      <c r="CY7" s="115"/>
      <c r="CZ7" s="49"/>
      <c r="DA7" s="49"/>
      <c r="DB7" s="49"/>
      <c r="DC7" s="49"/>
      <c r="DD7" s="49"/>
      <c r="DE7" s="49"/>
      <c r="DF7" s="49"/>
      <c r="DG7" s="49"/>
      <c r="DH7" s="49"/>
      <c r="DJ7" s="50" t="s">
        <v>33</v>
      </c>
      <c r="DK7" s="117" t="s">
        <v>34</v>
      </c>
      <c r="DL7" s="115"/>
      <c r="DM7" s="115"/>
      <c r="DN7" s="115"/>
      <c r="DO7" s="115"/>
      <c r="DP7" s="49"/>
      <c r="DQ7" s="49"/>
      <c r="DR7" s="49"/>
      <c r="DS7" s="49"/>
      <c r="DT7" s="49"/>
      <c r="DU7" s="49"/>
      <c r="DV7" s="49"/>
      <c r="DW7" s="49"/>
      <c r="DX7" s="49"/>
      <c r="DZ7" s="50" t="s">
        <v>33</v>
      </c>
      <c r="EA7" s="117" t="s">
        <v>34</v>
      </c>
      <c r="EB7" s="115"/>
      <c r="EC7" s="115"/>
      <c r="ED7" s="115"/>
      <c r="EE7" s="115"/>
      <c r="EF7" s="49"/>
      <c r="EG7" s="49"/>
      <c r="EH7" s="49"/>
      <c r="EI7" s="49"/>
      <c r="EJ7" s="49"/>
      <c r="EK7" s="49"/>
      <c r="EL7" s="49"/>
      <c r="EM7" s="49"/>
      <c r="EN7" s="49"/>
      <c r="EP7" s="50" t="s">
        <v>33</v>
      </c>
      <c r="EQ7" s="117" t="s">
        <v>34</v>
      </c>
      <c r="ER7" s="115"/>
      <c r="ES7" s="115"/>
      <c r="ET7" s="115"/>
      <c r="EU7" s="115"/>
      <c r="EV7" s="49"/>
      <c r="EW7" s="49"/>
      <c r="EX7" s="49"/>
      <c r="EY7" s="49"/>
      <c r="EZ7" s="49"/>
      <c r="FA7" s="49"/>
      <c r="FB7" s="49"/>
      <c r="FC7" s="49"/>
      <c r="FD7" s="49"/>
    </row>
    <row r="8" spans="2:160" x14ac:dyDescent="0.25">
      <c r="B8" s="50" t="s">
        <v>35</v>
      </c>
      <c r="C8" s="117" t="s">
        <v>144</v>
      </c>
      <c r="D8" s="115"/>
      <c r="E8" s="115"/>
      <c r="F8" s="115"/>
      <c r="G8" s="115"/>
      <c r="H8" s="49"/>
      <c r="I8" s="65" t="s">
        <v>504</v>
      </c>
      <c r="J8" s="60">
        <f>(N43/N13)^(1/30)-1</f>
        <v>2.3977134838169212E-2</v>
      </c>
      <c r="K8" s="49"/>
      <c r="O8" s="49"/>
      <c r="P8" s="49"/>
      <c r="R8" s="35" t="s">
        <v>35</v>
      </c>
      <c r="S8" s="123" t="s">
        <v>227</v>
      </c>
      <c r="T8" s="124"/>
      <c r="U8" s="124"/>
      <c r="V8" s="124"/>
      <c r="W8" s="124"/>
      <c r="Y8" s="65" t="s">
        <v>504</v>
      </c>
      <c r="Z8" s="60">
        <f>(X43/X13)^(1/30)-1</f>
        <v>2.0736944174645666E-2</v>
      </c>
      <c r="AA8" s="34"/>
      <c r="AB8" s="34"/>
      <c r="AC8" s="34"/>
      <c r="AD8" s="34"/>
      <c r="AE8" s="34"/>
      <c r="AF8" s="34"/>
      <c r="AH8" s="50" t="s">
        <v>35</v>
      </c>
      <c r="AI8" s="117" t="s">
        <v>149</v>
      </c>
      <c r="AJ8" s="115"/>
      <c r="AK8" s="115"/>
      <c r="AL8" s="115"/>
      <c r="AM8" s="115"/>
      <c r="AN8" s="49"/>
      <c r="AO8" s="65" t="s">
        <v>504</v>
      </c>
      <c r="AP8" s="60">
        <f>(AT43/AT13)^(1/30)-1</f>
        <v>3.5117348400309334E-2</v>
      </c>
      <c r="AQ8" s="49"/>
      <c r="AR8" s="49"/>
      <c r="AS8" s="49"/>
      <c r="AU8" s="49"/>
      <c r="AV8" s="49"/>
      <c r="AX8" s="50" t="s">
        <v>35</v>
      </c>
      <c r="AY8" s="117" t="s">
        <v>174</v>
      </c>
      <c r="AZ8" s="115"/>
      <c r="BA8" s="115"/>
      <c r="BB8" s="115"/>
      <c r="BC8" s="115"/>
      <c r="BD8" s="49"/>
      <c r="BE8" s="65" t="s">
        <v>504</v>
      </c>
      <c r="BF8" s="60">
        <f>(BJ43/BJ13)^(1/30)-1</f>
        <v>2.9548225004298212E-2</v>
      </c>
      <c r="BG8" s="49"/>
      <c r="BH8" s="49"/>
      <c r="BI8" s="49"/>
      <c r="BK8" s="49"/>
      <c r="BL8" s="49"/>
      <c r="BN8" s="50" t="s">
        <v>35</v>
      </c>
      <c r="BO8" s="117" t="s">
        <v>246</v>
      </c>
      <c r="BP8" s="115"/>
      <c r="BQ8" s="115"/>
      <c r="BR8" s="115"/>
      <c r="BS8" s="115"/>
      <c r="BT8" s="49"/>
      <c r="BU8" s="65" t="s">
        <v>504</v>
      </c>
      <c r="BV8" s="60">
        <f>(BZ29/BZ13)^(1/16)-1</f>
        <v>6.3201478284775625E-3</v>
      </c>
      <c r="BW8" s="49" t="s">
        <v>261</v>
      </c>
      <c r="BX8" s="49"/>
      <c r="BY8" s="49"/>
      <c r="CB8" s="49"/>
      <c r="CD8" s="50" t="s">
        <v>35</v>
      </c>
      <c r="CE8" s="117" t="s">
        <v>243</v>
      </c>
      <c r="CF8" s="115"/>
      <c r="CG8" s="115"/>
      <c r="CH8" s="115"/>
      <c r="CI8" s="115"/>
      <c r="CJ8" s="49"/>
      <c r="CK8" s="65" t="s">
        <v>504</v>
      </c>
      <c r="CL8" s="60">
        <f>(CP43/CP13)^(1/30)-1</f>
        <v>2.5219757035239265E-2</v>
      </c>
      <c r="CM8" s="49"/>
      <c r="CN8" s="49"/>
      <c r="CO8" s="49"/>
      <c r="CQ8" s="49"/>
      <c r="CR8" s="49"/>
      <c r="CT8" s="50" t="s">
        <v>35</v>
      </c>
      <c r="CU8" s="117" t="s">
        <v>258</v>
      </c>
      <c r="CV8" s="115"/>
      <c r="CW8" s="115"/>
      <c r="CX8" s="115"/>
      <c r="CY8" s="115"/>
      <c r="CZ8" s="49"/>
      <c r="DA8" s="65" t="s">
        <v>504</v>
      </c>
      <c r="DB8" s="60">
        <f>(DF42/DF13)^(1/29)-1</f>
        <v>5.2913605158896315E-2</v>
      </c>
      <c r="DC8" s="49" t="s">
        <v>260</v>
      </c>
      <c r="DD8" s="49"/>
      <c r="DE8" s="49"/>
      <c r="DH8" s="49"/>
      <c r="DJ8" s="50" t="s">
        <v>35</v>
      </c>
      <c r="DK8" s="117" t="s">
        <v>233</v>
      </c>
      <c r="DL8" s="115"/>
      <c r="DM8" s="115"/>
      <c r="DN8" s="115"/>
      <c r="DO8" s="115"/>
      <c r="DP8" s="49"/>
      <c r="DQ8" s="65" t="s">
        <v>504</v>
      </c>
      <c r="DR8" s="60">
        <f>(DS42/DS14)^(1/28)-1</f>
        <v>5.2018836646548605E-2</v>
      </c>
      <c r="DT8" s="49"/>
      <c r="DU8" s="49"/>
      <c r="DV8" s="55"/>
      <c r="DW8" s="49"/>
      <c r="DX8" s="49"/>
      <c r="DZ8" s="50" t="s">
        <v>35</v>
      </c>
      <c r="EA8" s="117" t="s">
        <v>139</v>
      </c>
      <c r="EB8" s="115"/>
      <c r="EC8" s="115"/>
      <c r="ED8" s="115"/>
      <c r="EE8" s="115"/>
      <c r="EF8" s="49"/>
      <c r="EG8" s="65" t="s">
        <v>504</v>
      </c>
      <c r="EH8" s="60">
        <f>(EL43/EL13)^(1/30)-1</f>
        <v>5.2900906226266198E-2</v>
      </c>
      <c r="EI8" s="49"/>
      <c r="EJ8" s="49"/>
      <c r="EK8" s="49"/>
      <c r="EM8" s="49"/>
      <c r="EN8" s="49"/>
      <c r="EP8" s="50" t="s">
        <v>35</v>
      </c>
      <c r="EQ8" s="117" t="s">
        <v>238</v>
      </c>
      <c r="ER8" s="115"/>
      <c r="ES8" s="115"/>
      <c r="ET8" s="115"/>
      <c r="EU8" s="115"/>
      <c r="EV8" s="49"/>
      <c r="EW8" s="65" t="s">
        <v>504</v>
      </c>
      <c r="EX8" s="60">
        <f>(FB29/FB14)^(1/15)-1</f>
        <v>7.3233117948781068E-3</v>
      </c>
      <c r="EY8" s="49"/>
      <c r="EZ8" s="49"/>
      <c r="FA8" s="49"/>
      <c r="FC8" s="49"/>
      <c r="FD8" s="49"/>
    </row>
    <row r="9" spans="2:160" ht="31.5" x14ac:dyDescent="0.25">
      <c r="B9" s="50" t="s">
        <v>36</v>
      </c>
      <c r="C9" s="117" t="s">
        <v>150</v>
      </c>
      <c r="D9" s="115"/>
      <c r="E9" s="115"/>
      <c r="F9" s="115"/>
      <c r="G9" s="115"/>
      <c r="H9" s="49"/>
      <c r="I9" s="65" t="s">
        <v>505</v>
      </c>
      <c r="J9" s="59"/>
      <c r="K9" s="49"/>
      <c r="O9" s="49"/>
      <c r="P9" s="49"/>
      <c r="R9" s="35" t="s">
        <v>36</v>
      </c>
      <c r="S9" s="122" t="s">
        <v>228</v>
      </c>
      <c r="T9" s="120"/>
      <c r="U9" s="120"/>
      <c r="V9" s="120"/>
      <c r="W9" s="120"/>
      <c r="X9" s="34"/>
      <c r="Y9" s="65" t="s">
        <v>505</v>
      </c>
      <c r="Z9" s="66"/>
      <c r="AA9" s="34"/>
      <c r="AB9" s="34"/>
      <c r="AC9" s="34"/>
      <c r="AD9" s="34"/>
      <c r="AE9" s="34"/>
      <c r="AF9" s="34"/>
      <c r="AH9" s="50" t="s">
        <v>36</v>
      </c>
      <c r="AI9" s="117" t="s">
        <v>150</v>
      </c>
      <c r="AJ9" s="115"/>
      <c r="AK9" s="115"/>
      <c r="AL9" s="115"/>
      <c r="AM9" s="115"/>
      <c r="AN9" s="49"/>
      <c r="AO9" s="65" t="s">
        <v>505</v>
      </c>
      <c r="AP9" s="59"/>
      <c r="AQ9" s="49"/>
      <c r="AR9" s="49"/>
      <c r="AS9" s="49"/>
      <c r="AT9" s="49"/>
      <c r="AU9" s="49"/>
      <c r="AV9" s="49"/>
      <c r="AX9" s="50" t="s">
        <v>36</v>
      </c>
      <c r="AY9" s="117" t="s">
        <v>150</v>
      </c>
      <c r="AZ9" s="115"/>
      <c r="BA9" s="115"/>
      <c r="BB9" s="115"/>
      <c r="BC9" s="115"/>
      <c r="BD9" s="49"/>
      <c r="BE9" s="65" t="s">
        <v>505</v>
      </c>
      <c r="BF9" s="59"/>
      <c r="BG9" s="49"/>
      <c r="BH9" s="49"/>
      <c r="BI9" s="49"/>
      <c r="BJ9" s="49"/>
      <c r="BK9" s="49"/>
      <c r="BL9" s="49"/>
      <c r="BN9" s="50" t="s">
        <v>36</v>
      </c>
      <c r="BO9" s="117" t="s">
        <v>239</v>
      </c>
      <c r="BP9" s="115"/>
      <c r="BQ9" s="115"/>
      <c r="BR9" s="115"/>
      <c r="BS9" s="115"/>
      <c r="BT9" s="49"/>
      <c r="BU9" s="65" t="s">
        <v>505</v>
      </c>
      <c r="BV9" s="59"/>
      <c r="BW9" s="49"/>
      <c r="BX9" s="49"/>
      <c r="BY9" s="49"/>
      <c r="BZ9" s="49"/>
      <c r="CA9" s="49"/>
      <c r="CB9" s="49"/>
      <c r="CD9" s="50" t="s">
        <v>36</v>
      </c>
      <c r="CE9" s="117" t="s">
        <v>150</v>
      </c>
      <c r="CF9" s="115"/>
      <c r="CG9" s="115"/>
      <c r="CH9" s="115"/>
      <c r="CI9" s="115"/>
      <c r="CJ9" s="49"/>
      <c r="CK9" s="65" t="s">
        <v>505</v>
      </c>
      <c r="CL9" s="59"/>
      <c r="CM9" s="49"/>
      <c r="CN9" s="49"/>
      <c r="CO9" s="49"/>
      <c r="CP9" s="49"/>
      <c r="CQ9" s="49"/>
      <c r="CR9" s="49"/>
      <c r="CT9" s="50" t="s">
        <v>36</v>
      </c>
      <c r="CU9" s="117" t="s">
        <v>234</v>
      </c>
      <c r="CV9" s="115"/>
      <c r="CW9" s="115"/>
      <c r="CX9" s="115"/>
      <c r="CY9" s="115"/>
      <c r="CZ9" s="49"/>
      <c r="DA9" s="65" t="s">
        <v>505</v>
      </c>
      <c r="DB9" s="59"/>
      <c r="DC9" s="49"/>
      <c r="DD9" s="49"/>
      <c r="DE9" s="49"/>
      <c r="DF9" s="49"/>
      <c r="DG9" s="49"/>
      <c r="DH9" s="49"/>
      <c r="DJ9" s="50" t="s">
        <v>36</v>
      </c>
      <c r="DK9" s="117" t="s">
        <v>234</v>
      </c>
      <c r="DL9" s="115"/>
      <c r="DM9" s="115"/>
      <c r="DN9" s="115"/>
      <c r="DO9" s="115"/>
      <c r="DP9" s="49"/>
      <c r="DQ9" s="65" t="s">
        <v>505</v>
      </c>
      <c r="DR9" s="59"/>
      <c r="DS9" s="49"/>
      <c r="DT9" s="49"/>
      <c r="DU9" s="49"/>
      <c r="DV9" s="49"/>
      <c r="DW9" s="49"/>
      <c r="DX9" s="49"/>
      <c r="DZ9" s="50" t="s">
        <v>36</v>
      </c>
      <c r="EA9" s="117" t="s">
        <v>228</v>
      </c>
      <c r="EB9" s="115"/>
      <c r="EC9" s="115"/>
      <c r="ED9" s="115"/>
      <c r="EE9" s="115"/>
      <c r="EF9" s="49"/>
      <c r="EG9" s="65" t="s">
        <v>505</v>
      </c>
      <c r="EH9" s="59"/>
      <c r="EI9" s="49"/>
      <c r="EJ9" s="49"/>
      <c r="EK9" s="49"/>
      <c r="EL9" s="49"/>
      <c r="EM9" s="49"/>
      <c r="EN9" s="49"/>
      <c r="EP9" s="50" t="s">
        <v>36</v>
      </c>
      <c r="EQ9" s="117" t="s">
        <v>239</v>
      </c>
      <c r="ER9" s="115"/>
      <c r="ES9" s="115"/>
      <c r="ET9" s="115"/>
      <c r="EU9" s="115"/>
      <c r="EV9" s="49"/>
      <c r="EW9" s="65" t="s">
        <v>505</v>
      </c>
      <c r="EX9" s="59"/>
      <c r="EY9" s="49"/>
      <c r="EZ9" s="49"/>
      <c r="FA9" s="49"/>
      <c r="FB9" s="49"/>
      <c r="FC9" s="49"/>
      <c r="FD9" s="49"/>
    </row>
    <row r="10" spans="2:160" x14ac:dyDescent="0.25">
      <c r="B10" s="50" t="s">
        <v>229</v>
      </c>
      <c r="C10" s="114" t="s">
        <v>230</v>
      </c>
      <c r="D10" s="115"/>
      <c r="E10" s="115"/>
      <c r="F10" s="115"/>
      <c r="G10" s="115"/>
      <c r="H10" s="49"/>
      <c r="I10" s="49"/>
      <c r="J10" s="49"/>
      <c r="K10" s="49"/>
      <c r="L10" s="49"/>
      <c r="M10" s="49"/>
      <c r="N10" s="49"/>
      <c r="O10" s="49"/>
      <c r="P10" s="49"/>
      <c r="R10" s="35" t="s">
        <v>229</v>
      </c>
      <c r="S10" s="121" t="s">
        <v>230</v>
      </c>
      <c r="T10" s="120"/>
      <c r="U10" s="120"/>
      <c r="V10" s="120"/>
      <c r="W10" s="120"/>
      <c r="X10" s="34"/>
      <c r="Y10" s="34"/>
      <c r="Z10" s="34"/>
      <c r="AA10" s="34"/>
      <c r="AB10" s="34"/>
      <c r="AC10" s="34"/>
      <c r="AD10" s="34"/>
      <c r="AE10" s="34"/>
      <c r="AF10" s="34"/>
      <c r="AH10" s="50" t="s">
        <v>229</v>
      </c>
      <c r="AI10" s="114" t="s">
        <v>230</v>
      </c>
      <c r="AJ10" s="115"/>
      <c r="AK10" s="115"/>
      <c r="AL10" s="115"/>
      <c r="AM10" s="115"/>
      <c r="AN10" s="49"/>
      <c r="AO10" s="49"/>
      <c r="AP10" s="49"/>
      <c r="AQ10" s="49"/>
      <c r="AR10" s="49"/>
      <c r="AS10" s="49"/>
      <c r="AT10" s="49"/>
      <c r="AU10" s="49"/>
      <c r="AV10" s="49"/>
      <c r="AX10" s="50" t="s">
        <v>229</v>
      </c>
      <c r="AY10" s="114" t="s">
        <v>230</v>
      </c>
      <c r="AZ10" s="115"/>
      <c r="BA10" s="115"/>
      <c r="BB10" s="115"/>
      <c r="BC10" s="115"/>
      <c r="BD10" s="49"/>
      <c r="BE10" s="49"/>
      <c r="BF10" s="49"/>
      <c r="BG10" s="49"/>
      <c r="BH10" s="49"/>
      <c r="BI10" s="49"/>
      <c r="BJ10" s="49"/>
      <c r="BK10" s="49"/>
      <c r="BL10" s="49"/>
      <c r="BN10" s="50" t="s">
        <v>229</v>
      </c>
      <c r="BO10" s="114" t="s">
        <v>240</v>
      </c>
      <c r="BP10" s="115"/>
      <c r="BQ10" s="115"/>
      <c r="BR10" s="115"/>
      <c r="BS10" s="115"/>
      <c r="BT10" s="49"/>
      <c r="BU10" s="49"/>
      <c r="BV10" s="49"/>
      <c r="BW10" s="49"/>
      <c r="BX10" s="49"/>
      <c r="BY10" s="49"/>
      <c r="BZ10" s="49"/>
      <c r="CA10" s="49"/>
      <c r="CB10" s="49"/>
      <c r="CD10" s="50" t="s">
        <v>229</v>
      </c>
      <c r="CE10" s="114" t="s">
        <v>230</v>
      </c>
      <c r="CF10" s="115"/>
      <c r="CG10" s="115"/>
      <c r="CH10" s="115"/>
      <c r="CI10" s="115"/>
      <c r="CJ10" s="49"/>
      <c r="CK10" s="49"/>
      <c r="CL10" s="49"/>
      <c r="CM10" s="49"/>
      <c r="CN10" s="49"/>
      <c r="CO10" s="49"/>
      <c r="CP10" s="49"/>
      <c r="CQ10" s="49"/>
      <c r="CR10" s="49"/>
      <c r="CT10" s="50" t="s">
        <v>229</v>
      </c>
      <c r="CU10" s="114" t="s">
        <v>235</v>
      </c>
      <c r="CV10" s="115"/>
      <c r="CW10" s="115"/>
      <c r="CX10" s="115"/>
      <c r="CY10" s="115"/>
      <c r="CZ10" s="49"/>
      <c r="DA10" s="49"/>
      <c r="DB10" s="49"/>
      <c r="DC10" s="49"/>
      <c r="DD10" s="49"/>
      <c r="DE10" s="49"/>
      <c r="DF10" s="49"/>
      <c r="DG10" s="49"/>
      <c r="DH10" s="49"/>
      <c r="DJ10" s="50" t="s">
        <v>229</v>
      </c>
      <c r="DK10" s="114" t="s">
        <v>235</v>
      </c>
      <c r="DL10" s="115"/>
      <c r="DM10" s="115"/>
      <c r="DN10" s="115"/>
      <c r="DO10" s="115"/>
      <c r="DP10" s="49"/>
      <c r="DQ10" s="49"/>
      <c r="DR10" s="49"/>
      <c r="DS10" s="49"/>
      <c r="DT10" s="49"/>
      <c r="DU10" s="49"/>
      <c r="DV10" s="49"/>
      <c r="DW10" s="49"/>
      <c r="DX10" s="49"/>
      <c r="DZ10" s="50" t="s">
        <v>229</v>
      </c>
      <c r="EA10" s="114" t="s">
        <v>230</v>
      </c>
      <c r="EB10" s="115"/>
      <c r="EC10" s="115"/>
      <c r="ED10" s="115"/>
      <c r="EE10" s="115"/>
      <c r="EF10" s="49"/>
      <c r="EG10" s="49"/>
      <c r="EH10" s="49"/>
      <c r="EI10" s="49"/>
      <c r="EJ10" s="49"/>
      <c r="EK10" s="49"/>
      <c r="EL10" s="49"/>
      <c r="EM10" s="49"/>
      <c r="EN10" s="49"/>
      <c r="EP10" s="50" t="s">
        <v>229</v>
      </c>
      <c r="EQ10" s="114" t="s">
        <v>240</v>
      </c>
      <c r="ER10" s="115"/>
      <c r="ES10" s="115"/>
      <c r="ET10" s="115"/>
      <c r="EU10" s="115"/>
      <c r="EV10" s="49"/>
      <c r="EW10" s="49"/>
      <c r="EX10" s="49"/>
      <c r="EY10" s="49"/>
      <c r="EZ10" s="49"/>
      <c r="FA10" s="49"/>
      <c r="FB10" s="49"/>
      <c r="FC10" s="49"/>
      <c r="FD10" s="49"/>
    </row>
    <row r="12" spans="2:160" ht="16.5" thickBot="1" x14ac:dyDescent="0.3">
      <c r="B12" s="51" t="s">
        <v>2</v>
      </c>
      <c r="C12" s="51" t="s">
        <v>37</v>
      </c>
      <c r="D12" s="51" t="s">
        <v>38</v>
      </c>
      <c r="E12" s="51" t="s">
        <v>39</v>
      </c>
      <c r="F12" s="51" t="s">
        <v>40</v>
      </c>
      <c r="G12" s="51" t="s">
        <v>41</v>
      </c>
      <c r="H12" s="51" t="s">
        <v>42</v>
      </c>
      <c r="I12" s="51" t="s">
        <v>43</v>
      </c>
      <c r="J12" s="51" t="s">
        <v>44</v>
      </c>
      <c r="K12" s="51" t="s">
        <v>45</v>
      </c>
      <c r="L12" s="51" t="s">
        <v>46</v>
      </c>
      <c r="M12" s="51" t="s">
        <v>47</v>
      </c>
      <c r="N12" s="51" t="s">
        <v>48</v>
      </c>
      <c r="O12" s="51" t="s">
        <v>49</v>
      </c>
      <c r="P12" s="51" t="s">
        <v>50</v>
      </c>
      <c r="R12" s="36" t="s">
        <v>2</v>
      </c>
      <c r="S12" s="36" t="s">
        <v>37</v>
      </c>
      <c r="T12" s="36" t="s">
        <v>38</v>
      </c>
      <c r="U12" s="36" t="s">
        <v>39</v>
      </c>
      <c r="V12" s="36" t="s">
        <v>40</v>
      </c>
      <c r="W12" s="36" t="s">
        <v>41</v>
      </c>
      <c r="X12" s="36" t="s">
        <v>42</v>
      </c>
      <c r="Y12" s="36" t="s">
        <v>43</v>
      </c>
      <c r="Z12" s="36" t="s">
        <v>44</v>
      </c>
      <c r="AA12" s="36" t="s">
        <v>45</v>
      </c>
      <c r="AB12" s="36" t="s">
        <v>46</v>
      </c>
      <c r="AC12" s="36" t="s">
        <v>47</v>
      </c>
      <c r="AD12" s="36" t="s">
        <v>48</v>
      </c>
      <c r="AE12" s="36" t="s">
        <v>49</v>
      </c>
      <c r="AF12" s="36" t="s">
        <v>50</v>
      </c>
      <c r="AH12" s="51" t="s">
        <v>2</v>
      </c>
      <c r="AI12" s="51" t="s">
        <v>37</v>
      </c>
      <c r="AJ12" s="51" t="s">
        <v>38</v>
      </c>
      <c r="AK12" s="51" t="s">
        <v>39</v>
      </c>
      <c r="AL12" s="51" t="s">
        <v>40</v>
      </c>
      <c r="AM12" s="51" t="s">
        <v>41</v>
      </c>
      <c r="AN12" s="51" t="s">
        <v>42</v>
      </c>
      <c r="AO12" s="51" t="s">
        <v>43</v>
      </c>
      <c r="AP12" s="51" t="s">
        <v>44</v>
      </c>
      <c r="AQ12" s="51" t="s">
        <v>45</v>
      </c>
      <c r="AR12" s="51" t="s">
        <v>46</v>
      </c>
      <c r="AS12" s="51" t="s">
        <v>47</v>
      </c>
      <c r="AT12" s="51" t="s">
        <v>48</v>
      </c>
      <c r="AU12" s="51" t="s">
        <v>49</v>
      </c>
      <c r="AV12" s="51" t="s">
        <v>50</v>
      </c>
      <c r="AX12" s="51" t="s">
        <v>2</v>
      </c>
      <c r="AY12" s="51" t="s">
        <v>37</v>
      </c>
      <c r="AZ12" s="51" t="s">
        <v>38</v>
      </c>
      <c r="BA12" s="51" t="s">
        <v>39</v>
      </c>
      <c r="BB12" s="51" t="s">
        <v>40</v>
      </c>
      <c r="BC12" s="51" t="s">
        <v>41</v>
      </c>
      <c r="BD12" s="51" t="s">
        <v>42</v>
      </c>
      <c r="BE12" s="51" t="s">
        <v>43</v>
      </c>
      <c r="BF12" s="51" t="s">
        <v>44</v>
      </c>
      <c r="BG12" s="51" t="s">
        <v>45</v>
      </c>
      <c r="BH12" s="51" t="s">
        <v>46</v>
      </c>
      <c r="BI12" s="51" t="s">
        <v>47</v>
      </c>
      <c r="BJ12" s="51" t="s">
        <v>48</v>
      </c>
      <c r="BK12" s="51" t="s">
        <v>49</v>
      </c>
      <c r="BL12" s="51" t="s">
        <v>50</v>
      </c>
      <c r="BN12" s="51" t="s">
        <v>2</v>
      </c>
      <c r="BO12" s="51" t="s">
        <v>37</v>
      </c>
      <c r="BP12" s="51" t="s">
        <v>38</v>
      </c>
      <c r="BQ12" s="51" t="s">
        <v>39</v>
      </c>
      <c r="BR12" s="51" t="s">
        <v>40</v>
      </c>
      <c r="BS12" s="51" t="s">
        <v>41</v>
      </c>
      <c r="BT12" s="51" t="s">
        <v>42</v>
      </c>
      <c r="BU12" s="51" t="s">
        <v>43</v>
      </c>
      <c r="BV12" s="51" t="s">
        <v>44</v>
      </c>
      <c r="BW12" s="51" t="s">
        <v>45</v>
      </c>
      <c r="BX12" s="51" t="s">
        <v>46</v>
      </c>
      <c r="BY12" s="51" t="s">
        <v>47</v>
      </c>
      <c r="BZ12" s="51" t="s">
        <v>48</v>
      </c>
      <c r="CA12" s="51" t="s">
        <v>49</v>
      </c>
      <c r="CB12" s="51" t="s">
        <v>50</v>
      </c>
      <c r="CD12" s="51" t="s">
        <v>2</v>
      </c>
      <c r="CE12" s="51" t="s">
        <v>37</v>
      </c>
      <c r="CF12" s="51" t="s">
        <v>38</v>
      </c>
      <c r="CG12" s="51" t="s">
        <v>39</v>
      </c>
      <c r="CH12" s="51" t="s">
        <v>40</v>
      </c>
      <c r="CI12" s="51" t="s">
        <v>41</v>
      </c>
      <c r="CJ12" s="51" t="s">
        <v>42</v>
      </c>
      <c r="CK12" s="51" t="s">
        <v>43</v>
      </c>
      <c r="CL12" s="51" t="s">
        <v>44</v>
      </c>
      <c r="CM12" s="51" t="s">
        <v>45</v>
      </c>
      <c r="CN12" s="51" t="s">
        <v>46</v>
      </c>
      <c r="CO12" s="51" t="s">
        <v>47</v>
      </c>
      <c r="CP12" s="51" t="s">
        <v>48</v>
      </c>
      <c r="CQ12" s="51" t="s">
        <v>49</v>
      </c>
      <c r="CR12" s="51" t="s">
        <v>50</v>
      </c>
      <c r="CT12" s="51" t="s">
        <v>2</v>
      </c>
      <c r="CU12" s="51" t="s">
        <v>37</v>
      </c>
      <c r="CV12" s="51" t="s">
        <v>38</v>
      </c>
      <c r="CW12" s="51" t="s">
        <v>39</v>
      </c>
      <c r="CX12" s="51" t="s">
        <v>40</v>
      </c>
      <c r="CY12" s="51" t="s">
        <v>41</v>
      </c>
      <c r="CZ12" s="51" t="s">
        <v>42</v>
      </c>
      <c r="DA12" s="51" t="s">
        <v>43</v>
      </c>
      <c r="DB12" s="51" t="s">
        <v>44</v>
      </c>
      <c r="DC12" s="51" t="s">
        <v>45</v>
      </c>
      <c r="DD12" s="51" t="s">
        <v>46</v>
      </c>
      <c r="DE12" s="51" t="s">
        <v>47</v>
      </c>
      <c r="DF12" s="51" t="s">
        <v>48</v>
      </c>
      <c r="DG12" s="51" t="s">
        <v>49</v>
      </c>
      <c r="DH12" s="51" t="s">
        <v>50</v>
      </c>
      <c r="DJ12" s="51" t="s">
        <v>2</v>
      </c>
      <c r="DK12" s="51" t="s">
        <v>37</v>
      </c>
      <c r="DL12" s="51" t="s">
        <v>38</v>
      </c>
      <c r="DM12" s="51" t="s">
        <v>39</v>
      </c>
      <c r="DN12" s="51" t="s">
        <v>40</v>
      </c>
      <c r="DO12" s="51" t="s">
        <v>41</v>
      </c>
      <c r="DP12" s="51" t="s">
        <v>42</v>
      </c>
      <c r="DQ12" s="51" t="s">
        <v>43</v>
      </c>
      <c r="DR12" s="51" t="s">
        <v>44</v>
      </c>
      <c r="DS12" s="51" t="s">
        <v>45</v>
      </c>
      <c r="DT12" s="51" t="s">
        <v>46</v>
      </c>
      <c r="DU12" s="51" t="s">
        <v>47</v>
      </c>
      <c r="DV12" s="51" t="s">
        <v>48</v>
      </c>
      <c r="DW12" s="51" t="s">
        <v>49</v>
      </c>
      <c r="DX12" s="51" t="s">
        <v>50</v>
      </c>
      <c r="DZ12" s="51" t="s">
        <v>2</v>
      </c>
      <c r="EA12" s="51" t="s">
        <v>37</v>
      </c>
      <c r="EB12" s="51" t="s">
        <v>38</v>
      </c>
      <c r="EC12" s="51" t="s">
        <v>39</v>
      </c>
      <c r="ED12" s="51" t="s">
        <v>40</v>
      </c>
      <c r="EE12" s="51" t="s">
        <v>41</v>
      </c>
      <c r="EF12" s="51" t="s">
        <v>42</v>
      </c>
      <c r="EG12" s="51" t="s">
        <v>43</v>
      </c>
      <c r="EH12" s="51" t="s">
        <v>44</v>
      </c>
      <c r="EI12" s="51" t="s">
        <v>45</v>
      </c>
      <c r="EJ12" s="51" t="s">
        <v>46</v>
      </c>
      <c r="EK12" s="51" t="s">
        <v>47</v>
      </c>
      <c r="EL12" s="51" t="s">
        <v>48</v>
      </c>
      <c r="EM12" s="51" t="s">
        <v>49</v>
      </c>
      <c r="EN12" s="51" t="s">
        <v>50</v>
      </c>
      <c r="EP12" s="51" t="s">
        <v>2</v>
      </c>
      <c r="EQ12" s="51" t="s">
        <v>37</v>
      </c>
      <c r="ER12" s="51" t="s">
        <v>38</v>
      </c>
      <c r="ES12" s="51" t="s">
        <v>39</v>
      </c>
      <c r="ET12" s="51" t="s">
        <v>40</v>
      </c>
      <c r="EU12" s="51" t="s">
        <v>41</v>
      </c>
      <c r="EV12" s="51" t="s">
        <v>42</v>
      </c>
      <c r="EW12" s="51" t="s">
        <v>43</v>
      </c>
      <c r="EX12" s="51" t="s">
        <v>44</v>
      </c>
      <c r="EY12" s="51" t="s">
        <v>45</v>
      </c>
      <c r="EZ12" s="51" t="s">
        <v>46</v>
      </c>
      <c r="FA12" s="51" t="s">
        <v>47</v>
      </c>
      <c r="FB12" s="51" t="s">
        <v>48</v>
      </c>
      <c r="FC12" s="51" t="s">
        <v>49</v>
      </c>
      <c r="FD12" s="51" t="s">
        <v>50</v>
      </c>
    </row>
    <row r="13" spans="2:160" ht="16.5" thickTop="1" x14ac:dyDescent="0.25">
      <c r="B13" s="52">
        <v>1995</v>
      </c>
      <c r="C13" s="53">
        <v>204</v>
      </c>
      <c r="D13" s="53">
        <v>206.1</v>
      </c>
      <c r="E13" s="53">
        <v>206.7</v>
      </c>
      <c r="F13" s="53">
        <v>207.4</v>
      </c>
      <c r="G13" s="53">
        <v>208.3</v>
      </c>
      <c r="H13" s="53">
        <v>208.7</v>
      </c>
      <c r="I13" s="53">
        <v>209.8</v>
      </c>
      <c r="J13" s="53">
        <v>210.1</v>
      </c>
      <c r="K13" s="53">
        <v>210.3</v>
      </c>
      <c r="L13" s="53">
        <v>210.9</v>
      </c>
      <c r="M13" s="53">
        <v>211.5</v>
      </c>
      <c r="N13" s="53">
        <v>212.1</v>
      </c>
      <c r="O13" s="49"/>
      <c r="P13" s="49"/>
      <c r="R13" s="33">
        <v>1995</v>
      </c>
      <c r="S13" s="37">
        <v>143.6</v>
      </c>
      <c r="T13" s="37">
        <v>144</v>
      </c>
      <c r="U13" s="37">
        <v>144</v>
      </c>
      <c r="V13" s="37">
        <v>144.6</v>
      </c>
      <c r="W13" s="37">
        <v>144.69999999999999</v>
      </c>
      <c r="X13" s="37">
        <v>144.69999999999999</v>
      </c>
      <c r="Y13" s="37">
        <v>142.9</v>
      </c>
      <c r="Z13" s="37">
        <v>143.5</v>
      </c>
      <c r="AA13" s="37">
        <v>143.4</v>
      </c>
      <c r="AB13" s="37">
        <v>143.6</v>
      </c>
      <c r="AC13" s="37">
        <v>143.69999999999999</v>
      </c>
      <c r="AD13" s="37">
        <v>144.1</v>
      </c>
      <c r="AE13" s="34"/>
      <c r="AF13" s="34"/>
      <c r="AH13" s="52">
        <v>1995</v>
      </c>
      <c r="AI13" s="53">
        <v>219.8</v>
      </c>
      <c r="AJ13" s="53">
        <v>221.3</v>
      </c>
      <c r="AK13" s="53">
        <v>221.8</v>
      </c>
      <c r="AL13" s="53">
        <v>222.4</v>
      </c>
      <c r="AM13" s="53">
        <v>223</v>
      </c>
      <c r="AN13" s="53">
        <v>223.5</v>
      </c>
      <c r="AO13" s="53">
        <v>224.6</v>
      </c>
      <c r="AP13" s="53">
        <v>225.6</v>
      </c>
      <c r="AQ13" s="53">
        <v>226.1</v>
      </c>
      <c r="AR13" s="53">
        <v>226.9</v>
      </c>
      <c r="AS13" s="53">
        <v>227.4</v>
      </c>
      <c r="AT13" s="53">
        <v>227.8</v>
      </c>
      <c r="AU13" s="53">
        <v>222</v>
      </c>
      <c r="AV13" s="53">
        <v>226.4</v>
      </c>
      <c r="AX13" s="52">
        <v>1995</v>
      </c>
      <c r="AY13" s="53">
        <v>233</v>
      </c>
      <c r="AZ13" s="53">
        <v>233.6</v>
      </c>
      <c r="BA13" s="53">
        <v>233.6</v>
      </c>
      <c r="BB13" s="53">
        <v>233.5</v>
      </c>
      <c r="BC13" s="53">
        <v>233.9</v>
      </c>
      <c r="BD13" s="53">
        <v>234.4</v>
      </c>
      <c r="BE13" s="53">
        <v>235</v>
      </c>
      <c r="BF13" s="53">
        <v>235.4</v>
      </c>
      <c r="BG13" s="53">
        <v>235.7</v>
      </c>
      <c r="BH13" s="53">
        <v>236.7</v>
      </c>
      <c r="BI13" s="53">
        <v>237.7</v>
      </c>
      <c r="BJ13" s="53">
        <v>237.8</v>
      </c>
      <c r="BK13" s="49"/>
      <c r="BL13" s="49"/>
      <c r="BN13" s="52">
        <v>2009</v>
      </c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54">
        <v>100</v>
      </c>
      <c r="CA13" s="49"/>
      <c r="CB13" s="49"/>
      <c r="CD13" s="52">
        <v>1995</v>
      </c>
      <c r="CE13" s="53">
        <v>150.30000000000001</v>
      </c>
      <c r="CF13" s="53">
        <v>150.9</v>
      </c>
      <c r="CG13" s="53">
        <v>151.4</v>
      </c>
      <c r="CH13" s="53">
        <v>151.9</v>
      </c>
      <c r="CI13" s="53">
        <v>152.19999999999999</v>
      </c>
      <c r="CJ13" s="53">
        <v>152.5</v>
      </c>
      <c r="CK13" s="53">
        <v>152.5</v>
      </c>
      <c r="CL13" s="53">
        <v>152.9</v>
      </c>
      <c r="CM13" s="53">
        <v>153.19999999999999</v>
      </c>
      <c r="CN13" s="53">
        <v>153.69999999999999</v>
      </c>
      <c r="CO13" s="53">
        <v>153.6</v>
      </c>
      <c r="CP13" s="53">
        <v>153.5</v>
      </c>
      <c r="CQ13" s="53">
        <v>151.5</v>
      </c>
      <c r="CR13" s="53">
        <v>153.19999999999999</v>
      </c>
      <c r="CT13" s="52">
        <v>1996</v>
      </c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53">
        <v>100</v>
      </c>
      <c r="DG13" s="49"/>
      <c r="DH13" s="49"/>
      <c r="DJ13" s="52">
        <v>1996</v>
      </c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53">
        <v>100</v>
      </c>
      <c r="DW13" s="49"/>
      <c r="DX13" s="49"/>
      <c r="DZ13" s="52">
        <v>1995</v>
      </c>
      <c r="EA13" s="53">
        <v>200.9</v>
      </c>
      <c r="EB13" s="53">
        <v>202</v>
      </c>
      <c r="EC13" s="53">
        <v>201.7</v>
      </c>
      <c r="ED13" s="53">
        <v>202.1</v>
      </c>
      <c r="EE13" s="53">
        <v>202.4</v>
      </c>
      <c r="EF13" s="53">
        <v>202.5</v>
      </c>
      <c r="EG13" s="53">
        <v>204</v>
      </c>
      <c r="EH13" s="53">
        <v>206</v>
      </c>
      <c r="EI13" s="53">
        <v>206.5</v>
      </c>
      <c r="EJ13" s="53">
        <v>208.1</v>
      </c>
      <c r="EK13" s="53">
        <v>209.3</v>
      </c>
      <c r="EL13" s="53">
        <v>209.2</v>
      </c>
      <c r="EM13" s="49"/>
      <c r="EN13" s="49"/>
      <c r="EP13" s="52">
        <v>2009</v>
      </c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54">
        <v>100</v>
      </c>
      <c r="FC13" s="49"/>
      <c r="FD13" s="49"/>
    </row>
    <row r="14" spans="2:160" x14ac:dyDescent="0.25">
      <c r="B14" s="52">
        <v>1996</v>
      </c>
      <c r="C14" s="53">
        <v>213.4</v>
      </c>
      <c r="D14" s="53">
        <v>214.5</v>
      </c>
      <c r="E14" s="53">
        <v>215</v>
      </c>
      <c r="F14" s="53">
        <v>215.4</v>
      </c>
      <c r="G14" s="53">
        <v>215.9</v>
      </c>
      <c r="H14" s="53">
        <v>216</v>
      </c>
      <c r="I14" s="53">
        <v>217</v>
      </c>
      <c r="J14" s="53">
        <v>217</v>
      </c>
      <c r="K14" s="53">
        <v>217.3</v>
      </c>
      <c r="L14" s="53">
        <v>217.9</v>
      </c>
      <c r="M14" s="53">
        <v>218.6</v>
      </c>
      <c r="N14" s="53">
        <v>218.5</v>
      </c>
      <c r="O14" s="49"/>
      <c r="P14" s="49"/>
      <c r="R14" s="33">
        <v>1996</v>
      </c>
      <c r="S14" s="37">
        <v>144.69999999999999</v>
      </c>
      <c r="T14" s="37">
        <v>145.19999999999999</v>
      </c>
      <c r="U14" s="37">
        <v>145.5</v>
      </c>
      <c r="V14" s="37">
        <v>145.80000000000001</v>
      </c>
      <c r="W14" s="37">
        <v>146.4</v>
      </c>
      <c r="X14" s="37">
        <v>146.69999999999999</v>
      </c>
      <c r="Y14" s="37">
        <v>146.6</v>
      </c>
      <c r="Z14" s="37">
        <v>146.69999999999999</v>
      </c>
      <c r="AA14" s="37">
        <v>146.9</v>
      </c>
      <c r="AB14" s="37">
        <v>147.4</v>
      </c>
      <c r="AC14" s="37">
        <v>148.30000000000001</v>
      </c>
      <c r="AD14" s="37">
        <v>148.4</v>
      </c>
      <c r="AE14" s="34"/>
      <c r="AF14" s="34"/>
      <c r="AH14" s="52">
        <v>1996</v>
      </c>
      <c r="AI14" s="53">
        <v>229.3</v>
      </c>
      <c r="AJ14" s="53">
        <v>230.3</v>
      </c>
      <c r="AK14" s="53">
        <v>230.7</v>
      </c>
      <c r="AL14" s="53">
        <v>231.1</v>
      </c>
      <c r="AM14" s="53">
        <v>231.6</v>
      </c>
      <c r="AN14" s="53">
        <v>231.9</v>
      </c>
      <c r="AO14" s="53">
        <v>232.9</v>
      </c>
      <c r="AP14" s="53">
        <v>233.4</v>
      </c>
      <c r="AQ14" s="53">
        <v>233.6</v>
      </c>
      <c r="AR14" s="53">
        <v>234.2</v>
      </c>
      <c r="AS14" s="53">
        <v>234.9</v>
      </c>
      <c r="AT14" s="53">
        <v>235</v>
      </c>
      <c r="AU14" s="53">
        <v>230.8</v>
      </c>
      <c r="AV14" s="53">
        <v>234</v>
      </c>
      <c r="AX14" s="52">
        <v>1996</v>
      </c>
      <c r="AY14" s="53">
        <v>238.9</v>
      </c>
      <c r="AZ14" s="53">
        <v>240.2</v>
      </c>
      <c r="BA14" s="53">
        <v>241.1</v>
      </c>
      <c r="BB14" s="53">
        <v>242</v>
      </c>
      <c r="BC14" s="53">
        <v>242.1</v>
      </c>
      <c r="BD14" s="53">
        <v>242.9</v>
      </c>
      <c r="BE14" s="53">
        <v>243.3</v>
      </c>
      <c r="BF14" s="53">
        <v>243.9</v>
      </c>
      <c r="BG14" s="53">
        <v>243.9</v>
      </c>
      <c r="BH14" s="53">
        <v>245.5</v>
      </c>
      <c r="BI14" s="53">
        <v>245.1</v>
      </c>
      <c r="BJ14" s="53">
        <v>245.4</v>
      </c>
      <c r="BK14" s="49"/>
      <c r="BL14" s="49"/>
      <c r="BN14" s="52">
        <v>2010</v>
      </c>
      <c r="BO14" s="54">
        <v>99.849000000000004</v>
      </c>
      <c r="BP14" s="54">
        <v>100.31</v>
      </c>
      <c r="BQ14" s="54">
        <v>100.726</v>
      </c>
      <c r="BR14" s="54">
        <v>100.90900000000001</v>
      </c>
      <c r="BS14" s="54">
        <v>101.123</v>
      </c>
      <c r="BT14" s="54">
        <v>100.82299999999999</v>
      </c>
      <c r="BU14" s="54">
        <v>100.009</v>
      </c>
      <c r="BV14" s="54">
        <v>99.204999999999998</v>
      </c>
      <c r="BW14" s="54">
        <v>99.361000000000004</v>
      </c>
      <c r="BX14" s="54">
        <v>99.150999999999996</v>
      </c>
      <c r="BY14" s="54">
        <v>99.052999999999997</v>
      </c>
      <c r="BZ14" s="54">
        <v>98.974999999999994</v>
      </c>
      <c r="CA14" s="49"/>
      <c r="CB14" s="49"/>
      <c r="CD14" s="52">
        <v>1996</v>
      </c>
      <c r="CE14" s="53">
        <v>154.4</v>
      </c>
      <c r="CF14" s="53">
        <v>154.9</v>
      </c>
      <c r="CG14" s="53">
        <v>155.69999999999999</v>
      </c>
      <c r="CH14" s="53">
        <v>156.30000000000001</v>
      </c>
      <c r="CI14" s="53">
        <v>156.6</v>
      </c>
      <c r="CJ14" s="53">
        <v>156.69999999999999</v>
      </c>
      <c r="CK14" s="53">
        <v>157</v>
      </c>
      <c r="CL14" s="53">
        <v>157.30000000000001</v>
      </c>
      <c r="CM14" s="53">
        <v>157.80000000000001</v>
      </c>
      <c r="CN14" s="53">
        <v>158.30000000000001</v>
      </c>
      <c r="CO14" s="53">
        <v>158.6</v>
      </c>
      <c r="CP14" s="53">
        <v>158.6</v>
      </c>
      <c r="CQ14" s="53">
        <v>155.80000000000001</v>
      </c>
      <c r="CR14" s="53">
        <v>157.9</v>
      </c>
      <c r="CT14" s="52">
        <v>1997</v>
      </c>
      <c r="CU14" s="53">
        <v>100.8</v>
      </c>
      <c r="CV14" s="53">
        <v>101</v>
      </c>
      <c r="CW14" s="53">
        <v>101.1</v>
      </c>
      <c r="CX14" s="53">
        <v>101.2</v>
      </c>
      <c r="CY14" s="53">
        <v>101.3</v>
      </c>
      <c r="CZ14" s="53">
        <v>101.3</v>
      </c>
      <c r="DA14" s="53">
        <v>101.5</v>
      </c>
      <c r="DB14" s="53">
        <v>101.9</v>
      </c>
      <c r="DC14" s="53">
        <v>102</v>
      </c>
      <c r="DD14" s="53">
        <v>102.3</v>
      </c>
      <c r="DE14" s="53">
        <v>102.7</v>
      </c>
      <c r="DF14" s="53">
        <v>103.2</v>
      </c>
      <c r="DG14" s="49"/>
      <c r="DH14" s="49"/>
      <c r="DJ14" s="52">
        <v>1997</v>
      </c>
      <c r="DK14" s="53">
        <v>100.6</v>
      </c>
      <c r="DL14" s="53">
        <v>100.8</v>
      </c>
      <c r="DM14" s="53">
        <v>100.9</v>
      </c>
      <c r="DN14" s="53">
        <v>101</v>
      </c>
      <c r="DO14" s="53">
        <v>101</v>
      </c>
      <c r="DP14" s="53">
        <v>101</v>
      </c>
      <c r="DQ14" s="53">
        <v>101.3</v>
      </c>
      <c r="DR14" s="53">
        <v>101.5</v>
      </c>
      <c r="DS14" s="53">
        <v>101.6</v>
      </c>
      <c r="DT14" s="53">
        <v>101.7</v>
      </c>
      <c r="DU14" s="53">
        <v>102.1</v>
      </c>
      <c r="DV14" s="53">
        <v>102.5</v>
      </c>
      <c r="DW14" s="49"/>
      <c r="DX14" s="49"/>
      <c r="DZ14" s="52">
        <v>1996</v>
      </c>
      <c r="EA14" s="53">
        <v>211</v>
      </c>
      <c r="EB14" s="53">
        <v>211.7</v>
      </c>
      <c r="EC14" s="53">
        <v>212.3</v>
      </c>
      <c r="ED14" s="53">
        <v>212.9</v>
      </c>
      <c r="EE14" s="53">
        <v>213.6</v>
      </c>
      <c r="EF14" s="53">
        <v>215.1</v>
      </c>
      <c r="EG14" s="53">
        <v>216.3</v>
      </c>
      <c r="EH14" s="53">
        <v>216.7</v>
      </c>
      <c r="EI14" s="53">
        <v>216.6</v>
      </c>
      <c r="EJ14" s="53">
        <v>217.2</v>
      </c>
      <c r="EK14" s="53">
        <v>218</v>
      </c>
      <c r="EL14" s="53">
        <v>219.2</v>
      </c>
      <c r="EM14" s="49"/>
      <c r="EN14" s="49"/>
      <c r="EP14" s="52">
        <v>2010</v>
      </c>
      <c r="EQ14" s="54">
        <v>100.123</v>
      </c>
      <c r="ER14" s="54">
        <v>99.991</v>
      </c>
      <c r="ES14" s="54">
        <v>99.522000000000006</v>
      </c>
      <c r="ET14" s="54">
        <v>98.876999999999995</v>
      </c>
      <c r="EU14" s="54">
        <v>98.698999999999998</v>
      </c>
      <c r="EV14" s="54">
        <v>97.888000000000005</v>
      </c>
      <c r="EW14" s="54">
        <v>97.900999999999996</v>
      </c>
      <c r="EX14" s="54">
        <v>98.144999999999996</v>
      </c>
      <c r="EY14" s="54">
        <v>98.983999999999995</v>
      </c>
      <c r="EZ14" s="54">
        <v>99.081999999999994</v>
      </c>
      <c r="FA14" s="54">
        <v>99.77</v>
      </c>
      <c r="FB14" s="54">
        <v>99.944999999999993</v>
      </c>
      <c r="FC14" s="49"/>
      <c r="FD14" s="49"/>
    </row>
    <row r="15" spans="2:160" x14ac:dyDescent="0.25">
      <c r="B15" s="52">
        <v>1997</v>
      </c>
      <c r="C15" s="53">
        <v>219.8</v>
      </c>
      <c r="D15" s="53">
        <v>220.7</v>
      </c>
      <c r="E15" s="53">
        <v>221.9</v>
      </c>
      <c r="F15" s="53">
        <v>222.3</v>
      </c>
      <c r="G15" s="53">
        <v>222.9</v>
      </c>
      <c r="H15" s="53">
        <v>223.2</v>
      </c>
      <c r="I15" s="53">
        <v>223.5</v>
      </c>
      <c r="J15" s="53">
        <v>223.8</v>
      </c>
      <c r="K15" s="53">
        <v>223.8</v>
      </c>
      <c r="L15" s="53">
        <v>223.9</v>
      </c>
      <c r="M15" s="53">
        <v>224.1</v>
      </c>
      <c r="N15" s="53">
        <v>224.5</v>
      </c>
      <c r="O15" s="49"/>
      <c r="P15" s="49"/>
      <c r="R15" s="33">
        <v>1997</v>
      </c>
      <c r="S15" s="37">
        <v>149.1</v>
      </c>
      <c r="T15" s="37">
        <v>150.6</v>
      </c>
      <c r="U15" s="37">
        <v>151.19999999999999</v>
      </c>
      <c r="V15" s="37">
        <v>151.9</v>
      </c>
      <c r="W15" s="37">
        <v>152.1</v>
      </c>
      <c r="X15" s="37">
        <v>152.1</v>
      </c>
      <c r="Y15" s="37">
        <v>152.1</v>
      </c>
      <c r="Z15" s="37">
        <v>152.5</v>
      </c>
      <c r="AA15" s="37">
        <v>152.30000000000001</v>
      </c>
      <c r="AB15" s="37">
        <v>152.19999999999999</v>
      </c>
      <c r="AC15" s="37">
        <v>153</v>
      </c>
      <c r="AD15" s="37">
        <v>153</v>
      </c>
      <c r="AE15" s="34"/>
      <c r="AF15" s="34"/>
      <c r="AH15" s="52">
        <v>1997</v>
      </c>
      <c r="AI15" s="53">
        <v>236.3</v>
      </c>
      <c r="AJ15" s="53">
        <v>237.1</v>
      </c>
      <c r="AK15" s="53">
        <v>237.7</v>
      </c>
      <c r="AL15" s="53">
        <v>238.1</v>
      </c>
      <c r="AM15" s="53">
        <v>238.5</v>
      </c>
      <c r="AN15" s="53">
        <v>238.7</v>
      </c>
      <c r="AO15" s="53">
        <v>239.2</v>
      </c>
      <c r="AP15" s="53">
        <v>239.8</v>
      </c>
      <c r="AQ15" s="53">
        <v>240</v>
      </c>
      <c r="AR15" s="53">
        <v>240.5</v>
      </c>
      <c r="AS15" s="53">
        <v>241.2</v>
      </c>
      <c r="AT15" s="53">
        <v>241.8</v>
      </c>
      <c r="AU15" s="53">
        <v>237.7</v>
      </c>
      <c r="AV15" s="53">
        <v>240.4</v>
      </c>
      <c r="AX15" s="52">
        <v>1997</v>
      </c>
      <c r="AY15" s="53">
        <v>246.5</v>
      </c>
      <c r="AZ15" s="53">
        <v>247.6</v>
      </c>
      <c r="BA15" s="53">
        <v>248.6</v>
      </c>
      <c r="BB15" s="53">
        <v>249.2</v>
      </c>
      <c r="BC15" s="53">
        <v>249.9</v>
      </c>
      <c r="BD15" s="53">
        <v>250.4</v>
      </c>
      <c r="BE15" s="53">
        <v>250</v>
      </c>
      <c r="BF15" s="53">
        <v>249.4</v>
      </c>
      <c r="BG15" s="53">
        <v>249.3</v>
      </c>
      <c r="BH15" s="53">
        <v>249</v>
      </c>
      <c r="BI15" s="53">
        <v>249.7</v>
      </c>
      <c r="BJ15" s="53">
        <v>251.5</v>
      </c>
      <c r="BK15" s="49"/>
      <c r="BL15" s="49"/>
      <c r="BN15" s="52">
        <v>2011</v>
      </c>
      <c r="BO15" s="54">
        <v>98.417000000000002</v>
      </c>
      <c r="BP15" s="54">
        <v>98.290999999999997</v>
      </c>
      <c r="BQ15" s="54">
        <v>99.007000000000005</v>
      </c>
      <c r="BR15" s="54">
        <v>99.588999999999999</v>
      </c>
      <c r="BS15" s="54">
        <v>99.04</v>
      </c>
      <c r="BT15" s="54">
        <v>98.641000000000005</v>
      </c>
      <c r="BU15" s="54">
        <v>98.421000000000006</v>
      </c>
      <c r="BV15" s="54">
        <v>97.894999999999996</v>
      </c>
      <c r="BW15" s="54">
        <v>97.92</v>
      </c>
      <c r="BX15" s="54">
        <v>98.210999999999999</v>
      </c>
      <c r="BY15" s="54">
        <v>98.941999999999993</v>
      </c>
      <c r="BZ15" s="54">
        <v>99.088999999999999</v>
      </c>
      <c r="CA15" s="49"/>
      <c r="CB15" s="49"/>
      <c r="CD15" s="52">
        <v>1997</v>
      </c>
      <c r="CE15" s="53">
        <v>159.1</v>
      </c>
      <c r="CF15" s="53">
        <v>159.6</v>
      </c>
      <c r="CG15" s="53">
        <v>160</v>
      </c>
      <c r="CH15" s="53">
        <v>160.19999999999999</v>
      </c>
      <c r="CI15" s="53">
        <v>160.1</v>
      </c>
      <c r="CJ15" s="53">
        <v>160.30000000000001</v>
      </c>
      <c r="CK15" s="53">
        <v>160.5</v>
      </c>
      <c r="CL15" s="53">
        <v>160.80000000000001</v>
      </c>
      <c r="CM15" s="53">
        <v>161.19999999999999</v>
      </c>
      <c r="CN15" s="53">
        <v>161.6</v>
      </c>
      <c r="CO15" s="53">
        <v>161.5</v>
      </c>
      <c r="CP15" s="53">
        <v>161.30000000000001</v>
      </c>
      <c r="CQ15" s="53">
        <v>159.9</v>
      </c>
      <c r="CR15" s="53">
        <v>161.19999999999999</v>
      </c>
      <c r="CT15" s="52">
        <v>1998</v>
      </c>
      <c r="CU15" s="53">
        <v>103.5</v>
      </c>
      <c r="CV15" s="53">
        <v>104.1</v>
      </c>
      <c r="CW15" s="53">
        <v>104.1</v>
      </c>
      <c r="CX15" s="53">
        <v>104.3</v>
      </c>
      <c r="CY15" s="53">
        <v>104.2</v>
      </c>
      <c r="CZ15" s="53">
        <v>104.3</v>
      </c>
      <c r="DA15" s="53">
        <v>105.2</v>
      </c>
      <c r="DB15" s="53">
        <v>105.7</v>
      </c>
      <c r="DC15" s="53">
        <v>105.5</v>
      </c>
      <c r="DD15" s="53">
        <v>105.9</v>
      </c>
      <c r="DE15" s="53">
        <v>106.2</v>
      </c>
      <c r="DF15" s="53">
        <v>106.4</v>
      </c>
      <c r="DG15" s="49"/>
      <c r="DH15" s="49"/>
      <c r="DJ15" s="52">
        <v>1998</v>
      </c>
      <c r="DK15" s="53">
        <v>102.8</v>
      </c>
      <c r="DL15" s="53">
        <v>103.3</v>
      </c>
      <c r="DM15" s="53">
        <v>103.2</v>
      </c>
      <c r="DN15" s="53">
        <v>103.3</v>
      </c>
      <c r="DO15" s="53">
        <v>103.2</v>
      </c>
      <c r="DP15" s="53">
        <v>103.4</v>
      </c>
      <c r="DQ15" s="53">
        <v>104.2</v>
      </c>
      <c r="DR15" s="53">
        <v>104.6</v>
      </c>
      <c r="DS15" s="53">
        <v>104.5</v>
      </c>
      <c r="DT15" s="53">
        <v>104.7</v>
      </c>
      <c r="DU15" s="53">
        <v>105</v>
      </c>
      <c r="DV15" s="53">
        <v>105.2</v>
      </c>
      <c r="DW15" s="49"/>
      <c r="DX15" s="49"/>
      <c r="DZ15" s="52">
        <v>1997</v>
      </c>
      <c r="EA15" s="53">
        <v>221.5</v>
      </c>
      <c r="EB15" s="53">
        <v>223.2</v>
      </c>
      <c r="EC15" s="53">
        <v>223.1</v>
      </c>
      <c r="ED15" s="53">
        <v>223.3</v>
      </c>
      <c r="EE15" s="53">
        <v>223.6</v>
      </c>
      <c r="EF15" s="53">
        <v>224.1</v>
      </c>
      <c r="EG15" s="53">
        <v>224.6</v>
      </c>
      <c r="EH15" s="53">
        <v>225.6</v>
      </c>
      <c r="EI15" s="53">
        <v>226.1</v>
      </c>
      <c r="EJ15" s="53">
        <v>227.2</v>
      </c>
      <c r="EK15" s="53">
        <v>227.7</v>
      </c>
      <c r="EL15" s="53">
        <v>228.3</v>
      </c>
      <c r="EM15" s="49"/>
      <c r="EN15" s="49"/>
      <c r="EP15" s="52">
        <v>2011</v>
      </c>
      <c r="EQ15" s="54">
        <v>99.994</v>
      </c>
      <c r="ER15" s="54">
        <v>99.57</v>
      </c>
      <c r="ES15" s="54">
        <v>99.561999999999998</v>
      </c>
      <c r="ET15" s="54">
        <v>99.382000000000005</v>
      </c>
      <c r="EU15" s="54">
        <v>98.965000000000003</v>
      </c>
      <c r="EV15" s="54">
        <v>100.194</v>
      </c>
      <c r="EW15" s="54">
        <v>98.188999999999993</v>
      </c>
      <c r="EX15" s="54">
        <v>97.253</v>
      </c>
      <c r="EY15" s="54">
        <v>98.816999999999993</v>
      </c>
      <c r="EZ15" s="54">
        <v>100.383</v>
      </c>
      <c r="FA15" s="54">
        <v>100.262</v>
      </c>
      <c r="FB15" s="54">
        <v>99.593999999999994</v>
      </c>
      <c r="FC15" s="49"/>
      <c r="FD15" s="49"/>
    </row>
    <row r="16" spans="2:160" x14ac:dyDescent="0.25">
      <c r="B16" s="52">
        <v>1998</v>
      </c>
      <c r="C16" s="53">
        <v>225.3</v>
      </c>
      <c r="D16" s="53">
        <v>226.9</v>
      </c>
      <c r="E16" s="53">
        <v>227.6</v>
      </c>
      <c r="F16" s="53">
        <v>228.1</v>
      </c>
      <c r="G16" s="53">
        <v>228.6</v>
      </c>
      <c r="H16" s="53">
        <v>229.8</v>
      </c>
      <c r="I16" s="53">
        <v>230.1</v>
      </c>
      <c r="J16" s="53">
        <v>230.9</v>
      </c>
      <c r="K16" s="53">
        <v>231.4</v>
      </c>
      <c r="L16" s="53">
        <v>231.4</v>
      </c>
      <c r="M16" s="53">
        <v>231.7</v>
      </c>
      <c r="N16" s="53">
        <v>231.9</v>
      </c>
      <c r="O16" s="49"/>
      <c r="P16" s="49"/>
      <c r="R16" s="33">
        <v>1998</v>
      </c>
      <c r="S16" s="37">
        <v>154.1</v>
      </c>
      <c r="T16" s="37">
        <v>154.4</v>
      </c>
      <c r="U16" s="37">
        <v>155</v>
      </c>
      <c r="V16" s="37">
        <v>155.5</v>
      </c>
      <c r="W16" s="37">
        <v>155.80000000000001</v>
      </c>
      <c r="X16" s="37">
        <v>155.80000000000001</v>
      </c>
      <c r="Y16" s="37">
        <v>155.4</v>
      </c>
      <c r="Z16" s="37">
        <v>154.9</v>
      </c>
      <c r="AA16" s="37">
        <v>155.1</v>
      </c>
      <c r="AB16" s="37">
        <v>155.5</v>
      </c>
      <c r="AC16" s="37">
        <v>156.4</v>
      </c>
      <c r="AD16" s="37">
        <v>156.69999999999999</v>
      </c>
      <c r="AE16" s="34"/>
      <c r="AF16" s="34"/>
      <c r="AH16" s="52">
        <v>1998</v>
      </c>
      <c r="AI16" s="53">
        <v>242.9</v>
      </c>
      <c r="AJ16" s="53">
        <v>244.2</v>
      </c>
      <c r="AK16" s="53">
        <v>244.8</v>
      </c>
      <c r="AL16" s="53">
        <v>245.4</v>
      </c>
      <c r="AM16" s="53">
        <v>245.9</v>
      </c>
      <c r="AN16" s="53">
        <v>246.5</v>
      </c>
      <c r="AO16" s="53">
        <v>247.4</v>
      </c>
      <c r="AP16" s="53">
        <v>248.2</v>
      </c>
      <c r="AQ16" s="53">
        <v>248.4</v>
      </c>
      <c r="AR16" s="53">
        <v>249</v>
      </c>
      <c r="AS16" s="53">
        <v>249.3</v>
      </c>
      <c r="AT16" s="53">
        <v>249.6</v>
      </c>
      <c r="AU16" s="53">
        <v>245</v>
      </c>
      <c r="AV16" s="53">
        <v>248.7</v>
      </c>
      <c r="AX16" s="52">
        <v>1998</v>
      </c>
      <c r="AY16" s="53">
        <v>252.4</v>
      </c>
      <c r="AZ16" s="53">
        <v>253.7</v>
      </c>
      <c r="BA16" s="53">
        <v>253.9</v>
      </c>
      <c r="BB16" s="53">
        <v>255.9</v>
      </c>
      <c r="BC16" s="53">
        <v>258.2</v>
      </c>
      <c r="BD16" s="53">
        <v>258.7</v>
      </c>
      <c r="BE16" s="53">
        <v>259.39999999999998</v>
      </c>
      <c r="BF16" s="53">
        <v>260.5</v>
      </c>
      <c r="BG16" s="53">
        <v>261.8</v>
      </c>
      <c r="BH16" s="53">
        <v>262.39999999999998</v>
      </c>
      <c r="BI16" s="53">
        <v>262.8</v>
      </c>
      <c r="BJ16" s="53">
        <v>263.8</v>
      </c>
      <c r="BK16" s="49"/>
      <c r="BL16" s="49"/>
      <c r="BN16" s="52">
        <v>2012</v>
      </c>
      <c r="BO16" s="54">
        <v>98.644999999999996</v>
      </c>
      <c r="BP16" s="54">
        <v>98.161000000000001</v>
      </c>
      <c r="BQ16" s="54">
        <v>99.153999999999996</v>
      </c>
      <c r="BR16" s="54">
        <v>98.891999999999996</v>
      </c>
      <c r="BS16" s="54">
        <v>99.376999999999995</v>
      </c>
      <c r="BT16" s="54">
        <v>99.486999999999995</v>
      </c>
      <c r="BU16" s="54">
        <v>99.801000000000002</v>
      </c>
      <c r="BV16" s="54">
        <v>99.811999999999998</v>
      </c>
      <c r="BW16" s="54">
        <v>99.659000000000006</v>
      </c>
      <c r="BX16" s="54">
        <v>99.522999999999996</v>
      </c>
      <c r="BY16" s="54">
        <v>99.805000000000007</v>
      </c>
      <c r="BZ16" s="54">
        <v>99.742000000000004</v>
      </c>
      <c r="CA16" s="49"/>
      <c r="CB16" s="49"/>
      <c r="CD16" s="52">
        <v>1998</v>
      </c>
      <c r="CE16" s="53">
        <v>161.6</v>
      </c>
      <c r="CF16" s="53">
        <v>161.9</v>
      </c>
      <c r="CG16" s="53">
        <v>162.19999999999999</v>
      </c>
      <c r="CH16" s="53">
        <v>162.5</v>
      </c>
      <c r="CI16" s="53">
        <v>162.80000000000001</v>
      </c>
      <c r="CJ16" s="53">
        <v>163</v>
      </c>
      <c r="CK16" s="53">
        <v>163.19999999999999</v>
      </c>
      <c r="CL16" s="53">
        <v>163.4</v>
      </c>
      <c r="CM16" s="53">
        <v>163.6</v>
      </c>
      <c r="CN16" s="53">
        <v>164</v>
      </c>
      <c r="CO16" s="53">
        <v>164</v>
      </c>
      <c r="CP16" s="53">
        <v>163.9</v>
      </c>
      <c r="CQ16" s="53">
        <v>162.30000000000001</v>
      </c>
      <c r="CR16" s="53">
        <v>163.69999999999999</v>
      </c>
      <c r="CT16" s="52">
        <v>1999</v>
      </c>
      <c r="CU16" s="53">
        <v>107.5</v>
      </c>
      <c r="CV16" s="53">
        <v>108.1</v>
      </c>
      <c r="CW16" s="53">
        <v>108.3</v>
      </c>
      <c r="CX16" s="53">
        <v>108.1</v>
      </c>
      <c r="CY16" s="53">
        <v>108.4</v>
      </c>
      <c r="CZ16" s="53">
        <v>108.6</v>
      </c>
      <c r="DA16" s="53">
        <v>109.3</v>
      </c>
      <c r="DB16" s="53">
        <v>110</v>
      </c>
      <c r="DC16" s="53">
        <v>110.3</v>
      </c>
      <c r="DD16" s="53">
        <v>110.6</v>
      </c>
      <c r="DE16" s="53">
        <v>110.9</v>
      </c>
      <c r="DF16" s="53">
        <v>111.8</v>
      </c>
      <c r="DG16" s="49"/>
      <c r="DH16" s="49"/>
      <c r="DJ16" s="52">
        <v>1999</v>
      </c>
      <c r="DK16" s="53">
        <v>106.3</v>
      </c>
      <c r="DL16" s="53">
        <v>106.9</v>
      </c>
      <c r="DM16" s="53">
        <v>106.9</v>
      </c>
      <c r="DN16" s="53">
        <v>106.8</v>
      </c>
      <c r="DO16" s="53">
        <v>107</v>
      </c>
      <c r="DP16" s="53">
        <v>107.2</v>
      </c>
      <c r="DQ16" s="53">
        <v>107.8</v>
      </c>
      <c r="DR16" s="53">
        <v>108.4</v>
      </c>
      <c r="DS16" s="53">
        <v>108.7</v>
      </c>
      <c r="DT16" s="53">
        <v>108.9</v>
      </c>
      <c r="DU16" s="53">
        <v>109.2</v>
      </c>
      <c r="DV16" s="53">
        <v>110.1</v>
      </c>
      <c r="DW16" s="49"/>
      <c r="DX16" s="49"/>
      <c r="DZ16" s="52">
        <v>1998</v>
      </c>
      <c r="EA16" s="53">
        <v>228.6</v>
      </c>
      <c r="EB16" s="53">
        <v>230.4</v>
      </c>
      <c r="EC16" s="53">
        <v>230.9</v>
      </c>
      <c r="ED16" s="53">
        <v>231.5</v>
      </c>
      <c r="EE16" s="53">
        <v>231.7</v>
      </c>
      <c r="EF16" s="53">
        <v>231.6</v>
      </c>
      <c r="EG16" s="53">
        <v>233.5</v>
      </c>
      <c r="EH16" s="53">
        <v>234.9</v>
      </c>
      <c r="EI16" s="53">
        <v>234.7</v>
      </c>
      <c r="EJ16" s="53">
        <v>236</v>
      </c>
      <c r="EK16" s="53">
        <v>236.7</v>
      </c>
      <c r="EL16" s="53">
        <v>237.3</v>
      </c>
      <c r="EM16" s="49"/>
      <c r="EN16" s="49"/>
      <c r="EP16" s="52">
        <v>2012</v>
      </c>
      <c r="EQ16" s="54">
        <v>99.688000000000002</v>
      </c>
      <c r="ER16" s="54">
        <v>100.387</v>
      </c>
      <c r="ES16" s="54">
        <v>100.047</v>
      </c>
      <c r="ET16" s="54">
        <v>100.17100000000001</v>
      </c>
      <c r="EU16" s="54">
        <v>101.172</v>
      </c>
      <c r="EV16" s="54">
        <v>100.93</v>
      </c>
      <c r="EW16" s="54">
        <v>100.62</v>
      </c>
      <c r="EX16" s="54">
        <v>100.10599999999999</v>
      </c>
      <c r="EY16" s="54">
        <v>100.175</v>
      </c>
      <c r="EZ16" s="54">
        <v>100.72199999999999</v>
      </c>
      <c r="FA16" s="54">
        <v>101.459</v>
      </c>
      <c r="FB16" s="54">
        <v>101.529</v>
      </c>
      <c r="FC16" s="49"/>
      <c r="FD16" s="49"/>
    </row>
    <row r="17" spans="2:160" x14ac:dyDescent="0.25">
      <c r="B17" s="52">
        <v>1999</v>
      </c>
      <c r="C17" s="53">
        <v>232.9</v>
      </c>
      <c r="D17" s="53">
        <v>233.9</v>
      </c>
      <c r="E17" s="53">
        <v>234.4</v>
      </c>
      <c r="F17" s="53">
        <v>235.3</v>
      </c>
      <c r="G17" s="53">
        <v>235.2</v>
      </c>
      <c r="H17" s="53">
        <v>236.1</v>
      </c>
      <c r="I17" s="53">
        <v>236.9</v>
      </c>
      <c r="J17" s="53">
        <v>237</v>
      </c>
      <c r="K17" s="53">
        <v>237.1</v>
      </c>
      <c r="L17" s="53">
        <v>237.7</v>
      </c>
      <c r="M17" s="53">
        <v>237.9</v>
      </c>
      <c r="N17" s="53">
        <v>237.9</v>
      </c>
      <c r="R17" s="33">
        <v>1999</v>
      </c>
      <c r="S17" s="37">
        <v>158</v>
      </c>
      <c r="T17" s="37">
        <v>158.30000000000001</v>
      </c>
      <c r="U17" s="37">
        <v>158.4</v>
      </c>
      <c r="V17" s="37">
        <v>158.4</v>
      </c>
      <c r="W17" s="37">
        <v>158.6</v>
      </c>
      <c r="X17" s="37">
        <v>158.5</v>
      </c>
      <c r="Y17" s="37">
        <v>158.5</v>
      </c>
      <c r="Z17" s="37">
        <v>158.6</v>
      </c>
      <c r="AA17" s="37">
        <v>158.9</v>
      </c>
      <c r="AB17" s="37">
        <v>159.4</v>
      </c>
      <c r="AC17" s="37">
        <v>159.5</v>
      </c>
      <c r="AD17" s="37">
        <v>159.30000000000001</v>
      </c>
      <c r="AH17" s="52">
        <v>1999</v>
      </c>
      <c r="AI17" s="53">
        <v>251.3</v>
      </c>
      <c r="AJ17" s="53">
        <v>252.6</v>
      </c>
      <c r="AK17" s="53">
        <v>253.1</v>
      </c>
      <c r="AL17" s="53">
        <v>253.5</v>
      </c>
      <c r="AM17" s="53">
        <v>254</v>
      </c>
      <c r="AN17" s="53">
        <v>254.6</v>
      </c>
      <c r="AO17" s="53">
        <v>255.5</v>
      </c>
      <c r="AP17" s="53">
        <v>256.2</v>
      </c>
      <c r="AQ17" s="53">
        <v>256.60000000000002</v>
      </c>
      <c r="AR17" s="53">
        <v>257.10000000000002</v>
      </c>
      <c r="AS17" s="53">
        <v>257.7</v>
      </c>
      <c r="AT17" s="53">
        <v>258.5</v>
      </c>
      <c r="AU17" s="53">
        <v>253.2</v>
      </c>
      <c r="AV17" s="53">
        <v>256.89999999999998</v>
      </c>
      <c r="AX17" s="52">
        <v>1999</v>
      </c>
      <c r="AY17" s="53">
        <v>265.5</v>
      </c>
      <c r="AZ17" s="53">
        <v>267.39999999999998</v>
      </c>
      <c r="BA17" s="53">
        <v>268.60000000000002</v>
      </c>
      <c r="BB17" s="53">
        <v>270.8</v>
      </c>
      <c r="BC17" s="53">
        <v>271.8</v>
      </c>
      <c r="BD17" s="53">
        <v>273.39999999999998</v>
      </c>
      <c r="BE17" s="53">
        <v>274.39999999999998</v>
      </c>
      <c r="BF17" s="53">
        <v>276.10000000000002</v>
      </c>
      <c r="BG17" s="53">
        <v>276.39999999999998</v>
      </c>
      <c r="BH17" s="53">
        <v>277.3</v>
      </c>
      <c r="BI17" s="53">
        <v>278.89999999999998</v>
      </c>
      <c r="BJ17" s="53">
        <v>279.89999999999998</v>
      </c>
      <c r="BN17" s="52">
        <v>2013</v>
      </c>
      <c r="BO17" s="54">
        <v>99.402000000000001</v>
      </c>
      <c r="BP17" s="54">
        <v>98.828999999999994</v>
      </c>
      <c r="BQ17" s="54">
        <v>99.05</v>
      </c>
      <c r="BR17" s="54">
        <v>99.724000000000004</v>
      </c>
      <c r="BS17" s="54">
        <v>99.647999999999996</v>
      </c>
      <c r="BT17" s="54">
        <v>99.94</v>
      </c>
      <c r="BU17" s="54">
        <v>99.825000000000003</v>
      </c>
      <c r="BV17" s="54">
        <v>99.028999999999996</v>
      </c>
      <c r="BW17" s="54">
        <v>99.245000000000005</v>
      </c>
      <c r="BX17" s="54">
        <v>99.811000000000007</v>
      </c>
      <c r="BY17" s="54">
        <v>99.319000000000003</v>
      </c>
      <c r="BZ17" s="54">
        <v>98.444999999999993</v>
      </c>
      <c r="CA17" s="49"/>
      <c r="CB17" s="49"/>
      <c r="CD17" s="52">
        <v>1999</v>
      </c>
      <c r="CE17" s="53">
        <v>164.3</v>
      </c>
      <c r="CF17" s="53">
        <v>164.5</v>
      </c>
      <c r="CG17" s="53">
        <v>165</v>
      </c>
      <c r="CH17" s="53">
        <v>166.2</v>
      </c>
      <c r="CI17" s="53">
        <v>166.2</v>
      </c>
      <c r="CJ17" s="53">
        <v>166.2</v>
      </c>
      <c r="CK17" s="53">
        <v>166.7</v>
      </c>
      <c r="CL17" s="53">
        <v>167.1</v>
      </c>
      <c r="CM17" s="53">
        <v>167.9</v>
      </c>
      <c r="CN17" s="53">
        <v>168.2</v>
      </c>
      <c r="CO17" s="53">
        <v>168.3</v>
      </c>
      <c r="CP17" s="53">
        <v>168.3</v>
      </c>
      <c r="CQ17" s="53">
        <v>165.4</v>
      </c>
      <c r="CR17" s="53">
        <v>167.8</v>
      </c>
      <c r="CT17" s="52">
        <v>2000</v>
      </c>
      <c r="CU17" s="53">
        <v>112.6</v>
      </c>
      <c r="CV17" s="53">
        <v>113.4</v>
      </c>
      <c r="CW17" s="53">
        <v>113.8</v>
      </c>
      <c r="CX17" s="53">
        <v>114.2</v>
      </c>
      <c r="CY17" s="53">
        <v>114.5</v>
      </c>
      <c r="CZ17" s="53">
        <v>115.2</v>
      </c>
      <c r="DA17" s="53">
        <v>116.2</v>
      </c>
      <c r="DB17" s="53">
        <v>117.3</v>
      </c>
      <c r="DC17" s="53">
        <v>117.8</v>
      </c>
      <c r="DD17" s="53">
        <v>118.2</v>
      </c>
      <c r="DE17" s="53">
        <v>118.6</v>
      </c>
      <c r="DF17" s="53">
        <v>118.8</v>
      </c>
      <c r="DJ17" s="52">
        <v>2000</v>
      </c>
      <c r="DK17" s="53">
        <v>110.7</v>
      </c>
      <c r="DL17" s="53">
        <v>111.6</v>
      </c>
      <c r="DM17" s="53">
        <v>112.1</v>
      </c>
      <c r="DN17" s="53">
        <v>112.4</v>
      </c>
      <c r="DO17" s="53">
        <v>112.6</v>
      </c>
      <c r="DP17" s="53">
        <v>113.1</v>
      </c>
      <c r="DQ17" s="53">
        <v>113.9</v>
      </c>
      <c r="DR17" s="53">
        <v>115</v>
      </c>
      <c r="DS17" s="53">
        <v>115.6</v>
      </c>
      <c r="DT17" s="53">
        <v>115.8</v>
      </c>
      <c r="DU17" s="53">
        <v>116.1</v>
      </c>
      <c r="DV17" s="53">
        <v>116.3</v>
      </c>
      <c r="DZ17" s="52">
        <v>1999</v>
      </c>
      <c r="EA17" s="53">
        <v>239.7</v>
      </c>
      <c r="EB17" s="53">
        <v>241.3</v>
      </c>
      <c r="EC17" s="53">
        <v>242.2</v>
      </c>
      <c r="ED17" s="53">
        <v>241.6</v>
      </c>
      <c r="EE17" s="53">
        <v>243.6</v>
      </c>
      <c r="EF17" s="53">
        <v>244.3</v>
      </c>
      <c r="EG17" s="53">
        <v>245.9</v>
      </c>
      <c r="EH17" s="53">
        <v>248.5</v>
      </c>
      <c r="EI17" s="53">
        <v>249.4</v>
      </c>
      <c r="EJ17" s="53">
        <v>250.7</v>
      </c>
      <c r="EK17" s="53">
        <v>251.5</v>
      </c>
      <c r="EL17" s="53">
        <v>253.3</v>
      </c>
      <c r="EP17" s="52">
        <v>2013</v>
      </c>
      <c r="EQ17" s="54">
        <v>101.553</v>
      </c>
      <c r="ER17" s="54">
        <v>101.599</v>
      </c>
      <c r="ES17" s="54">
        <v>101.54600000000001</v>
      </c>
      <c r="ET17" s="54">
        <v>101.79</v>
      </c>
      <c r="EU17" s="54">
        <v>101.264</v>
      </c>
      <c r="EV17" s="54">
        <v>101.318</v>
      </c>
      <c r="EW17" s="54">
        <v>100.471</v>
      </c>
      <c r="EX17" s="54">
        <v>100.203</v>
      </c>
      <c r="EY17" s="54">
        <v>100.863</v>
      </c>
      <c r="EZ17" s="54">
        <v>101.434</v>
      </c>
      <c r="FA17" s="54">
        <v>100.34099999999999</v>
      </c>
      <c r="FB17" s="54">
        <v>99.878</v>
      </c>
      <c r="FC17" s="49"/>
      <c r="FD17" s="49"/>
    </row>
    <row r="18" spans="2:160" x14ac:dyDescent="0.25">
      <c r="B18" s="52">
        <v>2000</v>
      </c>
      <c r="C18" s="53">
        <v>239.6</v>
      </c>
      <c r="D18" s="53">
        <v>241.8</v>
      </c>
      <c r="E18" s="53">
        <v>243.4</v>
      </c>
      <c r="F18" s="53">
        <v>244</v>
      </c>
      <c r="G18" s="53">
        <v>244.1</v>
      </c>
      <c r="H18" s="53">
        <v>245.2</v>
      </c>
      <c r="I18" s="53">
        <v>245.4</v>
      </c>
      <c r="J18" s="53">
        <v>245.8</v>
      </c>
      <c r="K18" s="53">
        <v>246.3</v>
      </c>
      <c r="L18" s="53">
        <v>246.6</v>
      </c>
      <c r="M18" s="53">
        <v>246.5</v>
      </c>
      <c r="N18" s="53">
        <v>247.1</v>
      </c>
      <c r="R18" s="33">
        <v>2000</v>
      </c>
      <c r="S18" s="37">
        <v>159.80000000000001</v>
      </c>
      <c r="T18" s="37">
        <v>160.4</v>
      </c>
      <c r="U18" s="37">
        <v>160.6</v>
      </c>
      <c r="V18" s="37">
        <v>160.69999999999999</v>
      </c>
      <c r="W18" s="37">
        <v>161.4</v>
      </c>
      <c r="X18" s="37">
        <v>162.1</v>
      </c>
      <c r="Y18" s="37">
        <v>162.30000000000001</v>
      </c>
      <c r="Z18" s="37">
        <v>162.9</v>
      </c>
      <c r="AA18" s="37">
        <v>163</v>
      </c>
      <c r="AB18" s="37">
        <v>162.9</v>
      </c>
      <c r="AC18" s="37">
        <v>163.19999999999999</v>
      </c>
      <c r="AD18" s="37">
        <v>163.4</v>
      </c>
      <c r="AH18" s="52">
        <v>2000</v>
      </c>
      <c r="AI18" s="53">
        <v>260.10000000000002</v>
      </c>
      <c r="AJ18" s="53">
        <v>262</v>
      </c>
      <c r="AK18" s="53">
        <v>263.2</v>
      </c>
      <c r="AL18" s="53">
        <v>263.89999999999998</v>
      </c>
      <c r="AM18" s="53">
        <v>264.39999999999998</v>
      </c>
      <c r="AN18" s="53">
        <v>265.60000000000002</v>
      </c>
      <c r="AO18" s="53">
        <v>266.7</v>
      </c>
      <c r="AP18" s="53">
        <v>268</v>
      </c>
      <c r="AQ18" s="53">
        <v>268.7</v>
      </c>
      <c r="AR18" s="53">
        <v>269.39999999999998</v>
      </c>
      <c r="AS18" s="53">
        <v>269.8</v>
      </c>
      <c r="AT18" s="53">
        <v>270.39999999999998</v>
      </c>
      <c r="AU18" s="53">
        <v>263.2</v>
      </c>
      <c r="AV18" s="53">
        <v>268.8</v>
      </c>
      <c r="AX18" s="52">
        <v>2000</v>
      </c>
      <c r="AY18" s="53">
        <v>280.89999999999998</v>
      </c>
      <c r="AZ18" s="53">
        <v>281.5</v>
      </c>
      <c r="BA18" s="53">
        <v>282.7</v>
      </c>
      <c r="BB18" s="53">
        <v>284.10000000000002</v>
      </c>
      <c r="BC18" s="53">
        <v>284</v>
      </c>
      <c r="BD18" s="53">
        <v>285.10000000000002</v>
      </c>
      <c r="BE18" s="53">
        <v>286</v>
      </c>
      <c r="BF18" s="53">
        <v>287.2</v>
      </c>
      <c r="BG18" s="53">
        <v>287.3</v>
      </c>
      <c r="BH18" s="53">
        <v>287.8</v>
      </c>
      <c r="BI18" s="53">
        <v>288.5</v>
      </c>
      <c r="BJ18" s="53">
        <v>290</v>
      </c>
      <c r="BN18" s="52">
        <v>2014</v>
      </c>
      <c r="BO18" s="54">
        <v>98.388999999999996</v>
      </c>
      <c r="BP18" s="54">
        <v>98.076999999999998</v>
      </c>
      <c r="BQ18" s="54">
        <v>98.159000000000006</v>
      </c>
      <c r="BR18" s="54">
        <v>98.736999999999995</v>
      </c>
      <c r="BS18" s="54">
        <v>98.876000000000005</v>
      </c>
      <c r="BT18" s="54">
        <v>98.897999999999996</v>
      </c>
      <c r="BU18" s="54">
        <v>99.096000000000004</v>
      </c>
      <c r="BV18" s="54">
        <v>98.43</v>
      </c>
      <c r="BW18" s="54">
        <v>99.876000000000005</v>
      </c>
      <c r="BX18" s="54">
        <v>97.73</v>
      </c>
      <c r="BY18" s="54">
        <v>97.894999999999996</v>
      </c>
      <c r="BZ18" s="54">
        <v>98.278000000000006</v>
      </c>
      <c r="CA18" s="49"/>
      <c r="CB18" s="49"/>
      <c r="CD18" s="52">
        <v>2000</v>
      </c>
      <c r="CE18" s="53">
        <v>168.8</v>
      </c>
      <c r="CF18" s="53">
        <v>169.8</v>
      </c>
      <c r="CG18" s="53">
        <v>171.2</v>
      </c>
      <c r="CH18" s="53">
        <v>171.3</v>
      </c>
      <c r="CI18" s="53">
        <v>171.5</v>
      </c>
      <c r="CJ18" s="53">
        <v>172.4</v>
      </c>
      <c r="CK18" s="53">
        <v>172.8</v>
      </c>
      <c r="CL18" s="53">
        <v>172.8</v>
      </c>
      <c r="CM18" s="53">
        <v>173.7</v>
      </c>
      <c r="CN18" s="53">
        <v>174</v>
      </c>
      <c r="CO18" s="53">
        <v>174.1</v>
      </c>
      <c r="CP18" s="53">
        <v>174</v>
      </c>
      <c r="CQ18" s="53">
        <v>170.8</v>
      </c>
      <c r="CR18" s="53">
        <v>173.6</v>
      </c>
      <c r="CT18" s="52">
        <v>2001</v>
      </c>
      <c r="CU18" s="53">
        <v>120</v>
      </c>
      <c r="CV18" s="53">
        <v>120.9</v>
      </c>
      <c r="CW18" s="53">
        <v>121.6</v>
      </c>
      <c r="CX18" s="53">
        <v>121.9</v>
      </c>
      <c r="CY18" s="53">
        <v>122.5</v>
      </c>
      <c r="CZ18" s="53">
        <v>123</v>
      </c>
      <c r="DA18" s="53">
        <v>123.5</v>
      </c>
      <c r="DB18" s="53">
        <v>124.7</v>
      </c>
      <c r="DC18" s="53">
        <v>125.2</v>
      </c>
      <c r="DD18" s="53">
        <v>126</v>
      </c>
      <c r="DE18" s="53">
        <v>126.9</v>
      </c>
      <c r="DF18" s="53">
        <v>127.4</v>
      </c>
      <c r="DJ18" s="52">
        <v>2001</v>
      </c>
      <c r="DK18" s="53">
        <v>117.5</v>
      </c>
      <c r="DL18" s="53">
        <v>118.5</v>
      </c>
      <c r="DM18" s="53">
        <v>119.2</v>
      </c>
      <c r="DN18" s="53">
        <v>119.4</v>
      </c>
      <c r="DO18" s="53">
        <v>120</v>
      </c>
      <c r="DP18" s="53">
        <v>120.6</v>
      </c>
      <c r="DQ18" s="53">
        <v>120.9</v>
      </c>
      <c r="DR18" s="53">
        <v>121.7</v>
      </c>
      <c r="DS18" s="53">
        <v>122.3</v>
      </c>
      <c r="DT18" s="53">
        <v>123.2</v>
      </c>
      <c r="DU18" s="53">
        <v>124.1</v>
      </c>
      <c r="DV18" s="53">
        <v>124.3</v>
      </c>
      <c r="DZ18" s="52">
        <v>2000</v>
      </c>
      <c r="EA18" s="53">
        <v>256</v>
      </c>
      <c r="EB18" s="53">
        <v>257.5</v>
      </c>
      <c r="EC18" s="53">
        <v>257.89999999999998</v>
      </c>
      <c r="ED18" s="53">
        <v>259.2</v>
      </c>
      <c r="EE18" s="53">
        <v>260.10000000000002</v>
      </c>
      <c r="EF18" s="53">
        <v>262</v>
      </c>
      <c r="EG18" s="53">
        <v>264.60000000000002</v>
      </c>
      <c r="EH18" s="53">
        <v>266.89999999999998</v>
      </c>
      <c r="EI18" s="53">
        <v>268.10000000000002</v>
      </c>
      <c r="EJ18" s="53">
        <v>270.2</v>
      </c>
      <c r="EK18" s="53">
        <v>271.39999999999998</v>
      </c>
      <c r="EL18" s="53">
        <v>271.60000000000002</v>
      </c>
      <c r="EP18" s="52">
        <v>2014</v>
      </c>
      <c r="EQ18" s="54">
        <v>100.345</v>
      </c>
      <c r="ER18" s="54">
        <v>99.942999999999998</v>
      </c>
      <c r="ES18" s="54">
        <v>99.988</v>
      </c>
      <c r="ET18" s="54">
        <v>100.377</v>
      </c>
      <c r="EU18" s="54">
        <v>100.626</v>
      </c>
      <c r="EV18" s="54">
        <v>100.22199999999999</v>
      </c>
      <c r="EW18" s="54">
        <v>100.673</v>
      </c>
      <c r="EX18" s="54">
        <v>100.467</v>
      </c>
      <c r="EY18" s="54">
        <v>100.4</v>
      </c>
      <c r="EZ18" s="54">
        <v>100.914</v>
      </c>
      <c r="FA18" s="54">
        <v>100.92400000000001</v>
      </c>
      <c r="FB18" s="54">
        <v>100.803</v>
      </c>
      <c r="FC18" s="49"/>
      <c r="FD18" s="49"/>
    </row>
    <row r="19" spans="2:160" x14ac:dyDescent="0.25">
      <c r="B19" s="52">
        <v>2001</v>
      </c>
      <c r="C19" s="53">
        <v>250.1</v>
      </c>
      <c r="D19" s="53">
        <v>251.5</v>
      </c>
      <c r="E19" s="53">
        <v>251.8</v>
      </c>
      <c r="F19" s="53">
        <v>252.8</v>
      </c>
      <c r="G19" s="53">
        <v>252.8</v>
      </c>
      <c r="H19" s="53">
        <v>253.6</v>
      </c>
      <c r="I19" s="53">
        <v>253.5</v>
      </c>
      <c r="J19" s="53">
        <v>255</v>
      </c>
      <c r="K19" s="53">
        <v>255.1</v>
      </c>
      <c r="L19" s="53">
        <v>255.8</v>
      </c>
      <c r="M19" s="53">
        <v>255.9</v>
      </c>
      <c r="N19" s="53">
        <v>255.8</v>
      </c>
      <c r="R19" s="33">
        <v>2001</v>
      </c>
      <c r="S19" s="37">
        <v>164.2</v>
      </c>
      <c r="T19" s="37">
        <v>165.7</v>
      </c>
      <c r="U19" s="37">
        <v>166.2</v>
      </c>
      <c r="V19" s="37">
        <v>166.5</v>
      </c>
      <c r="W19" s="37">
        <v>166.8</v>
      </c>
      <c r="X19" s="37">
        <v>167.4</v>
      </c>
      <c r="Y19" s="37">
        <v>167.5</v>
      </c>
      <c r="Z19" s="37">
        <v>168.5</v>
      </c>
      <c r="AA19" s="37">
        <v>168.6</v>
      </c>
      <c r="AB19" s="37">
        <v>168.5</v>
      </c>
      <c r="AC19" s="37">
        <v>168.9</v>
      </c>
      <c r="AD19" s="37">
        <v>169</v>
      </c>
      <c r="AH19" s="52">
        <v>2001</v>
      </c>
      <c r="AI19" s="53">
        <v>273</v>
      </c>
      <c r="AJ19" s="53">
        <v>274.89999999999998</v>
      </c>
      <c r="AK19" s="53">
        <v>275.89999999999998</v>
      </c>
      <c r="AL19" s="53">
        <v>276.8</v>
      </c>
      <c r="AM19" s="53">
        <v>277.3</v>
      </c>
      <c r="AN19" s="53">
        <v>278.3</v>
      </c>
      <c r="AO19" s="53">
        <v>278.89999999999998</v>
      </c>
      <c r="AP19" s="53">
        <v>280.5</v>
      </c>
      <c r="AQ19" s="53">
        <v>281</v>
      </c>
      <c r="AR19" s="53">
        <v>282</v>
      </c>
      <c r="AS19" s="53">
        <v>283</v>
      </c>
      <c r="AT19" s="53">
        <v>283.5</v>
      </c>
      <c r="AU19" s="53">
        <v>276</v>
      </c>
      <c r="AV19" s="53">
        <v>281.5</v>
      </c>
      <c r="AX19" s="52">
        <v>2001</v>
      </c>
      <c r="AY19" s="53">
        <v>292.10000000000002</v>
      </c>
      <c r="AZ19" s="53">
        <v>294.8</v>
      </c>
      <c r="BA19" s="53">
        <v>296.5</v>
      </c>
      <c r="BB19" s="53">
        <v>297.8</v>
      </c>
      <c r="BC19" s="53">
        <v>298.5</v>
      </c>
      <c r="BD19" s="53">
        <v>300.7</v>
      </c>
      <c r="BE19" s="53">
        <v>302.3</v>
      </c>
      <c r="BF19" s="53">
        <v>303.39999999999998</v>
      </c>
      <c r="BG19" s="53">
        <v>304.8</v>
      </c>
      <c r="BH19" s="53">
        <v>305.7</v>
      </c>
      <c r="BI19" s="53">
        <v>306.3</v>
      </c>
      <c r="BJ19" s="53">
        <v>307.3</v>
      </c>
      <c r="BN19" s="52">
        <v>2015</v>
      </c>
      <c r="BO19" s="54">
        <v>97.337000000000003</v>
      </c>
      <c r="BP19" s="54">
        <v>98.262</v>
      </c>
      <c r="BQ19" s="54">
        <v>97.882999999999996</v>
      </c>
      <c r="BR19" s="54">
        <v>98.168999999999997</v>
      </c>
      <c r="BS19" s="54">
        <v>98.227999999999994</v>
      </c>
      <c r="BT19" s="54">
        <v>97.272000000000006</v>
      </c>
      <c r="BU19" s="54">
        <v>97.908000000000001</v>
      </c>
      <c r="BV19" s="54">
        <v>97.738</v>
      </c>
      <c r="BW19" s="54">
        <v>97.849000000000004</v>
      </c>
      <c r="BX19" s="54">
        <v>97.899000000000001</v>
      </c>
      <c r="BY19" s="54">
        <v>97.673000000000002</v>
      </c>
      <c r="BZ19" s="54">
        <v>97.045000000000002</v>
      </c>
      <c r="CA19" s="49"/>
      <c r="CB19" s="49"/>
      <c r="CD19" s="52">
        <v>2001</v>
      </c>
      <c r="CE19" s="53">
        <v>175.1</v>
      </c>
      <c r="CF19" s="53">
        <v>175.8</v>
      </c>
      <c r="CG19" s="53">
        <v>176.2</v>
      </c>
      <c r="CH19" s="53">
        <v>176.9</v>
      </c>
      <c r="CI19" s="53">
        <v>177.7</v>
      </c>
      <c r="CJ19" s="53">
        <v>178</v>
      </c>
      <c r="CK19" s="53">
        <v>177.5</v>
      </c>
      <c r="CL19" s="53">
        <v>177.5</v>
      </c>
      <c r="CM19" s="53">
        <v>178.3</v>
      </c>
      <c r="CN19" s="53">
        <v>177.7</v>
      </c>
      <c r="CO19" s="53">
        <v>177.4</v>
      </c>
      <c r="CP19" s="53">
        <v>176.7</v>
      </c>
      <c r="CQ19" s="53">
        <v>176.6</v>
      </c>
      <c r="CR19" s="53">
        <v>177.5</v>
      </c>
      <c r="CT19" s="52">
        <v>2002</v>
      </c>
      <c r="CU19" s="53">
        <v>129.19999999999999</v>
      </c>
      <c r="CV19" s="53">
        <v>130.4</v>
      </c>
      <c r="CW19" s="53">
        <v>131.5</v>
      </c>
      <c r="CX19" s="53">
        <v>132.69999999999999</v>
      </c>
      <c r="CY19" s="53">
        <v>133.5</v>
      </c>
      <c r="CZ19" s="53">
        <v>133.69999999999999</v>
      </c>
      <c r="DA19" s="53">
        <v>134.6</v>
      </c>
      <c r="DB19" s="53">
        <v>136</v>
      </c>
      <c r="DC19" s="53">
        <v>136.69999999999999</v>
      </c>
      <c r="DD19" s="53">
        <v>138.1</v>
      </c>
      <c r="DE19" s="53">
        <v>139.6</v>
      </c>
      <c r="DF19" s="53">
        <v>140.30000000000001</v>
      </c>
      <c r="DJ19" s="52">
        <v>2002</v>
      </c>
      <c r="DK19" s="53">
        <v>126.3</v>
      </c>
      <c r="DL19" s="53">
        <v>127.4</v>
      </c>
      <c r="DM19" s="53">
        <v>128.69999999999999</v>
      </c>
      <c r="DN19" s="53">
        <v>129.6</v>
      </c>
      <c r="DO19" s="53">
        <v>130</v>
      </c>
      <c r="DP19" s="53">
        <v>130.4</v>
      </c>
      <c r="DQ19" s="53">
        <v>131.19999999999999</v>
      </c>
      <c r="DR19" s="53">
        <v>132.30000000000001</v>
      </c>
      <c r="DS19" s="53">
        <v>133.19999999999999</v>
      </c>
      <c r="DT19" s="53">
        <v>133.9</v>
      </c>
      <c r="DU19" s="53">
        <v>135.4</v>
      </c>
      <c r="DV19" s="53">
        <v>136</v>
      </c>
      <c r="DZ19" s="52">
        <v>2001</v>
      </c>
      <c r="EA19" s="53">
        <v>274.39999999999998</v>
      </c>
      <c r="EB19" s="53">
        <v>274.5</v>
      </c>
      <c r="EC19" s="53">
        <v>275.89999999999998</v>
      </c>
      <c r="ED19" s="53">
        <v>276.7</v>
      </c>
      <c r="EE19" s="53">
        <v>277.7</v>
      </c>
      <c r="EF19" s="53">
        <v>278.10000000000002</v>
      </c>
      <c r="EG19" s="53">
        <v>280.5</v>
      </c>
      <c r="EH19" s="53">
        <v>284.39999999999998</v>
      </c>
      <c r="EI19" s="53">
        <v>285.89999999999998</v>
      </c>
      <c r="EJ19" s="53">
        <v>287.10000000000002</v>
      </c>
      <c r="EK19" s="53">
        <v>288.3</v>
      </c>
      <c r="EL19" s="53">
        <v>290.2</v>
      </c>
      <c r="EP19" s="52">
        <v>2015</v>
      </c>
      <c r="EQ19" s="54">
        <v>99.305000000000007</v>
      </c>
      <c r="ER19" s="54">
        <v>99.92</v>
      </c>
      <c r="ES19" s="54">
        <v>99.691000000000003</v>
      </c>
      <c r="ET19" s="54">
        <v>100.15</v>
      </c>
      <c r="EU19" s="54">
        <v>100.575</v>
      </c>
      <c r="EV19" s="54">
        <v>100.188</v>
      </c>
      <c r="EW19" s="54">
        <v>99.799000000000007</v>
      </c>
      <c r="EX19" s="54">
        <v>99.707999999999998</v>
      </c>
      <c r="EY19" s="54">
        <v>99.522000000000006</v>
      </c>
      <c r="EZ19" s="54">
        <v>99.656000000000006</v>
      </c>
      <c r="FA19" s="54">
        <v>99.364999999999995</v>
      </c>
      <c r="FB19" s="54">
        <v>99.004999999999995</v>
      </c>
      <c r="FC19" s="49"/>
      <c r="FD19" s="49"/>
    </row>
    <row r="20" spans="2:160" x14ac:dyDescent="0.25">
      <c r="B20" s="52">
        <v>2002</v>
      </c>
      <c r="C20" s="53">
        <v>258.10000000000002</v>
      </c>
      <c r="D20" s="53">
        <v>258.10000000000002</v>
      </c>
      <c r="E20" s="53">
        <v>258.3</v>
      </c>
      <c r="F20" s="53">
        <v>258.2</v>
      </c>
      <c r="G20" s="53">
        <v>258.7</v>
      </c>
      <c r="H20" s="53">
        <v>259.2</v>
      </c>
      <c r="I20" s="53">
        <v>262</v>
      </c>
      <c r="J20" s="53">
        <v>262</v>
      </c>
      <c r="K20" s="53">
        <v>261.7</v>
      </c>
      <c r="L20" s="53">
        <v>263.2</v>
      </c>
      <c r="M20" s="53">
        <v>263.89999999999998</v>
      </c>
      <c r="N20" s="53">
        <v>264.10000000000002</v>
      </c>
      <c r="R20" s="33">
        <v>2002</v>
      </c>
      <c r="S20" s="37">
        <v>169.7</v>
      </c>
      <c r="T20" s="37">
        <v>170.2</v>
      </c>
      <c r="U20" s="37">
        <v>170.3</v>
      </c>
      <c r="V20" s="37">
        <v>171.6</v>
      </c>
      <c r="W20" s="37">
        <v>171.4</v>
      </c>
      <c r="X20" s="37">
        <v>171.3</v>
      </c>
      <c r="Y20" s="37">
        <v>171.3</v>
      </c>
      <c r="Z20" s="37">
        <v>171.6</v>
      </c>
      <c r="AA20" s="37">
        <v>171.7</v>
      </c>
      <c r="AB20" s="37">
        <v>173.6</v>
      </c>
      <c r="AC20" s="37">
        <v>174.2</v>
      </c>
      <c r="AD20" s="37">
        <v>175.1</v>
      </c>
      <c r="AH20" s="52">
        <v>2002</v>
      </c>
      <c r="AI20" s="53">
        <v>286.2</v>
      </c>
      <c r="AJ20" s="53">
        <v>287.7</v>
      </c>
      <c r="AK20" s="53">
        <v>288.89999999999998</v>
      </c>
      <c r="AL20" s="53">
        <v>290.2</v>
      </c>
      <c r="AM20" s="53">
        <v>291.2</v>
      </c>
      <c r="AN20" s="53">
        <v>291.7</v>
      </c>
      <c r="AO20" s="53">
        <v>293.8</v>
      </c>
      <c r="AP20" s="53">
        <v>294.7</v>
      </c>
      <c r="AQ20" s="53">
        <v>295.2</v>
      </c>
      <c r="AR20" s="53">
        <v>297.10000000000002</v>
      </c>
      <c r="AS20" s="53">
        <v>298.5</v>
      </c>
      <c r="AT20" s="53">
        <v>299.39999999999998</v>
      </c>
      <c r="AU20" s="53">
        <v>289.3</v>
      </c>
      <c r="AV20" s="53">
        <v>296.5</v>
      </c>
      <c r="AX20" s="52">
        <v>2002</v>
      </c>
      <c r="AY20" s="53">
        <v>309.10000000000002</v>
      </c>
      <c r="AZ20" s="53">
        <v>312</v>
      </c>
      <c r="BA20" s="53">
        <v>312.8</v>
      </c>
      <c r="BB20" s="53">
        <v>314.10000000000002</v>
      </c>
      <c r="BC20" s="53">
        <v>315.3</v>
      </c>
      <c r="BD20" s="53">
        <v>317</v>
      </c>
      <c r="BE20" s="53">
        <v>318.2</v>
      </c>
      <c r="BF20" s="53">
        <v>318.2</v>
      </c>
      <c r="BG20" s="53">
        <v>318.89999999999998</v>
      </c>
      <c r="BH20" s="53">
        <v>320</v>
      </c>
      <c r="BI20" s="53">
        <v>321</v>
      </c>
      <c r="BJ20" s="53">
        <v>321.2</v>
      </c>
      <c r="BN20" s="52">
        <v>2016</v>
      </c>
      <c r="BO20" s="54">
        <v>96.673000000000002</v>
      </c>
      <c r="BP20" s="54">
        <v>96.477999999999994</v>
      </c>
      <c r="BQ20" s="54">
        <v>96.319000000000003</v>
      </c>
      <c r="BR20" s="54">
        <v>96.728999999999999</v>
      </c>
      <c r="BS20" s="54">
        <v>96.992999999999995</v>
      </c>
      <c r="BT20" s="54">
        <v>96.825000000000003</v>
      </c>
      <c r="BU20" s="54">
        <v>96.296999999999997</v>
      </c>
      <c r="BV20" s="54">
        <v>96.51</v>
      </c>
      <c r="BW20" s="54">
        <v>97.299000000000007</v>
      </c>
      <c r="BX20" s="54">
        <v>96.554000000000002</v>
      </c>
      <c r="BY20" s="54">
        <v>96.393000000000001</v>
      </c>
      <c r="BZ20" s="54">
        <v>96.489000000000004</v>
      </c>
      <c r="CA20" s="49"/>
      <c r="CB20" s="49"/>
      <c r="CD20" s="52">
        <v>2002</v>
      </c>
      <c r="CE20" s="53">
        <v>177.1</v>
      </c>
      <c r="CF20" s="53">
        <v>177.8</v>
      </c>
      <c r="CG20" s="53">
        <v>178.8</v>
      </c>
      <c r="CH20" s="53">
        <v>179.8</v>
      </c>
      <c r="CI20" s="53">
        <v>179.8</v>
      </c>
      <c r="CJ20" s="53">
        <v>179.9</v>
      </c>
      <c r="CK20" s="53">
        <v>180.1</v>
      </c>
      <c r="CL20" s="53">
        <v>180.7</v>
      </c>
      <c r="CM20" s="53">
        <v>181</v>
      </c>
      <c r="CN20" s="53">
        <v>181.3</v>
      </c>
      <c r="CO20" s="53">
        <v>181.3</v>
      </c>
      <c r="CP20" s="53">
        <v>180.9</v>
      </c>
      <c r="CQ20" s="53">
        <v>178.9</v>
      </c>
      <c r="CR20" s="53">
        <v>180.9</v>
      </c>
      <c r="CT20" s="52">
        <v>2003</v>
      </c>
      <c r="CU20" s="53">
        <v>141.4</v>
      </c>
      <c r="CV20" s="53">
        <v>142.30000000000001</v>
      </c>
      <c r="CW20" s="53">
        <v>142.5</v>
      </c>
      <c r="CX20" s="53">
        <v>142.4</v>
      </c>
      <c r="CY20" s="53">
        <v>142.4</v>
      </c>
      <c r="CZ20" s="53">
        <v>143.6</v>
      </c>
      <c r="DA20" s="53">
        <v>144.69999999999999</v>
      </c>
      <c r="DB20" s="53">
        <v>145.9</v>
      </c>
      <c r="DC20" s="53">
        <v>146.5</v>
      </c>
      <c r="DD20" s="53">
        <v>146.9</v>
      </c>
      <c r="DE20" s="53">
        <v>148.80000000000001</v>
      </c>
      <c r="DF20" s="53">
        <v>149.30000000000001</v>
      </c>
      <c r="DJ20" s="52">
        <v>2003</v>
      </c>
      <c r="DK20" s="53">
        <v>136.9</v>
      </c>
      <c r="DL20" s="53">
        <v>138.1</v>
      </c>
      <c r="DM20" s="53">
        <v>138</v>
      </c>
      <c r="DN20" s="53">
        <v>138.19999999999999</v>
      </c>
      <c r="DO20" s="53">
        <v>138.30000000000001</v>
      </c>
      <c r="DP20" s="53">
        <v>139.1</v>
      </c>
      <c r="DQ20" s="53">
        <v>140.1</v>
      </c>
      <c r="DR20" s="53">
        <v>141.19999999999999</v>
      </c>
      <c r="DS20" s="53">
        <v>141.9</v>
      </c>
      <c r="DT20" s="53">
        <v>141.9</v>
      </c>
      <c r="DU20" s="53">
        <v>143.5</v>
      </c>
      <c r="DV20" s="53">
        <v>143.69999999999999</v>
      </c>
      <c r="DZ20" s="52">
        <v>2002</v>
      </c>
      <c r="EA20" s="53">
        <v>293.7</v>
      </c>
      <c r="EB20" s="53">
        <v>296.39999999999998</v>
      </c>
      <c r="EC20" s="53">
        <v>297.8</v>
      </c>
      <c r="ED20" s="53">
        <v>302</v>
      </c>
      <c r="EE20" s="53">
        <v>306.7</v>
      </c>
      <c r="EF20" s="53">
        <v>307.7</v>
      </c>
      <c r="EG20" s="53">
        <v>309.8</v>
      </c>
      <c r="EH20" s="53">
        <v>314.3</v>
      </c>
      <c r="EI20" s="53">
        <v>315.2</v>
      </c>
      <c r="EJ20" s="53">
        <v>321.10000000000002</v>
      </c>
      <c r="EK20" s="53">
        <v>325.60000000000002</v>
      </c>
      <c r="EL20" s="53">
        <v>327</v>
      </c>
      <c r="EP20" s="52">
        <v>2016</v>
      </c>
      <c r="EQ20" s="54">
        <v>99.319000000000003</v>
      </c>
      <c r="ER20" s="54">
        <v>99.912000000000006</v>
      </c>
      <c r="ES20" s="54">
        <v>98.906000000000006</v>
      </c>
      <c r="ET20" s="54">
        <v>98.614000000000004</v>
      </c>
      <c r="EU20" s="54">
        <v>99.277000000000001</v>
      </c>
      <c r="EV20" s="54">
        <v>99.569000000000003</v>
      </c>
      <c r="EW20" s="54">
        <v>99.849000000000004</v>
      </c>
      <c r="EX20" s="54">
        <v>99.608999999999995</v>
      </c>
      <c r="EY20" s="54">
        <v>98.918999999999997</v>
      </c>
      <c r="EZ20" s="54">
        <v>98.867000000000004</v>
      </c>
      <c r="FA20" s="54">
        <v>99.141000000000005</v>
      </c>
      <c r="FB20" s="54">
        <v>99.275999999999996</v>
      </c>
      <c r="FC20" s="49"/>
      <c r="FD20" s="49"/>
    </row>
    <row r="21" spans="2:160" x14ac:dyDescent="0.25">
      <c r="B21" s="52">
        <v>2003</v>
      </c>
      <c r="C21" s="53">
        <v>265</v>
      </c>
      <c r="D21" s="53">
        <v>266</v>
      </c>
      <c r="E21" s="53">
        <v>266</v>
      </c>
      <c r="F21" s="53">
        <v>266.7</v>
      </c>
      <c r="G21" s="53">
        <v>267.60000000000002</v>
      </c>
      <c r="H21" s="53">
        <v>267.3</v>
      </c>
      <c r="I21" s="53">
        <v>268.10000000000002</v>
      </c>
      <c r="J21" s="53">
        <v>268.2</v>
      </c>
      <c r="K21" s="53">
        <v>268.5</v>
      </c>
      <c r="L21" s="53">
        <v>269.2</v>
      </c>
      <c r="M21" s="53">
        <v>269.2</v>
      </c>
      <c r="N21" s="53">
        <v>270.10000000000002</v>
      </c>
      <c r="R21" s="33">
        <v>2003</v>
      </c>
      <c r="S21" s="37">
        <v>175.6</v>
      </c>
      <c r="T21" s="37">
        <v>176</v>
      </c>
      <c r="U21" s="37">
        <v>175.8</v>
      </c>
      <c r="V21" s="37">
        <v>176.2</v>
      </c>
      <c r="W21" s="37">
        <v>176.3</v>
      </c>
      <c r="X21" s="37">
        <v>176.6</v>
      </c>
      <c r="Y21" s="37">
        <v>176.8</v>
      </c>
      <c r="Z21" s="37">
        <v>177.3</v>
      </c>
      <c r="AA21" s="37">
        <v>177.8</v>
      </c>
      <c r="AB21" s="37">
        <v>178.6</v>
      </c>
      <c r="AC21" s="37">
        <v>178.5</v>
      </c>
      <c r="AD21" s="37">
        <v>179.2</v>
      </c>
      <c r="AH21" s="52">
        <v>2003</v>
      </c>
      <c r="AI21" s="53">
        <v>300.8</v>
      </c>
      <c r="AJ21" s="53">
        <v>302.3</v>
      </c>
      <c r="AK21" s="53">
        <v>302.60000000000002</v>
      </c>
      <c r="AL21" s="53">
        <v>303.10000000000002</v>
      </c>
      <c r="AM21" s="53">
        <v>304.2</v>
      </c>
      <c r="AN21" s="53">
        <v>305.2</v>
      </c>
      <c r="AO21" s="53">
        <v>306.39999999999998</v>
      </c>
      <c r="AP21" s="53">
        <v>307.2</v>
      </c>
      <c r="AQ21" s="53">
        <v>308.2</v>
      </c>
      <c r="AR21" s="53">
        <v>309.10000000000002</v>
      </c>
      <c r="AS21" s="53">
        <v>310.60000000000002</v>
      </c>
      <c r="AT21" s="53">
        <v>311.89999999999998</v>
      </c>
      <c r="AU21" s="53">
        <v>303</v>
      </c>
      <c r="AV21" s="53">
        <v>308.89999999999998</v>
      </c>
      <c r="AX21" s="52">
        <v>2003</v>
      </c>
      <c r="AY21" s="53">
        <v>323.2</v>
      </c>
      <c r="AZ21" s="53">
        <v>323.60000000000002</v>
      </c>
      <c r="BA21" s="53">
        <v>324.5</v>
      </c>
      <c r="BB21" s="53">
        <v>324.7</v>
      </c>
      <c r="BC21" s="53">
        <v>324.60000000000002</v>
      </c>
      <c r="BD21" s="53">
        <v>325</v>
      </c>
      <c r="BE21" s="53">
        <v>326.8</v>
      </c>
      <c r="BF21" s="53">
        <v>327.7</v>
      </c>
      <c r="BG21" s="53">
        <v>328.8</v>
      </c>
      <c r="BH21" s="53">
        <v>329.1</v>
      </c>
      <c r="BI21" s="53">
        <v>328.1</v>
      </c>
      <c r="BJ21" s="53">
        <v>329.1</v>
      </c>
      <c r="BN21" s="52">
        <v>2017</v>
      </c>
      <c r="BO21" s="54">
        <v>96.744</v>
      </c>
      <c r="BP21" s="54">
        <v>96.820999999999998</v>
      </c>
      <c r="BQ21" s="54">
        <v>97.427000000000007</v>
      </c>
      <c r="BR21" s="54">
        <v>97.459000000000003</v>
      </c>
      <c r="BS21" s="54">
        <v>98.114000000000004</v>
      </c>
      <c r="BT21" s="54">
        <v>98.085999999999999</v>
      </c>
      <c r="BU21" s="54">
        <v>98.539000000000001</v>
      </c>
      <c r="BV21" s="54">
        <v>98.057000000000002</v>
      </c>
      <c r="BW21" s="54">
        <v>96.730999999999995</v>
      </c>
      <c r="BX21" s="54">
        <v>96.906999999999996</v>
      </c>
      <c r="BY21" s="54">
        <v>97.013000000000005</v>
      </c>
      <c r="BZ21" s="54">
        <v>97.191999999999993</v>
      </c>
      <c r="CA21" s="49"/>
      <c r="CB21" s="49"/>
      <c r="CD21" s="52">
        <v>2003</v>
      </c>
      <c r="CE21" s="53">
        <v>181.7</v>
      </c>
      <c r="CF21" s="53">
        <v>183.1</v>
      </c>
      <c r="CG21" s="53">
        <v>184.2</v>
      </c>
      <c r="CH21" s="53">
        <v>183.8</v>
      </c>
      <c r="CI21" s="53">
        <v>183.5</v>
      </c>
      <c r="CJ21" s="53">
        <v>183.7</v>
      </c>
      <c r="CK21" s="53">
        <v>183.9</v>
      </c>
      <c r="CL21" s="53">
        <v>184.6</v>
      </c>
      <c r="CM21" s="53">
        <v>185.2</v>
      </c>
      <c r="CN21" s="53">
        <v>185</v>
      </c>
      <c r="CO21" s="53">
        <v>184.5</v>
      </c>
      <c r="CP21" s="53">
        <v>184.3</v>
      </c>
      <c r="CQ21" s="53">
        <v>183.3</v>
      </c>
      <c r="CR21" s="53">
        <v>184.6</v>
      </c>
      <c r="CT21" s="52">
        <v>2004</v>
      </c>
      <c r="CU21" s="53">
        <v>150.30000000000001</v>
      </c>
      <c r="CV21" s="53">
        <v>151.4</v>
      </c>
      <c r="CW21" s="53">
        <v>151.80000000000001</v>
      </c>
      <c r="CX21" s="53">
        <v>151.80000000000001</v>
      </c>
      <c r="CY21" s="53">
        <v>152.19999999999999</v>
      </c>
      <c r="CZ21" s="53">
        <v>153</v>
      </c>
      <c r="DA21" s="53">
        <v>153.80000000000001</v>
      </c>
      <c r="DB21" s="53">
        <v>153.69999999999999</v>
      </c>
      <c r="DC21" s="53">
        <v>154.19999999999999</v>
      </c>
      <c r="DD21" s="53">
        <v>155.1</v>
      </c>
      <c r="DE21" s="53">
        <v>156</v>
      </c>
      <c r="DF21" s="53">
        <v>157.1</v>
      </c>
      <c r="DJ21" s="52">
        <v>2004</v>
      </c>
      <c r="DK21" s="53">
        <v>145.1</v>
      </c>
      <c r="DL21" s="53">
        <v>146.19999999999999</v>
      </c>
      <c r="DM21" s="53">
        <v>146.80000000000001</v>
      </c>
      <c r="DN21" s="53">
        <v>146.69999999999999</v>
      </c>
      <c r="DO21" s="53">
        <v>147</v>
      </c>
      <c r="DP21" s="53">
        <v>147.5</v>
      </c>
      <c r="DQ21" s="53">
        <v>148.5</v>
      </c>
      <c r="DR21" s="53">
        <v>148.69999999999999</v>
      </c>
      <c r="DS21" s="53">
        <v>149.1</v>
      </c>
      <c r="DT21" s="53">
        <v>149.6</v>
      </c>
      <c r="DU21" s="53">
        <v>150.5</v>
      </c>
      <c r="DV21" s="53">
        <v>151.80000000000001</v>
      </c>
      <c r="DZ21" s="52">
        <v>2003</v>
      </c>
      <c r="EA21" s="53">
        <v>330.3</v>
      </c>
      <c r="EB21" s="53">
        <v>332.2</v>
      </c>
      <c r="EC21" s="53">
        <v>333.2</v>
      </c>
      <c r="ED21" s="53">
        <v>332</v>
      </c>
      <c r="EE21" s="53">
        <v>332</v>
      </c>
      <c r="EF21" s="53">
        <v>335.3</v>
      </c>
      <c r="EG21" s="53">
        <v>338.5</v>
      </c>
      <c r="EH21" s="53">
        <v>341.2</v>
      </c>
      <c r="EI21" s="53">
        <v>342.1</v>
      </c>
      <c r="EJ21" s="53">
        <v>342.8</v>
      </c>
      <c r="EK21" s="53">
        <v>347.1</v>
      </c>
      <c r="EL21" s="53">
        <v>348.5</v>
      </c>
      <c r="EP21" s="52">
        <v>2017</v>
      </c>
      <c r="EQ21" s="54">
        <v>99.209000000000003</v>
      </c>
      <c r="ER21" s="54">
        <v>100.029</v>
      </c>
      <c r="ES21" s="54">
        <v>99.974000000000004</v>
      </c>
      <c r="ET21" s="54">
        <v>99.908000000000001</v>
      </c>
      <c r="EU21" s="54">
        <v>99.902000000000001</v>
      </c>
      <c r="EV21" s="54">
        <v>99.605999999999995</v>
      </c>
      <c r="EW21" s="54">
        <v>99.057000000000002</v>
      </c>
      <c r="EX21" s="54">
        <v>99.210999999999999</v>
      </c>
      <c r="EY21" s="54">
        <v>99.573999999999998</v>
      </c>
      <c r="EZ21" s="54">
        <v>99.375</v>
      </c>
      <c r="FA21" s="54">
        <v>99.802999999999997</v>
      </c>
      <c r="FB21" s="54">
        <v>99.397000000000006</v>
      </c>
      <c r="FC21" s="49"/>
      <c r="FD21" s="49"/>
    </row>
    <row r="22" spans="2:160" x14ac:dyDescent="0.25">
      <c r="B22" s="52">
        <v>2004</v>
      </c>
      <c r="C22" s="53">
        <v>271.5</v>
      </c>
      <c r="D22" s="53">
        <v>275.10000000000002</v>
      </c>
      <c r="E22" s="53">
        <v>277.3</v>
      </c>
      <c r="F22" s="53">
        <v>277.8</v>
      </c>
      <c r="G22" s="53">
        <v>278.10000000000002</v>
      </c>
      <c r="H22" s="53">
        <v>278.3</v>
      </c>
      <c r="I22" s="53">
        <v>278.5</v>
      </c>
      <c r="J22" s="53">
        <v>280</v>
      </c>
      <c r="K22" s="53">
        <v>280.2</v>
      </c>
      <c r="L22" s="53">
        <v>280.7</v>
      </c>
      <c r="M22" s="53">
        <v>280.89999999999998</v>
      </c>
      <c r="N22" s="53">
        <v>280.8</v>
      </c>
      <c r="R22" s="33">
        <v>2004</v>
      </c>
      <c r="S22" s="37">
        <v>179.5</v>
      </c>
      <c r="T22" s="37">
        <v>179.2</v>
      </c>
      <c r="U22" s="37">
        <v>180.3</v>
      </c>
      <c r="V22" s="37">
        <v>181.4</v>
      </c>
      <c r="W22" s="37">
        <v>181.8</v>
      </c>
      <c r="X22" s="37">
        <v>182.1</v>
      </c>
      <c r="Y22" s="37">
        <v>182.1</v>
      </c>
      <c r="Z22" s="37">
        <v>182.9</v>
      </c>
      <c r="AA22" s="37">
        <v>183.1</v>
      </c>
      <c r="AB22" s="37">
        <v>183.3</v>
      </c>
      <c r="AC22" s="37">
        <v>183.3</v>
      </c>
      <c r="AD22" s="37">
        <v>183.7</v>
      </c>
      <c r="AH22" s="52">
        <v>2004</v>
      </c>
      <c r="AI22" s="53">
        <v>313.8</v>
      </c>
      <c r="AJ22" s="53">
        <v>316.60000000000002</v>
      </c>
      <c r="AK22" s="53">
        <v>318.39999999999998</v>
      </c>
      <c r="AL22" s="53">
        <v>319.2</v>
      </c>
      <c r="AM22" s="53">
        <v>319.8</v>
      </c>
      <c r="AN22" s="53">
        <v>321</v>
      </c>
      <c r="AO22" s="53">
        <v>322.3</v>
      </c>
      <c r="AP22" s="53">
        <v>323.10000000000002</v>
      </c>
      <c r="AQ22" s="53">
        <v>323.7</v>
      </c>
      <c r="AR22" s="53">
        <v>324.8</v>
      </c>
      <c r="AS22" s="53">
        <v>326</v>
      </c>
      <c r="AT22" s="53">
        <v>327.3</v>
      </c>
      <c r="AU22" s="53">
        <v>318.10000000000002</v>
      </c>
      <c r="AV22" s="53">
        <v>324.5</v>
      </c>
      <c r="AX22" s="52">
        <v>2004</v>
      </c>
      <c r="AY22" s="53">
        <v>330.4</v>
      </c>
      <c r="AZ22" s="53">
        <v>332.5</v>
      </c>
      <c r="BA22" s="53">
        <v>333.6</v>
      </c>
      <c r="BB22" s="53">
        <v>335.3</v>
      </c>
      <c r="BC22" s="53">
        <v>336.8</v>
      </c>
      <c r="BD22" s="53">
        <v>337.7</v>
      </c>
      <c r="BE22" s="53">
        <v>338.4</v>
      </c>
      <c r="BF22" s="53">
        <v>338.7</v>
      </c>
      <c r="BG22" s="53">
        <v>339.7</v>
      </c>
      <c r="BH22" s="53">
        <v>340.7</v>
      </c>
      <c r="BI22" s="53">
        <v>340.5</v>
      </c>
      <c r="BJ22" s="53">
        <v>340.7</v>
      </c>
      <c r="BN22" s="52">
        <v>2018</v>
      </c>
      <c r="BO22" s="54">
        <v>96.4</v>
      </c>
      <c r="BP22" s="54">
        <v>96.679000000000002</v>
      </c>
      <c r="BQ22" s="54">
        <v>97.575000000000003</v>
      </c>
      <c r="BR22" s="54">
        <v>97.224999999999994</v>
      </c>
      <c r="BS22" s="54">
        <v>97.206000000000003</v>
      </c>
      <c r="BT22" s="54">
        <v>97.536000000000001</v>
      </c>
      <c r="BU22" s="54">
        <v>96.956999999999994</v>
      </c>
      <c r="BV22" s="54">
        <v>96.444999999999993</v>
      </c>
      <c r="BW22" s="54">
        <v>95.641000000000005</v>
      </c>
      <c r="BX22" s="54">
        <v>97.103999999999999</v>
      </c>
      <c r="BY22" s="54">
        <v>97.504999999999995</v>
      </c>
      <c r="BZ22" s="54">
        <v>96.808000000000007</v>
      </c>
      <c r="CA22" s="54">
        <v>97.103999999999999</v>
      </c>
      <c r="CB22" s="54">
        <v>96.742999999999995</v>
      </c>
      <c r="CD22" s="52">
        <v>2004</v>
      </c>
      <c r="CE22" s="53">
        <v>185.2</v>
      </c>
      <c r="CF22" s="53">
        <v>186.2</v>
      </c>
      <c r="CG22" s="53">
        <v>187.4</v>
      </c>
      <c r="CH22" s="53">
        <v>188</v>
      </c>
      <c r="CI22" s="53">
        <v>189.1</v>
      </c>
      <c r="CJ22" s="53">
        <v>189.7</v>
      </c>
      <c r="CK22" s="53">
        <v>189.4</v>
      </c>
      <c r="CL22" s="53">
        <v>189.5</v>
      </c>
      <c r="CM22" s="53">
        <v>189.9</v>
      </c>
      <c r="CN22" s="53">
        <v>190.9</v>
      </c>
      <c r="CO22" s="53">
        <v>191</v>
      </c>
      <c r="CP22" s="53">
        <v>190.3</v>
      </c>
      <c r="CQ22" s="53">
        <v>187.6</v>
      </c>
      <c r="CR22" s="53">
        <v>190.2</v>
      </c>
      <c r="CT22" s="52">
        <v>2005</v>
      </c>
      <c r="CU22" s="53">
        <v>158.30000000000001</v>
      </c>
      <c r="CV22" s="53">
        <v>159.69999999999999</v>
      </c>
      <c r="CW22" s="53">
        <v>160.6</v>
      </c>
      <c r="CX22" s="53">
        <v>160.6</v>
      </c>
      <c r="CY22" s="53">
        <v>160.6</v>
      </c>
      <c r="CZ22" s="53">
        <v>160.80000000000001</v>
      </c>
      <c r="DA22" s="53">
        <v>162</v>
      </c>
      <c r="DB22" s="53">
        <v>161.4</v>
      </c>
      <c r="DC22" s="53">
        <v>161.5</v>
      </c>
      <c r="DD22" s="53">
        <v>162.9</v>
      </c>
      <c r="DE22" s="53">
        <v>165.2</v>
      </c>
      <c r="DF22" s="53">
        <v>165.2</v>
      </c>
      <c r="DJ22" s="52">
        <v>2005</v>
      </c>
      <c r="DK22" s="53">
        <v>153.4</v>
      </c>
      <c r="DL22" s="53">
        <v>154.9</v>
      </c>
      <c r="DM22" s="53">
        <v>156</v>
      </c>
      <c r="DN22" s="53">
        <v>155.80000000000001</v>
      </c>
      <c r="DO22" s="53">
        <v>155.9</v>
      </c>
      <c r="DP22" s="53">
        <v>156.1</v>
      </c>
      <c r="DQ22" s="53">
        <v>157.1</v>
      </c>
      <c r="DR22" s="53">
        <v>156.6</v>
      </c>
      <c r="DS22" s="53">
        <v>156.69999999999999</v>
      </c>
      <c r="DT22" s="53">
        <v>157.69999999999999</v>
      </c>
      <c r="DU22" s="53">
        <v>159.5</v>
      </c>
      <c r="DV22" s="53">
        <v>159.80000000000001</v>
      </c>
      <c r="DZ22" s="52">
        <v>2004</v>
      </c>
      <c r="EA22" s="53">
        <v>349.5</v>
      </c>
      <c r="EB22" s="53">
        <v>352.2</v>
      </c>
      <c r="EC22" s="53">
        <v>353.4</v>
      </c>
      <c r="ED22" s="53">
        <v>353.1</v>
      </c>
      <c r="EE22" s="53">
        <v>353.9</v>
      </c>
      <c r="EF22" s="53">
        <v>356.8</v>
      </c>
      <c r="EG22" s="53">
        <v>357.9</v>
      </c>
      <c r="EH22" s="53">
        <v>355.6</v>
      </c>
      <c r="EI22" s="53">
        <v>356.7</v>
      </c>
      <c r="EJ22" s="53">
        <v>360</v>
      </c>
      <c r="EK22" s="53">
        <v>362</v>
      </c>
      <c r="EL22" s="53">
        <v>364.2</v>
      </c>
      <c r="EP22" s="52">
        <v>2018</v>
      </c>
      <c r="EQ22" s="54">
        <v>99.855999999999995</v>
      </c>
      <c r="ER22" s="54">
        <v>100.42700000000001</v>
      </c>
      <c r="ES22" s="54">
        <v>98.399000000000001</v>
      </c>
      <c r="ET22" s="54">
        <v>98.076999999999998</v>
      </c>
      <c r="EU22" s="54">
        <v>100.486</v>
      </c>
      <c r="EV22" s="54">
        <v>100.512</v>
      </c>
      <c r="EW22" s="54">
        <v>100.349</v>
      </c>
      <c r="EX22" s="54">
        <v>99.53</v>
      </c>
      <c r="EY22" s="54">
        <v>100.52800000000001</v>
      </c>
      <c r="EZ22" s="54">
        <v>101.048</v>
      </c>
      <c r="FA22" s="54">
        <v>101.51600000000001</v>
      </c>
      <c r="FB22" s="54">
        <v>101.176</v>
      </c>
      <c r="FC22" s="54">
        <v>99.626000000000005</v>
      </c>
      <c r="FD22" s="54">
        <v>100.691</v>
      </c>
    </row>
    <row r="23" spans="2:160" x14ac:dyDescent="0.25">
      <c r="B23" s="52">
        <v>2005</v>
      </c>
      <c r="C23" s="53">
        <v>282</v>
      </c>
      <c r="D23" s="53">
        <v>285.2</v>
      </c>
      <c r="E23" s="53">
        <v>285.89999999999998</v>
      </c>
      <c r="F23" s="53">
        <v>286.89999999999998</v>
      </c>
      <c r="G23" s="53">
        <v>287.7</v>
      </c>
      <c r="H23" s="53">
        <v>287.8</v>
      </c>
      <c r="I23" s="53">
        <v>288.39999999999998</v>
      </c>
      <c r="J23" s="53">
        <v>288.60000000000002</v>
      </c>
      <c r="K23" s="53">
        <v>289</v>
      </c>
      <c r="L23" s="53">
        <v>289.2</v>
      </c>
      <c r="M23" s="53">
        <v>289.3</v>
      </c>
      <c r="N23" s="53">
        <v>289.5</v>
      </c>
      <c r="R23" s="33">
        <v>2005</v>
      </c>
      <c r="S23" s="37">
        <v>184.3</v>
      </c>
      <c r="T23" s="37">
        <v>186</v>
      </c>
      <c r="U23" s="37">
        <v>186.1</v>
      </c>
      <c r="V23" s="37">
        <v>186.2</v>
      </c>
      <c r="W23" s="37">
        <v>186.7</v>
      </c>
      <c r="X23" s="37">
        <v>186.7</v>
      </c>
      <c r="Y23" s="37">
        <v>186.9</v>
      </c>
      <c r="Z23" s="37">
        <v>187</v>
      </c>
      <c r="AA23" s="37">
        <v>187.2</v>
      </c>
      <c r="AB23" s="37">
        <v>188</v>
      </c>
      <c r="AC23" s="37">
        <v>188.2</v>
      </c>
      <c r="AD23" s="37">
        <v>188.3</v>
      </c>
      <c r="AH23" s="52">
        <v>2005</v>
      </c>
      <c r="AI23" s="53">
        <v>329.5</v>
      </c>
      <c r="AJ23" s="53">
        <v>332.5</v>
      </c>
      <c r="AK23" s="53">
        <v>334.3</v>
      </c>
      <c r="AL23" s="53">
        <v>335.2</v>
      </c>
      <c r="AM23" s="53">
        <v>335.9</v>
      </c>
      <c r="AN23" s="53">
        <v>336.3</v>
      </c>
      <c r="AO23" s="53">
        <v>337.8</v>
      </c>
      <c r="AP23" s="53">
        <v>337.3</v>
      </c>
      <c r="AQ23" s="53">
        <v>337.9</v>
      </c>
      <c r="AR23" s="53">
        <v>339.7</v>
      </c>
      <c r="AS23" s="53">
        <v>341.7</v>
      </c>
      <c r="AT23" s="53">
        <v>342</v>
      </c>
      <c r="AU23" s="53">
        <v>334</v>
      </c>
      <c r="AV23" s="53">
        <v>339.4</v>
      </c>
      <c r="AX23" s="52">
        <v>2005</v>
      </c>
      <c r="AY23" s="53">
        <v>342.6</v>
      </c>
      <c r="AZ23" s="53">
        <v>344.5</v>
      </c>
      <c r="BA23" s="53">
        <v>344.5</v>
      </c>
      <c r="BB23" s="53">
        <v>344.8</v>
      </c>
      <c r="BC23" s="53">
        <v>346.8</v>
      </c>
      <c r="BD23" s="53">
        <v>348.6</v>
      </c>
      <c r="BE23" s="53">
        <v>349.9</v>
      </c>
      <c r="BF23" s="53">
        <v>350.7</v>
      </c>
      <c r="BG23" s="53">
        <v>351.8</v>
      </c>
      <c r="BH23" s="53">
        <v>353.2</v>
      </c>
      <c r="BI23" s="53">
        <v>355.1</v>
      </c>
      <c r="BJ23" s="53">
        <v>355.7</v>
      </c>
      <c r="BN23" s="52">
        <v>2019</v>
      </c>
      <c r="BO23" s="54">
        <v>96.59</v>
      </c>
      <c r="BP23" s="54">
        <v>95.867000000000004</v>
      </c>
      <c r="BQ23" s="54">
        <v>95.965999999999994</v>
      </c>
      <c r="BR23" s="54">
        <v>96.441999999999993</v>
      </c>
      <c r="BS23" s="54">
        <v>97.048000000000002</v>
      </c>
      <c r="BT23" s="54">
        <v>97.37</v>
      </c>
      <c r="BU23" s="54">
        <v>97.411000000000001</v>
      </c>
      <c r="BV23" s="54">
        <v>99</v>
      </c>
      <c r="BW23" s="54">
        <v>98.162999999999997</v>
      </c>
      <c r="BX23" s="54">
        <v>98.046000000000006</v>
      </c>
      <c r="BY23" s="54">
        <v>98.236999999999995</v>
      </c>
      <c r="BZ23" s="54">
        <v>97.308999999999997</v>
      </c>
      <c r="CA23" s="54">
        <v>96.546999999999997</v>
      </c>
      <c r="CB23" s="54">
        <v>98.028000000000006</v>
      </c>
      <c r="CD23" s="52">
        <v>2005</v>
      </c>
      <c r="CE23" s="53">
        <v>190.7</v>
      </c>
      <c r="CF23" s="53">
        <v>191.8</v>
      </c>
      <c r="CG23" s="53">
        <v>193.3</v>
      </c>
      <c r="CH23" s="53">
        <v>194.6</v>
      </c>
      <c r="CI23" s="53">
        <v>194.4</v>
      </c>
      <c r="CJ23" s="53">
        <v>194.5</v>
      </c>
      <c r="CK23" s="53">
        <v>195.4</v>
      </c>
      <c r="CL23" s="53">
        <v>196.4</v>
      </c>
      <c r="CM23" s="53">
        <v>198.8</v>
      </c>
      <c r="CN23" s="53">
        <v>199.2</v>
      </c>
      <c r="CO23" s="53">
        <v>197.6</v>
      </c>
      <c r="CP23" s="53">
        <v>196.8</v>
      </c>
      <c r="CQ23" s="53">
        <v>193.2</v>
      </c>
      <c r="CR23" s="53">
        <v>197.4</v>
      </c>
      <c r="CT23" s="52">
        <v>2006</v>
      </c>
      <c r="CU23" s="53">
        <v>166.7</v>
      </c>
      <c r="CV23" s="53">
        <v>169.3</v>
      </c>
      <c r="CW23" s="53">
        <v>170.4</v>
      </c>
      <c r="CX23" s="53">
        <v>170.9</v>
      </c>
      <c r="CY23" s="53">
        <v>171.4</v>
      </c>
      <c r="CZ23" s="53">
        <v>172</v>
      </c>
      <c r="DA23" s="53">
        <v>172.6</v>
      </c>
      <c r="DB23" s="53">
        <v>173.3</v>
      </c>
      <c r="DC23" s="53">
        <v>173.6</v>
      </c>
      <c r="DD23" s="53">
        <v>174.3</v>
      </c>
      <c r="DE23" s="53">
        <v>175.7</v>
      </c>
      <c r="DF23" s="53">
        <v>175.4</v>
      </c>
      <c r="DJ23" s="52">
        <v>2006</v>
      </c>
      <c r="DK23" s="53">
        <v>161.6</v>
      </c>
      <c r="DL23" s="53">
        <v>164</v>
      </c>
      <c r="DM23" s="53">
        <v>166.4</v>
      </c>
      <c r="DN23" s="53">
        <v>166.6</v>
      </c>
      <c r="DO23" s="53">
        <v>167.4</v>
      </c>
      <c r="DP23" s="53">
        <v>167.4</v>
      </c>
      <c r="DQ23" s="53">
        <v>167.9</v>
      </c>
      <c r="DR23" s="53">
        <v>168.4</v>
      </c>
      <c r="DS23" s="53">
        <v>168.7</v>
      </c>
      <c r="DT23" s="53">
        <v>169.6</v>
      </c>
      <c r="DU23" s="53">
        <v>170.8</v>
      </c>
      <c r="DV23" s="53">
        <v>170.6</v>
      </c>
      <c r="DZ23" s="52">
        <v>2005</v>
      </c>
      <c r="EA23" s="53">
        <v>365.5</v>
      </c>
      <c r="EB23" s="53">
        <v>367.8</v>
      </c>
      <c r="EC23" s="53">
        <v>369.8</v>
      </c>
      <c r="ED23" s="53">
        <v>369.8</v>
      </c>
      <c r="EE23" s="53">
        <v>370.2</v>
      </c>
      <c r="EF23" s="53">
        <v>371.1</v>
      </c>
      <c r="EG23" s="53">
        <v>373.8</v>
      </c>
      <c r="EH23" s="53">
        <v>372.8</v>
      </c>
      <c r="EI23" s="53">
        <v>372.8</v>
      </c>
      <c r="EJ23" s="53">
        <v>376.8</v>
      </c>
      <c r="EK23" s="53">
        <v>382.9</v>
      </c>
      <c r="EL23" s="53">
        <v>382.5</v>
      </c>
      <c r="EP23" s="52">
        <v>2019</v>
      </c>
      <c r="EQ23" s="54">
        <v>101.92400000000001</v>
      </c>
      <c r="ER23" s="54">
        <v>101.295</v>
      </c>
      <c r="ES23" s="54">
        <v>99.754999999999995</v>
      </c>
      <c r="ET23" s="54">
        <v>101.789</v>
      </c>
      <c r="EU23" s="54">
        <v>103.438</v>
      </c>
      <c r="EV23" s="54">
        <v>104.03400000000001</v>
      </c>
      <c r="EW23" s="54">
        <v>102.009</v>
      </c>
      <c r="EX23" s="54">
        <v>102.003</v>
      </c>
      <c r="EY23" s="54">
        <v>101.577</v>
      </c>
      <c r="EZ23" s="54">
        <v>102.459</v>
      </c>
      <c r="FA23" s="54">
        <v>103.465</v>
      </c>
      <c r="FB23" s="54">
        <v>102.461</v>
      </c>
      <c r="FC23" s="54">
        <v>102.039</v>
      </c>
      <c r="FD23" s="54">
        <v>102.32899999999999</v>
      </c>
    </row>
    <row r="24" spans="2:160" x14ac:dyDescent="0.25">
      <c r="B24" s="52">
        <v>2006</v>
      </c>
      <c r="C24" s="53">
        <v>288.5</v>
      </c>
      <c r="D24" s="53">
        <v>289.8</v>
      </c>
      <c r="E24" s="53">
        <v>291.39999999999998</v>
      </c>
      <c r="F24" s="53">
        <v>291.39999999999998</v>
      </c>
      <c r="G24" s="53">
        <v>291.7</v>
      </c>
      <c r="H24" s="53">
        <v>291.7</v>
      </c>
      <c r="I24" s="53">
        <v>292.10000000000002</v>
      </c>
      <c r="J24" s="53">
        <v>292.5</v>
      </c>
      <c r="K24" s="53">
        <v>292.5</v>
      </c>
      <c r="L24" s="53">
        <v>293.2</v>
      </c>
      <c r="M24" s="53">
        <v>293.7</v>
      </c>
      <c r="N24" s="53">
        <v>294.3</v>
      </c>
      <c r="R24" s="33">
        <v>2006</v>
      </c>
      <c r="S24" s="37">
        <v>188.1</v>
      </c>
      <c r="T24" s="37">
        <v>190.4</v>
      </c>
      <c r="U24" s="37">
        <v>191.1</v>
      </c>
      <c r="V24" s="37">
        <v>191.2</v>
      </c>
      <c r="W24" s="37">
        <v>191.4</v>
      </c>
      <c r="X24" s="37">
        <v>191.4</v>
      </c>
      <c r="Y24" s="37">
        <v>192.3</v>
      </c>
      <c r="Z24" s="37">
        <v>193.3</v>
      </c>
      <c r="AA24" s="37">
        <v>194.2</v>
      </c>
      <c r="AB24" s="37">
        <v>194.2</v>
      </c>
      <c r="AC24" s="37">
        <v>194.1</v>
      </c>
      <c r="AD24" s="37">
        <v>194.2</v>
      </c>
      <c r="AH24" s="52">
        <v>2006</v>
      </c>
      <c r="AI24" s="53">
        <v>342.9</v>
      </c>
      <c r="AJ24" s="53">
        <v>346.1</v>
      </c>
      <c r="AK24" s="53">
        <v>348</v>
      </c>
      <c r="AL24" s="53">
        <v>348.8</v>
      </c>
      <c r="AM24" s="53">
        <v>349.7</v>
      </c>
      <c r="AN24" s="53">
        <v>350.3</v>
      </c>
      <c r="AO24" s="53">
        <v>351.2</v>
      </c>
      <c r="AP24" s="53">
        <v>352.1</v>
      </c>
      <c r="AQ24" s="53">
        <v>352.7</v>
      </c>
      <c r="AR24" s="53">
        <v>354</v>
      </c>
      <c r="AS24" s="53">
        <v>355.6</v>
      </c>
      <c r="AT24" s="53">
        <v>356</v>
      </c>
      <c r="AU24" s="53">
        <v>347.6</v>
      </c>
      <c r="AV24" s="53">
        <v>353.6</v>
      </c>
      <c r="AX24" s="52">
        <v>2006</v>
      </c>
      <c r="AY24" s="53">
        <v>357.6</v>
      </c>
      <c r="AZ24" s="53">
        <v>359.9</v>
      </c>
      <c r="BA24" s="53">
        <v>361.5</v>
      </c>
      <c r="BB24" s="53">
        <v>362.7</v>
      </c>
      <c r="BC24" s="53">
        <v>364.2</v>
      </c>
      <c r="BD24" s="53">
        <v>365.2</v>
      </c>
      <c r="BE24" s="53">
        <v>366.1</v>
      </c>
      <c r="BF24" s="53">
        <v>367.2</v>
      </c>
      <c r="BG24" s="53">
        <v>368.4</v>
      </c>
      <c r="BH24" s="53">
        <v>367.7</v>
      </c>
      <c r="BI24" s="53">
        <v>364.5</v>
      </c>
      <c r="BJ24" s="53">
        <v>362.3</v>
      </c>
      <c r="BN24" s="52">
        <v>2020</v>
      </c>
      <c r="BO24" s="54">
        <v>96.058999999999997</v>
      </c>
      <c r="BP24" s="54">
        <v>95.814999999999998</v>
      </c>
      <c r="BQ24" s="54">
        <v>96.564999999999998</v>
      </c>
      <c r="BR24" s="54">
        <v>96.120999999999995</v>
      </c>
      <c r="BS24" s="54">
        <v>96.521000000000001</v>
      </c>
      <c r="BT24" s="54">
        <v>96.411000000000001</v>
      </c>
      <c r="BU24" s="54">
        <v>96.423000000000002</v>
      </c>
      <c r="BV24" s="54">
        <v>97.356999999999999</v>
      </c>
      <c r="BW24" s="54">
        <v>97.56</v>
      </c>
      <c r="BX24" s="54">
        <v>96.251000000000005</v>
      </c>
      <c r="BY24" s="54">
        <v>96.341999999999999</v>
      </c>
      <c r="BZ24" s="54">
        <v>95.941000000000003</v>
      </c>
      <c r="CA24" s="54">
        <v>96.248999999999995</v>
      </c>
      <c r="CB24" s="54">
        <v>96.646000000000001</v>
      </c>
      <c r="CD24" s="52">
        <v>2006</v>
      </c>
      <c r="CE24" s="53">
        <v>198.3</v>
      </c>
      <c r="CF24" s="53">
        <v>198.7</v>
      </c>
      <c r="CG24" s="53">
        <v>199.8</v>
      </c>
      <c r="CH24" s="53">
        <v>201.5</v>
      </c>
      <c r="CI24" s="53">
        <v>202.5</v>
      </c>
      <c r="CJ24" s="53">
        <v>202.9</v>
      </c>
      <c r="CK24" s="53">
        <v>203.5</v>
      </c>
      <c r="CL24" s="53">
        <v>203.9</v>
      </c>
      <c r="CM24" s="53">
        <v>202.9</v>
      </c>
      <c r="CN24" s="53">
        <v>201.8</v>
      </c>
      <c r="CO24" s="53">
        <v>201.5</v>
      </c>
      <c r="CP24" s="53">
        <v>201.8</v>
      </c>
      <c r="CQ24" s="53">
        <v>200.6</v>
      </c>
      <c r="CR24" s="53">
        <v>202.6</v>
      </c>
      <c r="CT24" s="52">
        <v>2007</v>
      </c>
      <c r="CU24" s="54">
        <v>177.29300000000001</v>
      </c>
      <c r="CV24" s="54">
        <v>179.43600000000001</v>
      </c>
      <c r="CW24" s="54">
        <v>180.28200000000001</v>
      </c>
      <c r="CX24" s="54">
        <v>180.98</v>
      </c>
      <c r="CY24" s="54">
        <v>181.708</v>
      </c>
      <c r="CZ24" s="54">
        <v>182.00700000000001</v>
      </c>
      <c r="DA24" s="54">
        <v>183.67699999999999</v>
      </c>
      <c r="DB24" s="54">
        <v>184.29300000000001</v>
      </c>
      <c r="DC24" s="54">
        <v>185.49799999999999</v>
      </c>
      <c r="DD24" s="54">
        <v>187.72900000000001</v>
      </c>
      <c r="DE24" s="54">
        <v>189.797</v>
      </c>
      <c r="DF24" s="54">
        <v>189.90799999999999</v>
      </c>
      <c r="DJ24" s="52">
        <v>2007</v>
      </c>
      <c r="DK24" s="54">
        <v>172.547</v>
      </c>
      <c r="DL24" s="54">
        <v>174.74299999999999</v>
      </c>
      <c r="DM24" s="54">
        <v>174.82599999999999</v>
      </c>
      <c r="DN24" s="54">
        <v>175.56700000000001</v>
      </c>
      <c r="DO24" s="54">
        <v>176.387</v>
      </c>
      <c r="DP24" s="54">
        <v>176.697</v>
      </c>
      <c r="DQ24" s="54">
        <v>178.32400000000001</v>
      </c>
      <c r="DR24" s="54">
        <v>178.96799999999999</v>
      </c>
      <c r="DS24" s="54">
        <v>179.84399999999999</v>
      </c>
      <c r="DT24" s="54">
        <v>181.76900000000001</v>
      </c>
      <c r="DU24" s="54">
        <v>183.45</v>
      </c>
      <c r="DV24" s="54">
        <v>183.595</v>
      </c>
      <c r="DZ24" s="52">
        <v>2006</v>
      </c>
      <c r="EA24" s="53">
        <v>384.6</v>
      </c>
      <c r="EB24" s="53">
        <v>391.2</v>
      </c>
      <c r="EC24" s="53">
        <v>390.7</v>
      </c>
      <c r="ED24" s="53">
        <v>392.7</v>
      </c>
      <c r="EE24" s="53">
        <v>392.1</v>
      </c>
      <c r="EF24" s="53">
        <v>393.4</v>
      </c>
      <c r="EG24" s="53">
        <v>395.1</v>
      </c>
      <c r="EH24" s="53">
        <v>397.6</v>
      </c>
      <c r="EI24" s="53">
        <v>398.3</v>
      </c>
      <c r="EJ24" s="53">
        <v>399.2</v>
      </c>
      <c r="EK24" s="53">
        <v>402.8</v>
      </c>
      <c r="EL24" s="53">
        <v>402.4</v>
      </c>
      <c r="EP24" s="52">
        <v>2020</v>
      </c>
      <c r="EQ24" s="54">
        <v>101.605</v>
      </c>
      <c r="ER24" s="54">
        <v>101.32</v>
      </c>
      <c r="ES24" s="54">
        <v>101.093</v>
      </c>
      <c r="ET24" s="54">
        <v>100.438</v>
      </c>
      <c r="EU24" s="54">
        <v>101.902</v>
      </c>
      <c r="EV24" s="54">
        <v>101.831</v>
      </c>
      <c r="EW24" s="54">
        <v>102.184</v>
      </c>
      <c r="EX24" s="54">
        <v>100.979</v>
      </c>
      <c r="EY24" s="54">
        <v>98.981999999999999</v>
      </c>
      <c r="EZ24" s="54">
        <v>97.590999999999994</v>
      </c>
      <c r="FA24" s="54">
        <v>92.429000000000002</v>
      </c>
      <c r="FB24" s="54">
        <v>92.218999999999994</v>
      </c>
      <c r="FC24" s="54">
        <v>101.36499999999999</v>
      </c>
      <c r="FD24" s="54">
        <v>97.397000000000006</v>
      </c>
    </row>
    <row r="25" spans="2:160" x14ac:dyDescent="0.25">
      <c r="B25" s="52">
        <v>2007</v>
      </c>
      <c r="C25" s="54">
        <v>297.75099999999998</v>
      </c>
      <c r="D25" s="54">
        <v>301.56</v>
      </c>
      <c r="E25" s="54">
        <v>301.97399999999999</v>
      </c>
      <c r="F25" s="54">
        <v>302.06799999999998</v>
      </c>
      <c r="G25" s="54">
        <v>302.32</v>
      </c>
      <c r="H25" s="54">
        <v>302.64299999999997</v>
      </c>
      <c r="I25" s="54">
        <v>303.89</v>
      </c>
      <c r="J25" s="54">
        <v>304.45699999999999</v>
      </c>
      <c r="K25" s="54">
        <v>304.49799999999999</v>
      </c>
      <c r="L25" s="54">
        <v>305.74900000000002</v>
      </c>
      <c r="M25" s="54">
        <v>305.69099999999997</v>
      </c>
      <c r="N25" s="54">
        <v>306.30399999999997</v>
      </c>
      <c r="R25" s="33">
        <v>2007</v>
      </c>
      <c r="S25" s="38">
        <v>195.01300000000001</v>
      </c>
      <c r="T25" s="38">
        <v>195.667</v>
      </c>
      <c r="U25" s="38">
        <v>196.56100000000001</v>
      </c>
      <c r="V25" s="38">
        <v>196.74100000000001</v>
      </c>
      <c r="W25" s="38">
        <v>196.96</v>
      </c>
      <c r="X25" s="38">
        <v>197.12700000000001</v>
      </c>
      <c r="Y25" s="38">
        <v>197.38800000000001</v>
      </c>
      <c r="Z25" s="38">
        <v>197.613</v>
      </c>
      <c r="AA25" s="38">
        <v>197.702</v>
      </c>
      <c r="AB25" s="38">
        <v>198.43199999999999</v>
      </c>
      <c r="AC25" s="38">
        <v>199.45400000000001</v>
      </c>
      <c r="AD25" s="38">
        <v>200.31200000000001</v>
      </c>
      <c r="AH25" s="52">
        <v>2007</v>
      </c>
      <c r="AI25" s="54">
        <v>359.75700000000001</v>
      </c>
      <c r="AJ25" s="54">
        <v>363.90800000000002</v>
      </c>
      <c r="AK25" s="54">
        <v>365.16399999999999</v>
      </c>
      <c r="AL25" s="54">
        <v>366.07</v>
      </c>
      <c r="AM25" s="54">
        <v>367.12700000000001</v>
      </c>
      <c r="AN25" s="54">
        <v>367.75799999999998</v>
      </c>
      <c r="AO25" s="54">
        <v>370.00799999999998</v>
      </c>
      <c r="AP25" s="54">
        <v>371.46100000000001</v>
      </c>
      <c r="AQ25" s="54">
        <v>372.43200000000002</v>
      </c>
      <c r="AR25" s="54">
        <v>374.75</v>
      </c>
      <c r="AS25" s="54">
        <v>376.25</v>
      </c>
      <c r="AT25" s="54">
        <v>376.94</v>
      </c>
      <c r="AU25" s="54">
        <v>364.964</v>
      </c>
      <c r="AV25" s="54">
        <v>373.64</v>
      </c>
      <c r="AX25" s="52">
        <v>2007</v>
      </c>
      <c r="AY25" s="54">
        <v>367.072</v>
      </c>
      <c r="AZ25" s="54">
        <v>366.55799999999999</v>
      </c>
      <c r="BA25" s="54">
        <v>365.07799999999997</v>
      </c>
      <c r="BB25" s="54">
        <v>366.83800000000002</v>
      </c>
      <c r="BC25" s="54">
        <v>366.952</v>
      </c>
      <c r="BD25" s="54">
        <v>366.78199999999998</v>
      </c>
      <c r="BE25" s="54">
        <v>369.39</v>
      </c>
      <c r="BF25" s="54">
        <v>370.721</v>
      </c>
      <c r="BG25" s="54">
        <v>370.97199999999998</v>
      </c>
      <c r="BH25" s="54">
        <v>371.85599999999999</v>
      </c>
      <c r="BI25" s="54">
        <v>373.28</v>
      </c>
      <c r="BJ25" s="54">
        <v>374.38900000000001</v>
      </c>
      <c r="BN25" s="52">
        <v>2021</v>
      </c>
      <c r="BO25" s="54">
        <v>94.852999999999994</v>
      </c>
      <c r="BP25" s="54">
        <v>94.293000000000006</v>
      </c>
      <c r="BQ25" s="54">
        <v>94.507000000000005</v>
      </c>
      <c r="BR25" s="54">
        <v>95.537999999999997</v>
      </c>
      <c r="BS25" s="54">
        <v>96.210999999999999</v>
      </c>
      <c r="BT25" s="54">
        <v>95.965000000000003</v>
      </c>
      <c r="BU25" s="54">
        <v>96.561999999999998</v>
      </c>
      <c r="BV25" s="54">
        <v>95.846999999999994</v>
      </c>
      <c r="BW25" s="54">
        <v>95.929000000000002</v>
      </c>
      <c r="BX25" s="54">
        <v>96.887</v>
      </c>
      <c r="BY25" s="54">
        <v>97.119</v>
      </c>
      <c r="BZ25" s="54">
        <v>96.751999999999995</v>
      </c>
      <c r="CA25" s="54">
        <v>95.227999999999994</v>
      </c>
      <c r="CB25" s="54">
        <v>96.516000000000005</v>
      </c>
      <c r="CD25" s="52">
        <v>2007</v>
      </c>
      <c r="CE25" s="54">
        <v>202.416</v>
      </c>
      <c r="CF25" s="54">
        <v>203.499</v>
      </c>
      <c r="CG25" s="54">
        <v>205.352</v>
      </c>
      <c r="CH25" s="54">
        <v>206.68600000000001</v>
      </c>
      <c r="CI25" s="54">
        <v>207.94900000000001</v>
      </c>
      <c r="CJ25" s="54">
        <v>208.352</v>
      </c>
      <c r="CK25" s="54">
        <v>208.29900000000001</v>
      </c>
      <c r="CL25" s="54">
        <v>207.917</v>
      </c>
      <c r="CM25" s="54">
        <v>208.49</v>
      </c>
      <c r="CN25" s="54">
        <v>208.93600000000001</v>
      </c>
      <c r="CO25" s="54">
        <v>210.17699999999999</v>
      </c>
      <c r="CP25" s="54">
        <v>210.036</v>
      </c>
      <c r="CQ25" s="54">
        <v>205.709</v>
      </c>
      <c r="CR25" s="54">
        <v>208.976</v>
      </c>
      <c r="CT25" s="52">
        <v>2008</v>
      </c>
      <c r="CU25" s="54">
        <v>192.87799999999999</v>
      </c>
      <c r="CV25" s="54">
        <v>194.81800000000001</v>
      </c>
      <c r="CW25" s="54">
        <v>195.20599999999999</v>
      </c>
      <c r="CX25" s="54">
        <v>195.68799999999999</v>
      </c>
      <c r="CY25" s="54">
        <v>196.03200000000001</v>
      </c>
      <c r="CZ25" s="54">
        <v>196.19900000000001</v>
      </c>
      <c r="DA25" s="54">
        <v>196.97300000000001</v>
      </c>
      <c r="DB25" s="54">
        <v>197.786</v>
      </c>
      <c r="DC25" s="54">
        <v>198.69300000000001</v>
      </c>
      <c r="DD25" s="54">
        <v>199.98400000000001</v>
      </c>
      <c r="DE25" s="54">
        <v>200.923</v>
      </c>
      <c r="DF25" s="54">
        <v>201.053</v>
      </c>
      <c r="DJ25" s="52">
        <v>2008</v>
      </c>
      <c r="DK25" s="54">
        <v>186.48</v>
      </c>
      <c r="DL25" s="54">
        <v>188.81700000000001</v>
      </c>
      <c r="DM25" s="54">
        <v>189.12200000000001</v>
      </c>
      <c r="DN25" s="54">
        <v>189.68199999999999</v>
      </c>
      <c r="DO25" s="54">
        <v>189.68700000000001</v>
      </c>
      <c r="DP25" s="54">
        <v>190.15899999999999</v>
      </c>
      <c r="DQ25" s="54">
        <v>190.78899999999999</v>
      </c>
      <c r="DR25" s="54">
        <v>191.21199999999999</v>
      </c>
      <c r="DS25" s="54">
        <v>192.09100000000001</v>
      </c>
      <c r="DT25" s="54">
        <v>193.31700000000001</v>
      </c>
      <c r="DU25" s="54">
        <v>194.04</v>
      </c>
      <c r="DV25" s="54">
        <v>194.07300000000001</v>
      </c>
      <c r="DZ25" s="52">
        <v>2007</v>
      </c>
      <c r="EA25" s="54">
        <v>405.84699999999998</v>
      </c>
      <c r="EB25" s="54">
        <v>410.863</v>
      </c>
      <c r="EC25" s="54">
        <v>416.32499999999999</v>
      </c>
      <c r="ED25" s="54">
        <v>418.19099999999997</v>
      </c>
      <c r="EE25" s="54">
        <v>419.53399999999999</v>
      </c>
      <c r="EF25" s="54">
        <v>420.29300000000001</v>
      </c>
      <c r="EG25" s="54">
        <v>423.92700000000002</v>
      </c>
      <c r="EH25" s="54">
        <v>425.35300000000001</v>
      </c>
      <c r="EI25" s="54">
        <v>430.166</v>
      </c>
      <c r="EJ25" s="54">
        <v>436.16500000000002</v>
      </c>
      <c r="EK25" s="54">
        <v>442.01100000000002</v>
      </c>
      <c r="EL25" s="54">
        <v>442.08499999999998</v>
      </c>
      <c r="EP25" s="52">
        <v>2021</v>
      </c>
      <c r="EQ25" s="54">
        <v>95.402000000000001</v>
      </c>
      <c r="ER25" s="54">
        <v>95.781999999999996</v>
      </c>
      <c r="ES25" s="54">
        <v>95.379000000000005</v>
      </c>
      <c r="ET25" s="54">
        <v>94.864000000000004</v>
      </c>
      <c r="EU25" s="54">
        <v>96.003</v>
      </c>
      <c r="EV25" s="54">
        <v>95.451999999999998</v>
      </c>
      <c r="EW25" s="54">
        <v>95.572000000000003</v>
      </c>
      <c r="EX25" s="54">
        <v>96.435000000000002</v>
      </c>
      <c r="EY25" s="54">
        <v>97.361999999999995</v>
      </c>
      <c r="EZ25" s="54">
        <v>97.623999999999995</v>
      </c>
      <c r="FA25" s="54">
        <v>97.191999999999993</v>
      </c>
      <c r="FB25" s="54">
        <v>97.691999999999993</v>
      </c>
      <c r="FC25" s="54">
        <v>95.48</v>
      </c>
      <c r="FD25" s="54">
        <v>96.98</v>
      </c>
    </row>
    <row r="26" spans="2:160" x14ac:dyDescent="0.25">
      <c r="B26" s="52">
        <v>2008</v>
      </c>
      <c r="C26" s="54">
        <v>308.14499999999998</v>
      </c>
      <c r="D26" s="54">
        <v>307.774</v>
      </c>
      <c r="E26" s="54">
        <v>308.42399999999998</v>
      </c>
      <c r="F26" s="54">
        <v>308.488</v>
      </c>
      <c r="G26" s="54">
        <v>310.77600000000001</v>
      </c>
      <c r="H26" s="54">
        <v>311.03699999999998</v>
      </c>
      <c r="I26" s="54">
        <v>311.27</v>
      </c>
      <c r="J26" s="54">
        <v>312.78800000000001</v>
      </c>
      <c r="K26" s="54">
        <v>313.59199999999998</v>
      </c>
      <c r="L26" s="54">
        <v>314.041</v>
      </c>
      <c r="M26" s="54">
        <v>314.52999999999997</v>
      </c>
      <c r="N26" s="54">
        <v>315.233</v>
      </c>
      <c r="R26" s="33">
        <v>2008</v>
      </c>
      <c r="S26" s="38">
        <v>200.94399999999999</v>
      </c>
      <c r="T26" s="38">
        <v>202.63399999999999</v>
      </c>
      <c r="U26" s="38">
        <v>202.67</v>
      </c>
      <c r="V26" s="38">
        <v>203.50700000000001</v>
      </c>
      <c r="W26" s="38">
        <v>204.70599999999999</v>
      </c>
      <c r="X26" s="38">
        <v>205.904</v>
      </c>
      <c r="Y26" s="38">
        <v>207.626</v>
      </c>
      <c r="Z26" s="38">
        <v>207.17099999999999</v>
      </c>
      <c r="AA26" s="38">
        <v>207.25899999999999</v>
      </c>
      <c r="AB26" s="38">
        <v>207.78800000000001</v>
      </c>
      <c r="AC26" s="38">
        <v>207.851</v>
      </c>
      <c r="AD26" s="38">
        <v>207.85</v>
      </c>
      <c r="AH26" s="52">
        <v>2008</v>
      </c>
      <c r="AI26" s="54">
        <v>380.13499999999999</v>
      </c>
      <c r="AJ26" s="54">
        <v>382.19600000000003</v>
      </c>
      <c r="AK26" s="54">
        <v>382.87200000000001</v>
      </c>
      <c r="AL26" s="54">
        <v>383.29199999999997</v>
      </c>
      <c r="AM26" s="54">
        <v>384.505</v>
      </c>
      <c r="AN26" s="54">
        <v>384.685</v>
      </c>
      <c r="AO26" s="54">
        <v>385.36099999999999</v>
      </c>
      <c r="AP26" s="54">
        <v>385.99</v>
      </c>
      <c r="AQ26" s="54">
        <v>386.57900000000001</v>
      </c>
      <c r="AR26" s="54">
        <v>387.44</v>
      </c>
      <c r="AS26" s="54">
        <v>387.99200000000002</v>
      </c>
      <c r="AT26" s="54">
        <v>388.267</v>
      </c>
      <c r="AU26" s="54">
        <v>382.94799999999998</v>
      </c>
      <c r="AV26" s="54">
        <v>386.93799999999999</v>
      </c>
      <c r="AX26" s="52">
        <v>2008</v>
      </c>
      <c r="AY26" s="54">
        <v>377.82799999999997</v>
      </c>
      <c r="AZ26" s="54">
        <v>379.31</v>
      </c>
      <c r="BA26" s="54">
        <v>380.40699999999998</v>
      </c>
      <c r="BB26" s="54">
        <v>379.61200000000002</v>
      </c>
      <c r="BC26" s="54">
        <v>377.14400000000001</v>
      </c>
      <c r="BD26" s="54">
        <v>377.42899999999997</v>
      </c>
      <c r="BE26" s="54">
        <v>376.81299999999999</v>
      </c>
      <c r="BF26" s="54">
        <v>376.38499999999999</v>
      </c>
      <c r="BG26" s="54">
        <v>377.09399999999999</v>
      </c>
      <c r="BH26" s="54">
        <v>377.95600000000002</v>
      </c>
      <c r="BI26" s="54">
        <v>379.49099999999999</v>
      </c>
      <c r="BJ26" s="54">
        <v>379.94299999999998</v>
      </c>
      <c r="BN26" s="52">
        <v>2022</v>
      </c>
      <c r="BO26" s="54">
        <v>96.42</v>
      </c>
      <c r="BP26" s="54">
        <v>97.12</v>
      </c>
      <c r="BQ26" s="54">
        <v>98.421999999999997</v>
      </c>
      <c r="BR26" s="54">
        <v>98.436999999999998</v>
      </c>
      <c r="BS26" s="54">
        <v>99.302000000000007</v>
      </c>
      <c r="BT26" s="54">
        <v>100.465</v>
      </c>
      <c r="BU26" s="54">
        <v>101.76600000000001</v>
      </c>
      <c r="BV26" s="54">
        <v>101.68600000000001</v>
      </c>
      <c r="BW26" s="54">
        <v>101.262</v>
      </c>
      <c r="BX26" s="54">
        <v>101.664</v>
      </c>
      <c r="BY26" s="54">
        <v>102.38500000000001</v>
      </c>
      <c r="BZ26" s="54">
        <v>101.968</v>
      </c>
      <c r="CA26" s="54">
        <v>98.361000000000004</v>
      </c>
      <c r="CB26" s="54">
        <v>101.789</v>
      </c>
      <c r="CD26" s="52">
        <v>2008</v>
      </c>
      <c r="CE26" s="54">
        <v>211.08</v>
      </c>
      <c r="CF26" s="54">
        <v>211.69300000000001</v>
      </c>
      <c r="CG26" s="54">
        <v>213.52799999999999</v>
      </c>
      <c r="CH26" s="54">
        <v>214.82300000000001</v>
      </c>
      <c r="CI26" s="54">
        <v>216.63200000000001</v>
      </c>
      <c r="CJ26" s="54">
        <v>218.815</v>
      </c>
      <c r="CK26" s="54">
        <v>219.964</v>
      </c>
      <c r="CL26" s="54">
        <v>219.08600000000001</v>
      </c>
      <c r="CM26" s="54">
        <v>218.78299999999999</v>
      </c>
      <c r="CN26" s="54">
        <v>216.57300000000001</v>
      </c>
      <c r="CO26" s="54">
        <v>212.42500000000001</v>
      </c>
      <c r="CP26" s="54">
        <v>210.22800000000001</v>
      </c>
      <c r="CQ26" s="54">
        <v>214.429</v>
      </c>
      <c r="CR26" s="54">
        <v>216.17699999999999</v>
      </c>
      <c r="CT26" s="52">
        <v>2009</v>
      </c>
      <c r="CU26" s="54">
        <v>203.95699999999999</v>
      </c>
      <c r="CV26" s="54">
        <v>206.845</v>
      </c>
      <c r="CW26" s="54">
        <v>207.92500000000001</v>
      </c>
      <c r="CX26" s="54">
        <v>209.41200000000001</v>
      </c>
      <c r="CY26" s="54">
        <v>209.11</v>
      </c>
      <c r="CZ26" s="54">
        <v>209.27699999999999</v>
      </c>
      <c r="DA26" s="54">
        <v>210.92</v>
      </c>
      <c r="DB26" s="54">
        <v>211.64400000000001</v>
      </c>
      <c r="DC26" s="54">
        <v>212.84800000000001</v>
      </c>
      <c r="DD26" s="54">
        <v>213.88200000000001</v>
      </c>
      <c r="DE26" s="54">
        <v>216.38399999999999</v>
      </c>
      <c r="DF26" s="54">
        <v>216.57</v>
      </c>
      <c r="DJ26" s="52">
        <v>2009</v>
      </c>
      <c r="DK26" s="54">
        <v>196.32400000000001</v>
      </c>
      <c r="DL26" s="54">
        <v>199.691</v>
      </c>
      <c r="DM26" s="54">
        <v>200.74799999999999</v>
      </c>
      <c r="DN26" s="54">
        <v>202.239</v>
      </c>
      <c r="DO26" s="54">
        <v>202.126</v>
      </c>
      <c r="DP26" s="54">
        <v>202.59899999999999</v>
      </c>
      <c r="DQ26" s="54">
        <v>203.89500000000001</v>
      </c>
      <c r="DR26" s="54">
        <v>204.91200000000001</v>
      </c>
      <c r="DS26" s="54">
        <v>205.71299999999999</v>
      </c>
      <c r="DT26" s="54">
        <v>206.536</v>
      </c>
      <c r="DU26" s="54">
        <v>208.91300000000001</v>
      </c>
      <c r="DV26" s="54">
        <v>209.07499999999999</v>
      </c>
      <c r="DZ26" s="52">
        <v>2008</v>
      </c>
      <c r="EA26" s="54">
        <v>448.15199999999999</v>
      </c>
      <c r="EB26" s="54">
        <v>451.15300000000002</v>
      </c>
      <c r="EC26" s="54">
        <v>451.89600000000002</v>
      </c>
      <c r="ED26" s="54">
        <v>452.00700000000001</v>
      </c>
      <c r="EE26" s="54">
        <v>454.197</v>
      </c>
      <c r="EF26" s="54">
        <v>453.60899999999998</v>
      </c>
      <c r="EG26" s="54">
        <v>455.83699999999999</v>
      </c>
      <c r="EH26" s="54">
        <v>458.66</v>
      </c>
      <c r="EI26" s="54">
        <v>460.50799999999998</v>
      </c>
      <c r="EJ26" s="54">
        <v>463.29500000000002</v>
      </c>
      <c r="EK26" s="54">
        <v>466.14</v>
      </c>
      <c r="EL26" s="54">
        <v>466.73599999999999</v>
      </c>
      <c r="EP26" s="52">
        <v>2022</v>
      </c>
      <c r="EQ26" s="54">
        <v>98.971000000000004</v>
      </c>
      <c r="ER26" s="54">
        <v>98.486999999999995</v>
      </c>
      <c r="ES26" s="54">
        <v>98.274000000000001</v>
      </c>
      <c r="ET26" s="54">
        <v>98.593000000000004</v>
      </c>
      <c r="EU26" s="54">
        <v>100.542</v>
      </c>
      <c r="EV26" s="54">
        <v>101.129</v>
      </c>
      <c r="EW26" s="54">
        <v>101.914</v>
      </c>
      <c r="EX26" s="54">
        <v>102.264</v>
      </c>
      <c r="EY26" s="54">
        <v>103.22499999999999</v>
      </c>
      <c r="EZ26" s="54">
        <v>102.574</v>
      </c>
      <c r="FA26" s="54">
        <v>104.3</v>
      </c>
      <c r="FB26" s="54">
        <v>106.664</v>
      </c>
      <c r="FC26" s="54">
        <v>99.332999999999998</v>
      </c>
      <c r="FD26" s="54">
        <v>103.49</v>
      </c>
    </row>
    <row r="27" spans="2:160" x14ac:dyDescent="0.25">
      <c r="B27" s="52">
        <v>2009</v>
      </c>
      <c r="C27" s="54">
        <v>316.74400000000003</v>
      </c>
      <c r="D27" s="54">
        <v>317.75799999999998</v>
      </c>
      <c r="E27" s="54">
        <v>318.87299999999999</v>
      </c>
      <c r="F27" s="54">
        <v>318.72199999999998</v>
      </c>
      <c r="G27" s="54">
        <v>320.95499999999998</v>
      </c>
      <c r="H27" s="54">
        <v>321.18099999999998</v>
      </c>
      <c r="I27" s="54">
        <v>321.89800000000002</v>
      </c>
      <c r="J27" s="54">
        <v>322.33999999999997</v>
      </c>
      <c r="K27" s="54">
        <v>322.58199999999999</v>
      </c>
      <c r="L27" s="54">
        <v>322.91199999999998</v>
      </c>
      <c r="M27" s="54">
        <v>322.88299999999998</v>
      </c>
      <c r="N27" s="54">
        <v>323.12400000000002</v>
      </c>
      <c r="R27" s="33">
        <v>2009</v>
      </c>
      <c r="S27" s="38">
        <v>208.59</v>
      </c>
      <c r="T27" s="38">
        <v>208.75200000000001</v>
      </c>
      <c r="U27" s="38">
        <v>208.941</v>
      </c>
      <c r="V27" s="38">
        <v>209.08099999999999</v>
      </c>
      <c r="W27" s="38">
        <v>209.02099999999999</v>
      </c>
      <c r="X27" s="38">
        <v>209.62799999999999</v>
      </c>
      <c r="Y27" s="38">
        <v>209.727</v>
      </c>
      <c r="Z27" s="38">
        <v>209.87</v>
      </c>
      <c r="AA27" s="38">
        <v>209.86600000000001</v>
      </c>
      <c r="AB27" s="38">
        <v>210.67599999999999</v>
      </c>
      <c r="AC27" s="38">
        <v>211.66800000000001</v>
      </c>
      <c r="AD27" s="38">
        <v>211.524</v>
      </c>
      <c r="AH27" s="52">
        <v>2009</v>
      </c>
      <c r="AI27" s="54">
        <v>391.36500000000001</v>
      </c>
      <c r="AJ27" s="54">
        <v>394.04700000000003</v>
      </c>
      <c r="AK27" s="54">
        <v>394.83699999999999</v>
      </c>
      <c r="AL27" s="54">
        <v>395.75299999999999</v>
      </c>
      <c r="AM27" s="54">
        <v>396.64800000000002</v>
      </c>
      <c r="AN27" s="54">
        <v>396.75</v>
      </c>
      <c r="AO27" s="54">
        <v>397.86799999999999</v>
      </c>
      <c r="AP27" s="54">
        <v>398.303</v>
      </c>
      <c r="AQ27" s="54">
        <v>399.16</v>
      </c>
      <c r="AR27" s="54">
        <v>400.01499999999999</v>
      </c>
      <c r="AS27" s="54">
        <v>401.392</v>
      </c>
      <c r="AT27" s="54">
        <v>401.452</v>
      </c>
      <c r="AU27" s="54">
        <v>394.9</v>
      </c>
      <c r="AV27" s="54">
        <v>399.69799999999998</v>
      </c>
      <c r="AX27" s="52">
        <v>2009</v>
      </c>
      <c r="AY27" s="54">
        <v>383.28</v>
      </c>
      <c r="AZ27" s="54">
        <v>386.45600000000002</v>
      </c>
      <c r="BA27" s="54">
        <v>386.85899999999998</v>
      </c>
      <c r="BB27" s="54">
        <v>388.71100000000001</v>
      </c>
      <c r="BC27" s="54">
        <v>390.221</v>
      </c>
      <c r="BD27" s="54">
        <v>390.55799999999999</v>
      </c>
      <c r="BE27" s="54">
        <v>390.56299999999999</v>
      </c>
      <c r="BF27" s="54">
        <v>392.79899999999998</v>
      </c>
      <c r="BG27" s="54">
        <v>394.70699999999999</v>
      </c>
      <c r="BH27" s="54">
        <v>395.75900000000001</v>
      </c>
      <c r="BI27" s="54">
        <v>396.21600000000001</v>
      </c>
      <c r="BJ27" s="54">
        <v>396.52600000000001</v>
      </c>
      <c r="BN27" s="52">
        <v>2023</v>
      </c>
      <c r="BO27" s="54">
        <v>101.081</v>
      </c>
      <c r="BP27" s="54">
        <v>101.47199999999999</v>
      </c>
      <c r="BQ27" s="54">
        <v>103.03</v>
      </c>
      <c r="BR27" s="54">
        <v>103.863</v>
      </c>
      <c r="BS27" s="54">
        <v>105.467</v>
      </c>
      <c r="BT27" s="54">
        <v>106.078</v>
      </c>
      <c r="BU27" s="54">
        <v>108.119</v>
      </c>
      <c r="BV27" s="54">
        <v>109.349</v>
      </c>
      <c r="BW27" s="54">
        <v>109.76600000000001</v>
      </c>
      <c r="BX27" s="54">
        <v>109.89700000000001</v>
      </c>
      <c r="BY27" s="54">
        <v>110.377</v>
      </c>
      <c r="BZ27" s="54">
        <v>110.441</v>
      </c>
      <c r="CA27" s="54">
        <v>103.499</v>
      </c>
      <c r="CB27" s="54">
        <v>109.658</v>
      </c>
      <c r="CD27" s="52">
        <v>2009</v>
      </c>
      <c r="CE27" s="54">
        <v>211.143</v>
      </c>
      <c r="CF27" s="54">
        <v>212.19300000000001</v>
      </c>
      <c r="CG27" s="54">
        <v>212.709</v>
      </c>
      <c r="CH27" s="54">
        <v>213.24</v>
      </c>
      <c r="CI27" s="54">
        <v>213.85599999999999</v>
      </c>
      <c r="CJ27" s="54">
        <v>215.69300000000001</v>
      </c>
      <c r="CK27" s="54">
        <v>215.351</v>
      </c>
      <c r="CL27" s="54">
        <v>215.834</v>
      </c>
      <c r="CM27" s="54">
        <v>215.96899999999999</v>
      </c>
      <c r="CN27" s="54">
        <v>216.17699999999999</v>
      </c>
      <c r="CO27" s="54">
        <v>216.33</v>
      </c>
      <c r="CP27" s="54">
        <v>215.94900000000001</v>
      </c>
      <c r="CQ27" s="54">
        <v>213.13900000000001</v>
      </c>
      <c r="CR27" s="54">
        <v>215.935</v>
      </c>
      <c r="CT27" s="52">
        <v>2010</v>
      </c>
      <c r="CU27" s="54">
        <v>219.34</v>
      </c>
      <c r="CV27" s="54">
        <v>223.614</v>
      </c>
      <c r="CW27" s="54">
        <v>225.822</v>
      </c>
      <c r="CX27" s="54">
        <v>226.13300000000001</v>
      </c>
      <c r="CY27" s="54">
        <v>226.18600000000001</v>
      </c>
      <c r="CZ27" s="54">
        <v>226.57900000000001</v>
      </c>
      <c r="DA27" s="54">
        <v>225.55199999999999</v>
      </c>
      <c r="DB27" s="54">
        <v>226.2</v>
      </c>
      <c r="DC27" s="54">
        <v>230.08500000000001</v>
      </c>
      <c r="DD27" s="54">
        <v>231.96100000000001</v>
      </c>
      <c r="DE27" s="54">
        <v>232.298</v>
      </c>
      <c r="DF27" s="54">
        <v>232.953</v>
      </c>
      <c r="DJ27" s="52">
        <v>2010</v>
      </c>
      <c r="DK27" s="54">
        <v>212.268</v>
      </c>
      <c r="DL27" s="54">
        <v>216.697</v>
      </c>
      <c r="DM27" s="54">
        <v>219.733</v>
      </c>
      <c r="DN27" s="54">
        <v>220.48400000000001</v>
      </c>
      <c r="DO27" s="54">
        <v>220.381</v>
      </c>
      <c r="DP27" s="54">
        <v>221.036</v>
      </c>
      <c r="DQ27" s="54">
        <v>219.857</v>
      </c>
      <c r="DR27" s="54">
        <v>220.785</v>
      </c>
      <c r="DS27" s="54">
        <v>224.88300000000001</v>
      </c>
      <c r="DT27" s="54">
        <v>226.768</v>
      </c>
      <c r="DU27" s="54">
        <v>227.18600000000001</v>
      </c>
      <c r="DV27" s="54">
        <v>228.22200000000001</v>
      </c>
      <c r="DZ27" s="52">
        <v>2009</v>
      </c>
      <c r="EA27" s="54">
        <v>477.601</v>
      </c>
      <c r="EB27" s="54">
        <v>480.85300000000001</v>
      </c>
      <c r="EC27" s="54">
        <v>483.20600000000002</v>
      </c>
      <c r="ED27" s="54">
        <v>487.43299999999999</v>
      </c>
      <c r="EE27" s="54">
        <v>486.06799999999998</v>
      </c>
      <c r="EF27" s="54">
        <v>486.19499999999999</v>
      </c>
      <c r="EG27" s="54">
        <v>491.09800000000001</v>
      </c>
      <c r="EH27" s="54">
        <v>492.22899999999998</v>
      </c>
      <c r="EI27" s="54">
        <v>495.37799999999999</v>
      </c>
      <c r="EJ27" s="54">
        <v>498.113</v>
      </c>
      <c r="EK27" s="54">
        <v>504.44299999999998</v>
      </c>
      <c r="EL27" s="54">
        <v>504.84300000000002</v>
      </c>
      <c r="EP27" s="52">
        <v>2023</v>
      </c>
      <c r="EQ27" s="54">
        <v>105.86199999999999</v>
      </c>
      <c r="ER27" s="54">
        <v>106.114</v>
      </c>
      <c r="ES27" s="54">
        <v>107.376</v>
      </c>
      <c r="ET27" s="54">
        <v>108.36499999999999</v>
      </c>
      <c r="EU27" s="54">
        <v>110.88500000000001</v>
      </c>
      <c r="EV27" s="54">
        <v>110.93</v>
      </c>
      <c r="EW27" s="54">
        <v>110.55800000000001</v>
      </c>
      <c r="EX27" s="54">
        <v>110.453</v>
      </c>
      <c r="EY27" s="54">
        <v>111.03700000000001</v>
      </c>
      <c r="EZ27" s="54">
        <v>109.127</v>
      </c>
      <c r="FA27" s="54">
        <v>109.718</v>
      </c>
      <c r="FB27" s="54">
        <v>111.06699999999999</v>
      </c>
      <c r="FC27" s="54">
        <v>108.255</v>
      </c>
      <c r="FD27" s="54">
        <v>110.327</v>
      </c>
    </row>
    <row r="28" spans="2:160" x14ac:dyDescent="0.25">
      <c r="B28" s="52">
        <v>2010</v>
      </c>
      <c r="C28" s="54">
        <v>327.17599999999999</v>
      </c>
      <c r="D28" s="54">
        <v>329.02800000000002</v>
      </c>
      <c r="E28" s="54">
        <v>329.08699999999999</v>
      </c>
      <c r="F28" s="54">
        <v>329.62299999999999</v>
      </c>
      <c r="G28" s="54">
        <v>329.72399999999999</v>
      </c>
      <c r="H28" s="54">
        <v>330.91500000000002</v>
      </c>
      <c r="I28" s="54">
        <v>332.47899999999998</v>
      </c>
      <c r="J28" s="54">
        <v>332.83600000000001</v>
      </c>
      <c r="K28" s="54">
        <v>333.71499999999997</v>
      </c>
      <c r="L28" s="54">
        <v>333.39400000000001</v>
      </c>
      <c r="M28" s="54">
        <v>333.86900000000003</v>
      </c>
      <c r="N28" s="54">
        <v>334.11200000000002</v>
      </c>
      <c r="R28" s="33">
        <v>2010</v>
      </c>
      <c r="S28" s="38">
        <v>212.02699999999999</v>
      </c>
      <c r="T28" s="38">
        <v>213.566</v>
      </c>
      <c r="U28" s="38">
        <v>214.10900000000001</v>
      </c>
      <c r="V28" s="38">
        <v>214.203</v>
      </c>
      <c r="W28" s="38">
        <v>213.703</v>
      </c>
      <c r="X28" s="38">
        <v>213.88</v>
      </c>
      <c r="Y28" s="38">
        <v>214.315</v>
      </c>
      <c r="Z28" s="38">
        <v>215.023</v>
      </c>
      <c r="AA28" s="38">
        <v>215.36500000000001</v>
      </c>
      <c r="AB28" s="38">
        <v>215.32599999999999</v>
      </c>
      <c r="AC28" s="38">
        <v>215.49600000000001</v>
      </c>
      <c r="AD28" s="38">
        <v>215.42699999999999</v>
      </c>
      <c r="AH28" s="52">
        <v>2010</v>
      </c>
      <c r="AI28" s="54">
        <v>404.93700000000001</v>
      </c>
      <c r="AJ28" s="54">
        <v>408.447</v>
      </c>
      <c r="AK28" s="54">
        <v>409.68700000000001</v>
      </c>
      <c r="AL28" s="54">
        <v>410.25599999999997</v>
      </c>
      <c r="AM28" s="54">
        <v>410.173</v>
      </c>
      <c r="AN28" s="54">
        <v>410.80200000000002</v>
      </c>
      <c r="AO28" s="54">
        <v>410.71</v>
      </c>
      <c r="AP28" s="54">
        <v>411.18200000000002</v>
      </c>
      <c r="AQ28" s="54">
        <v>413.80700000000002</v>
      </c>
      <c r="AR28" s="54">
        <v>414.56400000000002</v>
      </c>
      <c r="AS28" s="54">
        <v>414.85</v>
      </c>
      <c r="AT28" s="54">
        <v>415.07900000000001</v>
      </c>
      <c r="AU28" s="54">
        <v>409.05</v>
      </c>
      <c r="AV28" s="54">
        <v>413.36500000000001</v>
      </c>
      <c r="AX28" s="52">
        <v>2010</v>
      </c>
      <c r="AY28" s="54">
        <v>400.49799999999999</v>
      </c>
      <c r="AZ28" s="54">
        <v>404.09</v>
      </c>
      <c r="BA28" s="54">
        <v>405.76299999999998</v>
      </c>
      <c r="BB28" s="54">
        <v>406.61799999999999</v>
      </c>
      <c r="BC28" s="54">
        <v>407.11</v>
      </c>
      <c r="BD28" s="54">
        <v>407.56200000000001</v>
      </c>
      <c r="BE28" s="54">
        <v>407.05799999999999</v>
      </c>
      <c r="BF28" s="54">
        <v>409.1</v>
      </c>
      <c r="BG28" s="54">
        <v>410.28899999999999</v>
      </c>
      <c r="BH28" s="54">
        <v>410.94400000000002</v>
      </c>
      <c r="BI28" s="54">
        <v>412.06900000000002</v>
      </c>
      <c r="BJ28" s="54">
        <v>412.786</v>
      </c>
      <c r="BN28" s="52">
        <v>2024</v>
      </c>
      <c r="BO28" s="54">
        <v>110.41200000000001</v>
      </c>
      <c r="BP28" s="54">
        <v>110.902</v>
      </c>
      <c r="BQ28" s="54">
        <v>110.628</v>
      </c>
      <c r="BR28" s="54">
        <v>111.821</v>
      </c>
      <c r="BS28" s="54">
        <v>111.652</v>
      </c>
      <c r="BT28" s="54">
        <v>112.015</v>
      </c>
      <c r="BU28" s="54">
        <v>112.343</v>
      </c>
      <c r="BV28" s="54">
        <v>112.014</v>
      </c>
      <c r="BW28" s="54">
        <v>110.557</v>
      </c>
      <c r="BX28" s="54">
        <v>109.315</v>
      </c>
      <c r="BY28" s="54">
        <v>109.92</v>
      </c>
      <c r="BZ28" s="54">
        <v>110.07599999999999</v>
      </c>
      <c r="CA28" s="54">
        <v>111.238</v>
      </c>
      <c r="CB28" s="54">
        <v>110.70399999999999</v>
      </c>
      <c r="CD28" s="52">
        <v>2010</v>
      </c>
      <c r="CE28" s="54">
        <v>216.68700000000001</v>
      </c>
      <c r="CF28" s="54">
        <v>216.74100000000001</v>
      </c>
      <c r="CG28" s="54">
        <v>217.631</v>
      </c>
      <c r="CH28" s="54">
        <v>218.00899999999999</v>
      </c>
      <c r="CI28" s="54">
        <v>218.178</v>
      </c>
      <c r="CJ28" s="54">
        <v>217.965</v>
      </c>
      <c r="CK28" s="54">
        <v>218.011</v>
      </c>
      <c r="CL28" s="54">
        <v>218.31200000000001</v>
      </c>
      <c r="CM28" s="54">
        <v>218.43899999999999</v>
      </c>
      <c r="CN28" s="54">
        <v>218.71100000000001</v>
      </c>
      <c r="CO28" s="54">
        <v>218.803</v>
      </c>
      <c r="CP28" s="54">
        <v>219.179</v>
      </c>
      <c r="CQ28" s="54">
        <v>217.535</v>
      </c>
      <c r="CR28" s="54">
        <v>218.57599999999999</v>
      </c>
      <c r="CT28" s="52">
        <v>2011</v>
      </c>
      <c r="CU28" s="54">
        <v>234.791</v>
      </c>
      <c r="CV28" s="54">
        <v>237.904</v>
      </c>
      <c r="CW28" s="54">
        <v>238.22300000000001</v>
      </c>
      <c r="CX28" s="54">
        <v>239.453</v>
      </c>
      <c r="CY28" s="54">
        <v>240.334</v>
      </c>
      <c r="CZ28" s="54">
        <v>240.39500000000001</v>
      </c>
      <c r="DA28" s="54">
        <v>241.251</v>
      </c>
      <c r="DB28" s="54">
        <v>242.03200000000001</v>
      </c>
      <c r="DC28" s="54">
        <v>242.61500000000001</v>
      </c>
      <c r="DD28" s="54">
        <v>244.59200000000001</v>
      </c>
      <c r="DE28" s="54">
        <v>246.58699999999999</v>
      </c>
      <c r="DF28" s="54">
        <v>246.37700000000001</v>
      </c>
      <c r="DJ28" s="52">
        <v>2011</v>
      </c>
      <c r="DK28" s="54">
        <v>230.09200000000001</v>
      </c>
      <c r="DL28" s="54">
        <v>232.93299999999999</v>
      </c>
      <c r="DM28" s="54">
        <v>233.399</v>
      </c>
      <c r="DN28" s="54">
        <v>234.69499999999999</v>
      </c>
      <c r="DO28" s="54">
        <v>235.56700000000001</v>
      </c>
      <c r="DP28" s="54">
        <v>235.75899999999999</v>
      </c>
      <c r="DQ28" s="54">
        <v>236.45400000000001</v>
      </c>
      <c r="DR28" s="54">
        <v>237.21899999999999</v>
      </c>
      <c r="DS28" s="54">
        <v>237.61500000000001</v>
      </c>
      <c r="DT28" s="54">
        <v>240.02600000000001</v>
      </c>
      <c r="DU28" s="54">
        <v>242.672</v>
      </c>
      <c r="DV28" s="54">
        <v>242.364</v>
      </c>
      <c r="DZ28" s="52">
        <v>2010</v>
      </c>
      <c r="EA28" s="54">
        <v>507.64100000000002</v>
      </c>
      <c r="EB28" s="54">
        <v>516.32600000000002</v>
      </c>
      <c r="EC28" s="54">
        <v>518.72199999999998</v>
      </c>
      <c r="ED28" s="54">
        <v>518.64200000000005</v>
      </c>
      <c r="EE28" s="54">
        <v>518.76199999999994</v>
      </c>
      <c r="EF28" s="54">
        <v>518.73900000000003</v>
      </c>
      <c r="EG28" s="54">
        <v>516.39099999999996</v>
      </c>
      <c r="EH28" s="54">
        <v>516.97299999999996</v>
      </c>
      <c r="EI28" s="54">
        <v>524.673</v>
      </c>
      <c r="EJ28" s="54">
        <v>529.06200000000001</v>
      </c>
      <c r="EK28" s="54">
        <v>530.01400000000001</v>
      </c>
      <c r="EL28" s="54">
        <v>530.654</v>
      </c>
      <c r="EP28" s="52">
        <v>2024</v>
      </c>
      <c r="EQ28" s="54">
        <v>109.506</v>
      </c>
      <c r="ER28" s="54">
        <v>109.723</v>
      </c>
      <c r="ES28" s="54">
        <v>110.40900000000001</v>
      </c>
      <c r="ET28" s="54">
        <v>110.01</v>
      </c>
      <c r="EU28" s="54">
        <v>110.758</v>
      </c>
      <c r="EV28" s="54">
        <v>111.84</v>
      </c>
      <c r="EW28" s="54">
        <v>111.711</v>
      </c>
      <c r="EX28" s="54">
        <v>111.16800000000001</v>
      </c>
      <c r="EY28" s="54">
        <v>111.363</v>
      </c>
      <c r="EZ28" s="54">
        <v>111.398</v>
      </c>
      <c r="FA28" s="54">
        <v>111.001</v>
      </c>
      <c r="FB28" s="54">
        <v>109.867</v>
      </c>
      <c r="FC28" s="54">
        <v>110.374</v>
      </c>
      <c r="FD28" s="54">
        <v>111.08499999999999</v>
      </c>
    </row>
    <row r="29" spans="2:160" x14ac:dyDescent="0.25">
      <c r="B29" s="52">
        <v>2011</v>
      </c>
      <c r="C29" s="54">
        <v>335.625</v>
      </c>
      <c r="D29" s="54">
        <v>339.05399999999997</v>
      </c>
      <c r="E29" s="54">
        <v>339.53199999999998</v>
      </c>
      <c r="F29" s="54">
        <v>339.42700000000002</v>
      </c>
      <c r="G29" s="54">
        <v>339.53399999999999</v>
      </c>
      <c r="H29" s="54">
        <v>340.01100000000002</v>
      </c>
      <c r="I29" s="54">
        <v>340.58499999999998</v>
      </c>
      <c r="J29" s="54">
        <v>341.14100000000002</v>
      </c>
      <c r="K29" s="54">
        <v>341.041</v>
      </c>
      <c r="L29" s="54">
        <v>342.26600000000002</v>
      </c>
      <c r="M29" s="54">
        <v>342.435</v>
      </c>
      <c r="N29" s="54">
        <v>342.96600000000001</v>
      </c>
      <c r="R29" s="33">
        <v>2011</v>
      </c>
      <c r="S29" s="38">
        <v>216.45</v>
      </c>
      <c r="T29" s="38">
        <v>217.57400000000001</v>
      </c>
      <c r="U29" s="38">
        <v>216.964</v>
      </c>
      <c r="V29" s="38">
        <v>217.22900000000001</v>
      </c>
      <c r="W29" s="38">
        <v>217.35900000000001</v>
      </c>
      <c r="X29" s="38">
        <v>217.702</v>
      </c>
      <c r="Y29" s="38">
        <v>217.934</v>
      </c>
      <c r="Z29" s="38">
        <v>217.303</v>
      </c>
      <c r="AA29" s="38">
        <v>217.184</v>
      </c>
      <c r="AB29" s="38">
        <v>217.49100000000001</v>
      </c>
      <c r="AC29" s="38">
        <v>217.809</v>
      </c>
      <c r="AD29" s="38">
        <v>218.22300000000001</v>
      </c>
      <c r="AH29" s="52">
        <v>2011</v>
      </c>
      <c r="AI29" s="54">
        <v>417.02499999999998</v>
      </c>
      <c r="AJ29" s="54">
        <v>420.56700000000001</v>
      </c>
      <c r="AK29" s="54">
        <v>420.85199999999998</v>
      </c>
      <c r="AL29" s="54">
        <v>421.71600000000001</v>
      </c>
      <c r="AM29" s="54">
        <v>422.43799999999999</v>
      </c>
      <c r="AN29" s="54">
        <v>422.81299999999999</v>
      </c>
      <c r="AO29" s="54">
        <v>423.84699999999998</v>
      </c>
      <c r="AP29" s="54">
        <v>424.54599999999999</v>
      </c>
      <c r="AQ29" s="54">
        <v>425.25799999999998</v>
      </c>
      <c r="AR29" s="54">
        <v>427.46699999999998</v>
      </c>
      <c r="AS29" s="54">
        <v>429.19099999999997</v>
      </c>
      <c r="AT29" s="54">
        <v>430.005</v>
      </c>
      <c r="AU29" s="54">
        <v>420.90199999999999</v>
      </c>
      <c r="AV29" s="54">
        <v>426.71899999999999</v>
      </c>
      <c r="AX29" s="52">
        <v>2011</v>
      </c>
      <c r="AY29" s="54">
        <v>416.26600000000002</v>
      </c>
      <c r="AZ29" s="54">
        <v>420.32900000000001</v>
      </c>
      <c r="BA29" s="54">
        <v>422.16800000000001</v>
      </c>
      <c r="BB29" s="54">
        <v>424.26400000000001</v>
      </c>
      <c r="BC29" s="54">
        <v>425.18900000000002</v>
      </c>
      <c r="BD29" s="54">
        <v>424.76100000000002</v>
      </c>
      <c r="BE29" s="54">
        <v>425.60399999999998</v>
      </c>
      <c r="BF29" s="54">
        <v>426.77499999999998</v>
      </c>
      <c r="BG29" s="54">
        <v>427.58499999999998</v>
      </c>
      <c r="BH29" s="54">
        <v>428.29399999999998</v>
      </c>
      <c r="BI29" s="54">
        <v>428.71800000000002</v>
      </c>
      <c r="BJ29" s="54">
        <v>429.81700000000001</v>
      </c>
      <c r="BN29" s="52">
        <v>2025</v>
      </c>
      <c r="BO29" s="54">
        <v>109.026</v>
      </c>
      <c r="BP29" s="54">
        <v>109.627</v>
      </c>
      <c r="BQ29" s="54">
        <v>109.959</v>
      </c>
      <c r="BR29" s="54">
        <v>110.55</v>
      </c>
      <c r="BS29" s="54">
        <v>110.973</v>
      </c>
      <c r="BT29" s="54">
        <v>110.129</v>
      </c>
      <c r="BU29" s="54">
        <v>110.32599999999999</v>
      </c>
      <c r="BV29" s="54">
        <v>109.373</v>
      </c>
      <c r="BW29" s="54">
        <v>108.577</v>
      </c>
      <c r="BX29" s="49" t="s">
        <v>259</v>
      </c>
      <c r="BY29" s="54">
        <v>109.06</v>
      </c>
      <c r="BZ29" s="54">
        <v>110.60599999999999</v>
      </c>
      <c r="CA29" s="54">
        <v>110.044</v>
      </c>
      <c r="CB29" s="54">
        <v>109.58799999999999</v>
      </c>
      <c r="CD29" s="52">
        <v>2011</v>
      </c>
      <c r="CE29" s="54">
        <v>220.22300000000001</v>
      </c>
      <c r="CF29" s="54">
        <v>221.309</v>
      </c>
      <c r="CG29" s="54">
        <v>223.46700000000001</v>
      </c>
      <c r="CH29" s="54">
        <v>224.90600000000001</v>
      </c>
      <c r="CI29" s="54">
        <v>225.964</v>
      </c>
      <c r="CJ29" s="54">
        <v>225.72200000000001</v>
      </c>
      <c r="CK29" s="54">
        <v>225.922</v>
      </c>
      <c r="CL29" s="54">
        <v>226.54499999999999</v>
      </c>
      <c r="CM29" s="54">
        <v>226.88900000000001</v>
      </c>
      <c r="CN29" s="54">
        <v>226.42099999999999</v>
      </c>
      <c r="CO29" s="54">
        <v>226.23</v>
      </c>
      <c r="CP29" s="54">
        <v>225.672</v>
      </c>
      <c r="CQ29" s="54">
        <v>223.59800000000001</v>
      </c>
      <c r="CR29" s="54">
        <v>226.28</v>
      </c>
      <c r="CT29" s="52">
        <v>2012</v>
      </c>
      <c r="CU29" s="54">
        <v>248.41</v>
      </c>
      <c r="CV29" s="54">
        <v>250.56</v>
      </c>
      <c r="CW29" s="54">
        <v>250.63800000000001</v>
      </c>
      <c r="CX29" s="54">
        <v>251.81899999999999</v>
      </c>
      <c r="CY29" s="54">
        <v>252.476</v>
      </c>
      <c r="CZ29" s="54">
        <v>254.24799999999999</v>
      </c>
      <c r="DA29" s="54">
        <v>254.982</v>
      </c>
      <c r="DB29" s="54">
        <v>253.38</v>
      </c>
      <c r="DC29" s="54">
        <v>254.738</v>
      </c>
      <c r="DD29" s="54">
        <v>255.477</v>
      </c>
      <c r="DE29" s="54">
        <v>257.53699999999998</v>
      </c>
      <c r="DF29" s="54">
        <v>258.48599999999999</v>
      </c>
      <c r="DJ29" s="52">
        <v>2012</v>
      </c>
      <c r="DK29" s="54">
        <v>244.411</v>
      </c>
      <c r="DL29" s="54">
        <v>245.721</v>
      </c>
      <c r="DM29" s="54">
        <v>245.73599999999999</v>
      </c>
      <c r="DN29" s="54">
        <v>247.14</v>
      </c>
      <c r="DO29" s="54">
        <v>247.64599999999999</v>
      </c>
      <c r="DP29" s="54">
        <v>250.62700000000001</v>
      </c>
      <c r="DQ29" s="54">
        <v>251.04</v>
      </c>
      <c r="DR29" s="54">
        <v>248.85599999999999</v>
      </c>
      <c r="DS29" s="54">
        <v>249.85599999999999</v>
      </c>
      <c r="DT29" s="54">
        <v>250.11600000000001</v>
      </c>
      <c r="DU29" s="54">
        <v>251.86099999999999</v>
      </c>
      <c r="DV29" s="54">
        <v>252.51</v>
      </c>
      <c r="DZ29" s="52">
        <v>2011</v>
      </c>
      <c r="EA29" s="54">
        <v>534.14700000000005</v>
      </c>
      <c r="EB29" s="54">
        <v>540.74300000000005</v>
      </c>
      <c r="EC29" s="54">
        <v>541.42700000000002</v>
      </c>
      <c r="ED29" s="54">
        <v>543.51700000000005</v>
      </c>
      <c r="EE29" s="54">
        <v>545.14099999999996</v>
      </c>
      <c r="EF29" s="54">
        <v>544.91499999999996</v>
      </c>
      <c r="EG29" s="54">
        <v>547.11199999999997</v>
      </c>
      <c r="EH29" s="54">
        <v>548.61</v>
      </c>
      <c r="EI29" s="54">
        <v>549.79899999999998</v>
      </c>
      <c r="EJ29" s="54">
        <v>553.07399999999996</v>
      </c>
      <c r="EK29" s="54">
        <v>556.899</v>
      </c>
      <c r="EL29" s="54">
        <v>556.97500000000002</v>
      </c>
      <c r="EP29" s="52">
        <v>2025</v>
      </c>
      <c r="EQ29" s="54">
        <v>109.196</v>
      </c>
      <c r="ER29" s="54">
        <v>108.8</v>
      </c>
      <c r="ES29" s="54">
        <v>109.047</v>
      </c>
      <c r="ET29" s="54">
        <v>109.465</v>
      </c>
      <c r="EU29" s="54">
        <v>110.49</v>
      </c>
      <c r="EV29" s="54">
        <v>111.024</v>
      </c>
      <c r="EW29" s="54">
        <v>112.20399999999999</v>
      </c>
      <c r="EX29" s="54">
        <v>112.86499999999999</v>
      </c>
      <c r="EY29" s="54">
        <v>112.217</v>
      </c>
      <c r="EZ29" s="49" t="s">
        <v>259</v>
      </c>
      <c r="FA29" s="54">
        <v>112.80800000000001</v>
      </c>
      <c r="FB29" s="54">
        <v>111.505</v>
      </c>
      <c r="FC29" s="54">
        <v>109.67</v>
      </c>
      <c r="FD29" s="54">
        <v>112.32</v>
      </c>
    </row>
    <row r="30" spans="2:160" x14ac:dyDescent="0.25">
      <c r="B30" s="52">
        <v>2012</v>
      </c>
      <c r="C30" s="54">
        <v>343.65699999999998</v>
      </c>
      <c r="D30" s="54">
        <v>343.56400000000002</v>
      </c>
      <c r="E30" s="54">
        <v>343.86700000000002</v>
      </c>
      <c r="F30" s="54">
        <v>344.15100000000001</v>
      </c>
      <c r="G30" s="54">
        <v>345.11799999999999</v>
      </c>
      <c r="H30" s="54">
        <v>347.40800000000002</v>
      </c>
      <c r="I30" s="54">
        <v>348.82799999999997</v>
      </c>
      <c r="J30" s="54">
        <v>349.608</v>
      </c>
      <c r="K30" s="54">
        <v>350.86500000000001</v>
      </c>
      <c r="L30" s="54">
        <v>350.41500000000002</v>
      </c>
      <c r="M30" s="54">
        <v>350.27699999999999</v>
      </c>
      <c r="N30" s="54">
        <v>349.91</v>
      </c>
      <c r="R30" s="33">
        <v>2012</v>
      </c>
      <c r="S30" s="38">
        <v>218.44399999999999</v>
      </c>
      <c r="T30" s="38">
        <v>219.023</v>
      </c>
      <c r="U30" s="38">
        <v>219.28700000000001</v>
      </c>
      <c r="V30" s="38">
        <v>219.29499999999999</v>
      </c>
      <c r="W30" s="38">
        <v>219.65299999999999</v>
      </c>
      <c r="X30" s="38">
        <v>219.523</v>
      </c>
      <c r="Y30" s="38">
        <v>219.61699999999999</v>
      </c>
      <c r="Z30" s="38">
        <v>220.20599999999999</v>
      </c>
      <c r="AA30" s="38">
        <v>220.03</v>
      </c>
      <c r="AB30" s="38">
        <v>220.17099999999999</v>
      </c>
      <c r="AC30" s="38">
        <v>220.02199999999999</v>
      </c>
      <c r="AD30" s="38">
        <v>220.029</v>
      </c>
      <c r="AH30" s="52">
        <v>2012</v>
      </c>
      <c r="AI30" s="54">
        <v>432.58300000000003</v>
      </c>
      <c r="AJ30" s="54">
        <v>434.83199999999999</v>
      </c>
      <c r="AK30" s="54">
        <v>435.721</v>
      </c>
      <c r="AL30" s="54">
        <v>437.15100000000001</v>
      </c>
      <c r="AM30" s="54">
        <v>438.76600000000002</v>
      </c>
      <c r="AN30" s="54">
        <v>441.041</v>
      </c>
      <c r="AO30" s="54">
        <v>442.30500000000001</v>
      </c>
      <c r="AP30" s="54">
        <v>442.41</v>
      </c>
      <c r="AQ30" s="54">
        <v>443.81200000000001</v>
      </c>
      <c r="AR30" s="54">
        <v>444.24200000000002</v>
      </c>
      <c r="AS30" s="54">
        <v>445.27800000000002</v>
      </c>
      <c r="AT30" s="54">
        <v>445.95499999999998</v>
      </c>
      <c r="AU30" s="54">
        <v>436.68200000000002</v>
      </c>
      <c r="AV30" s="54">
        <v>444</v>
      </c>
      <c r="AX30" s="52">
        <v>2012</v>
      </c>
      <c r="AY30" s="54">
        <v>433.577</v>
      </c>
      <c r="AZ30" s="54">
        <v>438.45299999999997</v>
      </c>
      <c r="BA30" s="54">
        <v>439.76100000000002</v>
      </c>
      <c r="BB30" s="54">
        <v>439.78399999999999</v>
      </c>
      <c r="BC30" s="54">
        <v>439.14</v>
      </c>
      <c r="BD30" s="54">
        <v>439.459</v>
      </c>
      <c r="BE30" s="54">
        <v>442.11500000000001</v>
      </c>
      <c r="BF30" s="54">
        <v>443.86900000000003</v>
      </c>
      <c r="BG30" s="54">
        <v>443.52800000000002</v>
      </c>
      <c r="BH30" s="54">
        <v>443.60599999999999</v>
      </c>
      <c r="BI30" s="54">
        <v>440.59100000000001</v>
      </c>
      <c r="BJ30" s="54">
        <v>437.90499999999997</v>
      </c>
      <c r="CD30" s="52">
        <v>2012</v>
      </c>
      <c r="CE30" s="54">
        <v>226.66499999999999</v>
      </c>
      <c r="CF30" s="54">
        <v>227.66300000000001</v>
      </c>
      <c r="CG30" s="54">
        <v>229.392</v>
      </c>
      <c r="CH30" s="54">
        <v>230.08500000000001</v>
      </c>
      <c r="CI30" s="54">
        <v>229.815</v>
      </c>
      <c r="CJ30" s="54">
        <v>229.47800000000001</v>
      </c>
      <c r="CK30" s="54">
        <v>229.10400000000001</v>
      </c>
      <c r="CL30" s="54">
        <v>230.37899999999999</v>
      </c>
      <c r="CM30" s="54">
        <v>231.40700000000001</v>
      </c>
      <c r="CN30" s="54">
        <v>231.31700000000001</v>
      </c>
      <c r="CO30" s="54">
        <v>230.221</v>
      </c>
      <c r="CP30" s="54">
        <v>229.601</v>
      </c>
      <c r="CQ30" s="54">
        <v>228.85</v>
      </c>
      <c r="CR30" s="54">
        <v>230.33799999999999</v>
      </c>
      <c r="CT30" s="52">
        <v>2013</v>
      </c>
      <c r="CU30" s="54">
        <v>260.03500000000003</v>
      </c>
      <c r="CV30" s="54">
        <v>264.07100000000003</v>
      </c>
      <c r="CW30" s="54">
        <v>264.58600000000001</v>
      </c>
      <c r="CX30" s="54">
        <v>262.59500000000003</v>
      </c>
      <c r="CY30" s="54">
        <v>262.06</v>
      </c>
      <c r="CZ30" s="54">
        <v>263.28699999999998</v>
      </c>
      <c r="DA30" s="54">
        <v>263.69799999999998</v>
      </c>
      <c r="DB30" s="54">
        <v>267.74099999999999</v>
      </c>
      <c r="DC30" s="54">
        <v>269.69099999999997</v>
      </c>
      <c r="DD30" s="54">
        <v>269.27</v>
      </c>
      <c r="DE30" s="54">
        <v>268.97800000000001</v>
      </c>
      <c r="DF30" s="54">
        <v>269.36500000000001</v>
      </c>
      <c r="DJ30" s="52">
        <v>2013</v>
      </c>
      <c r="DK30" s="54">
        <v>254.32</v>
      </c>
      <c r="DL30" s="54">
        <v>258.78899999999999</v>
      </c>
      <c r="DM30" s="54">
        <v>259.08199999999999</v>
      </c>
      <c r="DN30" s="54">
        <v>256.98200000000003</v>
      </c>
      <c r="DO30" s="54">
        <v>256.601</v>
      </c>
      <c r="DP30" s="54">
        <v>257.79300000000001</v>
      </c>
      <c r="DQ30" s="54">
        <v>258.10599999999999</v>
      </c>
      <c r="DR30" s="54">
        <v>261.91500000000002</v>
      </c>
      <c r="DS30" s="54">
        <v>263.45800000000003</v>
      </c>
      <c r="DT30" s="54">
        <v>263.20299999999997</v>
      </c>
      <c r="DU30" s="54">
        <v>262.85899999999998</v>
      </c>
      <c r="DV30" s="54">
        <v>263.58100000000002</v>
      </c>
      <c r="DZ30" s="52">
        <v>2012</v>
      </c>
      <c r="EA30" s="54">
        <v>561.73500000000001</v>
      </c>
      <c r="EB30" s="54">
        <v>567.50599999999997</v>
      </c>
      <c r="EC30" s="54">
        <v>567.83600000000001</v>
      </c>
      <c r="ED30" s="54">
        <v>569.80399999999997</v>
      </c>
      <c r="EE30" s="54">
        <v>571.173</v>
      </c>
      <c r="EF30" s="54">
        <v>573.78899999999999</v>
      </c>
      <c r="EG30" s="54">
        <v>575.79600000000005</v>
      </c>
      <c r="EH30" s="54">
        <v>572.30700000000002</v>
      </c>
      <c r="EI30" s="54">
        <v>576.50400000000002</v>
      </c>
      <c r="EJ30" s="54">
        <v>578.72699999999998</v>
      </c>
      <c r="EK30" s="54">
        <v>585.41200000000003</v>
      </c>
      <c r="EL30" s="54">
        <v>587.68799999999999</v>
      </c>
    </row>
    <row r="31" spans="2:160" x14ac:dyDescent="0.25">
      <c r="B31" s="52">
        <v>2013</v>
      </c>
      <c r="C31" s="54">
        <v>351.25</v>
      </c>
      <c r="D31" s="54">
        <v>352.26600000000002</v>
      </c>
      <c r="E31" s="54">
        <v>352.57499999999999</v>
      </c>
      <c r="F31" s="54">
        <v>353.529</v>
      </c>
      <c r="G31" s="54">
        <v>353.37200000000001</v>
      </c>
      <c r="H31" s="54">
        <v>355.10500000000002</v>
      </c>
      <c r="I31" s="54">
        <v>354.77499999999998</v>
      </c>
      <c r="J31" s="54">
        <v>354.71199999999999</v>
      </c>
      <c r="K31" s="54">
        <v>354.96699999999998</v>
      </c>
      <c r="L31" s="54">
        <v>355.35399999999998</v>
      </c>
      <c r="M31" s="54">
        <v>355.55500000000001</v>
      </c>
      <c r="N31" s="54">
        <v>356.46899999999999</v>
      </c>
      <c r="R31" s="33">
        <v>2013</v>
      </c>
      <c r="S31" s="38">
        <v>221.35400000000001</v>
      </c>
      <c r="T31" s="38">
        <v>222.14699999999999</v>
      </c>
      <c r="U31" s="38">
        <v>222.72200000000001</v>
      </c>
      <c r="V31" s="38">
        <v>222.666</v>
      </c>
      <c r="W31" s="38">
        <v>222.518</v>
      </c>
      <c r="X31" s="38">
        <v>223.298</v>
      </c>
      <c r="Y31" s="38">
        <v>223.40799999999999</v>
      </c>
      <c r="Z31" s="38">
        <v>223.61</v>
      </c>
      <c r="AA31" s="38">
        <v>224.453</v>
      </c>
      <c r="AB31" s="38">
        <v>224.595</v>
      </c>
      <c r="AC31" s="38">
        <v>224.75</v>
      </c>
      <c r="AD31" s="38">
        <v>224.58</v>
      </c>
      <c r="AH31" s="52">
        <v>2013</v>
      </c>
      <c r="AI31" s="54">
        <v>448.226</v>
      </c>
      <c r="AJ31" s="54">
        <v>451.625</v>
      </c>
      <c r="AK31" s="54">
        <v>452.596</v>
      </c>
      <c r="AL31" s="54">
        <v>452.08300000000003</v>
      </c>
      <c r="AM31" s="54">
        <v>451.64800000000002</v>
      </c>
      <c r="AN31" s="54">
        <v>453.32499999999999</v>
      </c>
      <c r="AO31" s="54">
        <v>453.77300000000002</v>
      </c>
      <c r="AP31" s="54">
        <v>456.06200000000001</v>
      </c>
      <c r="AQ31" s="54">
        <v>457.45800000000003</v>
      </c>
      <c r="AR31" s="54">
        <v>457.13499999999999</v>
      </c>
      <c r="AS31" s="54">
        <v>456.85500000000002</v>
      </c>
      <c r="AT31" s="54">
        <v>457.29599999999999</v>
      </c>
      <c r="AU31" s="54">
        <v>451.584</v>
      </c>
      <c r="AV31" s="54">
        <v>456.43</v>
      </c>
      <c r="AX31" s="52">
        <v>2013</v>
      </c>
      <c r="AY31" s="54">
        <v>440.57900000000001</v>
      </c>
      <c r="AZ31" s="54">
        <v>441.77600000000001</v>
      </c>
      <c r="BA31" s="54">
        <v>442.91199999999998</v>
      </c>
      <c r="BB31" s="54">
        <v>442.31</v>
      </c>
      <c r="BC31" s="54">
        <v>438.721</v>
      </c>
      <c r="BD31" s="54">
        <v>439.72300000000001</v>
      </c>
      <c r="BE31" s="54">
        <v>441.48899999999998</v>
      </c>
      <c r="BF31" s="54">
        <v>444.625</v>
      </c>
      <c r="BG31" s="54">
        <v>445.15600000000001</v>
      </c>
      <c r="BH31" s="54">
        <v>446.04300000000001</v>
      </c>
      <c r="BI31" s="54">
        <v>446.03199999999998</v>
      </c>
      <c r="BJ31" s="54">
        <v>441.589</v>
      </c>
      <c r="CD31" s="52">
        <v>2013</v>
      </c>
      <c r="CE31" s="54">
        <v>230.28</v>
      </c>
      <c r="CF31" s="54">
        <v>232.166</v>
      </c>
      <c r="CG31" s="54">
        <v>232.773</v>
      </c>
      <c r="CH31" s="54">
        <v>232.53100000000001</v>
      </c>
      <c r="CI31" s="54">
        <v>232.94499999999999</v>
      </c>
      <c r="CJ31" s="54">
        <v>233.50399999999999</v>
      </c>
      <c r="CK31" s="54">
        <v>233.596</v>
      </c>
      <c r="CL31" s="54">
        <v>233.87700000000001</v>
      </c>
      <c r="CM31" s="54">
        <v>234.149</v>
      </c>
      <c r="CN31" s="54">
        <v>233.54599999999999</v>
      </c>
      <c r="CO31" s="54">
        <v>233.06899999999999</v>
      </c>
      <c r="CP31" s="54">
        <v>233.04900000000001</v>
      </c>
      <c r="CQ31" s="54">
        <v>232.36600000000001</v>
      </c>
      <c r="CR31" s="54">
        <v>233.548</v>
      </c>
      <c r="CT31" s="52">
        <v>2014</v>
      </c>
      <c r="CU31" s="54">
        <v>272.48500000000001</v>
      </c>
      <c r="CV31" s="54">
        <v>276.55500000000001</v>
      </c>
      <c r="CW31" s="54">
        <v>277.97399999999999</v>
      </c>
      <c r="CX31" s="54">
        <v>278.49599999999998</v>
      </c>
      <c r="CY31" s="54">
        <v>278.56799999999998</v>
      </c>
      <c r="CZ31" s="54">
        <v>278.69499999999999</v>
      </c>
      <c r="DA31" s="54">
        <v>279.58699999999999</v>
      </c>
      <c r="DB31" s="54">
        <v>278.608</v>
      </c>
      <c r="DC31" s="54">
        <v>279.54000000000002</v>
      </c>
      <c r="DD31" s="54">
        <v>280.49599999999998</v>
      </c>
      <c r="DE31" s="54">
        <v>281.49099999999999</v>
      </c>
      <c r="DF31" s="54">
        <v>282.54700000000003</v>
      </c>
      <c r="DJ31" s="52">
        <v>2014</v>
      </c>
      <c r="DK31" s="54">
        <v>267.91699999999997</v>
      </c>
      <c r="DL31" s="54">
        <v>272.07100000000003</v>
      </c>
      <c r="DM31" s="54">
        <v>273.80799999999999</v>
      </c>
      <c r="DN31" s="54">
        <v>274.46600000000001</v>
      </c>
      <c r="DO31" s="54">
        <v>274.82900000000001</v>
      </c>
      <c r="DP31" s="54">
        <v>275.16199999999998</v>
      </c>
      <c r="DQ31" s="54">
        <v>275.64600000000002</v>
      </c>
      <c r="DR31" s="54">
        <v>274.75799999999998</v>
      </c>
      <c r="DS31" s="54">
        <v>275.43099999999998</v>
      </c>
      <c r="DT31" s="54">
        <v>276.166</v>
      </c>
      <c r="DU31" s="54">
        <v>276.95499999999998</v>
      </c>
      <c r="DV31" s="54">
        <v>278.10300000000001</v>
      </c>
      <c r="DZ31" s="52">
        <v>2013</v>
      </c>
      <c r="EA31" s="54">
        <v>590.14599999999996</v>
      </c>
      <c r="EB31" s="54">
        <v>598.04899999999998</v>
      </c>
      <c r="EC31" s="54">
        <v>599.64099999999996</v>
      </c>
      <c r="ED31" s="54">
        <v>595.678</v>
      </c>
      <c r="EE31" s="54">
        <v>594.09100000000001</v>
      </c>
      <c r="EF31" s="54">
        <v>596.28700000000003</v>
      </c>
      <c r="EG31" s="54">
        <v>597.32600000000002</v>
      </c>
      <c r="EH31" s="54">
        <v>606.36199999999997</v>
      </c>
      <c r="EI31" s="54">
        <v>611.43200000000002</v>
      </c>
      <c r="EJ31" s="54">
        <v>610.65200000000004</v>
      </c>
      <c r="EK31" s="54">
        <v>610.30899999999997</v>
      </c>
      <c r="EL31" s="54">
        <v>610.06500000000005</v>
      </c>
    </row>
    <row r="32" spans="2:160" x14ac:dyDescent="0.25">
      <c r="B32" s="52">
        <v>2014</v>
      </c>
      <c r="C32" s="54">
        <v>356.79599999999999</v>
      </c>
      <c r="D32" s="54">
        <v>356.93900000000002</v>
      </c>
      <c r="E32" s="54">
        <v>357.46499999999997</v>
      </c>
      <c r="F32" s="54">
        <v>358.41500000000002</v>
      </c>
      <c r="G32" s="54">
        <v>359.54700000000003</v>
      </c>
      <c r="H32" s="54">
        <v>359.05599999999998</v>
      </c>
      <c r="I32" s="54">
        <v>358.58499999999998</v>
      </c>
      <c r="J32" s="54">
        <v>359.96699999999998</v>
      </c>
      <c r="K32" s="54">
        <v>359.87900000000002</v>
      </c>
      <c r="L32" s="54">
        <v>359.85500000000002</v>
      </c>
      <c r="M32" s="54">
        <v>361.00099999999998</v>
      </c>
      <c r="N32" s="54">
        <v>361.65899999999999</v>
      </c>
      <c r="R32" s="33">
        <v>2014</v>
      </c>
      <c r="S32" s="38">
        <v>225.03399999999999</v>
      </c>
      <c r="T32" s="38">
        <v>225.215</v>
      </c>
      <c r="U32" s="38">
        <v>225.20699999999999</v>
      </c>
      <c r="V32" s="38">
        <v>224.672</v>
      </c>
      <c r="W32" s="38">
        <v>225.29499999999999</v>
      </c>
      <c r="X32" s="38">
        <v>226.608</v>
      </c>
      <c r="Y32" s="38">
        <v>227.07599999999999</v>
      </c>
      <c r="Z32" s="38">
        <v>226.30600000000001</v>
      </c>
      <c r="AA32" s="38">
        <v>225.94499999999999</v>
      </c>
      <c r="AB32" s="38">
        <v>227.18299999999999</v>
      </c>
      <c r="AC32" s="38">
        <v>229.11799999999999</v>
      </c>
      <c r="AD32" s="38">
        <v>229.05699999999999</v>
      </c>
      <c r="AH32" s="52">
        <v>2014</v>
      </c>
      <c r="AI32" s="54">
        <v>459.61799999999999</v>
      </c>
      <c r="AJ32" s="54">
        <v>462.64800000000002</v>
      </c>
      <c r="AK32" s="54">
        <v>463.678</v>
      </c>
      <c r="AL32" s="54">
        <v>464.238</v>
      </c>
      <c r="AM32" s="54">
        <v>465.01400000000001</v>
      </c>
      <c r="AN32" s="54">
        <v>464.96</v>
      </c>
      <c r="AO32" s="54">
        <v>465.166</v>
      </c>
      <c r="AP32" s="54">
        <v>464.93599999999998</v>
      </c>
      <c r="AQ32" s="54">
        <v>465.40300000000002</v>
      </c>
      <c r="AR32" s="54">
        <v>466.03800000000001</v>
      </c>
      <c r="AS32" s="54">
        <v>467.48200000000003</v>
      </c>
      <c r="AT32" s="54">
        <v>468.39299999999997</v>
      </c>
      <c r="AU32" s="54">
        <v>463.35899999999998</v>
      </c>
      <c r="AV32" s="54">
        <v>466.23599999999999</v>
      </c>
      <c r="AX32" s="52">
        <v>2014</v>
      </c>
      <c r="AY32" s="54">
        <v>446.76600000000002</v>
      </c>
      <c r="AZ32" s="54">
        <v>453.12099999999998</v>
      </c>
      <c r="BA32" s="54">
        <v>452.12</v>
      </c>
      <c r="BB32" s="54">
        <v>453.012</v>
      </c>
      <c r="BC32" s="54">
        <v>454.35899999999998</v>
      </c>
      <c r="BD32" s="54">
        <v>457.60899999999998</v>
      </c>
      <c r="BE32" s="54">
        <v>459.83199999999999</v>
      </c>
      <c r="BF32" s="54">
        <v>460.83699999999999</v>
      </c>
      <c r="BG32" s="54">
        <v>461.87</v>
      </c>
      <c r="BH32" s="54">
        <v>464.36799999999999</v>
      </c>
      <c r="BI32" s="54">
        <v>466.447</v>
      </c>
      <c r="BJ32" s="54">
        <v>469.77800000000002</v>
      </c>
      <c r="CD32" s="52">
        <v>2014</v>
      </c>
      <c r="CE32" s="54">
        <v>233.916</v>
      </c>
      <c r="CF32" s="54">
        <v>234.78100000000001</v>
      </c>
      <c r="CG32" s="54">
        <v>236.29300000000001</v>
      </c>
      <c r="CH32" s="54">
        <v>237.072</v>
      </c>
      <c r="CI32" s="54">
        <v>237.9</v>
      </c>
      <c r="CJ32" s="54">
        <v>238.34299999999999</v>
      </c>
      <c r="CK32" s="54">
        <v>238.25</v>
      </c>
      <c r="CL32" s="54">
        <v>237.852</v>
      </c>
      <c r="CM32" s="54">
        <v>238.03100000000001</v>
      </c>
      <c r="CN32" s="54">
        <v>237.43299999999999</v>
      </c>
      <c r="CO32" s="54">
        <v>236.15100000000001</v>
      </c>
      <c r="CP32" s="54">
        <v>234.81200000000001</v>
      </c>
      <c r="CQ32" s="54">
        <v>236.38399999999999</v>
      </c>
      <c r="CR32" s="54">
        <v>237.08799999999999</v>
      </c>
      <c r="CT32" s="52">
        <v>2015</v>
      </c>
      <c r="CU32" s="54">
        <v>284.22500000000002</v>
      </c>
      <c r="CV32" s="54">
        <v>286.30799999999999</v>
      </c>
      <c r="CW32" s="54">
        <v>287.42</v>
      </c>
      <c r="CX32" s="54">
        <v>291.77499999999998</v>
      </c>
      <c r="CY32" s="54">
        <v>292.25700000000001</v>
      </c>
      <c r="CZ32" s="54">
        <v>288.959</v>
      </c>
      <c r="DA32" s="54">
        <v>288.89499999999998</v>
      </c>
      <c r="DB32" s="54">
        <v>288.18099999999998</v>
      </c>
      <c r="DC32" s="54">
        <v>289.13400000000001</v>
      </c>
      <c r="DD32" s="54">
        <v>295.28199999999998</v>
      </c>
      <c r="DE32" s="54">
        <v>294.76499999999999</v>
      </c>
      <c r="DF32" s="54">
        <v>294.37700000000001</v>
      </c>
      <c r="DJ32" s="52">
        <v>2015</v>
      </c>
      <c r="DK32" s="54">
        <v>279.45</v>
      </c>
      <c r="DL32" s="54">
        <v>281.33800000000002</v>
      </c>
      <c r="DM32" s="54">
        <v>282.18299999999999</v>
      </c>
      <c r="DN32" s="54">
        <v>286.32799999999997</v>
      </c>
      <c r="DO32" s="54">
        <v>286.68299999999999</v>
      </c>
      <c r="DP32" s="54">
        <v>283.33100000000002</v>
      </c>
      <c r="DQ32" s="54">
        <v>283.49900000000002</v>
      </c>
      <c r="DR32" s="54">
        <v>283.34399999999999</v>
      </c>
      <c r="DS32" s="54">
        <v>284.25599999999997</v>
      </c>
      <c r="DT32" s="54">
        <v>290.63900000000001</v>
      </c>
      <c r="DU32" s="54">
        <v>290.05399999999997</v>
      </c>
      <c r="DV32" s="54">
        <v>289.7</v>
      </c>
      <c r="DZ32" s="52">
        <v>2014</v>
      </c>
      <c r="EA32" s="54">
        <v>615.04</v>
      </c>
      <c r="EB32" s="54">
        <v>624.15599999999995</v>
      </c>
      <c r="EC32" s="54">
        <v>626.51499999999999</v>
      </c>
      <c r="ED32" s="54">
        <v>627.44100000000003</v>
      </c>
      <c r="EE32" s="54">
        <v>626.64800000000002</v>
      </c>
      <c r="EF32" s="54">
        <v>627.98800000000006</v>
      </c>
      <c r="EG32" s="54">
        <v>630.79899999999998</v>
      </c>
      <c r="EH32" s="54">
        <v>628.71600000000001</v>
      </c>
      <c r="EI32" s="54">
        <v>631.88800000000003</v>
      </c>
      <c r="EJ32" s="54">
        <v>634.18299999999999</v>
      </c>
      <c r="EK32" s="54">
        <v>635.82899999999995</v>
      </c>
      <c r="EL32" s="54">
        <v>637.75</v>
      </c>
    </row>
    <row r="33" spans="2:144" x14ac:dyDescent="0.25">
      <c r="B33" s="52">
        <v>2015</v>
      </c>
      <c r="C33" s="54">
        <v>362.74</v>
      </c>
      <c r="D33" s="54">
        <v>361.24200000000002</v>
      </c>
      <c r="E33" s="54">
        <v>363.53100000000001</v>
      </c>
      <c r="F33" s="54">
        <v>365.14600000000002</v>
      </c>
      <c r="G33" s="54">
        <v>365.214</v>
      </c>
      <c r="H33" s="54">
        <v>366.541</v>
      </c>
      <c r="I33" s="54">
        <v>367.45</v>
      </c>
      <c r="J33" s="54">
        <v>366.36500000000001</v>
      </c>
      <c r="K33" s="54">
        <v>367.17599999999999</v>
      </c>
      <c r="L33" s="54">
        <v>366.65199999999999</v>
      </c>
      <c r="M33" s="54">
        <v>370.59899999999999</v>
      </c>
      <c r="N33" s="54">
        <v>370.32400000000001</v>
      </c>
      <c r="O33" s="49"/>
      <c r="P33" s="49"/>
      <c r="R33" s="33">
        <v>2015</v>
      </c>
      <c r="S33" s="38">
        <v>227.60300000000001</v>
      </c>
      <c r="T33" s="38">
        <v>228.005</v>
      </c>
      <c r="U33" s="38">
        <v>227.97399999999999</v>
      </c>
      <c r="V33" s="38">
        <v>227.964</v>
      </c>
      <c r="W33" s="38">
        <v>228.02699999999999</v>
      </c>
      <c r="X33" s="38">
        <v>227.99199999999999</v>
      </c>
      <c r="Y33" s="38">
        <v>228.29599999999999</v>
      </c>
      <c r="Z33" s="38">
        <v>228.83600000000001</v>
      </c>
      <c r="AA33" s="38">
        <v>228.803</v>
      </c>
      <c r="AB33" s="38">
        <v>228.8</v>
      </c>
      <c r="AC33" s="38">
        <v>228.36500000000001</v>
      </c>
      <c r="AD33" s="38">
        <v>228.291</v>
      </c>
      <c r="AE33" s="34"/>
      <c r="AF33" s="34"/>
      <c r="AH33" s="52">
        <v>2015</v>
      </c>
      <c r="AI33" s="54">
        <v>470.03</v>
      </c>
      <c r="AJ33" s="54">
        <v>471.13799999999998</v>
      </c>
      <c r="AK33" s="54">
        <v>472.64499999999998</v>
      </c>
      <c r="AL33" s="54">
        <v>476.16300000000001</v>
      </c>
      <c r="AM33" s="54">
        <v>476.8</v>
      </c>
      <c r="AN33" s="54">
        <v>475.54599999999999</v>
      </c>
      <c r="AO33" s="54">
        <v>475.95600000000002</v>
      </c>
      <c r="AP33" s="54">
        <v>475.18900000000002</v>
      </c>
      <c r="AQ33" s="54">
        <v>476.46600000000001</v>
      </c>
      <c r="AR33" s="54">
        <v>480.245</v>
      </c>
      <c r="AS33" s="54">
        <v>481.89400000000001</v>
      </c>
      <c r="AT33" s="54">
        <v>481.983</v>
      </c>
      <c r="AU33" s="54">
        <v>473.72</v>
      </c>
      <c r="AV33" s="54">
        <v>478.62200000000001</v>
      </c>
      <c r="AX33" s="52">
        <v>2015</v>
      </c>
      <c r="AY33" s="54">
        <v>471.75400000000002</v>
      </c>
      <c r="AZ33" s="54">
        <v>476.63799999999998</v>
      </c>
      <c r="BA33" s="54">
        <v>478.07600000000002</v>
      </c>
      <c r="BB33" s="54">
        <v>478.20600000000002</v>
      </c>
      <c r="BC33" s="54">
        <v>478.56599999999997</v>
      </c>
      <c r="BD33" s="54">
        <v>479.642</v>
      </c>
      <c r="BE33" s="54">
        <v>480.21</v>
      </c>
      <c r="BF33" s="54">
        <v>482.392</v>
      </c>
      <c r="BG33" s="54">
        <v>481.26</v>
      </c>
      <c r="BH33" s="54">
        <v>481.42599999999999</v>
      </c>
      <c r="BI33" s="54">
        <v>482.47800000000001</v>
      </c>
      <c r="BJ33" s="54">
        <v>481.13400000000001</v>
      </c>
      <c r="BK33" s="49"/>
      <c r="BL33" s="49"/>
      <c r="CD33" s="52">
        <v>2015</v>
      </c>
      <c r="CE33" s="54">
        <v>233.70699999999999</v>
      </c>
      <c r="CF33" s="54">
        <v>234.72200000000001</v>
      </c>
      <c r="CG33" s="54">
        <v>236.119</v>
      </c>
      <c r="CH33" s="54">
        <v>236.59899999999999</v>
      </c>
      <c r="CI33" s="54">
        <v>237.80500000000001</v>
      </c>
      <c r="CJ33" s="54">
        <v>238.63800000000001</v>
      </c>
      <c r="CK33" s="54">
        <v>238.654</v>
      </c>
      <c r="CL33" s="54">
        <v>238.316</v>
      </c>
      <c r="CM33" s="54">
        <v>237.94499999999999</v>
      </c>
      <c r="CN33" s="54">
        <v>237.83799999999999</v>
      </c>
      <c r="CO33" s="54">
        <v>237.33600000000001</v>
      </c>
      <c r="CP33" s="54">
        <v>236.52500000000001</v>
      </c>
      <c r="CQ33" s="54">
        <v>236.26499999999999</v>
      </c>
      <c r="CR33" s="54">
        <v>237.76900000000001</v>
      </c>
      <c r="CT33" s="52">
        <v>2016</v>
      </c>
      <c r="CU33" s="54">
        <v>297.25200000000001</v>
      </c>
      <c r="CV33" s="54">
        <v>301.00700000000001</v>
      </c>
      <c r="CW33" s="54">
        <v>300.303</v>
      </c>
      <c r="CX33" s="54">
        <v>300.733</v>
      </c>
      <c r="CY33" s="54">
        <v>301.71300000000002</v>
      </c>
      <c r="CZ33" s="54">
        <v>301.27699999999999</v>
      </c>
      <c r="DA33" s="54">
        <v>302.161</v>
      </c>
      <c r="DB33" s="54">
        <v>305.97199999999998</v>
      </c>
      <c r="DC33" s="54">
        <v>306.404</v>
      </c>
      <c r="DD33" s="54">
        <v>307.43299999999999</v>
      </c>
      <c r="DE33" s="54">
        <v>307.40300000000002</v>
      </c>
      <c r="DF33" s="54">
        <v>307.46499999999997</v>
      </c>
      <c r="DG33" s="49"/>
      <c r="DH33" s="49"/>
      <c r="DJ33" s="52">
        <v>2016</v>
      </c>
      <c r="DK33" s="54">
        <v>293.00299999999999</v>
      </c>
      <c r="DL33" s="54">
        <v>297.92399999999998</v>
      </c>
      <c r="DM33" s="54">
        <v>297.04199999999997</v>
      </c>
      <c r="DN33" s="54">
        <v>297.66000000000003</v>
      </c>
      <c r="DO33" s="54">
        <v>298.733</v>
      </c>
      <c r="DP33" s="54">
        <v>297.887</v>
      </c>
      <c r="DQ33" s="54">
        <v>298.625</v>
      </c>
      <c r="DR33" s="54">
        <v>301.80399999999997</v>
      </c>
      <c r="DS33" s="54">
        <v>302.06599999999997</v>
      </c>
      <c r="DT33" s="54">
        <v>303.84899999999999</v>
      </c>
      <c r="DU33" s="54">
        <v>303.90499999999997</v>
      </c>
      <c r="DV33" s="54">
        <v>303.91500000000002</v>
      </c>
      <c r="DW33" s="49"/>
      <c r="DX33" s="49"/>
      <c r="DZ33" s="52">
        <v>2015</v>
      </c>
      <c r="EA33" s="54">
        <v>642.399</v>
      </c>
      <c r="EB33" s="54">
        <v>645.92499999999995</v>
      </c>
      <c r="EC33" s="54">
        <v>648.61400000000003</v>
      </c>
      <c r="ED33" s="54">
        <v>658.82899999999995</v>
      </c>
      <c r="EE33" s="54">
        <v>659.99300000000005</v>
      </c>
      <c r="EF33" s="54">
        <v>652.18100000000004</v>
      </c>
      <c r="EG33" s="54">
        <v>650.70399999999995</v>
      </c>
      <c r="EH33" s="54">
        <v>647.88</v>
      </c>
      <c r="EI33" s="54">
        <v>650.27700000000004</v>
      </c>
      <c r="EJ33" s="54">
        <v>661.81100000000004</v>
      </c>
      <c r="EK33" s="54">
        <v>660.32399999999996</v>
      </c>
      <c r="EL33" s="54">
        <v>659.35299999999995</v>
      </c>
      <c r="EM33" s="49"/>
      <c r="EN33" s="49"/>
    </row>
    <row r="34" spans="2:144" x14ac:dyDescent="0.25">
      <c r="B34" s="52">
        <v>2016</v>
      </c>
      <c r="C34" s="54">
        <v>370.911</v>
      </c>
      <c r="D34" s="54">
        <v>372.09100000000001</v>
      </c>
      <c r="E34" s="54">
        <v>372.67200000000003</v>
      </c>
      <c r="F34" s="54">
        <v>372.96100000000001</v>
      </c>
      <c r="G34" s="54">
        <v>376.26299999999998</v>
      </c>
      <c r="H34" s="54">
        <v>377.678</v>
      </c>
      <c r="I34" s="54">
        <v>380.08300000000003</v>
      </c>
      <c r="J34" s="54">
        <v>382.15600000000001</v>
      </c>
      <c r="K34" s="54">
        <v>382.13400000000001</v>
      </c>
      <c r="L34" s="54">
        <v>381.40600000000001</v>
      </c>
      <c r="M34" s="54">
        <v>384.11</v>
      </c>
      <c r="N34" s="54">
        <v>384.51900000000001</v>
      </c>
      <c r="O34" s="49"/>
      <c r="P34" s="49"/>
      <c r="R34" s="33">
        <v>2016</v>
      </c>
      <c r="S34" s="38">
        <v>228.81700000000001</v>
      </c>
      <c r="T34" s="38">
        <v>228.858</v>
      </c>
      <c r="U34" s="38">
        <v>228.68199999999999</v>
      </c>
      <c r="V34" s="38">
        <v>228.93299999999999</v>
      </c>
      <c r="W34" s="38">
        <v>231.20599999999999</v>
      </c>
      <c r="X34" s="38">
        <v>230.32400000000001</v>
      </c>
      <c r="Y34" s="38">
        <v>232.46899999999999</v>
      </c>
      <c r="Z34" s="38">
        <v>231.911</v>
      </c>
      <c r="AA34" s="38">
        <v>231.95099999999999</v>
      </c>
      <c r="AB34" s="38">
        <v>232.01499999999999</v>
      </c>
      <c r="AC34" s="38">
        <v>233.07599999999999</v>
      </c>
      <c r="AD34" s="38">
        <v>233.25899999999999</v>
      </c>
      <c r="AE34" s="34"/>
      <c r="AF34" s="34"/>
      <c r="AH34" s="52">
        <v>2016</v>
      </c>
      <c r="AI34" s="54">
        <v>485.32100000000003</v>
      </c>
      <c r="AJ34" s="54">
        <v>489.43200000000002</v>
      </c>
      <c r="AK34" s="54">
        <v>489.52</v>
      </c>
      <c r="AL34" s="54">
        <v>490.84800000000001</v>
      </c>
      <c r="AM34" s="54">
        <v>493.27</v>
      </c>
      <c r="AN34" s="54">
        <v>493.43799999999999</v>
      </c>
      <c r="AO34" s="54">
        <v>495.43099999999998</v>
      </c>
      <c r="AP34" s="54">
        <v>499.18700000000001</v>
      </c>
      <c r="AQ34" s="54">
        <v>499.483</v>
      </c>
      <c r="AR34" s="54">
        <v>499.71699999999998</v>
      </c>
      <c r="AS34" s="54">
        <v>500.697</v>
      </c>
      <c r="AT34" s="54">
        <v>500.84500000000003</v>
      </c>
      <c r="AU34" s="54">
        <v>490.30500000000001</v>
      </c>
      <c r="AV34" s="54">
        <v>499.22699999999998</v>
      </c>
      <c r="AX34" s="52">
        <v>2016</v>
      </c>
      <c r="AY34" s="54">
        <v>485.79599999999999</v>
      </c>
      <c r="AZ34" s="54">
        <v>493.07499999999999</v>
      </c>
      <c r="BA34" s="54">
        <v>495.19099999999997</v>
      </c>
      <c r="BB34" s="54">
        <v>497.29700000000003</v>
      </c>
      <c r="BC34" s="54">
        <v>493.29300000000001</v>
      </c>
      <c r="BD34" s="54">
        <v>498.13600000000002</v>
      </c>
      <c r="BE34" s="54">
        <v>502.83300000000003</v>
      </c>
      <c r="BF34" s="54">
        <v>512.06100000000004</v>
      </c>
      <c r="BG34" s="54">
        <v>514.78099999999995</v>
      </c>
      <c r="BH34" s="54">
        <v>515.15899999999999</v>
      </c>
      <c r="BI34" s="54">
        <v>511.31099999999998</v>
      </c>
      <c r="BJ34" s="54">
        <v>511.19099999999997</v>
      </c>
      <c r="BK34" s="49"/>
      <c r="BL34" s="49"/>
      <c r="CD34" s="52">
        <v>2016</v>
      </c>
      <c r="CE34" s="54">
        <v>236.916</v>
      </c>
      <c r="CF34" s="54">
        <v>237.11099999999999</v>
      </c>
      <c r="CG34" s="54">
        <v>238.13200000000001</v>
      </c>
      <c r="CH34" s="54">
        <v>239.261</v>
      </c>
      <c r="CI34" s="54">
        <v>240.22900000000001</v>
      </c>
      <c r="CJ34" s="54">
        <v>241.018</v>
      </c>
      <c r="CK34" s="54">
        <v>240.62799999999999</v>
      </c>
      <c r="CL34" s="54">
        <v>240.84899999999999</v>
      </c>
      <c r="CM34" s="54">
        <v>241.428</v>
      </c>
      <c r="CN34" s="54">
        <v>241.72900000000001</v>
      </c>
      <c r="CO34" s="54">
        <v>241.35300000000001</v>
      </c>
      <c r="CP34" s="54">
        <v>241.43199999999999</v>
      </c>
      <c r="CQ34" s="54">
        <v>238.77799999999999</v>
      </c>
      <c r="CR34" s="54">
        <v>241.23699999999999</v>
      </c>
      <c r="CT34" s="52">
        <v>2017</v>
      </c>
      <c r="CU34" s="54">
        <v>309.92899999999997</v>
      </c>
      <c r="CV34" s="54">
        <v>313.97399999999999</v>
      </c>
      <c r="CW34" s="54">
        <v>314.529</v>
      </c>
      <c r="CX34" s="54">
        <v>317.053</v>
      </c>
      <c r="CY34" s="54">
        <v>316.65300000000002</v>
      </c>
      <c r="CZ34" s="54">
        <v>318.31299999999999</v>
      </c>
      <c r="DA34" s="54">
        <v>319.387</v>
      </c>
      <c r="DB34" s="54">
        <v>319.39400000000001</v>
      </c>
      <c r="DC34" s="54">
        <v>320.44900000000001</v>
      </c>
      <c r="DD34" s="54">
        <v>322.36799999999999</v>
      </c>
      <c r="DE34" s="54">
        <v>322.87099999999998</v>
      </c>
      <c r="DF34" s="54">
        <v>323.11399999999998</v>
      </c>
      <c r="DG34" s="49"/>
      <c r="DH34" s="49"/>
      <c r="DJ34" s="52">
        <v>2017</v>
      </c>
      <c r="DK34" s="54">
        <v>306.43799999999999</v>
      </c>
      <c r="DL34" s="54">
        <v>309.51400000000001</v>
      </c>
      <c r="DM34" s="54">
        <v>309.346</v>
      </c>
      <c r="DN34" s="54">
        <v>311.32299999999998</v>
      </c>
      <c r="DO34" s="54">
        <v>310.80099999999999</v>
      </c>
      <c r="DP34" s="54">
        <v>312.68599999999998</v>
      </c>
      <c r="DQ34" s="54">
        <v>313.28800000000001</v>
      </c>
      <c r="DR34" s="54">
        <v>313.65199999999999</v>
      </c>
      <c r="DS34" s="54">
        <v>313.80200000000002</v>
      </c>
      <c r="DT34" s="54">
        <v>315.66899999999998</v>
      </c>
      <c r="DU34" s="54">
        <v>316.65800000000002</v>
      </c>
      <c r="DV34" s="54">
        <v>316.74400000000003</v>
      </c>
      <c r="DW34" s="49"/>
      <c r="DX34" s="49"/>
      <c r="DZ34" s="52">
        <v>2016</v>
      </c>
      <c r="EA34" s="54">
        <v>663.98800000000006</v>
      </c>
      <c r="EB34" s="54">
        <v>666.59199999999998</v>
      </c>
      <c r="EC34" s="54">
        <v>665.15300000000002</v>
      </c>
      <c r="ED34" s="54">
        <v>665.60199999999998</v>
      </c>
      <c r="EE34" s="54">
        <v>667.45299999999997</v>
      </c>
      <c r="EF34" s="54">
        <v>667.072</v>
      </c>
      <c r="EG34" s="54">
        <v>669.37</v>
      </c>
      <c r="EH34" s="54">
        <v>678.5</v>
      </c>
      <c r="EI34" s="54">
        <v>680.48299999999995</v>
      </c>
      <c r="EJ34" s="54">
        <v>681.71600000000001</v>
      </c>
      <c r="EK34" s="54">
        <v>681.3</v>
      </c>
      <c r="EL34" s="54">
        <v>681.25300000000004</v>
      </c>
      <c r="EM34" s="49"/>
      <c r="EN34" s="49"/>
    </row>
    <row r="35" spans="2:144" x14ac:dyDescent="0.25">
      <c r="B35" s="52">
        <v>2017</v>
      </c>
      <c r="C35" s="54">
        <v>384.88200000000001</v>
      </c>
      <c r="D35" s="54">
        <v>385.35300000000001</v>
      </c>
      <c r="E35" s="54">
        <v>383.96499999999997</v>
      </c>
      <c r="F35" s="54">
        <v>379.88600000000002</v>
      </c>
      <c r="G35" s="54">
        <v>379.20699999999999</v>
      </c>
      <c r="H35" s="54">
        <v>377.74700000000001</v>
      </c>
      <c r="I35" s="54">
        <v>377.98899999999998</v>
      </c>
      <c r="J35" s="54">
        <v>378.99</v>
      </c>
      <c r="K35" s="54">
        <v>379.16899999999998</v>
      </c>
      <c r="L35" s="54">
        <v>379.072</v>
      </c>
      <c r="M35" s="54">
        <v>377.03699999999998</v>
      </c>
      <c r="N35" s="54">
        <v>377.73399999999998</v>
      </c>
      <c r="O35" s="49"/>
      <c r="P35" s="49"/>
      <c r="R35" s="33">
        <v>2017</v>
      </c>
      <c r="S35" s="38">
        <v>234.95400000000001</v>
      </c>
      <c r="T35" s="38">
        <v>235.67099999999999</v>
      </c>
      <c r="U35" s="38">
        <v>236.29300000000001</v>
      </c>
      <c r="V35" s="38">
        <v>236.29300000000001</v>
      </c>
      <c r="W35" s="38">
        <v>236.29300000000001</v>
      </c>
      <c r="X35" s="38">
        <v>236.08699999999999</v>
      </c>
      <c r="Y35" s="38">
        <v>236.12899999999999</v>
      </c>
      <c r="Z35" s="38">
        <v>236.12899999999999</v>
      </c>
      <c r="AA35" s="38">
        <v>237.209</v>
      </c>
      <c r="AB35" s="38">
        <v>237.71700000000001</v>
      </c>
      <c r="AC35" s="38">
        <v>238.24299999999999</v>
      </c>
      <c r="AD35" s="38">
        <v>238.09</v>
      </c>
      <c r="AE35" s="34"/>
      <c r="AF35" s="34"/>
      <c r="AH35" s="52">
        <v>2017</v>
      </c>
      <c r="AI35" s="54">
        <v>502.94799999999998</v>
      </c>
      <c r="AJ35" s="54">
        <v>506.10500000000002</v>
      </c>
      <c r="AK35" s="54">
        <v>505.99099999999999</v>
      </c>
      <c r="AL35" s="54">
        <v>505.85500000000002</v>
      </c>
      <c r="AM35" s="54">
        <v>505.61099999999999</v>
      </c>
      <c r="AN35" s="54">
        <v>505.81299999999999</v>
      </c>
      <c r="AO35" s="54">
        <v>506.68099999999998</v>
      </c>
      <c r="AP35" s="54">
        <v>507.39</v>
      </c>
      <c r="AQ35" s="54">
        <v>508.07799999999997</v>
      </c>
      <c r="AR35" s="54">
        <v>509.25599999999997</v>
      </c>
      <c r="AS35" s="54">
        <v>508.87900000000002</v>
      </c>
      <c r="AT35" s="54">
        <v>509.04500000000002</v>
      </c>
      <c r="AU35" s="54">
        <v>505.387</v>
      </c>
      <c r="AV35" s="54">
        <v>508.22199999999998</v>
      </c>
      <c r="AX35" s="52">
        <v>2017</v>
      </c>
      <c r="AY35" s="54">
        <v>515.46799999999996</v>
      </c>
      <c r="AZ35" s="54">
        <v>518.61800000000005</v>
      </c>
      <c r="BA35" s="54">
        <v>518.47</v>
      </c>
      <c r="BB35" s="54">
        <v>512.73800000000006</v>
      </c>
      <c r="BC35" s="54">
        <v>512.58199999999999</v>
      </c>
      <c r="BD35" s="54">
        <v>517.21699999999998</v>
      </c>
      <c r="BE35" s="54">
        <v>524.05600000000004</v>
      </c>
      <c r="BF35" s="54">
        <v>526.10500000000002</v>
      </c>
      <c r="BG35" s="54">
        <v>522.01800000000003</v>
      </c>
      <c r="BH35" s="54">
        <v>520.35</v>
      </c>
      <c r="BI35" s="54">
        <v>522.41099999999994</v>
      </c>
      <c r="BJ35" s="54">
        <v>525.38499999999999</v>
      </c>
      <c r="BK35" s="49"/>
      <c r="BL35" s="49"/>
      <c r="CD35" s="52">
        <v>2017</v>
      </c>
      <c r="CE35" s="54">
        <v>242.839</v>
      </c>
      <c r="CF35" s="54">
        <v>243.60300000000001</v>
      </c>
      <c r="CG35" s="54">
        <v>243.80099999999999</v>
      </c>
      <c r="CH35" s="54">
        <v>244.524</v>
      </c>
      <c r="CI35" s="54">
        <v>244.733</v>
      </c>
      <c r="CJ35" s="54">
        <v>244.95500000000001</v>
      </c>
      <c r="CK35" s="54">
        <v>244.786</v>
      </c>
      <c r="CL35" s="54">
        <v>245.51900000000001</v>
      </c>
      <c r="CM35" s="54">
        <v>246.81899999999999</v>
      </c>
      <c r="CN35" s="54">
        <v>246.66300000000001</v>
      </c>
      <c r="CO35" s="54">
        <v>246.66900000000001</v>
      </c>
      <c r="CP35" s="54">
        <v>246.524</v>
      </c>
      <c r="CQ35" s="54">
        <v>244.07599999999999</v>
      </c>
      <c r="CR35" s="54">
        <v>246.16300000000001</v>
      </c>
      <c r="CT35" s="52">
        <v>2018</v>
      </c>
      <c r="CU35" s="54">
        <v>328.63499999999999</v>
      </c>
      <c r="CV35" s="54">
        <v>329.70100000000002</v>
      </c>
      <c r="CW35" s="54">
        <v>330.75900000000001</v>
      </c>
      <c r="CX35" s="54">
        <v>331.28899999999999</v>
      </c>
      <c r="CY35" s="54">
        <v>331.65100000000001</v>
      </c>
      <c r="CZ35" s="54">
        <v>333.40800000000002</v>
      </c>
      <c r="DA35" s="54">
        <v>334.03300000000002</v>
      </c>
      <c r="DB35" s="54">
        <v>332.70800000000003</v>
      </c>
      <c r="DC35" s="54">
        <v>332.59500000000003</v>
      </c>
      <c r="DD35" s="54">
        <v>332.85300000000001</v>
      </c>
      <c r="DE35" s="54">
        <v>334.24200000000002</v>
      </c>
      <c r="DF35" s="54">
        <v>334.964</v>
      </c>
      <c r="DG35" s="54">
        <v>330.90699999999998</v>
      </c>
      <c r="DH35" s="54">
        <v>333.56599999999997</v>
      </c>
      <c r="DJ35" s="52">
        <v>2018</v>
      </c>
      <c r="DK35" s="54">
        <v>322.327</v>
      </c>
      <c r="DL35" s="54">
        <v>323.20699999999999</v>
      </c>
      <c r="DM35" s="54">
        <v>323.47199999999998</v>
      </c>
      <c r="DN35" s="54">
        <v>323.69400000000002</v>
      </c>
      <c r="DO35" s="54">
        <v>324.17200000000003</v>
      </c>
      <c r="DP35" s="54">
        <v>325.82100000000003</v>
      </c>
      <c r="DQ35" s="54">
        <v>326.077</v>
      </c>
      <c r="DR35" s="54">
        <v>324.87900000000002</v>
      </c>
      <c r="DS35" s="54">
        <v>325.39100000000002</v>
      </c>
      <c r="DT35" s="54">
        <v>324.75400000000002</v>
      </c>
      <c r="DU35" s="54">
        <v>324.84199999999998</v>
      </c>
      <c r="DV35" s="54">
        <v>325.76299999999998</v>
      </c>
      <c r="DW35" s="54">
        <v>323.78199999999998</v>
      </c>
      <c r="DX35" s="54">
        <v>325.28399999999999</v>
      </c>
      <c r="DZ35" s="52">
        <v>2017</v>
      </c>
      <c r="EA35" s="54">
        <v>686.33100000000002</v>
      </c>
      <c r="EB35" s="54">
        <v>695.41099999999994</v>
      </c>
      <c r="EC35" s="54">
        <v>696.85</v>
      </c>
      <c r="ED35" s="54">
        <v>705.346</v>
      </c>
      <c r="EE35" s="54">
        <v>704.56600000000003</v>
      </c>
      <c r="EF35" s="54">
        <v>707.89499999999998</v>
      </c>
      <c r="EG35" s="54">
        <v>710.21600000000001</v>
      </c>
      <c r="EH35" s="54">
        <v>709.36800000000005</v>
      </c>
      <c r="EI35" s="54">
        <v>711.43100000000004</v>
      </c>
      <c r="EJ35" s="54">
        <v>714.56100000000004</v>
      </c>
      <c r="EK35" s="54">
        <v>713.54300000000001</v>
      </c>
      <c r="EL35" s="54">
        <v>714.21100000000001</v>
      </c>
      <c r="EM35" s="49"/>
      <c r="EN35" s="49"/>
    </row>
    <row r="36" spans="2:144" x14ac:dyDescent="0.25">
      <c r="B36" s="52">
        <v>2018</v>
      </c>
      <c r="C36" s="54">
        <v>379.077</v>
      </c>
      <c r="D36" s="54">
        <v>380.47</v>
      </c>
      <c r="E36" s="54">
        <v>380.76600000000002</v>
      </c>
      <c r="F36" s="54">
        <v>381.07600000000002</v>
      </c>
      <c r="G36" s="54">
        <v>381.30900000000003</v>
      </c>
      <c r="H36" s="54">
        <v>380.99099999999999</v>
      </c>
      <c r="I36" s="54">
        <v>380.404</v>
      </c>
      <c r="J36" s="54">
        <v>380.14299999999997</v>
      </c>
      <c r="K36" s="54">
        <v>380.928</v>
      </c>
      <c r="L36" s="54">
        <v>380.48899999999998</v>
      </c>
      <c r="M36" s="54">
        <v>379.87200000000001</v>
      </c>
      <c r="N36" s="54">
        <v>379.88499999999999</v>
      </c>
      <c r="O36" s="54">
        <v>380.61500000000001</v>
      </c>
      <c r="P36" s="54">
        <v>380.28699999999998</v>
      </c>
      <c r="R36" s="33">
        <v>2018</v>
      </c>
      <c r="S36" s="38">
        <v>237.02699999999999</v>
      </c>
      <c r="T36" s="38">
        <v>235.05600000000001</v>
      </c>
      <c r="U36" s="38">
        <v>236.93799999999999</v>
      </c>
      <c r="V36" s="38">
        <v>237.43</v>
      </c>
      <c r="W36" s="38">
        <v>237.66300000000001</v>
      </c>
      <c r="X36" s="38">
        <v>237.82599999999999</v>
      </c>
      <c r="Y36" s="38">
        <v>237.82599999999999</v>
      </c>
      <c r="Z36" s="38">
        <v>237.499</v>
      </c>
      <c r="AA36" s="38">
        <v>237.154</v>
      </c>
      <c r="AB36" s="38">
        <v>237.34399999999999</v>
      </c>
      <c r="AC36" s="38">
        <v>238.25</v>
      </c>
      <c r="AD36" s="38">
        <v>238.25</v>
      </c>
      <c r="AE36" s="38">
        <v>236.99</v>
      </c>
      <c r="AF36" s="38">
        <v>237.721</v>
      </c>
      <c r="AH36" s="52">
        <v>2018</v>
      </c>
      <c r="AI36" s="54">
        <v>513.13499999999999</v>
      </c>
      <c r="AJ36" s="54">
        <v>515.20500000000004</v>
      </c>
      <c r="AK36" s="54">
        <v>516.71299999999997</v>
      </c>
      <c r="AL36" s="54">
        <v>517.22799999999995</v>
      </c>
      <c r="AM36" s="54">
        <v>517.22</v>
      </c>
      <c r="AN36" s="54">
        <v>518.30700000000002</v>
      </c>
      <c r="AO36" s="54">
        <v>518.27700000000004</v>
      </c>
      <c r="AP36" s="54">
        <v>516.84100000000001</v>
      </c>
      <c r="AQ36" s="54">
        <v>518.10799999999995</v>
      </c>
      <c r="AR36" s="54">
        <v>519.15200000000004</v>
      </c>
      <c r="AS36" s="54">
        <v>520.97299999999996</v>
      </c>
      <c r="AT36" s="54">
        <v>522.50599999999997</v>
      </c>
      <c r="AU36" s="54">
        <v>516.30100000000004</v>
      </c>
      <c r="AV36" s="54">
        <v>519.30999999999995</v>
      </c>
      <c r="AX36" s="52">
        <v>2018</v>
      </c>
      <c r="AY36" s="54">
        <v>527.76700000000005</v>
      </c>
      <c r="AZ36" s="54">
        <v>529.279</v>
      </c>
      <c r="BA36" s="54">
        <v>528.16700000000003</v>
      </c>
      <c r="BB36" s="54">
        <v>526.34500000000003</v>
      </c>
      <c r="BC36" s="54">
        <v>531.69200000000001</v>
      </c>
      <c r="BD36" s="54">
        <v>533.72</v>
      </c>
      <c r="BE36" s="54">
        <v>528.86500000000001</v>
      </c>
      <c r="BF36" s="54">
        <v>530.16499999999996</v>
      </c>
      <c r="BG36" s="54">
        <v>528.12400000000002</v>
      </c>
      <c r="BH36" s="54">
        <v>524.37</v>
      </c>
      <c r="BI36" s="54">
        <v>525.49400000000003</v>
      </c>
      <c r="BJ36" s="54">
        <v>522.10500000000002</v>
      </c>
      <c r="BK36" s="54">
        <v>529.495</v>
      </c>
      <c r="BL36" s="54">
        <v>526.52099999999996</v>
      </c>
      <c r="CD36" s="52">
        <v>2018</v>
      </c>
      <c r="CE36" s="54">
        <v>247.86699999999999</v>
      </c>
      <c r="CF36" s="54">
        <v>248.99100000000001</v>
      </c>
      <c r="CG36" s="54">
        <v>249.554</v>
      </c>
      <c r="CH36" s="54">
        <v>250.54599999999999</v>
      </c>
      <c r="CI36" s="54">
        <v>251.58799999999999</v>
      </c>
      <c r="CJ36" s="54">
        <v>251.989</v>
      </c>
      <c r="CK36" s="54">
        <v>252.006</v>
      </c>
      <c r="CL36" s="54">
        <v>252.14599999999999</v>
      </c>
      <c r="CM36" s="54">
        <v>252.43899999999999</v>
      </c>
      <c r="CN36" s="54">
        <v>252.88499999999999</v>
      </c>
      <c r="CO36" s="54">
        <v>252.03800000000001</v>
      </c>
      <c r="CP36" s="54">
        <v>251.233</v>
      </c>
      <c r="CQ36" s="54">
        <v>250.089</v>
      </c>
      <c r="CR36" s="54">
        <v>252.125</v>
      </c>
      <c r="CT36" s="52">
        <v>2019</v>
      </c>
      <c r="CU36" s="54">
        <v>336.22500000000002</v>
      </c>
      <c r="CV36" s="54">
        <v>336.23399999999998</v>
      </c>
      <c r="CW36" s="54">
        <v>336.64800000000002</v>
      </c>
      <c r="CX36" s="54">
        <v>335.19799999999998</v>
      </c>
      <c r="CY36" s="54">
        <v>335.96600000000001</v>
      </c>
      <c r="CZ36" s="54">
        <v>335.07799999999997</v>
      </c>
      <c r="DA36" s="54">
        <v>336.60399999999998</v>
      </c>
      <c r="DB36" s="54">
        <v>339.78100000000001</v>
      </c>
      <c r="DC36" s="54">
        <v>339.512</v>
      </c>
      <c r="DD36" s="54">
        <v>344.363</v>
      </c>
      <c r="DE36" s="54">
        <v>345.22699999999998</v>
      </c>
      <c r="DF36" s="54">
        <v>344.93299999999999</v>
      </c>
      <c r="DG36" s="54">
        <v>335.892</v>
      </c>
      <c r="DH36" s="54">
        <v>341.73700000000002</v>
      </c>
      <c r="DJ36" s="52">
        <v>2019</v>
      </c>
      <c r="DK36" s="54">
        <v>326.80700000000002</v>
      </c>
      <c r="DL36" s="54">
        <v>327.08100000000002</v>
      </c>
      <c r="DM36" s="54">
        <v>327.81400000000002</v>
      </c>
      <c r="DN36" s="54">
        <v>326.73599999999999</v>
      </c>
      <c r="DO36" s="54">
        <v>327.99299999999999</v>
      </c>
      <c r="DP36" s="54">
        <v>327.548</v>
      </c>
      <c r="DQ36" s="54">
        <v>328.90100000000001</v>
      </c>
      <c r="DR36" s="54">
        <v>330.923</v>
      </c>
      <c r="DS36" s="54">
        <v>330.79599999999999</v>
      </c>
      <c r="DT36" s="54">
        <v>335.30500000000001</v>
      </c>
      <c r="DU36" s="54">
        <v>336.40100000000001</v>
      </c>
      <c r="DV36" s="54">
        <v>336.52499999999998</v>
      </c>
      <c r="DW36" s="54">
        <v>327.33</v>
      </c>
      <c r="DX36" s="54">
        <v>333.142</v>
      </c>
      <c r="DZ36" s="52">
        <v>2018</v>
      </c>
      <c r="EA36" s="54">
        <v>727.70799999999997</v>
      </c>
      <c r="EB36" s="54">
        <v>729.28</v>
      </c>
      <c r="EC36" s="54">
        <v>732.61800000000005</v>
      </c>
      <c r="ED36" s="54">
        <v>733.79100000000005</v>
      </c>
      <c r="EE36" s="54">
        <v>734.53200000000004</v>
      </c>
      <c r="EF36" s="54">
        <v>738.40300000000002</v>
      </c>
      <c r="EG36" s="54">
        <v>740.71900000000005</v>
      </c>
      <c r="EH36" s="54">
        <v>736.52</v>
      </c>
      <c r="EI36" s="54">
        <v>734.34100000000001</v>
      </c>
      <c r="EJ36" s="54">
        <v>735.745</v>
      </c>
      <c r="EK36" s="54">
        <v>741.18299999999999</v>
      </c>
      <c r="EL36" s="54">
        <v>742.92100000000005</v>
      </c>
      <c r="EM36" s="54">
        <v>732.72199999999998</v>
      </c>
      <c r="EN36" s="54">
        <v>738.572</v>
      </c>
    </row>
    <row r="37" spans="2:144" x14ac:dyDescent="0.25">
      <c r="B37" s="52">
        <v>2019</v>
      </c>
      <c r="C37" s="54">
        <v>382.03199999999998</v>
      </c>
      <c r="D37" s="54">
        <v>383.00900000000001</v>
      </c>
      <c r="E37" s="54">
        <v>381.04500000000002</v>
      </c>
      <c r="F37" s="54">
        <v>382.15</v>
      </c>
      <c r="G37" s="54">
        <v>382.43599999999998</v>
      </c>
      <c r="H37" s="54">
        <v>382.702</v>
      </c>
      <c r="I37" s="54">
        <v>383.04700000000003</v>
      </c>
      <c r="J37" s="54">
        <v>382.858</v>
      </c>
      <c r="K37" s="54">
        <v>384.45400000000001</v>
      </c>
      <c r="L37" s="54">
        <v>384.90100000000001</v>
      </c>
      <c r="M37" s="54">
        <v>385.01</v>
      </c>
      <c r="N37" s="54">
        <v>385.09199999999998</v>
      </c>
      <c r="O37" s="54">
        <v>382.22899999999998</v>
      </c>
      <c r="P37" s="54">
        <v>384.22699999999998</v>
      </c>
      <c r="R37" s="33">
        <v>2019</v>
      </c>
      <c r="S37" s="38">
        <v>237.35599999999999</v>
      </c>
      <c r="T37" s="38">
        <v>238.24700000000001</v>
      </c>
      <c r="U37" s="38">
        <v>238.88</v>
      </c>
      <c r="V37" s="38">
        <v>238.339</v>
      </c>
      <c r="W37" s="38">
        <v>238.94200000000001</v>
      </c>
      <c r="X37" s="38">
        <v>239.09299999999999</v>
      </c>
      <c r="Y37" s="38">
        <v>238.98699999999999</v>
      </c>
      <c r="Z37" s="38">
        <v>239.80600000000001</v>
      </c>
      <c r="AA37" s="38">
        <v>240.83199999999999</v>
      </c>
      <c r="AB37" s="38">
        <v>239.90600000000001</v>
      </c>
      <c r="AC37" s="38">
        <v>239.923</v>
      </c>
      <c r="AD37" s="38">
        <v>240.13800000000001</v>
      </c>
      <c r="AE37" s="38">
        <v>238.476</v>
      </c>
      <c r="AF37" s="38">
        <v>239.93199999999999</v>
      </c>
      <c r="AH37" s="52">
        <v>2019</v>
      </c>
      <c r="AI37" s="54">
        <v>525.69799999999998</v>
      </c>
      <c r="AJ37" s="54">
        <v>527.68299999999999</v>
      </c>
      <c r="AK37" s="54">
        <v>528.57500000000005</v>
      </c>
      <c r="AL37" s="54">
        <v>529.37099999999998</v>
      </c>
      <c r="AM37" s="54">
        <v>531.56600000000003</v>
      </c>
      <c r="AN37" s="54">
        <v>532.95600000000002</v>
      </c>
      <c r="AO37" s="54">
        <v>535.51499999999999</v>
      </c>
      <c r="AP37" s="54">
        <v>539.06600000000003</v>
      </c>
      <c r="AQ37" s="54">
        <v>540.81299999999999</v>
      </c>
      <c r="AR37" s="54">
        <v>545.65200000000004</v>
      </c>
      <c r="AS37" s="54">
        <v>547.73500000000001</v>
      </c>
      <c r="AT37" s="54">
        <v>549.077</v>
      </c>
      <c r="AU37" s="54">
        <v>529.30799999999999</v>
      </c>
      <c r="AV37" s="54">
        <v>542.976</v>
      </c>
      <c r="AX37" s="52">
        <v>2019</v>
      </c>
      <c r="AY37" s="54">
        <v>525.10299999999995</v>
      </c>
      <c r="AZ37" s="54">
        <v>522.971</v>
      </c>
      <c r="BA37" s="54">
        <v>526.09699999999998</v>
      </c>
      <c r="BB37" s="54">
        <v>528.00800000000004</v>
      </c>
      <c r="BC37" s="54">
        <v>526.43899999999996</v>
      </c>
      <c r="BD37" s="54">
        <v>522.95699999999999</v>
      </c>
      <c r="BE37" s="54">
        <v>524.82899999999995</v>
      </c>
      <c r="BF37" s="54">
        <v>526.62900000000002</v>
      </c>
      <c r="BG37" s="54">
        <v>522.51800000000003</v>
      </c>
      <c r="BH37" s="54">
        <v>529.63499999999999</v>
      </c>
      <c r="BI37" s="54">
        <v>528.28499999999997</v>
      </c>
      <c r="BJ37" s="54">
        <v>537.94600000000003</v>
      </c>
      <c r="BK37" s="54">
        <v>525.26300000000003</v>
      </c>
      <c r="BL37" s="54">
        <v>528.30700000000002</v>
      </c>
      <c r="CD37" s="52">
        <v>2019</v>
      </c>
      <c r="CE37" s="54">
        <v>251.71199999999999</v>
      </c>
      <c r="CF37" s="54">
        <v>252.77600000000001</v>
      </c>
      <c r="CG37" s="54">
        <v>254.202</v>
      </c>
      <c r="CH37" s="54">
        <v>255.548</v>
      </c>
      <c r="CI37" s="54">
        <v>256.09199999999998</v>
      </c>
      <c r="CJ37" s="54">
        <v>256.14299999999997</v>
      </c>
      <c r="CK37" s="54">
        <v>256.57100000000003</v>
      </c>
      <c r="CL37" s="54">
        <v>256.55799999999999</v>
      </c>
      <c r="CM37" s="54">
        <v>256.75900000000001</v>
      </c>
      <c r="CN37" s="54">
        <v>257.346</v>
      </c>
      <c r="CO37" s="54">
        <v>257.20800000000003</v>
      </c>
      <c r="CP37" s="54">
        <v>256.97399999999999</v>
      </c>
      <c r="CQ37" s="54">
        <v>254.41200000000001</v>
      </c>
      <c r="CR37" s="54">
        <v>256.90300000000002</v>
      </c>
      <c r="CT37" s="52">
        <v>2020</v>
      </c>
      <c r="CU37" s="54">
        <v>349.15199999999999</v>
      </c>
      <c r="CV37" s="54">
        <v>350.63499999999999</v>
      </c>
      <c r="CW37" s="54">
        <v>351.35</v>
      </c>
      <c r="CX37" s="54">
        <v>352.67599999999999</v>
      </c>
      <c r="CY37" s="54">
        <v>352.28699999999998</v>
      </c>
      <c r="CZ37" s="54">
        <v>352.79399999999998</v>
      </c>
      <c r="DA37" s="54">
        <v>353.38099999999997</v>
      </c>
      <c r="DB37" s="54">
        <v>353.33199999999999</v>
      </c>
      <c r="DC37" s="54">
        <v>355.12900000000002</v>
      </c>
      <c r="DD37" s="54">
        <v>354.28899999999999</v>
      </c>
      <c r="DE37" s="54">
        <v>355.16399999999999</v>
      </c>
      <c r="DF37" s="54">
        <v>355.23200000000003</v>
      </c>
      <c r="DG37" s="54">
        <v>351.48200000000003</v>
      </c>
      <c r="DH37" s="54">
        <v>354.42099999999999</v>
      </c>
      <c r="DJ37" s="52">
        <v>2020</v>
      </c>
      <c r="DK37" s="54">
        <v>340.435</v>
      </c>
      <c r="DL37" s="54">
        <v>340.06799999999998</v>
      </c>
      <c r="DM37" s="54">
        <v>340.90899999999999</v>
      </c>
      <c r="DN37" s="54">
        <v>342.04399999999998</v>
      </c>
      <c r="DO37" s="54">
        <v>342.649</v>
      </c>
      <c r="DP37" s="54">
        <v>343.00400000000002</v>
      </c>
      <c r="DQ37" s="54">
        <v>343.53399999999999</v>
      </c>
      <c r="DR37" s="54">
        <v>343.12299999999999</v>
      </c>
      <c r="DS37" s="54">
        <v>344.16500000000002</v>
      </c>
      <c r="DT37" s="54">
        <v>343.19</v>
      </c>
      <c r="DU37" s="54">
        <v>343.94200000000001</v>
      </c>
      <c r="DV37" s="54">
        <v>343.512</v>
      </c>
      <c r="DW37" s="54">
        <v>341.51799999999997</v>
      </c>
      <c r="DX37" s="54">
        <v>343.57799999999997</v>
      </c>
      <c r="DZ37" s="52">
        <v>2019</v>
      </c>
      <c r="EA37" s="54">
        <v>745.49099999999999</v>
      </c>
      <c r="EB37" s="54">
        <v>744.74699999999996</v>
      </c>
      <c r="EC37" s="54">
        <v>745.25</v>
      </c>
      <c r="ED37" s="54">
        <v>740.74099999999999</v>
      </c>
      <c r="EE37" s="54">
        <v>740.86099999999999</v>
      </c>
      <c r="EF37" s="54">
        <v>738.85799999999995</v>
      </c>
      <c r="EG37" s="54">
        <v>743.44200000000001</v>
      </c>
      <c r="EH37" s="54">
        <v>751.69399999999996</v>
      </c>
      <c r="EI37" s="54">
        <v>750.25099999999998</v>
      </c>
      <c r="EJ37" s="54">
        <v>757.46900000000005</v>
      </c>
      <c r="EK37" s="54">
        <v>757.64</v>
      </c>
      <c r="EL37" s="54">
        <v>757.74900000000002</v>
      </c>
      <c r="EM37" s="54">
        <v>742.65800000000002</v>
      </c>
      <c r="EN37" s="54">
        <v>753.04100000000005</v>
      </c>
    </row>
    <row r="38" spans="2:144" x14ac:dyDescent="0.25">
      <c r="B38" s="52">
        <v>2020</v>
      </c>
      <c r="C38" s="54">
        <v>384.71499999999997</v>
      </c>
      <c r="D38" s="54">
        <v>386.202</v>
      </c>
      <c r="E38" s="54">
        <v>386.483</v>
      </c>
      <c r="F38" s="54">
        <v>386.86200000000002</v>
      </c>
      <c r="G38" s="54">
        <v>389.32900000000001</v>
      </c>
      <c r="H38" s="54">
        <v>390.71800000000002</v>
      </c>
      <c r="I38" s="54">
        <v>392.928</v>
      </c>
      <c r="J38" s="54">
        <v>393.02499999999998</v>
      </c>
      <c r="K38" s="54">
        <v>392.47399999999999</v>
      </c>
      <c r="L38" s="54">
        <v>392.09899999999999</v>
      </c>
      <c r="M38" s="54">
        <v>392.15600000000001</v>
      </c>
      <c r="N38" s="54">
        <v>391.80700000000002</v>
      </c>
      <c r="O38" s="54">
        <v>387.38499999999999</v>
      </c>
      <c r="P38" s="54">
        <v>392.41500000000002</v>
      </c>
      <c r="R38" s="33">
        <v>2020</v>
      </c>
      <c r="S38" s="38">
        <v>240.58500000000001</v>
      </c>
      <c r="T38" s="38">
        <v>240.68899999999999</v>
      </c>
      <c r="U38" s="38">
        <v>240.70699999999999</v>
      </c>
      <c r="V38" s="38">
        <v>241.08500000000001</v>
      </c>
      <c r="W38" s="38">
        <v>241.41900000000001</v>
      </c>
      <c r="X38" s="38">
        <v>242.11500000000001</v>
      </c>
      <c r="Y38" s="38">
        <v>242.38</v>
      </c>
      <c r="Z38" s="38">
        <v>242.38</v>
      </c>
      <c r="AA38" s="38">
        <v>243.578</v>
      </c>
      <c r="AB38" s="38">
        <v>243.578</v>
      </c>
      <c r="AC38" s="38">
        <v>243.43700000000001</v>
      </c>
      <c r="AD38" s="38">
        <v>243.32</v>
      </c>
      <c r="AE38" s="38">
        <v>241.1</v>
      </c>
      <c r="AF38" s="38">
        <v>243.11199999999999</v>
      </c>
      <c r="AH38" s="52">
        <v>2020</v>
      </c>
      <c r="AI38" s="54">
        <v>552.721</v>
      </c>
      <c r="AJ38" s="54">
        <v>555.59699999999998</v>
      </c>
      <c r="AK38" s="54">
        <v>557.88900000000001</v>
      </c>
      <c r="AL38" s="54">
        <v>559.99400000000003</v>
      </c>
      <c r="AM38" s="54">
        <v>562.70100000000002</v>
      </c>
      <c r="AN38" s="54">
        <v>564.75400000000002</v>
      </c>
      <c r="AO38" s="54">
        <v>567.29899999999998</v>
      </c>
      <c r="AP38" s="54">
        <v>567.77099999999996</v>
      </c>
      <c r="AQ38" s="54">
        <v>567.52499999999998</v>
      </c>
      <c r="AR38" s="54">
        <v>565.99900000000002</v>
      </c>
      <c r="AS38" s="54">
        <v>565.34500000000003</v>
      </c>
      <c r="AT38" s="54">
        <v>564.20100000000002</v>
      </c>
      <c r="AU38" s="54">
        <v>558.94299999999998</v>
      </c>
      <c r="AV38" s="54">
        <v>566.35699999999997</v>
      </c>
      <c r="AX38" s="52">
        <v>2020</v>
      </c>
      <c r="AY38" s="54">
        <v>538.154</v>
      </c>
      <c r="AZ38" s="54">
        <v>535.548</v>
      </c>
      <c r="BA38" s="54">
        <v>533.88499999999999</v>
      </c>
      <c r="BB38" s="54">
        <v>533.76700000000005</v>
      </c>
      <c r="BC38" s="54">
        <v>533.32500000000005</v>
      </c>
      <c r="BD38" s="54">
        <v>533.46</v>
      </c>
      <c r="BE38" s="54">
        <v>533.55100000000004</v>
      </c>
      <c r="BF38" s="54">
        <v>534.25400000000002</v>
      </c>
      <c r="BG38" s="54">
        <v>529.96600000000001</v>
      </c>
      <c r="BH38" s="54">
        <v>527.649</v>
      </c>
      <c r="BI38" s="54">
        <v>526.16700000000003</v>
      </c>
      <c r="BJ38" s="54">
        <v>525.24400000000003</v>
      </c>
      <c r="BK38" s="54">
        <v>534.69000000000005</v>
      </c>
      <c r="BL38" s="54">
        <v>529.47199999999998</v>
      </c>
      <c r="CD38" s="52">
        <v>2020</v>
      </c>
      <c r="CE38" s="54">
        <v>257.971</v>
      </c>
      <c r="CF38" s="54">
        <v>258.678</v>
      </c>
      <c r="CG38" s="54">
        <v>258.11500000000001</v>
      </c>
      <c r="CH38" s="54">
        <v>256.38900000000001</v>
      </c>
      <c r="CI38" s="54">
        <v>256.39400000000001</v>
      </c>
      <c r="CJ38" s="54">
        <v>257.79700000000003</v>
      </c>
      <c r="CK38" s="54">
        <v>259.101</v>
      </c>
      <c r="CL38" s="54">
        <v>259.91800000000001</v>
      </c>
      <c r="CM38" s="54">
        <v>260.27999999999997</v>
      </c>
      <c r="CN38" s="54">
        <v>260.38799999999998</v>
      </c>
      <c r="CO38" s="54">
        <v>260.22899999999998</v>
      </c>
      <c r="CP38" s="54">
        <v>260.47399999999999</v>
      </c>
      <c r="CQ38" s="54">
        <v>257.55700000000002</v>
      </c>
      <c r="CR38" s="54">
        <v>260.065</v>
      </c>
      <c r="CT38" s="52">
        <v>2021</v>
      </c>
      <c r="CU38" s="54">
        <v>358.733</v>
      </c>
      <c r="CV38" s="54">
        <v>359.52100000000002</v>
      </c>
      <c r="CW38" s="54">
        <v>361.46800000000002</v>
      </c>
      <c r="CX38" s="54">
        <v>361.58499999999998</v>
      </c>
      <c r="CY38" s="54">
        <v>361.28500000000003</v>
      </c>
      <c r="CZ38" s="54">
        <v>361.38400000000001</v>
      </c>
      <c r="DA38" s="54">
        <v>363.25400000000002</v>
      </c>
      <c r="DB38" s="54">
        <v>365.84300000000002</v>
      </c>
      <c r="DC38" s="54">
        <v>366.39400000000001</v>
      </c>
      <c r="DD38" s="54">
        <v>368.59300000000002</v>
      </c>
      <c r="DE38" s="54">
        <v>367.47899999999998</v>
      </c>
      <c r="DF38" s="54">
        <v>366.85399999999998</v>
      </c>
      <c r="DG38" s="54">
        <v>360.66300000000001</v>
      </c>
      <c r="DH38" s="54">
        <v>366.40300000000002</v>
      </c>
      <c r="DJ38" s="52">
        <v>2021</v>
      </c>
      <c r="DK38" s="54">
        <v>346.38099999999997</v>
      </c>
      <c r="DL38" s="54">
        <v>347.60199999999998</v>
      </c>
      <c r="DM38" s="54">
        <v>348.99400000000003</v>
      </c>
      <c r="DN38" s="54">
        <v>349.65100000000001</v>
      </c>
      <c r="DO38" s="54">
        <v>349.541</v>
      </c>
      <c r="DP38" s="54">
        <v>349.25400000000002</v>
      </c>
      <c r="DQ38" s="54">
        <v>351.34500000000003</v>
      </c>
      <c r="DR38" s="54">
        <v>354.94499999999999</v>
      </c>
      <c r="DS38" s="54">
        <v>355.18700000000001</v>
      </c>
      <c r="DT38" s="54">
        <v>357.10500000000002</v>
      </c>
      <c r="DU38" s="54">
        <v>356.09300000000002</v>
      </c>
      <c r="DV38" s="54">
        <v>355.68299999999999</v>
      </c>
      <c r="DW38" s="54">
        <v>348.57100000000003</v>
      </c>
      <c r="DX38" s="54">
        <v>355.06</v>
      </c>
      <c r="DZ38" s="52">
        <v>2020</v>
      </c>
      <c r="EA38" s="54">
        <v>768.84500000000003</v>
      </c>
      <c r="EB38" s="54">
        <v>771.05499999999995</v>
      </c>
      <c r="EC38" s="54">
        <v>772.07299999999998</v>
      </c>
      <c r="ED38" s="54">
        <v>771.40300000000002</v>
      </c>
      <c r="EE38" s="54">
        <v>766.40700000000004</v>
      </c>
      <c r="EF38" s="54">
        <v>768.096</v>
      </c>
      <c r="EG38" s="54">
        <v>770.09400000000005</v>
      </c>
      <c r="EH38" s="54">
        <v>771.76599999999996</v>
      </c>
      <c r="EI38" s="54">
        <v>775.03899999999999</v>
      </c>
      <c r="EJ38" s="54">
        <v>773.63099999999997</v>
      </c>
      <c r="EK38" s="54">
        <v>775.16600000000005</v>
      </c>
      <c r="EL38" s="54">
        <v>775.41700000000003</v>
      </c>
      <c r="EM38" s="54">
        <v>769.64700000000005</v>
      </c>
      <c r="EN38" s="54">
        <v>773.51900000000001</v>
      </c>
    </row>
    <row r="39" spans="2:144" x14ac:dyDescent="0.25">
      <c r="B39" s="52">
        <v>2021</v>
      </c>
      <c r="C39" s="54">
        <v>397.892</v>
      </c>
      <c r="D39" s="54">
        <v>405.89699999999999</v>
      </c>
      <c r="E39" s="54">
        <v>407.048</v>
      </c>
      <c r="F39" s="54">
        <v>405.86900000000003</v>
      </c>
      <c r="G39" s="54">
        <v>405.74400000000003</v>
      </c>
      <c r="H39" s="54">
        <v>406.81200000000001</v>
      </c>
      <c r="I39" s="54">
        <v>408.44499999999999</v>
      </c>
      <c r="J39" s="54">
        <v>408.49</v>
      </c>
      <c r="K39" s="54">
        <v>407.26600000000002</v>
      </c>
      <c r="L39" s="54">
        <v>407.39100000000002</v>
      </c>
      <c r="M39" s="54">
        <v>408.84300000000002</v>
      </c>
      <c r="N39" s="54">
        <v>408.64400000000001</v>
      </c>
      <c r="O39" s="54">
        <v>404.87700000000001</v>
      </c>
      <c r="P39" s="54">
        <v>408.18</v>
      </c>
      <c r="R39" s="33">
        <v>2021</v>
      </c>
      <c r="S39" s="38">
        <v>247.15299999999999</v>
      </c>
      <c r="T39" s="38">
        <v>246.67099999999999</v>
      </c>
      <c r="U39" s="38">
        <v>247.06899999999999</v>
      </c>
      <c r="V39" s="38">
        <v>247.24600000000001</v>
      </c>
      <c r="W39" s="38">
        <v>247.78399999999999</v>
      </c>
      <c r="X39" s="38">
        <v>247.745</v>
      </c>
      <c r="Y39" s="38">
        <v>247.804</v>
      </c>
      <c r="Z39" s="38">
        <v>247.804</v>
      </c>
      <c r="AA39" s="38">
        <v>248.614</v>
      </c>
      <c r="AB39" s="38">
        <v>248.614</v>
      </c>
      <c r="AC39" s="38">
        <v>248.614</v>
      </c>
      <c r="AD39" s="38">
        <v>250.25899999999999</v>
      </c>
      <c r="AE39" s="38">
        <v>247.27799999999999</v>
      </c>
      <c r="AF39" s="38">
        <v>248.61799999999999</v>
      </c>
      <c r="AH39" s="52">
        <v>2021</v>
      </c>
      <c r="AI39" s="54">
        <v>568.77800000000002</v>
      </c>
      <c r="AJ39" s="54">
        <v>572.37800000000004</v>
      </c>
      <c r="AK39" s="54">
        <v>573.00900000000001</v>
      </c>
      <c r="AL39" s="54">
        <v>572.10799999999995</v>
      </c>
      <c r="AM39" s="54">
        <v>571.255</v>
      </c>
      <c r="AN39" s="54">
        <v>570.50900000000001</v>
      </c>
      <c r="AO39" s="54">
        <v>571.93399999999997</v>
      </c>
      <c r="AP39" s="54">
        <v>573.5</v>
      </c>
      <c r="AQ39" s="54">
        <v>572.55899999999997</v>
      </c>
      <c r="AR39" s="54">
        <v>575.49300000000005</v>
      </c>
      <c r="AS39" s="54">
        <v>577.07600000000002</v>
      </c>
      <c r="AT39" s="54">
        <v>578.55499999999995</v>
      </c>
      <c r="AU39" s="54">
        <v>571.34</v>
      </c>
      <c r="AV39" s="54">
        <v>574.85299999999995</v>
      </c>
      <c r="AX39" s="52">
        <v>2021</v>
      </c>
      <c r="AY39" s="54">
        <v>525.43399999999997</v>
      </c>
      <c r="AZ39" s="54">
        <v>521.23099999999999</v>
      </c>
      <c r="BA39" s="54">
        <v>521.375</v>
      </c>
      <c r="BB39" s="54">
        <v>523.87599999999998</v>
      </c>
      <c r="BC39" s="54">
        <v>522.11599999999999</v>
      </c>
      <c r="BD39" s="54">
        <v>519.86099999999999</v>
      </c>
      <c r="BE39" s="54">
        <v>519.95699999999999</v>
      </c>
      <c r="BF39" s="54">
        <v>519.72900000000004</v>
      </c>
      <c r="BG39" s="54">
        <v>521.50599999999997</v>
      </c>
      <c r="BH39" s="54">
        <v>523.86199999999997</v>
      </c>
      <c r="BI39" s="54">
        <v>524.50900000000001</v>
      </c>
      <c r="BJ39" s="54">
        <v>525.25099999999998</v>
      </c>
      <c r="BK39" s="54">
        <v>522.31600000000003</v>
      </c>
      <c r="BL39" s="54">
        <v>522.46900000000005</v>
      </c>
      <c r="CD39" s="52">
        <v>2021</v>
      </c>
      <c r="CE39" s="54">
        <v>261.58199999999999</v>
      </c>
      <c r="CF39" s="54">
        <v>263.01400000000001</v>
      </c>
      <c r="CG39" s="54">
        <v>264.87700000000001</v>
      </c>
      <c r="CH39" s="54">
        <v>267.05399999999997</v>
      </c>
      <c r="CI39" s="54">
        <v>269.19499999999999</v>
      </c>
      <c r="CJ39" s="54">
        <v>271.69600000000003</v>
      </c>
      <c r="CK39" s="54">
        <v>273.00299999999999</v>
      </c>
      <c r="CL39" s="54">
        <v>273.56700000000001</v>
      </c>
      <c r="CM39" s="54">
        <v>274.31</v>
      </c>
      <c r="CN39" s="54">
        <v>276.589</v>
      </c>
      <c r="CO39" s="54">
        <v>277.94799999999998</v>
      </c>
      <c r="CP39" s="54">
        <v>278.80200000000002</v>
      </c>
      <c r="CQ39" s="54">
        <v>266.23599999999999</v>
      </c>
      <c r="CR39" s="54">
        <v>275.70299999999997</v>
      </c>
      <c r="CT39" s="52">
        <v>2022</v>
      </c>
      <c r="CU39" s="54">
        <v>371.64600000000002</v>
      </c>
      <c r="CV39" s="54">
        <v>371.745</v>
      </c>
      <c r="CW39" s="54">
        <v>373.30700000000002</v>
      </c>
      <c r="CX39" s="54">
        <v>374.50099999999998</v>
      </c>
      <c r="CY39" s="54">
        <v>375.27300000000002</v>
      </c>
      <c r="CZ39" s="54">
        <v>375.31799999999998</v>
      </c>
      <c r="DA39" s="54">
        <v>377.41500000000002</v>
      </c>
      <c r="DB39" s="54">
        <v>380.339</v>
      </c>
      <c r="DC39" s="54">
        <v>380.46499999999997</v>
      </c>
      <c r="DD39" s="49"/>
      <c r="DE39" s="54">
        <v>378.209</v>
      </c>
      <c r="DF39" s="54">
        <v>383.15</v>
      </c>
      <c r="DG39" s="54">
        <v>373.63200000000001</v>
      </c>
      <c r="DH39" s="54">
        <v>380.02</v>
      </c>
      <c r="DJ39" s="52">
        <v>2022</v>
      </c>
      <c r="DK39" s="54">
        <v>360.56700000000001</v>
      </c>
      <c r="DL39" s="54">
        <v>360.12299999999999</v>
      </c>
      <c r="DM39" s="54">
        <v>361.31799999999998</v>
      </c>
      <c r="DN39" s="54">
        <v>362.51600000000002</v>
      </c>
      <c r="DO39" s="54">
        <v>363.185</v>
      </c>
      <c r="DP39" s="54">
        <v>362.83300000000003</v>
      </c>
      <c r="DQ39" s="54">
        <v>365.07100000000003</v>
      </c>
      <c r="DR39" s="49"/>
      <c r="DS39" s="54">
        <v>368.92599999999999</v>
      </c>
      <c r="DT39" s="49"/>
      <c r="DU39" s="54">
        <v>366.005</v>
      </c>
      <c r="DV39" s="54">
        <v>370.41699999999997</v>
      </c>
      <c r="DW39" s="54">
        <v>361.75700000000001</v>
      </c>
      <c r="DX39" s="54">
        <v>367.988</v>
      </c>
      <c r="DZ39" s="52">
        <v>2021</v>
      </c>
      <c r="EA39" s="54">
        <v>784.49400000000003</v>
      </c>
      <c r="EB39" s="54">
        <v>784.471</v>
      </c>
      <c r="EC39" s="54">
        <v>789.73299999999995</v>
      </c>
      <c r="ED39" s="54">
        <v>785.95100000000002</v>
      </c>
      <c r="EE39" s="54">
        <v>785.71299999999997</v>
      </c>
      <c r="EF39" s="54">
        <v>788.00699999999995</v>
      </c>
      <c r="EG39" s="54">
        <v>790.19899999999996</v>
      </c>
      <c r="EH39" s="54">
        <v>794.25400000000002</v>
      </c>
      <c r="EI39" s="54">
        <v>795.81299999999999</v>
      </c>
      <c r="EJ39" s="54">
        <v>800.13199999999995</v>
      </c>
      <c r="EK39" s="54">
        <v>795.88199999999995</v>
      </c>
      <c r="EL39" s="54">
        <v>793.98500000000001</v>
      </c>
      <c r="EM39" s="54">
        <v>786.39499999999998</v>
      </c>
      <c r="EN39" s="54">
        <v>795.04399999999998</v>
      </c>
    </row>
    <row r="40" spans="2:144" x14ac:dyDescent="0.25">
      <c r="B40" s="52">
        <v>2022</v>
      </c>
      <c r="C40" s="54">
        <v>408.33499999999998</v>
      </c>
      <c r="D40" s="54">
        <v>407.98399999999998</v>
      </c>
      <c r="E40" s="54">
        <v>409.99799999999999</v>
      </c>
      <c r="F40" s="54">
        <v>410.83</v>
      </c>
      <c r="G40" s="54">
        <v>410.24900000000002</v>
      </c>
      <c r="H40" s="54">
        <v>410.72899999999998</v>
      </c>
      <c r="I40" s="54">
        <v>411.846</v>
      </c>
      <c r="J40" s="54">
        <v>412.82799999999997</v>
      </c>
      <c r="K40" s="54">
        <v>414.767</v>
      </c>
      <c r="L40" s="54">
        <v>414.89699999999999</v>
      </c>
      <c r="M40" s="54">
        <v>415.048</v>
      </c>
      <c r="N40" s="54">
        <v>415.61099999999999</v>
      </c>
      <c r="O40" s="54">
        <v>409.68799999999999</v>
      </c>
      <c r="P40" s="54">
        <v>414.166</v>
      </c>
      <c r="R40" s="33">
        <v>2022</v>
      </c>
      <c r="S40" s="38">
        <v>256.43700000000001</v>
      </c>
      <c r="T40" s="38">
        <v>258.61099999999999</v>
      </c>
      <c r="U40" s="38">
        <v>257.988</v>
      </c>
      <c r="V40" s="38">
        <v>257.303</v>
      </c>
      <c r="W40" s="38">
        <v>259.02600000000001</v>
      </c>
      <c r="X40" s="38">
        <v>259.38400000000001</v>
      </c>
      <c r="Y40" s="38">
        <v>258.62</v>
      </c>
      <c r="Z40" s="38">
        <v>258.81200000000001</v>
      </c>
      <c r="AA40" s="38">
        <v>258.82600000000002</v>
      </c>
      <c r="AB40" s="38">
        <v>258.94</v>
      </c>
      <c r="AC40" s="38">
        <v>257.83600000000001</v>
      </c>
      <c r="AD40" s="38">
        <v>255.471</v>
      </c>
      <c r="AE40" s="38">
        <v>258.125</v>
      </c>
      <c r="AF40" s="38">
        <v>258.084</v>
      </c>
      <c r="AH40" s="52">
        <v>2022</v>
      </c>
      <c r="AI40" s="54">
        <v>584.11099999999999</v>
      </c>
      <c r="AJ40" s="54">
        <v>586.17700000000002</v>
      </c>
      <c r="AK40" s="54">
        <v>589.65200000000004</v>
      </c>
      <c r="AL40" s="54">
        <v>591.94000000000005</v>
      </c>
      <c r="AM40" s="54">
        <v>594.24300000000005</v>
      </c>
      <c r="AN40" s="54">
        <v>598.03499999999997</v>
      </c>
      <c r="AO40" s="54">
        <v>601.05600000000004</v>
      </c>
      <c r="AP40" s="54">
        <v>605.88300000000004</v>
      </c>
      <c r="AQ40" s="54">
        <v>609.85199999999998</v>
      </c>
      <c r="AR40" s="54">
        <v>606.83900000000006</v>
      </c>
      <c r="AS40" s="54">
        <v>602.33299999999997</v>
      </c>
      <c r="AT40" s="54">
        <v>602.39499999999998</v>
      </c>
      <c r="AU40" s="54">
        <v>590.69299999999998</v>
      </c>
      <c r="AV40" s="54">
        <v>604.726</v>
      </c>
      <c r="AX40" s="52">
        <v>2022</v>
      </c>
      <c r="AY40" s="54">
        <v>532.04399999999998</v>
      </c>
      <c r="AZ40" s="54">
        <v>533.59199999999998</v>
      </c>
      <c r="BA40" s="54">
        <v>532.72199999999998</v>
      </c>
      <c r="BB40" s="54">
        <v>532.97500000000002</v>
      </c>
      <c r="BC40" s="54">
        <v>532.19500000000005</v>
      </c>
      <c r="BD40" s="54">
        <v>532.65599999999995</v>
      </c>
      <c r="BE40" s="54">
        <v>534.31200000000001</v>
      </c>
      <c r="BF40" s="54">
        <v>536.21199999999999</v>
      </c>
      <c r="BG40" s="54">
        <v>535.82000000000005</v>
      </c>
      <c r="BH40" s="54">
        <v>535.24800000000005</v>
      </c>
      <c r="BI40" s="54">
        <v>534.42399999999998</v>
      </c>
      <c r="BJ40" s="54">
        <v>534.9</v>
      </c>
      <c r="BK40" s="54">
        <v>532.697</v>
      </c>
      <c r="BL40" s="54">
        <v>535.15300000000002</v>
      </c>
      <c r="CD40" s="52">
        <v>2022</v>
      </c>
      <c r="CE40" s="54">
        <v>281.14800000000002</v>
      </c>
      <c r="CF40" s="54">
        <v>283.71600000000001</v>
      </c>
      <c r="CG40" s="54">
        <v>287.50400000000002</v>
      </c>
      <c r="CH40" s="54">
        <v>289.10899999999998</v>
      </c>
      <c r="CI40" s="54">
        <v>292.29599999999999</v>
      </c>
      <c r="CJ40" s="54">
        <v>296.31099999999998</v>
      </c>
      <c r="CK40" s="54">
        <v>296.27600000000001</v>
      </c>
      <c r="CL40" s="54">
        <v>296.17099999999999</v>
      </c>
      <c r="CM40" s="54">
        <v>296.80799999999999</v>
      </c>
      <c r="CN40" s="54">
        <v>298.012</v>
      </c>
      <c r="CO40" s="54">
        <v>297.71100000000001</v>
      </c>
      <c r="CP40" s="54">
        <v>296.79700000000003</v>
      </c>
      <c r="CQ40" s="54">
        <v>288.34699999999998</v>
      </c>
      <c r="CR40" s="54">
        <v>296.96300000000002</v>
      </c>
      <c r="CT40" s="52">
        <v>2023</v>
      </c>
      <c r="CU40" s="54">
        <v>385.06400000000002</v>
      </c>
      <c r="CV40" s="54">
        <v>384.99599999999998</v>
      </c>
      <c r="CW40" s="54">
        <v>383.42</v>
      </c>
      <c r="CX40" s="54">
        <v>385.35500000000002</v>
      </c>
      <c r="CY40" s="54">
        <v>389.166</v>
      </c>
      <c r="CZ40" s="54">
        <v>390.79300000000001</v>
      </c>
      <c r="DA40" s="54">
        <v>389.06099999999998</v>
      </c>
      <c r="DB40" s="54">
        <v>391.678</v>
      </c>
      <c r="DC40" s="54">
        <v>397.53100000000001</v>
      </c>
      <c r="DD40" s="54">
        <v>401.75200000000001</v>
      </c>
      <c r="DE40" s="54">
        <v>402.22199999999998</v>
      </c>
      <c r="DF40" s="54">
        <v>404.40699999999998</v>
      </c>
      <c r="DG40" s="54">
        <v>386.46600000000001</v>
      </c>
      <c r="DH40" s="54">
        <v>397.77499999999998</v>
      </c>
      <c r="DJ40" s="52">
        <v>2023</v>
      </c>
      <c r="DK40" s="54">
        <v>372.36</v>
      </c>
      <c r="DL40" s="54">
        <v>372.233</v>
      </c>
      <c r="DM40" s="54">
        <v>369.73399999999998</v>
      </c>
      <c r="DN40" s="54">
        <v>371.81099999999998</v>
      </c>
      <c r="DO40" s="54">
        <v>375.702</v>
      </c>
      <c r="DP40" s="54">
        <v>376.23500000000001</v>
      </c>
      <c r="DQ40" s="54">
        <v>374.505</v>
      </c>
      <c r="DR40" s="54">
        <v>377.09100000000001</v>
      </c>
      <c r="DS40" s="54">
        <v>382.91899999999998</v>
      </c>
      <c r="DT40" s="54">
        <v>386.36399999999998</v>
      </c>
      <c r="DU40" s="54">
        <v>386.61399999999998</v>
      </c>
      <c r="DV40" s="54">
        <v>388.54199999999997</v>
      </c>
      <c r="DW40" s="54">
        <v>373.01299999999998</v>
      </c>
      <c r="DX40" s="54">
        <v>382.673</v>
      </c>
      <c r="DZ40" s="52">
        <v>2022</v>
      </c>
      <c r="EA40" s="54">
        <v>803.41300000000001</v>
      </c>
      <c r="EB40" s="54">
        <v>805.13099999999997</v>
      </c>
      <c r="EC40" s="54">
        <v>809.20100000000002</v>
      </c>
      <c r="ED40" s="54">
        <v>811.68600000000004</v>
      </c>
      <c r="EE40" s="54">
        <v>813.56500000000005</v>
      </c>
      <c r="EF40" s="54">
        <v>813.73800000000006</v>
      </c>
      <c r="EG40" s="54">
        <v>817.65700000000004</v>
      </c>
      <c r="EH40" s="54">
        <v>823.09699999999998</v>
      </c>
      <c r="EI40" s="54">
        <v>823.05700000000002</v>
      </c>
      <c r="EJ40" s="49"/>
      <c r="EK40" s="54">
        <v>819.65099999999995</v>
      </c>
      <c r="EL40" s="54">
        <v>830.98699999999997</v>
      </c>
      <c r="EM40" s="54">
        <v>809.45600000000002</v>
      </c>
      <c r="EN40" s="54">
        <v>823.03099999999995</v>
      </c>
    </row>
    <row r="41" spans="2:144" x14ac:dyDescent="0.25">
      <c r="B41" s="52">
        <v>2023</v>
      </c>
      <c r="C41" s="54">
        <v>415.197</v>
      </c>
      <c r="D41" s="54">
        <v>413.03399999999999</v>
      </c>
      <c r="E41" s="54">
        <v>412.11900000000003</v>
      </c>
      <c r="F41" s="54">
        <v>411.95100000000002</v>
      </c>
      <c r="G41" s="54">
        <v>409.88499999999999</v>
      </c>
      <c r="H41" s="54">
        <v>412.81200000000001</v>
      </c>
      <c r="I41" s="54">
        <v>413.43700000000001</v>
      </c>
      <c r="J41" s="54">
        <v>413.87700000000001</v>
      </c>
      <c r="K41" s="54">
        <v>413.96600000000001</v>
      </c>
      <c r="L41" s="54">
        <v>409.755</v>
      </c>
      <c r="M41" s="54">
        <v>412.01100000000002</v>
      </c>
      <c r="N41" s="54">
        <v>412.93</v>
      </c>
      <c r="O41" s="54">
        <v>412.5</v>
      </c>
      <c r="P41" s="54">
        <v>412.66300000000001</v>
      </c>
      <c r="R41" s="33">
        <v>2023</v>
      </c>
      <c r="S41" s="38">
        <v>255.43799999999999</v>
      </c>
      <c r="T41" s="38">
        <v>256.30500000000001</v>
      </c>
      <c r="U41" s="38">
        <v>257.43099999999998</v>
      </c>
      <c r="V41" s="38">
        <v>257.98</v>
      </c>
      <c r="W41" s="38">
        <v>261.04899999999998</v>
      </c>
      <c r="X41" s="38">
        <v>259.43200000000002</v>
      </c>
      <c r="Y41" s="38">
        <v>261.03399999999999</v>
      </c>
      <c r="Z41" s="38">
        <v>258.98899999999998</v>
      </c>
      <c r="AA41" s="38">
        <v>259.20999999999998</v>
      </c>
      <c r="AB41" s="38">
        <v>259.137</v>
      </c>
      <c r="AC41" s="38">
        <v>259.16000000000003</v>
      </c>
      <c r="AD41" s="38">
        <v>259.16000000000003</v>
      </c>
      <c r="AE41" s="38">
        <v>257.93900000000002</v>
      </c>
      <c r="AF41" s="38">
        <v>259.44799999999998</v>
      </c>
      <c r="AH41" s="52">
        <v>2023</v>
      </c>
      <c r="AI41" s="54">
        <v>601.55100000000004</v>
      </c>
      <c r="AJ41" s="54">
        <v>598.77800000000002</v>
      </c>
      <c r="AK41" s="54">
        <v>595.745</v>
      </c>
      <c r="AL41" s="54">
        <v>594.346</v>
      </c>
      <c r="AM41" s="54">
        <v>593.73800000000006</v>
      </c>
      <c r="AN41" s="54">
        <v>593.50300000000004</v>
      </c>
      <c r="AO41" s="54">
        <v>591.83199999999999</v>
      </c>
      <c r="AP41" s="54">
        <v>592.91300000000001</v>
      </c>
      <c r="AQ41" s="54">
        <v>593.77700000000004</v>
      </c>
      <c r="AR41" s="54">
        <v>594.97400000000005</v>
      </c>
      <c r="AS41" s="54">
        <v>597.01599999999996</v>
      </c>
      <c r="AT41" s="54">
        <v>599.46400000000006</v>
      </c>
      <c r="AU41" s="54">
        <v>596.27700000000004</v>
      </c>
      <c r="AV41" s="54">
        <v>594.99599999999998</v>
      </c>
      <c r="AX41" s="52">
        <v>2023</v>
      </c>
      <c r="AY41" s="54">
        <v>546.10699999999997</v>
      </c>
      <c r="AZ41" s="54">
        <v>546.31200000000001</v>
      </c>
      <c r="BA41" s="54">
        <v>547.07799999999997</v>
      </c>
      <c r="BB41" s="54">
        <v>548.51</v>
      </c>
      <c r="BC41" s="54">
        <v>548.92899999999997</v>
      </c>
      <c r="BD41" s="54">
        <v>549.14</v>
      </c>
      <c r="BE41" s="54">
        <v>549.21199999999999</v>
      </c>
      <c r="BF41" s="54">
        <v>551.34400000000005</v>
      </c>
      <c r="BG41" s="54">
        <v>547.57899999999995</v>
      </c>
      <c r="BH41" s="54">
        <v>552.05799999999999</v>
      </c>
      <c r="BI41" s="54">
        <v>554.6</v>
      </c>
      <c r="BJ41" s="54">
        <v>552.625</v>
      </c>
      <c r="BK41" s="54">
        <v>547.67899999999997</v>
      </c>
      <c r="BL41" s="54">
        <v>551.23599999999999</v>
      </c>
      <c r="CD41" s="52">
        <v>2023</v>
      </c>
      <c r="CE41" s="54">
        <v>299.17</v>
      </c>
      <c r="CF41" s="54">
        <v>300.83999999999997</v>
      </c>
      <c r="CG41" s="54">
        <v>301.83600000000001</v>
      </c>
      <c r="CH41" s="54">
        <v>303.363</v>
      </c>
      <c r="CI41" s="54">
        <v>304.12700000000001</v>
      </c>
      <c r="CJ41" s="54">
        <v>305.10899999999998</v>
      </c>
      <c r="CK41" s="54">
        <v>305.69099999999997</v>
      </c>
      <c r="CL41" s="54">
        <v>307.02600000000001</v>
      </c>
      <c r="CM41" s="54">
        <v>307.78899999999999</v>
      </c>
      <c r="CN41" s="54">
        <v>307.67099999999999</v>
      </c>
      <c r="CO41" s="54">
        <v>307.05099999999999</v>
      </c>
      <c r="CP41" s="54">
        <v>306.74599999999998</v>
      </c>
      <c r="CQ41" s="54">
        <v>302.40800000000002</v>
      </c>
      <c r="CR41" s="54">
        <v>306.99599999999998</v>
      </c>
      <c r="CT41" s="52">
        <v>2024</v>
      </c>
      <c r="CU41" s="54">
        <v>410.69499999999999</v>
      </c>
      <c r="CV41" s="54">
        <v>408.34500000000003</v>
      </c>
      <c r="CW41" s="54">
        <v>412.36500000000001</v>
      </c>
      <c r="CX41" s="54">
        <v>415.02499999999998</v>
      </c>
      <c r="CY41" s="54">
        <v>417.16300000000001</v>
      </c>
      <c r="CZ41" s="54">
        <v>417.64800000000002</v>
      </c>
      <c r="DA41" s="54">
        <v>412.92599999999999</v>
      </c>
      <c r="DB41" s="49"/>
      <c r="DC41" s="54">
        <v>415.29300000000001</v>
      </c>
      <c r="DD41" s="54">
        <v>417.49900000000002</v>
      </c>
      <c r="DE41" s="54">
        <v>417.50299999999999</v>
      </c>
      <c r="DF41" s="54">
        <v>418.46699999999998</v>
      </c>
      <c r="DG41" s="54">
        <v>413.54</v>
      </c>
      <c r="DH41" s="54">
        <v>416.05900000000003</v>
      </c>
      <c r="DJ41" s="52">
        <v>2024</v>
      </c>
      <c r="DK41" s="54">
        <v>394.38900000000001</v>
      </c>
      <c r="DL41" s="54">
        <v>392.75700000000001</v>
      </c>
      <c r="DM41" s="54">
        <v>395.19299999999998</v>
      </c>
      <c r="DN41" s="54">
        <v>398.315</v>
      </c>
      <c r="DO41" s="54">
        <v>400.04199999999997</v>
      </c>
      <c r="DP41" s="49"/>
      <c r="DQ41" s="54">
        <v>397.35199999999998</v>
      </c>
      <c r="DR41" s="49"/>
      <c r="DS41" s="54">
        <v>399.64600000000002</v>
      </c>
      <c r="DT41" s="54">
        <v>400.60599999999999</v>
      </c>
      <c r="DU41" s="54">
        <v>399.93</v>
      </c>
      <c r="DV41" s="49"/>
      <c r="DW41" s="54">
        <v>396.911</v>
      </c>
      <c r="DX41" s="54">
        <v>399.56</v>
      </c>
      <c r="DZ41" s="52">
        <v>2023</v>
      </c>
      <c r="EA41" s="54">
        <v>835.09500000000003</v>
      </c>
      <c r="EB41" s="54">
        <v>834.33900000000006</v>
      </c>
      <c r="EC41" s="54">
        <v>842.26099999999997</v>
      </c>
      <c r="ED41" s="54">
        <v>845.66600000000005</v>
      </c>
      <c r="EE41" s="54">
        <v>853.18200000000002</v>
      </c>
      <c r="EF41" s="54">
        <v>860.404</v>
      </c>
      <c r="EG41" s="54">
        <v>857.49</v>
      </c>
      <c r="EH41" s="54">
        <v>863.51400000000001</v>
      </c>
      <c r="EI41" s="54">
        <v>873.65</v>
      </c>
      <c r="EJ41" s="54">
        <v>878.73299999999995</v>
      </c>
      <c r="EK41" s="54">
        <v>879.81200000000001</v>
      </c>
      <c r="EL41" s="54">
        <v>886.62900000000002</v>
      </c>
      <c r="EM41" s="54">
        <v>845.15800000000002</v>
      </c>
      <c r="EN41" s="54">
        <v>873.30499999999995</v>
      </c>
    </row>
    <row r="42" spans="2:144" x14ac:dyDescent="0.25">
      <c r="B42" s="52">
        <v>2024</v>
      </c>
      <c r="C42" s="54">
        <v>415.42700000000002</v>
      </c>
      <c r="D42" s="54">
        <v>414.702</v>
      </c>
      <c r="E42" s="54">
        <v>415.11799999999999</v>
      </c>
      <c r="F42" s="54">
        <v>415.64800000000002</v>
      </c>
      <c r="G42" s="54">
        <v>415.58100000000002</v>
      </c>
      <c r="H42" s="54">
        <v>415.96100000000001</v>
      </c>
      <c r="I42" s="54">
        <v>416.31200000000001</v>
      </c>
      <c r="J42" s="54">
        <v>416.37</v>
      </c>
      <c r="K42" s="54">
        <v>420.17</v>
      </c>
      <c r="L42" s="54">
        <v>422.42500000000001</v>
      </c>
      <c r="M42" s="54">
        <v>423.59100000000001</v>
      </c>
      <c r="N42" s="54">
        <v>423.86</v>
      </c>
      <c r="O42" s="54">
        <v>415.40600000000001</v>
      </c>
      <c r="P42" s="54">
        <v>420.45499999999998</v>
      </c>
      <c r="R42" s="33">
        <v>2024</v>
      </c>
      <c r="S42" s="38">
        <v>260.839</v>
      </c>
      <c r="T42" s="38">
        <v>260.05599999999998</v>
      </c>
      <c r="U42" s="38">
        <v>261.65800000000002</v>
      </c>
      <c r="V42" s="38">
        <v>259.59500000000003</v>
      </c>
      <c r="W42" s="38">
        <v>259.58699999999999</v>
      </c>
      <c r="X42" s="38">
        <v>260.74400000000003</v>
      </c>
      <c r="Y42" s="38">
        <v>261.029</v>
      </c>
      <c r="Z42" s="38">
        <v>260.89800000000002</v>
      </c>
      <c r="AA42" s="38">
        <v>264.92500000000001</v>
      </c>
      <c r="AB42" s="38">
        <v>263.10300000000001</v>
      </c>
      <c r="AC42" s="38">
        <v>263.17099999999999</v>
      </c>
      <c r="AD42" s="38">
        <v>263.87799999999999</v>
      </c>
      <c r="AE42" s="38">
        <v>260.41300000000001</v>
      </c>
      <c r="AF42" s="38">
        <v>262.834</v>
      </c>
      <c r="AH42" s="52">
        <v>2024</v>
      </c>
      <c r="AI42" s="54">
        <v>605.25699999999995</v>
      </c>
      <c r="AJ42" s="54">
        <v>605.16200000000003</v>
      </c>
      <c r="AK42" s="54">
        <v>608.52800000000002</v>
      </c>
      <c r="AL42" s="54">
        <v>610.15099999999995</v>
      </c>
      <c r="AM42" s="54">
        <v>611.904</v>
      </c>
      <c r="AN42" s="54">
        <v>613.03300000000002</v>
      </c>
      <c r="AO42" s="54">
        <v>611.13699999999994</v>
      </c>
      <c r="AP42" s="54">
        <v>611.93499999999995</v>
      </c>
      <c r="AQ42" s="54">
        <v>615.35400000000004</v>
      </c>
      <c r="AR42" s="54">
        <v>617.75300000000004</v>
      </c>
      <c r="AS42" s="54">
        <v>619.11800000000005</v>
      </c>
      <c r="AT42" s="54">
        <v>619.68600000000004</v>
      </c>
      <c r="AU42" s="54">
        <v>609.00599999999997</v>
      </c>
      <c r="AV42" s="54">
        <v>615.83100000000002</v>
      </c>
      <c r="AX42" s="52">
        <v>2024</v>
      </c>
      <c r="AY42" s="54">
        <v>548.245</v>
      </c>
      <c r="AZ42" s="54">
        <v>547.68200000000002</v>
      </c>
      <c r="BA42" s="54">
        <v>549.40499999999997</v>
      </c>
      <c r="BB42" s="54">
        <v>550.678</v>
      </c>
      <c r="BC42" s="54">
        <v>562.16800000000001</v>
      </c>
      <c r="BD42" s="54">
        <v>562.33900000000006</v>
      </c>
      <c r="BE42" s="54">
        <v>563.03499999999997</v>
      </c>
      <c r="BF42" s="54">
        <v>562.17399999999998</v>
      </c>
      <c r="BG42" s="54">
        <v>559.48699999999997</v>
      </c>
      <c r="BH42" s="54">
        <v>560.83600000000001</v>
      </c>
      <c r="BI42" s="54">
        <v>558.49699999999996</v>
      </c>
      <c r="BJ42" s="54">
        <v>558.74400000000003</v>
      </c>
      <c r="BK42" s="54">
        <v>553.41999999999996</v>
      </c>
      <c r="BL42" s="54">
        <v>560.46199999999999</v>
      </c>
      <c r="CD42" s="52">
        <v>2024</v>
      </c>
      <c r="CE42" s="54">
        <v>308.41699999999997</v>
      </c>
      <c r="CF42" s="54">
        <v>310.32600000000002</v>
      </c>
      <c r="CG42" s="54">
        <v>312.33199999999999</v>
      </c>
      <c r="CH42" s="54">
        <v>313.548</v>
      </c>
      <c r="CI42" s="54">
        <v>314.06900000000002</v>
      </c>
      <c r="CJ42" s="54">
        <v>314.17500000000001</v>
      </c>
      <c r="CK42" s="54">
        <v>314.54000000000002</v>
      </c>
      <c r="CL42" s="54">
        <v>314.79599999999999</v>
      </c>
      <c r="CM42" s="54">
        <v>315.30099999999999</v>
      </c>
      <c r="CN42" s="54">
        <v>315.66399999999999</v>
      </c>
      <c r="CO42" s="54">
        <v>315.49299999999999</v>
      </c>
      <c r="CP42" s="54">
        <v>315.60500000000002</v>
      </c>
      <c r="CQ42" s="54">
        <v>312.14499999999998</v>
      </c>
      <c r="CR42" s="54">
        <v>315.233</v>
      </c>
      <c r="CT42" s="52">
        <v>2025</v>
      </c>
      <c r="CU42" s="54">
        <v>422.42899999999997</v>
      </c>
      <c r="CV42" s="54">
        <v>423.005</v>
      </c>
      <c r="CW42" s="54">
        <v>427.68900000000002</v>
      </c>
      <c r="CX42" s="54">
        <v>430.16199999999998</v>
      </c>
      <c r="CY42" s="54">
        <v>432.089</v>
      </c>
      <c r="CZ42" s="54">
        <v>435.03699999999998</v>
      </c>
      <c r="DA42" s="54">
        <v>437.053</v>
      </c>
      <c r="DB42" s="54">
        <v>436.91699999999997</v>
      </c>
      <c r="DC42" s="54">
        <v>438.31</v>
      </c>
      <c r="DD42" s="49" t="s">
        <v>259</v>
      </c>
      <c r="DE42" s="54">
        <v>441.45699999999999</v>
      </c>
      <c r="DF42" s="54">
        <v>446.05599999999998</v>
      </c>
      <c r="DG42" s="54">
        <v>428.40199999999999</v>
      </c>
      <c r="DH42" s="49"/>
      <c r="DJ42" s="52">
        <v>2025</v>
      </c>
      <c r="DK42" s="54">
        <v>405.16500000000002</v>
      </c>
      <c r="DL42" s="54">
        <v>405.85300000000001</v>
      </c>
      <c r="DM42" s="54">
        <v>413.93099999999998</v>
      </c>
      <c r="DN42" s="54">
        <v>415.6</v>
      </c>
      <c r="DO42" s="54">
        <v>415.35599999999999</v>
      </c>
      <c r="DP42" s="49"/>
      <c r="DQ42" s="54">
        <v>418.67</v>
      </c>
      <c r="DR42" s="49"/>
      <c r="DS42" s="54">
        <v>420.29300000000001</v>
      </c>
      <c r="DT42" s="49" t="s">
        <v>259</v>
      </c>
      <c r="DU42" s="49"/>
      <c r="DV42" s="49"/>
      <c r="DW42" s="54">
        <v>412.40100000000001</v>
      </c>
      <c r="DX42" s="49"/>
      <c r="DZ42" s="52">
        <v>2024</v>
      </c>
      <c r="EA42" s="54">
        <v>904.51599999999996</v>
      </c>
      <c r="EB42" s="54">
        <v>900.46600000000001</v>
      </c>
      <c r="EC42" s="54">
        <v>912.15200000000004</v>
      </c>
      <c r="ED42" s="54">
        <v>915.37900000000002</v>
      </c>
      <c r="EE42" s="54">
        <v>920.33500000000004</v>
      </c>
      <c r="EF42" s="54">
        <v>920.71500000000003</v>
      </c>
      <c r="EG42" s="54">
        <v>903.67499999999995</v>
      </c>
      <c r="EH42" s="49"/>
      <c r="EI42" s="54">
        <v>909.52700000000004</v>
      </c>
      <c r="EJ42" s="54">
        <v>916.24300000000005</v>
      </c>
      <c r="EK42" s="54">
        <v>919.298</v>
      </c>
      <c r="EL42" s="54">
        <v>921.928</v>
      </c>
      <c r="EM42" s="54">
        <v>912.26099999999997</v>
      </c>
      <c r="EN42" s="54">
        <v>913.125</v>
      </c>
    </row>
    <row r="43" spans="2:144" x14ac:dyDescent="0.25">
      <c r="B43" s="52">
        <v>2025</v>
      </c>
      <c r="C43" s="54">
        <v>424.125</v>
      </c>
      <c r="D43" s="54">
        <v>425.68400000000003</v>
      </c>
      <c r="E43" s="54">
        <v>427.10199999999998</v>
      </c>
      <c r="F43" s="54">
        <v>428.57400000000001</v>
      </c>
      <c r="G43" s="54">
        <v>427.488</v>
      </c>
      <c r="H43" s="54">
        <v>428.39800000000002</v>
      </c>
      <c r="I43" s="54">
        <v>429.279</v>
      </c>
      <c r="J43" s="54">
        <v>430.75299999999999</v>
      </c>
      <c r="K43" s="54">
        <v>430.24599999999998</v>
      </c>
      <c r="L43" s="49" t="s">
        <v>259</v>
      </c>
      <c r="M43" s="54">
        <v>430.62299999999999</v>
      </c>
      <c r="N43" s="54">
        <v>431.76600000000002</v>
      </c>
      <c r="O43" s="54">
        <v>426.89499999999998</v>
      </c>
      <c r="P43" s="54">
        <v>430.53300000000002</v>
      </c>
      <c r="R43" s="33">
        <v>2025</v>
      </c>
      <c r="S43" s="38">
        <v>264.11200000000002</v>
      </c>
      <c r="T43" s="38">
        <v>264.61700000000002</v>
      </c>
      <c r="U43" s="38">
        <v>264.14299999999997</v>
      </c>
      <c r="V43" s="38">
        <v>265.59800000000001</v>
      </c>
      <c r="W43" s="38">
        <v>265.738</v>
      </c>
      <c r="X43" s="38">
        <v>267.84500000000003</v>
      </c>
      <c r="Y43" s="34"/>
      <c r="Z43" s="34"/>
      <c r="AA43" s="34"/>
      <c r="AB43" s="34"/>
      <c r="AC43" s="34"/>
      <c r="AD43" s="34"/>
      <c r="AE43" s="38">
        <v>265.34199999999998</v>
      </c>
      <c r="AF43" s="34"/>
      <c r="AH43" s="52">
        <v>2025</v>
      </c>
      <c r="AI43" s="54">
        <v>621.66099999999994</v>
      </c>
      <c r="AJ43" s="54">
        <v>623.39200000000005</v>
      </c>
      <c r="AK43" s="54">
        <v>626.88800000000003</v>
      </c>
      <c r="AL43" s="54">
        <v>629.30700000000002</v>
      </c>
      <c r="AM43" s="54">
        <v>630.16200000000003</v>
      </c>
      <c r="AN43" s="54">
        <v>633.65899999999999</v>
      </c>
      <c r="AO43" s="54">
        <v>637.42499999999995</v>
      </c>
      <c r="AP43" s="54">
        <v>637.81700000000001</v>
      </c>
      <c r="AQ43" s="54">
        <v>639.21500000000003</v>
      </c>
      <c r="AR43" s="49" t="s">
        <v>259</v>
      </c>
      <c r="AS43" s="54">
        <v>639.45500000000004</v>
      </c>
      <c r="AT43" s="54">
        <v>641.56600000000003</v>
      </c>
      <c r="AU43" s="54">
        <v>627.51199999999994</v>
      </c>
      <c r="AV43" s="54">
        <v>639.096</v>
      </c>
      <c r="AX43" s="52">
        <v>2025</v>
      </c>
      <c r="AY43" s="54">
        <v>572.65499999999997</v>
      </c>
      <c r="AZ43" s="54">
        <v>572.74800000000005</v>
      </c>
      <c r="BA43" s="54">
        <v>561.202</v>
      </c>
      <c r="BB43" s="54">
        <v>563.25300000000004</v>
      </c>
      <c r="BC43" s="54">
        <v>566.71600000000001</v>
      </c>
      <c r="BD43" s="54">
        <v>569.09799999999996</v>
      </c>
      <c r="BE43" s="54">
        <v>567.97500000000002</v>
      </c>
      <c r="BF43" s="54">
        <v>567.11699999999996</v>
      </c>
      <c r="BG43" s="54">
        <v>569.04600000000005</v>
      </c>
      <c r="BH43" s="49" t="s">
        <v>259</v>
      </c>
      <c r="BI43" s="54">
        <v>568.88499999999999</v>
      </c>
      <c r="BJ43" s="54">
        <v>569.65599999999995</v>
      </c>
      <c r="BK43" s="54">
        <v>567.61199999999997</v>
      </c>
      <c r="BL43" s="54">
        <v>568.53599999999994</v>
      </c>
      <c r="CD43" s="52">
        <v>2025</v>
      </c>
      <c r="CE43" s="54">
        <v>317.67099999999999</v>
      </c>
      <c r="CF43" s="54">
        <v>319.08199999999999</v>
      </c>
      <c r="CG43" s="54">
        <v>319.79899999999998</v>
      </c>
      <c r="CH43" s="54">
        <v>320.79500000000002</v>
      </c>
      <c r="CI43" s="54">
        <v>321.46499999999997</v>
      </c>
      <c r="CJ43" s="54">
        <v>322.56099999999998</v>
      </c>
      <c r="CK43" s="54">
        <v>323.048</v>
      </c>
      <c r="CL43" s="54">
        <v>323.976</v>
      </c>
      <c r="CM43" s="54">
        <v>324.8</v>
      </c>
      <c r="CN43" s="49" t="s">
        <v>259</v>
      </c>
      <c r="CO43" s="54">
        <v>324.12200000000001</v>
      </c>
      <c r="CP43" s="54">
        <v>324.05399999999997</v>
      </c>
      <c r="CQ43" s="54">
        <v>320.22899999999998</v>
      </c>
      <c r="CR43" s="54">
        <v>324</v>
      </c>
      <c r="DZ43" s="52">
        <v>2025</v>
      </c>
      <c r="EA43" s="54">
        <v>928.42700000000002</v>
      </c>
      <c r="EB43" s="54">
        <v>929.10500000000002</v>
      </c>
      <c r="EC43" s="54">
        <v>935.8</v>
      </c>
      <c r="ED43" s="54">
        <v>942.11099999999999</v>
      </c>
      <c r="EE43" s="54">
        <v>950.01300000000003</v>
      </c>
      <c r="EF43" s="54">
        <v>955.51199999999994</v>
      </c>
      <c r="EG43" s="54">
        <v>961.59199999999998</v>
      </c>
      <c r="EH43" s="54">
        <v>965.31500000000005</v>
      </c>
      <c r="EI43" s="54">
        <v>965.55399999999997</v>
      </c>
      <c r="EJ43" s="49" t="s">
        <v>259</v>
      </c>
      <c r="EK43" s="54">
        <v>973.56600000000003</v>
      </c>
      <c r="EL43" s="54">
        <v>982.17</v>
      </c>
      <c r="EM43" s="54">
        <v>940.16099999999994</v>
      </c>
      <c r="EN43" s="49"/>
    </row>
    <row r="45" spans="2:144" x14ac:dyDescent="0.25">
      <c r="R45" s="116" t="s">
        <v>223</v>
      </c>
      <c r="S45" s="115"/>
      <c r="T45" s="115"/>
      <c r="U45" s="115"/>
      <c r="V45" s="115"/>
      <c r="W45" s="115"/>
      <c r="X45" s="49"/>
      <c r="Y45" s="49"/>
      <c r="Z45" s="49"/>
      <c r="AA45" s="49"/>
      <c r="AB45" s="49"/>
      <c r="AC45" s="49"/>
      <c r="AD45" s="49"/>
      <c r="AE45" s="49"/>
      <c r="AF45" s="49"/>
    </row>
    <row r="46" spans="2:144" x14ac:dyDescent="0.25">
      <c r="R46" s="116" t="s">
        <v>224</v>
      </c>
      <c r="S46" s="115"/>
      <c r="T46" s="115"/>
      <c r="U46" s="115"/>
      <c r="V46" s="115"/>
      <c r="W46" s="115"/>
      <c r="X46" s="49"/>
      <c r="Y46" s="49"/>
      <c r="Z46" s="49"/>
      <c r="AA46" s="49"/>
      <c r="AB46" s="49"/>
      <c r="AC46" s="49"/>
      <c r="AD46" s="49"/>
      <c r="AE46" s="49"/>
      <c r="AF46" s="49"/>
    </row>
    <row r="47" spans="2:144" ht="25.5" customHeight="1" x14ac:dyDescent="0.25">
      <c r="R47" s="115"/>
      <c r="S47" s="115"/>
      <c r="T47" s="115"/>
      <c r="U47" s="115"/>
      <c r="V47" s="115"/>
      <c r="W47" s="115"/>
      <c r="X47" s="49"/>
      <c r="Y47" s="49"/>
      <c r="Z47" s="49"/>
      <c r="AA47" s="49"/>
      <c r="AB47" s="49"/>
      <c r="AC47" s="49"/>
      <c r="AD47" s="49"/>
      <c r="AE47" s="49"/>
      <c r="AF47" s="49"/>
    </row>
    <row r="48" spans="2:144" ht="25.5" customHeight="1" x14ac:dyDescent="0.25">
      <c r="R48" s="50" t="s">
        <v>146</v>
      </c>
      <c r="S48" s="117" t="s">
        <v>225</v>
      </c>
      <c r="T48" s="115"/>
      <c r="U48" s="115"/>
      <c r="V48" s="115"/>
      <c r="W48" s="115"/>
      <c r="X48" s="49"/>
      <c r="Y48" s="49"/>
      <c r="Z48" s="49"/>
      <c r="AA48" s="49"/>
      <c r="AB48" s="49"/>
      <c r="AC48" s="49"/>
      <c r="AD48" s="49"/>
      <c r="AE48" s="49"/>
      <c r="AF48" s="49"/>
    </row>
    <row r="49" spans="18:32" ht="25.5" customHeight="1" x14ac:dyDescent="0.25">
      <c r="R49" s="118" t="s">
        <v>31</v>
      </c>
      <c r="S49" s="115"/>
      <c r="T49" s="115"/>
      <c r="U49" s="115"/>
      <c r="V49" s="115"/>
      <c r="W49" s="115"/>
      <c r="X49" s="49"/>
      <c r="Y49" s="49"/>
      <c r="Z49" s="49"/>
      <c r="AA49" s="49"/>
      <c r="AB49" s="49"/>
      <c r="AC49" s="49"/>
      <c r="AD49" s="49"/>
      <c r="AE49" s="49"/>
      <c r="AF49" s="49"/>
    </row>
    <row r="50" spans="18:32" ht="25.5" x14ac:dyDescent="0.25">
      <c r="R50" s="50" t="s">
        <v>32</v>
      </c>
      <c r="S50" s="117" t="s">
        <v>226</v>
      </c>
      <c r="T50" s="115"/>
      <c r="U50" s="115"/>
      <c r="V50" s="115"/>
      <c r="W50" s="115"/>
      <c r="X50" s="49"/>
      <c r="Y50" s="49"/>
      <c r="Z50" s="49"/>
      <c r="AA50" s="49"/>
      <c r="AB50" s="49"/>
      <c r="AC50" s="49"/>
      <c r="AD50" s="49"/>
      <c r="AE50" s="49"/>
      <c r="AF50" s="49"/>
    </row>
    <row r="51" spans="18:32" ht="15.75" customHeight="1" x14ac:dyDescent="0.25">
      <c r="R51" s="50" t="s">
        <v>33</v>
      </c>
      <c r="S51" s="117" t="s">
        <v>34</v>
      </c>
      <c r="T51" s="115"/>
      <c r="U51" s="115"/>
      <c r="V51" s="115"/>
      <c r="W51" s="115"/>
      <c r="X51" s="49"/>
      <c r="Y51" s="49"/>
      <c r="Z51" s="49"/>
      <c r="AA51" s="49"/>
      <c r="AB51" s="49"/>
      <c r="AC51" s="49"/>
      <c r="AD51" s="49"/>
      <c r="AE51" s="49"/>
      <c r="AF51" s="49"/>
    </row>
    <row r="52" spans="18:32" ht="25.5" customHeight="1" x14ac:dyDescent="0.25">
      <c r="R52" s="50" t="s">
        <v>35</v>
      </c>
      <c r="S52" s="117" t="s">
        <v>227</v>
      </c>
      <c r="T52" s="115"/>
      <c r="U52" s="115"/>
      <c r="V52" s="115"/>
      <c r="W52" s="115"/>
      <c r="X52" s="49"/>
      <c r="Y52" s="49"/>
      <c r="Z52" s="49"/>
      <c r="AA52" s="49"/>
      <c r="AB52" s="49"/>
      <c r="AC52" s="49"/>
      <c r="AD52" s="55"/>
      <c r="AE52" s="49"/>
      <c r="AF52" s="49"/>
    </row>
    <row r="53" spans="18:32" ht="25.5" x14ac:dyDescent="0.25">
      <c r="R53" s="50" t="s">
        <v>36</v>
      </c>
      <c r="S53" s="117" t="s">
        <v>228</v>
      </c>
      <c r="T53" s="115"/>
      <c r="U53" s="115"/>
      <c r="V53" s="115"/>
      <c r="W53" s="115"/>
      <c r="X53" s="49"/>
      <c r="Y53" s="49"/>
      <c r="Z53" s="49"/>
      <c r="AA53" s="49"/>
      <c r="AB53" s="49"/>
      <c r="AC53" s="49"/>
      <c r="AD53" s="49"/>
      <c r="AE53" s="49"/>
      <c r="AF53" s="49"/>
    </row>
    <row r="54" spans="18:32" x14ac:dyDescent="0.25">
      <c r="R54" s="50" t="s">
        <v>229</v>
      </c>
      <c r="S54" s="114" t="s">
        <v>230</v>
      </c>
      <c r="T54" s="115"/>
      <c r="U54" s="115"/>
      <c r="V54" s="115"/>
      <c r="W54" s="115"/>
      <c r="X54" s="49"/>
      <c r="Y54" s="49"/>
      <c r="Z54" s="49"/>
      <c r="AA54" s="49"/>
      <c r="AB54" s="49"/>
      <c r="AC54" s="49"/>
      <c r="AD54" s="49"/>
      <c r="AE54" s="49"/>
      <c r="AF54" s="49"/>
    </row>
    <row r="56" spans="18:32" ht="16.5" thickBot="1" x14ac:dyDescent="0.3">
      <c r="R56" s="51" t="s">
        <v>2</v>
      </c>
      <c r="S56" s="51" t="s">
        <v>37</v>
      </c>
      <c r="T56" s="51" t="s">
        <v>38</v>
      </c>
      <c r="U56" s="51" t="s">
        <v>39</v>
      </c>
      <c r="V56" s="51" t="s">
        <v>40</v>
      </c>
      <c r="W56" s="51" t="s">
        <v>41</v>
      </c>
      <c r="X56" s="51" t="s">
        <v>42</v>
      </c>
      <c r="Y56" s="51" t="s">
        <v>43</v>
      </c>
      <c r="Z56" s="51" t="s">
        <v>44</v>
      </c>
      <c r="AA56" s="51" t="s">
        <v>45</v>
      </c>
      <c r="AB56" s="51" t="s">
        <v>46</v>
      </c>
      <c r="AC56" s="51" t="s">
        <v>47</v>
      </c>
      <c r="AD56" s="51" t="s">
        <v>48</v>
      </c>
      <c r="AE56" s="51" t="s">
        <v>49</v>
      </c>
      <c r="AF56" s="51" t="s">
        <v>50</v>
      </c>
    </row>
    <row r="57" spans="18:32" ht="16.5" thickTop="1" x14ac:dyDescent="0.25">
      <c r="R57" s="52">
        <v>1995</v>
      </c>
      <c r="S57" s="53">
        <v>143.6</v>
      </c>
      <c r="T57" s="53">
        <v>144</v>
      </c>
      <c r="U57" s="53">
        <v>144</v>
      </c>
      <c r="V57" s="53">
        <v>144.6</v>
      </c>
      <c r="W57" s="53">
        <v>144.69999999999999</v>
      </c>
      <c r="X57" s="53">
        <v>144.69999999999999</v>
      </c>
      <c r="Y57" s="53">
        <v>142.9</v>
      </c>
      <c r="Z57" s="53">
        <v>143.5</v>
      </c>
      <c r="AA57" s="53">
        <v>143.4</v>
      </c>
      <c r="AB57" s="53">
        <v>143.6</v>
      </c>
      <c r="AC57" s="53">
        <v>143.69999999999999</v>
      </c>
      <c r="AD57" s="53">
        <v>144.1</v>
      </c>
      <c r="AE57" s="49"/>
      <c r="AF57" s="49"/>
    </row>
    <row r="58" spans="18:32" x14ac:dyDescent="0.25">
      <c r="R58" s="52">
        <v>1996</v>
      </c>
      <c r="S58" s="53">
        <v>144.69999999999999</v>
      </c>
      <c r="T58" s="53">
        <v>145.19999999999999</v>
      </c>
      <c r="U58" s="53">
        <v>145.5</v>
      </c>
      <c r="V58" s="53">
        <v>145.80000000000001</v>
      </c>
      <c r="W58" s="53">
        <v>146.4</v>
      </c>
      <c r="X58" s="53">
        <v>146.69999999999999</v>
      </c>
      <c r="Y58" s="53">
        <v>146.6</v>
      </c>
      <c r="Z58" s="53">
        <v>146.69999999999999</v>
      </c>
      <c r="AA58" s="53">
        <v>146.9</v>
      </c>
      <c r="AB58" s="53">
        <v>147.4</v>
      </c>
      <c r="AC58" s="53">
        <v>148.30000000000001</v>
      </c>
      <c r="AD58" s="53">
        <v>148.4</v>
      </c>
      <c r="AE58" s="49"/>
      <c r="AF58" s="49"/>
    </row>
    <row r="59" spans="18:32" x14ac:dyDescent="0.25">
      <c r="R59" s="52">
        <v>1997</v>
      </c>
      <c r="S59" s="53">
        <v>149.1</v>
      </c>
      <c r="T59" s="53">
        <v>150.6</v>
      </c>
      <c r="U59" s="53">
        <v>151.19999999999999</v>
      </c>
      <c r="V59" s="53">
        <v>151.9</v>
      </c>
      <c r="W59" s="53">
        <v>152.1</v>
      </c>
      <c r="X59" s="53">
        <v>152.1</v>
      </c>
      <c r="Y59" s="53">
        <v>152.1</v>
      </c>
      <c r="Z59" s="53">
        <v>152.5</v>
      </c>
      <c r="AA59" s="53">
        <v>152.30000000000001</v>
      </c>
      <c r="AB59" s="53">
        <v>152.19999999999999</v>
      </c>
      <c r="AC59" s="53">
        <v>153</v>
      </c>
      <c r="AD59" s="53">
        <v>153</v>
      </c>
      <c r="AE59" s="49"/>
      <c r="AF59" s="49"/>
    </row>
    <row r="60" spans="18:32" x14ac:dyDescent="0.25">
      <c r="R60" s="52">
        <v>1998</v>
      </c>
      <c r="S60" s="53">
        <v>154.1</v>
      </c>
      <c r="T60" s="53">
        <v>154.4</v>
      </c>
      <c r="U60" s="53">
        <v>155</v>
      </c>
      <c r="V60" s="53">
        <v>155.5</v>
      </c>
      <c r="W60" s="53">
        <v>155.80000000000001</v>
      </c>
      <c r="X60" s="53">
        <v>155.80000000000001</v>
      </c>
      <c r="Y60" s="53">
        <v>155.4</v>
      </c>
      <c r="Z60" s="53">
        <v>154.9</v>
      </c>
      <c r="AA60" s="53">
        <v>155.1</v>
      </c>
      <c r="AB60" s="53">
        <v>155.5</v>
      </c>
      <c r="AC60" s="53">
        <v>156.4</v>
      </c>
      <c r="AD60" s="53">
        <v>156.69999999999999</v>
      </c>
      <c r="AE60" s="49"/>
      <c r="AF60" s="49"/>
    </row>
    <row r="61" spans="18:32" x14ac:dyDescent="0.25">
      <c r="R61" s="52">
        <v>1999</v>
      </c>
      <c r="S61" s="53">
        <v>158</v>
      </c>
      <c r="T61" s="53">
        <v>158.30000000000001</v>
      </c>
      <c r="U61" s="53">
        <v>158.4</v>
      </c>
      <c r="V61" s="53">
        <v>158.4</v>
      </c>
      <c r="W61" s="53">
        <v>158.6</v>
      </c>
      <c r="X61" s="53">
        <v>158.5</v>
      </c>
      <c r="Y61" s="53">
        <v>158.5</v>
      </c>
      <c r="Z61" s="53">
        <v>158.6</v>
      </c>
      <c r="AA61" s="53">
        <v>158.9</v>
      </c>
      <c r="AB61" s="53">
        <v>159.4</v>
      </c>
      <c r="AC61" s="53">
        <v>159.5</v>
      </c>
      <c r="AD61" s="53">
        <v>159.30000000000001</v>
      </c>
    </row>
    <row r="62" spans="18:32" x14ac:dyDescent="0.25">
      <c r="R62" s="52">
        <v>2000</v>
      </c>
      <c r="S62" s="53">
        <v>159.80000000000001</v>
      </c>
      <c r="T62" s="53">
        <v>160.4</v>
      </c>
      <c r="U62" s="53">
        <v>160.6</v>
      </c>
      <c r="V62" s="53">
        <v>160.69999999999999</v>
      </c>
      <c r="W62" s="53">
        <v>161.4</v>
      </c>
      <c r="X62" s="53">
        <v>162.1</v>
      </c>
      <c r="Y62" s="53">
        <v>162.30000000000001</v>
      </c>
      <c r="Z62" s="53">
        <v>162.9</v>
      </c>
      <c r="AA62" s="53">
        <v>163</v>
      </c>
      <c r="AB62" s="53">
        <v>162.9</v>
      </c>
      <c r="AC62" s="53">
        <v>163.19999999999999</v>
      </c>
      <c r="AD62" s="53">
        <v>163.4</v>
      </c>
    </row>
    <row r="63" spans="18:32" x14ac:dyDescent="0.25">
      <c r="R63" s="52">
        <v>2001</v>
      </c>
      <c r="S63" s="53">
        <v>164.2</v>
      </c>
      <c r="T63" s="53">
        <v>165.7</v>
      </c>
      <c r="U63" s="53">
        <v>166.2</v>
      </c>
      <c r="V63" s="53">
        <v>166.5</v>
      </c>
      <c r="W63" s="53">
        <v>166.8</v>
      </c>
      <c r="X63" s="53">
        <v>167.4</v>
      </c>
      <c r="Y63" s="53">
        <v>167.5</v>
      </c>
      <c r="Z63" s="53">
        <v>168.5</v>
      </c>
      <c r="AA63" s="53">
        <v>168.6</v>
      </c>
      <c r="AB63" s="53">
        <v>168.5</v>
      </c>
      <c r="AC63" s="53">
        <v>168.9</v>
      </c>
      <c r="AD63" s="53">
        <v>169</v>
      </c>
    </row>
    <row r="64" spans="18:32" x14ac:dyDescent="0.25">
      <c r="R64" s="52">
        <v>2002</v>
      </c>
      <c r="S64" s="53">
        <v>169.7</v>
      </c>
      <c r="T64" s="53">
        <v>170.2</v>
      </c>
      <c r="U64" s="53">
        <v>170.3</v>
      </c>
      <c r="V64" s="53">
        <v>171.6</v>
      </c>
      <c r="W64" s="53">
        <v>171.4</v>
      </c>
      <c r="X64" s="53">
        <v>171.3</v>
      </c>
      <c r="Y64" s="53">
        <v>171.3</v>
      </c>
      <c r="Z64" s="53">
        <v>171.6</v>
      </c>
      <c r="AA64" s="53">
        <v>171.7</v>
      </c>
      <c r="AB64" s="53">
        <v>173.6</v>
      </c>
      <c r="AC64" s="53">
        <v>174.2</v>
      </c>
      <c r="AD64" s="53">
        <v>175.1</v>
      </c>
    </row>
    <row r="65" spans="18:32" x14ac:dyDescent="0.25">
      <c r="R65" s="52">
        <v>2003</v>
      </c>
      <c r="S65" s="53">
        <v>175.6</v>
      </c>
      <c r="T65" s="53">
        <v>176</v>
      </c>
      <c r="U65" s="53">
        <v>175.8</v>
      </c>
      <c r="V65" s="53">
        <v>176.2</v>
      </c>
      <c r="W65" s="53">
        <v>176.3</v>
      </c>
      <c r="X65" s="53">
        <v>176.6</v>
      </c>
      <c r="Y65" s="53">
        <v>176.8</v>
      </c>
      <c r="Z65" s="53">
        <v>177.3</v>
      </c>
      <c r="AA65" s="53">
        <v>177.8</v>
      </c>
      <c r="AB65" s="53">
        <v>178.6</v>
      </c>
      <c r="AC65" s="53">
        <v>178.5</v>
      </c>
      <c r="AD65" s="53">
        <v>179.2</v>
      </c>
    </row>
    <row r="66" spans="18:32" x14ac:dyDescent="0.25">
      <c r="R66" s="52">
        <v>2004</v>
      </c>
      <c r="S66" s="53">
        <v>179.5</v>
      </c>
      <c r="T66" s="53">
        <v>179.2</v>
      </c>
      <c r="U66" s="53">
        <v>180.3</v>
      </c>
      <c r="V66" s="53">
        <v>181.4</v>
      </c>
      <c r="W66" s="53">
        <v>181.8</v>
      </c>
      <c r="X66" s="53">
        <v>182.1</v>
      </c>
      <c r="Y66" s="53">
        <v>182.1</v>
      </c>
      <c r="Z66" s="53">
        <v>182.9</v>
      </c>
      <c r="AA66" s="53">
        <v>183.1</v>
      </c>
      <c r="AB66" s="53">
        <v>183.3</v>
      </c>
      <c r="AC66" s="53">
        <v>183.3</v>
      </c>
      <c r="AD66" s="53">
        <v>183.7</v>
      </c>
    </row>
    <row r="67" spans="18:32" x14ac:dyDescent="0.25">
      <c r="R67" s="52">
        <v>2005</v>
      </c>
      <c r="S67" s="53">
        <v>184.3</v>
      </c>
      <c r="T67" s="53">
        <v>186</v>
      </c>
      <c r="U67" s="53">
        <v>186.1</v>
      </c>
      <c r="V67" s="53">
        <v>186.2</v>
      </c>
      <c r="W67" s="53">
        <v>186.7</v>
      </c>
      <c r="X67" s="53">
        <v>186.7</v>
      </c>
      <c r="Y67" s="53">
        <v>186.9</v>
      </c>
      <c r="Z67" s="53">
        <v>187</v>
      </c>
      <c r="AA67" s="53">
        <v>187.2</v>
      </c>
      <c r="AB67" s="53">
        <v>188</v>
      </c>
      <c r="AC67" s="53">
        <v>188.2</v>
      </c>
      <c r="AD67" s="53">
        <v>188.3</v>
      </c>
    </row>
    <row r="68" spans="18:32" x14ac:dyDescent="0.25">
      <c r="R68" s="52">
        <v>2006</v>
      </c>
      <c r="S68" s="53">
        <v>188.1</v>
      </c>
      <c r="T68" s="53">
        <v>190.4</v>
      </c>
      <c r="U68" s="53">
        <v>191.1</v>
      </c>
      <c r="V68" s="53">
        <v>191.2</v>
      </c>
      <c r="W68" s="53">
        <v>191.4</v>
      </c>
      <c r="X68" s="53">
        <v>191.4</v>
      </c>
      <c r="Y68" s="53">
        <v>192.3</v>
      </c>
      <c r="Z68" s="53">
        <v>193.3</v>
      </c>
      <c r="AA68" s="53">
        <v>194.2</v>
      </c>
      <c r="AB68" s="53">
        <v>194.2</v>
      </c>
      <c r="AC68" s="53">
        <v>194.1</v>
      </c>
      <c r="AD68" s="53">
        <v>194.2</v>
      </c>
    </row>
    <row r="69" spans="18:32" x14ac:dyDescent="0.25">
      <c r="R69" s="52">
        <v>2007</v>
      </c>
      <c r="S69" s="54">
        <v>195.01300000000001</v>
      </c>
      <c r="T69" s="54">
        <v>195.667</v>
      </c>
      <c r="U69" s="54">
        <v>196.56100000000001</v>
      </c>
      <c r="V69" s="54">
        <v>196.74100000000001</v>
      </c>
      <c r="W69" s="54">
        <v>196.96</v>
      </c>
      <c r="X69" s="54">
        <v>197.12700000000001</v>
      </c>
      <c r="Y69" s="54">
        <v>197.38800000000001</v>
      </c>
      <c r="Z69" s="54">
        <v>197.613</v>
      </c>
      <c r="AA69" s="54">
        <v>197.702</v>
      </c>
      <c r="AB69" s="54">
        <v>198.43199999999999</v>
      </c>
      <c r="AC69" s="54">
        <v>199.45400000000001</v>
      </c>
      <c r="AD69" s="54">
        <v>200.31200000000001</v>
      </c>
    </row>
    <row r="70" spans="18:32" x14ac:dyDescent="0.25">
      <c r="R70" s="52">
        <v>2008</v>
      </c>
      <c r="S70" s="54">
        <v>200.94399999999999</v>
      </c>
      <c r="T70" s="54">
        <v>202.63399999999999</v>
      </c>
      <c r="U70" s="54">
        <v>202.67</v>
      </c>
      <c r="V70" s="54">
        <v>203.50700000000001</v>
      </c>
      <c r="W70" s="54">
        <v>204.70599999999999</v>
      </c>
      <c r="X70" s="54">
        <v>205.904</v>
      </c>
      <c r="Y70" s="54">
        <v>207.626</v>
      </c>
      <c r="Z70" s="54">
        <v>207.17099999999999</v>
      </c>
      <c r="AA70" s="54">
        <v>207.25899999999999</v>
      </c>
      <c r="AB70" s="54">
        <v>207.78800000000001</v>
      </c>
      <c r="AC70" s="54">
        <v>207.851</v>
      </c>
      <c r="AD70" s="54">
        <v>207.85</v>
      </c>
    </row>
    <row r="71" spans="18:32" x14ac:dyDescent="0.25">
      <c r="R71" s="52">
        <v>2009</v>
      </c>
      <c r="S71" s="54">
        <v>208.59</v>
      </c>
      <c r="T71" s="54">
        <v>208.75200000000001</v>
      </c>
      <c r="U71" s="54">
        <v>208.941</v>
      </c>
      <c r="V71" s="54">
        <v>209.08099999999999</v>
      </c>
      <c r="W71" s="54">
        <v>209.02099999999999</v>
      </c>
      <c r="X71" s="54">
        <v>209.62799999999999</v>
      </c>
      <c r="Y71" s="54">
        <v>209.727</v>
      </c>
      <c r="Z71" s="54">
        <v>209.87</v>
      </c>
      <c r="AA71" s="54">
        <v>209.86600000000001</v>
      </c>
      <c r="AB71" s="54">
        <v>210.67599999999999</v>
      </c>
      <c r="AC71" s="54">
        <v>211.66800000000001</v>
      </c>
      <c r="AD71" s="54">
        <v>211.524</v>
      </c>
    </row>
    <row r="72" spans="18:32" x14ac:dyDescent="0.25">
      <c r="R72" s="52">
        <v>2010</v>
      </c>
      <c r="S72" s="54">
        <v>212.02699999999999</v>
      </c>
      <c r="T72" s="54">
        <v>213.566</v>
      </c>
      <c r="U72" s="54">
        <v>214.10900000000001</v>
      </c>
      <c r="V72" s="54">
        <v>214.203</v>
      </c>
      <c r="W72" s="54">
        <v>213.703</v>
      </c>
      <c r="X72" s="54">
        <v>213.88</v>
      </c>
      <c r="Y72" s="54">
        <v>214.315</v>
      </c>
      <c r="Z72" s="54">
        <v>215.023</v>
      </c>
      <c r="AA72" s="54">
        <v>215.36500000000001</v>
      </c>
      <c r="AB72" s="54">
        <v>215.32599999999999</v>
      </c>
      <c r="AC72" s="54">
        <v>215.49600000000001</v>
      </c>
      <c r="AD72" s="54">
        <v>215.42699999999999</v>
      </c>
    </row>
    <row r="73" spans="18:32" x14ac:dyDescent="0.25">
      <c r="R73" s="52">
        <v>2011</v>
      </c>
      <c r="S73" s="54">
        <v>216.45</v>
      </c>
      <c r="T73" s="54">
        <v>217.57400000000001</v>
      </c>
      <c r="U73" s="54">
        <v>216.964</v>
      </c>
      <c r="V73" s="54">
        <v>217.22900000000001</v>
      </c>
      <c r="W73" s="54">
        <v>217.35900000000001</v>
      </c>
      <c r="X73" s="54">
        <v>217.702</v>
      </c>
      <c r="Y73" s="54">
        <v>217.934</v>
      </c>
      <c r="Z73" s="54">
        <v>217.303</v>
      </c>
      <c r="AA73" s="54">
        <v>217.184</v>
      </c>
      <c r="AB73" s="54">
        <v>217.49100000000001</v>
      </c>
      <c r="AC73" s="54">
        <v>217.809</v>
      </c>
      <c r="AD73" s="54">
        <v>218.22300000000001</v>
      </c>
    </row>
    <row r="74" spans="18:32" x14ac:dyDescent="0.25">
      <c r="R74" s="52">
        <v>2012</v>
      </c>
      <c r="S74" s="54">
        <v>218.44399999999999</v>
      </c>
      <c r="T74" s="54">
        <v>219.023</v>
      </c>
      <c r="U74" s="54">
        <v>219.28700000000001</v>
      </c>
      <c r="V74" s="54">
        <v>219.29499999999999</v>
      </c>
      <c r="W74" s="54">
        <v>219.65299999999999</v>
      </c>
      <c r="X74" s="54">
        <v>219.523</v>
      </c>
      <c r="Y74" s="54">
        <v>219.61699999999999</v>
      </c>
      <c r="Z74" s="54">
        <v>220.20599999999999</v>
      </c>
      <c r="AA74" s="54">
        <v>220.03</v>
      </c>
      <c r="AB74" s="54">
        <v>220.17099999999999</v>
      </c>
      <c r="AC74" s="54">
        <v>220.02199999999999</v>
      </c>
      <c r="AD74" s="54">
        <v>220.029</v>
      </c>
    </row>
    <row r="75" spans="18:32" x14ac:dyDescent="0.25">
      <c r="R75" s="52">
        <v>2013</v>
      </c>
      <c r="S75" s="54">
        <v>221.35400000000001</v>
      </c>
      <c r="T75" s="54">
        <v>222.14699999999999</v>
      </c>
      <c r="U75" s="54">
        <v>222.72200000000001</v>
      </c>
      <c r="V75" s="54">
        <v>222.666</v>
      </c>
      <c r="W75" s="54">
        <v>222.518</v>
      </c>
      <c r="X75" s="54">
        <v>223.298</v>
      </c>
      <c r="Y75" s="54">
        <v>223.40799999999999</v>
      </c>
      <c r="Z75" s="54">
        <v>223.61</v>
      </c>
      <c r="AA75" s="54">
        <v>224.453</v>
      </c>
      <c r="AB75" s="54">
        <v>224.595</v>
      </c>
      <c r="AC75" s="54">
        <v>224.75</v>
      </c>
      <c r="AD75" s="54">
        <v>224.58</v>
      </c>
    </row>
    <row r="76" spans="18:32" x14ac:dyDescent="0.25">
      <c r="R76" s="52">
        <v>2014</v>
      </c>
      <c r="S76" s="54">
        <v>225.03399999999999</v>
      </c>
      <c r="T76" s="54">
        <v>225.215</v>
      </c>
      <c r="U76" s="54">
        <v>225.20699999999999</v>
      </c>
      <c r="V76" s="54">
        <v>224.672</v>
      </c>
      <c r="W76" s="54">
        <v>225.29499999999999</v>
      </c>
      <c r="X76" s="54">
        <v>226.608</v>
      </c>
      <c r="Y76" s="54">
        <v>227.07599999999999</v>
      </c>
      <c r="Z76" s="54">
        <v>226.30600000000001</v>
      </c>
      <c r="AA76" s="54">
        <v>225.94499999999999</v>
      </c>
      <c r="AB76" s="54">
        <v>227.18299999999999</v>
      </c>
      <c r="AC76" s="54">
        <v>229.11799999999999</v>
      </c>
      <c r="AD76" s="54">
        <v>229.05699999999999</v>
      </c>
    </row>
    <row r="77" spans="18:32" x14ac:dyDescent="0.25">
      <c r="R77" s="52">
        <v>2015</v>
      </c>
      <c r="S77" s="54">
        <v>227.60300000000001</v>
      </c>
      <c r="T77" s="54">
        <v>228.005</v>
      </c>
      <c r="U77" s="54">
        <v>227.97399999999999</v>
      </c>
      <c r="V77" s="54">
        <v>227.964</v>
      </c>
      <c r="W77" s="54">
        <v>228.02699999999999</v>
      </c>
      <c r="X77" s="54">
        <v>227.99199999999999</v>
      </c>
      <c r="Y77" s="54">
        <v>228.29599999999999</v>
      </c>
      <c r="Z77" s="54">
        <v>228.83600000000001</v>
      </c>
      <c r="AA77" s="54">
        <v>228.803</v>
      </c>
      <c r="AB77" s="54">
        <v>228.8</v>
      </c>
      <c r="AC77" s="54">
        <v>228.36500000000001</v>
      </c>
      <c r="AD77" s="54">
        <v>228.291</v>
      </c>
      <c r="AE77" s="49"/>
      <c r="AF77" s="49"/>
    </row>
    <row r="78" spans="18:32" x14ac:dyDescent="0.25">
      <c r="R78" s="52">
        <v>2016</v>
      </c>
      <c r="S78" s="54">
        <v>228.81700000000001</v>
      </c>
      <c r="T78" s="54">
        <v>228.858</v>
      </c>
      <c r="U78" s="54">
        <v>228.68199999999999</v>
      </c>
      <c r="V78" s="54">
        <v>228.93299999999999</v>
      </c>
      <c r="W78" s="54">
        <v>231.20599999999999</v>
      </c>
      <c r="X78" s="54">
        <v>230.32400000000001</v>
      </c>
      <c r="Y78" s="54">
        <v>232.46899999999999</v>
      </c>
      <c r="Z78" s="54">
        <v>231.911</v>
      </c>
      <c r="AA78" s="54">
        <v>231.95099999999999</v>
      </c>
      <c r="AB78" s="54">
        <v>232.01499999999999</v>
      </c>
      <c r="AC78" s="54">
        <v>233.07599999999999</v>
      </c>
      <c r="AD78" s="54">
        <v>233.25899999999999</v>
      </c>
      <c r="AE78" s="49"/>
      <c r="AF78" s="49"/>
    </row>
    <row r="79" spans="18:32" x14ac:dyDescent="0.25">
      <c r="R79" s="52">
        <v>2017</v>
      </c>
      <c r="S79" s="54">
        <v>234.95400000000001</v>
      </c>
      <c r="T79" s="54">
        <v>235.67099999999999</v>
      </c>
      <c r="U79" s="54">
        <v>236.29300000000001</v>
      </c>
      <c r="V79" s="54">
        <v>236.29300000000001</v>
      </c>
      <c r="W79" s="54">
        <v>236.29300000000001</v>
      </c>
      <c r="X79" s="54">
        <v>236.08699999999999</v>
      </c>
      <c r="Y79" s="54">
        <v>236.12899999999999</v>
      </c>
      <c r="Z79" s="54">
        <v>236.12899999999999</v>
      </c>
      <c r="AA79" s="54">
        <v>237.209</v>
      </c>
      <c r="AB79" s="54">
        <v>237.71700000000001</v>
      </c>
      <c r="AC79" s="54">
        <v>238.24299999999999</v>
      </c>
      <c r="AD79" s="54">
        <v>238.09</v>
      </c>
      <c r="AE79" s="49"/>
      <c r="AF79" s="49"/>
    </row>
    <row r="80" spans="18:32" x14ac:dyDescent="0.25">
      <c r="R80" s="52">
        <v>2018</v>
      </c>
      <c r="S80" s="54">
        <v>237.02699999999999</v>
      </c>
      <c r="T80" s="54">
        <v>235.05600000000001</v>
      </c>
      <c r="U80" s="54">
        <v>236.93799999999999</v>
      </c>
      <c r="V80" s="54">
        <v>237.43</v>
      </c>
      <c r="W80" s="54">
        <v>237.66300000000001</v>
      </c>
      <c r="X80" s="54">
        <v>237.82599999999999</v>
      </c>
      <c r="Y80" s="54">
        <v>237.82599999999999</v>
      </c>
      <c r="Z80" s="54">
        <v>237.499</v>
      </c>
      <c r="AA80" s="54">
        <v>237.154</v>
      </c>
      <c r="AB80" s="54">
        <v>237.34399999999999</v>
      </c>
      <c r="AC80" s="54">
        <v>238.25</v>
      </c>
      <c r="AD80" s="54">
        <v>238.25</v>
      </c>
      <c r="AE80" s="54">
        <v>236.99</v>
      </c>
      <c r="AF80" s="54">
        <v>237.721</v>
      </c>
    </row>
    <row r="81" spans="18:32" x14ac:dyDescent="0.25">
      <c r="R81" s="52">
        <v>2019</v>
      </c>
      <c r="S81" s="54">
        <v>237.35599999999999</v>
      </c>
      <c r="T81" s="54">
        <v>238.24700000000001</v>
      </c>
      <c r="U81" s="54">
        <v>238.88</v>
      </c>
      <c r="V81" s="54">
        <v>238.339</v>
      </c>
      <c r="W81" s="54">
        <v>238.94200000000001</v>
      </c>
      <c r="X81" s="54">
        <v>239.09299999999999</v>
      </c>
      <c r="Y81" s="54">
        <v>238.98699999999999</v>
      </c>
      <c r="Z81" s="54">
        <v>239.80600000000001</v>
      </c>
      <c r="AA81" s="54">
        <v>240.83199999999999</v>
      </c>
      <c r="AB81" s="54">
        <v>239.90600000000001</v>
      </c>
      <c r="AC81" s="54">
        <v>239.923</v>
      </c>
      <c r="AD81" s="54">
        <v>240.13800000000001</v>
      </c>
      <c r="AE81" s="54">
        <v>238.476</v>
      </c>
      <c r="AF81" s="54">
        <v>239.93199999999999</v>
      </c>
    </row>
    <row r="82" spans="18:32" x14ac:dyDescent="0.25">
      <c r="R82" s="52">
        <v>2020</v>
      </c>
      <c r="S82" s="54">
        <v>240.58500000000001</v>
      </c>
      <c r="T82" s="54">
        <v>240.68899999999999</v>
      </c>
      <c r="U82" s="54">
        <v>240.70699999999999</v>
      </c>
      <c r="V82" s="54">
        <v>241.08500000000001</v>
      </c>
      <c r="W82" s="54">
        <v>241.41900000000001</v>
      </c>
      <c r="X82" s="54">
        <v>242.11500000000001</v>
      </c>
      <c r="Y82" s="54">
        <v>242.38</v>
      </c>
      <c r="Z82" s="54">
        <v>242.38</v>
      </c>
      <c r="AA82" s="54">
        <v>243.578</v>
      </c>
      <c r="AB82" s="54">
        <v>243.578</v>
      </c>
      <c r="AC82" s="54">
        <v>243.43700000000001</v>
      </c>
      <c r="AD82" s="54">
        <v>243.32</v>
      </c>
      <c r="AE82" s="54">
        <v>241.1</v>
      </c>
      <c r="AF82" s="54">
        <v>243.11199999999999</v>
      </c>
    </row>
    <row r="83" spans="18:32" x14ac:dyDescent="0.25">
      <c r="R83" s="52">
        <v>2021</v>
      </c>
      <c r="S83" s="54">
        <v>247.15299999999999</v>
      </c>
      <c r="T83" s="54">
        <v>246.67099999999999</v>
      </c>
      <c r="U83" s="54">
        <v>247.06899999999999</v>
      </c>
      <c r="V83" s="54">
        <v>247.24600000000001</v>
      </c>
      <c r="W83" s="54">
        <v>247.78399999999999</v>
      </c>
      <c r="X83" s="54">
        <v>247.745</v>
      </c>
      <c r="Y83" s="54">
        <v>247.804</v>
      </c>
      <c r="Z83" s="54">
        <v>247.804</v>
      </c>
      <c r="AA83" s="54">
        <v>248.614</v>
      </c>
      <c r="AB83" s="54">
        <v>248.614</v>
      </c>
      <c r="AC83" s="54">
        <v>248.614</v>
      </c>
      <c r="AD83" s="54">
        <v>250.25899999999999</v>
      </c>
      <c r="AE83" s="54">
        <v>247.27799999999999</v>
      </c>
      <c r="AF83" s="54">
        <v>248.61799999999999</v>
      </c>
    </row>
    <row r="84" spans="18:32" x14ac:dyDescent="0.25">
      <c r="R84" s="52">
        <v>2022</v>
      </c>
      <c r="S84" s="54">
        <v>256.43700000000001</v>
      </c>
      <c r="T84" s="54">
        <v>258.61099999999999</v>
      </c>
      <c r="U84" s="54">
        <v>257.988</v>
      </c>
      <c r="V84" s="54">
        <v>257.303</v>
      </c>
      <c r="W84" s="54">
        <v>259.02600000000001</v>
      </c>
      <c r="X84" s="54">
        <v>259.38400000000001</v>
      </c>
      <c r="Y84" s="54">
        <v>258.62</v>
      </c>
      <c r="Z84" s="54">
        <v>258.81200000000001</v>
      </c>
      <c r="AA84" s="54">
        <v>258.82600000000002</v>
      </c>
      <c r="AB84" s="54">
        <v>258.94</v>
      </c>
      <c r="AC84" s="54">
        <v>257.83600000000001</v>
      </c>
      <c r="AD84" s="54">
        <v>255.471</v>
      </c>
      <c r="AE84" s="54">
        <v>258.125</v>
      </c>
      <c r="AF84" s="54">
        <v>258.084</v>
      </c>
    </row>
    <row r="85" spans="18:32" x14ac:dyDescent="0.25">
      <c r="R85" s="52">
        <v>2023</v>
      </c>
      <c r="S85" s="54">
        <v>255.43799999999999</v>
      </c>
      <c r="T85" s="54">
        <v>256.30500000000001</v>
      </c>
      <c r="U85" s="54">
        <v>257.43099999999998</v>
      </c>
      <c r="V85" s="54">
        <v>257.98</v>
      </c>
      <c r="W85" s="54">
        <v>261.04899999999998</v>
      </c>
      <c r="X85" s="54">
        <v>259.43200000000002</v>
      </c>
      <c r="Y85" s="54">
        <v>261.03399999999999</v>
      </c>
      <c r="Z85" s="54">
        <v>258.98899999999998</v>
      </c>
      <c r="AA85" s="54">
        <v>259.20999999999998</v>
      </c>
      <c r="AB85" s="54">
        <v>259.137</v>
      </c>
      <c r="AC85" s="54">
        <v>259.16000000000003</v>
      </c>
      <c r="AD85" s="54">
        <v>259.16000000000003</v>
      </c>
      <c r="AE85" s="54">
        <v>257.93900000000002</v>
      </c>
      <c r="AF85" s="54">
        <v>259.44799999999998</v>
      </c>
    </row>
    <row r="86" spans="18:32" x14ac:dyDescent="0.25">
      <c r="R86" s="52">
        <v>2024</v>
      </c>
      <c r="S86" s="54">
        <v>260.839</v>
      </c>
      <c r="T86" s="54">
        <v>260.05599999999998</v>
      </c>
      <c r="U86" s="54">
        <v>261.65800000000002</v>
      </c>
      <c r="V86" s="54">
        <v>259.59500000000003</v>
      </c>
      <c r="W86" s="54">
        <v>259.58699999999999</v>
      </c>
      <c r="X86" s="54">
        <v>260.74400000000003</v>
      </c>
      <c r="Y86" s="54">
        <v>261.029</v>
      </c>
      <c r="Z86" s="54">
        <v>260.89800000000002</v>
      </c>
      <c r="AA86" s="54">
        <v>264.92500000000001</v>
      </c>
      <c r="AB86" s="54">
        <v>263.10300000000001</v>
      </c>
      <c r="AC86" s="54">
        <v>263.17099999999999</v>
      </c>
      <c r="AD86" s="54">
        <v>263.87799999999999</v>
      </c>
      <c r="AE86" s="54">
        <v>260.41300000000001</v>
      </c>
      <c r="AF86" s="54">
        <v>262.834</v>
      </c>
    </row>
    <row r="87" spans="18:32" x14ac:dyDescent="0.25">
      <c r="R87" s="52">
        <v>2025</v>
      </c>
      <c r="S87" s="54">
        <v>264.11200000000002</v>
      </c>
      <c r="T87" s="54">
        <v>264.61700000000002</v>
      </c>
      <c r="U87" s="54">
        <v>264.14299999999997</v>
      </c>
      <c r="V87" s="54">
        <v>265.59800000000001</v>
      </c>
      <c r="W87" s="54">
        <v>265.738</v>
      </c>
      <c r="X87" s="54">
        <v>267.84500000000003</v>
      </c>
      <c r="Y87" s="49"/>
      <c r="Z87" s="49"/>
      <c r="AA87" s="49"/>
      <c r="AB87" s="49" t="s">
        <v>259</v>
      </c>
      <c r="AC87" s="49"/>
      <c r="AD87" s="49"/>
      <c r="AE87" s="54">
        <v>265.34199999999998</v>
      </c>
      <c r="AF87" s="49"/>
    </row>
  </sheetData>
  <mergeCells count="110"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>
    <tabColor rgb="FFFF0000"/>
  </sheetPr>
  <dimension ref="A1:AU714"/>
  <sheetViews>
    <sheetView workbookViewId="0">
      <selection activeCell="AL13" sqref="AL13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1.140625" bestFit="1" customWidth="1"/>
    <col min="4" max="4" width="11.85546875" bestFit="1" customWidth="1"/>
    <col min="5" max="5" width="20.42578125" bestFit="1" customWidth="1"/>
    <col min="6" max="6" width="11" bestFit="1" customWidth="1"/>
    <col min="7" max="7" width="16" bestFit="1" customWidth="1"/>
    <col min="8" max="8" width="16.42578125" bestFit="1" customWidth="1"/>
    <col min="9" max="9" width="18.5703125" bestFit="1" customWidth="1"/>
    <col min="10" max="10" width="19" bestFit="1" customWidth="1"/>
    <col min="11" max="11" width="12.5703125" bestFit="1" customWidth="1"/>
    <col min="12" max="12" width="17" bestFit="1" customWidth="1"/>
    <col min="13" max="13" width="12.42578125" bestFit="1" customWidth="1"/>
    <col min="14" max="14" width="10" bestFit="1" customWidth="1"/>
    <col min="15" max="15" width="11.42578125" bestFit="1" customWidth="1"/>
    <col min="16" max="16" width="16.5703125" bestFit="1" customWidth="1"/>
    <col min="17" max="17" width="10.42578125" bestFit="1" customWidth="1"/>
    <col min="18" max="18" width="12.7109375" bestFit="1" customWidth="1"/>
    <col min="19" max="19" width="9.42578125" bestFit="1" customWidth="1"/>
    <col min="20" max="20" width="10.28515625" bestFit="1" customWidth="1"/>
    <col min="21" max="21" width="9.7109375" bestFit="1" customWidth="1"/>
    <col min="22" max="22" width="14.28515625" bestFit="1" customWidth="1"/>
    <col min="23" max="23" width="11.7109375" bestFit="1" customWidth="1"/>
    <col min="24" max="24" width="15" bestFit="1" customWidth="1"/>
    <col min="25" max="25" width="11.42578125" bestFit="1" customWidth="1"/>
    <col min="26" max="26" width="13.42578125" bestFit="1" customWidth="1"/>
    <col min="27" max="27" width="18" bestFit="1" customWidth="1"/>
    <col min="28" max="28" width="18.42578125" bestFit="1" customWidth="1"/>
    <col min="29" max="29" width="18.5703125" bestFit="1" customWidth="1"/>
    <col min="30" max="30" width="19" bestFit="1" customWidth="1"/>
    <col min="31" max="31" width="17.42578125" bestFit="1" customWidth="1"/>
    <col min="32" max="32" width="17.85546875" bestFit="1" customWidth="1"/>
    <col min="33" max="33" width="18.28515625" bestFit="1" customWidth="1"/>
    <col min="34" max="34" width="18.7109375" bestFit="1" customWidth="1"/>
    <col min="35" max="35" width="9.85546875" bestFit="1" customWidth="1"/>
    <col min="36" max="36" width="25.28515625" bestFit="1" customWidth="1"/>
    <col min="37" max="37" width="11.5703125" bestFit="1" customWidth="1"/>
    <col min="38" max="38" width="21.7109375" bestFit="1" customWidth="1"/>
    <col min="39" max="39" width="15.85546875" style="61" bestFit="1" customWidth="1"/>
    <col min="40" max="40" width="20.7109375" style="61" bestFit="1" customWidth="1"/>
    <col min="41" max="43" width="12" bestFit="1" customWidth="1"/>
    <col min="44" max="44" width="13.7109375" bestFit="1" customWidth="1"/>
    <col min="45" max="45" width="20" bestFit="1" customWidth="1"/>
    <col min="46" max="46" width="20.42578125" bestFit="1" customWidth="1"/>
    <col min="47" max="47" width="20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5703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s="61" t="s">
        <v>55</v>
      </c>
      <c r="AN1" s="6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  <row r="2" spans="1:47" x14ac:dyDescent="0.25">
      <c r="A2" t="s">
        <v>321</v>
      </c>
      <c r="B2" t="s">
        <v>442</v>
      </c>
      <c r="C2" t="s">
        <v>319</v>
      </c>
      <c r="D2">
        <v>2026</v>
      </c>
      <c r="E2">
        <v>0</v>
      </c>
      <c r="F2">
        <v>10</v>
      </c>
      <c r="G2">
        <v>10</v>
      </c>
      <c r="H2">
        <v>25</v>
      </c>
      <c r="I2">
        <v>1</v>
      </c>
      <c r="J2">
        <v>5</v>
      </c>
      <c r="K2">
        <v>1</v>
      </c>
      <c r="L2">
        <v>1</v>
      </c>
      <c r="M2">
        <v>1</v>
      </c>
      <c r="N2">
        <v>0</v>
      </c>
      <c r="O2" t="s">
        <v>27</v>
      </c>
      <c r="P2" t="s">
        <v>443</v>
      </c>
      <c r="Q2">
        <v>2026</v>
      </c>
      <c r="R2">
        <v>2036</v>
      </c>
      <c r="S2" t="s">
        <v>444</v>
      </c>
      <c r="T2">
        <v>2026</v>
      </c>
      <c r="U2">
        <v>33.75</v>
      </c>
      <c r="V2">
        <v>1</v>
      </c>
      <c r="W2">
        <v>2026</v>
      </c>
      <c r="X2">
        <v>0</v>
      </c>
      <c r="Y2">
        <v>2026</v>
      </c>
      <c r="Z2">
        <v>1</v>
      </c>
      <c r="AA2">
        <v>11</v>
      </c>
      <c r="AB2">
        <v>30</v>
      </c>
      <c r="AC2">
        <v>1</v>
      </c>
      <c r="AD2">
        <v>5</v>
      </c>
      <c r="AE2">
        <v>10</v>
      </c>
      <c r="AF2">
        <v>25</v>
      </c>
      <c r="AG2">
        <v>1</v>
      </c>
      <c r="AH2">
        <v>5</v>
      </c>
      <c r="AI2">
        <v>1</v>
      </c>
      <c r="AK2">
        <v>2027</v>
      </c>
      <c r="AL2" s="61">
        <v>2.4329999999999998</v>
      </c>
      <c r="AM2" s="61">
        <v>0</v>
      </c>
      <c r="AN2" s="61">
        <v>2.4329999999999998</v>
      </c>
      <c r="AO2">
        <v>1</v>
      </c>
      <c r="AP2">
        <v>1.023385968321771</v>
      </c>
      <c r="AQ2">
        <v>1.023385968321771</v>
      </c>
      <c r="AR2" t="b">
        <v>1</v>
      </c>
      <c r="AS2">
        <v>11</v>
      </c>
      <c r="AT2">
        <v>30</v>
      </c>
      <c r="AU2">
        <v>20.5</v>
      </c>
    </row>
    <row r="3" spans="1:47" x14ac:dyDescent="0.25">
      <c r="A3" t="s">
        <v>321</v>
      </c>
      <c r="B3" t="s">
        <v>442</v>
      </c>
      <c r="C3" t="s">
        <v>319</v>
      </c>
      <c r="D3">
        <v>2026</v>
      </c>
      <c r="E3">
        <v>0</v>
      </c>
      <c r="F3">
        <v>10</v>
      </c>
      <c r="G3">
        <v>10</v>
      </c>
      <c r="H3">
        <v>25</v>
      </c>
      <c r="I3">
        <v>1</v>
      </c>
      <c r="J3">
        <v>5</v>
      </c>
      <c r="K3">
        <v>1</v>
      </c>
      <c r="L3">
        <v>1</v>
      </c>
      <c r="M3">
        <v>1</v>
      </c>
      <c r="N3">
        <v>0</v>
      </c>
      <c r="O3" t="s">
        <v>27</v>
      </c>
      <c r="P3" t="s">
        <v>443</v>
      </c>
      <c r="Q3">
        <v>2026</v>
      </c>
      <c r="R3">
        <v>2036</v>
      </c>
      <c r="S3" t="s">
        <v>444</v>
      </c>
      <c r="T3">
        <v>2027</v>
      </c>
      <c r="U3">
        <v>34.75</v>
      </c>
      <c r="V3">
        <v>1</v>
      </c>
      <c r="W3">
        <v>2027</v>
      </c>
      <c r="X3">
        <v>1</v>
      </c>
      <c r="Y3">
        <v>2027</v>
      </c>
      <c r="Z3">
        <v>1</v>
      </c>
      <c r="AA3">
        <v>1</v>
      </c>
      <c r="AB3">
        <v>5</v>
      </c>
      <c r="AC3">
        <v>1</v>
      </c>
      <c r="AD3">
        <v>5</v>
      </c>
      <c r="AE3">
        <v>0</v>
      </c>
      <c r="AF3">
        <v>0</v>
      </c>
      <c r="AG3">
        <v>1</v>
      </c>
      <c r="AH3">
        <v>5</v>
      </c>
      <c r="AI3">
        <v>1</v>
      </c>
      <c r="AJ3">
        <v>2.4329999999999998</v>
      </c>
      <c r="AK3">
        <v>2028</v>
      </c>
      <c r="AL3" s="61">
        <v>2.4220000000000002</v>
      </c>
      <c r="AM3" s="61">
        <v>2.4329999999999998</v>
      </c>
      <c r="AN3" s="61">
        <v>2.4220000000000002</v>
      </c>
      <c r="AO3">
        <v>1</v>
      </c>
      <c r="AP3">
        <v>1.0242242189602202</v>
      </c>
      <c r="AQ3">
        <v>1.0242242189602202</v>
      </c>
      <c r="AR3" t="b">
        <v>0</v>
      </c>
      <c r="AS3">
        <v>0.97634871494758024</v>
      </c>
      <c r="AT3">
        <v>4.881743574737901</v>
      </c>
      <c r="AU3">
        <v>2.9290461448427405</v>
      </c>
    </row>
    <row r="4" spans="1:47" x14ac:dyDescent="0.25">
      <c r="A4" t="s">
        <v>321</v>
      </c>
      <c r="B4" t="s">
        <v>442</v>
      </c>
      <c r="C4" t="s">
        <v>319</v>
      </c>
      <c r="D4">
        <v>2026</v>
      </c>
      <c r="E4">
        <v>0</v>
      </c>
      <c r="F4">
        <v>10</v>
      </c>
      <c r="G4">
        <v>10</v>
      </c>
      <c r="H4">
        <v>25</v>
      </c>
      <c r="I4">
        <v>1</v>
      </c>
      <c r="J4">
        <v>5</v>
      </c>
      <c r="K4">
        <v>1</v>
      </c>
      <c r="L4">
        <v>1</v>
      </c>
      <c r="M4">
        <v>1</v>
      </c>
      <c r="N4">
        <v>0</v>
      </c>
      <c r="O4" t="s">
        <v>27</v>
      </c>
      <c r="P4" t="s">
        <v>443</v>
      </c>
      <c r="Q4">
        <v>2026</v>
      </c>
      <c r="R4">
        <v>2036</v>
      </c>
      <c r="S4" t="s">
        <v>444</v>
      </c>
      <c r="T4">
        <v>2028</v>
      </c>
      <c r="U4">
        <v>35.75</v>
      </c>
      <c r="V4">
        <v>1</v>
      </c>
      <c r="W4">
        <v>2028</v>
      </c>
      <c r="X4">
        <v>2</v>
      </c>
      <c r="Y4">
        <v>2028</v>
      </c>
      <c r="Z4">
        <v>1</v>
      </c>
      <c r="AA4">
        <v>1</v>
      </c>
      <c r="AB4">
        <v>5</v>
      </c>
      <c r="AC4">
        <v>1</v>
      </c>
      <c r="AD4">
        <v>5</v>
      </c>
      <c r="AE4">
        <v>0</v>
      </c>
      <c r="AF4">
        <v>0</v>
      </c>
      <c r="AG4">
        <v>1</v>
      </c>
      <c r="AH4">
        <v>5</v>
      </c>
      <c r="AI4">
        <v>1</v>
      </c>
      <c r="AJ4">
        <v>2.4220000000000002</v>
      </c>
      <c r="AK4">
        <v>2029</v>
      </c>
      <c r="AL4" s="61">
        <v>2.4209999999999998</v>
      </c>
      <c r="AM4" s="61">
        <v>2.4220000000000002</v>
      </c>
      <c r="AN4" s="61">
        <v>2.4209999999999998</v>
      </c>
      <c r="AO4">
        <v>1.0242199999999999</v>
      </c>
      <c r="AP4">
        <v>1.0242103835598433</v>
      </c>
      <c r="AQ4">
        <v>1.0490167590496626</v>
      </c>
      <c r="AR4" t="b">
        <v>0</v>
      </c>
      <c r="AS4">
        <v>0.95327361681612366</v>
      </c>
      <c r="AT4">
        <v>4.766368084080618</v>
      </c>
      <c r="AU4">
        <v>2.8598208504483709</v>
      </c>
    </row>
    <row r="5" spans="1:47" x14ac:dyDescent="0.25">
      <c r="A5" t="s">
        <v>321</v>
      </c>
      <c r="B5" t="s">
        <v>442</v>
      </c>
      <c r="C5" t="s">
        <v>319</v>
      </c>
      <c r="D5">
        <v>2026</v>
      </c>
      <c r="E5">
        <v>0</v>
      </c>
      <c r="F5">
        <v>10</v>
      </c>
      <c r="G5">
        <v>10</v>
      </c>
      <c r="H5">
        <v>25</v>
      </c>
      <c r="I5">
        <v>1</v>
      </c>
      <c r="J5">
        <v>5</v>
      </c>
      <c r="K5">
        <v>1</v>
      </c>
      <c r="L5">
        <v>1</v>
      </c>
      <c r="M5">
        <v>1</v>
      </c>
      <c r="N5">
        <v>0</v>
      </c>
      <c r="O5" t="s">
        <v>27</v>
      </c>
      <c r="P5" t="s">
        <v>443</v>
      </c>
      <c r="Q5">
        <v>2026</v>
      </c>
      <c r="R5">
        <v>2036</v>
      </c>
      <c r="S5" t="s">
        <v>444</v>
      </c>
      <c r="T5">
        <v>2029</v>
      </c>
      <c r="U5">
        <v>36.75</v>
      </c>
      <c r="V5">
        <v>1</v>
      </c>
      <c r="W5">
        <v>2029</v>
      </c>
      <c r="X5">
        <v>3</v>
      </c>
      <c r="Y5">
        <v>2029</v>
      </c>
      <c r="Z5">
        <v>1</v>
      </c>
      <c r="AA5">
        <v>1</v>
      </c>
      <c r="AB5">
        <v>5</v>
      </c>
      <c r="AC5">
        <v>1</v>
      </c>
      <c r="AD5">
        <v>5</v>
      </c>
      <c r="AE5">
        <v>0</v>
      </c>
      <c r="AF5">
        <v>0</v>
      </c>
      <c r="AG5">
        <v>1</v>
      </c>
      <c r="AH5">
        <v>5</v>
      </c>
      <c r="AI5">
        <v>1</v>
      </c>
      <c r="AJ5">
        <v>2.4209999999999998</v>
      </c>
      <c r="AK5">
        <v>2030</v>
      </c>
      <c r="AL5" s="61">
        <v>2.4670000000000001</v>
      </c>
      <c r="AM5" s="61">
        <v>2.4209999999999998</v>
      </c>
      <c r="AN5" s="61">
        <v>2.4670000000000001</v>
      </c>
      <c r="AO5">
        <v>1.0490061241000002</v>
      </c>
      <c r="AP5">
        <v>1.0246523523547908</v>
      </c>
      <c r="AQ5">
        <v>1.0748665926936467</v>
      </c>
      <c r="AR5" t="b">
        <v>0</v>
      </c>
      <c r="AS5">
        <v>0.93034801416050261</v>
      </c>
      <c r="AT5">
        <v>4.6517400708025134</v>
      </c>
      <c r="AU5">
        <v>2.7910440424815079</v>
      </c>
    </row>
    <row r="6" spans="1:47" x14ac:dyDescent="0.25">
      <c r="A6" t="s">
        <v>321</v>
      </c>
      <c r="B6" t="s">
        <v>442</v>
      </c>
      <c r="C6" t="s">
        <v>319</v>
      </c>
      <c r="D6">
        <v>2026</v>
      </c>
      <c r="E6">
        <v>0</v>
      </c>
      <c r="F6">
        <v>10</v>
      </c>
      <c r="G6">
        <v>10</v>
      </c>
      <c r="H6">
        <v>25</v>
      </c>
      <c r="I6">
        <v>1</v>
      </c>
      <c r="J6">
        <v>5</v>
      </c>
      <c r="K6">
        <v>1</v>
      </c>
      <c r="L6">
        <v>1</v>
      </c>
      <c r="M6">
        <v>1</v>
      </c>
      <c r="N6">
        <v>0</v>
      </c>
      <c r="O6" t="s">
        <v>27</v>
      </c>
      <c r="P6" t="s">
        <v>443</v>
      </c>
      <c r="Q6">
        <v>2026</v>
      </c>
      <c r="R6">
        <v>2036</v>
      </c>
      <c r="S6" t="s">
        <v>444</v>
      </c>
      <c r="T6">
        <v>2030</v>
      </c>
      <c r="U6">
        <v>37.75</v>
      </c>
      <c r="V6">
        <v>1</v>
      </c>
      <c r="W6">
        <v>2030</v>
      </c>
      <c r="X6">
        <v>4</v>
      </c>
      <c r="Y6">
        <v>2030</v>
      </c>
      <c r="Z6">
        <v>1</v>
      </c>
      <c r="AA6">
        <v>1</v>
      </c>
      <c r="AB6">
        <v>5</v>
      </c>
      <c r="AC6">
        <v>1</v>
      </c>
      <c r="AD6">
        <v>5</v>
      </c>
      <c r="AE6">
        <v>0</v>
      </c>
      <c r="AF6">
        <v>0</v>
      </c>
      <c r="AG6">
        <v>1</v>
      </c>
      <c r="AH6">
        <v>5</v>
      </c>
      <c r="AI6">
        <v>1</v>
      </c>
      <c r="AJ6">
        <v>2.4670000000000001</v>
      </c>
      <c r="AK6">
        <v>2031</v>
      </c>
      <c r="AL6" s="61">
        <v>2.5169999999999999</v>
      </c>
      <c r="AM6" s="61">
        <v>2.4670000000000001</v>
      </c>
      <c r="AN6" s="61">
        <v>2.5169999999999999</v>
      </c>
      <c r="AO6">
        <v>1.0758508410815628</v>
      </c>
      <c r="AP6">
        <v>1.0251508174189523</v>
      </c>
      <c r="AQ6">
        <v>1.1029093691556315</v>
      </c>
      <c r="AR6" t="b">
        <v>0</v>
      </c>
      <c r="AS6">
        <v>0.90669281444728578</v>
      </c>
      <c r="AT6">
        <v>4.5334640722364288</v>
      </c>
      <c r="AU6">
        <v>2.7200784433418574</v>
      </c>
    </row>
    <row r="7" spans="1:47" x14ac:dyDescent="0.25">
      <c r="A7" t="s">
        <v>321</v>
      </c>
      <c r="B7" t="s">
        <v>442</v>
      </c>
      <c r="C7" t="s">
        <v>319</v>
      </c>
      <c r="D7">
        <v>2026</v>
      </c>
      <c r="E7">
        <v>0</v>
      </c>
      <c r="F7">
        <v>10</v>
      </c>
      <c r="G7">
        <v>10</v>
      </c>
      <c r="H7">
        <v>25</v>
      </c>
      <c r="I7">
        <v>1</v>
      </c>
      <c r="J7">
        <v>5</v>
      </c>
      <c r="K7">
        <v>1</v>
      </c>
      <c r="L7">
        <v>1</v>
      </c>
      <c r="M7">
        <v>1</v>
      </c>
      <c r="N7">
        <v>0</v>
      </c>
      <c r="O7" t="s">
        <v>27</v>
      </c>
      <c r="P7" t="s">
        <v>443</v>
      </c>
      <c r="Q7">
        <v>2026</v>
      </c>
      <c r="R7">
        <v>2036</v>
      </c>
      <c r="S7" t="s">
        <v>444</v>
      </c>
      <c r="T7">
        <v>2031</v>
      </c>
      <c r="U7">
        <v>38.75</v>
      </c>
      <c r="V7">
        <v>1</v>
      </c>
      <c r="W7">
        <v>2031</v>
      </c>
      <c r="X7">
        <v>5</v>
      </c>
      <c r="Y7">
        <v>2031</v>
      </c>
      <c r="Z7">
        <v>1</v>
      </c>
      <c r="AA7">
        <v>1</v>
      </c>
      <c r="AB7">
        <v>5</v>
      </c>
      <c r="AC7">
        <v>1</v>
      </c>
      <c r="AD7">
        <v>5</v>
      </c>
      <c r="AE7">
        <v>0</v>
      </c>
      <c r="AF7">
        <v>0</v>
      </c>
      <c r="AG7">
        <v>1</v>
      </c>
      <c r="AH7">
        <v>5</v>
      </c>
      <c r="AI7">
        <v>1</v>
      </c>
      <c r="AJ7">
        <v>2.5169999999999999</v>
      </c>
      <c r="AK7">
        <v>2032</v>
      </c>
      <c r="AL7" s="61">
        <v>2.59</v>
      </c>
      <c r="AM7" s="61">
        <v>2.5169999999999999</v>
      </c>
      <c r="AN7" s="61">
        <v>2.59</v>
      </c>
      <c r="AO7">
        <v>1.1045453584485188</v>
      </c>
      <c r="AP7">
        <v>1.0258719904156592</v>
      </c>
      <c r="AQ7">
        <v>1.1331221453759597</v>
      </c>
      <c r="AR7" t="b">
        <v>0</v>
      </c>
      <c r="AS7">
        <v>0.88251739151052333</v>
      </c>
      <c r="AT7">
        <v>4.4125869575526169</v>
      </c>
      <c r="AU7">
        <v>2.6475521745315702</v>
      </c>
    </row>
    <row r="8" spans="1:47" x14ac:dyDescent="0.25">
      <c r="A8" t="s">
        <v>321</v>
      </c>
      <c r="B8" t="s">
        <v>442</v>
      </c>
      <c r="C8" t="s">
        <v>319</v>
      </c>
      <c r="D8">
        <v>2026</v>
      </c>
      <c r="E8">
        <v>0</v>
      </c>
      <c r="F8">
        <v>10</v>
      </c>
      <c r="G8">
        <v>10</v>
      </c>
      <c r="H8">
        <v>25</v>
      </c>
      <c r="I8">
        <v>1</v>
      </c>
      <c r="J8">
        <v>5</v>
      </c>
      <c r="K8">
        <v>1</v>
      </c>
      <c r="L8">
        <v>1</v>
      </c>
      <c r="M8">
        <v>1</v>
      </c>
      <c r="N8">
        <v>0</v>
      </c>
      <c r="O8" t="s">
        <v>27</v>
      </c>
      <c r="P8" t="s">
        <v>443</v>
      </c>
      <c r="Q8">
        <v>2026</v>
      </c>
      <c r="R8">
        <v>2036</v>
      </c>
      <c r="S8" t="s">
        <v>444</v>
      </c>
      <c r="T8">
        <v>2032</v>
      </c>
      <c r="U8">
        <v>39.75</v>
      </c>
      <c r="V8">
        <v>1</v>
      </c>
      <c r="W8">
        <v>2032</v>
      </c>
      <c r="X8">
        <v>6</v>
      </c>
      <c r="Y8">
        <v>2032</v>
      </c>
      <c r="Z8">
        <v>1</v>
      </c>
      <c r="AA8">
        <v>1</v>
      </c>
      <c r="AB8">
        <v>5</v>
      </c>
      <c r="AC8">
        <v>1</v>
      </c>
      <c r="AD8">
        <v>5</v>
      </c>
      <c r="AE8">
        <v>0</v>
      </c>
      <c r="AF8">
        <v>0</v>
      </c>
      <c r="AG8">
        <v>1</v>
      </c>
      <c r="AH8">
        <v>5</v>
      </c>
      <c r="AI8">
        <v>1</v>
      </c>
      <c r="AJ8">
        <v>2.59</v>
      </c>
      <c r="AK8">
        <v>2033</v>
      </c>
      <c r="AL8" s="61">
        <v>2.6880000000000002</v>
      </c>
      <c r="AM8" s="61">
        <v>2.59</v>
      </c>
      <c r="AN8" s="61">
        <v>2.6880000000000002</v>
      </c>
      <c r="AO8">
        <v>1.1363841013749196</v>
      </c>
      <c r="AP8">
        <v>1.0268423936996114</v>
      </c>
      <c r="AQ8">
        <v>1.1668873708180043</v>
      </c>
      <c r="AR8" t="b">
        <v>0</v>
      </c>
      <c r="AS8">
        <v>0.85698073782303952</v>
      </c>
      <c r="AT8">
        <v>4.2849036891151977</v>
      </c>
      <c r="AU8">
        <v>2.5709422134691184</v>
      </c>
    </row>
    <row r="9" spans="1:47" x14ac:dyDescent="0.25">
      <c r="A9" t="s">
        <v>321</v>
      </c>
      <c r="B9" t="s">
        <v>442</v>
      </c>
      <c r="C9" t="s">
        <v>319</v>
      </c>
      <c r="D9">
        <v>2026</v>
      </c>
      <c r="E9">
        <v>0</v>
      </c>
      <c r="F9">
        <v>10</v>
      </c>
      <c r="G9">
        <v>10</v>
      </c>
      <c r="H9">
        <v>25</v>
      </c>
      <c r="I9">
        <v>1</v>
      </c>
      <c r="J9">
        <v>5</v>
      </c>
      <c r="K9">
        <v>1</v>
      </c>
      <c r="L9">
        <v>1</v>
      </c>
      <c r="M9">
        <v>1</v>
      </c>
      <c r="N9">
        <v>0</v>
      </c>
      <c r="O9" t="s">
        <v>27</v>
      </c>
      <c r="P9" t="s">
        <v>443</v>
      </c>
      <c r="Q9">
        <v>2026</v>
      </c>
      <c r="R9">
        <v>2036</v>
      </c>
      <c r="S9" t="s">
        <v>444</v>
      </c>
      <c r="T9">
        <v>2033</v>
      </c>
      <c r="U9">
        <v>40.75</v>
      </c>
      <c r="V9">
        <v>1</v>
      </c>
      <c r="W9">
        <v>2033</v>
      </c>
      <c r="X9">
        <v>7</v>
      </c>
      <c r="Y9">
        <v>2033</v>
      </c>
      <c r="Z9">
        <v>1</v>
      </c>
      <c r="AA9">
        <v>1</v>
      </c>
      <c r="AB9">
        <v>5</v>
      </c>
      <c r="AC9">
        <v>1</v>
      </c>
      <c r="AD9">
        <v>5</v>
      </c>
      <c r="AE9">
        <v>0</v>
      </c>
      <c r="AF9">
        <v>0</v>
      </c>
      <c r="AG9">
        <v>1</v>
      </c>
      <c r="AH9">
        <v>5</v>
      </c>
      <c r="AI9">
        <v>1</v>
      </c>
      <c r="AJ9">
        <v>2.6880000000000002</v>
      </c>
      <c r="AK9">
        <v>2034</v>
      </c>
      <c r="AL9" s="61">
        <v>2.7519999999999998</v>
      </c>
      <c r="AM9" s="61">
        <v>2.6880000000000002</v>
      </c>
      <c r="AN9" s="61">
        <v>2.7519999999999998</v>
      </c>
      <c r="AO9">
        <v>1.1725143659072164</v>
      </c>
      <c r="AP9">
        <v>1.0274954447000768</v>
      </c>
      <c r="AQ9">
        <v>1.2047531698150638</v>
      </c>
      <c r="AR9" t="b">
        <v>0</v>
      </c>
      <c r="AS9">
        <v>0.8300455438133485</v>
      </c>
      <c r="AT9">
        <v>4.1502277190667423</v>
      </c>
      <c r="AU9">
        <v>2.4901366314400453</v>
      </c>
    </row>
    <row r="10" spans="1:47" x14ac:dyDescent="0.25">
      <c r="A10" t="s">
        <v>321</v>
      </c>
      <c r="B10" t="s">
        <v>442</v>
      </c>
      <c r="C10" t="s">
        <v>319</v>
      </c>
      <c r="D10">
        <v>2026</v>
      </c>
      <c r="E10">
        <v>0</v>
      </c>
      <c r="F10">
        <v>10</v>
      </c>
      <c r="G10">
        <v>10</v>
      </c>
      <c r="H10">
        <v>25</v>
      </c>
      <c r="I10">
        <v>1</v>
      </c>
      <c r="J10">
        <v>5</v>
      </c>
      <c r="K10">
        <v>1</v>
      </c>
      <c r="L10">
        <v>1</v>
      </c>
      <c r="M10">
        <v>1</v>
      </c>
      <c r="N10">
        <v>0</v>
      </c>
      <c r="O10" t="s">
        <v>27</v>
      </c>
      <c r="P10" t="s">
        <v>443</v>
      </c>
      <c r="Q10">
        <v>2026</v>
      </c>
      <c r="R10">
        <v>2036</v>
      </c>
      <c r="S10" t="s">
        <v>444</v>
      </c>
      <c r="T10">
        <v>2034</v>
      </c>
      <c r="U10">
        <v>41.75</v>
      </c>
      <c r="V10">
        <v>1</v>
      </c>
      <c r="W10">
        <v>2034</v>
      </c>
      <c r="X10">
        <v>8</v>
      </c>
      <c r="Y10">
        <v>2034</v>
      </c>
      <c r="Z10">
        <v>1</v>
      </c>
      <c r="AA10">
        <v>1</v>
      </c>
      <c r="AB10">
        <v>5</v>
      </c>
      <c r="AC10">
        <v>1</v>
      </c>
      <c r="AD10">
        <v>5</v>
      </c>
      <c r="AE10">
        <v>0</v>
      </c>
      <c r="AF10">
        <v>0</v>
      </c>
      <c r="AG10">
        <v>1</v>
      </c>
      <c r="AH10">
        <v>5</v>
      </c>
      <c r="AI10">
        <v>1</v>
      </c>
      <c r="AJ10">
        <v>2.7519999999999998</v>
      </c>
      <c r="AK10">
        <v>2035</v>
      </c>
      <c r="AL10" s="61">
        <v>2.8420000000000001</v>
      </c>
      <c r="AM10" s="61">
        <v>2.7519999999999998</v>
      </c>
      <c r="AN10" s="61">
        <v>2.8420000000000001</v>
      </c>
      <c r="AO10">
        <v>1.2092942481281721</v>
      </c>
      <c r="AP10">
        <v>1.0283854649181425</v>
      </c>
      <c r="AQ10">
        <v>1.2436206275841259</v>
      </c>
      <c r="AR10" t="b">
        <v>0</v>
      </c>
      <c r="AS10">
        <v>0.80410374178386967</v>
      </c>
      <c r="AT10">
        <v>4.0205187089193481</v>
      </c>
      <c r="AU10">
        <v>2.4123112253516088</v>
      </c>
    </row>
    <row r="11" spans="1:47" x14ac:dyDescent="0.25">
      <c r="A11" t="s">
        <v>321</v>
      </c>
      <c r="B11" t="s">
        <v>442</v>
      </c>
      <c r="C11" t="s">
        <v>319</v>
      </c>
      <c r="D11">
        <v>2026</v>
      </c>
      <c r="E11">
        <v>0</v>
      </c>
      <c r="F11">
        <v>10</v>
      </c>
      <c r="G11">
        <v>10</v>
      </c>
      <c r="H11">
        <v>25</v>
      </c>
      <c r="I11">
        <v>1</v>
      </c>
      <c r="J11">
        <v>5</v>
      </c>
      <c r="K11">
        <v>1</v>
      </c>
      <c r="L11">
        <v>1</v>
      </c>
      <c r="M11">
        <v>1</v>
      </c>
      <c r="N11">
        <v>0</v>
      </c>
      <c r="O11" t="s">
        <v>27</v>
      </c>
      <c r="P11" t="s">
        <v>443</v>
      </c>
      <c r="Q11">
        <v>2026</v>
      </c>
      <c r="R11">
        <v>2036</v>
      </c>
      <c r="S11" t="s">
        <v>444</v>
      </c>
      <c r="T11">
        <v>2035</v>
      </c>
      <c r="U11">
        <v>42.75</v>
      </c>
      <c r="V11">
        <v>1</v>
      </c>
      <c r="W11">
        <v>2035</v>
      </c>
      <c r="X11">
        <v>9</v>
      </c>
      <c r="Y11">
        <v>2035</v>
      </c>
      <c r="Z11">
        <v>1</v>
      </c>
      <c r="AA11">
        <v>1</v>
      </c>
      <c r="AB11">
        <v>5</v>
      </c>
      <c r="AC11">
        <v>1</v>
      </c>
      <c r="AD11">
        <v>5</v>
      </c>
      <c r="AE11">
        <v>0</v>
      </c>
      <c r="AF11">
        <v>0</v>
      </c>
      <c r="AG11">
        <v>1</v>
      </c>
      <c r="AH11">
        <v>5</v>
      </c>
      <c r="AI11">
        <v>1</v>
      </c>
      <c r="AJ11">
        <v>2.8420000000000001</v>
      </c>
      <c r="AK11">
        <v>2036</v>
      </c>
      <c r="AL11" s="61">
        <v>2.944</v>
      </c>
      <c r="AM11" s="61">
        <v>2.8420000000000001</v>
      </c>
      <c r="AN11" s="61">
        <v>2.944</v>
      </c>
      <c r="AO11">
        <v>1.2513076834571593</v>
      </c>
      <c r="AP11">
        <v>1.0294008580614105</v>
      </c>
      <c r="AQ11">
        <v>1.2880972030496356</v>
      </c>
      <c r="AR11" t="b">
        <v>0</v>
      </c>
      <c r="AS11">
        <v>0.77633892662172477</v>
      </c>
      <c r="AT11">
        <v>3.8816946331086242</v>
      </c>
      <c r="AU11">
        <v>2.3290167798651744</v>
      </c>
    </row>
    <row r="12" spans="1:47" x14ac:dyDescent="0.25">
      <c r="A12" t="s">
        <v>321</v>
      </c>
      <c r="B12" t="s">
        <v>442</v>
      </c>
      <c r="C12" t="s">
        <v>319</v>
      </c>
      <c r="D12">
        <v>2026</v>
      </c>
      <c r="E12">
        <v>0</v>
      </c>
      <c r="M12">
        <v>1</v>
      </c>
      <c r="Q12">
        <v>2026</v>
      </c>
      <c r="R12">
        <v>2036</v>
      </c>
      <c r="T12">
        <v>2036</v>
      </c>
      <c r="U12">
        <v>43.75</v>
      </c>
      <c r="W12">
        <v>2036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L12" s="61"/>
      <c r="AS12">
        <v>0</v>
      </c>
      <c r="AT12">
        <v>0</v>
      </c>
      <c r="AU12">
        <v>0</v>
      </c>
    </row>
    <row r="13" spans="1:47" x14ac:dyDescent="0.25">
      <c r="A13" t="s">
        <v>348</v>
      </c>
      <c r="B13" t="s">
        <v>445</v>
      </c>
      <c r="C13" t="s">
        <v>320</v>
      </c>
      <c r="D13">
        <v>2026</v>
      </c>
      <c r="E13">
        <v>0</v>
      </c>
      <c r="F13">
        <v>15</v>
      </c>
      <c r="G13">
        <v>0</v>
      </c>
      <c r="H13">
        <v>0</v>
      </c>
      <c r="I13">
        <v>30</v>
      </c>
      <c r="J13">
        <v>45</v>
      </c>
      <c r="K13">
        <v>4</v>
      </c>
      <c r="L13">
        <v>2</v>
      </c>
      <c r="M13">
        <v>2</v>
      </c>
      <c r="N13">
        <v>0</v>
      </c>
      <c r="O13" t="s">
        <v>27</v>
      </c>
      <c r="P13" t="s">
        <v>443</v>
      </c>
      <c r="Q13">
        <v>2026</v>
      </c>
      <c r="R13">
        <v>2041</v>
      </c>
      <c r="S13" t="s">
        <v>444</v>
      </c>
      <c r="T13">
        <v>2026</v>
      </c>
      <c r="U13">
        <v>33.75</v>
      </c>
      <c r="V13">
        <v>1</v>
      </c>
      <c r="W13">
        <v>2026</v>
      </c>
      <c r="X13">
        <v>0</v>
      </c>
      <c r="Y13">
        <v>2026</v>
      </c>
      <c r="Z13">
        <v>1</v>
      </c>
      <c r="AA13">
        <v>120</v>
      </c>
      <c r="AB13">
        <v>180</v>
      </c>
      <c r="AC13">
        <v>120</v>
      </c>
      <c r="AD13">
        <v>180</v>
      </c>
      <c r="AE13">
        <v>0</v>
      </c>
      <c r="AF13">
        <v>0</v>
      </c>
      <c r="AG13">
        <v>120</v>
      </c>
      <c r="AH13">
        <v>180</v>
      </c>
      <c r="AI13">
        <v>1</v>
      </c>
      <c r="AK13">
        <v>2027</v>
      </c>
      <c r="AL13" s="61">
        <v>2.4329999999999998</v>
      </c>
      <c r="AM13" s="61">
        <v>0</v>
      </c>
      <c r="AN13" s="61">
        <v>2.4329999999999998</v>
      </c>
      <c r="AO13">
        <v>1</v>
      </c>
      <c r="AP13">
        <v>1.023385968321771</v>
      </c>
      <c r="AQ13">
        <v>1.023385968321771</v>
      </c>
      <c r="AR13" t="b">
        <v>1</v>
      </c>
      <c r="AS13">
        <v>120</v>
      </c>
      <c r="AT13">
        <v>180</v>
      </c>
      <c r="AU13">
        <v>150</v>
      </c>
    </row>
    <row r="14" spans="1:47" x14ac:dyDescent="0.25">
      <c r="A14" t="s">
        <v>348</v>
      </c>
      <c r="B14" t="s">
        <v>445</v>
      </c>
      <c r="C14" t="s">
        <v>320</v>
      </c>
      <c r="D14">
        <v>2026</v>
      </c>
      <c r="E14">
        <v>0</v>
      </c>
      <c r="F14">
        <v>15</v>
      </c>
      <c r="G14">
        <v>0</v>
      </c>
      <c r="H14">
        <v>0</v>
      </c>
      <c r="I14">
        <v>30</v>
      </c>
      <c r="J14">
        <v>45</v>
      </c>
      <c r="K14">
        <v>4</v>
      </c>
      <c r="L14">
        <v>2</v>
      </c>
      <c r="M14">
        <v>2</v>
      </c>
      <c r="N14">
        <v>0</v>
      </c>
      <c r="O14" t="s">
        <v>27</v>
      </c>
      <c r="P14" t="s">
        <v>443</v>
      </c>
      <c r="Q14">
        <v>2026</v>
      </c>
      <c r="R14">
        <v>2041</v>
      </c>
      <c r="S14" t="s">
        <v>444</v>
      </c>
      <c r="T14">
        <v>2027</v>
      </c>
      <c r="U14">
        <v>34.75</v>
      </c>
      <c r="V14">
        <v>1</v>
      </c>
      <c r="W14">
        <v>2027</v>
      </c>
      <c r="X14">
        <v>1</v>
      </c>
      <c r="Y14">
        <v>2027</v>
      </c>
      <c r="Z14">
        <v>1</v>
      </c>
      <c r="AA14">
        <v>120</v>
      </c>
      <c r="AB14">
        <v>180</v>
      </c>
      <c r="AC14">
        <v>120</v>
      </c>
      <c r="AD14">
        <v>180</v>
      </c>
      <c r="AE14">
        <v>0</v>
      </c>
      <c r="AF14">
        <v>0</v>
      </c>
      <c r="AG14">
        <v>120</v>
      </c>
      <c r="AH14">
        <v>180</v>
      </c>
      <c r="AI14">
        <v>1</v>
      </c>
      <c r="AJ14">
        <v>2.4329999999999998</v>
      </c>
      <c r="AK14">
        <v>2028</v>
      </c>
      <c r="AL14" s="61">
        <v>2.4220000000000002</v>
      </c>
      <c r="AM14" s="61">
        <v>2.4329999999999998</v>
      </c>
      <c r="AN14" s="61">
        <v>2.4220000000000002</v>
      </c>
      <c r="AO14">
        <v>1</v>
      </c>
      <c r="AP14">
        <v>1.0242242189602202</v>
      </c>
      <c r="AQ14">
        <v>1.0242242189602202</v>
      </c>
      <c r="AR14" t="b">
        <v>0</v>
      </c>
      <c r="AS14">
        <v>117.16184579370963</v>
      </c>
      <c r="AT14">
        <v>175.74276869056445</v>
      </c>
      <c r="AU14">
        <v>146.45230724213704</v>
      </c>
    </row>
    <row r="15" spans="1:47" x14ac:dyDescent="0.25">
      <c r="A15" t="s">
        <v>348</v>
      </c>
      <c r="B15" t="s">
        <v>445</v>
      </c>
      <c r="C15" t="s">
        <v>320</v>
      </c>
      <c r="D15">
        <v>2026</v>
      </c>
      <c r="E15">
        <v>0</v>
      </c>
      <c r="F15">
        <v>15</v>
      </c>
      <c r="G15">
        <v>0</v>
      </c>
      <c r="H15">
        <v>0</v>
      </c>
      <c r="I15">
        <v>30</v>
      </c>
      <c r="J15">
        <v>45</v>
      </c>
      <c r="K15">
        <v>4</v>
      </c>
      <c r="L15">
        <v>2</v>
      </c>
      <c r="M15">
        <v>2</v>
      </c>
      <c r="N15">
        <v>0</v>
      </c>
      <c r="O15" t="s">
        <v>27</v>
      </c>
      <c r="P15" t="s">
        <v>443</v>
      </c>
      <c r="Q15">
        <v>2026</v>
      </c>
      <c r="R15">
        <v>2041</v>
      </c>
      <c r="S15" t="s">
        <v>444</v>
      </c>
      <c r="T15">
        <v>2028</v>
      </c>
      <c r="U15">
        <v>35.75</v>
      </c>
      <c r="V15">
        <v>1</v>
      </c>
      <c r="W15">
        <v>2028</v>
      </c>
      <c r="X15">
        <v>2</v>
      </c>
      <c r="Y15">
        <v>2028</v>
      </c>
      <c r="Z15">
        <v>1</v>
      </c>
      <c r="AA15">
        <v>120</v>
      </c>
      <c r="AB15">
        <v>180</v>
      </c>
      <c r="AC15">
        <v>120</v>
      </c>
      <c r="AD15">
        <v>180</v>
      </c>
      <c r="AE15">
        <v>0</v>
      </c>
      <c r="AF15">
        <v>0</v>
      </c>
      <c r="AG15">
        <v>120</v>
      </c>
      <c r="AH15">
        <v>180</v>
      </c>
      <c r="AI15">
        <v>1</v>
      </c>
      <c r="AJ15">
        <v>2.4220000000000002</v>
      </c>
      <c r="AK15">
        <v>2029</v>
      </c>
      <c r="AL15" s="61">
        <v>2.4209999999999998</v>
      </c>
      <c r="AM15" s="61">
        <v>2.4220000000000002</v>
      </c>
      <c r="AN15" s="61">
        <v>2.4209999999999998</v>
      </c>
      <c r="AO15">
        <v>1.0242199999999999</v>
      </c>
      <c r="AP15">
        <v>1.0242103835598433</v>
      </c>
      <c r="AQ15">
        <v>1.0490167590496626</v>
      </c>
      <c r="AR15" t="b">
        <v>0</v>
      </c>
      <c r="AS15">
        <v>114.39283401793483</v>
      </c>
      <c r="AT15">
        <v>171.58925102690225</v>
      </c>
      <c r="AU15">
        <v>142.99104252241852</v>
      </c>
    </row>
    <row r="16" spans="1:47" x14ac:dyDescent="0.25">
      <c r="A16" t="s">
        <v>348</v>
      </c>
      <c r="B16" t="s">
        <v>445</v>
      </c>
      <c r="C16" t="s">
        <v>320</v>
      </c>
      <c r="D16">
        <v>2026</v>
      </c>
      <c r="E16">
        <v>0</v>
      </c>
      <c r="F16">
        <v>15</v>
      </c>
      <c r="G16">
        <v>0</v>
      </c>
      <c r="H16">
        <v>0</v>
      </c>
      <c r="I16">
        <v>30</v>
      </c>
      <c r="J16">
        <v>45</v>
      </c>
      <c r="K16">
        <v>4</v>
      </c>
      <c r="L16">
        <v>2</v>
      </c>
      <c r="M16">
        <v>2</v>
      </c>
      <c r="N16">
        <v>0</v>
      </c>
      <c r="O16" t="s">
        <v>27</v>
      </c>
      <c r="P16" t="s">
        <v>443</v>
      </c>
      <c r="Q16">
        <v>2026</v>
      </c>
      <c r="R16">
        <v>2041</v>
      </c>
      <c r="S16" t="s">
        <v>444</v>
      </c>
      <c r="T16">
        <v>2029</v>
      </c>
      <c r="U16">
        <v>36.75</v>
      </c>
      <c r="V16">
        <v>1</v>
      </c>
      <c r="W16">
        <v>2029</v>
      </c>
      <c r="X16">
        <v>3</v>
      </c>
      <c r="Y16">
        <v>2029</v>
      </c>
      <c r="Z16">
        <v>1</v>
      </c>
      <c r="AA16">
        <v>120</v>
      </c>
      <c r="AB16">
        <v>180</v>
      </c>
      <c r="AC16">
        <v>120</v>
      </c>
      <c r="AD16">
        <v>180</v>
      </c>
      <c r="AE16">
        <v>0</v>
      </c>
      <c r="AF16">
        <v>0</v>
      </c>
      <c r="AG16">
        <v>120</v>
      </c>
      <c r="AH16">
        <v>180</v>
      </c>
      <c r="AI16">
        <v>1</v>
      </c>
      <c r="AJ16">
        <v>2.4209999999999998</v>
      </c>
      <c r="AK16">
        <v>2030</v>
      </c>
      <c r="AL16" s="61">
        <v>2.4670000000000001</v>
      </c>
      <c r="AM16" s="61">
        <v>2.4209999999999998</v>
      </c>
      <c r="AN16" s="61">
        <v>2.4670000000000001</v>
      </c>
      <c r="AO16">
        <v>1.0490061241000002</v>
      </c>
      <c r="AP16">
        <v>1.0246523523547908</v>
      </c>
      <c r="AQ16">
        <v>1.0748665926936467</v>
      </c>
      <c r="AR16" t="b">
        <v>0</v>
      </c>
      <c r="AS16">
        <v>111.64176169926031</v>
      </c>
      <c r="AT16">
        <v>167.46264254889047</v>
      </c>
      <c r="AU16">
        <v>139.55220212407539</v>
      </c>
    </row>
    <row r="17" spans="1:47" x14ac:dyDescent="0.25">
      <c r="A17" t="s">
        <v>348</v>
      </c>
      <c r="B17" t="s">
        <v>445</v>
      </c>
      <c r="C17" t="s">
        <v>320</v>
      </c>
      <c r="D17">
        <v>2026</v>
      </c>
      <c r="E17">
        <v>0</v>
      </c>
      <c r="F17">
        <v>15</v>
      </c>
      <c r="G17">
        <v>0</v>
      </c>
      <c r="H17">
        <v>0</v>
      </c>
      <c r="I17">
        <v>30</v>
      </c>
      <c r="J17">
        <v>45</v>
      </c>
      <c r="K17">
        <v>4</v>
      </c>
      <c r="L17">
        <v>2</v>
      </c>
      <c r="M17">
        <v>2</v>
      </c>
      <c r="N17">
        <v>0</v>
      </c>
      <c r="O17" t="s">
        <v>27</v>
      </c>
      <c r="P17" t="s">
        <v>443</v>
      </c>
      <c r="Q17">
        <v>2026</v>
      </c>
      <c r="R17">
        <v>2041</v>
      </c>
      <c r="S17" t="s">
        <v>444</v>
      </c>
      <c r="T17">
        <v>2030</v>
      </c>
      <c r="U17">
        <v>37.75</v>
      </c>
      <c r="V17">
        <v>1</v>
      </c>
      <c r="W17">
        <v>2030</v>
      </c>
      <c r="X17">
        <v>4</v>
      </c>
      <c r="Y17">
        <v>2030</v>
      </c>
      <c r="Z17">
        <v>1</v>
      </c>
      <c r="AA17">
        <v>120</v>
      </c>
      <c r="AB17">
        <v>180</v>
      </c>
      <c r="AC17">
        <v>120</v>
      </c>
      <c r="AD17">
        <v>180</v>
      </c>
      <c r="AE17">
        <v>0</v>
      </c>
      <c r="AF17">
        <v>0</v>
      </c>
      <c r="AG17">
        <v>120</v>
      </c>
      <c r="AH17">
        <v>180</v>
      </c>
      <c r="AI17">
        <v>1</v>
      </c>
      <c r="AJ17">
        <v>2.4670000000000001</v>
      </c>
      <c r="AK17">
        <v>2031</v>
      </c>
      <c r="AL17" s="61">
        <v>2.5169999999999999</v>
      </c>
      <c r="AM17" s="61">
        <v>2.4670000000000001</v>
      </c>
      <c r="AN17" s="61">
        <v>2.5169999999999999</v>
      </c>
      <c r="AO17">
        <v>1.0758508410815628</v>
      </c>
      <c r="AP17">
        <v>1.0251508174189523</v>
      </c>
      <c r="AQ17">
        <v>1.1029093691556315</v>
      </c>
      <c r="AR17" t="b">
        <v>0</v>
      </c>
      <c r="AS17">
        <v>108.80313773367429</v>
      </c>
      <c r="AT17">
        <v>163.20470660051143</v>
      </c>
      <c r="AU17">
        <v>136.00392216709287</v>
      </c>
    </row>
    <row r="18" spans="1:47" x14ac:dyDescent="0.25">
      <c r="A18" t="s">
        <v>348</v>
      </c>
      <c r="B18" t="s">
        <v>445</v>
      </c>
      <c r="C18" t="s">
        <v>320</v>
      </c>
      <c r="D18">
        <v>2026</v>
      </c>
      <c r="E18">
        <v>0</v>
      </c>
      <c r="F18">
        <v>15</v>
      </c>
      <c r="G18">
        <v>0</v>
      </c>
      <c r="H18">
        <v>0</v>
      </c>
      <c r="I18">
        <v>30</v>
      </c>
      <c r="J18">
        <v>45</v>
      </c>
      <c r="K18">
        <v>4</v>
      </c>
      <c r="L18">
        <v>2</v>
      </c>
      <c r="M18">
        <v>2</v>
      </c>
      <c r="N18">
        <v>0</v>
      </c>
      <c r="O18" t="s">
        <v>27</v>
      </c>
      <c r="P18" t="s">
        <v>443</v>
      </c>
      <c r="Q18">
        <v>2026</v>
      </c>
      <c r="R18">
        <v>2041</v>
      </c>
      <c r="S18" t="s">
        <v>444</v>
      </c>
      <c r="T18">
        <v>2031</v>
      </c>
      <c r="U18">
        <v>38.75</v>
      </c>
      <c r="V18">
        <v>1</v>
      </c>
      <c r="W18">
        <v>2031</v>
      </c>
      <c r="X18">
        <v>5</v>
      </c>
      <c r="Y18">
        <v>2031</v>
      </c>
      <c r="Z18">
        <v>1</v>
      </c>
      <c r="AA18">
        <v>120</v>
      </c>
      <c r="AB18">
        <v>180</v>
      </c>
      <c r="AC18">
        <v>120</v>
      </c>
      <c r="AD18">
        <v>180</v>
      </c>
      <c r="AE18">
        <v>0</v>
      </c>
      <c r="AF18">
        <v>0</v>
      </c>
      <c r="AG18">
        <v>120</v>
      </c>
      <c r="AH18">
        <v>180</v>
      </c>
      <c r="AI18">
        <v>1</v>
      </c>
      <c r="AJ18">
        <v>2.5169999999999999</v>
      </c>
      <c r="AK18">
        <v>2032</v>
      </c>
      <c r="AL18" s="61">
        <v>2.59</v>
      </c>
      <c r="AM18" s="61">
        <v>2.5169999999999999</v>
      </c>
      <c r="AN18" s="61">
        <v>2.59</v>
      </c>
      <c r="AO18">
        <v>1.1045453584485188</v>
      </c>
      <c r="AP18">
        <v>1.0258719904156592</v>
      </c>
      <c r="AQ18">
        <v>1.1331221453759597</v>
      </c>
      <c r="AR18" t="b">
        <v>0</v>
      </c>
      <c r="AS18">
        <v>105.90208698126281</v>
      </c>
      <c r="AT18">
        <v>158.85313047189422</v>
      </c>
      <c r="AU18">
        <v>132.3776087265785</v>
      </c>
    </row>
    <row r="19" spans="1:47" x14ac:dyDescent="0.25">
      <c r="A19" t="s">
        <v>348</v>
      </c>
      <c r="B19" t="s">
        <v>445</v>
      </c>
      <c r="C19" t="s">
        <v>320</v>
      </c>
      <c r="D19">
        <v>2026</v>
      </c>
      <c r="E19">
        <v>0</v>
      </c>
      <c r="F19">
        <v>15</v>
      </c>
      <c r="G19">
        <v>0</v>
      </c>
      <c r="H19">
        <v>0</v>
      </c>
      <c r="I19">
        <v>30</v>
      </c>
      <c r="J19">
        <v>45</v>
      </c>
      <c r="K19">
        <v>4</v>
      </c>
      <c r="L19">
        <v>2</v>
      </c>
      <c r="M19">
        <v>2</v>
      </c>
      <c r="N19">
        <v>0</v>
      </c>
      <c r="O19" t="s">
        <v>27</v>
      </c>
      <c r="P19" t="s">
        <v>443</v>
      </c>
      <c r="Q19">
        <v>2026</v>
      </c>
      <c r="R19">
        <v>2041</v>
      </c>
      <c r="S19" t="s">
        <v>444</v>
      </c>
      <c r="T19">
        <v>2032</v>
      </c>
      <c r="U19">
        <v>39.75</v>
      </c>
      <c r="V19">
        <v>1</v>
      </c>
      <c r="W19">
        <v>2032</v>
      </c>
      <c r="X19">
        <v>6</v>
      </c>
      <c r="Y19">
        <v>2032</v>
      </c>
      <c r="Z19">
        <v>1</v>
      </c>
      <c r="AA19">
        <v>120</v>
      </c>
      <c r="AB19">
        <v>180</v>
      </c>
      <c r="AC19">
        <v>120</v>
      </c>
      <c r="AD19">
        <v>180</v>
      </c>
      <c r="AE19">
        <v>0</v>
      </c>
      <c r="AF19">
        <v>0</v>
      </c>
      <c r="AG19">
        <v>120</v>
      </c>
      <c r="AH19">
        <v>180</v>
      </c>
      <c r="AI19">
        <v>1</v>
      </c>
      <c r="AJ19">
        <v>2.59</v>
      </c>
      <c r="AK19">
        <v>2033</v>
      </c>
      <c r="AL19" s="61">
        <v>2.6880000000000002</v>
      </c>
      <c r="AM19" s="61">
        <v>2.59</v>
      </c>
      <c r="AN19" s="61">
        <v>2.6880000000000002</v>
      </c>
      <c r="AO19">
        <v>1.1363841013749196</v>
      </c>
      <c r="AP19">
        <v>1.0268423936996114</v>
      </c>
      <c r="AQ19">
        <v>1.1668873708180043</v>
      </c>
      <c r="AR19" t="b">
        <v>0</v>
      </c>
      <c r="AS19">
        <v>102.83768853876474</v>
      </c>
      <c r="AT19">
        <v>154.25653280814711</v>
      </c>
      <c r="AU19">
        <v>128.54711067345593</v>
      </c>
    </row>
    <row r="20" spans="1:47" x14ac:dyDescent="0.25">
      <c r="A20" t="s">
        <v>348</v>
      </c>
      <c r="B20" t="s">
        <v>445</v>
      </c>
      <c r="C20" t="s">
        <v>320</v>
      </c>
      <c r="D20">
        <v>2026</v>
      </c>
      <c r="E20">
        <v>0</v>
      </c>
      <c r="F20">
        <v>15</v>
      </c>
      <c r="G20">
        <v>0</v>
      </c>
      <c r="H20">
        <v>0</v>
      </c>
      <c r="I20">
        <v>30</v>
      </c>
      <c r="J20">
        <v>45</v>
      </c>
      <c r="K20">
        <v>4</v>
      </c>
      <c r="L20">
        <v>2</v>
      </c>
      <c r="M20">
        <v>2</v>
      </c>
      <c r="N20">
        <v>0</v>
      </c>
      <c r="O20" t="s">
        <v>27</v>
      </c>
      <c r="P20" t="s">
        <v>443</v>
      </c>
      <c r="Q20">
        <v>2026</v>
      </c>
      <c r="R20">
        <v>2041</v>
      </c>
      <c r="S20" t="s">
        <v>444</v>
      </c>
      <c r="T20">
        <v>2033</v>
      </c>
      <c r="U20">
        <v>40.75</v>
      </c>
      <c r="V20">
        <v>1</v>
      </c>
      <c r="W20">
        <v>2033</v>
      </c>
      <c r="X20">
        <v>7</v>
      </c>
      <c r="Y20">
        <v>2033</v>
      </c>
      <c r="Z20">
        <v>1</v>
      </c>
      <c r="AA20">
        <v>120</v>
      </c>
      <c r="AB20">
        <v>180</v>
      </c>
      <c r="AC20">
        <v>120</v>
      </c>
      <c r="AD20">
        <v>180</v>
      </c>
      <c r="AE20">
        <v>0</v>
      </c>
      <c r="AF20">
        <v>0</v>
      </c>
      <c r="AG20">
        <v>120</v>
      </c>
      <c r="AH20">
        <v>180</v>
      </c>
      <c r="AI20">
        <v>1</v>
      </c>
      <c r="AJ20">
        <v>2.6880000000000002</v>
      </c>
      <c r="AK20">
        <v>2034</v>
      </c>
      <c r="AL20" s="61">
        <v>2.7519999999999998</v>
      </c>
      <c r="AM20" s="61">
        <v>2.6880000000000002</v>
      </c>
      <c r="AN20" s="61">
        <v>2.7519999999999998</v>
      </c>
      <c r="AO20">
        <v>1.1725143659072164</v>
      </c>
      <c r="AP20">
        <v>1.0274954447000768</v>
      </c>
      <c r="AQ20">
        <v>1.2047531698150638</v>
      </c>
      <c r="AR20" t="b">
        <v>0</v>
      </c>
      <c r="AS20">
        <v>99.605465257601821</v>
      </c>
      <c r="AT20">
        <v>149.40819788640275</v>
      </c>
      <c r="AU20">
        <v>124.50683157200228</v>
      </c>
    </row>
    <row r="21" spans="1:47" x14ac:dyDescent="0.25">
      <c r="A21" t="s">
        <v>348</v>
      </c>
      <c r="B21" t="s">
        <v>445</v>
      </c>
      <c r="C21" t="s">
        <v>320</v>
      </c>
      <c r="D21">
        <v>2026</v>
      </c>
      <c r="E21">
        <v>0</v>
      </c>
      <c r="F21">
        <v>15</v>
      </c>
      <c r="G21">
        <v>0</v>
      </c>
      <c r="H21">
        <v>0</v>
      </c>
      <c r="I21">
        <v>30</v>
      </c>
      <c r="J21">
        <v>45</v>
      </c>
      <c r="K21">
        <v>4</v>
      </c>
      <c r="L21">
        <v>2</v>
      </c>
      <c r="M21">
        <v>2</v>
      </c>
      <c r="N21">
        <v>0</v>
      </c>
      <c r="O21" t="s">
        <v>27</v>
      </c>
      <c r="P21" t="s">
        <v>443</v>
      </c>
      <c r="Q21">
        <v>2026</v>
      </c>
      <c r="R21">
        <v>2041</v>
      </c>
      <c r="S21" t="s">
        <v>444</v>
      </c>
      <c r="T21">
        <v>2034</v>
      </c>
      <c r="U21">
        <v>41.75</v>
      </c>
      <c r="V21">
        <v>1</v>
      </c>
      <c r="W21">
        <v>2034</v>
      </c>
      <c r="X21">
        <v>8</v>
      </c>
      <c r="Y21">
        <v>2034</v>
      </c>
      <c r="Z21">
        <v>1</v>
      </c>
      <c r="AA21">
        <v>120</v>
      </c>
      <c r="AB21">
        <v>180</v>
      </c>
      <c r="AC21">
        <v>120</v>
      </c>
      <c r="AD21">
        <v>180</v>
      </c>
      <c r="AE21">
        <v>0</v>
      </c>
      <c r="AF21">
        <v>0</v>
      </c>
      <c r="AG21">
        <v>120</v>
      </c>
      <c r="AH21">
        <v>180</v>
      </c>
      <c r="AI21">
        <v>1</v>
      </c>
      <c r="AJ21">
        <v>2.7519999999999998</v>
      </c>
      <c r="AK21">
        <v>2035</v>
      </c>
      <c r="AL21" s="61">
        <v>2.8420000000000001</v>
      </c>
      <c r="AM21" s="61">
        <v>2.7519999999999998</v>
      </c>
      <c r="AN21" s="61">
        <v>2.8420000000000001</v>
      </c>
      <c r="AO21">
        <v>1.2092942481281721</v>
      </c>
      <c r="AP21">
        <v>1.0283854649181425</v>
      </c>
      <c r="AQ21">
        <v>1.2436206275841259</v>
      </c>
      <c r="AR21" t="b">
        <v>0</v>
      </c>
      <c r="AS21">
        <v>96.492449014064363</v>
      </c>
      <c r="AT21">
        <v>144.73867352109656</v>
      </c>
      <c r="AU21">
        <v>120.61556126758046</v>
      </c>
    </row>
    <row r="22" spans="1:47" x14ac:dyDescent="0.25">
      <c r="A22" t="s">
        <v>348</v>
      </c>
      <c r="B22" t="s">
        <v>445</v>
      </c>
      <c r="C22" t="s">
        <v>320</v>
      </c>
      <c r="D22">
        <v>2026</v>
      </c>
      <c r="E22">
        <v>0</v>
      </c>
      <c r="F22">
        <v>15</v>
      </c>
      <c r="G22">
        <v>0</v>
      </c>
      <c r="H22">
        <v>0</v>
      </c>
      <c r="I22">
        <v>30</v>
      </c>
      <c r="J22">
        <v>45</v>
      </c>
      <c r="K22">
        <v>4</v>
      </c>
      <c r="L22">
        <v>2</v>
      </c>
      <c r="M22">
        <v>2</v>
      </c>
      <c r="N22">
        <v>0</v>
      </c>
      <c r="O22" t="s">
        <v>27</v>
      </c>
      <c r="P22" t="s">
        <v>443</v>
      </c>
      <c r="Q22">
        <v>2026</v>
      </c>
      <c r="R22">
        <v>2041</v>
      </c>
      <c r="S22" t="s">
        <v>444</v>
      </c>
      <c r="T22">
        <v>2035</v>
      </c>
      <c r="U22">
        <v>42.75</v>
      </c>
      <c r="V22">
        <v>1</v>
      </c>
      <c r="W22">
        <v>2035</v>
      </c>
      <c r="X22">
        <v>9</v>
      </c>
      <c r="Y22">
        <v>2035</v>
      </c>
      <c r="Z22">
        <v>1</v>
      </c>
      <c r="AA22">
        <v>120</v>
      </c>
      <c r="AB22">
        <v>180</v>
      </c>
      <c r="AC22">
        <v>120</v>
      </c>
      <c r="AD22">
        <v>180</v>
      </c>
      <c r="AE22">
        <v>0</v>
      </c>
      <c r="AF22">
        <v>0</v>
      </c>
      <c r="AG22">
        <v>120</v>
      </c>
      <c r="AH22">
        <v>180</v>
      </c>
      <c r="AI22">
        <v>1</v>
      </c>
      <c r="AJ22">
        <v>2.8420000000000001</v>
      </c>
      <c r="AK22">
        <v>2036</v>
      </c>
      <c r="AL22" s="61">
        <v>2.944</v>
      </c>
      <c r="AM22" s="61">
        <v>2.8420000000000001</v>
      </c>
      <c r="AN22" s="61">
        <v>2.944</v>
      </c>
      <c r="AO22">
        <v>1.2513076834571593</v>
      </c>
      <c r="AP22">
        <v>1.0294008580614105</v>
      </c>
      <c r="AQ22">
        <v>1.2880972030496356</v>
      </c>
      <c r="AR22" t="b">
        <v>0</v>
      </c>
      <c r="AS22">
        <v>93.160671194606977</v>
      </c>
      <c r="AT22">
        <v>139.74100679191045</v>
      </c>
      <c r="AU22">
        <v>116.45083899325871</v>
      </c>
    </row>
    <row r="23" spans="1:47" x14ac:dyDescent="0.25">
      <c r="A23" t="s">
        <v>348</v>
      </c>
      <c r="B23" t="s">
        <v>445</v>
      </c>
      <c r="C23" t="s">
        <v>320</v>
      </c>
      <c r="D23">
        <v>2026</v>
      </c>
      <c r="E23">
        <v>0</v>
      </c>
      <c r="F23">
        <v>15</v>
      </c>
      <c r="G23">
        <v>0</v>
      </c>
      <c r="H23">
        <v>0</v>
      </c>
      <c r="I23">
        <v>30</v>
      </c>
      <c r="J23">
        <v>45</v>
      </c>
      <c r="K23">
        <v>4</v>
      </c>
      <c r="L23">
        <v>2</v>
      </c>
      <c r="M23">
        <v>2</v>
      </c>
      <c r="N23">
        <v>0</v>
      </c>
      <c r="O23" t="s">
        <v>27</v>
      </c>
      <c r="P23" t="s">
        <v>443</v>
      </c>
      <c r="Q23">
        <v>2026</v>
      </c>
      <c r="R23">
        <v>2041</v>
      </c>
      <c r="S23" t="s">
        <v>444</v>
      </c>
      <c r="T23">
        <v>2036</v>
      </c>
      <c r="U23">
        <v>43.75</v>
      </c>
      <c r="V23">
        <v>1</v>
      </c>
      <c r="W23">
        <v>2036</v>
      </c>
      <c r="X23">
        <v>10</v>
      </c>
      <c r="Y23">
        <v>2036</v>
      </c>
      <c r="Z23">
        <v>1</v>
      </c>
      <c r="AA23">
        <v>120</v>
      </c>
      <c r="AB23">
        <v>180</v>
      </c>
      <c r="AC23">
        <v>120</v>
      </c>
      <c r="AD23">
        <v>180</v>
      </c>
      <c r="AE23">
        <v>0</v>
      </c>
      <c r="AF23">
        <v>0</v>
      </c>
      <c r="AG23">
        <v>120</v>
      </c>
      <c r="AH23">
        <v>180</v>
      </c>
      <c r="AI23">
        <v>1</v>
      </c>
      <c r="AJ23">
        <v>2.944</v>
      </c>
      <c r="AK23">
        <v>2037</v>
      </c>
      <c r="AL23" s="61">
        <v>3.036</v>
      </c>
      <c r="AM23" s="61">
        <v>2.944</v>
      </c>
      <c r="AN23" s="61">
        <v>3.036</v>
      </c>
      <c r="AO23">
        <v>1.2984025298030446</v>
      </c>
      <c r="AP23">
        <v>1.0303246971701443</v>
      </c>
      <c r="AQ23">
        <v>1.3377761933242711</v>
      </c>
      <c r="AR23" t="b">
        <v>0</v>
      </c>
      <c r="AS23">
        <v>89.701102919023555</v>
      </c>
      <c r="AT23">
        <v>134.55165437853535</v>
      </c>
      <c r="AU23">
        <v>112.12637864877945</v>
      </c>
    </row>
    <row r="24" spans="1:47" x14ac:dyDescent="0.25">
      <c r="A24" t="s">
        <v>348</v>
      </c>
      <c r="B24" t="s">
        <v>445</v>
      </c>
      <c r="C24" t="s">
        <v>320</v>
      </c>
      <c r="D24">
        <v>2026</v>
      </c>
      <c r="E24">
        <v>0</v>
      </c>
      <c r="F24">
        <v>15</v>
      </c>
      <c r="G24">
        <v>0</v>
      </c>
      <c r="H24">
        <v>0</v>
      </c>
      <c r="I24">
        <v>30</v>
      </c>
      <c r="J24">
        <v>45</v>
      </c>
      <c r="K24">
        <v>4</v>
      </c>
      <c r="L24">
        <v>2</v>
      </c>
      <c r="M24">
        <v>2</v>
      </c>
      <c r="N24">
        <v>0</v>
      </c>
      <c r="O24" t="s">
        <v>27</v>
      </c>
      <c r="P24" t="s">
        <v>443</v>
      </c>
      <c r="Q24">
        <v>2026</v>
      </c>
      <c r="R24">
        <v>2041</v>
      </c>
      <c r="S24" t="s">
        <v>444</v>
      </c>
      <c r="T24">
        <v>2037</v>
      </c>
      <c r="U24">
        <v>44.75</v>
      </c>
      <c r="V24">
        <v>1</v>
      </c>
      <c r="W24">
        <v>2037</v>
      </c>
      <c r="X24">
        <v>11</v>
      </c>
      <c r="Y24">
        <v>2037</v>
      </c>
      <c r="Z24">
        <v>1</v>
      </c>
      <c r="AA24">
        <v>120</v>
      </c>
      <c r="AB24">
        <v>180</v>
      </c>
      <c r="AC24">
        <v>120</v>
      </c>
      <c r="AD24">
        <v>180</v>
      </c>
      <c r="AE24">
        <v>0</v>
      </c>
      <c r="AF24">
        <v>0</v>
      </c>
      <c r="AG24">
        <v>120</v>
      </c>
      <c r="AH24">
        <v>180</v>
      </c>
      <c r="AI24">
        <v>1</v>
      </c>
      <c r="AJ24">
        <v>3.036</v>
      </c>
      <c r="AK24">
        <v>2038</v>
      </c>
      <c r="AL24" s="61">
        <v>3.1339999999999999</v>
      </c>
      <c r="AM24" s="61">
        <v>3.036</v>
      </c>
      <c r="AN24" s="61">
        <v>3.1339999999999999</v>
      </c>
      <c r="AO24">
        <v>1.3486209574989538</v>
      </c>
      <c r="AP24">
        <v>1.0313023937742947</v>
      </c>
      <c r="AQ24">
        <v>1.3908360217628524</v>
      </c>
      <c r="AR24" t="b">
        <v>0</v>
      </c>
      <c r="AS24">
        <v>86.279042333044259</v>
      </c>
      <c r="AT24">
        <v>129.41856349956637</v>
      </c>
      <c r="AU24">
        <v>107.84880291630532</v>
      </c>
    </row>
    <row r="25" spans="1:47" x14ac:dyDescent="0.25">
      <c r="A25" t="s">
        <v>348</v>
      </c>
      <c r="B25" t="s">
        <v>445</v>
      </c>
      <c r="C25" t="s">
        <v>320</v>
      </c>
      <c r="D25">
        <v>2026</v>
      </c>
      <c r="E25">
        <v>0</v>
      </c>
      <c r="F25">
        <v>15</v>
      </c>
      <c r="G25">
        <v>0</v>
      </c>
      <c r="H25">
        <v>0</v>
      </c>
      <c r="I25">
        <v>30</v>
      </c>
      <c r="J25">
        <v>45</v>
      </c>
      <c r="K25">
        <v>4</v>
      </c>
      <c r="L25">
        <v>2</v>
      </c>
      <c r="M25">
        <v>2</v>
      </c>
      <c r="N25">
        <v>0</v>
      </c>
      <c r="O25" t="s">
        <v>27</v>
      </c>
      <c r="P25" t="s">
        <v>443</v>
      </c>
      <c r="Q25">
        <v>2026</v>
      </c>
      <c r="R25">
        <v>2041</v>
      </c>
      <c r="S25" t="s">
        <v>444</v>
      </c>
      <c r="T25">
        <v>2038</v>
      </c>
      <c r="U25">
        <v>45.75</v>
      </c>
      <c r="V25">
        <v>1</v>
      </c>
      <c r="W25">
        <v>2038</v>
      </c>
      <c r="X25">
        <v>12</v>
      </c>
      <c r="Y25">
        <v>2038</v>
      </c>
      <c r="Z25">
        <v>1</v>
      </c>
      <c r="AA25">
        <v>120</v>
      </c>
      <c r="AB25">
        <v>180</v>
      </c>
      <c r="AC25">
        <v>120</v>
      </c>
      <c r="AD25">
        <v>180</v>
      </c>
      <c r="AE25">
        <v>0</v>
      </c>
      <c r="AF25">
        <v>0</v>
      </c>
      <c r="AG25">
        <v>120</v>
      </c>
      <c r="AH25">
        <v>180</v>
      </c>
      <c r="AI25">
        <v>1</v>
      </c>
      <c r="AJ25">
        <v>3.1339999999999999</v>
      </c>
      <c r="AK25">
        <v>2039</v>
      </c>
      <c r="AL25" s="61">
        <v>3.2069999999999999</v>
      </c>
      <c r="AM25" s="61">
        <v>3.1339999999999999</v>
      </c>
      <c r="AN25" s="61">
        <v>3.2069999999999999</v>
      </c>
      <c r="AO25">
        <v>1.4041725591738043</v>
      </c>
      <c r="AP25">
        <v>1.0320419904729838</v>
      </c>
      <c r="AQ25">
        <v>1.4491650429372767</v>
      </c>
      <c r="AR25" t="b">
        <v>0</v>
      </c>
      <c r="AS25">
        <v>82.806303246713</v>
      </c>
      <c r="AT25">
        <v>124.20945487006951</v>
      </c>
      <c r="AU25">
        <v>103.50787905839125</v>
      </c>
    </row>
    <row r="26" spans="1:47" x14ac:dyDescent="0.25">
      <c r="A26" t="s">
        <v>348</v>
      </c>
      <c r="B26" t="s">
        <v>445</v>
      </c>
      <c r="C26" t="s">
        <v>320</v>
      </c>
      <c r="D26">
        <v>2026</v>
      </c>
      <c r="E26">
        <v>0</v>
      </c>
      <c r="F26">
        <v>15</v>
      </c>
      <c r="G26">
        <v>0</v>
      </c>
      <c r="H26">
        <v>0</v>
      </c>
      <c r="I26">
        <v>30</v>
      </c>
      <c r="J26">
        <v>45</v>
      </c>
      <c r="K26">
        <v>4</v>
      </c>
      <c r="L26">
        <v>2</v>
      </c>
      <c r="M26">
        <v>2</v>
      </c>
      <c r="N26">
        <v>0</v>
      </c>
      <c r="O26" t="s">
        <v>27</v>
      </c>
      <c r="P26" t="s">
        <v>443</v>
      </c>
      <c r="Q26">
        <v>2026</v>
      </c>
      <c r="R26">
        <v>2041</v>
      </c>
      <c r="S26" t="s">
        <v>444</v>
      </c>
      <c r="T26">
        <v>2039</v>
      </c>
      <c r="U26">
        <v>46.75</v>
      </c>
      <c r="V26">
        <v>1</v>
      </c>
      <c r="W26">
        <v>2039</v>
      </c>
      <c r="X26">
        <v>13</v>
      </c>
      <c r="Y26">
        <v>2039</v>
      </c>
      <c r="Z26">
        <v>1</v>
      </c>
      <c r="AA26">
        <v>120</v>
      </c>
      <c r="AB26">
        <v>180</v>
      </c>
      <c r="AC26">
        <v>120</v>
      </c>
      <c r="AD26">
        <v>180</v>
      </c>
      <c r="AE26">
        <v>0</v>
      </c>
      <c r="AF26">
        <v>0</v>
      </c>
      <c r="AG26">
        <v>120</v>
      </c>
      <c r="AH26">
        <v>180</v>
      </c>
      <c r="AI26">
        <v>1</v>
      </c>
      <c r="AJ26">
        <v>3.2069999999999999</v>
      </c>
      <c r="AK26">
        <v>2040</v>
      </c>
      <c r="AL26" s="61">
        <v>3.3029999999999999</v>
      </c>
      <c r="AM26" s="61">
        <v>3.2069999999999999</v>
      </c>
      <c r="AN26" s="61">
        <v>3.3029999999999999</v>
      </c>
      <c r="AO26">
        <v>1.4605278779269859</v>
      </c>
      <c r="AP26">
        <v>1.0329931616190409</v>
      </c>
      <c r="AQ26">
        <v>1.5087153102525457</v>
      </c>
      <c r="AR26" t="b">
        <v>0</v>
      </c>
      <c r="AS26">
        <v>79.537868532608087</v>
      </c>
      <c r="AT26">
        <v>119.30680279891213</v>
      </c>
      <c r="AU26">
        <v>99.422335665760102</v>
      </c>
    </row>
    <row r="27" spans="1:47" x14ac:dyDescent="0.25">
      <c r="A27" t="s">
        <v>348</v>
      </c>
      <c r="B27" t="s">
        <v>445</v>
      </c>
      <c r="C27" t="s">
        <v>320</v>
      </c>
      <c r="D27">
        <v>2026</v>
      </c>
      <c r="E27">
        <v>0</v>
      </c>
      <c r="F27">
        <v>15</v>
      </c>
      <c r="G27">
        <v>0</v>
      </c>
      <c r="H27">
        <v>0</v>
      </c>
      <c r="I27">
        <v>30</v>
      </c>
      <c r="J27">
        <v>45</v>
      </c>
      <c r="K27">
        <v>4</v>
      </c>
      <c r="L27">
        <v>2</v>
      </c>
      <c r="M27">
        <v>2</v>
      </c>
      <c r="N27">
        <v>0</v>
      </c>
      <c r="O27" t="s">
        <v>27</v>
      </c>
      <c r="P27" t="s">
        <v>443</v>
      </c>
      <c r="Q27">
        <v>2026</v>
      </c>
      <c r="R27">
        <v>2041</v>
      </c>
      <c r="S27" t="s">
        <v>444</v>
      </c>
      <c r="T27">
        <v>2040</v>
      </c>
      <c r="U27">
        <v>47.75</v>
      </c>
      <c r="V27">
        <v>1</v>
      </c>
      <c r="W27">
        <v>2040</v>
      </c>
      <c r="X27">
        <v>14</v>
      </c>
      <c r="Y27">
        <v>2040</v>
      </c>
      <c r="Z27">
        <v>1</v>
      </c>
      <c r="AA27">
        <v>120</v>
      </c>
      <c r="AB27">
        <v>180</v>
      </c>
      <c r="AC27">
        <v>120</v>
      </c>
      <c r="AD27">
        <v>180</v>
      </c>
      <c r="AE27">
        <v>0</v>
      </c>
      <c r="AF27">
        <v>0</v>
      </c>
      <c r="AG27">
        <v>120</v>
      </c>
      <c r="AH27">
        <v>180</v>
      </c>
      <c r="AI27">
        <v>1</v>
      </c>
      <c r="AJ27">
        <v>3.3029999999999999</v>
      </c>
      <c r="AK27">
        <v>2041</v>
      </c>
      <c r="AL27" s="61">
        <v>3.3559999999999999</v>
      </c>
      <c r="AM27" s="61">
        <v>3.3029999999999999</v>
      </c>
      <c r="AN27" s="61">
        <v>3.3559999999999999</v>
      </c>
      <c r="AO27">
        <v>1.5256964700083253</v>
      </c>
      <c r="AP27">
        <v>1.0335396662189136</v>
      </c>
      <c r="AQ27">
        <v>1.5768678203637791</v>
      </c>
      <c r="AR27" t="b">
        <v>0</v>
      </c>
      <c r="AS27">
        <v>76.100227584272929</v>
      </c>
      <c r="AT27">
        <v>114.1503413764094</v>
      </c>
      <c r="AU27">
        <v>95.125284480341165</v>
      </c>
    </row>
    <row r="28" spans="1:47" x14ac:dyDescent="0.25">
      <c r="A28" t="s">
        <v>348</v>
      </c>
      <c r="B28" t="s">
        <v>445</v>
      </c>
      <c r="C28" t="s">
        <v>320</v>
      </c>
      <c r="D28">
        <v>2026</v>
      </c>
      <c r="E28">
        <v>0</v>
      </c>
      <c r="M28">
        <v>2</v>
      </c>
      <c r="Q28">
        <v>2026</v>
      </c>
      <c r="R28">
        <v>2041</v>
      </c>
      <c r="T28">
        <v>2041</v>
      </c>
      <c r="U28">
        <v>48.75</v>
      </c>
      <c r="W28">
        <v>2041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L28" s="61"/>
      <c r="AS28">
        <v>0</v>
      </c>
      <c r="AT28">
        <v>0</v>
      </c>
      <c r="AU28">
        <v>0</v>
      </c>
    </row>
    <row r="29" spans="1:47" x14ac:dyDescent="0.25">
      <c r="A29" t="s">
        <v>322</v>
      </c>
      <c r="B29" t="s">
        <v>446</v>
      </c>
      <c r="C29" t="s">
        <v>319</v>
      </c>
      <c r="D29">
        <v>2026</v>
      </c>
      <c r="E29">
        <v>0</v>
      </c>
      <c r="F29">
        <v>10</v>
      </c>
      <c r="G29">
        <v>0</v>
      </c>
      <c r="H29">
        <v>0</v>
      </c>
      <c r="I29">
        <v>50</v>
      </c>
      <c r="J29">
        <v>250</v>
      </c>
      <c r="K29">
        <v>1</v>
      </c>
      <c r="L29">
        <v>1</v>
      </c>
      <c r="M29">
        <v>3</v>
      </c>
      <c r="N29">
        <v>0</v>
      </c>
      <c r="O29" t="s">
        <v>27</v>
      </c>
      <c r="P29" t="s">
        <v>443</v>
      </c>
      <c r="Q29">
        <v>2026</v>
      </c>
      <c r="R29">
        <v>2036</v>
      </c>
      <c r="S29" t="s">
        <v>444</v>
      </c>
      <c r="T29">
        <v>2026</v>
      </c>
      <c r="U29">
        <v>33.75</v>
      </c>
      <c r="V29">
        <v>1</v>
      </c>
      <c r="W29">
        <v>2026</v>
      </c>
      <c r="X29">
        <v>0</v>
      </c>
      <c r="Y29">
        <v>2026</v>
      </c>
      <c r="Z29">
        <v>1</v>
      </c>
      <c r="AA29">
        <v>50</v>
      </c>
      <c r="AB29">
        <v>250</v>
      </c>
      <c r="AC29">
        <v>50</v>
      </c>
      <c r="AD29">
        <v>250</v>
      </c>
      <c r="AE29">
        <v>0</v>
      </c>
      <c r="AF29">
        <v>0</v>
      </c>
      <c r="AG29">
        <v>50</v>
      </c>
      <c r="AH29">
        <v>250</v>
      </c>
      <c r="AI29">
        <v>1</v>
      </c>
      <c r="AK29">
        <v>2027</v>
      </c>
      <c r="AL29" s="61">
        <v>2.4329999999999998</v>
      </c>
      <c r="AM29" s="61">
        <v>0</v>
      </c>
      <c r="AN29" s="61">
        <v>2.4329999999999998</v>
      </c>
      <c r="AO29">
        <v>1</v>
      </c>
      <c r="AP29">
        <v>1.023385968321771</v>
      </c>
      <c r="AQ29">
        <v>1.023385968321771</v>
      </c>
      <c r="AR29" t="b">
        <v>1</v>
      </c>
      <c r="AS29">
        <v>50</v>
      </c>
      <c r="AT29">
        <v>250</v>
      </c>
      <c r="AU29">
        <v>150</v>
      </c>
    </row>
    <row r="30" spans="1:47" x14ac:dyDescent="0.25">
      <c r="A30" t="s">
        <v>322</v>
      </c>
      <c r="B30" t="s">
        <v>446</v>
      </c>
      <c r="C30" t="s">
        <v>319</v>
      </c>
      <c r="D30">
        <v>2026</v>
      </c>
      <c r="E30">
        <v>0</v>
      </c>
      <c r="F30">
        <v>10</v>
      </c>
      <c r="G30">
        <v>0</v>
      </c>
      <c r="H30">
        <v>0</v>
      </c>
      <c r="I30">
        <v>50</v>
      </c>
      <c r="J30">
        <v>250</v>
      </c>
      <c r="K30">
        <v>1</v>
      </c>
      <c r="L30">
        <v>1</v>
      </c>
      <c r="M30">
        <v>3</v>
      </c>
      <c r="N30">
        <v>0</v>
      </c>
      <c r="O30" t="s">
        <v>27</v>
      </c>
      <c r="P30" t="s">
        <v>443</v>
      </c>
      <c r="Q30">
        <v>2026</v>
      </c>
      <c r="R30">
        <v>2036</v>
      </c>
      <c r="S30" t="s">
        <v>444</v>
      </c>
      <c r="T30">
        <v>2027</v>
      </c>
      <c r="U30">
        <v>34.75</v>
      </c>
      <c r="V30">
        <v>1</v>
      </c>
      <c r="W30">
        <v>2027</v>
      </c>
      <c r="X30">
        <v>1</v>
      </c>
      <c r="Y30">
        <v>2027</v>
      </c>
      <c r="Z30">
        <v>1</v>
      </c>
      <c r="AA30">
        <v>50</v>
      </c>
      <c r="AB30">
        <v>250</v>
      </c>
      <c r="AC30">
        <v>50</v>
      </c>
      <c r="AD30">
        <v>250</v>
      </c>
      <c r="AE30">
        <v>0</v>
      </c>
      <c r="AF30">
        <v>0</v>
      </c>
      <c r="AG30">
        <v>50</v>
      </c>
      <c r="AH30">
        <v>250</v>
      </c>
      <c r="AI30">
        <v>1</v>
      </c>
      <c r="AJ30">
        <v>2.4329999999999998</v>
      </c>
      <c r="AK30">
        <v>2028</v>
      </c>
      <c r="AL30" s="61">
        <v>2.4220000000000002</v>
      </c>
      <c r="AM30" s="61">
        <v>2.4329999999999998</v>
      </c>
      <c r="AN30" s="61">
        <v>2.4220000000000002</v>
      </c>
      <c r="AO30">
        <v>1</v>
      </c>
      <c r="AP30">
        <v>1.0242242189602202</v>
      </c>
      <c r="AQ30">
        <v>1.0242242189602202</v>
      </c>
      <c r="AR30" t="b">
        <v>0</v>
      </c>
      <c r="AS30">
        <v>48.817435747379008</v>
      </c>
      <c r="AT30">
        <v>244.08717873689505</v>
      </c>
      <c r="AU30">
        <v>146.45230724213704</v>
      </c>
    </row>
    <row r="31" spans="1:47" x14ac:dyDescent="0.25">
      <c r="A31" t="s">
        <v>322</v>
      </c>
      <c r="B31" t="s">
        <v>446</v>
      </c>
      <c r="C31" t="s">
        <v>319</v>
      </c>
      <c r="D31">
        <v>2026</v>
      </c>
      <c r="E31">
        <v>0</v>
      </c>
      <c r="F31">
        <v>10</v>
      </c>
      <c r="G31">
        <v>0</v>
      </c>
      <c r="H31">
        <v>0</v>
      </c>
      <c r="I31">
        <v>50</v>
      </c>
      <c r="J31">
        <v>250</v>
      </c>
      <c r="K31">
        <v>1</v>
      </c>
      <c r="L31">
        <v>1</v>
      </c>
      <c r="M31">
        <v>3</v>
      </c>
      <c r="N31">
        <v>0</v>
      </c>
      <c r="O31" t="s">
        <v>27</v>
      </c>
      <c r="P31" t="s">
        <v>443</v>
      </c>
      <c r="Q31">
        <v>2026</v>
      </c>
      <c r="R31">
        <v>2036</v>
      </c>
      <c r="S31" t="s">
        <v>444</v>
      </c>
      <c r="T31">
        <v>2028</v>
      </c>
      <c r="U31">
        <v>35.75</v>
      </c>
      <c r="V31">
        <v>1</v>
      </c>
      <c r="W31">
        <v>2028</v>
      </c>
      <c r="X31">
        <v>2</v>
      </c>
      <c r="Y31">
        <v>2028</v>
      </c>
      <c r="Z31">
        <v>1</v>
      </c>
      <c r="AA31">
        <v>50</v>
      </c>
      <c r="AB31">
        <v>250</v>
      </c>
      <c r="AC31">
        <v>50</v>
      </c>
      <c r="AD31">
        <v>250</v>
      </c>
      <c r="AE31">
        <v>0</v>
      </c>
      <c r="AF31">
        <v>0</v>
      </c>
      <c r="AG31">
        <v>50</v>
      </c>
      <c r="AH31">
        <v>250</v>
      </c>
      <c r="AI31">
        <v>1</v>
      </c>
      <c r="AJ31">
        <v>2.4220000000000002</v>
      </c>
      <c r="AK31">
        <v>2029</v>
      </c>
      <c r="AL31" s="61">
        <v>2.4209999999999998</v>
      </c>
      <c r="AM31" s="61">
        <v>2.4220000000000002</v>
      </c>
      <c r="AN31" s="61">
        <v>2.4209999999999998</v>
      </c>
      <c r="AO31">
        <v>1.0242199999999999</v>
      </c>
      <c r="AP31">
        <v>1.0242103835598433</v>
      </c>
      <c r="AQ31">
        <v>1.0490167590496626</v>
      </c>
      <c r="AR31" t="b">
        <v>0</v>
      </c>
      <c r="AS31">
        <v>47.66368084080618</v>
      </c>
      <c r="AT31">
        <v>238.31840420403091</v>
      </c>
      <c r="AU31">
        <v>142.99104252241855</v>
      </c>
    </row>
    <row r="32" spans="1:47" x14ac:dyDescent="0.25">
      <c r="A32" t="s">
        <v>322</v>
      </c>
      <c r="B32" t="s">
        <v>446</v>
      </c>
      <c r="C32" t="s">
        <v>319</v>
      </c>
      <c r="D32">
        <v>2026</v>
      </c>
      <c r="E32">
        <v>0</v>
      </c>
      <c r="F32">
        <v>10</v>
      </c>
      <c r="G32">
        <v>0</v>
      </c>
      <c r="H32">
        <v>0</v>
      </c>
      <c r="I32">
        <v>50</v>
      </c>
      <c r="J32">
        <v>250</v>
      </c>
      <c r="K32">
        <v>1</v>
      </c>
      <c r="L32">
        <v>1</v>
      </c>
      <c r="M32">
        <v>3</v>
      </c>
      <c r="N32">
        <v>0</v>
      </c>
      <c r="O32" t="s">
        <v>27</v>
      </c>
      <c r="P32" t="s">
        <v>443</v>
      </c>
      <c r="Q32">
        <v>2026</v>
      </c>
      <c r="R32">
        <v>2036</v>
      </c>
      <c r="S32" t="s">
        <v>444</v>
      </c>
      <c r="T32">
        <v>2029</v>
      </c>
      <c r="U32">
        <v>36.75</v>
      </c>
      <c r="V32">
        <v>1</v>
      </c>
      <c r="W32">
        <v>2029</v>
      </c>
      <c r="X32">
        <v>3</v>
      </c>
      <c r="Y32">
        <v>2029</v>
      </c>
      <c r="Z32">
        <v>1</v>
      </c>
      <c r="AA32">
        <v>50</v>
      </c>
      <c r="AB32">
        <v>250</v>
      </c>
      <c r="AC32">
        <v>50</v>
      </c>
      <c r="AD32">
        <v>250</v>
      </c>
      <c r="AE32">
        <v>0</v>
      </c>
      <c r="AF32">
        <v>0</v>
      </c>
      <c r="AG32">
        <v>50</v>
      </c>
      <c r="AH32">
        <v>250</v>
      </c>
      <c r="AI32">
        <v>1</v>
      </c>
      <c r="AJ32">
        <v>2.4209999999999998</v>
      </c>
      <c r="AK32">
        <v>2030</v>
      </c>
      <c r="AL32" s="61">
        <v>2.4670000000000001</v>
      </c>
      <c r="AM32" s="61">
        <v>2.4209999999999998</v>
      </c>
      <c r="AN32" s="61">
        <v>2.4670000000000001</v>
      </c>
      <c r="AO32">
        <v>1.0490061241000002</v>
      </c>
      <c r="AP32">
        <v>1.0246523523547908</v>
      </c>
      <c r="AQ32">
        <v>1.0748665926936467</v>
      </c>
      <c r="AR32" t="b">
        <v>0</v>
      </c>
      <c r="AS32">
        <v>46.517400708025129</v>
      </c>
      <c r="AT32">
        <v>232.58700354012564</v>
      </c>
      <c r="AU32">
        <v>139.55220212407539</v>
      </c>
    </row>
    <row r="33" spans="1:47" x14ac:dyDescent="0.25">
      <c r="A33" t="s">
        <v>322</v>
      </c>
      <c r="B33" t="s">
        <v>446</v>
      </c>
      <c r="C33" t="s">
        <v>319</v>
      </c>
      <c r="D33">
        <v>2026</v>
      </c>
      <c r="E33">
        <v>0</v>
      </c>
      <c r="F33">
        <v>10</v>
      </c>
      <c r="G33">
        <v>0</v>
      </c>
      <c r="H33">
        <v>0</v>
      </c>
      <c r="I33">
        <v>50</v>
      </c>
      <c r="J33">
        <v>250</v>
      </c>
      <c r="K33">
        <v>1</v>
      </c>
      <c r="L33">
        <v>1</v>
      </c>
      <c r="M33">
        <v>3</v>
      </c>
      <c r="N33">
        <v>0</v>
      </c>
      <c r="O33" t="s">
        <v>27</v>
      </c>
      <c r="P33" t="s">
        <v>443</v>
      </c>
      <c r="Q33">
        <v>2026</v>
      </c>
      <c r="R33">
        <v>2036</v>
      </c>
      <c r="S33" t="s">
        <v>444</v>
      </c>
      <c r="T33">
        <v>2030</v>
      </c>
      <c r="U33">
        <v>37.75</v>
      </c>
      <c r="V33">
        <v>1</v>
      </c>
      <c r="W33">
        <v>2030</v>
      </c>
      <c r="X33">
        <v>4</v>
      </c>
      <c r="Y33">
        <v>2030</v>
      </c>
      <c r="Z33">
        <v>1</v>
      </c>
      <c r="AA33">
        <v>50</v>
      </c>
      <c r="AB33">
        <v>250</v>
      </c>
      <c r="AC33">
        <v>50</v>
      </c>
      <c r="AD33">
        <v>250</v>
      </c>
      <c r="AE33">
        <v>0</v>
      </c>
      <c r="AF33">
        <v>0</v>
      </c>
      <c r="AG33">
        <v>50</v>
      </c>
      <c r="AH33">
        <v>250</v>
      </c>
      <c r="AI33">
        <v>1</v>
      </c>
      <c r="AJ33">
        <v>2.4670000000000001</v>
      </c>
      <c r="AK33">
        <v>2031</v>
      </c>
      <c r="AL33" s="61">
        <v>2.5169999999999999</v>
      </c>
      <c r="AM33" s="61">
        <v>2.4670000000000001</v>
      </c>
      <c r="AN33" s="61">
        <v>2.5169999999999999</v>
      </c>
      <c r="AO33">
        <v>1.0758508410815628</v>
      </c>
      <c r="AP33">
        <v>1.0251508174189523</v>
      </c>
      <c r="AQ33">
        <v>1.1029093691556315</v>
      </c>
      <c r="AR33" t="b">
        <v>0</v>
      </c>
      <c r="AS33">
        <v>45.334640722364284</v>
      </c>
      <c r="AT33">
        <v>226.67320361182144</v>
      </c>
      <c r="AU33">
        <v>136.00392216709287</v>
      </c>
    </row>
    <row r="34" spans="1:47" x14ac:dyDescent="0.25">
      <c r="A34" t="s">
        <v>322</v>
      </c>
      <c r="B34" t="s">
        <v>446</v>
      </c>
      <c r="C34" t="s">
        <v>319</v>
      </c>
      <c r="D34">
        <v>2026</v>
      </c>
      <c r="E34">
        <v>0</v>
      </c>
      <c r="F34">
        <v>10</v>
      </c>
      <c r="G34">
        <v>0</v>
      </c>
      <c r="H34">
        <v>0</v>
      </c>
      <c r="I34">
        <v>50</v>
      </c>
      <c r="J34">
        <v>250</v>
      </c>
      <c r="K34">
        <v>1</v>
      </c>
      <c r="L34">
        <v>1</v>
      </c>
      <c r="M34">
        <v>3</v>
      </c>
      <c r="N34">
        <v>0</v>
      </c>
      <c r="O34" t="s">
        <v>27</v>
      </c>
      <c r="P34" t="s">
        <v>443</v>
      </c>
      <c r="Q34">
        <v>2026</v>
      </c>
      <c r="R34">
        <v>2036</v>
      </c>
      <c r="S34" t="s">
        <v>444</v>
      </c>
      <c r="T34">
        <v>2031</v>
      </c>
      <c r="U34">
        <v>38.75</v>
      </c>
      <c r="V34">
        <v>1</v>
      </c>
      <c r="W34">
        <v>2031</v>
      </c>
      <c r="X34">
        <v>5</v>
      </c>
      <c r="Y34">
        <v>2031</v>
      </c>
      <c r="Z34">
        <v>1</v>
      </c>
      <c r="AA34">
        <v>50</v>
      </c>
      <c r="AB34">
        <v>250</v>
      </c>
      <c r="AC34">
        <v>50</v>
      </c>
      <c r="AD34">
        <v>250</v>
      </c>
      <c r="AE34">
        <v>0</v>
      </c>
      <c r="AF34">
        <v>0</v>
      </c>
      <c r="AG34">
        <v>50</v>
      </c>
      <c r="AH34">
        <v>250</v>
      </c>
      <c r="AI34">
        <v>1</v>
      </c>
      <c r="AJ34">
        <v>2.5169999999999999</v>
      </c>
      <c r="AK34">
        <v>2032</v>
      </c>
      <c r="AL34" s="61">
        <v>2.59</v>
      </c>
      <c r="AM34" s="61">
        <v>2.5169999999999999</v>
      </c>
      <c r="AN34" s="61">
        <v>2.59</v>
      </c>
      <c r="AO34">
        <v>1.1045453584485188</v>
      </c>
      <c r="AP34">
        <v>1.0258719904156592</v>
      </c>
      <c r="AQ34">
        <v>1.1331221453759597</v>
      </c>
      <c r="AR34" t="b">
        <v>0</v>
      </c>
      <c r="AS34">
        <v>44.125869575526167</v>
      </c>
      <c r="AT34">
        <v>220.62934787763083</v>
      </c>
      <c r="AU34">
        <v>132.3776087265785</v>
      </c>
    </row>
    <row r="35" spans="1:47" x14ac:dyDescent="0.25">
      <c r="A35" t="s">
        <v>322</v>
      </c>
      <c r="B35" t="s">
        <v>446</v>
      </c>
      <c r="C35" t="s">
        <v>319</v>
      </c>
      <c r="D35">
        <v>2026</v>
      </c>
      <c r="E35">
        <v>0</v>
      </c>
      <c r="F35">
        <v>10</v>
      </c>
      <c r="G35">
        <v>0</v>
      </c>
      <c r="H35">
        <v>0</v>
      </c>
      <c r="I35">
        <v>50</v>
      </c>
      <c r="J35">
        <v>250</v>
      </c>
      <c r="K35">
        <v>1</v>
      </c>
      <c r="L35">
        <v>1</v>
      </c>
      <c r="M35">
        <v>3</v>
      </c>
      <c r="N35">
        <v>0</v>
      </c>
      <c r="O35" t="s">
        <v>27</v>
      </c>
      <c r="P35" t="s">
        <v>443</v>
      </c>
      <c r="Q35">
        <v>2026</v>
      </c>
      <c r="R35">
        <v>2036</v>
      </c>
      <c r="S35" t="s">
        <v>444</v>
      </c>
      <c r="T35">
        <v>2032</v>
      </c>
      <c r="U35">
        <v>39.75</v>
      </c>
      <c r="V35">
        <v>1</v>
      </c>
      <c r="W35">
        <v>2032</v>
      </c>
      <c r="X35">
        <v>6</v>
      </c>
      <c r="Y35">
        <v>2032</v>
      </c>
      <c r="Z35">
        <v>1</v>
      </c>
      <c r="AA35">
        <v>50</v>
      </c>
      <c r="AB35">
        <v>250</v>
      </c>
      <c r="AC35">
        <v>50</v>
      </c>
      <c r="AD35">
        <v>250</v>
      </c>
      <c r="AE35">
        <v>0</v>
      </c>
      <c r="AF35">
        <v>0</v>
      </c>
      <c r="AG35">
        <v>50</v>
      </c>
      <c r="AH35">
        <v>250</v>
      </c>
      <c r="AI35">
        <v>1</v>
      </c>
      <c r="AJ35">
        <v>2.59</v>
      </c>
      <c r="AK35">
        <v>2033</v>
      </c>
      <c r="AL35" s="61">
        <v>2.6880000000000002</v>
      </c>
      <c r="AM35" s="61">
        <v>2.59</v>
      </c>
      <c r="AN35" s="61">
        <v>2.6880000000000002</v>
      </c>
      <c r="AO35">
        <v>1.1363841013749196</v>
      </c>
      <c r="AP35">
        <v>1.0268423936996114</v>
      </c>
      <c r="AQ35">
        <v>1.1668873708180043</v>
      </c>
      <c r="AR35" t="b">
        <v>0</v>
      </c>
      <c r="AS35">
        <v>42.849036891151975</v>
      </c>
      <c r="AT35">
        <v>214.24518445575987</v>
      </c>
      <c r="AU35">
        <v>128.54711067345593</v>
      </c>
    </row>
    <row r="36" spans="1:47" x14ac:dyDescent="0.25">
      <c r="A36" t="s">
        <v>322</v>
      </c>
      <c r="B36" t="s">
        <v>446</v>
      </c>
      <c r="C36" t="s">
        <v>319</v>
      </c>
      <c r="D36">
        <v>2026</v>
      </c>
      <c r="E36">
        <v>0</v>
      </c>
      <c r="F36">
        <v>10</v>
      </c>
      <c r="G36">
        <v>0</v>
      </c>
      <c r="H36">
        <v>0</v>
      </c>
      <c r="I36">
        <v>50</v>
      </c>
      <c r="J36">
        <v>250</v>
      </c>
      <c r="K36">
        <v>1</v>
      </c>
      <c r="L36">
        <v>1</v>
      </c>
      <c r="M36">
        <v>3</v>
      </c>
      <c r="N36">
        <v>0</v>
      </c>
      <c r="O36" t="s">
        <v>27</v>
      </c>
      <c r="P36" t="s">
        <v>443</v>
      </c>
      <c r="Q36">
        <v>2026</v>
      </c>
      <c r="R36">
        <v>2036</v>
      </c>
      <c r="S36" t="s">
        <v>444</v>
      </c>
      <c r="T36">
        <v>2033</v>
      </c>
      <c r="U36">
        <v>40.75</v>
      </c>
      <c r="V36">
        <v>1</v>
      </c>
      <c r="W36">
        <v>2033</v>
      </c>
      <c r="X36">
        <v>7</v>
      </c>
      <c r="Y36">
        <v>2033</v>
      </c>
      <c r="Z36">
        <v>1</v>
      </c>
      <c r="AA36">
        <v>50</v>
      </c>
      <c r="AB36">
        <v>250</v>
      </c>
      <c r="AC36">
        <v>50</v>
      </c>
      <c r="AD36">
        <v>250</v>
      </c>
      <c r="AE36">
        <v>0</v>
      </c>
      <c r="AF36">
        <v>0</v>
      </c>
      <c r="AG36">
        <v>50</v>
      </c>
      <c r="AH36">
        <v>250</v>
      </c>
      <c r="AI36">
        <v>1</v>
      </c>
      <c r="AJ36">
        <v>2.6880000000000002</v>
      </c>
      <c r="AK36">
        <v>2034</v>
      </c>
      <c r="AL36" s="61">
        <v>2.7519999999999998</v>
      </c>
      <c r="AM36" s="61">
        <v>2.6880000000000002</v>
      </c>
      <c r="AN36" s="61">
        <v>2.7519999999999998</v>
      </c>
      <c r="AO36">
        <v>1.1725143659072164</v>
      </c>
      <c r="AP36">
        <v>1.0274954447000768</v>
      </c>
      <c r="AQ36">
        <v>1.2047531698150638</v>
      </c>
      <c r="AR36" t="b">
        <v>0</v>
      </c>
      <c r="AS36">
        <v>41.502277190667428</v>
      </c>
      <c r="AT36">
        <v>207.51138595333714</v>
      </c>
      <c r="AU36">
        <v>124.50683157200228</v>
      </c>
    </row>
    <row r="37" spans="1:47" x14ac:dyDescent="0.25">
      <c r="A37" t="s">
        <v>322</v>
      </c>
      <c r="B37" t="s">
        <v>446</v>
      </c>
      <c r="C37" t="s">
        <v>319</v>
      </c>
      <c r="D37">
        <v>2026</v>
      </c>
      <c r="E37">
        <v>0</v>
      </c>
      <c r="F37">
        <v>10</v>
      </c>
      <c r="G37">
        <v>0</v>
      </c>
      <c r="H37">
        <v>0</v>
      </c>
      <c r="I37">
        <v>50</v>
      </c>
      <c r="J37">
        <v>250</v>
      </c>
      <c r="K37">
        <v>1</v>
      </c>
      <c r="L37">
        <v>1</v>
      </c>
      <c r="M37">
        <v>3</v>
      </c>
      <c r="N37">
        <v>0</v>
      </c>
      <c r="O37" t="s">
        <v>27</v>
      </c>
      <c r="P37" t="s">
        <v>443</v>
      </c>
      <c r="Q37">
        <v>2026</v>
      </c>
      <c r="R37">
        <v>2036</v>
      </c>
      <c r="S37" t="s">
        <v>444</v>
      </c>
      <c r="T37">
        <v>2034</v>
      </c>
      <c r="U37">
        <v>41.75</v>
      </c>
      <c r="V37">
        <v>1</v>
      </c>
      <c r="W37">
        <v>2034</v>
      </c>
      <c r="X37">
        <v>8</v>
      </c>
      <c r="Y37">
        <v>2034</v>
      </c>
      <c r="Z37">
        <v>1</v>
      </c>
      <c r="AA37">
        <v>50</v>
      </c>
      <c r="AB37">
        <v>250</v>
      </c>
      <c r="AC37">
        <v>50</v>
      </c>
      <c r="AD37">
        <v>250</v>
      </c>
      <c r="AE37">
        <v>0</v>
      </c>
      <c r="AF37">
        <v>0</v>
      </c>
      <c r="AG37">
        <v>50</v>
      </c>
      <c r="AH37">
        <v>250</v>
      </c>
      <c r="AI37">
        <v>1</v>
      </c>
      <c r="AJ37">
        <v>2.7519999999999998</v>
      </c>
      <c r="AK37">
        <v>2035</v>
      </c>
      <c r="AL37" s="61">
        <v>2.8420000000000001</v>
      </c>
      <c r="AM37" s="61">
        <v>2.7519999999999998</v>
      </c>
      <c r="AN37" s="61">
        <v>2.8420000000000001</v>
      </c>
      <c r="AO37">
        <v>1.2092942481281721</v>
      </c>
      <c r="AP37">
        <v>1.0283854649181425</v>
      </c>
      <c r="AQ37">
        <v>1.2436206275841259</v>
      </c>
      <c r="AR37" t="b">
        <v>0</v>
      </c>
      <c r="AS37">
        <v>40.205187089193487</v>
      </c>
      <c r="AT37">
        <v>201.02593544596743</v>
      </c>
      <c r="AU37">
        <v>120.61556126758046</v>
      </c>
    </row>
    <row r="38" spans="1:47" x14ac:dyDescent="0.25">
      <c r="A38" t="s">
        <v>322</v>
      </c>
      <c r="B38" t="s">
        <v>446</v>
      </c>
      <c r="C38" t="s">
        <v>319</v>
      </c>
      <c r="D38">
        <v>2026</v>
      </c>
      <c r="E38">
        <v>0</v>
      </c>
      <c r="F38">
        <v>10</v>
      </c>
      <c r="G38">
        <v>0</v>
      </c>
      <c r="H38">
        <v>0</v>
      </c>
      <c r="I38">
        <v>50</v>
      </c>
      <c r="J38">
        <v>250</v>
      </c>
      <c r="K38">
        <v>1</v>
      </c>
      <c r="L38">
        <v>1</v>
      </c>
      <c r="M38">
        <v>3</v>
      </c>
      <c r="N38">
        <v>0</v>
      </c>
      <c r="O38" t="s">
        <v>27</v>
      </c>
      <c r="P38" t="s">
        <v>443</v>
      </c>
      <c r="Q38">
        <v>2026</v>
      </c>
      <c r="R38">
        <v>2036</v>
      </c>
      <c r="S38" t="s">
        <v>444</v>
      </c>
      <c r="T38">
        <v>2035</v>
      </c>
      <c r="U38">
        <v>42.75</v>
      </c>
      <c r="V38">
        <v>1</v>
      </c>
      <c r="W38">
        <v>2035</v>
      </c>
      <c r="X38">
        <v>9</v>
      </c>
      <c r="Y38">
        <v>2035</v>
      </c>
      <c r="Z38">
        <v>1</v>
      </c>
      <c r="AA38">
        <v>50</v>
      </c>
      <c r="AB38">
        <v>250</v>
      </c>
      <c r="AC38">
        <v>50</v>
      </c>
      <c r="AD38">
        <v>250</v>
      </c>
      <c r="AE38">
        <v>0</v>
      </c>
      <c r="AF38">
        <v>0</v>
      </c>
      <c r="AG38">
        <v>50</v>
      </c>
      <c r="AH38">
        <v>250</v>
      </c>
      <c r="AI38">
        <v>1</v>
      </c>
      <c r="AJ38">
        <v>2.8420000000000001</v>
      </c>
      <c r="AK38">
        <v>2036</v>
      </c>
      <c r="AL38" s="61">
        <v>2.944</v>
      </c>
      <c r="AM38" s="61">
        <v>2.8420000000000001</v>
      </c>
      <c r="AN38" s="61">
        <v>2.944</v>
      </c>
      <c r="AO38">
        <v>1.2513076834571593</v>
      </c>
      <c r="AP38">
        <v>1.0294008580614105</v>
      </c>
      <c r="AQ38">
        <v>1.2880972030496356</v>
      </c>
      <c r="AR38" t="b">
        <v>0</v>
      </c>
      <c r="AS38">
        <v>38.816946331086243</v>
      </c>
      <c r="AT38">
        <v>194.0847316554312</v>
      </c>
      <c r="AU38">
        <v>116.45083899325871</v>
      </c>
    </row>
    <row r="39" spans="1:47" x14ac:dyDescent="0.25">
      <c r="A39" t="s">
        <v>322</v>
      </c>
      <c r="B39" t="s">
        <v>446</v>
      </c>
      <c r="C39" t="s">
        <v>319</v>
      </c>
      <c r="D39">
        <v>2026</v>
      </c>
      <c r="E39">
        <v>0</v>
      </c>
      <c r="M39">
        <v>3</v>
      </c>
      <c r="Q39">
        <v>2026</v>
      </c>
      <c r="R39">
        <v>2036</v>
      </c>
      <c r="T39">
        <v>2036</v>
      </c>
      <c r="U39">
        <v>43.75</v>
      </c>
      <c r="W39">
        <v>2036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L39" s="61"/>
      <c r="AS39">
        <v>0</v>
      </c>
      <c r="AT39">
        <v>0</v>
      </c>
      <c r="AU39">
        <v>0</v>
      </c>
    </row>
    <row r="40" spans="1:47" x14ac:dyDescent="0.25">
      <c r="A40" t="s">
        <v>349</v>
      </c>
      <c r="B40" t="s">
        <v>447</v>
      </c>
      <c r="C40" t="s">
        <v>320</v>
      </c>
      <c r="D40">
        <v>2026</v>
      </c>
      <c r="E40">
        <v>0</v>
      </c>
      <c r="F40">
        <v>15</v>
      </c>
      <c r="G40">
        <v>0</v>
      </c>
      <c r="H40">
        <v>0</v>
      </c>
      <c r="I40">
        <v>30</v>
      </c>
      <c r="J40">
        <v>45</v>
      </c>
      <c r="K40">
        <v>4</v>
      </c>
      <c r="L40">
        <v>2</v>
      </c>
      <c r="M40">
        <v>4</v>
      </c>
      <c r="N40">
        <v>0</v>
      </c>
      <c r="O40" t="s">
        <v>27</v>
      </c>
      <c r="P40" t="s">
        <v>443</v>
      </c>
      <c r="Q40">
        <v>2026</v>
      </c>
      <c r="R40">
        <v>2041</v>
      </c>
      <c r="S40" t="s">
        <v>444</v>
      </c>
      <c r="T40">
        <v>2026</v>
      </c>
      <c r="U40">
        <v>33.75</v>
      </c>
      <c r="V40">
        <v>1</v>
      </c>
      <c r="W40">
        <v>2026</v>
      </c>
      <c r="X40">
        <v>0</v>
      </c>
      <c r="Y40">
        <v>2026</v>
      </c>
      <c r="Z40">
        <v>1</v>
      </c>
      <c r="AA40">
        <v>120</v>
      </c>
      <c r="AB40">
        <v>180</v>
      </c>
      <c r="AC40">
        <v>120</v>
      </c>
      <c r="AD40">
        <v>180</v>
      </c>
      <c r="AE40">
        <v>0</v>
      </c>
      <c r="AF40">
        <v>0</v>
      </c>
      <c r="AG40">
        <v>120</v>
      </c>
      <c r="AH40">
        <v>180</v>
      </c>
      <c r="AI40">
        <v>1</v>
      </c>
      <c r="AK40">
        <v>2027</v>
      </c>
      <c r="AL40" s="61">
        <v>2.4329999999999998</v>
      </c>
      <c r="AM40" s="61">
        <v>0</v>
      </c>
      <c r="AN40" s="61">
        <v>2.4329999999999998</v>
      </c>
      <c r="AO40">
        <v>1</v>
      </c>
      <c r="AP40">
        <v>1.023385968321771</v>
      </c>
      <c r="AQ40">
        <v>1.023385968321771</v>
      </c>
      <c r="AR40" t="b">
        <v>1</v>
      </c>
      <c r="AS40">
        <v>120</v>
      </c>
      <c r="AT40">
        <v>180</v>
      </c>
      <c r="AU40">
        <v>150</v>
      </c>
    </row>
    <row r="41" spans="1:47" x14ac:dyDescent="0.25">
      <c r="A41" t="s">
        <v>349</v>
      </c>
      <c r="B41" t="s">
        <v>447</v>
      </c>
      <c r="C41" t="s">
        <v>320</v>
      </c>
      <c r="D41">
        <v>2026</v>
      </c>
      <c r="E41">
        <v>0</v>
      </c>
      <c r="F41">
        <v>15</v>
      </c>
      <c r="G41">
        <v>0</v>
      </c>
      <c r="H41">
        <v>0</v>
      </c>
      <c r="I41">
        <v>30</v>
      </c>
      <c r="J41">
        <v>45</v>
      </c>
      <c r="K41">
        <v>4</v>
      </c>
      <c r="L41">
        <v>2</v>
      </c>
      <c r="M41">
        <v>4</v>
      </c>
      <c r="N41">
        <v>0</v>
      </c>
      <c r="O41" t="s">
        <v>27</v>
      </c>
      <c r="P41" t="s">
        <v>443</v>
      </c>
      <c r="Q41">
        <v>2026</v>
      </c>
      <c r="R41">
        <v>2041</v>
      </c>
      <c r="S41" t="s">
        <v>444</v>
      </c>
      <c r="T41">
        <v>2027</v>
      </c>
      <c r="U41">
        <v>34.75</v>
      </c>
      <c r="V41">
        <v>1</v>
      </c>
      <c r="W41">
        <v>2027</v>
      </c>
      <c r="X41">
        <v>1</v>
      </c>
      <c r="Y41">
        <v>2027</v>
      </c>
      <c r="Z41">
        <v>1</v>
      </c>
      <c r="AA41">
        <v>120</v>
      </c>
      <c r="AB41">
        <v>180</v>
      </c>
      <c r="AC41">
        <v>120</v>
      </c>
      <c r="AD41">
        <v>180</v>
      </c>
      <c r="AE41">
        <v>0</v>
      </c>
      <c r="AF41">
        <v>0</v>
      </c>
      <c r="AG41">
        <v>120</v>
      </c>
      <c r="AH41">
        <v>180</v>
      </c>
      <c r="AI41">
        <v>1</v>
      </c>
      <c r="AJ41">
        <v>2.4329999999999998</v>
      </c>
      <c r="AK41">
        <v>2028</v>
      </c>
      <c r="AL41" s="61">
        <v>2.4220000000000002</v>
      </c>
      <c r="AM41" s="61">
        <v>2.4329999999999998</v>
      </c>
      <c r="AN41" s="61">
        <v>2.4220000000000002</v>
      </c>
      <c r="AO41">
        <v>1</v>
      </c>
      <c r="AP41">
        <v>1.0242242189602202</v>
      </c>
      <c r="AQ41">
        <v>1.0242242189602202</v>
      </c>
      <c r="AR41" t="b">
        <v>0</v>
      </c>
      <c r="AS41">
        <v>117.16184579370963</v>
      </c>
      <c r="AT41">
        <v>175.74276869056445</v>
      </c>
      <c r="AU41">
        <v>146.45230724213704</v>
      </c>
    </row>
    <row r="42" spans="1:47" x14ac:dyDescent="0.25">
      <c r="A42" t="s">
        <v>349</v>
      </c>
      <c r="B42" t="s">
        <v>447</v>
      </c>
      <c r="C42" t="s">
        <v>320</v>
      </c>
      <c r="D42">
        <v>2026</v>
      </c>
      <c r="E42">
        <v>0</v>
      </c>
      <c r="F42">
        <v>15</v>
      </c>
      <c r="G42">
        <v>0</v>
      </c>
      <c r="H42">
        <v>0</v>
      </c>
      <c r="I42">
        <v>30</v>
      </c>
      <c r="J42">
        <v>45</v>
      </c>
      <c r="K42">
        <v>4</v>
      </c>
      <c r="L42">
        <v>2</v>
      </c>
      <c r="M42">
        <v>4</v>
      </c>
      <c r="N42">
        <v>0</v>
      </c>
      <c r="O42" t="s">
        <v>27</v>
      </c>
      <c r="P42" t="s">
        <v>443</v>
      </c>
      <c r="Q42">
        <v>2026</v>
      </c>
      <c r="R42">
        <v>2041</v>
      </c>
      <c r="S42" t="s">
        <v>444</v>
      </c>
      <c r="T42">
        <v>2028</v>
      </c>
      <c r="U42">
        <v>35.75</v>
      </c>
      <c r="V42">
        <v>1</v>
      </c>
      <c r="W42">
        <v>2028</v>
      </c>
      <c r="X42">
        <v>2</v>
      </c>
      <c r="Y42">
        <v>2028</v>
      </c>
      <c r="Z42">
        <v>1</v>
      </c>
      <c r="AA42">
        <v>120</v>
      </c>
      <c r="AB42">
        <v>180</v>
      </c>
      <c r="AC42">
        <v>120</v>
      </c>
      <c r="AD42">
        <v>180</v>
      </c>
      <c r="AE42">
        <v>0</v>
      </c>
      <c r="AF42">
        <v>0</v>
      </c>
      <c r="AG42">
        <v>120</v>
      </c>
      <c r="AH42">
        <v>180</v>
      </c>
      <c r="AI42">
        <v>1</v>
      </c>
      <c r="AJ42">
        <v>2.4220000000000002</v>
      </c>
      <c r="AK42">
        <v>2029</v>
      </c>
      <c r="AL42" s="61">
        <v>2.4209999999999998</v>
      </c>
      <c r="AM42" s="61">
        <v>2.4220000000000002</v>
      </c>
      <c r="AN42" s="61">
        <v>2.4209999999999998</v>
      </c>
      <c r="AO42">
        <v>1.0242199999999999</v>
      </c>
      <c r="AP42">
        <v>1.0242103835598433</v>
      </c>
      <c r="AQ42">
        <v>1.0490167590496626</v>
      </c>
      <c r="AR42" t="b">
        <v>0</v>
      </c>
      <c r="AS42">
        <v>114.39283401793483</v>
      </c>
      <c r="AT42">
        <v>171.58925102690225</v>
      </c>
      <c r="AU42">
        <v>142.99104252241852</v>
      </c>
    </row>
    <row r="43" spans="1:47" x14ac:dyDescent="0.25">
      <c r="A43" t="s">
        <v>349</v>
      </c>
      <c r="B43" t="s">
        <v>447</v>
      </c>
      <c r="C43" t="s">
        <v>320</v>
      </c>
      <c r="D43">
        <v>2026</v>
      </c>
      <c r="E43">
        <v>0</v>
      </c>
      <c r="F43">
        <v>15</v>
      </c>
      <c r="G43">
        <v>0</v>
      </c>
      <c r="H43">
        <v>0</v>
      </c>
      <c r="I43">
        <v>30</v>
      </c>
      <c r="J43">
        <v>45</v>
      </c>
      <c r="K43">
        <v>4</v>
      </c>
      <c r="L43">
        <v>2</v>
      </c>
      <c r="M43">
        <v>4</v>
      </c>
      <c r="N43">
        <v>0</v>
      </c>
      <c r="O43" t="s">
        <v>27</v>
      </c>
      <c r="P43" t="s">
        <v>443</v>
      </c>
      <c r="Q43">
        <v>2026</v>
      </c>
      <c r="R43">
        <v>2041</v>
      </c>
      <c r="S43" t="s">
        <v>444</v>
      </c>
      <c r="T43">
        <v>2029</v>
      </c>
      <c r="U43">
        <v>36.75</v>
      </c>
      <c r="V43">
        <v>1</v>
      </c>
      <c r="W43">
        <v>2029</v>
      </c>
      <c r="X43">
        <v>3</v>
      </c>
      <c r="Y43">
        <v>2029</v>
      </c>
      <c r="Z43">
        <v>1</v>
      </c>
      <c r="AA43">
        <v>120</v>
      </c>
      <c r="AB43">
        <v>180</v>
      </c>
      <c r="AC43">
        <v>120</v>
      </c>
      <c r="AD43">
        <v>180</v>
      </c>
      <c r="AE43">
        <v>0</v>
      </c>
      <c r="AF43">
        <v>0</v>
      </c>
      <c r="AG43">
        <v>120</v>
      </c>
      <c r="AH43">
        <v>180</v>
      </c>
      <c r="AI43">
        <v>1</v>
      </c>
      <c r="AJ43">
        <v>2.4209999999999998</v>
      </c>
      <c r="AK43">
        <v>2030</v>
      </c>
      <c r="AL43" s="61">
        <v>2.4670000000000001</v>
      </c>
      <c r="AM43" s="61">
        <v>2.4209999999999998</v>
      </c>
      <c r="AN43" s="61">
        <v>2.4670000000000001</v>
      </c>
      <c r="AO43">
        <v>1.0490061241000002</v>
      </c>
      <c r="AP43">
        <v>1.0246523523547908</v>
      </c>
      <c r="AQ43">
        <v>1.0748665926936467</v>
      </c>
      <c r="AR43" t="b">
        <v>0</v>
      </c>
      <c r="AS43">
        <v>111.64176169926031</v>
      </c>
      <c r="AT43">
        <v>167.46264254889047</v>
      </c>
      <c r="AU43">
        <v>139.55220212407539</v>
      </c>
    </row>
    <row r="44" spans="1:47" x14ac:dyDescent="0.25">
      <c r="A44" t="s">
        <v>349</v>
      </c>
      <c r="B44" t="s">
        <v>447</v>
      </c>
      <c r="C44" t="s">
        <v>320</v>
      </c>
      <c r="D44">
        <v>2026</v>
      </c>
      <c r="E44">
        <v>0</v>
      </c>
      <c r="F44">
        <v>15</v>
      </c>
      <c r="G44">
        <v>0</v>
      </c>
      <c r="H44">
        <v>0</v>
      </c>
      <c r="I44">
        <v>30</v>
      </c>
      <c r="J44">
        <v>45</v>
      </c>
      <c r="K44">
        <v>4</v>
      </c>
      <c r="L44">
        <v>2</v>
      </c>
      <c r="M44">
        <v>4</v>
      </c>
      <c r="N44">
        <v>0</v>
      </c>
      <c r="O44" t="s">
        <v>27</v>
      </c>
      <c r="P44" t="s">
        <v>443</v>
      </c>
      <c r="Q44">
        <v>2026</v>
      </c>
      <c r="R44">
        <v>2041</v>
      </c>
      <c r="S44" t="s">
        <v>444</v>
      </c>
      <c r="T44">
        <v>2030</v>
      </c>
      <c r="U44">
        <v>37.75</v>
      </c>
      <c r="V44">
        <v>1</v>
      </c>
      <c r="W44">
        <v>2030</v>
      </c>
      <c r="X44">
        <v>4</v>
      </c>
      <c r="Y44">
        <v>2030</v>
      </c>
      <c r="Z44">
        <v>1</v>
      </c>
      <c r="AA44">
        <v>120</v>
      </c>
      <c r="AB44">
        <v>180</v>
      </c>
      <c r="AC44">
        <v>120</v>
      </c>
      <c r="AD44">
        <v>180</v>
      </c>
      <c r="AE44">
        <v>0</v>
      </c>
      <c r="AF44">
        <v>0</v>
      </c>
      <c r="AG44">
        <v>120</v>
      </c>
      <c r="AH44">
        <v>180</v>
      </c>
      <c r="AI44">
        <v>1</v>
      </c>
      <c r="AJ44">
        <v>2.4670000000000001</v>
      </c>
      <c r="AK44">
        <v>2031</v>
      </c>
      <c r="AL44" s="61">
        <v>2.5169999999999999</v>
      </c>
      <c r="AM44" s="61">
        <v>2.4670000000000001</v>
      </c>
      <c r="AN44" s="61">
        <v>2.5169999999999999</v>
      </c>
      <c r="AO44">
        <v>1.0758508410815628</v>
      </c>
      <c r="AP44">
        <v>1.0251508174189523</v>
      </c>
      <c r="AQ44">
        <v>1.1029093691556315</v>
      </c>
      <c r="AR44" t="b">
        <v>0</v>
      </c>
      <c r="AS44">
        <v>108.80313773367429</v>
      </c>
      <c r="AT44">
        <v>163.20470660051143</v>
      </c>
      <c r="AU44">
        <v>136.00392216709287</v>
      </c>
    </row>
    <row r="45" spans="1:47" x14ac:dyDescent="0.25">
      <c r="A45" t="s">
        <v>349</v>
      </c>
      <c r="B45" t="s">
        <v>447</v>
      </c>
      <c r="C45" t="s">
        <v>320</v>
      </c>
      <c r="D45">
        <v>2026</v>
      </c>
      <c r="E45">
        <v>0</v>
      </c>
      <c r="F45">
        <v>15</v>
      </c>
      <c r="G45">
        <v>0</v>
      </c>
      <c r="H45">
        <v>0</v>
      </c>
      <c r="I45">
        <v>30</v>
      </c>
      <c r="J45">
        <v>45</v>
      </c>
      <c r="K45">
        <v>4</v>
      </c>
      <c r="L45">
        <v>2</v>
      </c>
      <c r="M45">
        <v>4</v>
      </c>
      <c r="N45">
        <v>0</v>
      </c>
      <c r="O45" t="s">
        <v>27</v>
      </c>
      <c r="P45" t="s">
        <v>443</v>
      </c>
      <c r="Q45">
        <v>2026</v>
      </c>
      <c r="R45">
        <v>2041</v>
      </c>
      <c r="S45" t="s">
        <v>444</v>
      </c>
      <c r="T45">
        <v>2031</v>
      </c>
      <c r="U45">
        <v>38.75</v>
      </c>
      <c r="V45">
        <v>1</v>
      </c>
      <c r="W45">
        <v>2031</v>
      </c>
      <c r="X45">
        <v>5</v>
      </c>
      <c r="Y45">
        <v>2031</v>
      </c>
      <c r="Z45">
        <v>1</v>
      </c>
      <c r="AA45">
        <v>120</v>
      </c>
      <c r="AB45">
        <v>180</v>
      </c>
      <c r="AC45">
        <v>120</v>
      </c>
      <c r="AD45">
        <v>180</v>
      </c>
      <c r="AE45">
        <v>0</v>
      </c>
      <c r="AF45">
        <v>0</v>
      </c>
      <c r="AG45">
        <v>120</v>
      </c>
      <c r="AH45">
        <v>180</v>
      </c>
      <c r="AI45">
        <v>1</v>
      </c>
      <c r="AJ45">
        <v>2.5169999999999999</v>
      </c>
      <c r="AK45">
        <v>2032</v>
      </c>
      <c r="AL45" s="61">
        <v>2.59</v>
      </c>
      <c r="AM45" s="61">
        <v>2.5169999999999999</v>
      </c>
      <c r="AN45" s="61">
        <v>2.59</v>
      </c>
      <c r="AO45">
        <v>1.1045453584485188</v>
      </c>
      <c r="AP45">
        <v>1.0258719904156592</v>
      </c>
      <c r="AQ45">
        <v>1.1331221453759597</v>
      </c>
      <c r="AR45" t="b">
        <v>0</v>
      </c>
      <c r="AS45">
        <v>105.90208698126281</v>
      </c>
      <c r="AT45">
        <v>158.85313047189422</v>
      </c>
      <c r="AU45">
        <v>132.3776087265785</v>
      </c>
    </row>
    <row r="46" spans="1:47" x14ac:dyDescent="0.25">
      <c r="A46" t="s">
        <v>349</v>
      </c>
      <c r="B46" t="s">
        <v>447</v>
      </c>
      <c r="C46" t="s">
        <v>320</v>
      </c>
      <c r="D46">
        <v>2026</v>
      </c>
      <c r="E46">
        <v>0</v>
      </c>
      <c r="F46">
        <v>15</v>
      </c>
      <c r="G46">
        <v>0</v>
      </c>
      <c r="H46">
        <v>0</v>
      </c>
      <c r="I46">
        <v>30</v>
      </c>
      <c r="J46">
        <v>45</v>
      </c>
      <c r="K46">
        <v>4</v>
      </c>
      <c r="L46">
        <v>2</v>
      </c>
      <c r="M46">
        <v>4</v>
      </c>
      <c r="N46">
        <v>0</v>
      </c>
      <c r="O46" t="s">
        <v>27</v>
      </c>
      <c r="P46" t="s">
        <v>443</v>
      </c>
      <c r="Q46">
        <v>2026</v>
      </c>
      <c r="R46">
        <v>2041</v>
      </c>
      <c r="S46" t="s">
        <v>444</v>
      </c>
      <c r="T46">
        <v>2032</v>
      </c>
      <c r="U46">
        <v>39.75</v>
      </c>
      <c r="V46">
        <v>1</v>
      </c>
      <c r="W46">
        <v>2032</v>
      </c>
      <c r="X46">
        <v>6</v>
      </c>
      <c r="Y46">
        <v>2032</v>
      </c>
      <c r="Z46">
        <v>1</v>
      </c>
      <c r="AA46">
        <v>120</v>
      </c>
      <c r="AB46">
        <v>180</v>
      </c>
      <c r="AC46">
        <v>120</v>
      </c>
      <c r="AD46">
        <v>180</v>
      </c>
      <c r="AE46">
        <v>0</v>
      </c>
      <c r="AF46">
        <v>0</v>
      </c>
      <c r="AG46">
        <v>120</v>
      </c>
      <c r="AH46">
        <v>180</v>
      </c>
      <c r="AI46">
        <v>1</v>
      </c>
      <c r="AJ46">
        <v>2.59</v>
      </c>
      <c r="AK46">
        <v>2033</v>
      </c>
      <c r="AL46" s="61">
        <v>2.6880000000000002</v>
      </c>
      <c r="AM46" s="61">
        <v>2.59</v>
      </c>
      <c r="AN46" s="61">
        <v>2.6880000000000002</v>
      </c>
      <c r="AO46">
        <v>1.1363841013749196</v>
      </c>
      <c r="AP46">
        <v>1.0268423936996114</v>
      </c>
      <c r="AQ46">
        <v>1.1668873708180043</v>
      </c>
      <c r="AR46" t="b">
        <v>0</v>
      </c>
      <c r="AS46">
        <v>102.83768853876474</v>
      </c>
      <c r="AT46">
        <v>154.25653280814711</v>
      </c>
      <c r="AU46">
        <v>128.54711067345593</v>
      </c>
    </row>
    <row r="47" spans="1:47" x14ac:dyDescent="0.25">
      <c r="A47" t="s">
        <v>349</v>
      </c>
      <c r="B47" t="s">
        <v>447</v>
      </c>
      <c r="C47" t="s">
        <v>320</v>
      </c>
      <c r="D47">
        <v>2026</v>
      </c>
      <c r="E47">
        <v>0</v>
      </c>
      <c r="F47">
        <v>15</v>
      </c>
      <c r="G47">
        <v>0</v>
      </c>
      <c r="H47">
        <v>0</v>
      </c>
      <c r="I47">
        <v>30</v>
      </c>
      <c r="J47">
        <v>45</v>
      </c>
      <c r="K47">
        <v>4</v>
      </c>
      <c r="L47">
        <v>2</v>
      </c>
      <c r="M47">
        <v>4</v>
      </c>
      <c r="N47">
        <v>0</v>
      </c>
      <c r="O47" t="s">
        <v>27</v>
      </c>
      <c r="P47" t="s">
        <v>443</v>
      </c>
      <c r="Q47">
        <v>2026</v>
      </c>
      <c r="R47">
        <v>2041</v>
      </c>
      <c r="S47" t="s">
        <v>444</v>
      </c>
      <c r="T47">
        <v>2033</v>
      </c>
      <c r="U47">
        <v>40.75</v>
      </c>
      <c r="V47">
        <v>1</v>
      </c>
      <c r="W47">
        <v>2033</v>
      </c>
      <c r="X47">
        <v>7</v>
      </c>
      <c r="Y47">
        <v>2033</v>
      </c>
      <c r="Z47">
        <v>1</v>
      </c>
      <c r="AA47">
        <v>120</v>
      </c>
      <c r="AB47">
        <v>180</v>
      </c>
      <c r="AC47">
        <v>120</v>
      </c>
      <c r="AD47">
        <v>180</v>
      </c>
      <c r="AE47">
        <v>0</v>
      </c>
      <c r="AF47">
        <v>0</v>
      </c>
      <c r="AG47">
        <v>120</v>
      </c>
      <c r="AH47">
        <v>180</v>
      </c>
      <c r="AI47">
        <v>1</v>
      </c>
      <c r="AJ47">
        <v>2.6880000000000002</v>
      </c>
      <c r="AK47">
        <v>2034</v>
      </c>
      <c r="AL47" s="61">
        <v>2.7519999999999998</v>
      </c>
      <c r="AM47" s="61">
        <v>2.6880000000000002</v>
      </c>
      <c r="AN47" s="61">
        <v>2.7519999999999998</v>
      </c>
      <c r="AO47">
        <v>1.1725143659072164</v>
      </c>
      <c r="AP47">
        <v>1.0274954447000768</v>
      </c>
      <c r="AQ47">
        <v>1.2047531698150638</v>
      </c>
      <c r="AR47" t="b">
        <v>0</v>
      </c>
      <c r="AS47">
        <v>99.605465257601821</v>
      </c>
      <c r="AT47">
        <v>149.40819788640275</v>
      </c>
      <c r="AU47">
        <v>124.50683157200228</v>
      </c>
    </row>
    <row r="48" spans="1:47" x14ac:dyDescent="0.25">
      <c r="A48" t="s">
        <v>349</v>
      </c>
      <c r="B48" t="s">
        <v>447</v>
      </c>
      <c r="C48" t="s">
        <v>320</v>
      </c>
      <c r="D48">
        <v>2026</v>
      </c>
      <c r="E48">
        <v>0</v>
      </c>
      <c r="F48">
        <v>15</v>
      </c>
      <c r="G48">
        <v>0</v>
      </c>
      <c r="H48">
        <v>0</v>
      </c>
      <c r="I48">
        <v>30</v>
      </c>
      <c r="J48">
        <v>45</v>
      </c>
      <c r="K48">
        <v>4</v>
      </c>
      <c r="L48">
        <v>2</v>
      </c>
      <c r="M48">
        <v>4</v>
      </c>
      <c r="N48">
        <v>0</v>
      </c>
      <c r="O48" t="s">
        <v>27</v>
      </c>
      <c r="P48" t="s">
        <v>443</v>
      </c>
      <c r="Q48">
        <v>2026</v>
      </c>
      <c r="R48">
        <v>2041</v>
      </c>
      <c r="S48" t="s">
        <v>444</v>
      </c>
      <c r="T48">
        <v>2034</v>
      </c>
      <c r="U48">
        <v>41.75</v>
      </c>
      <c r="V48">
        <v>1</v>
      </c>
      <c r="W48">
        <v>2034</v>
      </c>
      <c r="X48">
        <v>8</v>
      </c>
      <c r="Y48">
        <v>2034</v>
      </c>
      <c r="Z48">
        <v>1</v>
      </c>
      <c r="AA48">
        <v>120</v>
      </c>
      <c r="AB48">
        <v>180</v>
      </c>
      <c r="AC48">
        <v>120</v>
      </c>
      <c r="AD48">
        <v>180</v>
      </c>
      <c r="AE48">
        <v>0</v>
      </c>
      <c r="AF48">
        <v>0</v>
      </c>
      <c r="AG48">
        <v>120</v>
      </c>
      <c r="AH48">
        <v>180</v>
      </c>
      <c r="AI48">
        <v>1</v>
      </c>
      <c r="AJ48">
        <v>2.7519999999999998</v>
      </c>
      <c r="AK48">
        <v>2035</v>
      </c>
      <c r="AL48" s="61">
        <v>2.8420000000000001</v>
      </c>
      <c r="AM48" s="61">
        <v>2.7519999999999998</v>
      </c>
      <c r="AN48" s="61">
        <v>2.8420000000000001</v>
      </c>
      <c r="AO48">
        <v>1.2092942481281721</v>
      </c>
      <c r="AP48">
        <v>1.0283854649181425</v>
      </c>
      <c r="AQ48">
        <v>1.2436206275841259</v>
      </c>
      <c r="AR48" t="b">
        <v>0</v>
      </c>
      <c r="AS48">
        <v>96.492449014064363</v>
      </c>
      <c r="AT48">
        <v>144.73867352109656</v>
      </c>
      <c r="AU48">
        <v>120.61556126758046</v>
      </c>
    </row>
    <row r="49" spans="1:47" x14ac:dyDescent="0.25">
      <c r="A49" t="s">
        <v>349</v>
      </c>
      <c r="B49" t="s">
        <v>447</v>
      </c>
      <c r="C49" t="s">
        <v>320</v>
      </c>
      <c r="D49">
        <v>2026</v>
      </c>
      <c r="E49">
        <v>0</v>
      </c>
      <c r="F49">
        <v>15</v>
      </c>
      <c r="G49">
        <v>0</v>
      </c>
      <c r="H49">
        <v>0</v>
      </c>
      <c r="I49">
        <v>30</v>
      </c>
      <c r="J49">
        <v>45</v>
      </c>
      <c r="K49">
        <v>4</v>
      </c>
      <c r="L49">
        <v>2</v>
      </c>
      <c r="M49">
        <v>4</v>
      </c>
      <c r="N49">
        <v>0</v>
      </c>
      <c r="O49" t="s">
        <v>27</v>
      </c>
      <c r="P49" t="s">
        <v>443</v>
      </c>
      <c r="Q49">
        <v>2026</v>
      </c>
      <c r="R49">
        <v>2041</v>
      </c>
      <c r="S49" t="s">
        <v>444</v>
      </c>
      <c r="T49">
        <v>2035</v>
      </c>
      <c r="U49">
        <v>42.75</v>
      </c>
      <c r="V49">
        <v>1</v>
      </c>
      <c r="W49">
        <v>2035</v>
      </c>
      <c r="X49">
        <v>9</v>
      </c>
      <c r="Y49">
        <v>2035</v>
      </c>
      <c r="Z49">
        <v>1</v>
      </c>
      <c r="AA49">
        <v>120</v>
      </c>
      <c r="AB49">
        <v>180</v>
      </c>
      <c r="AC49">
        <v>120</v>
      </c>
      <c r="AD49">
        <v>180</v>
      </c>
      <c r="AE49">
        <v>0</v>
      </c>
      <c r="AF49">
        <v>0</v>
      </c>
      <c r="AG49">
        <v>120</v>
      </c>
      <c r="AH49">
        <v>180</v>
      </c>
      <c r="AI49">
        <v>1</v>
      </c>
      <c r="AJ49">
        <v>2.8420000000000001</v>
      </c>
      <c r="AK49">
        <v>2036</v>
      </c>
      <c r="AL49" s="61">
        <v>2.944</v>
      </c>
      <c r="AM49" s="61">
        <v>2.8420000000000001</v>
      </c>
      <c r="AN49" s="61">
        <v>2.944</v>
      </c>
      <c r="AO49">
        <v>1.2513076834571593</v>
      </c>
      <c r="AP49">
        <v>1.0294008580614105</v>
      </c>
      <c r="AQ49">
        <v>1.2880972030496356</v>
      </c>
      <c r="AR49" t="b">
        <v>0</v>
      </c>
      <c r="AS49">
        <v>93.160671194606977</v>
      </c>
      <c r="AT49">
        <v>139.74100679191045</v>
      </c>
      <c r="AU49">
        <v>116.45083899325871</v>
      </c>
    </row>
    <row r="50" spans="1:47" x14ac:dyDescent="0.25">
      <c r="A50" t="s">
        <v>349</v>
      </c>
      <c r="B50" t="s">
        <v>447</v>
      </c>
      <c r="C50" t="s">
        <v>320</v>
      </c>
      <c r="D50">
        <v>2026</v>
      </c>
      <c r="E50">
        <v>0</v>
      </c>
      <c r="F50">
        <v>15</v>
      </c>
      <c r="G50">
        <v>0</v>
      </c>
      <c r="H50">
        <v>0</v>
      </c>
      <c r="I50">
        <v>30</v>
      </c>
      <c r="J50">
        <v>45</v>
      </c>
      <c r="K50">
        <v>4</v>
      </c>
      <c r="L50">
        <v>2</v>
      </c>
      <c r="M50">
        <v>4</v>
      </c>
      <c r="N50">
        <v>0</v>
      </c>
      <c r="O50" t="s">
        <v>27</v>
      </c>
      <c r="P50" t="s">
        <v>443</v>
      </c>
      <c r="Q50">
        <v>2026</v>
      </c>
      <c r="R50">
        <v>2041</v>
      </c>
      <c r="S50" t="s">
        <v>444</v>
      </c>
      <c r="T50">
        <v>2036</v>
      </c>
      <c r="U50">
        <v>43.75</v>
      </c>
      <c r="V50">
        <v>1</v>
      </c>
      <c r="W50">
        <v>2036</v>
      </c>
      <c r="X50">
        <v>10</v>
      </c>
      <c r="Y50">
        <v>2036</v>
      </c>
      <c r="Z50">
        <v>1</v>
      </c>
      <c r="AA50">
        <v>120</v>
      </c>
      <c r="AB50">
        <v>180</v>
      </c>
      <c r="AC50">
        <v>120</v>
      </c>
      <c r="AD50">
        <v>180</v>
      </c>
      <c r="AE50">
        <v>0</v>
      </c>
      <c r="AF50">
        <v>0</v>
      </c>
      <c r="AG50">
        <v>120</v>
      </c>
      <c r="AH50">
        <v>180</v>
      </c>
      <c r="AI50">
        <v>1</v>
      </c>
      <c r="AJ50">
        <v>2.944</v>
      </c>
      <c r="AK50">
        <v>2037</v>
      </c>
      <c r="AL50" s="61">
        <v>3.036</v>
      </c>
      <c r="AM50" s="61">
        <v>2.944</v>
      </c>
      <c r="AN50" s="61">
        <v>3.036</v>
      </c>
      <c r="AO50">
        <v>1.2984025298030446</v>
      </c>
      <c r="AP50">
        <v>1.0303246971701443</v>
      </c>
      <c r="AQ50">
        <v>1.3377761933242711</v>
      </c>
      <c r="AR50" t="b">
        <v>0</v>
      </c>
      <c r="AS50">
        <v>89.701102919023555</v>
      </c>
      <c r="AT50">
        <v>134.55165437853535</v>
      </c>
      <c r="AU50">
        <v>112.12637864877945</v>
      </c>
    </row>
    <row r="51" spans="1:47" x14ac:dyDescent="0.25">
      <c r="A51" t="s">
        <v>349</v>
      </c>
      <c r="B51" t="s">
        <v>447</v>
      </c>
      <c r="C51" t="s">
        <v>320</v>
      </c>
      <c r="D51">
        <v>2026</v>
      </c>
      <c r="E51">
        <v>0</v>
      </c>
      <c r="F51">
        <v>15</v>
      </c>
      <c r="G51">
        <v>0</v>
      </c>
      <c r="H51">
        <v>0</v>
      </c>
      <c r="I51">
        <v>30</v>
      </c>
      <c r="J51">
        <v>45</v>
      </c>
      <c r="K51">
        <v>4</v>
      </c>
      <c r="L51">
        <v>2</v>
      </c>
      <c r="M51">
        <v>4</v>
      </c>
      <c r="N51">
        <v>0</v>
      </c>
      <c r="O51" t="s">
        <v>27</v>
      </c>
      <c r="P51" t="s">
        <v>443</v>
      </c>
      <c r="Q51">
        <v>2026</v>
      </c>
      <c r="R51">
        <v>2041</v>
      </c>
      <c r="S51" t="s">
        <v>444</v>
      </c>
      <c r="T51">
        <v>2037</v>
      </c>
      <c r="U51">
        <v>44.75</v>
      </c>
      <c r="V51">
        <v>1</v>
      </c>
      <c r="W51">
        <v>2037</v>
      </c>
      <c r="X51">
        <v>11</v>
      </c>
      <c r="Y51">
        <v>2037</v>
      </c>
      <c r="Z51">
        <v>1</v>
      </c>
      <c r="AA51">
        <v>120</v>
      </c>
      <c r="AB51">
        <v>180</v>
      </c>
      <c r="AC51">
        <v>120</v>
      </c>
      <c r="AD51">
        <v>180</v>
      </c>
      <c r="AE51">
        <v>0</v>
      </c>
      <c r="AF51">
        <v>0</v>
      </c>
      <c r="AG51">
        <v>120</v>
      </c>
      <c r="AH51">
        <v>180</v>
      </c>
      <c r="AI51">
        <v>1</v>
      </c>
      <c r="AJ51">
        <v>3.036</v>
      </c>
      <c r="AK51">
        <v>2038</v>
      </c>
      <c r="AL51" s="61">
        <v>3.1339999999999999</v>
      </c>
      <c r="AM51" s="61">
        <v>3.036</v>
      </c>
      <c r="AN51" s="61">
        <v>3.1339999999999999</v>
      </c>
      <c r="AO51">
        <v>1.3486209574989538</v>
      </c>
      <c r="AP51">
        <v>1.0313023937742947</v>
      </c>
      <c r="AQ51">
        <v>1.3908360217628524</v>
      </c>
      <c r="AR51" t="b">
        <v>0</v>
      </c>
      <c r="AS51">
        <v>86.279042333044259</v>
      </c>
      <c r="AT51">
        <v>129.41856349956637</v>
      </c>
      <c r="AU51">
        <v>107.84880291630532</v>
      </c>
    </row>
    <row r="52" spans="1:47" x14ac:dyDescent="0.25">
      <c r="A52" t="s">
        <v>349</v>
      </c>
      <c r="B52" t="s">
        <v>447</v>
      </c>
      <c r="C52" t="s">
        <v>320</v>
      </c>
      <c r="D52">
        <v>2026</v>
      </c>
      <c r="E52">
        <v>0</v>
      </c>
      <c r="F52">
        <v>15</v>
      </c>
      <c r="G52">
        <v>0</v>
      </c>
      <c r="H52">
        <v>0</v>
      </c>
      <c r="I52">
        <v>30</v>
      </c>
      <c r="J52">
        <v>45</v>
      </c>
      <c r="K52">
        <v>4</v>
      </c>
      <c r="L52">
        <v>2</v>
      </c>
      <c r="M52">
        <v>4</v>
      </c>
      <c r="N52">
        <v>0</v>
      </c>
      <c r="O52" t="s">
        <v>27</v>
      </c>
      <c r="P52" t="s">
        <v>443</v>
      </c>
      <c r="Q52">
        <v>2026</v>
      </c>
      <c r="R52">
        <v>2041</v>
      </c>
      <c r="S52" t="s">
        <v>444</v>
      </c>
      <c r="T52">
        <v>2038</v>
      </c>
      <c r="U52">
        <v>45.75</v>
      </c>
      <c r="V52">
        <v>1</v>
      </c>
      <c r="W52">
        <v>2038</v>
      </c>
      <c r="X52">
        <v>12</v>
      </c>
      <c r="Y52">
        <v>2038</v>
      </c>
      <c r="Z52">
        <v>1</v>
      </c>
      <c r="AA52">
        <v>120</v>
      </c>
      <c r="AB52">
        <v>180</v>
      </c>
      <c r="AC52">
        <v>120</v>
      </c>
      <c r="AD52">
        <v>180</v>
      </c>
      <c r="AE52">
        <v>0</v>
      </c>
      <c r="AF52">
        <v>0</v>
      </c>
      <c r="AG52">
        <v>120</v>
      </c>
      <c r="AH52">
        <v>180</v>
      </c>
      <c r="AI52">
        <v>1</v>
      </c>
      <c r="AJ52">
        <v>3.1339999999999999</v>
      </c>
      <c r="AK52">
        <v>2039</v>
      </c>
      <c r="AL52" s="61">
        <v>3.2069999999999999</v>
      </c>
      <c r="AM52" s="61">
        <v>3.1339999999999999</v>
      </c>
      <c r="AN52" s="61">
        <v>3.2069999999999999</v>
      </c>
      <c r="AO52">
        <v>1.4041725591738043</v>
      </c>
      <c r="AP52">
        <v>1.0320419904729838</v>
      </c>
      <c r="AQ52">
        <v>1.4491650429372767</v>
      </c>
      <c r="AR52" t="b">
        <v>0</v>
      </c>
      <c r="AS52">
        <v>82.806303246713</v>
      </c>
      <c r="AT52">
        <v>124.20945487006951</v>
      </c>
      <c r="AU52">
        <v>103.50787905839125</v>
      </c>
    </row>
    <row r="53" spans="1:47" x14ac:dyDescent="0.25">
      <c r="A53" t="s">
        <v>349</v>
      </c>
      <c r="B53" t="s">
        <v>447</v>
      </c>
      <c r="C53" t="s">
        <v>320</v>
      </c>
      <c r="D53">
        <v>2026</v>
      </c>
      <c r="E53">
        <v>0</v>
      </c>
      <c r="F53">
        <v>15</v>
      </c>
      <c r="G53">
        <v>0</v>
      </c>
      <c r="H53">
        <v>0</v>
      </c>
      <c r="I53">
        <v>30</v>
      </c>
      <c r="J53">
        <v>45</v>
      </c>
      <c r="K53">
        <v>4</v>
      </c>
      <c r="L53">
        <v>2</v>
      </c>
      <c r="M53">
        <v>4</v>
      </c>
      <c r="N53">
        <v>0</v>
      </c>
      <c r="O53" t="s">
        <v>27</v>
      </c>
      <c r="P53" t="s">
        <v>443</v>
      </c>
      <c r="Q53">
        <v>2026</v>
      </c>
      <c r="R53">
        <v>2041</v>
      </c>
      <c r="S53" t="s">
        <v>444</v>
      </c>
      <c r="T53">
        <v>2039</v>
      </c>
      <c r="U53">
        <v>46.75</v>
      </c>
      <c r="V53">
        <v>1</v>
      </c>
      <c r="W53">
        <v>2039</v>
      </c>
      <c r="X53">
        <v>13</v>
      </c>
      <c r="Y53">
        <v>2039</v>
      </c>
      <c r="Z53">
        <v>1</v>
      </c>
      <c r="AA53">
        <v>120</v>
      </c>
      <c r="AB53">
        <v>180</v>
      </c>
      <c r="AC53">
        <v>120</v>
      </c>
      <c r="AD53">
        <v>180</v>
      </c>
      <c r="AE53">
        <v>0</v>
      </c>
      <c r="AF53">
        <v>0</v>
      </c>
      <c r="AG53">
        <v>120</v>
      </c>
      <c r="AH53">
        <v>180</v>
      </c>
      <c r="AI53">
        <v>1</v>
      </c>
      <c r="AJ53">
        <v>3.2069999999999999</v>
      </c>
      <c r="AK53">
        <v>2040</v>
      </c>
      <c r="AL53" s="61">
        <v>3.3029999999999999</v>
      </c>
      <c r="AM53" s="61">
        <v>3.2069999999999999</v>
      </c>
      <c r="AN53" s="61">
        <v>3.3029999999999999</v>
      </c>
      <c r="AO53">
        <v>1.4605278779269859</v>
      </c>
      <c r="AP53">
        <v>1.0329931616190409</v>
      </c>
      <c r="AQ53">
        <v>1.5087153102525457</v>
      </c>
      <c r="AR53" t="b">
        <v>0</v>
      </c>
      <c r="AS53">
        <v>79.537868532608087</v>
      </c>
      <c r="AT53">
        <v>119.30680279891213</v>
      </c>
      <c r="AU53">
        <v>99.422335665760102</v>
      </c>
    </row>
    <row r="54" spans="1:47" x14ac:dyDescent="0.25">
      <c r="A54" t="s">
        <v>349</v>
      </c>
      <c r="B54" t="s">
        <v>447</v>
      </c>
      <c r="C54" t="s">
        <v>320</v>
      </c>
      <c r="D54">
        <v>2026</v>
      </c>
      <c r="E54">
        <v>0</v>
      </c>
      <c r="F54">
        <v>15</v>
      </c>
      <c r="G54">
        <v>0</v>
      </c>
      <c r="H54">
        <v>0</v>
      </c>
      <c r="I54">
        <v>30</v>
      </c>
      <c r="J54">
        <v>45</v>
      </c>
      <c r="K54">
        <v>4</v>
      </c>
      <c r="L54">
        <v>2</v>
      </c>
      <c r="M54">
        <v>4</v>
      </c>
      <c r="N54">
        <v>0</v>
      </c>
      <c r="O54" t="s">
        <v>27</v>
      </c>
      <c r="P54" t="s">
        <v>443</v>
      </c>
      <c r="Q54">
        <v>2026</v>
      </c>
      <c r="R54">
        <v>2041</v>
      </c>
      <c r="S54" t="s">
        <v>444</v>
      </c>
      <c r="T54">
        <v>2040</v>
      </c>
      <c r="U54">
        <v>47.75</v>
      </c>
      <c r="V54">
        <v>1</v>
      </c>
      <c r="W54">
        <v>2040</v>
      </c>
      <c r="X54">
        <v>14</v>
      </c>
      <c r="Y54">
        <v>2040</v>
      </c>
      <c r="Z54">
        <v>1</v>
      </c>
      <c r="AA54">
        <v>120</v>
      </c>
      <c r="AB54">
        <v>180</v>
      </c>
      <c r="AC54">
        <v>120</v>
      </c>
      <c r="AD54">
        <v>180</v>
      </c>
      <c r="AE54">
        <v>0</v>
      </c>
      <c r="AF54">
        <v>0</v>
      </c>
      <c r="AG54">
        <v>120</v>
      </c>
      <c r="AH54">
        <v>180</v>
      </c>
      <c r="AI54">
        <v>1</v>
      </c>
      <c r="AJ54">
        <v>3.3029999999999999</v>
      </c>
      <c r="AK54">
        <v>2041</v>
      </c>
      <c r="AL54" s="61">
        <v>3.3559999999999999</v>
      </c>
      <c r="AM54" s="61">
        <v>3.3029999999999999</v>
      </c>
      <c r="AN54" s="61">
        <v>3.3559999999999999</v>
      </c>
      <c r="AO54">
        <v>1.5256964700083253</v>
      </c>
      <c r="AP54">
        <v>1.0335396662189136</v>
      </c>
      <c r="AQ54">
        <v>1.5768678203637791</v>
      </c>
      <c r="AR54" t="b">
        <v>0</v>
      </c>
      <c r="AS54">
        <v>76.100227584272929</v>
      </c>
      <c r="AT54">
        <v>114.1503413764094</v>
      </c>
      <c r="AU54">
        <v>95.125284480341165</v>
      </c>
    </row>
    <row r="55" spans="1:47" x14ac:dyDescent="0.25">
      <c r="A55" t="s">
        <v>349</v>
      </c>
      <c r="B55" t="s">
        <v>447</v>
      </c>
      <c r="C55" t="s">
        <v>320</v>
      </c>
      <c r="D55">
        <v>2026</v>
      </c>
      <c r="E55">
        <v>0</v>
      </c>
      <c r="M55">
        <v>4</v>
      </c>
      <c r="Q55">
        <v>2026</v>
      </c>
      <c r="R55">
        <v>2041</v>
      </c>
      <c r="T55">
        <v>2041</v>
      </c>
      <c r="U55">
        <v>48.75</v>
      </c>
      <c r="W55">
        <v>2041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L55" s="61"/>
      <c r="AS55">
        <v>0</v>
      </c>
      <c r="AT55">
        <v>0</v>
      </c>
      <c r="AU55">
        <v>0</v>
      </c>
    </row>
    <row r="56" spans="1:47" x14ac:dyDescent="0.25">
      <c r="A56" t="s">
        <v>323</v>
      </c>
      <c r="B56" t="s">
        <v>448</v>
      </c>
      <c r="C56" t="s">
        <v>319</v>
      </c>
      <c r="D56">
        <v>2026</v>
      </c>
      <c r="E56">
        <v>0</v>
      </c>
      <c r="F56">
        <v>10</v>
      </c>
      <c r="G56">
        <v>0</v>
      </c>
      <c r="H56">
        <v>0</v>
      </c>
      <c r="I56">
        <v>50</v>
      </c>
      <c r="J56">
        <v>250</v>
      </c>
      <c r="K56">
        <v>1</v>
      </c>
      <c r="L56">
        <v>1</v>
      </c>
      <c r="M56">
        <v>5</v>
      </c>
      <c r="N56">
        <v>0</v>
      </c>
      <c r="O56" t="s">
        <v>27</v>
      </c>
      <c r="P56" t="s">
        <v>443</v>
      </c>
      <c r="Q56">
        <v>2026</v>
      </c>
      <c r="R56">
        <v>2036</v>
      </c>
      <c r="S56" t="s">
        <v>444</v>
      </c>
      <c r="T56">
        <v>2026</v>
      </c>
      <c r="U56">
        <v>33.75</v>
      </c>
      <c r="V56">
        <v>1</v>
      </c>
      <c r="W56">
        <v>2026</v>
      </c>
      <c r="X56">
        <v>0</v>
      </c>
      <c r="Y56">
        <v>2026</v>
      </c>
      <c r="Z56">
        <v>1</v>
      </c>
      <c r="AA56">
        <v>50</v>
      </c>
      <c r="AB56">
        <v>250</v>
      </c>
      <c r="AC56">
        <v>50</v>
      </c>
      <c r="AD56">
        <v>250</v>
      </c>
      <c r="AE56">
        <v>0</v>
      </c>
      <c r="AF56">
        <v>0</v>
      </c>
      <c r="AG56">
        <v>50</v>
      </c>
      <c r="AH56">
        <v>250</v>
      </c>
      <c r="AI56">
        <v>1</v>
      </c>
      <c r="AK56">
        <v>2027</v>
      </c>
      <c r="AL56" s="61">
        <v>2.4329999999999998</v>
      </c>
      <c r="AM56" s="61">
        <v>0</v>
      </c>
      <c r="AN56" s="61">
        <v>2.4329999999999998</v>
      </c>
      <c r="AO56">
        <v>1</v>
      </c>
      <c r="AP56">
        <v>1.023385968321771</v>
      </c>
      <c r="AQ56">
        <v>1.023385968321771</v>
      </c>
      <c r="AR56" t="b">
        <v>1</v>
      </c>
      <c r="AS56">
        <v>50</v>
      </c>
      <c r="AT56">
        <v>250</v>
      </c>
      <c r="AU56">
        <v>150</v>
      </c>
    </row>
    <row r="57" spans="1:47" x14ac:dyDescent="0.25">
      <c r="A57" t="s">
        <v>323</v>
      </c>
      <c r="B57" t="s">
        <v>448</v>
      </c>
      <c r="C57" t="s">
        <v>319</v>
      </c>
      <c r="D57">
        <v>2026</v>
      </c>
      <c r="E57">
        <v>0</v>
      </c>
      <c r="F57">
        <v>10</v>
      </c>
      <c r="G57">
        <v>0</v>
      </c>
      <c r="H57">
        <v>0</v>
      </c>
      <c r="I57">
        <v>50</v>
      </c>
      <c r="J57">
        <v>250</v>
      </c>
      <c r="K57">
        <v>1</v>
      </c>
      <c r="L57">
        <v>1</v>
      </c>
      <c r="M57">
        <v>5</v>
      </c>
      <c r="N57">
        <v>0</v>
      </c>
      <c r="O57" t="s">
        <v>27</v>
      </c>
      <c r="P57" t="s">
        <v>443</v>
      </c>
      <c r="Q57">
        <v>2026</v>
      </c>
      <c r="R57">
        <v>2036</v>
      </c>
      <c r="S57" t="s">
        <v>444</v>
      </c>
      <c r="T57">
        <v>2027</v>
      </c>
      <c r="U57">
        <v>34.75</v>
      </c>
      <c r="V57">
        <v>1</v>
      </c>
      <c r="W57">
        <v>2027</v>
      </c>
      <c r="X57">
        <v>1</v>
      </c>
      <c r="Y57">
        <v>2027</v>
      </c>
      <c r="Z57">
        <v>1</v>
      </c>
      <c r="AA57">
        <v>50</v>
      </c>
      <c r="AB57">
        <v>250</v>
      </c>
      <c r="AC57">
        <v>50</v>
      </c>
      <c r="AD57">
        <v>250</v>
      </c>
      <c r="AE57">
        <v>0</v>
      </c>
      <c r="AF57">
        <v>0</v>
      </c>
      <c r="AG57">
        <v>50</v>
      </c>
      <c r="AH57">
        <v>250</v>
      </c>
      <c r="AI57">
        <v>1</v>
      </c>
      <c r="AJ57">
        <v>2.4329999999999998</v>
      </c>
      <c r="AK57">
        <v>2028</v>
      </c>
      <c r="AL57" s="61">
        <v>2.4220000000000002</v>
      </c>
      <c r="AM57" s="61">
        <v>2.4329999999999998</v>
      </c>
      <c r="AN57" s="61">
        <v>2.4220000000000002</v>
      </c>
      <c r="AO57">
        <v>1</v>
      </c>
      <c r="AP57">
        <v>1.0242242189602202</v>
      </c>
      <c r="AQ57">
        <v>1.0242242189602202</v>
      </c>
      <c r="AR57" t="b">
        <v>0</v>
      </c>
      <c r="AS57">
        <v>48.817435747379008</v>
      </c>
      <c r="AT57">
        <v>244.08717873689505</v>
      </c>
      <c r="AU57">
        <v>146.45230724213704</v>
      </c>
    </row>
    <row r="58" spans="1:47" x14ac:dyDescent="0.25">
      <c r="A58" t="s">
        <v>323</v>
      </c>
      <c r="B58" t="s">
        <v>448</v>
      </c>
      <c r="C58" t="s">
        <v>319</v>
      </c>
      <c r="D58">
        <v>2026</v>
      </c>
      <c r="E58">
        <v>0</v>
      </c>
      <c r="F58">
        <v>10</v>
      </c>
      <c r="G58">
        <v>0</v>
      </c>
      <c r="H58">
        <v>0</v>
      </c>
      <c r="I58">
        <v>50</v>
      </c>
      <c r="J58">
        <v>250</v>
      </c>
      <c r="K58">
        <v>1</v>
      </c>
      <c r="L58">
        <v>1</v>
      </c>
      <c r="M58">
        <v>5</v>
      </c>
      <c r="N58">
        <v>0</v>
      </c>
      <c r="O58" t="s">
        <v>27</v>
      </c>
      <c r="P58" t="s">
        <v>443</v>
      </c>
      <c r="Q58">
        <v>2026</v>
      </c>
      <c r="R58">
        <v>2036</v>
      </c>
      <c r="S58" t="s">
        <v>444</v>
      </c>
      <c r="T58">
        <v>2028</v>
      </c>
      <c r="U58">
        <v>35.75</v>
      </c>
      <c r="V58">
        <v>1</v>
      </c>
      <c r="W58">
        <v>2028</v>
      </c>
      <c r="X58">
        <v>2</v>
      </c>
      <c r="Y58">
        <v>2028</v>
      </c>
      <c r="Z58">
        <v>1</v>
      </c>
      <c r="AA58">
        <v>50</v>
      </c>
      <c r="AB58">
        <v>250</v>
      </c>
      <c r="AC58">
        <v>50</v>
      </c>
      <c r="AD58">
        <v>250</v>
      </c>
      <c r="AE58">
        <v>0</v>
      </c>
      <c r="AF58">
        <v>0</v>
      </c>
      <c r="AG58">
        <v>50</v>
      </c>
      <c r="AH58">
        <v>250</v>
      </c>
      <c r="AI58">
        <v>1</v>
      </c>
      <c r="AJ58">
        <v>2.4220000000000002</v>
      </c>
      <c r="AK58">
        <v>2029</v>
      </c>
      <c r="AL58" s="61">
        <v>2.4209999999999998</v>
      </c>
      <c r="AM58" s="61">
        <v>2.4220000000000002</v>
      </c>
      <c r="AN58" s="61">
        <v>2.4209999999999998</v>
      </c>
      <c r="AO58">
        <v>1.0242199999999999</v>
      </c>
      <c r="AP58">
        <v>1.0242103835598433</v>
      </c>
      <c r="AQ58">
        <v>1.0490167590496626</v>
      </c>
      <c r="AR58" t="b">
        <v>0</v>
      </c>
      <c r="AS58">
        <v>47.66368084080618</v>
      </c>
      <c r="AT58">
        <v>238.31840420403091</v>
      </c>
      <c r="AU58">
        <v>142.99104252241855</v>
      </c>
    </row>
    <row r="59" spans="1:47" x14ac:dyDescent="0.25">
      <c r="A59" t="s">
        <v>323</v>
      </c>
      <c r="B59" t="s">
        <v>448</v>
      </c>
      <c r="C59" t="s">
        <v>319</v>
      </c>
      <c r="D59">
        <v>2026</v>
      </c>
      <c r="E59">
        <v>0</v>
      </c>
      <c r="F59">
        <v>10</v>
      </c>
      <c r="G59">
        <v>0</v>
      </c>
      <c r="H59">
        <v>0</v>
      </c>
      <c r="I59">
        <v>50</v>
      </c>
      <c r="J59">
        <v>250</v>
      </c>
      <c r="K59">
        <v>1</v>
      </c>
      <c r="L59">
        <v>1</v>
      </c>
      <c r="M59">
        <v>5</v>
      </c>
      <c r="N59">
        <v>0</v>
      </c>
      <c r="O59" t="s">
        <v>27</v>
      </c>
      <c r="P59" t="s">
        <v>443</v>
      </c>
      <c r="Q59">
        <v>2026</v>
      </c>
      <c r="R59">
        <v>2036</v>
      </c>
      <c r="S59" t="s">
        <v>444</v>
      </c>
      <c r="T59">
        <v>2029</v>
      </c>
      <c r="U59">
        <v>36.75</v>
      </c>
      <c r="V59">
        <v>1</v>
      </c>
      <c r="W59">
        <v>2029</v>
      </c>
      <c r="X59">
        <v>3</v>
      </c>
      <c r="Y59">
        <v>2029</v>
      </c>
      <c r="Z59">
        <v>1</v>
      </c>
      <c r="AA59">
        <v>50</v>
      </c>
      <c r="AB59">
        <v>250</v>
      </c>
      <c r="AC59">
        <v>50</v>
      </c>
      <c r="AD59">
        <v>250</v>
      </c>
      <c r="AE59">
        <v>0</v>
      </c>
      <c r="AF59">
        <v>0</v>
      </c>
      <c r="AG59">
        <v>50</v>
      </c>
      <c r="AH59">
        <v>250</v>
      </c>
      <c r="AI59">
        <v>1</v>
      </c>
      <c r="AJ59">
        <v>2.4209999999999998</v>
      </c>
      <c r="AK59">
        <v>2030</v>
      </c>
      <c r="AL59" s="61">
        <v>2.4670000000000001</v>
      </c>
      <c r="AM59" s="61">
        <v>2.4209999999999998</v>
      </c>
      <c r="AN59" s="61">
        <v>2.4670000000000001</v>
      </c>
      <c r="AO59">
        <v>1.0490061241000002</v>
      </c>
      <c r="AP59">
        <v>1.0246523523547908</v>
      </c>
      <c r="AQ59">
        <v>1.0748665926936467</v>
      </c>
      <c r="AR59" t="b">
        <v>0</v>
      </c>
      <c r="AS59">
        <v>46.517400708025129</v>
      </c>
      <c r="AT59">
        <v>232.58700354012564</v>
      </c>
      <c r="AU59">
        <v>139.55220212407539</v>
      </c>
    </row>
    <row r="60" spans="1:47" x14ac:dyDescent="0.25">
      <c r="A60" t="s">
        <v>323</v>
      </c>
      <c r="B60" t="s">
        <v>448</v>
      </c>
      <c r="C60" t="s">
        <v>319</v>
      </c>
      <c r="D60">
        <v>2026</v>
      </c>
      <c r="E60">
        <v>0</v>
      </c>
      <c r="F60">
        <v>10</v>
      </c>
      <c r="G60">
        <v>0</v>
      </c>
      <c r="H60">
        <v>0</v>
      </c>
      <c r="I60">
        <v>50</v>
      </c>
      <c r="J60">
        <v>250</v>
      </c>
      <c r="K60">
        <v>1</v>
      </c>
      <c r="L60">
        <v>1</v>
      </c>
      <c r="M60">
        <v>5</v>
      </c>
      <c r="N60">
        <v>0</v>
      </c>
      <c r="O60" t="s">
        <v>27</v>
      </c>
      <c r="P60" t="s">
        <v>443</v>
      </c>
      <c r="Q60">
        <v>2026</v>
      </c>
      <c r="R60">
        <v>2036</v>
      </c>
      <c r="S60" t="s">
        <v>444</v>
      </c>
      <c r="T60">
        <v>2030</v>
      </c>
      <c r="U60">
        <v>37.75</v>
      </c>
      <c r="V60">
        <v>1</v>
      </c>
      <c r="W60">
        <v>2030</v>
      </c>
      <c r="X60">
        <v>4</v>
      </c>
      <c r="Y60">
        <v>2030</v>
      </c>
      <c r="Z60">
        <v>1</v>
      </c>
      <c r="AA60">
        <v>50</v>
      </c>
      <c r="AB60">
        <v>250</v>
      </c>
      <c r="AC60">
        <v>50</v>
      </c>
      <c r="AD60">
        <v>250</v>
      </c>
      <c r="AE60">
        <v>0</v>
      </c>
      <c r="AF60">
        <v>0</v>
      </c>
      <c r="AG60">
        <v>50</v>
      </c>
      <c r="AH60">
        <v>250</v>
      </c>
      <c r="AI60">
        <v>1</v>
      </c>
      <c r="AJ60">
        <v>2.4670000000000001</v>
      </c>
      <c r="AK60">
        <v>2031</v>
      </c>
      <c r="AL60" s="61">
        <v>2.5169999999999999</v>
      </c>
      <c r="AM60" s="61">
        <v>2.4670000000000001</v>
      </c>
      <c r="AN60" s="61">
        <v>2.5169999999999999</v>
      </c>
      <c r="AO60">
        <v>1.0758508410815628</v>
      </c>
      <c r="AP60">
        <v>1.0251508174189523</v>
      </c>
      <c r="AQ60">
        <v>1.1029093691556315</v>
      </c>
      <c r="AR60" t="b">
        <v>0</v>
      </c>
      <c r="AS60">
        <v>45.334640722364284</v>
      </c>
      <c r="AT60">
        <v>226.67320361182144</v>
      </c>
      <c r="AU60">
        <v>136.00392216709287</v>
      </c>
    </row>
    <row r="61" spans="1:47" x14ac:dyDescent="0.25">
      <c r="A61" t="s">
        <v>323</v>
      </c>
      <c r="B61" t="s">
        <v>448</v>
      </c>
      <c r="C61" t="s">
        <v>319</v>
      </c>
      <c r="D61">
        <v>2026</v>
      </c>
      <c r="E61">
        <v>0</v>
      </c>
      <c r="F61">
        <v>10</v>
      </c>
      <c r="G61">
        <v>0</v>
      </c>
      <c r="H61">
        <v>0</v>
      </c>
      <c r="I61">
        <v>50</v>
      </c>
      <c r="J61">
        <v>250</v>
      </c>
      <c r="K61">
        <v>1</v>
      </c>
      <c r="L61">
        <v>1</v>
      </c>
      <c r="M61">
        <v>5</v>
      </c>
      <c r="N61">
        <v>0</v>
      </c>
      <c r="O61" t="s">
        <v>27</v>
      </c>
      <c r="P61" t="s">
        <v>443</v>
      </c>
      <c r="Q61">
        <v>2026</v>
      </c>
      <c r="R61">
        <v>2036</v>
      </c>
      <c r="S61" t="s">
        <v>444</v>
      </c>
      <c r="T61">
        <v>2031</v>
      </c>
      <c r="U61">
        <v>38.75</v>
      </c>
      <c r="V61">
        <v>1</v>
      </c>
      <c r="W61">
        <v>2031</v>
      </c>
      <c r="X61">
        <v>5</v>
      </c>
      <c r="Y61">
        <v>2031</v>
      </c>
      <c r="Z61">
        <v>1</v>
      </c>
      <c r="AA61">
        <v>50</v>
      </c>
      <c r="AB61">
        <v>250</v>
      </c>
      <c r="AC61">
        <v>50</v>
      </c>
      <c r="AD61">
        <v>250</v>
      </c>
      <c r="AE61">
        <v>0</v>
      </c>
      <c r="AF61">
        <v>0</v>
      </c>
      <c r="AG61">
        <v>50</v>
      </c>
      <c r="AH61">
        <v>250</v>
      </c>
      <c r="AI61">
        <v>1</v>
      </c>
      <c r="AJ61">
        <v>2.5169999999999999</v>
      </c>
      <c r="AK61">
        <v>2032</v>
      </c>
      <c r="AL61" s="61">
        <v>2.59</v>
      </c>
      <c r="AM61" s="61">
        <v>2.5169999999999999</v>
      </c>
      <c r="AN61" s="61">
        <v>2.59</v>
      </c>
      <c r="AO61">
        <v>1.1045453584485188</v>
      </c>
      <c r="AP61">
        <v>1.0258719904156592</v>
      </c>
      <c r="AQ61">
        <v>1.1331221453759597</v>
      </c>
      <c r="AR61" t="b">
        <v>0</v>
      </c>
      <c r="AS61">
        <v>44.125869575526167</v>
      </c>
      <c r="AT61">
        <v>220.62934787763083</v>
      </c>
      <c r="AU61">
        <v>132.3776087265785</v>
      </c>
    </row>
    <row r="62" spans="1:47" x14ac:dyDescent="0.25">
      <c r="A62" t="s">
        <v>323</v>
      </c>
      <c r="B62" t="s">
        <v>448</v>
      </c>
      <c r="C62" t="s">
        <v>319</v>
      </c>
      <c r="D62">
        <v>2026</v>
      </c>
      <c r="E62">
        <v>0</v>
      </c>
      <c r="F62">
        <v>10</v>
      </c>
      <c r="G62">
        <v>0</v>
      </c>
      <c r="H62">
        <v>0</v>
      </c>
      <c r="I62">
        <v>50</v>
      </c>
      <c r="J62">
        <v>250</v>
      </c>
      <c r="K62">
        <v>1</v>
      </c>
      <c r="L62">
        <v>1</v>
      </c>
      <c r="M62">
        <v>5</v>
      </c>
      <c r="N62">
        <v>0</v>
      </c>
      <c r="O62" t="s">
        <v>27</v>
      </c>
      <c r="P62" t="s">
        <v>443</v>
      </c>
      <c r="Q62">
        <v>2026</v>
      </c>
      <c r="R62">
        <v>2036</v>
      </c>
      <c r="S62" t="s">
        <v>444</v>
      </c>
      <c r="T62">
        <v>2032</v>
      </c>
      <c r="U62">
        <v>39.75</v>
      </c>
      <c r="V62">
        <v>1</v>
      </c>
      <c r="W62">
        <v>2032</v>
      </c>
      <c r="X62">
        <v>6</v>
      </c>
      <c r="Y62">
        <v>2032</v>
      </c>
      <c r="Z62">
        <v>1</v>
      </c>
      <c r="AA62">
        <v>50</v>
      </c>
      <c r="AB62">
        <v>250</v>
      </c>
      <c r="AC62">
        <v>50</v>
      </c>
      <c r="AD62">
        <v>250</v>
      </c>
      <c r="AE62">
        <v>0</v>
      </c>
      <c r="AF62">
        <v>0</v>
      </c>
      <c r="AG62">
        <v>50</v>
      </c>
      <c r="AH62">
        <v>250</v>
      </c>
      <c r="AI62">
        <v>1</v>
      </c>
      <c r="AJ62">
        <v>2.59</v>
      </c>
      <c r="AK62">
        <v>2033</v>
      </c>
      <c r="AL62" s="61">
        <v>2.6880000000000002</v>
      </c>
      <c r="AM62" s="61">
        <v>2.59</v>
      </c>
      <c r="AN62" s="61">
        <v>2.6880000000000002</v>
      </c>
      <c r="AO62">
        <v>1.1363841013749196</v>
      </c>
      <c r="AP62">
        <v>1.0268423936996114</v>
      </c>
      <c r="AQ62">
        <v>1.1668873708180043</v>
      </c>
      <c r="AR62" t="b">
        <v>0</v>
      </c>
      <c r="AS62">
        <v>42.849036891151975</v>
      </c>
      <c r="AT62">
        <v>214.24518445575987</v>
      </c>
      <c r="AU62">
        <v>128.54711067345593</v>
      </c>
    </row>
    <row r="63" spans="1:47" x14ac:dyDescent="0.25">
      <c r="A63" t="s">
        <v>323</v>
      </c>
      <c r="B63" t="s">
        <v>448</v>
      </c>
      <c r="C63" t="s">
        <v>319</v>
      </c>
      <c r="D63">
        <v>2026</v>
      </c>
      <c r="E63">
        <v>0</v>
      </c>
      <c r="F63">
        <v>10</v>
      </c>
      <c r="G63">
        <v>0</v>
      </c>
      <c r="H63">
        <v>0</v>
      </c>
      <c r="I63">
        <v>50</v>
      </c>
      <c r="J63">
        <v>250</v>
      </c>
      <c r="K63">
        <v>1</v>
      </c>
      <c r="L63">
        <v>1</v>
      </c>
      <c r="M63">
        <v>5</v>
      </c>
      <c r="N63">
        <v>0</v>
      </c>
      <c r="O63" t="s">
        <v>27</v>
      </c>
      <c r="P63" t="s">
        <v>443</v>
      </c>
      <c r="Q63">
        <v>2026</v>
      </c>
      <c r="R63">
        <v>2036</v>
      </c>
      <c r="S63" t="s">
        <v>444</v>
      </c>
      <c r="T63">
        <v>2033</v>
      </c>
      <c r="U63">
        <v>40.75</v>
      </c>
      <c r="V63">
        <v>1</v>
      </c>
      <c r="W63">
        <v>2033</v>
      </c>
      <c r="X63">
        <v>7</v>
      </c>
      <c r="Y63">
        <v>2033</v>
      </c>
      <c r="Z63">
        <v>1</v>
      </c>
      <c r="AA63">
        <v>50</v>
      </c>
      <c r="AB63">
        <v>250</v>
      </c>
      <c r="AC63">
        <v>50</v>
      </c>
      <c r="AD63">
        <v>250</v>
      </c>
      <c r="AE63">
        <v>0</v>
      </c>
      <c r="AF63">
        <v>0</v>
      </c>
      <c r="AG63">
        <v>50</v>
      </c>
      <c r="AH63">
        <v>250</v>
      </c>
      <c r="AI63">
        <v>1</v>
      </c>
      <c r="AJ63">
        <v>2.6880000000000002</v>
      </c>
      <c r="AK63">
        <v>2034</v>
      </c>
      <c r="AL63" s="61">
        <v>2.7519999999999998</v>
      </c>
      <c r="AM63" s="61">
        <v>2.6880000000000002</v>
      </c>
      <c r="AN63" s="61">
        <v>2.7519999999999998</v>
      </c>
      <c r="AO63">
        <v>1.1725143659072164</v>
      </c>
      <c r="AP63">
        <v>1.0274954447000768</v>
      </c>
      <c r="AQ63">
        <v>1.2047531698150638</v>
      </c>
      <c r="AR63" t="b">
        <v>0</v>
      </c>
      <c r="AS63">
        <v>41.502277190667428</v>
      </c>
      <c r="AT63">
        <v>207.51138595333714</v>
      </c>
      <c r="AU63">
        <v>124.50683157200228</v>
      </c>
    </row>
    <row r="64" spans="1:47" x14ac:dyDescent="0.25">
      <c r="A64" t="s">
        <v>323</v>
      </c>
      <c r="B64" t="s">
        <v>448</v>
      </c>
      <c r="C64" t="s">
        <v>319</v>
      </c>
      <c r="D64">
        <v>2026</v>
      </c>
      <c r="E64">
        <v>0</v>
      </c>
      <c r="F64">
        <v>10</v>
      </c>
      <c r="G64">
        <v>0</v>
      </c>
      <c r="H64">
        <v>0</v>
      </c>
      <c r="I64">
        <v>50</v>
      </c>
      <c r="J64">
        <v>250</v>
      </c>
      <c r="K64">
        <v>1</v>
      </c>
      <c r="L64">
        <v>1</v>
      </c>
      <c r="M64">
        <v>5</v>
      </c>
      <c r="N64">
        <v>0</v>
      </c>
      <c r="O64" t="s">
        <v>27</v>
      </c>
      <c r="P64" t="s">
        <v>443</v>
      </c>
      <c r="Q64">
        <v>2026</v>
      </c>
      <c r="R64">
        <v>2036</v>
      </c>
      <c r="S64" t="s">
        <v>444</v>
      </c>
      <c r="T64">
        <v>2034</v>
      </c>
      <c r="U64">
        <v>41.75</v>
      </c>
      <c r="V64">
        <v>1</v>
      </c>
      <c r="W64">
        <v>2034</v>
      </c>
      <c r="X64">
        <v>8</v>
      </c>
      <c r="Y64">
        <v>2034</v>
      </c>
      <c r="Z64">
        <v>1</v>
      </c>
      <c r="AA64">
        <v>50</v>
      </c>
      <c r="AB64">
        <v>250</v>
      </c>
      <c r="AC64">
        <v>50</v>
      </c>
      <c r="AD64">
        <v>250</v>
      </c>
      <c r="AE64">
        <v>0</v>
      </c>
      <c r="AF64">
        <v>0</v>
      </c>
      <c r="AG64">
        <v>50</v>
      </c>
      <c r="AH64">
        <v>250</v>
      </c>
      <c r="AI64">
        <v>1</v>
      </c>
      <c r="AJ64">
        <v>2.7519999999999998</v>
      </c>
      <c r="AK64">
        <v>2035</v>
      </c>
      <c r="AL64" s="61">
        <v>2.8420000000000001</v>
      </c>
      <c r="AM64" s="61">
        <v>2.7519999999999998</v>
      </c>
      <c r="AN64" s="61">
        <v>2.8420000000000001</v>
      </c>
      <c r="AO64">
        <v>1.2092942481281721</v>
      </c>
      <c r="AP64">
        <v>1.0283854649181425</v>
      </c>
      <c r="AQ64">
        <v>1.2436206275841259</v>
      </c>
      <c r="AR64" t="b">
        <v>0</v>
      </c>
      <c r="AS64">
        <v>40.205187089193487</v>
      </c>
      <c r="AT64">
        <v>201.02593544596743</v>
      </c>
      <c r="AU64">
        <v>120.61556126758046</v>
      </c>
    </row>
    <row r="65" spans="1:47" x14ac:dyDescent="0.25">
      <c r="A65" t="s">
        <v>323</v>
      </c>
      <c r="B65" t="s">
        <v>448</v>
      </c>
      <c r="C65" t="s">
        <v>319</v>
      </c>
      <c r="D65">
        <v>2026</v>
      </c>
      <c r="E65">
        <v>0</v>
      </c>
      <c r="F65">
        <v>10</v>
      </c>
      <c r="G65">
        <v>0</v>
      </c>
      <c r="H65">
        <v>0</v>
      </c>
      <c r="I65">
        <v>50</v>
      </c>
      <c r="J65">
        <v>250</v>
      </c>
      <c r="K65">
        <v>1</v>
      </c>
      <c r="L65">
        <v>1</v>
      </c>
      <c r="M65">
        <v>5</v>
      </c>
      <c r="N65">
        <v>0</v>
      </c>
      <c r="O65" t="s">
        <v>27</v>
      </c>
      <c r="P65" t="s">
        <v>443</v>
      </c>
      <c r="Q65">
        <v>2026</v>
      </c>
      <c r="R65">
        <v>2036</v>
      </c>
      <c r="S65" t="s">
        <v>444</v>
      </c>
      <c r="T65">
        <v>2035</v>
      </c>
      <c r="U65">
        <v>42.75</v>
      </c>
      <c r="V65">
        <v>1</v>
      </c>
      <c r="W65">
        <v>2035</v>
      </c>
      <c r="X65">
        <v>9</v>
      </c>
      <c r="Y65">
        <v>2035</v>
      </c>
      <c r="Z65">
        <v>1</v>
      </c>
      <c r="AA65">
        <v>50</v>
      </c>
      <c r="AB65">
        <v>250</v>
      </c>
      <c r="AC65">
        <v>50</v>
      </c>
      <c r="AD65">
        <v>250</v>
      </c>
      <c r="AE65">
        <v>0</v>
      </c>
      <c r="AF65">
        <v>0</v>
      </c>
      <c r="AG65">
        <v>50</v>
      </c>
      <c r="AH65">
        <v>250</v>
      </c>
      <c r="AI65">
        <v>1</v>
      </c>
      <c r="AJ65">
        <v>2.8420000000000001</v>
      </c>
      <c r="AK65">
        <v>2036</v>
      </c>
      <c r="AL65" s="61">
        <v>2.944</v>
      </c>
      <c r="AM65" s="61">
        <v>2.8420000000000001</v>
      </c>
      <c r="AN65" s="61">
        <v>2.944</v>
      </c>
      <c r="AO65">
        <v>1.2513076834571593</v>
      </c>
      <c r="AP65">
        <v>1.0294008580614105</v>
      </c>
      <c r="AQ65">
        <v>1.2880972030496356</v>
      </c>
      <c r="AR65" t="b">
        <v>0</v>
      </c>
      <c r="AS65">
        <v>38.816946331086243</v>
      </c>
      <c r="AT65">
        <v>194.0847316554312</v>
      </c>
      <c r="AU65">
        <v>116.45083899325871</v>
      </c>
    </row>
    <row r="66" spans="1:47" x14ac:dyDescent="0.25">
      <c r="A66" t="s">
        <v>323</v>
      </c>
      <c r="B66" t="s">
        <v>448</v>
      </c>
      <c r="C66" t="s">
        <v>319</v>
      </c>
      <c r="D66">
        <v>2026</v>
      </c>
      <c r="E66">
        <v>0</v>
      </c>
      <c r="M66">
        <v>5</v>
      </c>
      <c r="Q66">
        <v>2026</v>
      </c>
      <c r="R66">
        <v>2036</v>
      </c>
      <c r="T66">
        <v>2036</v>
      </c>
      <c r="U66">
        <v>43.75</v>
      </c>
      <c r="W66">
        <v>2036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L66" s="61"/>
      <c r="AS66">
        <v>0</v>
      </c>
      <c r="AT66">
        <v>0</v>
      </c>
      <c r="AU66">
        <v>0</v>
      </c>
    </row>
    <row r="67" spans="1:47" x14ac:dyDescent="0.25">
      <c r="A67" t="s">
        <v>350</v>
      </c>
      <c r="B67" t="s">
        <v>449</v>
      </c>
      <c r="C67" t="s">
        <v>320</v>
      </c>
      <c r="D67">
        <v>2026</v>
      </c>
      <c r="E67">
        <v>0</v>
      </c>
      <c r="F67">
        <v>15</v>
      </c>
      <c r="G67">
        <v>0</v>
      </c>
      <c r="H67">
        <v>0</v>
      </c>
      <c r="I67">
        <v>30</v>
      </c>
      <c r="J67">
        <v>45</v>
      </c>
      <c r="K67">
        <v>4</v>
      </c>
      <c r="L67">
        <v>2</v>
      </c>
      <c r="M67">
        <v>6</v>
      </c>
      <c r="N67">
        <v>0</v>
      </c>
      <c r="O67" t="s">
        <v>27</v>
      </c>
      <c r="P67" t="s">
        <v>443</v>
      </c>
      <c r="Q67">
        <v>2026</v>
      </c>
      <c r="R67">
        <v>2041</v>
      </c>
      <c r="S67" t="s">
        <v>444</v>
      </c>
      <c r="T67">
        <v>2026</v>
      </c>
      <c r="U67">
        <v>33.75</v>
      </c>
      <c r="V67">
        <v>1</v>
      </c>
      <c r="W67">
        <v>2026</v>
      </c>
      <c r="X67">
        <v>0</v>
      </c>
      <c r="Y67">
        <v>2026</v>
      </c>
      <c r="Z67">
        <v>1</v>
      </c>
      <c r="AA67">
        <v>120</v>
      </c>
      <c r="AB67">
        <v>180</v>
      </c>
      <c r="AC67">
        <v>120</v>
      </c>
      <c r="AD67">
        <v>180</v>
      </c>
      <c r="AE67">
        <v>0</v>
      </c>
      <c r="AF67">
        <v>0</v>
      </c>
      <c r="AG67">
        <v>120</v>
      </c>
      <c r="AH67">
        <v>180</v>
      </c>
      <c r="AI67">
        <v>1</v>
      </c>
      <c r="AK67">
        <v>2027</v>
      </c>
      <c r="AL67" s="61">
        <v>2.4329999999999998</v>
      </c>
      <c r="AM67" s="61">
        <v>0</v>
      </c>
      <c r="AN67" s="61">
        <v>2.4329999999999998</v>
      </c>
      <c r="AO67">
        <v>1</v>
      </c>
      <c r="AP67">
        <v>1.023385968321771</v>
      </c>
      <c r="AQ67">
        <v>1.023385968321771</v>
      </c>
      <c r="AR67" t="b">
        <v>1</v>
      </c>
      <c r="AS67">
        <v>120</v>
      </c>
      <c r="AT67">
        <v>180</v>
      </c>
      <c r="AU67">
        <v>150</v>
      </c>
    </row>
    <row r="68" spans="1:47" x14ac:dyDescent="0.25">
      <c r="A68" t="s">
        <v>350</v>
      </c>
      <c r="B68" t="s">
        <v>449</v>
      </c>
      <c r="C68" t="s">
        <v>320</v>
      </c>
      <c r="D68">
        <v>2026</v>
      </c>
      <c r="E68">
        <v>0</v>
      </c>
      <c r="F68">
        <v>15</v>
      </c>
      <c r="G68">
        <v>0</v>
      </c>
      <c r="H68">
        <v>0</v>
      </c>
      <c r="I68">
        <v>30</v>
      </c>
      <c r="J68">
        <v>45</v>
      </c>
      <c r="K68">
        <v>4</v>
      </c>
      <c r="L68">
        <v>2</v>
      </c>
      <c r="M68">
        <v>6</v>
      </c>
      <c r="N68">
        <v>0</v>
      </c>
      <c r="O68" t="s">
        <v>27</v>
      </c>
      <c r="P68" t="s">
        <v>443</v>
      </c>
      <c r="Q68">
        <v>2026</v>
      </c>
      <c r="R68">
        <v>2041</v>
      </c>
      <c r="S68" t="s">
        <v>444</v>
      </c>
      <c r="T68">
        <v>2027</v>
      </c>
      <c r="U68">
        <v>34.75</v>
      </c>
      <c r="V68">
        <v>1</v>
      </c>
      <c r="W68">
        <v>2027</v>
      </c>
      <c r="X68">
        <v>1</v>
      </c>
      <c r="Y68">
        <v>2027</v>
      </c>
      <c r="Z68">
        <v>1</v>
      </c>
      <c r="AA68">
        <v>120</v>
      </c>
      <c r="AB68">
        <v>180</v>
      </c>
      <c r="AC68">
        <v>120</v>
      </c>
      <c r="AD68">
        <v>180</v>
      </c>
      <c r="AE68">
        <v>0</v>
      </c>
      <c r="AF68">
        <v>0</v>
      </c>
      <c r="AG68">
        <v>120</v>
      </c>
      <c r="AH68">
        <v>180</v>
      </c>
      <c r="AI68">
        <v>1</v>
      </c>
      <c r="AJ68">
        <v>2.4329999999999998</v>
      </c>
      <c r="AK68">
        <v>2028</v>
      </c>
      <c r="AL68" s="61">
        <v>2.4220000000000002</v>
      </c>
      <c r="AM68" s="61">
        <v>2.4329999999999998</v>
      </c>
      <c r="AN68" s="61">
        <v>2.4220000000000002</v>
      </c>
      <c r="AO68">
        <v>1</v>
      </c>
      <c r="AP68">
        <v>1.0242242189602202</v>
      </c>
      <c r="AQ68">
        <v>1.0242242189602202</v>
      </c>
      <c r="AR68" t="b">
        <v>0</v>
      </c>
      <c r="AS68">
        <v>117.16184579370963</v>
      </c>
      <c r="AT68">
        <v>175.74276869056445</v>
      </c>
      <c r="AU68">
        <v>146.45230724213704</v>
      </c>
    </row>
    <row r="69" spans="1:47" x14ac:dyDescent="0.25">
      <c r="A69" t="s">
        <v>350</v>
      </c>
      <c r="B69" t="s">
        <v>449</v>
      </c>
      <c r="C69" t="s">
        <v>320</v>
      </c>
      <c r="D69">
        <v>2026</v>
      </c>
      <c r="E69">
        <v>0</v>
      </c>
      <c r="F69">
        <v>15</v>
      </c>
      <c r="G69">
        <v>0</v>
      </c>
      <c r="H69">
        <v>0</v>
      </c>
      <c r="I69">
        <v>30</v>
      </c>
      <c r="J69">
        <v>45</v>
      </c>
      <c r="K69">
        <v>4</v>
      </c>
      <c r="L69">
        <v>2</v>
      </c>
      <c r="M69">
        <v>6</v>
      </c>
      <c r="N69">
        <v>0</v>
      </c>
      <c r="O69" t="s">
        <v>27</v>
      </c>
      <c r="P69" t="s">
        <v>443</v>
      </c>
      <c r="Q69">
        <v>2026</v>
      </c>
      <c r="R69">
        <v>2041</v>
      </c>
      <c r="S69" t="s">
        <v>444</v>
      </c>
      <c r="T69">
        <v>2028</v>
      </c>
      <c r="U69">
        <v>35.75</v>
      </c>
      <c r="V69">
        <v>1</v>
      </c>
      <c r="W69">
        <v>2028</v>
      </c>
      <c r="X69">
        <v>2</v>
      </c>
      <c r="Y69">
        <v>2028</v>
      </c>
      <c r="Z69">
        <v>1</v>
      </c>
      <c r="AA69">
        <v>120</v>
      </c>
      <c r="AB69">
        <v>180</v>
      </c>
      <c r="AC69">
        <v>120</v>
      </c>
      <c r="AD69">
        <v>180</v>
      </c>
      <c r="AE69">
        <v>0</v>
      </c>
      <c r="AF69">
        <v>0</v>
      </c>
      <c r="AG69">
        <v>120</v>
      </c>
      <c r="AH69">
        <v>180</v>
      </c>
      <c r="AI69">
        <v>1</v>
      </c>
      <c r="AJ69">
        <v>2.4220000000000002</v>
      </c>
      <c r="AK69">
        <v>2029</v>
      </c>
      <c r="AL69" s="61">
        <v>2.4209999999999998</v>
      </c>
      <c r="AM69" s="61">
        <v>2.4220000000000002</v>
      </c>
      <c r="AN69" s="61">
        <v>2.4209999999999998</v>
      </c>
      <c r="AO69">
        <v>1.0242199999999999</v>
      </c>
      <c r="AP69">
        <v>1.0242103835598433</v>
      </c>
      <c r="AQ69">
        <v>1.0490167590496626</v>
      </c>
      <c r="AR69" t="b">
        <v>0</v>
      </c>
      <c r="AS69">
        <v>114.39283401793483</v>
      </c>
      <c r="AT69">
        <v>171.58925102690225</v>
      </c>
      <c r="AU69">
        <v>142.99104252241852</v>
      </c>
    </row>
    <row r="70" spans="1:47" x14ac:dyDescent="0.25">
      <c r="A70" t="s">
        <v>350</v>
      </c>
      <c r="B70" t="s">
        <v>449</v>
      </c>
      <c r="C70" t="s">
        <v>320</v>
      </c>
      <c r="D70">
        <v>2026</v>
      </c>
      <c r="E70">
        <v>0</v>
      </c>
      <c r="F70">
        <v>15</v>
      </c>
      <c r="G70">
        <v>0</v>
      </c>
      <c r="H70">
        <v>0</v>
      </c>
      <c r="I70">
        <v>30</v>
      </c>
      <c r="J70">
        <v>45</v>
      </c>
      <c r="K70">
        <v>4</v>
      </c>
      <c r="L70">
        <v>2</v>
      </c>
      <c r="M70">
        <v>6</v>
      </c>
      <c r="N70">
        <v>0</v>
      </c>
      <c r="O70" t="s">
        <v>27</v>
      </c>
      <c r="P70" t="s">
        <v>443</v>
      </c>
      <c r="Q70">
        <v>2026</v>
      </c>
      <c r="R70">
        <v>2041</v>
      </c>
      <c r="S70" t="s">
        <v>444</v>
      </c>
      <c r="T70">
        <v>2029</v>
      </c>
      <c r="U70">
        <v>36.75</v>
      </c>
      <c r="V70">
        <v>1</v>
      </c>
      <c r="W70">
        <v>2029</v>
      </c>
      <c r="X70">
        <v>3</v>
      </c>
      <c r="Y70">
        <v>2029</v>
      </c>
      <c r="Z70">
        <v>1</v>
      </c>
      <c r="AA70">
        <v>120</v>
      </c>
      <c r="AB70">
        <v>180</v>
      </c>
      <c r="AC70">
        <v>120</v>
      </c>
      <c r="AD70">
        <v>180</v>
      </c>
      <c r="AE70">
        <v>0</v>
      </c>
      <c r="AF70">
        <v>0</v>
      </c>
      <c r="AG70">
        <v>120</v>
      </c>
      <c r="AH70">
        <v>180</v>
      </c>
      <c r="AI70">
        <v>1</v>
      </c>
      <c r="AJ70">
        <v>2.4209999999999998</v>
      </c>
      <c r="AK70">
        <v>2030</v>
      </c>
      <c r="AL70" s="61">
        <v>2.4670000000000001</v>
      </c>
      <c r="AM70" s="61">
        <v>2.4209999999999998</v>
      </c>
      <c r="AN70" s="61">
        <v>2.4670000000000001</v>
      </c>
      <c r="AO70">
        <v>1.0490061241000002</v>
      </c>
      <c r="AP70">
        <v>1.0246523523547908</v>
      </c>
      <c r="AQ70">
        <v>1.0748665926936467</v>
      </c>
      <c r="AR70" t="b">
        <v>0</v>
      </c>
      <c r="AS70">
        <v>111.64176169926031</v>
      </c>
      <c r="AT70">
        <v>167.46264254889047</v>
      </c>
      <c r="AU70">
        <v>139.55220212407539</v>
      </c>
    </row>
    <row r="71" spans="1:47" x14ac:dyDescent="0.25">
      <c r="A71" t="s">
        <v>350</v>
      </c>
      <c r="B71" t="s">
        <v>449</v>
      </c>
      <c r="C71" t="s">
        <v>320</v>
      </c>
      <c r="D71">
        <v>2026</v>
      </c>
      <c r="E71">
        <v>0</v>
      </c>
      <c r="F71">
        <v>15</v>
      </c>
      <c r="G71">
        <v>0</v>
      </c>
      <c r="H71">
        <v>0</v>
      </c>
      <c r="I71">
        <v>30</v>
      </c>
      <c r="J71">
        <v>45</v>
      </c>
      <c r="K71">
        <v>4</v>
      </c>
      <c r="L71">
        <v>2</v>
      </c>
      <c r="M71">
        <v>6</v>
      </c>
      <c r="N71">
        <v>0</v>
      </c>
      <c r="O71" t="s">
        <v>27</v>
      </c>
      <c r="P71" t="s">
        <v>443</v>
      </c>
      <c r="Q71">
        <v>2026</v>
      </c>
      <c r="R71">
        <v>2041</v>
      </c>
      <c r="S71" t="s">
        <v>444</v>
      </c>
      <c r="T71">
        <v>2030</v>
      </c>
      <c r="U71">
        <v>37.75</v>
      </c>
      <c r="V71">
        <v>1</v>
      </c>
      <c r="W71">
        <v>2030</v>
      </c>
      <c r="X71">
        <v>4</v>
      </c>
      <c r="Y71">
        <v>2030</v>
      </c>
      <c r="Z71">
        <v>1</v>
      </c>
      <c r="AA71">
        <v>120</v>
      </c>
      <c r="AB71">
        <v>180</v>
      </c>
      <c r="AC71">
        <v>120</v>
      </c>
      <c r="AD71">
        <v>180</v>
      </c>
      <c r="AE71">
        <v>0</v>
      </c>
      <c r="AF71">
        <v>0</v>
      </c>
      <c r="AG71">
        <v>120</v>
      </c>
      <c r="AH71">
        <v>180</v>
      </c>
      <c r="AI71">
        <v>1</v>
      </c>
      <c r="AJ71">
        <v>2.4670000000000001</v>
      </c>
      <c r="AK71">
        <v>2031</v>
      </c>
      <c r="AL71" s="61">
        <v>2.5169999999999999</v>
      </c>
      <c r="AM71" s="61">
        <v>2.4670000000000001</v>
      </c>
      <c r="AN71" s="61">
        <v>2.5169999999999999</v>
      </c>
      <c r="AO71">
        <v>1.0758508410815628</v>
      </c>
      <c r="AP71">
        <v>1.0251508174189523</v>
      </c>
      <c r="AQ71">
        <v>1.1029093691556315</v>
      </c>
      <c r="AR71" t="b">
        <v>0</v>
      </c>
      <c r="AS71">
        <v>108.80313773367429</v>
      </c>
      <c r="AT71">
        <v>163.20470660051143</v>
      </c>
      <c r="AU71">
        <v>136.00392216709287</v>
      </c>
    </row>
    <row r="72" spans="1:47" x14ac:dyDescent="0.25">
      <c r="A72" t="s">
        <v>350</v>
      </c>
      <c r="B72" t="s">
        <v>449</v>
      </c>
      <c r="C72" t="s">
        <v>320</v>
      </c>
      <c r="D72">
        <v>2026</v>
      </c>
      <c r="E72">
        <v>0</v>
      </c>
      <c r="F72">
        <v>15</v>
      </c>
      <c r="G72">
        <v>0</v>
      </c>
      <c r="H72">
        <v>0</v>
      </c>
      <c r="I72">
        <v>30</v>
      </c>
      <c r="J72">
        <v>45</v>
      </c>
      <c r="K72">
        <v>4</v>
      </c>
      <c r="L72">
        <v>2</v>
      </c>
      <c r="M72">
        <v>6</v>
      </c>
      <c r="N72">
        <v>0</v>
      </c>
      <c r="O72" t="s">
        <v>27</v>
      </c>
      <c r="P72" t="s">
        <v>443</v>
      </c>
      <c r="Q72">
        <v>2026</v>
      </c>
      <c r="R72">
        <v>2041</v>
      </c>
      <c r="S72" t="s">
        <v>444</v>
      </c>
      <c r="T72">
        <v>2031</v>
      </c>
      <c r="U72">
        <v>38.75</v>
      </c>
      <c r="V72">
        <v>1</v>
      </c>
      <c r="W72">
        <v>2031</v>
      </c>
      <c r="X72">
        <v>5</v>
      </c>
      <c r="Y72">
        <v>2031</v>
      </c>
      <c r="Z72">
        <v>1</v>
      </c>
      <c r="AA72">
        <v>120</v>
      </c>
      <c r="AB72">
        <v>180</v>
      </c>
      <c r="AC72">
        <v>120</v>
      </c>
      <c r="AD72">
        <v>180</v>
      </c>
      <c r="AE72">
        <v>0</v>
      </c>
      <c r="AF72">
        <v>0</v>
      </c>
      <c r="AG72">
        <v>120</v>
      </c>
      <c r="AH72">
        <v>180</v>
      </c>
      <c r="AI72">
        <v>1</v>
      </c>
      <c r="AJ72">
        <v>2.5169999999999999</v>
      </c>
      <c r="AK72">
        <v>2032</v>
      </c>
      <c r="AL72" s="61">
        <v>2.59</v>
      </c>
      <c r="AM72" s="61">
        <v>2.5169999999999999</v>
      </c>
      <c r="AN72" s="61">
        <v>2.59</v>
      </c>
      <c r="AO72">
        <v>1.1045453584485188</v>
      </c>
      <c r="AP72">
        <v>1.0258719904156592</v>
      </c>
      <c r="AQ72">
        <v>1.1331221453759597</v>
      </c>
      <c r="AR72" t="b">
        <v>0</v>
      </c>
      <c r="AS72">
        <v>105.90208698126281</v>
      </c>
      <c r="AT72">
        <v>158.85313047189422</v>
      </c>
      <c r="AU72">
        <v>132.3776087265785</v>
      </c>
    </row>
    <row r="73" spans="1:47" x14ac:dyDescent="0.25">
      <c r="A73" t="s">
        <v>350</v>
      </c>
      <c r="B73" t="s">
        <v>449</v>
      </c>
      <c r="C73" t="s">
        <v>320</v>
      </c>
      <c r="D73">
        <v>2026</v>
      </c>
      <c r="E73">
        <v>0</v>
      </c>
      <c r="F73">
        <v>15</v>
      </c>
      <c r="G73">
        <v>0</v>
      </c>
      <c r="H73">
        <v>0</v>
      </c>
      <c r="I73">
        <v>30</v>
      </c>
      <c r="J73">
        <v>45</v>
      </c>
      <c r="K73">
        <v>4</v>
      </c>
      <c r="L73">
        <v>2</v>
      </c>
      <c r="M73">
        <v>6</v>
      </c>
      <c r="N73">
        <v>0</v>
      </c>
      <c r="O73" t="s">
        <v>27</v>
      </c>
      <c r="P73" t="s">
        <v>443</v>
      </c>
      <c r="Q73">
        <v>2026</v>
      </c>
      <c r="R73">
        <v>2041</v>
      </c>
      <c r="S73" t="s">
        <v>444</v>
      </c>
      <c r="T73">
        <v>2032</v>
      </c>
      <c r="U73">
        <v>39.75</v>
      </c>
      <c r="V73">
        <v>1</v>
      </c>
      <c r="W73">
        <v>2032</v>
      </c>
      <c r="X73">
        <v>6</v>
      </c>
      <c r="Y73">
        <v>2032</v>
      </c>
      <c r="Z73">
        <v>1</v>
      </c>
      <c r="AA73">
        <v>120</v>
      </c>
      <c r="AB73">
        <v>180</v>
      </c>
      <c r="AC73">
        <v>120</v>
      </c>
      <c r="AD73">
        <v>180</v>
      </c>
      <c r="AE73">
        <v>0</v>
      </c>
      <c r="AF73">
        <v>0</v>
      </c>
      <c r="AG73">
        <v>120</v>
      </c>
      <c r="AH73">
        <v>180</v>
      </c>
      <c r="AI73">
        <v>1</v>
      </c>
      <c r="AJ73">
        <v>2.59</v>
      </c>
      <c r="AK73">
        <v>2033</v>
      </c>
      <c r="AL73" s="61">
        <v>2.6880000000000002</v>
      </c>
      <c r="AM73" s="61">
        <v>2.59</v>
      </c>
      <c r="AN73" s="61">
        <v>2.6880000000000002</v>
      </c>
      <c r="AO73">
        <v>1.1363841013749196</v>
      </c>
      <c r="AP73">
        <v>1.0268423936996114</v>
      </c>
      <c r="AQ73">
        <v>1.1668873708180043</v>
      </c>
      <c r="AR73" t="b">
        <v>0</v>
      </c>
      <c r="AS73">
        <v>102.83768853876474</v>
      </c>
      <c r="AT73">
        <v>154.25653280814711</v>
      </c>
      <c r="AU73">
        <v>128.54711067345593</v>
      </c>
    </row>
    <row r="74" spans="1:47" x14ac:dyDescent="0.25">
      <c r="A74" t="s">
        <v>350</v>
      </c>
      <c r="B74" t="s">
        <v>449</v>
      </c>
      <c r="C74" t="s">
        <v>320</v>
      </c>
      <c r="D74">
        <v>2026</v>
      </c>
      <c r="E74">
        <v>0</v>
      </c>
      <c r="F74">
        <v>15</v>
      </c>
      <c r="G74">
        <v>0</v>
      </c>
      <c r="H74">
        <v>0</v>
      </c>
      <c r="I74">
        <v>30</v>
      </c>
      <c r="J74">
        <v>45</v>
      </c>
      <c r="K74">
        <v>4</v>
      </c>
      <c r="L74">
        <v>2</v>
      </c>
      <c r="M74">
        <v>6</v>
      </c>
      <c r="N74">
        <v>0</v>
      </c>
      <c r="O74" t="s">
        <v>27</v>
      </c>
      <c r="P74" t="s">
        <v>443</v>
      </c>
      <c r="Q74">
        <v>2026</v>
      </c>
      <c r="R74">
        <v>2041</v>
      </c>
      <c r="S74" t="s">
        <v>444</v>
      </c>
      <c r="T74">
        <v>2033</v>
      </c>
      <c r="U74">
        <v>40.75</v>
      </c>
      <c r="V74">
        <v>1</v>
      </c>
      <c r="W74">
        <v>2033</v>
      </c>
      <c r="X74">
        <v>7</v>
      </c>
      <c r="Y74">
        <v>2033</v>
      </c>
      <c r="Z74">
        <v>1</v>
      </c>
      <c r="AA74">
        <v>120</v>
      </c>
      <c r="AB74">
        <v>180</v>
      </c>
      <c r="AC74">
        <v>120</v>
      </c>
      <c r="AD74">
        <v>180</v>
      </c>
      <c r="AE74">
        <v>0</v>
      </c>
      <c r="AF74">
        <v>0</v>
      </c>
      <c r="AG74">
        <v>120</v>
      </c>
      <c r="AH74">
        <v>180</v>
      </c>
      <c r="AI74">
        <v>1</v>
      </c>
      <c r="AJ74">
        <v>2.6880000000000002</v>
      </c>
      <c r="AK74">
        <v>2034</v>
      </c>
      <c r="AL74" s="61">
        <v>2.7519999999999998</v>
      </c>
      <c r="AM74" s="61">
        <v>2.6880000000000002</v>
      </c>
      <c r="AN74" s="61">
        <v>2.7519999999999998</v>
      </c>
      <c r="AO74">
        <v>1.1725143659072164</v>
      </c>
      <c r="AP74">
        <v>1.0274954447000768</v>
      </c>
      <c r="AQ74">
        <v>1.2047531698150638</v>
      </c>
      <c r="AR74" t="b">
        <v>0</v>
      </c>
      <c r="AS74">
        <v>99.605465257601821</v>
      </c>
      <c r="AT74">
        <v>149.40819788640275</v>
      </c>
      <c r="AU74">
        <v>124.50683157200228</v>
      </c>
    </row>
    <row r="75" spans="1:47" x14ac:dyDescent="0.25">
      <c r="A75" t="s">
        <v>350</v>
      </c>
      <c r="B75" t="s">
        <v>449</v>
      </c>
      <c r="C75" t="s">
        <v>320</v>
      </c>
      <c r="D75">
        <v>2026</v>
      </c>
      <c r="E75">
        <v>0</v>
      </c>
      <c r="F75">
        <v>15</v>
      </c>
      <c r="G75">
        <v>0</v>
      </c>
      <c r="H75">
        <v>0</v>
      </c>
      <c r="I75">
        <v>30</v>
      </c>
      <c r="J75">
        <v>45</v>
      </c>
      <c r="K75">
        <v>4</v>
      </c>
      <c r="L75">
        <v>2</v>
      </c>
      <c r="M75">
        <v>6</v>
      </c>
      <c r="N75">
        <v>0</v>
      </c>
      <c r="O75" t="s">
        <v>27</v>
      </c>
      <c r="P75" t="s">
        <v>443</v>
      </c>
      <c r="Q75">
        <v>2026</v>
      </c>
      <c r="R75">
        <v>2041</v>
      </c>
      <c r="S75" t="s">
        <v>444</v>
      </c>
      <c r="T75">
        <v>2034</v>
      </c>
      <c r="U75">
        <v>41.75</v>
      </c>
      <c r="V75">
        <v>1</v>
      </c>
      <c r="W75">
        <v>2034</v>
      </c>
      <c r="X75">
        <v>8</v>
      </c>
      <c r="Y75">
        <v>2034</v>
      </c>
      <c r="Z75">
        <v>1</v>
      </c>
      <c r="AA75">
        <v>120</v>
      </c>
      <c r="AB75">
        <v>180</v>
      </c>
      <c r="AC75">
        <v>120</v>
      </c>
      <c r="AD75">
        <v>180</v>
      </c>
      <c r="AE75">
        <v>0</v>
      </c>
      <c r="AF75">
        <v>0</v>
      </c>
      <c r="AG75">
        <v>120</v>
      </c>
      <c r="AH75">
        <v>180</v>
      </c>
      <c r="AI75">
        <v>1</v>
      </c>
      <c r="AJ75">
        <v>2.7519999999999998</v>
      </c>
      <c r="AK75">
        <v>2035</v>
      </c>
      <c r="AL75" s="61">
        <v>2.8420000000000001</v>
      </c>
      <c r="AM75" s="61">
        <v>2.7519999999999998</v>
      </c>
      <c r="AN75" s="61">
        <v>2.8420000000000001</v>
      </c>
      <c r="AO75">
        <v>1.2092942481281721</v>
      </c>
      <c r="AP75">
        <v>1.0283854649181425</v>
      </c>
      <c r="AQ75">
        <v>1.2436206275841259</v>
      </c>
      <c r="AR75" t="b">
        <v>0</v>
      </c>
      <c r="AS75">
        <v>96.492449014064363</v>
      </c>
      <c r="AT75">
        <v>144.73867352109656</v>
      </c>
      <c r="AU75">
        <v>120.61556126758046</v>
      </c>
    </row>
    <row r="76" spans="1:47" x14ac:dyDescent="0.25">
      <c r="A76" t="s">
        <v>350</v>
      </c>
      <c r="B76" t="s">
        <v>449</v>
      </c>
      <c r="C76" t="s">
        <v>320</v>
      </c>
      <c r="D76">
        <v>2026</v>
      </c>
      <c r="E76">
        <v>0</v>
      </c>
      <c r="F76">
        <v>15</v>
      </c>
      <c r="G76">
        <v>0</v>
      </c>
      <c r="H76">
        <v>0</v>
      </c>
      <c r="I76">
        <v>30</v>
      </c>
      <c r="J76">
        <v>45</v>
      </c>
      <c r="K76">
        <v>4</v>
      </c>
      <c r="L76">
        <v>2</v>
      </c>
      <c r="M76">
        <v>6</v>
      </c>
      <c r="N76">
        <v>0</v>
      </c>
      <c r="O76" t="s">
        <v>27</v>
      </c>
      <c r="P76" t="s">
        <v>443</v>
      </c>
      <c r="Q76">
        <v>2026</v>
      </c>
      <c r="R76">
        <v>2041</v>
      </c>
      <c r="S76" t="s">
        <v>444</v>
      </c>
      <c r="T76">
        <v>2035</v>
      </c>
      <c r="U76">
        <v>42.75</v>
      </c>
      <c r="V76">
        <v>1</v>
      </c>
      <c r="W76">
        <v>2035</v>
      </c>
      <c r="X76">
        <v>9</v>
      </c>
      <c r="Y76">
        <v>2035</v>
      </c>
      <c r="Z76">
        <v>1</v>
      </c>
      <c r="AA76">
        <v>120</v>
      </c>
      <c r="AB76">
        <v>180</v>
      </c>
      <c r="AC76">
        <v>120</v>
      </c>
      <c r="AD76">
        <v>180</v>
      </c>
      <c r="AE76">
        <v>0</v>
      </c>
      <c r="AF76">
        <v>0</v>
      </c>
      <c r="AG76">
        <v>120</v>
      </c>
      <c r="AH76">
        <v>180</v>
      </c>
      <c r="AI76">
        <v>1</v>
      </c>
      <c r="AJ76">
        <v>2.8420000000000001</v>
      </c>
      <c r="AK76">
        <v>2036</v>
      </c>
      <c r="AL76" s="61">
        <v>2.944</v>
      </c>
      <c r="AM76" s="61">
        <v>2.8420000000000001</v>
      </c>
      <c r="AN76" s="61">
        <v>2.944</v>
      </c>
      <c r="AO76">
        <v>1.2513076834571593</v>
      </c>
      <c r="AP76">
        <v>1.0294008580614105</v>
      </c>
      <c r="AQ76">
        <v>1.2880972030496356</v>
      </c>
      <c r="AR76" t="b">
        <v>0</v>
      </c>
      <c r="AS76">
        <v>93.160671194606977</v>
      </c>
      <c r="AT76">
        <v>139.74100679191045</v>
      </c>
      <c r="AU76">
        <v>116.45083899325871</v>
      </c>
    </row>
    <row r="77" spans="1:47" x14ac:dyDescent="0.25">
      <c r="A77" t="s">
        <v>350</v>
      </c>
      <c r="B77" t="s">
        <v>449</v>
      </c>
      <c r="C77" t="s">
        <v>320</v>
      </c>
      <c r="D77">
        <v>2026</v>
      </c>
      <c r="E77">
        <v>0</v>
      </c>
      <c r="F77">
        <v>15</v>
      </c>
      <c r="G77">
        <v>0</v>
      </c>
      <c r="H77">
        <v>0</v>
      </c>
      <c r="I77">
        <v>30</v>
      </c>
      <c r="J77">
        <v>45</v>
      </c>
      <c r="K77">
        <v>4</v>
      </c>
      <c r="L77">
        <v>2</v>
      </c>
      <c r="M77">
        <v>6</v>
      </c>
      <c r="N77">
        <v>0</v>
      </c>
      <c r="O77" t="s">
        <v>27</v>
      </c>
      <c r="P77" t="s">
        <v>443</v>
      </c>
      <c r="Q77">
        <v>2026</v>
      </c>
      <c r="R77">
        <v>2041</v>
      </c>
      <c r="S77" t="s">
        <v>444</v>
      </c>
      <c r="T77">
        <v>2036</v>
      </c>
      <c r="U77">
        <v>43.75</v>
      </c>
      <c r="V77">
        <v>1</v>
      </c>
      <c r="W77">
        <v>2036</v>
      </c>
      <c r="X77">
        <v>10</v>
      </c>
      <c r="Y77">
        <v>2036</v>
      </c>
      <c r="Z77">
        <v>1</v>
      </c>
      <c r="AA77">
        <v>120</v>
      </c>
      <c r="AB77">
        <v>180</v>
      </c>
      <c r="AC77">
        <v>120</v>
      </c>
      <c r="AD77">
        <v>180</v>
      </c>
      <c r="AE77">
        <v>0</v>
      </c>
      <c r="AF77">
        <v>0</v>
      </c>
      <c r="AG77">
        <v>120</v>
      </c>
      <c r="AH77">
        <v>180</v>
      </c>
      <c r="AI77">
        <v>1</v>
      </c>
      <c r="AJ77">
        <v>2.944</v>
      </c>
      <c r="AK77">
        <v>2037</v>
      </c>
      <c r="AL77" s="61">
        <v>3.036</v>
      </c>
      <c r="AM77" s="61">
        <v>2.944</v>
      </c>
      <c r="AN77" s="61">
        <v>3.036</v>
      </c>
      <c r="AO77">
        <v>1.2984025298030446</v>
      </c>
      <c r="AP77">
        <v>1.0303246971701443</v>
      </c>
      <c r="AQ77">
        <v>1.3377761933242711</v>
      </c>
      <c r="AR77" t="b">
        <v>0</v>
      </c>
      <c r="AS77">
        <v>89.701102919023555</v>
      </c>
      <c r="AT77">
        <v>134.55165437853535</v>
      </c>
      <c r="AU77">
        <v>112.12637864877945</v>
      </c>
    </row>
    <row r="78" spans="1:47" x14ac:dyDescent="0.25">
      <c r="A78" t="s">
        <v>350</v>
      </c>
      <c r="B78" t="s">
        <v>449</v>
      </c>
      <c r="C78" t="s">
        <v>320</v>
      </c>
      <c r="D78">
        <v>2026</v>
      </c>
      <c r="E78">
        <v>0</v>
      </c>
      <c r="F78">
        <v>15</v>
      </c>
      <c r="G78">
        <v>0</v>
      </c>
      <c r="H78">
        <v>0</v>
      </c>
      <c r="I78">
        <v>30</v>
      </c>
      <c r="J78">
        <v>45</v>
      </c>
      <c r="K78">
        <v>4</v>
      </c>
      <c r="L78">
        <v>2</v>
      </c>
      <c r="M78">
        <v>6</v>
      </c>
      <c r="N78">
        <v>0</v>
      </c>
      <c r="O78" t="s">
        <v>27</v>
      </c>
      <c r="P78" t="s">
        <v>443</v>
      </c>
      <c r="Q78">
        <v>2026</v>
      </c>
      <c r="R78">
        <v>2041</v>
      </c>
      <c r="S78" t="s">
        <v>444</v>
      </c>
      <c r="T78">
        <v>2037</v>
      </c>
      <c r="U78">
        <v>44.75</v>
      </c>
      <c r="V78">
        <v>1</v>
      </c>
      <c r="W78">
        <v>2037</v>
      </c>
      <c r="X78">
        <v>11</v>
      </c>
      <c r="Y78">
        <v>2037</v>
      </c>
      <c r="Z78">
        <v>1</v>
      </c>
      <c r="AA78">
        <v>120</v>
      </c>
      <c r="AB78">
        <v>180</v>
      </c>
      <c r="AC78">
        <v>120</v>
      </c>
      <c r="AD78">
        <v>180</v>
      </c>
      <c r="AE78">
        <v>0</v>
      </c>
      <c r="AF78">
        <v>0</v>
      </c>
      <c r="AG78">
        <v>120</v>
      </c>
      <c r="AH78">
        <v>180</v>
      </c>
      <c r="AI78">
        <v>1</v>
      </c>
      <c r="AJ78">
        <v>3.036</v>
      </c>
      <c r="AK78">
        <v>2038</v>
      </c>
      <c r="AL78" s="61">
        <v>3.1339999999999999</v>
      </c>
      <c r="AM78" s="61">
        <v>3.036</v>
      </c>
      <c r="AN78" s="61">
        <v>3.1339999999999999</v>
      </c>
      <c r="AO78">
        <v>1.3486209574989538</v>
      </c>
      <c r="AP78">
        <v>1.0313023937742947</v>
      </c>
      <c r="AQ78">
        <v>1.3908360217628524</v>
      </c>
      <c r="AR78" t="b">
        <v>0</v>
      </c>
      <c r="AS78">
        <v>86.279042333044259</v>
      </c>
      <c r="AT78">
        <v>129.41856349956637</v>
      </c>
      <c r="AU78">
        <v>107.84880291630532</v>
      </c>
    </row>
    <row r="79" spans="1:47" x14ac:dyDescent="0.25">
      <c r="A79" t="s">
        <v>350</v>
      </c>
      <c r="B79" t="s">
        <v>449</v>
      </c>
      <c r="C79" t="s">
        <v>320</v>
      </c>
      <c r="D79">
        <v>2026</v>
      </c>
      <c r="E79">
        <v>0</v>
      </c>
      <c r="F79">
        <v>15</v>
      </c>
      <c r="G79">
        <v>0</v>
      </c>
      <c r="H79">
        <v>0</v>
      </c>
      <c r="I79">
        <v>30</v>
      </c>
      <c r="J79">
        <v>45</v>
      </c>
      <c r="K79">
        <v>4</v>
      </c>
      <c r="L79">
        <v>2</v>
      </c>
      <c r="M79">
        <v>6</v>
      </c>
      <c r="N79">
        <v>0</v>
      </c>
      <c r="O79" t="s">
        <v>27</v>
      </c>
      <c r="P79" t="s">
        <v>443</v>
      </c>
      <c r="Q79">
        <v>2026</v>
      </c>
      <c r="R79">
        <v>2041</v>
      </c>
      <c r="S79" t="s">
        <v>444</v>
      </c>
      <c r="T79">
        <v>2038</v>
      </c>
      <c r="U79">
        <v>45.75</v>
      </c>
      <c r="V79">
        <v>1</v>
      </c>
      <c r="W79">
        <v>2038</v>
      </c>
      <c r="X79">
        <v>12</v>
      </c>
      <c r="Y79">
        <v>2038</v>
      </c>
      <c r="Z79">
        <v>1</v>
      </c>
      <c r="AA79">
        <v>120</v>
      </c>
      <c r="AB79">
        <v>180</v>
      </c>
      <c r="AC79">
        <v>120</v>
      </c>
      <c r="AD79">
        <v>180</v>
      </c>
      <c r="AE79">
        <v>0</v>
      </c>
      <c r="AF79">
        <v>0</v>
      </c>
      <c r="AG79">
        <v>120</v>
      </c>
      <c r="AH79">
        <v>180</v>
      </c>
      <c r="AI79">
        <v>1</v>
      </c>
      <c r="AJ79">
        <v>3.1339999999999999</v>
      </c>
      <c r="AK79">
        <v>2039</v>
      </c>
      <c r="AL79" s="61">
        <v>3.2069999999999999</v>
      </c>
      <c r="AM79" s="61">
        <v>3.1339999999999999</v>
      </c>
      <c r="AN79" s="61">
        <v>3.2069999999999999</v>
      </c>
      <c r="AO79">
        <v>1.4041725591738043</v>
      </c>
      <c r="AP79">
        <v>1.0320419904729838</v>
      </c>
      <c r="AQ79">
        <v>1.4491650429372767</v>
      </c>
      <c r="AR79" t="b">
        <v>0</v>
      </c>
      <c r="AS79">
        <v>82.806303246713</v>
      </c>
      <c r="AT79">
        <v>124.20945487006951</v>
      </c>
      <c r="AU79">
        <v>103.50787905839125</v>
      </c>
    </row>
    <row r="80" spans="1:47" x14ac:dyDescent="0.25">
      <c r="A80" t="s">
        <v>350</v>
      </c>
      <c r="B80" t="s">
        <v>449</v>
      </c>
      <c r="C80" t="s">
        <v>320</v>
      </c>
      <c r="D80">
        <v>2026</v>
      </c>
      <c r="E80">
        <v>0</v>
      </c>
      <c r="F80">
        <v>15</v>
      </c>
      <c r="G80">
        <v>0</v>
      </c>
      <c r="H80">
        <v>0</v>
      </c>
      <c r="I80">
        <v>30</v>
      </c>
      <c r="J80">
        <v>45</v>
      </c>
      <c r="K80">
        <v>4</v>
      </c>
      <c r="L80">
        <v>2</v>
      </c>
      <c r="M80">
        <v>6</v>
      </c>
      <c r="N80">
        <v>0</v>
      </c>
      <c r="O80" t="s">
        <v>27</v>
      </c>
      <c r="P80" t="s">
        <v>443</v>
      </c>
      <c r="Q80">
        <v>2026</v>
      </c>
      <c r="R80">
        <v>2041</v>
      </c>
      <c r="S80" t="s">
        <v>444</v>
      </c>
      <c r="T80">
        <v>2039</v>
      </c>
      <c r="U80">
        <v>46.75</v>
      </c>
      <c r="V80">
        <v>1</v>
      </c>
      <c r="W80">
        <v>2039</v>
      </c>
      <c r="X80">
        <v>13</v>
      </c>
      <c r="Y80">
        <v>2039</v>
      </c>
      <c r="Z80">
        <v>1</v>
      </c>
      <c r="AA80">
        <v>120</v>
      </c>
      <c r="AB80">
        <v>180</v>
      </c>
      <c r="AC80">
        <v>120</v>
      </c>
      <c r="AD80">
        <v>180</v>
      </c>
      <c r="AE80">
        <v>0</v>
      </c>
      <c r="AF80">
        <v>0</v>
      </c>
      <c r="AG80">
        <v>120</v>
      </c>
      <c r="AH80">
        <v>180</v>
      </c>
      <c r="AI80">
        <v>1</v>
      </c>
      <c r="AJ80">
        <v>3.2069999999999999</v>
      </c>
      <c r="AK80">
        <v>2040</v>
      </c>
      <c r="AL80" s="61">
        <v>3.3029999999999999</v>
      </c>
      <c r="AM80" s="61">
        <v>3.2069999999999999</v>
      </c>
      <c r="AN80" s="61">
        <v>3.3029999999999999</v>
      </c>
      <c r="AO80">
        <v>1.4605278779269859</v>
      </c>
      <c r="AP80">
        <v>1.0329931616190409</v>
      </c>
      <c r="AQ80">
        <v>1.5087153102525457</v>
      </c>
      <c r="AR80" t="b">
        <v>0</v>
      </c>
      <c r="AS80">
        <v>79.537868532608087</v>
      </c>
      <c r="AT80">
        <v>119.30680279891213</v>
      </c>
      <c r="AU80">
        <v>99.422335665760102</v>
      </c>
    </row>
    <row r="81" spans="1:47" x14ac:dyDescent="0.25">
      <c r="A81" t="s">
        <v>350</v>
      </c>
      <c r="B81" t="s">
        <v>449</v>
      </c>
      <c r="C81" t="s">
        <v>320</v>
      </c>
      <c r="D81">
        <v>2026</v>
      </c>
      <c r="E81">
        <v>0</v>
      </c>
      <c r="F81">
        <v>15</v>
      </c>
      <c r="G81">
        <v>0</v>
      </c>
      <c r="H81">
        <v>0</v>
      </c>
      <c r="I81">
        <v>30</v>
      </c>
      <c r="J81">
        <v>45</v>
      </c>
      <c r="K81">
        <v>4</v>
      </c>
      <c r="L81">
        <v>2</v>
      </c>
      <c r="M81">
        <v>6</v>
      </c>
      <c r="N81">
        <v>0</v>
      </c>
      <c r="O81" t="s">
        <v>27</v>
      </c>
      <c r="P81" t="s">
        <v>443</v>
      </c>
      <c r="Q81">
        <v>2026</v>
      </c>
      <c r="R81">
        <v>2041</v>
      </c>
      <c r="S81" t="s">
        <v>444</v>
      </c>
      <c r="T81">
        <v>2040</v>
      </c>
      <c r="U81">
        <v>47.75</v>
      </c>
      <c r="V81">
        <v>1</v>
      </c>
      <c r="W81">
        <v>2040</v>
      </c>
      <c r="X81">
        <v>14</v>
      </c>
      <c r="Y81">
        <v>2040</v>
      </c>
      <c r="Z81">
        <v>1</v>
      </c>
      <c r="AA81">
        <v>120</v>
      </c>
      <c r="AB81">
        <v>180</v>
      </c>
      <c r="AC81">
        <v>120</v>
      </c>
      <c r="AD81">
        <v>180</v>
      </c>
      <c r="AE81">
        <v>0</v>
      </c>
      <c r="AF81">
        <v>0</v>
      </c>
      <c r="AG81">
        <v>120</v>
      </c>
      <c r="AH81">
        <v>180</v>
      </c>
      <c r="AI81">
        <v>1</v>
      </c>
      <c r="AJ81">
        <v>3.3029999999999999</v>
      </c>
      <c r="AK81">
        <v>2041</v>
      </c>
      <c r="AL81" s="61">
        <v>3.3559999999999999</v>
      </c>
      <c r="AM81" s="61">
        <v>3.3029999999999999</v>
      </c>
      <c r="AN81" s="61">
        <v>3.3559999999999999</v>
      </c>
      <c r="AO81">
        <v>1.5256964700083253</v>
      </c>
      <c r="AP81">
        <v>1.0335396662189136</v>
      </c>
      <c r="AQ81">
        <v>1.5768678203637791</v>
      </c>
      <c r="AR81" t="b">
        <v>0</v>
      </c>
      <c r="AS81">
        <v>76.100227584272929</v>
      </c>
      <c r="AT81">
        <v>114.1503413764094</v>
      </c>
      <c r="AU81">
        <v>95.125284480341165</v>
      </c>
    </row>
    <row r="82" spans="1:47" x14ac:dyDescent="0.25">
      <c r="A82" t="s">
        <v>350</v>
      </c>
      <c r="B82" t="s">
        <v>449</v>
      </c>
      <c r="C82" t="s">
        <v>320</v>
      </c>
      <c r="D82">
        <v>2026</v>
      </c>
      <c r="E82">
        <v>0</v>
      </c>
      <c r="M82">
        <v>6</v>
      </c>
      <c r="Q82">
        <v>2026</v>
      </c>
      <c r="R82">
        <v>2041</v>
      </c>
      <c r="T82">
        <v>2041</v>
      </c>
      <c r="U82">
        <v>48.75</v>
      </c>
      <c r="W82">
        <v>2041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L82" s="61"/>
      <c r="AS82">
        <v>0</v>
      </c>
      <c r="AT82">
        <v>0</v>
      </c>
      <c r="AU82">
        <v>0</v>
      </c>
    </row>
    <row r="83" spans="1:47" x14ac:dyDescent="0.25">
      <c r="A83" t="s">
        <v>324</v>
      </c>
      <c r="B83" t="s">
        <v>450</v>
      </c>
      <c r="C83" t="s">
        <v>319</v>
      </c>
      <c r="D83">
        <v>2026</v>
      </c>
      <c r="E83">
        <v>0</v>
      </c>
      <c r="F83">
        <v>10</v>
      </c>
      <c r="G83">
        <v>0</v>
      </c>
      <c r="H83">
        <v>0</v>
      </c>
      <c r="I83">
        <v>50</v>
      </c>
      <c r="J83">
        <v>250</v>
      </c>
      <c r="K83">
        <v>1</v>
      </c>
      <c r="L83">
        <v>1</v>
      </c>
      <c r="M83">
        <v>7</v>
      </c>
      <c r="N83">
        <v>0</v>
      </c>
      <c r="O83" t="s">
        <v>27</v>
      </c>
      <c r="P83" t="s">
        <v>443</v>
      </c>
      <c r="Q83">
        <v>2026</v>
      </c>
      <c r="R83">
        <v>2036</v>
      </c>
      <c r="S83" t="s">
        <v>444</v>
      </c>
      <c r="T83">
        <v>2026</v>
      </c>
      <c r="U83">
        <v>33.75</v>
      </c>
      <c r="V83">
        <v>1</v>
      </c>
      <c r="W83">
        <v>2026</v>
      </c>
      <c r="X83">
        <v>0</v>
      </c>
      <c r="Y83">
        <v>2026</v>
      </c>
      <c r="Z83">
        <v>1</v>
      </c>
      <c r="AA83">
        <v>50</v>
      </c>
      <c r="AB83">
        <v>250</v>
      </c>
      <c r="AC83">
        <v>50</v>
      </c>
      <c r="AD83">
        <v>250</v>
      </c>
      <c r="AE83">
        <v>0</v>
      </c>
      <c r="AF83">
        <v>0</v>
      </c>
      <c r="AG83">
        <v>50</v>
      </c>
      <c r="AH83">
        <v>250</v>
      </c>
      <c r="AI83">
        <v>1</v>
      </c>
      <c r="AK83">
        <v>2027</v>
      </c>
      <c r="AL83" s="61">
        <v>2.4329999999999998</v>
      </c>
      <c r="AM83" s="61">
        <v>0</v>
      </c>
      <c r="AN83" s="61">
        <v>2.4329999999999998</v>
      </c>
      <c r="AO83">
        <v>1</v>
      </c>
      <c r="AP83">
        <v>1.023385968321771</v>
      </c>
      <c r="AQ83">
        <v>1.023385968321771</v>
      </c>
      <c r="AR83" t="b">
        <v>1</v>
      </c>
      <c r="AS83">
        <v>50</v>
      </c>
      <c r="AT83">
        <v>250</v>
      </c>
      <c r="AU83">
        <v>150</v>
      </c>
    </row>
    <row r="84" spans="1:47" x14ac:dyDescent="0.25">
      <c r="A84" t="s">
        <v>324</v>
      </c>
      <c r="B84" t="s">
        <v>450</v>
      </c>
      <c r="C84" t="s">
        <v>319</v>
      </c>
      <c r="D84">
        <v>2026</v>
      </c>
      <c r="E84">
        <v>0</v>
      </c>
      <c r="F84">
        <v>10</v>
      </c>
      <c r="G84">
        <v>0</v>
      </c>
      <c r="H84">
        <v>0</v>
      </c>
      <c r="I84">
        <v>50</v>
      </c>
      <c r="J84">
        <v>250</v>
      </c>
      <c r="K84">
        <v>1</v>
      </c>
      <c r="L84">
        <v>1</v>
      </c>
      <c r="M84">
        <v>7</v>
      </c>
      <c r="N84">
        <v>0</v>
      </c>
      <c r="O84" t="s">
        <v>27</v>
      </c>
      <c r="P84" t="s">
        <v>443</v>
      </c>
      <c r="Q84">
        <v>2026</v>
      </c>
      <c r="R84">
        <v>2036</v>
      </c>
      <c r="S84" t="s">
        <v>444</v>
      </c>
      <c r="T84">
        <v>2027</v>
      </c>
      <c r="U84">
        <v>34.75</v>
      </c>
      <c r="V84">
        <v>1</v>
      </c>
      <c r="W84">
        <v>2027</v>
      </c>
      <c r="X84">
        <v>1</v>
      </c>
      <c r="Y84">
        <v>2027</v>
      </c>
      <c r="Z84">
        <v>1</v>
      </c>
      <c r="AA84">
        <v>50</v>
      </c>
      <c r="AB84">
        <v>250</v>
      </c>
      <c r="AC84">
        <v>50</v>
      </c>
      <c r="AD84">
        <v>250</v>
      </c>
      <c r="AE84">
        <v>0</v>
      </c>
      <c r="AF84">
        <v>0</v>
      </c>
      <c r="AG84">
        <v>50</v>
      </c>
      <c r="AH84">
        <v>250</v>
      </c>
      <c r="AI84">
        <v>1</v>
      </c>
      <c r="AJ84">
        <v>2.4329999999999998</v>
      </c>
      <c r="AK84">
        <v>2028</v>
      </c>
      <c r="AL84" s="61">
        <v>2.4220000000000002</v>
      </c>
      <c r="AM84" s="61">
        <v>2.4329999999999998</v>
      </c>
      <c r="AN84" s="61">
        <v>2.4220000000000002</v>
      </c>
      <c r="AO84">
        <v>1</v>
      </c>
      <c r="AP84">
        <v>1.0242242189602202</v>
      </c>
      <c r="AQ84">
        <v>1.0242242189602202</v>
      </c>
      <c r="AR84" t="b">
        <v>0</v>
      </c>
      <c r="AS84">
        <v>48.817435747379008</v>
      </c>
      <c r="AT84">
        <v>244.08717873689505</v>
      </c>
      <c r="AU84">
        <v>146.45230724213704</v>
      </c>
    </row>
    <row r="85" spans="1:47" x14ac:dyDescent="0.25">
      <c r="A85" t="s">
        <v>324</v>
      </c>
      <c r="B85" t="s">
        <v>450</v>
      </c>
      <c r="C85" t="s">
        <v>319</v>
      </c>
      <c r="D85">
        <v>2026</v>
      </c>
      <c r="E85">
        <v>0</v>
      </c>
      <c r="F85">
        <v>10</v>
      </c>
      <c r="G85">
        <v>0</v>
      </c>
      <c r="H85">
        <v>0</v>
      </c>
      <c r="I85">
        <v>50</v>
      </c>
      <c r="J85">
        <v>250</v>
      </c>
      <c r="K85">
        <v>1</v>
      </c>
      <c r="L85">
        <v>1</v>
      </c>
      <c r="M85">
        <v>7</v>
      </c>
      <c r="N85">
        <v>0</v>
      </c>
      <c r="O85" t="s">
        <v>27</v>
      </c>
      <c r="P85" t="s">
        <v>443</v>
      </c>
      <c r="Q85">
        <v>2026</v>
      </c>
      <c r="R85">
        <v>2036</v>
      </c>
      <c r="S85" t="s">
        <v>444</v>
      </c>
      <c r="T85">
        <v>2028</v>
      </c>
      <c r="U85">
        <v>35.75</v>
      </c>
      <c r="V85">
        <v>1</v>
      </c>
      <c r="W85">
        <v>2028</v>
      </c>
      <c r="X85">
        <v>2</v>
      </c>
      <c r="Y85">
        <v>2028</v>
      </c>
      <c r="Z85">
        <v>1</v>
      </c>
      <c r="AA85">
        <v>50</v>
      </c>
      <c r="AB85">
        <v>250</v>
      </c>
      <c r="AC85">
        <v>50</v>
      </c>
      <c r="AD85">
        <v>250</v>
      </c>
      <c r="AE85">
        <v>0</v>
      </c>
      <c r="AF85">
        <v>0</v>
      </c>
      <c r="AG85">
        <v>50</v>
      </c>
      <c r="AH85">
        <v>250</v>
      </c>
      <c r="AI85">
        <v>1</v>
      </c>
      <c r="AJ85">
        <v>2.4220000000000002</v>
      </c>
      <c r="AK85">
        <v>2029</v>
      </c>
      <c r="AL85" s="61">
        <v>2.4209999999999998</v>
      </c>
      <c r="AM85" s="61">
        <v>2.4220000000000002</v>
      </c>
      <c r="AN85" s="61">
        <v>2.4209999999999998</v>
      </c>
      <c r="AO85">
        <v>1.0242199999999999</v>
      </c>
      <c r="AP85">
        <v>1.0242103835598433</v>
      </c>
      <c r="AQ85">
        <v>1.0490167590496626</v>
      </c>
      <c r="AR85" t="b">
        <v>0</v>
      </c>
      <c r="AS85">
        <v>47.66368084080618</v>
      </c>
      <c r="AT85">
        <v>238.31840420403091</v>
      </c>
      <c r="AU85">
        <v>142.99104252241855</v>
      </c>
    </row>
    <row r="86" spans="1:47" x14ac:dyDescent="0.25">
      <c r="A86" t="s">
        <v>324</v>
      </c>
      <c r="B86" t="s">
        <v>450</v>
      </c>
      <c r="C86" t="s">
        <v>319</v>
      </c>
      <c r="D86">
        <v>2026</v>
      </c>
      <c r="E86">
        <v>0</v>
      </c>
      <c r="F86">
        <v>10</v>
      </c>
      <c r="G86">
        <v>0</v>
      </c>
      <c r="H86">
        <v>0</v>
      </c>
      <c r="I86">
        <v>50</v>
      </c>
      <c r="J86">
        <v>250</v>
      </c>
      <c r="K86">
        <v>1</v>
      </c>
      <c r="L86">
        <v>1</v>
      </c>
      <c r="M86">
        <v>7</v>
      </c>
      <c r="N86">
        <v>0</v>
      </c>
      <c r="O86" t="s">
        <v>27</v>
      </c>
      <c r="P86" t="s">
        <v>443</v>
      </c>
      <c r="Q86">
        <v>2026</v>
      </c>
      <c r="R86">
        <v>2036</v>
      </c>
      <c r="S86" t="s">
        <v>444</v>
      </c>
      <c r="T86">
        <v>2029</v>
      </c>
      <c r="U86">
        <v>36.75</v>
      </c>
      <c r="V86">
        <v>1</v>
      </c>
      <c r="W86">
        <v>2029</v>
      </c>
      <c r="X86">
        <v>3</v>
      </c>
      <c r="Y86">
        <v>2029</v>
      </c>
      <c r="Z86">
        <v>1</v>
      </c>
      <c r="AA86">
        <v>50</v>
      </c>
      <c r="AB86">
        <v>250</v>
      </c>
      <c r="AC86">
        <v>50</v>
      </c>
      <c r="AD86">
        <v>250</v>
      </c>
      <c r="AE86">
        <v>0</v>
      </c>
      <c r="AF86">
        <v>0</v>
      </c>
      <c r="AG86">
        <v>50</v>
      </c>
      <c r="AH86">
        <v>250</v>
      </c>
      <c r="AI86">
        <v>1</v>
      </c>
      <c r="AJ86">
        <v>2.4209999999999998</v>
      </c>
      <c r="AK86">
        <v>2030</v>
      </c>
      <c r="AL86" s="61">
        <v>2.4670000000000001</v>
      </c>
      <c r="AM86" s="61">
        <v>2.4209999999999998</v>
      </c>
      <c r="AN86" s="61">
        <v>2.4670000000000001</v>
      </c>
      <c r="AO86">
        <v>1.0490061241000002</v>
      </c>
      <c r="AP86">
        <v>1.0246523523547908</v>
      </c>
      <c r="AQ86">
        <v>1.0748665926936467</v>
      </c>
      <c r="AR86" t="b">
        <v>0</v>
      </c>
      <c r="AS86">
        <v>46.517400708025129</v>
      </c>
      <c r="AT86">
        <v>232.58700354012564</v>
      </c>
      <c r="AU86">
        <v>139.55220212407539</v>
      </c>
    </row>
    <row r="87" spans="1:47" x14ac:dyDescent="0.25">
      <c r="A87" t="s">
        <v>324</v>
      </c>
      <c r="B87" t="s">
        <v>450</v>
      </c>
      <c r="C87" t="s">
        <v>319</v>
      </c>
      <c r="D87">
        <v>2026</v>
      </c>
      <c r="E87">
        <v>0</v>
      </c>
      <c r="F87">
        <v>10</v>
      </c>
      <c r="G87">
        <v>0</v>
      </c>
      <c r="H87">
        <v>0</v>
      </c>
      <c r="I87">
        <v>50</v>
      </c>
      <c r="J87">
        <v>250</v>
      </c>
      <c r="K87">
        <v>1</v>
      </c>
      <c r="L87">
        <v>1</v>
      </c>
      <c r="M87">
        <v>7</v>
      </c>
      <c r="N87">
        <v>0</v>
      </c>
      <c r="O87" t="s">
        <v>27</v>
      </c>
      <c r="P87" t="s">
        <v>443</v>
      </c>
      <c r="Q87">
        <v>2026</v>
      </c>
      <c r="R87">
        <v>2036</v>
      </c>
      <c r="S87" t="s">
        <v>444</v>
      </c>
      <c r="T87">
        <v>2030</v>
      </c>
      <c r="U87">
        <v>37.75</v>
      </c>
      <c r="V87">
        <v>1</v>
      </c>
      <c r="W87">
        <v>2030</v>
      </c>
      <c r="X87">
        <v>4</v>
      </c>
      <c r="Y87">
        <v>2030</v>
      </c>
      <c r="Z87">
        <v>1</v>
      </c>
      <c r="AA87">
        <v>50</v>
      </c>
      <c r="AB87">
        <v>250</v>
      </c>
      <c r="AC87">
        <v>50</v>
      </c>
      <c r="AD87">
        <v>250</v>
      </c>
      <c r="AE87">
        <v>0</v>
      </c>
      <c r="AF87">
        <v>0</v>
      </c>
      <c r="AG87">
        <v>50</v>
      </c>
      <c r="AH87">
        <v>250</v>
      </c>
      <c r="AI87">
        <v>1</v>
      </c>
      <c r="AJ87">
        <v>2.4670000000000001</v>
      </c>
      <c r="AK87">
        <v>2031</v>
      </c>
      <c r="AL87" s="61">
        <v>2.5169999999999999</v>
      </c>
      <c r="AM87" s="61">
        <v>2.4670000000000001</v>
      </c>
      <c r="AN87" s="61">
        <v>2.5169999999999999</v>
      </c>
      <c r="AO87">
        <v>1.0758508410815628</v>
      </c>
      <c r="AP87">
        <v>1.0251508174189523</v>
      </c>
      <c r="AQ87">
        <v>1.1029093691556315</v>
      </c>
      <c r="AR87" t="b">
        <v>0</v>
      </c>
      <c r="AS87">
        <v>45.334640722364284</v>
      </c>
      <c r="AT87">
        <v>226.67320361182144</v>
      </c>
      <c r="AU87">
        <v>136.00392216709287</v>
      </c>
    </row>
    <row r="88" spans="1:47" x14ac:dyDescent="0.25">
      <c r="A88" t="s">
        <v>324</v>
      </c>
      <c r="B88" t="s">
        <v>450</v>
      </c>
      <c r="C88" t="s">
        <v>319</v>
      </c>
      <c r="D88">
        <v>2026</v>
      </c>
      <c r="E88">
        <v>0</v>
      </c>
      <c r="F88">
        <v>10</v>
      </c>
      <c r="G88">
        <v>0</v>
      </c>
      <c r="H88">
        <v>0</v>
      </c>
      <c r="I88">
        <v>50</v>
      </c>
      <c r="J88">
        <v>250</v>
      </c>
      <c r="K88">
        <v>1</v>
      </c>
      <c r="L88">
        <v>1</v>
      </c>
      <c r="M88">
        <v>7</v>
      </c>
      <c r="N88">
        <v>0</v>
      </c>
      <c r="O88" t="s">
        <v>27</v>
      </c>
      <c r="P88" t="s">
        <v>443</v>
      </c>
      <c r="Q88">
        <v>2026</v>
      </c>
      <c r="R88">
        <v>2036</v>
      </c>
      <c r="S88" t="s">
        <v>444</v>
      </c>
      <c r="T88">
        <v>2031</v>
      </c>
      <c r="U88">
        <v>38.75</v>
      </c>
      <c r="V88">
        <v>1</v>
      </c>
      <c r="W88">
        <v>2031</v>
      </c>
      <c r="X88">
        <v>5</v>
      </c>
      <c r="Y88">
        <v>2031</v>
      </c>
      <c r="Z88">
        <v>1</v>
      </c>
      <c r="AA88">
        <v>50</v>
      </c>
      <c r="AB88">
        <v>250</v>
      </c>
      <c r="AC88">
        <v>50</v>
      </c>
      <c r="AD88">
        <v>250</v>
      </c>
      <c r="AE88">
        <v>0</v>
      </c>
      <c r="AF88">
        <v>0</v>
      </c>
      <c r="AG88">
        <v>50</v>
      </c>
      <c r="AH88">
        <v>250</v>
      </c>
      <c r="AI88">
        <v>1</v>
      </c>
      <c r="AJ88">
        <v>2.5169999999999999</v>
      </c>
      <c r="AK88">
        <v>2032</v>
      </c>
      <c r="AL88" s="61">
        <v>2.59</v>
      </c>
      <c r="AM88" s="61">
        <v>2.5169999999999999</v>
      </c>
      <c r="AN88" s="61">
        <v>2.59</v>
      </c>
      <c r="AO88">
        <v>1.1045453584485188</v>
      </c>
      <c r="AP88">
        <v>1.0258719904156592</v>
      </c>
      <c r="AQ88">
        <v>1.1331221453759597</v>
      </c>
      <c r="AR88" t="b">
        <v>0</v>
      </c>
      <c r="AS88">
        <v>44.125869575526167</v>
      </c>
      <c r="AT88">
        <v>220.62934787763083</v>
      </c>
      <c r="AU88">
        <v>132.3776087265785</v>
      </c>
    </row>
    <row r="89" spans="1:47" x14ac:dyDescent="0.25">
      <c r="A89" t="s">
        <v>324</v>
      </c>
      <c r="B89" t="s">
        <v>450</v>
      </c>
      <c r="C89" t="s">
        <v>319</v>
      </c>
      <c r="D89">
        <v>2026</v>
      </c>
      <c r="E89">
        <v>0</v>
      </c>
      <c r="F89">
        <v>10</v>
      </c>
      <c r="G89">
        <v>0</v>
      </c>
      <c r="H89">
        <v>0</v>
      </c>
      <c r="I89">
        <v>50</v>
      </c>
      <c r="J89">
        <v>250</v>
      </c>
      <c r="K89">
        <v>1</v>
      </c>
      <c r="L89">
        <v>1</v>
      </c>
      <c r="M89">
        <v>7</v>
      </c>
      <c r="N89">
        <v>0</v>
      </c>
      <c r="O89" t="s">
        <v>27</v>
      </c>
      <c r="P89" t="s">
        <v>443</v>
      </c>
      <c r="Q89">
        <v>2026</v>
      </c>
      <c r="R89">
        <v>2036</v>
      </c>
      <c r="S89" t="s">
        <v>444</v>
      </c>
      <c r="T89">
        <v>2032</v>
      </c>
      <c r="U89">
        <v>39.75</v>
      </c>
      <c r="V89">
        <v>1</v>
      </c>
      <c r="W89">
        <v>2032</v>
      </c>
      <c r="X89">
        <v>6</v>
      </c>
      <c r="Y89">
        <v>2032</v>
      </c>
      <c r="Z89">
        <v>1</v>
      </c>
      <c r="AA89">
        <v>50</v>
      </c>
      <c r="AB89">
        <v>250</v>
      </c>
      <c r="AC89">
        <v>50</v>
      </c>
      <c r="AD89">
        <v>250</v>
      </c>
      <c r="AE89">
        <v>0</v>
      </c>
      <c r="AF89">
        <v>0</v>
      </c>
      <c r="AG89">
        <v>50</v>
      </c>
      <c r="AH89">
        <v>250</v>
      </c>
      <c r="AI89">
        <v>1</v>
      </c>
      <c r="AJ89">
        <v>2.59</v>
      </c>
      <c r="AK89">
        <v>2033</v>
      </c>
      <c r="AL89" s="61">
        <v>2.6880000000000002</v>
      </c>
      <c r="AM89" s="61">
        <v>2.59</v>
      </c>
      <c r="AN89" s="61">
        <v>2.6880000000000002</v>
      </c>
      <c r="AO89">
        <v>1.1363841013749196</v>
      </c>
      <c r="AP89">
        <v>1.0268423936996114</v>
      </c>
      <c r="AQ89">
        <v>1.1668873708180043</v>
      </c>
      <c r="AR89" t="b">
        <v>0</v>
      </c>
      <c r="AS89">
        <v>42.849036891151975</v>
      </c>
      <c r="AT89">
        <v>214.24518445575987</v>
      </c>
      <c r="AU89">
        <v>128.54711067345593</v>
      </c>
    </row>
    <row r="90" spans="1:47" x14ac:dyDescent="0.25">
      <c r="A90" t="s">
        <v>324</v>
      </c>
      <c r="B90" t="s">
        <v>450</v>
      </c>
      <c r="C90" t="s">
        <v>319</v>
      </c>
      <c r="D90">
        <v>2026</v>
      </c>
      <c r="E90">
        <v>0</v>
      </c>
      <c r="F90">
        <v>10</v>
      </c>
      <c r="G90">
        <v>0</v>
      </c>
      <c r="H90">
        <v>0</v>
      </c>
      <c r="I90">
        <v>50</v>
      </c>
      <c r="J90">
        <v>250</v>
      </c>
      <c r="K90">
        <v>1</v>
      </c>
      <c r="L90">
        <v>1</v>
      </c>
      <c r="M90">
        <v>7</v>
      </c>
      <c r="N90">
        <v>0</v>
      </c>
      <c r="O90" t="s">
        <v>27</v>
      </c>
      <c r="P90" t="s">
        <v>443</v>
      </c>
      <c r="Q90">
        <v>2026</v>
      </c>
      <c r="R90">
        <v>2036</v>
      </c>
      <c r="S90" t="s">
        <v>444</v>
      </c>
      <c r="T90">
        <v>2033</v>
      </c>
      <c r="U90">
        <v>40.75</v>
      </c>
      <c r="V90">
        <v>1</v>
      </c>
      <c r="W90">
        <v>2033</v>
      </c>
      <c r="X90">
        <v>7</v>
      </c>
      <c r="Y90">
        <v>2033</v>
      </c>
      <c r="Z90">
        <v>1</v>
      </c>
      <c r="AA90">
        <v>50</v>
      </c>
      <c r="AB90">
        <v>250</v>
      </c>
      <c r="AC90">
        <v>50</v>
      </c>
      <c r="AD90">
        <v>250</v>
      </c>
      <c r="AE90">
        <v>0</v>
      </c>
      <c r="AF90">
        <v>0</v>
      </c>
      <c r="AG90">
        <v>50</v>
      </c>
      <c r="AH90">
        <v>250</v>
      </c>
      <c r="AI90">
        <v>1</v>
      </c>
      <c r="AJ90">
        <v>2.6880000000000002</v>
      </c>
      <c r="AK90">
        <v>2034</v>
      </c>
      <c r="AL90" s="61">
        <v>2.7519999999999998</v>
      </c>
      <c r="AM90" s="61">
        <v>2.6880000000000002</v>
      </c>
      <c r="AN90" s="61">
        <v>2.7519999999999998</v>
      </c>
      <c r="AO90">
        <v>1.1725143659072164</v>
      </c>
      <c r="AP90">
        <v>1.0274954447000768</v>
      </c>
      <c r="AQ90">
        <v>1.2047531698150638</v>
      </c>
      <c r="AR90" t="b">
        <v>0</v>
      </c>
      <c r="AS90">
        <v>41.502277190667428</v>
      </c>
      <c r="AT90">
        <v>207.51138595333714</v>
      </c>
      <c r="AU90">
        <v>124.50683157200228</v>
      </c>
    </row>
    <row r="91" spans="1:47" x14ac:dyDescent="0.25">
      <c r="A91" t="s">
        <v>324</v>
      </c>
      <c r="B91" t="s">
        <v>450</v>
      </c>
      <c r="C91" t="s">
        <v>319</v>
      </c>
      <c r="D91">
        <v>2026</v>
      </c>
      <c r="E91">
        <v>0</v>
      </c>
      <c r="F91">
        <v>10</v>
      </c>
      <c r="G91">
        <v>0</v>
      </c>
      <c r="H91">
        <v>0</v>
      </c>
      <c r="I91">
        <v>50</v>
      </c>
      <c r="J91">
        <v>250</v>
      </c>
      <c r="K91">
        <v>1</v>
      </c>
      <c r="L91">
        <v>1</v>
      </c>
      <c r="M91">
        <v>7</v>
      </c>
      <c r="N91">
        <v>0</v>
      </c>
      <c r="O91" t="s">
        <v>27</v>
      </c>
      <c r="P91" t="s">
        <v>443</v>
      </c>
      <c r="Q91">
        <v>2026</v>
      </c>
      <c r="R91">
        <v>2036</v>
      </c>
      <c r="S91" t="s">
        <v>444</v>
      </c>
      <c r="T91">
        <v>2034</v>
      </c>
      <c r="U91">
        <v>41.75</v>
      </c>
      <c r="V91">
        <v>1</v>
      </c>
      <c r="W91">
        <v>2034</v>
      </c>
      <c r="X91">
        <v>8</v>
      </c>
      <c r="Y91">
        <v>2034</v>
      </c>
      <c r="Z91">
        <v>1</v>
      </c>
      <c r="AA91">
        <v>50</v>
      </c>
      <c r="AB91">
        <v>250</v>
      </c>
      <c r="AC91">
        <v>50</v>
      </c>
      <c r="AD91">
        <v>250</v>
      </c>
      <c r="AE91">
        <v>0</v>
      </c>
      <c r="AF91">
        <v>0</v>
      </c>
      <c r="AG91">
        <v>50</v>
      </c>
      <c r="AH91">
        <v>250</v>
      </c>
      <c r="AI91">
        <v>1</v>
      </c>
      <c r="AJ91">
        <v>2.7519999999999998</v>
      </c>
      <c r="AK91">
        <v>2035</v>
      </c>
      <c r="AL91" s="61">
        <v>2.8420000000000001</v>
      </c>
      <c r="AM91" s="61">
        <v>2.7519999999999998</v>
      </c>
      <c r="AN91" s="61">
        <v>2.8420000000000001</v>
      </c>
      <c r="AO91">
        <v>1.2092942481281721</v>
      </c>
      <c r="AP91">
        <v>1.0283854649181425</v>
      </c>
      <c r="AQ91">
        <v>1.2436206275841259</v>
      </c>
      <c r="AR91" t="b">
        <v>0</v>
      </c>
      <c r="AS91">
        <v>40.205187089193487</v>
      </c>
      <c r="AT91">
        <v>201.02593544596743</v>
      </c>
      <c r="AU91">
        <v>120.61556126758046</v>
      </c>
    </row>
    <row r="92" spans="1:47" x14ac:dyDescent="0.25">
      <c r="A92" t="s">
        <v>324</v>
      </c>
      <c r="B92" t="s">
        <v>450</v>
      </c>
      <c r="C92" t="s">
        <v>319</v>
      </c>
      <c r="D92">
        <v>2026</v>
      </c>
      <c r="E92">
        <v>0</v>
      </c>
      <c r="F92">
        <v>10</v>
      </c>
      <c r="G92">
        <v>0</v>
      </c>
      <c r="H92">
        <v>0</v>
      </c>
      <c r="I92">
        <v>50</v>
      </c>
      <c r="J92">
        <v>250</v>
      </c>
      <c r="K92">
        <v>1</v>
      </c>
      <c r="L92">
        <v>1</v>
      </c>
      <c r="M92">
        <v>7</v>
      </c>
      <c r="N92">
        <v>0</v>
      </c>
      <c r="O92" t="s">
        <v>27</v>
      </c>
      <c r="P92" t="s">
        <v>443</v>
      </c>
      <c r="Q92">
        <v>2026</v>
      </c>
      <c r="R92">
        <v>2036</v>
      </c>
      <c r="S92" t="s">
        <v>444</v>
      </c>
      <c r="T92">
        <v>2035</v>
      </c>
      <c r="U92">
        <v>42.75</v>
      </c>
      <c r="V92">
        <v>1</v>
      </c>
      <c r="W92">
        <v>2035</v>
      </c>
      <c r="X92">
        <v>9</v>
      </c>
      <c r="Y92">
        <v>2035</v>
      </c>
      <c r="Z92">
        <v>1</v>
      </c>
      <c r="AA92">
        <v>50</v>
      </c>
      <c r="AB92">
        <v>250</v>
      </c>
      <c r="AC92">
        <v>50</v>
      </c>
      <c r="AD92">
        <v>250</v>
      </c>
      <c r="AE92">
        <v>0</v>
      </c>
      <c r="AF92">
        <v>0</v>
      </c>
      <c r="AG92">
        <v>50</v>
      </c>
      <c r="AH92">
        <v>250</v>
      </c>
      <c r="AI92">
        <v>1</v>
      </c>
      <c r="AJ92">
        <v>2.8420000000000001</v>
      </c>
      <c r="AK92">
        <v>2036</v>
      </c>
      <c r="AL92" s="61">
        <v>2.944</v>
      </c>
      <c r="AM92" s="61">
        <v>2.8420000000000001</v>
      </c>
      <c r="AN92" s="61">
        <v>2.944</v>
      </c>
      <c r="AO92">
        <v>1.2513076834571593</v>
      </c>
      <c r="AP92">
        <v>1.0294008580614105</v>
      </c>
      <c r="AQ92">
        <v>1.2880972030496356</v>
      </c>
      <c r="AR92" t="b">
        <v>0</v>
      </c>
      <c r="AS92">
        <v>38.816946331086243</v>
      </c>
      <c r="AT92">
        <v>194.0847316554312</v>
      </c>
      <c r="AU92">
        <v>116.45083899325871</v>
      </c>
    </row>
    <row r="93" spans="1:47" x14ac:dyDescent="0.25">
      <c r="A93" t="s">
        <v>324</v>
      </c>
      <c r="B93" t="s">
        <v>450</v>
      </c>
      <c r="C93" t="s">
        <v>319</v>
      </c>
      <c r="D93">
        <v>2026</v>
      </c>
      <c r="E93">
        <v>0</v>
      </c>
      <c r="M93">
        <v>7</v>
      </c>
      <c r="Q93">
        <v>2026</v>
      </c>
      <c r="R93">
        <v>2036</v>
      </c>
      <c r="T93">
        <v>2036</v>
      </c>
      <c r="U93">
        <v>43.75</v>
      </c>
      <c r="W93">
        <v>2036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L93" s="61"/>
      <c r="AS93">
        <v>0</v>
      </c>
      <c r="AT93">
        <v>0</v>
      </c>
      <c r="AU93">
        <v>0</v>
      </c>
    </row>
    <row r="94" spans="1:47" x14ac:dyDescent="0.25">
      <c r="A94" t="s">
        <v>351</v>
      </c>
      <c r="B94" t="s">
        <v>451</v>
      </c>
      <c r="C94" t="s">
        <v>320</v>
      </c>
      <c r="D94">
        <v>2026</v>
      </c>
      <c r="E94">
        <v>0</v>
      </c>
      <c r="F94">
        <v>15</v>
      </c>
      <c r="G94">
        <v>0</v>
      </c>
      <c r="H94">
        <v>0</v>
      </c>
      <c r="I94">
        <v>30</v>
      </c>
      <c r="J94">
        <v>45</v>
      </c>
      <c r="K94">
        <v>4</v>
      </c>
      <c r="L94">
        <v>2</v>
      </c>
      <c r="M94">
        <v>8</v>
      </c>
      <c r="N94">
        <v>0</v>
      </c>
      <c r="O94" t="s">
        <v>27</v>
      </c>
      <c r="P94" t="s">
        <v>443</v>
      </c>
      <c r="Q94">
        <v>2026</v>
      </c>
      <c r="R94">
        <v>2041</v>
      </c>
      <c r="S94" t="s">
        <v>444</v>
      </c>
      <c r="T94">
        <v>2026</v>
      </c>
      <c r="U94">
        <v>33.75</v>
      </c>
      <c r="V94">
        <v>1</v>
      </c>
      <c r="W94">
        <v>2026</v>
      </c>
      <c r="X94">
        <v>0</v>
      </c>
      <c r="Y94">
        <v>2026</v>
      </c>
      <c r="Z94">
        <v>1</v>
      </c>
      <c r="AA94">
        <v>120</v>
      </c>
      <c r="AB94">
        <v>180</v>
      </c>
      <c r="AC94">
        <v>120</v>
      </c>
      <c r="AD94">
        <v>180</v>
      </c>
      <c r="AE94">
        <v>0</v>
      </c>
      <c r="AF94">
        <v>0</v>
      </c>
      <c r="AG94">
        <v>120</v>
      </c>
      <c r="AH94">
        <v>180</v>
      </c>
      <c r="AI94">
        <v>1</v>
      </c>
      <c r="AK94">
        <v>2027</v>
      </c>
      <c r="AL94" s="61">
        <v>2.4329999999999998</v>
      </c>
      <c r="AM94" s="61">
        <v>0</v>
      </c>
      <c r="AN94" s="61">
        <v>2.4329999999999998</v>
      </c>
      <c r="AO94">
        <v>1</v>
      </c>
      <c r="AP94">
        <v>1.023385968321771</v>
      </c>
      <c r="AQ94">
        <v>1.023385968321771</v>
      </c>
      <c r="AR94" t="b">
        <v>1</v>
      </c>
      <c r="AS94">
        <v>120</v>
      </c>
      <c r="AT94">
        <v>180</v>
      </c>
      <c r="AU94">
        <v>150</v>
      </c>
    </row>
    <row r="95" spans="1:47" x14ac:dyDescent="0.25">
      <c r="A95" t="s">
        <v>351</v>
      </c>
      <c r="B95" t="s">
        <v>451</v>
      </c>
      <c r="C95" t="s">
        <v>320</v>
      </c>
      <c r="D95">
        <v>2026</v>
      </c>
      <c r="E95">
        <v>0</v>
      </c>
      <c r="F95">
        <v>15</v>
      </c>
      <c r="G95">
        <v>0</v>
      </c>
      <c r="H95">
        <v>0</v>
      </c>
      <c r="I95">
        <v>30</v>
      </c>
      <c r="J95">
        <v>45</v>
      </c>
      <c r="K95">
        <v>4</v>
      </c>
      <c r="L95">
        <v>2</v>
      </c>
      <c r="M95">
        <v>8</v>
      </c>
      <c r="N95">
        <v>0</v>
      </c>
      <c r="O95" t="s">
        <v>27</v>
      </c>
      <c r="P95" t="s">
        <v>443</v>
      </c>
      <c r="Q95">
        <v>2026</v>
      </c>
      <c r="R95">
        <v>2041</v>
      </c>
      <c r="S95" t="s">
        <v>444</v>
      </c>
      <c r="T95">
        <v>2027</v>
      </c>
      <c r="U95">
        <v>34.75</v>
      </c>
      <c r="V95">
        <v>1</v>
      </c>
      <c r="W95">
        <v>2027</v>
      </c>
      <c r="X95">
        <v>1</v>
      </c>
      <c r="Y95">
        <v>2027</v>
      </c>
      <c r="Z95">
        <v>1</v>
      </c>
      <c r="AA95">
        <v>120</v>
      </c>
      <c r="AB95">
        <v>180</v>
      </c>
      <c r="AC95">
        <v>120</v>
      </c>
      <c r="AD95">
        <v>180</v>
      </c>
      <c r="AE95">
        <v>0</v>
      </c>
      <c r="AF95">
        <v>0</v>
      </c>
      <c r="AG95">
        <v>120</v>
      </c>
      <c r="AH95">
        <v>180</v>
      </c>
      <c r="AI95">
        <v>1</v>
      </c>
      <c r="AJ95">
        <v>2.4329999999999998</v>
      </c>
      <c r="AK95">
        <v>2028</v>
      </c>
      <c r="AL95" s="61">
        <v>2.4220000000000002</v>
      </c>
      <c r="AM95" s="61">
        <v>2.4329999999999998</v>
      </c>
      <c r="AN95" s="61">
        <v>2.4220000000000002</v>
      </c>
      <c r="AO95">
        <v>1</v>
      </c>
      <c r="AP95">
        <v>1.0242242189602202</v>
      </c>
      <c r="AQ95">
        <v>1.0242242189602202</v>
      </c>
      <c r="AR95" t="b">
        <v>0</v>
      </c>
      <c r="AS95">
        <v>117.16184579370963</v>
      </c>
      <c r="AT95">
        <v>175.74276869056445</v>
      </c>
      <c r="AU95">
        <v>146.45230724213704</v>
      </c>
    </row>
    <row r="96" spans="1:47" x14ac:dyDescent="0.25">
      <c r="A96" t="s">
        <v>351</v>
      </c>
      <c r="B96" t="s">
        <v>451</v>
      </c>
      <c r="C96" t="s">
        <v>320</v>
      </c>
      <c r="D96">
        <v>2026</v>
      </c>
      <c r="E96">
        <v>0</v>
      </c>
      <c r="F96">
        <v>15</v>
      </c>
      <c r="G96">
        <v>0</v>
      </c>
      <c r="H96">
        <v>0</v>
      </c>
      <c r="I96">
        <v>30</v>
      </c>
      <c r="J96">
        <v>45</v>
      </c>
      <c r="K96">
        <v>4</v>
      </c>
      <c r="L96">
        <v>2</v>
      </c>
      <c r="M96">
        <v>8</v>
      </c>
      <c r="N96">
        <v>0</v>
      </c>
      <c r="O96" t="s">
        <v>27</v>
      </c>
      <c r="P96" t="s">
        <v>443</v>
      </c>
      <c r="Q96">
        <v>2026</v>
      </c>
      <c r="R96">
        <v>2041</v>
      </c>
      <c r="S96" t="s">
        <v>444</v>
      </c>
      <c r="T96">
        <v>2028</v>
      </c>
      <c r="U96">
        <v>35.75</v>
      </c>
      <c r="V96">
        <v>1</v>
      </c>
      <c r="W96">
        <v>2028</v>
      </c>
      <c r="X96">
        <v>2</v>
      </c>
      <c r="Y96">
        <v>2028</v>
      </c>
      <c r="Z96">
        <v>1</v>
      </c>
      <c r="AA96">
        <v>120</v>
      </c>
      <c r="AB96">
        <v>180</v>
      </c>
      <c r="AC96">
        <v>120</v>
      </c>
      <c r="AD96">
        <v>180</v>
      </c>
      <c r="AE96">
        <v>0</v>
      </c>
      <c r="AF96">
        <v>0</v>
      </c>
      <c r="AG96">
        <v>120</v>
      </c>
      <c r="AH96">
        <v>180</v>
      </c>
      <c r="AI96">
        <v>1</v>
      </c>
      <c r="AJ96">
        <v>2.4220000000000002</v>
      </c>
      <c r="AK96">
        <v>2029</v>
      </c>
      <c r="AL96" s="61">
        <v>2.4209999999999998</v>
      </c>
      <c r="AM96" s="61">
        <v>2.4220000000000002</v>
      </c>
      <c r="AN96" s="61">
        <v>2.4209999999999998</v>
      </c>
      <c r="AO96">
        <v>1.0242199999999999</v>
      </c>
      <c r="AP96">
        <v>1.0242103835598433</v>
      </c>
      <c r="AQ96">
        <v>1.0490167590496626</v>
      </c>
      <c r="AR96" t="b">
        <v>0</v>
      </c>
      <c r="AS96">
        <v>114.39283401793483</v>
      </c>
      <c r="AT96">
        <v>171.58925102690225</v>
      </c>
      <c r="AU96">
        <v>142.99104252241852</v>
      </c>
    </row>
    <row r="97" spans="1:47" x14ac:dyDescent="0.25">
      <c r="A97" t="s">
        <v>351</v>
      </c>
      <c r="B97" t="s">
        <v>451</v>
      </c>
      <c r="C97" t="s">
        <v>320</v>
      </c>
      <c r="D97">
        <v>2026</v>
      </c>
      <c r="E97">
        <v>0</v>
      </c>
      <c r="F97">
        <v>15</v>
      </c>
      <c r="G97">
        <v>0</v>
      </c>
      <c r="H97">
        <v>0</v>
      </c>
      <c r="I97">
        <v>30</v>
      </c>
      <c r="J97">
        <v>45</v>
      </c>
      <c r="K97">
        <v>4</v>
      </c>
      <c r="L97">
        <v>2</v>
      </c>
      <c r="M97">
        <v>8</v>
      </c>
      <c r="N97">
        <v>0</v>
      </c>
      <c r="O97" t="s">
        <v>27</v>
      </c>
      <c r="P97" t="s">
        <v>443</v>
      </c>
      <c r="Q97">
        <v>2026</v>
      </c>
      <c r="R97">
        <v>2041</v>
      </c>
      <c r="S97" t="s">
        <v>444</v>
      </c>
      <c r="T97">
        <v>2029</v>
      </c>
      <c r="U97">
        <v>36.75</v>
      </c>
      <c r="V97">
        <v>1</v>
      </c>
      <c r="W97">
        <v>2029</v>
      </c>
      <c r="X97">
        <v>3</v>
      </c>
      <c r="Y97">
        <v>2029</v>
      </c>
      <c r="Z97">
        <v>1</v>
      </c>
      <c r="AA97">
        <v>120</v>
      </c>
      <c r="AB97">
        <v>180</v>
      </c>
      <c r="AC97">
        <v>120</v>
      </c>
      <c r="AD97">
        <v>180</v>
      </c>
      <c r="AE97">
        <v>0</v>
      </c>
      <c r="AF97">
        <v>0</v>
      </c>
      <c r="AG97">
        <v>120</v>
      </c>
      <c r="AH97">
        <v>180</v>
      </c>
      <c r="AI97">
        <v>1</v>
      </c>
      <c r="AJ97">
        <v>2.4209999999999998</v>
      </c>
      <c r="AK97">
        <v>2030</v>
      </c>
      <c r="AL97" s="61">
        <v>2.4670000000000001</v>
      </c>
      <c r="AM97" s="61">
        <v>2.4209999999999998</v>
      </c>
      <c r="AN97" s="61">
        <v>2.4670000000000001</v>
      </c>
      <c r="AO97">
        <v>1.0490061241000002</v>
      </c>
      <c r="AP97">
        <v>1.0246523523547908</v>
      </c>
      <c r="AQ97">
        <v>1.0748665926936467</v>
      </c>
      <c r="AR97" t="b">
        <v>0</v>
      </c>
      <c r="AS97">
        <v>111.64176169926031</v>
      </c>
      <c r="AT97">
        <v>167.46264254889047</v>
      </c>
      <c r="AU97">
        <v>139.55220212407539</v>
      </c>
    </row>
    <row r="98" spans="1:47" x14ac:dyDescent="0.25">
      <c r="A98" t="s">
        <v>351</v>
      </c>
      <c r="B98" t="s">
        <v>451</v>
      </c>
      <c r="C98" t="s">
        <v>320</v>
      </c>
      <c r="D98">
        <v>2026</v>
      </c>
      <c r="E98">
        <v>0</v>
      </c>
      <c r="F98">
        <v>15</v>
      </c>
      <c r="G98">
        <v>0</v>
      </c>
      <c r="H98">
        <v>0</v>
      </c>
      <c r="I98">
        <v>30</v>
      </c>
      <c r="J98">
        <v>45</v>
      </c>
      <c r="K98">
        <v>4</v>
      </c>
      <c r="L98">
        <v>2</v>
      </c>
      <c r="M98">
        <v>8</v>
      </c>
      <c r="N98">
        <v>0</v>
      </c>
      <c r="O98" t="s">
        <v>27</v>
      </c>
      <c r="P98" t="s">
        <v>443</v>
      </c>
      <c r="Q98">
        <v>2026</v>
      </c>
      <c r="R98">
        <v>2041</v>
      </c>
      <c r="S98" t="s">
        <v>444</v>
      </c>
      <c r="T98">
        <v>2030</v>
      </c>
      <c r="U98">
        <v>37.75</v>
      </c>
      <c r="V98">
        <v>1</v>
      </c>
      <c r="W98">
        <v>2030</v>
      </c>
      <c r="X98">
        <v>4</v>
      </c>
      <c r="Y98">
        <v>2030</v>
      </c>
      <c r="Z98">
        <v>1</v>
      </c>
      <c r="AA98">
        <v>120</v>
      </c>
      <c r="AB98">
        <v>180</v>
      </c>
      <c r="AC98">
        <v>120</v>
      </c>
      <c r="AD98">
        <v>180</v>
      </c>
      <c r="AE98">
        <v>0</v>
      </c>
      <c r="AF98">
        <v>0</v>
      </c>
      <c r="AG98">
        <v>120</v>
      </c>
      <c r="AH98">
        <v>180</v>
      </c>
      <c r="AI98">
        <v>1</v>
      </c>
      <c r="AJ98">
        <v>2.4670000000000001</v>
      </c>
      <c r="AK98">
        <v>2031</v>
      </c>
      <c r="AL98" s="61">
        <v>2.5169999999999999</v>
      </c>
      <c r="AM98" s="61">
        <v>2.4670000000000001</v>
      </c>
      <c r="AN98" s="61">
        <v>2.5169999999999999</v>
      </c>
      <c r="AO98">
        <v>1.0758508410815628</v>
      </c>
      <c r="AP98">
        <v>1.0251508174189523</v>
      </c>
      <c r="AQ98">
        <v>1.1029093691556315</v>
      </c>
      <c r="AR98" t="b">
        <v>0</v>
      </c>
      <c r="AS98">
        <v>108.80313773367429</v>
      </c>
      <c r="AT98">
        <v>163.20470660051143</v>
      </c>
      <c r="AU98">
        <v>136.00392216709287</v>
      </c>
    </row>
    <row r="99" spans="1:47" x14ac:dyDescent="0.25">
      <c r="A99" t="s">
        <v>351</v>
      </c>
      <c r="B99" t="s">
        <v>451</v>
      </c>
      <c r="C99" t="s">
        <v>320</v>
      </c>
      <c r="D99">
        <v>2026</v>
      </c>
      <c r="E99">
        <v>0</v>
      </c>
      <c r="F99">
        <v>15</v>
      </c>
      <c r="G99">
        <v>0</v>
      </c>
      <c r="H99">
        <v>0</v>
      </c>
      <c r="I99">
        <v>30</v>
      </c>
      <c r="J99">
        <v>45</v>
      </c>
      <c r="K99">
        <v>4</v>
      </c>
      <c r="L99">
        <v>2</v>
      </c>
      <c r="M99">
        <v>8</v>
      </c>
      <c r="N99">
        <v>0</v>
      </c>
      <c r="O99" t="s">
        <v>27</v>
      </c>
      <c r="P99" t="s">
        <v>443</v>
      </c>
      <c r="Q99">
        <v>2026</v>
      </c>
      <c r="R99">
        <v>2041</v>
      </c>
      <c r="S99" t="s">
        <v>444</v>
      </c>
      <c r="T99">
        <v>2031</v>
      </c>
      <c r="U99">
        <v>38.75</v>
      </c>
      <c r="V99">
        <v>1</v>
      </c>
      <c r="W99">
        <v>2031</v>
      </c>
      <c r="X99">
        <v>5</v>
      </c>
      <c r="Y99">
        <v>2031</v>
      </c>
      <c r="Z99">
        <v>1</v>
      </c>
      <c r="AA99">
        <v>120</v>
      </c>
      <c r="AB99">
        <v>180</v>
      </c>
      <c r="AC99">
        <v>120</v>
      </c>
      <c r="AD99">
        <v>180</v>
      </c>
      <c r="AE99">
        <v>0</v>
      </c>
      <c r="AF99">
        <v>0</v>
      </c>
      <c r="AG99">
        <v>120</v>
      </c>
      <c r="AH99">
        <v>180</v>
      </c>
      <c r="AI99">
        <v>1</v>
      </c>
      <c r="AJ99">
        <v>2.5169999999999999</v>
      </c>
      <c r="AK99">
        <v>2032</v>
      </c>
      <c r="AL99" s="61">
        <v>2.59</v>
      </c>
      <c r="AM99" s="61">
        <v>2.5169999999999999</v>
      </c>
      <c r="AN99" s="61">
        <v>2.59</v>
      </c>
      <c r="AO99">
        <v>1.1045453584485188</v>
      </c>
      <c r="AP99">
        <v>1.0258719904156592</v>
      </c>
      <c r="AQ99">
        <v>1.1331221453759597</v>
      </c>
      <c r="AR99" t="b">
        <v>0</v>
      </c>
      <c r="AS99">
        <v>105.90208698126281</v>
      </c>
      <c r="AT99">
        <v>158.85313047189422</v>
      </c>
      <c r="AU99">
        <v>132.3776087265785</v>
      </c>
    </row>
    <row r="100" spans="1:47" x14ac:dyDescent="0.25">
      <c r="A100" t="s">
        <v>351</v>
      </c>
      <c r="B100" t="s">
        <v>451</v>
      </c>
      <c r="C100" t="s">
        <v>320</v>
      </c>
      <c r="D100">
        <v>2026</v>
      </c>
      <c r="E100">
        <v>0</v>
      </c>
      <c r="F100">
        <v>15</v>
      </c>
      <c r="G100">
        <v>0</v>
      </c>
      <c r="H100">
        <v>0</v>
      </c>
      <c r="I100">
        <v>30</v>
      </c>
      <c r="J100">
        <v>45</v>
      </c>
      <c r="K100">
        <v>4</v>
      </c>
      <c r="L100">
        <v>2</v>
      </c>
      <c r="M100">
        <v>8</v>
      </c>
      <c r="N100">
        <v>0</v>
      </c>
      <c r="O100" t="s">
        <v>27</v>
      </c>
      <c r="P100" t="s">
        <v>443</v>
      </c>
      <c r="Q100">
        <v>2026</v>
      </c>
      <c r="R100">
        <v>2041</v>
      </c>
      <c r="S100" t="s">
        <v>444</v>
      </c>
      <c r="T100">
        <v>2032</v>
      </c>
      <c r="U100">
        <v>39.75</v>
      </c>
      <c r="V100">
        <v>1</v>
      </c>
      <c r="W100">
        <v>2032</v>
      </c>
      <c r="X100">
        <v>6</v>
      </c>
      <c r="Y100">
        <v>2032</v>
      </c>
      <c r="Z100">
        <v>1</v>
      </c>
      <c r="AA100">
        <v>120</v>
      </c>
      <c r="AB100">
        <v>180</v>
      </c>
      <c r="AC100">
        <v>120</v>
      </c>
      <c r="AD100">
        <v>180</v>
      </c>
      <c r="AE100">
        <v>0</v>
      </c>
      <c r="AF100">
        <v>0</v>
      </c>
      <c r="AG100">
        <v>120</v>
      </c>
      <c r="AH100">
        <v>180</v>
      </c>
      <c r="AI100">
        <v>1</v>
      </c>
      <c r="AJ100">
        <v>2.59</v>
      </c>
      <c r="AK100">
        <v>2033</v>
      </c>
      <c r="AL100" s="61">
        <v>2.6880000000000002</v>
      </c>
      <c r="AM100" s="61">
        <v>2.59</v>
      </c>
      <c r="AN100" s="61">
        <v>2.6880000000000002</v>
      </c>
      <c r="AO100">
        <v>1.1363841013749196</v>
      </c>
      <c r="AP100">
        <v>1.0268423936996114</v>
      </c>
      <c r="AQ100">
        <v>1.1668873708180043</v>
      </c>
      <c r="AR100" t="b">
        <v>0</v>
      </c>
      <c r="AS100">
        <v>102.83768853876474</v>
      </c>
      <c r="AT100">
        <v>154.25653280814711</v>
      </c>
      <c r="AU100">
        <v>128.54711067345593</v>
      </c>
    </row>
    <row r="101" spans="1:47" x14ac:dyDescent="0.25">
      <c r="A101" t="s">
        <v>351</v>
      </c>
      <c r="B101" t="s">
        <v>451</v>
      </c>
      <c r="C101" t="s">
        <v>320</v>
      </c>
      <c r="D101">
        <v>2026</v>
      </c>
      <c r="E101">
        <v>0</v>
      </c>
      <c r="F101">
        <v>15</v>
      </c>
      <c r="G101">
        <v>0</v>
      </c>
      <c r="H101">
        <v>0</v>
      </c>
      <c r="I101">
        <v>30</v>
      </c>
      <c r="J101">
        <v>45</v>
      </c>
      <c r="K101">
        <v>4</v>
      </c>
      <c r="L101">
        <v>2</v>
      </c>
      <c r="M101">
        <v>8</v>
      </c>
      <c r="N101">
        <v>0</v>
      </c>
      <c r="O101" t="s">
        <v>27</v>
      </c>
      <c r="P101" t="s">
        <v>443</v>
      </c>
      <c r="Q101">
        <v>2026</v>
      </c>
      <c r="R101">
        <v>2041</v>
      </c>
      <c r="S101" t="s">
        <v>444</v>
      </c>
      <c r="T101">
        <v>2033</v>
      </c>
      <c r="U101">
        <v>40.75</v>
      </c>
      <c r="V101">
        <v>1</v>
      </c>
      <c r="W101">
        <v>2033</v>
      </c>
      <c r="X101">
        <v>7</v>
      </c>
      <c r="Y101">
        <v>2033</v>
      </c>
      <c r="Z101">
        <v>1</v>
      </c>
      <c r="AA101">
        <v>120</v>
      </c>
      <c r="AB101">
        <v>180</v>
      </c>
      <c r="AC101">
        <v>120</v>
      </c>
      <c r="AD101">
        <v>180</v>
      </c>
      <c r="AE101">
        <v>0</v>
      </c>
      <c r="AF101">
        <v>0</v>
      </c>
      <c r="AG101">
        <v>120</v>
      </c>
      <c r="AH101">
        <v>180</v>
      </c>
      <c r="AI101">
        <v>1</v>
      </c>
      <c r="AJ101">
        <v>2.6880000000000002</v>
      </c>
      <c r="AK101">
        <v>2034</v>
      </c>
      <c r="AL101" s="61">
        <v>2.7519999999999998</v>
      </c>
      <c r="AM101" s="61">
        <v>2.6880000000000002</v>
      </c>
      <c r="AN101" s="61">
        <v>2.7519999999999998</v>
      </c>
      <c r="AO101">
        <v>1.1725143659072164</v>
      </c>
      <c r="AP101">
        <v>1.0274954447000768</v>
      </c>
      <c r="AQ101">
        <v>1.2047531698150638</v>
      </c>
      <c r="AR101" t="b">
        <v>0</v>
      </c>
      <c r="AS101">
        <v>99.605465257601821</v>
      </c>
      <c r="AT101">
        <v>149.40819788640275</v>
      </c>
      <c r="AU101">
        <v>124.50683157200228</v>
      </c>
    </row>
    <row r="102" spans="1:47" x14ac:dyDescent="0.25">
      <c r="A102" t="s">
        <v>351</v>
      </c>
      <c r="B102" t="s">
        <v>451</v>
      </c>
      <c r="C102" t="s">
        <v>320</v>
      </c>
      <c r="D102">
        <v>2026</v>
      </c>
      <c r="E102">
        <v>0</v>
      </c>
      <c r="F102">
        <v>15</v>
      </c>
      <c r="G102">
        <v>0</v>
      </c>
      <c r="H102">
        <v>0</v>
      </c>
      <c r="I102">
        <v>30</v>
      </c>
      <c r="J102">
        <v>45</v>
      </c>
      <c r="K102">
        <v>4</v>
      </c>
      <c r="L102">
        <v>2</v>
      </c>
      <c r="M102">
        <v>8</v>
      </c>
      <c r="N102">
        <v>0</v>
      </c>
      <c r="O102" t="s">
        <v>27</v>
      </c>
      <c r="P102" t="s">
        <v>443</v>
      </c>
      <c r="Q102">
        <v>2026</v>
      </c>
      <c r="R102">
        <v>2041</v>
      </c>
      <c r="S102" t="s">
        <v>444</v>
      </c>
      <c r="T102">
        <v>2034</v>
      </c>
      <c r="U102">
        <v>41.75</v>
      </c>
      <c r="V102">
        <v>1</v>
      </c>
      <c r="W102">
        <v>2034</v>
      </c>
      <c r="X102">
        <v>8</v>
      </c>
      <c r="Y102">
        <v>2034</v>
      </c>
      <c r="Z102">
        <v>1</v>
      </c>
      <c r="AA102">
        <v>120</v>
      </c>
      <c r="AB102">
        <v>180</v>
      </c>
      <c r="AC102">
        <v>120</v>
      </c>
      <c r="AD102">
        <v>180</v>
      </c>
      <c r="AE102">
        <v>0</v>
      </c>
      <c r="AF102">
        <v>0</v>
      </c>
      <c r="AG102">
        <v>120</v>
      </c>
      <c r="AH102">
        <v>180</v>
      </c>
      <c r="AI102">
        <v>1</v>
      </c>
      <c r="AJ102">
        <v>2.7519999999999998</v>
      </c>
      <c r="AK102">
        <v>2035</v>
      </c>
      <c r="AL102" s="61">
        <v>2.8420000000000001</v>
      </c>
      <c r="AM102" s="61">
        <v>2.7519999999999998</v>
      </c>
      <c r="AN102" s="61">
        <v>2.8420000000000001</v>
      </c>
      <c r="AO102">
        <v>1.2092942481281721</v>
      </c>
      <c r="AP102">
        <v>1.0283854649181425</v>
      </c>
      <c r="AQ102">
        <v>1.2436206275841259</v>
      </c>
      <c r="AR102" t="b">
        <v>0</v>
      </c>
      <c r="AS102">
        <v>96.492449014064363</v>
      </c>
      <c r="AT102">
        <v>144.73867352109656</v>
      </c>
      <c r="AU102">
        <v>120.61556126758046</v>
      </c>
    </row>
    <row r="103" spans="1:47" x14ac:dyDescent="0.25">
      <c r="A103" t="s">
        <v>351</v>
      </c>
      <c r="B103" t="s">
        <v>451</v>
      </c>
      <c r="C103" t="s">
        <v>320</v>
      </c>
      <c r="D103">
        <v>2026</v>
      </c>
      <c r="E103">
        <v>0</v>
      </c>
      <c r="F103">
        <v>15</v>
      </c>
      <c r="G103">
        <v>0</v>
      </c>
      <c r="H103">
        <v>0</v>
      </c>
      <c r="I103">
        <v>30</v>
      </c>
      <c r="J103">
        <v>45</v>
      </c>
      <c r="K103">
        <v>4</v>
      </c>
      <c r="L103">
        <v>2</v>
      </c>
      <c r="M103">
        <v>8</v>
      </c>
      <c r="N103">
        <v>0</v>
      </c>
      <c r="O103" t="s">
        <v>27</v>
      </c>
      <c r="P103" t="s">
        <v>443</v>
      </c>
      <c r="Q103">
        <v>2026</v>
      </c>
      <c r="R103">
        <v>2041</v>
      </c>
      <c r="S103" t="s">
        <v>444</v>
      </c>
      <c r="T103">
        <v>2035</v>
      </c>
      <c r="U103">
        <v>42.75</v>
      </c>
      <c r="V103">
        <v>1</v>
      </c>
      <c r="W103">
        <v>2035</v>
      </c>
      <c r="X103">
        <v>9</v>
      </c>
      <c r="Y103">
        <v>2035</v>
      </c>
      <c r="Z103">
        <v>1</v>
      </c>
      <c r="AA103">
        <v>120</v>
      </c>
      <c r="AB103">
        <v>180</v>
      </c>
      <c r="AC103">
        <v>120</v>
      </c>
      <c r="AD103">
        <v>180</v>
      </c>
      <c r="AE103">
        <v>0</v>
      </c>
      <c r="AF103">
        <v>0</v>
      </c>
      <c r="AG103">
        <v>120</v>
      </c>
      <c r="AH103">
        <v>180</v>
      </c>
      <c r="AI103">
        <v>1</v>
      </c>
      <c r="AJ103">
        <v>2.8420000000000001</v>
      </c>
      <c r="AK103">
        <v>2036</v>
      </c>
      <c r="AL103" s="61">
        <v>2.944</v>
      </c>
      <c r="AM103" s="61">
        <v>2.8420000000000001</v>
      </c>
      <c r="AN103" s="61">
        <v>2.944</v>
      </c>
      <c r="AO103">
        <v>1.2513076834571593</v>
      </c>
      <c r="AP103">
        <v>1.0294008580614105</v>
      </c>
      <c r="AQ103">
        <v>1.2880972030496356</v>
      </c>
      <c r="AR103" t="b">
        <v>0</v>
      </c>
      <c r="AS103">
        <v>93.160671194606977</v>
      </c>
      <c r="AT103">
        <v>139.74100679191045</v>
      </c>
      <c r="AU103">
        <v>116.45083899325871</v>
      </c>
    </row>
    <row r="104" spans="1:47" x14ac:dyDescent="0.25">
      <c r="A104" t="s">
        <v>351</v>
      </c>
      <c r="B104" t="s">
        <v>451</v>
      </c>
      <c r="C104" t="s">
        <v>320</v>
      </c>
      <c r="D104">
        <v>2026</v>
      </c>
      <c r="E104">
        <v>0</v>
      </c>
      <c r="F104">
        <v>15</v>
      </c>
      <c r="G104">
        <v>0</v>
      </c>
      <c r="H104">
        <v>0</v>
      </c>
      <c r="I104">
        <v>30</v>
      </c>
      <c r="J104">
        <v>45</v>
      </c>
      <c r="K104">
        <v>4</v>
      </c>
      <c r="L104">
        <v>2</v>
      </c>
      <c r="M104">
        <v>8</v>
      </c>
      <c r="N104">
        <v>0</v>
      </c>
      <c r="O104" t="s">
        <v>27</v>
      </c>
      <c r="P104" t="s">
        <v>443</v>
      </c>
      <c r="Q104">
        <v>2026</v>
      </c>
      <c r="R104">
        <v>2041</v>
      </c>
      <c r="S104" t="s">
        <v>444</v>
      </c>
      <c r="T104">
        <v>2036</v>
      </c>
      <c r="U104">
        <v>43.75</v>
      </c>
      <c r="V104">
        <v>1</v>
      </c>
      <c r="W104">
        <v>2036</v>
      </c>
      <c r="X104">
        <v>10</v>
      </c>
      <c r="Y104">
        <v>2036</v>
      </c>
      <c r="Z104">
        <v>1</v>
      </c>
      <c r="AA104">
        <v>120</v>
      </c>
      <c r="AB104">
        <v>180</v>
      </c>
      <c r="AC104">
        <v>120</v>
      </c>
      <c r="AD104">
        <v>180</v>
      </c>
      <c r="AE104">
        <v>0</v>
      </c>
      <c r="AF104">
        <v>0</v>
      </c>
      <c r="AG104">
        <v>120</v>
      </c>
      <c r="AH104">
        <v>180</v>
      </c>
      <c r="AI104">
        <v>1</v>
      </c>
      <c r="AJ104">
        <v>2.944</v>
      </c>
      <c r="AK104">
        <v>2037</v>
      </c>
      <c r="AL104" s="61">
        <v>3.036</v>
      </c>
      <c r="AM104" s="61">
        <v>2.944</v>
      </c>
      <c r="AN104" s="61">
        <v>3.036</v>
      </c>
      <c r="AO104">
        <v>1.2984025298030446</v>
      </c>
      <c r="AP104">
        <v>1.0303246971701443</v>
      </c>
      <c r="AQ104">
        <v>1.3377761933242711</v>
      </c>
      <c r="AR104" t="b">
        <v>0</v>
      </c>
      <c r="AS104">
        <v>89.701102919023555</v>
      </c>
      <c r="AT104">
        <v>134.55165437853535</v>
      </c>
      <c r="AU104">
        <v>112.12637864877945</v>
      </c>
    </row>
    <row r="105" spans="1:47" x14ac:dyDescent="0.25">
      <c r="A105" t="s">
        <v>351</v>
      </c>
      <c r="B105" t="s">
        <v>451</v>
      </c>
      <c r="C105" t="s">
        <v>320</v>
      </c>
      <c r="D105">
        <v>2026</v>
      </c>
      <c r="E105">
        <v>0</v>
      </c>
      <c r="F105">
        <v>15</v>
      </c>
      <c r="G105">
        <v>0</v>
      </c>
      <c r="H105">
        <v>0</v>
      </c>
      <c r="I105">
        <v>30</v>
      </c>
      <c r="J105">
        <v>45</v>
      </c>
      <c r="K105">
        <v>4</v>
      </c>
      <c r="L105">
        <v>2</v>
      </c>
      <c r="M105">
        <v>8</v>
      </c>
      <c r="N105">
        <v>0</v>
      </c>
      <c r="O105" t="s">
        <v>27</v>
      </c>
      <c r="P105" t="s">
        <v>443</v>
      </c>
      <c r="Q105">
        <v>2026</v>
      </c>
      <c r="R105">
        <v>2041</v>
      </c>
      <c r="S105" t="s">
        <v>444</v>
      </c>
      <c r="T105">
        <v>2037</v>
      </c>
      <c r="U105">
        <v>44.75</v>
      </c>
      <c r="V105">
        <v>1</v>
      </c>
      <c r="W105">
        <v>2037</v>
      </c>
      <c r="X105">
        <v>11</v>
      </c>
      <c r="Y105">
        <v>2037</v>
      </c>
      <c r="Z105">
        <v>1</v>
      </c>
      <c r="AA105">
        <v>120</v>
      </c>
      <c r="AB105">
        <v>180</v>
      </c>
      <c r="AC105">
        <v>120</v>
      </c>
      <c r="AD105">
        <v>180</v>
      </c>
      <c r="AE105">
        <v>0</v>
      </c>
      <c r="AF105">
        <v>0</v>
      </c>
      <c r="AG105">
        <v>120</v>
      </c>
      <c r="AH105">
        <v>180</v>
      </c>
      <c r="AI105">
        <v>1</v>
      </c>
      <c r="AJ105">
        <v>3.036</v>
      </c>
      <c r="AK105">
        <v>2038</v>
      </c>
      <c r="AL105" s="61">
        <v>3.1339999999999999</v>
      </c>
      <c r="AM105" s="61">
        <v>3.036</v>
      </c>
      <c r="AN105" s="61">
        <v>3.1339999999999999</v>
      </c>
      <c r="AO105">
        <v>1.3486209574989538</v>
      </c>
      <c r="AP105">
        <v>1.0313023937742947</v>
      </c>
      <c r="AQ105">
        <v>1.3908360217628524</v>
      </c>
      <c r="AR105" t="b">
        <v>0</v>
      </c>
      <c r="AS105">
        <v>86.279042333044259</v>
      </c>
      <c r="AT105">
        <v>129.41856349956637</v>
      </c>
      <c r="AU105">
        <v>107.84880291630532</v>
      </c>
    </row>
    <row r="106" spans="1:47" x14ac:dyDescent="0.25">
      <c r="A106" t="s">
        <v>351</v>
      </c>
      <c r="B106" t="s">
        <v>451</v>
      </c>
      <c r="C106" t="s">
        <v>320</v>
      </c>
      <c r="D106">
        <v>2026</v>
      </c>
      <c r="E106">
        <v>0</v>
      </c>
      <c r="F106">
        <v>15</v>
      </c>
      <c r="G106">
        <v>0</v>
      </c>
      <c r="H106">
        <v>0</v>
      </c>
      <c r="I106">
        <v>30</v>
      </c>
      <c r="J106">
        <v>45</v>
      </c>
      <c r="K106">
        <v>4</v>
      </c>
      <c r="L106">
        <v>2</v>
      </c>
      <c r="M106">
        <v>8</v>
      </c>
      <c r="N106">
        <v>0</v>
      </c>
      <c r="O106" t="s">
        <v>27</v>
      </c>
      <c r="P106" t="s">
        <v>443</v>
      </c>
      <c r="Q106">
        <v>2026</v>
      </c>
      <c r="R106">
        <v>2041</v>
      </c>
      <c r="S106" t="s">
        <v>444</v>
      </c>
      <c r="T106">
        <v>2038</v>
      </c>
      <c r="U106">
        <v>45.75</v>
      </c>
      <c r="V106">
        <v>1</v>
      </c>
      <c r="W106">
        <v>2038</v>
      </c>
      <c r="X106">
        <v>12</v>
      </c>
      <c r="Y106">
        <v>2038</v>
      </c>
      <c r="Z106">
        <v>1</v>
      </c>
      <c r="AA106">
        <v>120</v>
      </c>
      <c r="AB106">
        <v>180</v>
      </c>
      <c r="AC106">
        <v>120</v>
      </c>
      <c r="AD106">
        <v>180</v>
      </c>
      <c r="AE106">
        <v>0</v>
      </c>
      <c r="AF106">
        <v>0</v>
      </c>
      <c r="AG106">
        <v>120</v>
      </c>
      <c r="AH106">
        <v>180</v>
      </c>
      <c r="AI106">
        <v>1</v>
      </c>
      <c r="AJ106">
        <v>3.1339999999999999</v>
      </c>
      <c r="AK106">
        <v>2039</v>
      </c>
      <c r="AL106" s="61">
        <v>3.2069999999999999</v>
      </c>
      <c r="AM106" s="61">
        <v>3.1339999999999999</v>
      </c>
      <c r="AN106" s="61">
        <v>3.2069999999999999</v>
      </c>
      <c r="AO106">
        <v>1.4041725591738043</v>
      </c>
      <c r="AP106">
        <v>1.0320419904729838</v>
      </c>
      <c r="AQ106">
        <v>1.4491650429372767</v>
      </c>
      <c r="AR106" t="b">
        <v>0</v>
      </c>
      <c r="AS106">
        <v>82.806303246713</v>
      </c>
      <c r="AT106">
        <v>124.20945487006951</v>
      </c>
      <c r="AU106">
        <v>103.50787905839125</v>
      </c>
    </row>
    <row r="107" spans="1:47" x14ac:dyDescent="0.25">
      <c r="A107" t="s">
        <v>351</v>
      </c>
      <c r="B107" t="s">
        <v>451</v>
      </c>
      <c r="C107" t="s">
        <v>320</v>
      </c>
      <c r="D107">
        <v>2026</v>
      </c>
      <c r="E107">
        <v>0</v>
      </c>
      <c r="F107">
        <v>15</v>
      </c>
      <c r="G107">
        <v>0</v>
      </c>
      <c r="H107">
        <v>0</v>
      </c>
      <c r="I107">
        <v>30</v>
      </c>
      <c r="J107">
        <v>45</v>
      </c>
      <c r="K107">
        <v>4</v>
      </c>
      <c r="L107">
        <v>2</v>
      </c>
      <c r="M107">
        <v>8</v>
      </c>
      <c r="N107">
        <v>0</v>
      </c>
      <c r="O107" t="s">
        <v>27</v>
      </c>
      <c r="P107" t="s">
        <v>443</v>
      </c>
      <c r="Q107">
        <v>2026</v>
      </c>
      <c r="R107">
        <v>2041</v>
      </c>
      <c r="S107" t="s">
        <v>444</v>
      </c>
      <c r="T107">
        <v>2039</v>
      </c>
      <c r="U107">
        <v>46.75</v>
      </c>
      <c r="V107">
        <v>1</v>
      </c>
      <c r="W107">
        <v>2039</v>
      </c>
      <c r="X107">
        <v>13</v>
      </c>
      <c r="Y107">
        <v>2039</v>
      </c>
      <c r="Z107">
        <v>1</v>
      </c>
      <c r="AA107">
        <v>120</v>
      </c>
      <c r="AB107">
        <v>180</v>
      </c>
      <c r="AC107">
        <v>120</v>
      </c>
      <c r="AD107">
        <v>180</v>
      </c>
      <c r="AE107">
        <v>0</v>
      </c>
      <c r="AF107">
        <v>0</v>
      </c>
      <c r="AG107">
        <v>120</v>
      </c>
      <c r="AH107">
        <v>180</v>
      </c>
      <c r="AI107">
        <v>1</v>
      </c>
      <c r="AJ107">
        <v>3.2069999999999999</v>
      </c>
      <c r="AK107">
        <v>2040</v>
      </c>
      <c r="AL107" s="61">
        <v>3.3029999999999999</v>
      </c>
      <c r="AM107" s="61">
        <v>3.2069999999999999</v>
      </c>
      <c r="AN107" s="61">
        <v>3.3029999999999999</v>
      </c>
      <c r="AO107">
        <v>1.4605278779269859</v>
      </c>
      <c r="AP107">
        <v>1.0329931616190409</v>
      </c>
      <c r="AQ107">
        <v>1.5087153102525457</v>
      </c>
      <c r="AR107" t="b">
        <v>0</v>
      </c>
      <c r="AS107">
        <v>79.537868532608087</v>
      </c>
      <c r="AT107">
        <v>119.30680279891213</v>
      </c>
      <c r="AU107">
        <v>99.422335665760102</v>
      </c>
    </row>
    <row r="108" spans="1:47" x14ac:dyDescent="0.25">
      <c r="A108" t="s">
        <v>351</v>
      </c>
      <c r="B108" t="s">
        <v>451</v>
      </c>
      <c r="C108" t="s">
        <v>320</v>
      </c>
      <c r="D108">
        <v>2026</v>
      </c>
      <c r="E108">
        <v>0</v>
      </c>
      <c r="F108">
        <v>15</v>
      </c>
      <c r="G108">
        <v>0</v>
      </c>
      <c r="H108">
        <v>0</v>
      </c>
      <c r="I108">
        <v>30</v>
      </c>
      <c r="J108">
        <v>45</v>
      </c>
      <c r="K108">
        <v>4</v>
      </c>
      <c r="L108">
        <v>2</v>
      </c>
      <c r="M108">
        <v>8</v>
      </c>
      <c r="N108">
        <v>0</v>
      </c>
      <c r="O108" t="s">
        <v>27</v>
      </c>
      <c r="P108" t="s">
        <v>443</v>
      </c>
      <c r="Q108">
        <v>2026</v>
      </c>
      <c r="R108">
        <v>2041</v>
      </c>
      <c r="S108" t="s">
        <v>444</v>
      </c>
      <c r="T108">
        <v>2040</v>
      </c>
      <c r="U108">
        <v>47.75</v>
      </c>
      <c r="V108">
        <v>1</v>
      </c>
      <c r="W108">
        <v>2040</v>
      </c>
      <c r="X108">
        <v>14</v>
      </c>
      <c r="Y108">
        <v>2040</v>
      </c>
      <c r="Z108">
        <v>1</v>
      </c>
      <c r="AA108">
        <v>120</v>
      </c>
      <c r="AB108">
        <v>180</v>
      </c>
      <c r="AC108">
        <v>120</v>
      </c>
      <c r="AD108">
        <v>180</v>
      </c>
      <c r="AE108">
        <v>0</v>
      </c>
      <c r="AF108">
        <v>0</v>
      </c>
      <c r="AG108">
        <v>120</v>
      </c>
      <c r="AH108">
        <v>180</v>
      </c>
      <c r="AI108">
        <v>1</v>
      </c>
      <c r="AJ108">
        <v>3.3029999999999999</v>
      </c>
      <c r="AK108">
        <v>2041</v>
      </c>
      <c r="AL108" s="61">
        <v>3.3559999999999999</v>
      </c>
      <c r="AM108" s="61">
        <v>3.3029999999999999</v>
      </c>
      <c r="AN108" s="61">
        <v>3.3559999999999999</v>
      </c>
      <c r="AO108">
        <v>1.5256964700083253</v>
      </c>
      <c r="AP108">
        <v>1.0335396662189136</v>
      </c>
      <c r="AQ108">
        <v>1.5768678203637791</v>
      </c>
      <c r="AR108" t="b">
        <v>0</v>
      </c>
      <c r="AS108">
        <v>76.100227584272929</v>
      </c>
      <c r="AT108">
        <v>114.1503413764094</v>
      </c>
      <c r="AU108">
        <v>95.125284480341165</v>
      </c>
    </row>
    <row r="109" spans="1:47" x14ac:dyDescent="0.25">
      <c r="A109" t="s">
        <v>351</v>
      </c>
      <c r="B109" t="s">
        <v>451</v>
      </c>
      <c r="C109" t="s">
        <v>320</v>
      </c>
      <c r="D109">
        <v>2026</v>
      </c>
      <c r="E109">
        <v>0</v>
      </c>
      <c r="M109">
        <v>8</v>
      </c>
      <c r="Q109">
        <v>2026</v>
      </c>
      <c r="R109">
        <v>2041</v>
      </c>
      <c r="T109">
        <v>2041</v>
      </c>
      <c r="U109">
        <v>48.75</v>
      </c>
      <c r="W109">
        <v>2041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L109" s="61"/>
      <c r="AS109">
        <v>0</v>
      </c>
      <c r="AT109">
        <v>0</v>
      </c>
      <c r="AU109">
        <v>0</v>
      </c>
    </row>
    <row r="110" spans="1:47" x14ac:dyDescent="0.25">
      <c r="A110" t="s">
        <v>325</v>
      </c>
      <c r="B110" t="s">
        <v>452</v>
      </c>
      <c r="C110" t="s">
        <v>319</v>
      </c>
      <c r="D110">
        <v>2026</v>
      </c>
      <c r="E110">
        <v>0</v>
      </c>
      <c r="F110">
        <v>10</v>
      </c>
      <c r="G110">
        <v>0</v>
      </c>
      <c r="H110">
        <v>0</v>
      </c>
      <c r="I110">
        <v>50</v>
      </c>
      <c r="J110">
        <v>250</v>
      </c>
      <c r="K110">
        <v>1</v>
      </c>
      <c r="L110">
        <v>1</v>
      </c>
      <c r="M110">
        <v>9</v>
      </c>
      <c r="N110">
        <v>0</v>
      </c>
      <c r="O110" t="s">
        <v>27</v>
      </c>
      <c r="P110" t="s">
        <v>443</v>
      </c>
      <c r="Q110">
        <v>2026</v>
      </c>
      <c r="R110">
        <v>2036</v>
      </c>
      <c r="S110" t="s">
        <v>444</v>
      </c>
      <c r="T110">
        <v>2026</v>
      </c>
      <c r="U110">
        <v>33.75</v>
      </c>
      <c r="V110">
        <v>1</v>
      </c>
      <c r="W110">
        <v>2026</v>
      </c>
      <c r="X110">
        <v>0</v>
      </c>
      <c r="Y110">
        <v>2026</v>
      </c>
      <c r="Z110">
        <v>1</v>
      </c>
      <c r="AA110">
        <v>50</v>
      </c>
      <c r="AB110">
        <v>250</v>
      </c>
      <c r="AC110">
        <v>50</v>
      </c>
      <c r="AD110">
        <v>250</v>
      </c>
      <c r="AE110">
        <v>0</v>
      </c>
      <c r="AF110">
        <v>0</v>
      </c>
      <c r="AG110">
        <v>50</v>
      </c>
      <c r="AH110">
        <v>250</v>
      </c>
      <c r="AI110">
        <v>1</v>
      </c>
      <c r="AK110">
        <v>2027</v>
      </c>
      <c r="AL110" s="61">
        <v>2.4329999999999998</v>
      </c>
      <c r="AM110" s="61">
        <v>0</v>
      </c>
      <c r="AN110" s="61">
        <v>2.4329999999999998</v>
      </c>
      <c r="AO110">
        <v>1</v>
      </c>
      <c r="AP110">
        <v>1.023385968321771</v>
      </c>
      <c r="AQ110">
        <v>1.023385968321771</v>
      </c>
      <c r="AR110" t="b">
        <v>1</v>
      </c>
      <c r="AS110">
        <v>50</v>
      </c>
      <c r="AT110">
        <v>250</v>
      </c>
      <c r="AU110">
        <v>150</v>
      </c>
    </row>
    <row r="111" spans="1:47" x14ac:dyDescent="0.25">
      <c r="A111" t="s">
        <v>325</v>
      </c>
      <c r="B111" t="s">
        <v>452</v>
      </c>
      <c r="C111" t="s">
        <v>319</v>
      </c>
      <c r="D111">
        <v>2026</v>
      </c>
      <c r="E111">
        <v>0</v>
      </c>
      <c r="F111">
        <v>10</v>
      </c>
      <c r="G111">
        <v>0</v>
      </c>
      <c r="H111">
        <v>0</v>
      </c>
      <c r="I111">
        <v>50</v>
      </c>
      <c r="J111">
        <v>250</v>
      </c>
      <c r="K111">
        <v>1</v>
      </c>
      <c r="L111">
        <v>1</v>
      </c>
      <c r="M111">
        <v>9</v>
      </c>
      <c r="N111">
        <v>0</v>
      </c>
      <c r="O111" t="s">
        <v>27</v>
      </c>
      <c r="P111" t="s">
        <v>443</v>
      </c>
      <c r="Q111">
        <v>2026</v>
      </c>
      <c r="R111">
        <v>2036</v>
      </c>
      <c r="S111" t="s">
        <v>444</v>
      </c>
      <c r="T111">
        <v>2027</v>
      </c>
      <c r="U111">
        <v>34.75</v>
      </c>
      <c r="V111">
        <v>1</v>
      </c>
      <c r="W111">
        <v>2027</v>
      </c>
      <c r="X111">
        <v>1</v>
      </c>
      <c r="Y111">
        <v>2027</v>
      </c>
      <c r="Z111">
        <v>1</v>
      </c>
      <c r="AA111">
        <v>50</v>
      </c>
      <c r="AB111">
        <v>250</v>
      </c>
      <c r="AC111">
        <v>50</v>
      </c>
      <c r="AD111">
        <v>250</v>
      </c>
      <c r="AE111">
        <v>0</v>
      </c>
      <c r="AF111">
        <v>0</v>
      </c>
      <c r="AG111">
        <v>50</v>
      </c>
      <c r="AH111">
        <v>250</v>
      </c>
      <c r="AI111">
        <v>1</v>
      </c>
      <c r="AJ111">
        <v>2.4329999999999998</v>
      </c>
      <c r="AK111">
        <v>2028</v>
      </c>
      <c r="AL111" s="61">
        <v>2.4220000000000002</v>
      </c>
      <c r="AM111" s="61">
        <v>2.4329999999999998</v>
      </c>
      <c r="AN111" s="61">
        <v>2.4220000000000002</v>
      </c>
      <c r="AO111">
        <v>1</v>
      </c>
      <c r="AP111">
        <v>1.0242242189602202</v>
      </c>
      <c r="AQ111">
        <v>1.0242242189602202</v>
      </c>
      <c r="AR111" t="b">
        <v>0</v>
      </c>
      <c r="AS111">
        <v>48.817435747379008</v>
      </c>
      <c r="AT111">
        <v>244.08717873689505</v>
      </c>
      <c r="AU111">
        <v>146.45230724213704</v>
      </c>
    </row>
    <row r="112" spans="1:47" x14ac:dyDescent="0.25">
      <c r="A112" t="s">
        <v>325</v>
      </c>
      <c r="B112" t="s">
        <v>452</v>
      </c>
      <c r="C112" t="s">
        <v>319</v>
      </c>
      <c r="D112">
        <v>2026</v>
      </c>
      <c r="E112">
        <v>0</v>
      </c>
      <c r="F112">
        <v>10</v>
      </c>
      <c r="G112">
        <v>0</v>
      </c>
      <c r="H112">
        <v>0</v>
      </c>
      <c r="I112">
        <v>50</v>
      </c>
      <c r="J112">
        <v>250</v>
      </c>
      <c r="K112">
        <v>1</v>
      </c>
      <c r="L112">
        <v>1</v>
      </c>
      <c r="M112">
        <v>9</v>
      </c>
      <c r="N112">
        <v>0</v>
      </c>
      <c r="O112" t="s">
        <v>27</v>
      </c>
      <c r="P112" t="s">
        <v>443</v>
      </c>
      <c r="Q112">
        <v>2026</v>
      </c>
      <c r="R112">
        <v>2036</v>
      </c>
      <c r="S112" t="s">
        <v>444</v>
      </c>
      <c r="T112">
        <v>2028</v>
      </c>
      <c r="U112">
        <v>35.75</v>
      </c>
      <c r="V112">
        <v>1</v>
      </c>
      <c r="W112">
        <v>2028</v>
      </c>
      <c r="X112">
        <v>2</v>
      </c>
      <c r="Y112">
        <v>2028</v>
      </c>
      <c r="Z112">
        <v>1</v>
      </c>
      <c r="AA112">
        <v>50</v>
      </c>
      <c r="AB112">
        <v>250</v>
      </c>
      <c r="AC112">
        <v>50</v>
      </c>
      <c r="AD112">
        <v>250</v>
      </c>
      <c r="AE112">
        <v>0</v>
      </c>
      <c r="AF112">
        <v>0</v>
      </c>
      <c r="AG112">
        <v>50</v>
      </c>
      <c r="AH112">
        <v>250</v>
      </c>
      <c r="AI112">
        <v>1</v>
      </c>
      <c r="AJ112">
        <v>2.4220000000000002</v>
      </c>
      <c r="AK112">
        <v>2029</v>
      </c>
      <c r="AL112" s="61">
        <v>2.4209999999999998</v>
      </c>
      <c r="AM112" s="61">
        <v>2.4220000000000002</v>
      </c>
      <c r="AN112" s="61">
        <v>2.4209999999999998</v>
      </c>
      <c r="AO112">
        <v>1.0242199999999999</v>
      </c>
      <c r="AP112">
        <v>1.0242103835598433</v>
      </c>
      <c r="AQ112">
        <v>1.0490167590496626</v>
      </c>
      <c r="AR112" t="b">
        <v>0</v>
      </c>
      <c r="AS112">
        <v>47.66368084080618</v>
      </c>
      <c r="AT112">
        <v>238.31840420403091</v>
      </c>
      <c r="AU112">
        <v>142.99104252241855</v>
      </c>
    </row>
    <row r="113" spans="1:47" x14ac:dyDescent="0.25">
      <c r="A113" t="s">
        <v>325</v>
      </c>
      <c r="B113" t="s">
        <v>452</v>
      </c>
      <c r="C113" t="s">
        <v>319</v>
      </c>
      <c r="D113">
        <v>2026</v>
      </c>
      <c r="E113">
        <v>0</v>
      </c>
      <c r="F113">
        <v>10</v>
      </c>
      <c r="G113">
        <v>0</v>
      </c>
      <c r="H113">
        <v>0</v>
      </c>
      <c r="I113">
        <v>50</v>
      </c>
      <c r="J113">
        <v>250</v>
      </c>
      <c r="K113">
        <v>1</v>
      </c>
      <c r="L113">
        <v>1</v>
      </c>
      <c r="M113">
        <v>9</v>
      </c>
      <c r="N113">
        <v>0</v>
      </c>
      <c r="O113" t="s">
        <v>27</v>
      </c>
      <c r="P113" t="s">
        <v>443</v>
      </c>
      <c r="Q113">
        <v>2026</v>
      </c>
      <c r="R113">
        <v>2036</v>
      </c>
      <c r="S113" t="s">
        <v>444</v>
      </c>
      <c r="T113">
        <v>2029</v>
      </c>
      <c r="U113">
        <v>36.75</v>
      </c>
      <c r="V113">
        <v>1</v>
      </c>
      <c r="W113">
        <v>2029</v>
      </c>
      <c r="X113">
        <v>3</v>
      </c>
      <c r="Y113">
        <v>2029</v>
      </c>
      <c r="Z113">
        <v>1</v>
      </c>
      <c r="AA113">
        <v>50</v>
      </c>
      <c r="AB113">
        <v>250</v>
      </c>
      <c r="AC113">
        <v>50</v>
      </c>
      <c r="AD113">
        <v>250</v>
      </c>
      <c r="AE113">
        <v>0</v>
      </c>
      <c r="AF113">
        <v>0</v>
      </c>
      <c r="AG113">
        <v>50</v>
      </c>
      <c r="AH113">
        <v>250</v>
      </c>
      <c r="AI113">
        <v>1</v>
      </c>
      <c r="AJ113">
        <v>2.4209999999999998</v>
      </c>
      <c r="AK113">
        <v>2030</v>
      </c>
      <c r="AL113" s="61">
        <v>2.4670000000000001</v>
      </c>
      <c r="AM113" s="61">
        <v>2.4209999999999998</v>
      </c>
      <c r="AN113" s="61">
        <v>2.4670000000000001</v>
      </c>
      <c r="AO113">
        <v>1.0490061241000002</v>
      </c>
      <c r="AP113">
        <v>1.0246523523547908</v>
      </c>
      <c r="AQ113">
        <v>1.0748665926936467</v>
      </c>
      <c r="AR113" t="b">
        <v>0</v>
      </c>
      <c r="AS113">
        <v>46.517400708025129</v>
      </c>
      <c r="AT113">
        <v>232.58700354012564</v>
      </c>
      <c r="AU113">
        <v>139.55220212407539</v>
      </c>
    </row>
    <row r="114" spans="1:47" x14ac:dyDescent="0.25">
      <c r="A114" t="s">
        <v>325</v>
      </c>
      <c r="B114" t="s">
        <v>452</v>
      </c>
      <c r="C114" t="s">
        <v>319</v>
      </c>
      <c r="D114">
        <v>2026</v>
      </c>
      <c r="E114">
        <v>0</v>
      </c>
      <c r="F114">
        <v>10</v>
      </c>
      <c r="G114">
        <v>0</v>
      </c>
      <c r="H114">
        <v>0</v>
      </c>
      <c r="I114">
        <v>50</v>
      </c>
      <c r="J114">
        <v>250</v>
      </c>
      <c r="K114">
        <v>1</v>
      </c>
      <c r="L114">
        <v>1</v>
      </c>
      <c r="M114">
        <v>9</v>
      </c>
      <c r="N114">
        <v>0</v>
      </c>
      <c r="O114" t="s">
        <v>27</v>
      </c>
      <c r="P114" t="s">
        <v>443</v>
      </c>
      <c r="Q114">
        <v>2026</v>
      </c>
      <c r="R114">
        <v>2036</v>
      </c>
      <c r="S114" t="s">
        <v>444</v>
      </c>
      <c r="T114">
        <v>2030</v>
      </c>
      <c r="U114">
        <v>37.75</v>
      </c>
      <c r="V114">
        <v>1</v>
      </c>
      <c r="W114">
        <v>2030</v>
      </c>
      <c r="X114">
        <v>4</v>
      </c>
      <c r="Y114">
        <v>2030</v>
      </c>
      <c r="Z114">
        <v>1</v>
      </c>
      <c r="AA114">
        <v>50</v>
      </c>
      <c r="AB114">
        <v>250</v>
      </c>
      <c r="AC114">
        <v>50</v>
      </c>
      <c r="AD114">
        <v>250</v>
      </c>
      <c r="AE114">
        <v>0</v>
      </c>
      <c r="AF114">
        <v>0</v>
      </c>
      <c r="AG114">
        <v>50</v>
      </c>
      <c r="AH114">
        <v>250</v>
      </c>
      <c r="AI114">
        <v>1</v>
      </c>
      <c r="AJ114">
        <v>2.4670000000000001</v>
      </c>
      <c r="AK114">
        <v>2031</v>
      </c>
      <c r="AL114" s="61">
        <v>2.5169999999999999</v>
      </c>
      <c r="AM114" s="61">
        <v>2.4670000000000001</v>
      </c>
      <c r="AN114" s="61">
        <v>2.5169999999999999</v>
      </c>
      <c r="AO114">
        <v>1.0758508410815628</v>
      </c>
      <c r="AP114">
        <v>1.0251508174189523</v>
      </c>
      <c r="AQ114">
        <v>1.1029093691556315</v>
      </c>
      <c r="AR114" t="b">
        <v>0</v>
      </c>
      <c r="AS114">
        <v>45.334640722364284</v>
      </c>
      <c r="AT114">
        <v>226.67320361182144</v>
      </c>
      <c r="AU114">
        <v>136.00392216709287</v>
      </c>
    </row>
    <row r="115" spans="1:47" x14ac:dyDescent="0.25">
      <c r="A115" t="s">
        <v>325</v>
      </c>
      <c r="B115" t="s">
        <v>452</v>
      </c>
      <c r="C115" t="s">
        <v>319</v>
      </c>
      <c r="D115">
        <v>2026</v>
      </c>
      <c r="E115">
        <v>0</v>
      </c>
      <c r="F115">
        <v>10</v>
      </c>
      <c r="G115">
        <v>0</v>
      </c>
      <c r="H115">
        <v>0</v>
      </c>
      <c r="I115">
        <v>50</v>
      </c>
      <c r="J115">
        <v>250</v>
      </c>
      <c r="K115">
        <v>1</v>
      </c>
      <c r="L115">
        <v>1</v>
      </c>
      <c r="M115">
        <v>9</v>
      </c>
      <c r="N115">
        <v>0</v>
      </c>
      <c r="O115" t="s">
        <v>27</v>
      </c>
      <c r="P115" t="s">
        <v>443</v>
      </c>
      <c r="Q115">
        <v>2026</v>
      </c>
      <c r="R115">
        <v>2036</v>
      </c>
      <c r="S115" t="s">
        <v>444</v>
      </c>
      <c r="T115">
        <v>2031</v>
      </c>
      <c r="U115">
        <v>38.75</v>
      </c>
      <c r="V115">
        <v>1</v>
      </c>
      <c r="W115">
        <v>2031</v>
      </c>
      <c r="X115">
        <v>5</v>
      </c>
      <c r="Y115">
        <v>2031</v>
      </c>
      <c r="Z115">
        <v>1</v>
      </c>
      <c r="AA115">
        <v>50</v>
      </c>
      <c r="AB115">
        <v>250</v>
      </c>
      <c r="AC115">
        <v>50</v>
      </c>
      <c r="AD115">
        <v>250</v>
      </c>
      <c r="AE115">
        <v>0</v>
      </c>
      <c r="AF115">
        <v>0</v>
      </c>
      <c r="AG115">
        <v>50</v>
      </c>
      <c r="AH115">
        <v>250</v>
      </c>
      <c r="AI115">
        <v>1</v>
      </c>
      <c r="AJ115">
        <v>2.5169999999999999</v>
      </c>
      <c r="AK115">
        <v>2032</v>
      </c>
      <c r="AL115" s="61">
        <v>2.59</v>
      </c>
      <c r="AM115" s="61">
        <v>2.5169999999999999</v>
      </c>
      <c r="AN115" s="61">
        <v>2.59</v>
      </c>
      <c r="AO115">
        <v>1.1045453584485188</v>
      </c>
      <c r="AP115">
        <v>1.0258719904156592</v>
      </c>
      <c r="AQ115">
        <v>1.1331221453759597</v>
      </c>
      <c r="AR115" t="b">
        <v>0</v>
      </c>
      <c r="AS115">
        <v>44.125869575526167</v>
      </c>
      <c r="AT115">
        <v>220.62934787763083</v>
      </c>
      <c r="AU115">
        <v>132.3776087265785</v>
      </c>
    </row>
    <row r="116" spans="1:47" x14ac:dyDescent="0.25">
      <c r="A116" t="s">
        <v>325</v>
      </c>
      <c r="B116" t="s">
        <v>452</v>
      </c>
      <c r="C116" t="s">
        <v>319</v>
      </c>
      <c r="D116">
        <v>2026</v>
      </c>
      <c r="E116">
        <v>0</v>
      </c>
      <c r="F116">
        <v>10</v>
      </c>
      <c r="G116">
        <v>0</v>
      </c>
      <c r="H116">
        <v>0</v>
      </c>
      <c r="I116">
        <v>50</v>
      </c>
      <c r="J116">
        <v>250</v>
      </c>
      <c r="K116">
        <v>1</v>
      </c>
      <c r="L116">
        <v>1</v>
      </c>
      <c r="M116">
        <v>9</v>
      </c>
      <c r="N116">
        <v>0</v>
      </c>
      <c r="O116" t="s">
        <v>27</v>
      </c>
      <c r="P116" t="s">
        <v>443</v>
      </c>
      <c r="Q116">
        <v>2026</v>
      </c>
      <c r="R116">
        <v>2036</v>
      </c>
      <c r="S116" t="s">
        <v>444</v>
      </c>
      <c r="T116">
        <v>2032</v>
      </c>
      <c r="U116">
        <v>39.75</v>
      </c>
      <c r="V116">
        <v>1</v>
      </c>
      <c r="W116">
        <v>2032</v>
      </c>
      <c r="X116">
        <v>6</v>
      </c>
      <c r="Y116">
        <v>2032</v>
      </c>
      <c r="Z116">
        <v>1</v>
      </c>
      <c r="AA116">
        <v>50</v>
      </c>
      <c r="AB116">
        <v>250</v>
      </c>
      <c r="AC116">
        <v>50</v>
      </c>
      <c r="AD116">
        <v>250</v>
      </c>
      <c r="AE116">
        <v>0</v>
      </c>
      <c r="AF116">
        <v>0</v>
      </c>
      <c r="AG116">
        <v>50</v>
      </c>
      <c r="AH116">
        <v>250</v>
      </c>
      <c r="AI116">
        <v>1</v>
      </c>
      <c r="AJ116">
        <v>2.59</v>
      </c>
      <c r="AK116">
        <v>2033</v>
      </c>
      <c r="AL116" s="61">
        <v>2.6880000000000002</v>
      </c>
      <c r="AM116" s="61">
        <v>2.59</v>
      </c>
      <c r="AN116" s="61">
        <v>2.6880000000000002</v>
      </c>
      <c r="AO116">
        <v>1.1363841013749196</v>
      </c>
      <c r="AP116">
        <v>1.0268423936996114</v>
      </c>
      <c r="AQ116">
        <v>1.1668873708180043</v>
      </c>
      <c r="AR116" t="b">
        <v>0</v>
      </c>
      <c r="AS116">
        <v>42.849036891151975</v>
      </c>
      <c r="AT116">
        <v>214.24518445575987</v>
      </c>
      <c r="AU116">
        <v>128.54711067345593</v>
      </c>
    </row>
    <row r="117" spans="1:47" x14ac:dyDescent="0.25">
      <c r="A117" t="s">
        <v>325</v>
      </c>
      <c r="B117" t="s">
        <v>452</v>
      </c>
      <c r="C117" t="s">
        <v>319</v>
      </c>
      <c r="D117">
        <v>2026</v>
      </c>
      <c r="E117">
        <v>0</v>
      </c>
      <c r="F117">
        <v>10</v>
      </c>
      <c r="G117">
        <v>0</v>
      </c>
      <c r="H117">
        <v>0</v>
      </c>
      <c r="I117">
        <v>50</v>
      </c>
      <c r="J117">
        <v>250</v>
      </c>
      <c r="K117">
        <v>1</v>
      </c>
      <c r="L117">
        <v>1</v>
      </c>
      <c r="M117">
        <v>9</v>
      </c>
      <c r="N117">
        <v>0</v>
      </c>
      <c r="O117" t="s">
        <v>27</v>
      </c>
      <c r="P117" t="s">
        <v>443</v>
      </c>
      <c r="Q117">
        <v>2026</v>
      </c>
      <c r="R117">
        <v>2036</v>
      </c>
      <c r="S117" t="s">
        <v>444</v>
      </c>
      <c r="T117">
        <v>2033</v>
      </c>
      <c r="U117">
        <v>40.75</v>
      </c>
      <c r="V117">
        <v>1</v>
      </c>
      <c r="W117">
        <v>2033</v>
      </c>
      <c r="X117">
        <v>7</v>
      </c>
      <c r="Y117">
        <v>2033</v>
      </c>
      <c r="Z117">
        <v>1</v>
      </c>
      <c r="AA117">
        <v>50</v>
      </c>
      <c r="AB117">
        <v>250</v>
      </c>
      <c r="AC117">
        <v>50</v>
      </c>
      <c r="AD117">
        <v>250</v>
      </c>
      <c r="AE117">
        <v>0</v>
      </c>
      <c r="AF117">
        <v>0</v>
      </c>
      <c r="AG117">
        <v>50</v>
      </c>
      <c r="AH117">
        <v>250</v>
      </c>
      <c r="AI117">
        <v>1</v>
      </c>
      <c r="AJ117">
        <v>2.6880000000000002</v>
      </c>
      <c r="AK117">
        <v>2034</v>
      </c>
      <c r="AL117" s="61">
        <v>2.7519999999999998</v>
      </c>
      <c r="AM117" s="61">
        <v>2.6880000000000002</v>
      </c>
      <c r="AN117" s="61">
        <v>2.7519999999999998</v>
      </c>
      <c r="AO117">
        <v>1.1725143659072164</v>
      </c>
      <c r="AP117">
        <v>1.0274954447000768</v>
      </c>
      <c r="AQ117">
        <v>1.2047531698150638</v>
      </c>
      <c r="AR117" t="b">
        <v>0</v>
      </c>
      <c r="AS117">
        <v>41.502277190667428</v>
      </c>
      <c r="AT117">
        <v>207.51138595333714</v>
      </c>
      <c r="AU117">
        <v>124.50683157200228</v>
      </c>
    </row>
    <row r="118" spans="1:47" x14ac:dyDescent="0.25">
      <c r="A118" t="s">
        <v>325</v>
      </c>
      <c r="B118" t="s">
        <v>452</v>
      </c>
      <c r="C118" t="s">
        <v>319</v>
      </c>
      <c r="D118">
        <v>2026</v>
      </c>
      <c r="E118">
        <v>0</v>
      </c>
      <c r="F118">
        <v>10</v>
      </c>
      <c r="G118">
        <v>0</v>
      </c>
      <c r="H118">
        <v>0</v>
      </c>
      <c r="I118">
        <v>50</v>
      </c>
      <c r="J118">
        <v>250</v>
      </c>
      <c r="K118">
        <v>1</v>
      </c>
      <c r="L118">
        <v>1</v>
      </c>
      <c r="M118">
        <v>9</v>
      </c>
      <c r="N118">
        <v>0</v>
      </c>
      <c r="O118" t="s">
        <v>27</v>
      </c>
      <c r="P118" t="s">
        <v>443</v>
      </c>
      <c r="Q118">
        <v>2026</v>
      </c>
      <c r="R118">
        <v>2036</v>
      </c>
      <c r="S118" t="s">
        <v>444</v>
      </c>
      <c r="T118">
        <v>2034</v>
      </c>
      <c r="U118">
        <v>41.75</v>
      </c>
      <c r="V118">
        <v>1</v>
      </c>
      <c r="W118">
        <v>2034</v>
      </c>
      <c r="X118">
        <v>8</v>
      </c>
      <c r="Y118">
        <v>2034</v>
      </c>
      <c r="Z118">
        <v>1</v>
      </c>
      <c r="AA118">
        <v>50</v>
      </c>
      <c r="AB118">
        <v>250</v>
      </c>
      <c r="AC118">
        <v>50</v>
      </c>
      <c r="AD118">
        <v>250</v>
      </c>
      <c r="AE118">
        <v>0</v>
      </c>
      <c r="AF118">
        <v>0</v>
      </c>
      <c r="AG118">
        <v>50</v>
      </c>
      <c r="AH118">
        <v>250</v>
      </c>
      <c r="AI118">
        <v>1</v>
      </c>
      <c r="AJ118">
        <v>2.7519999999999998</v>
      </c>
      <c r="AK118">
        <v>2035</v>
      </c>
      <c r="AL118" s="61">
        <v>2.8420000000000001</v>
      </c>
      <c r="AM118" s="61">
        <v>2.7519999999999998</v>
      </c>
      <c r="AN118" s="61">
        <v>2.8420000000000001</v>
      </c>
      <c r="AO118">
        <v>1.2092942481281721</v>
      </c>
      <c r="AP118">
        <v>1.0283854649181425</v>
      </c>
      <c r="AQ118">
        <v>1.2436206275841259</v>
      </c>
      <c r="AR118" t="b">
        <v>0</v>
      </c>
      <c r="AS118">
        <v>40.205187089193487</v>
      </c>
      <c r="AT118">
        <v>201.02593544596743</v>
      </c>
      <c r="AU118">
        <v>120.61556126758046</v>
      </c>
    </row>
    <row r="119" spans="1:47" x14ac:dyDescent="0.25">
      <c r="A119" t="s">
        <v>325</v>
      </c>
      <c r="B119" t="s">
        <v>452</v>
      </c>
      <c r="C119" t="s">
        <v>319</v>
      </c>
      <c r="D119">
        <v>2026</v>
      </c>
      <c r="E119">
        <v>0</v>
      </c>
      <c r="F119">
        <v>10</v>
      </c>
      <c r="G119">
        <v>0</v>
      </c>
      <c r="H119">
        <v>0</v>
      </c>
      <c r="I119">
        <v>50</v>
      </c>
      <c r="J119">
        <v>250</v>
      </c>
      <c r="K119">
        <v>1</v>
      </c>
      <c r="L119">
        <v>1</v>
      </c>
      <c r="M119">
        <v>9</v>
      </c>
      <c r="N119">
        <v>0</v>
      </c>
      <c r="O119" t="s">
        <v>27</v>
      </c>
      <c r="P119" t="s">
        <v>443</v>
      </c>
      <c r="Q119">
        <v>2026</v>
      </c>
      <c r="R119">
        <v>2036</v>
      </c>
      <c r="S119" t="s">
        <v>444</v>
      </c>
      <c r="T119">
        <v>2035</v>
      </c>
      <c r="U119">
        <v>42.75</v>
      </c>
      <c r="V119">
        <v>1</v>
      </c>
      <c r="W119">
        <v>2035</v>
      </c>
      <c r="X119">
        <v>9</v>
      </c>
      <c r="Y119">
        <v>2035</v>
      </c>
      <c r="Z119">
        <v>1</v>
      </c>
      <c r="AA119">
        <v>50</v>
      </c>
      <c r="AB119">
        <v>250</v>
      </c>
      <c r="AC119">
        <v>50</v>
      </c>
      <c r="AD119">
        <v>250</v>
      </c>
      <c r="AE119">
        <v>0</v>
      </c>
      <c r="AF119">
        <v>0</v>
      </c>
      <c r="AG119">
        <v>50</v>
      </c>
      <c r="AH119">
        <v>250</v>
      </c>
      <c r="AI119">
        <v>1</v>
      </c>
      <c r="AJ119">
        <v>2.8420000000000001</v>
      </c>
      <c r="AK119">
        <v>2036</v>
      </c>
      <c r="AL119" s="61">
        <v>2.944</v>
      </c>
      <c r="AM119" s="61">
        <v>2.8420000000000001</v>
      </c>
      <c r="AN119" s="61">
        <v>2.944</v>
      </c>
      <c r="AO119">
        <v>1.2513076834571593</v>
      </c>
      <c r="AP119">
        <v>1.0294008580614105</v>
      </c>
      <c r="AQ119">
        <v>1.2880972030496356</v>
      </c>
      <c r="AR119" t="b">
        <v>0</v>
      </c>
      <c r="AS119">
        <v>38.816946331086243</v>
      </c>
      <c r="AT119">
        <v>194.0847316554312</v>
      </c>
      <c r="AU119">
        <v>116.45083899325871</v>
      </c>
    </row>
    <row r="120" spans="1:47" x14ac:dyDescent="0.25">
      <c r="A120" t="s">
        <v>325</v>
      </c>
      <c r="B120" t="s">
        <v>452</v>
      </c>
      <c r="C120" t="s">
        <v>319</v>
      </c>
      <c r="D120">
        <v>2026</v>
      </c>
      <c r="E120">
        <v>0</v>
      </c>
      <c r="M120">
        <v>9</v>
      </c>
      <c r="Q120">
        <v>2026</v>
      </c>
      <c r="R120">
        <v>2036</v>
      </c>
      <c r="T120">
        <v>2036</v>
      </c>
      <c r="U120">
        <v>43.75</v>
      </c>
      <c r="W120">
        <v>2036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L120" s="61"/>
      <c r="AS120">
        <v>0</v>
      </c>
      <c r="AT120">
        <v>0</v>
      </c>
      <c r="AU120">
        <v>0</v>
      </c>
    </row>
    <row r="121" spans="1:47" x14ac:dyDescent="0.25">
      <c r="A121" t="s">
        <v>352</v>
      </c>
      <c r="B121" t="s">
        <v>453</v>
      </c>
      <c r="C121" t="s">
        <v>320</v>
      </c>
      <c r="D121">
        <v>2026</v>
      </c>
      <c r="E121">
        <v>0</v>
      </c>
      <c r="F121">
        <v>15</v>
      </c>
      <c r="G121">
        <v>0</v>
      </c>
      <c r="H121">
        <v>0</v>
      </c>
      <c r="I121">
        <v>30</v>
      </c>
      <c r="J121">
        <v>45</v>
      </c>
      <c r="K121">
        <v>4</v>
      </c>
      <c r="L121">
        <v>2</v>
      </c>
      <c r="M121">
        <v>10</v>
      </c>
      <c r="N121">
        <v>0</v>
      </c>
      <c r="O121" t="s">
        <v>27</v>
      </c>
      <c r="P121" t="s">
        <v>443</v>
      </c>
      <c r="Q121">
        <v>2026</v>
      </c>
      <c r="R121">
        <v>2041</v>
      </c>
      <c r="S121" t="s">
        <v>444</v>
      </c>
      <c r="T121">
        <v>2026</v>
      </c>
      <c r="U121">
        <v>33.75</v>
      </c>
      <c r="V121">
        <v>1</v>
      </c>
      <c r="W121">
        <v>2026</v>
      </c>
      <c r="X121">
        <v>0</v>
      </c>
      <c r="Y121">
        <v>2026</v>
      </c>
      <c r="Z121">
        <v>1</v>
      </c>
      <c r="AA121">
        <v>120</v>
      </c>
      <c r="AB121">
        <v>180</v>
      </c>
      <c r="AC121">
        <v>120</v>
      </c>
      <c r="AD121">
        <v>180</v>
      </c>
      <c r="AE121">
        <v>0</v>
      </c>
      <c r="AF121">
        <v>0</v>
      </c>
      <c r="AG121">
        <v>120</v>
      </c>
      <c r="AH121">
        <v>180</v>
      </c>
      <c r="AI121">
        <v>1</v>
      </c>
      <c r="AK121">
        <v>2027</v>
      </c>
      <c r="AL121" s="61">
        <v>2.4329999999999998</v>
      </c>
      <c r="AM121" s="61">
        <v>0</v>
      </c>
      <c r="AN121" s="61">
        <v>2.4329999999999998</v>
      </c>
      <c r="AO121">
        <v>1</v>
      </c>
      <c r="AP121">
        <v>1.023385968321771</v>
      </c>
      <c r="AQ121">
        <v>1.023385968321771</v>
      </c>
      <c r="AR121" t="b">
        <v>1</v>
      </c>
      <c r="AS121">
        <v>120</v>
      </c>
      <c r="AT121">
        <v>180</v>
      </c>
      <c r="AU121">
        <v>150</v>
      </c>
    </row>
    <row r="122" spans="1:47" x14ac:dyDescent="0.25">
      <c r="A122" t="s">
        <v>352</v>
      </c>
      <c r="B122" t="s">
        <v>453</v>
      </c>
      <c r="C122" t="s">
        <v>320</v>
      </c>
      <c r="D122">
        <v>2026</v>
      </c>
      <c r="E122">
        <v>0</v>
      </c>
      <c r="F122">
        <v>15</v>
      </c>
      <c r="G122">
        <v>0</v>
      </c>
      <c r="H122">
        <v>0</v>
      </c>
      <c r="I122">
        <v>30</v>
      </c>
      <c r="J122">
        <v>45</v>
      </c>
      <c r="K122">
        <v>4</v>
      </c>
      <c r="L122">
        <v>2</v>
      </c>
      <c r="M122">
        <v>10</v>
      </c>
      <c r="N122">
        <v>0</v>
      </c>
      <c r="O122" t="s">
        <v>27</v>
      </c>
      <c r="P122" t="s">
        <v>443</v>
      </c>
      <c r="Q122">
        <v>2026</v>
      </c>
      <c r="R122">
        <v>2041</v>
      </c>
      <c r="S122" t="s">
        <v>444</v>
      </c>
      <c r="T122">
        <v>2027</v>
      </c>
      <c r="U122">
        <v>34.75</v>
      </c>
      <c r="V122">
        <v>1</v>
      </c>
      <c r="W122">
        <v>2027</v>
      </c>
      <c r="X122">
        <v>1</v>
      </c>
      <c r="Y122">
        <v>2027</v>
      </c>
      <c r="Z122">
        <v>1</v>
      </c>
      <c r="AA122">
        <v>120</v>
      </c>
      <c r="AB122">
        <v>180</v>
      </c>
      <c r="AC122">
        <v>120</v>
      </c>
      <c r="AD122">
        <v>180</v>
      </c>
      <c r="AE122">
        <v>0</v>
      </c>
      <c r="AF122">
        <v>0</v>
      </c>
      <c r="AG122">
        <v>120</v>
      </c>
      <c r="AH122">
        <v>180</v>
      </c>
      <c r="AI122">
        <v>1</v>
      </c>
      <c r="AJ122">
        <v>2.4329999999999998</v>
      </c>
      <c r="AK122">
        <v>2028</v>
      </c>
      <c r="AL122" s="61">
        <v>2.4220000000000002</v>
      </c>
      <c r="AM122" s="61">
        <v>2.4329999999999998</v>
      </c>
      <c r="AN122" s="61">
        <v>2.4220000000000002</v>
      </c>
      <c r="AO122">
        <v>1</v>
      </c>
      <c r="AP122">
        <v>1.0242242189602202</v>
      </c>
      <c r="AQ122">
        <v>1.0242242189602202</v>
      </c>
      <c r="AR122" t="b">
        <v>0</v>
      </c>
      <c r="AS122">
        <v>117.16184579370963</v>
      </c>
      <c r="AT122">
        <v>175.74276869056445</v>
      </c>
      <c r="AU122">
        <v>146.45230724213704</v>
      </c>
    </row>
    <row r="123" spans="1:47" x14ac:dyDescent="0.25">
      <c r="A123" t="s">
        <v>352</v>
      </c>
      <c r="B123" t="s">
        <v>453</v>
      </c>
      <c r="C123" t="s">
        <v>320</v>
      </c>
      <c r="D123">
        <v>2026</v>
      </c>
      <c r="E123">
        <v>0</v>
      </c>
      <c r="F123">
        <v>15</v>
      </c>
      <c r="G123">
        <v>0</v>
      </c>
      <c r="H123">
        <v>0</v>
      </c>
      <c r="I123">
        <v>30</v>
      </c>
      <c r="J123">
        <v>45</v>
      </c>
      <c r="K123">
        <v>4</v>
      </c>
      <c r="L123">
        <v>2</v>
      </c>
      <c r="M123">
        <v>10</v>
      </c>
      <c r="N123">
        <v>0</v>
      </c>
      <c r="O123" t="s">
        <v>27</v>
      </c>
      <c r="P123" t="s">
        <v>443</v>
      </c>
      <c r="Q123">
        <v>2026</v>
      </c>
      <c r="R123">
        <v>2041</v>
      </c>
      <c r="S123" t="s">
        <v>444</v>
      </c>
      <c r="T123">
        <v>2028</v>
      </c>
      <c r="U123">
        <v>35.75</v>
      </c>
      <c r="V123">
        <v>1</v>
      </c>
      <c r="W123">
        <v>2028</v>
      </c>
      <c r="X123">
        <v>2</v>
      </c>
      <c r="Y123">
        <v>2028</v>
      </c>
      <c r="Z123">
        <v>1</v>
      </c>
      <c r="AA123">
        <v>120</v>
      </c>
      <c r="AB123">
        <v>180</v>
      </c>
      <c r="AC123">
        <v>120</v>
      </c>
      <c r="AD123">
        <v>180</v>
      </c>
      <c r="AE123">
        <v>0</v>
      </c>
      <c r="AF123">
        <v>0</v>
      </c>
      <c r="AG123">
        <v>120</v>
      </c>
      <c r="AH123">
        <v>180</v>
      </c>
      <c r="AI123">
        <v>1</v>
      </c>
      <c r="AJ123">
        <v>2.4220000000000002</v>
      </c>
      <c r="AK123">
        <v>2029</v>
      </c>
      <c r="AL123" s="61">
        <v>2.4209999999999998</v>
      </c>
      <c r="AM123" s="61">
        <v>2.4220000000000002</v>
      </c>
      <c r="AN123" s="61">
        <v>2.4209999999999998</v>
      </c>
      <c r="AO123">
        <v>1.0242199999999999</v>
      </c>
      <c r="AP123">
        <v>1.0242103835598433</v>
      </c>
      <c r="AQ123">
        <v>1.0490167590496626</v>
      </c>
      <c r="AR123" t="b">
        <v>0</v>
      </c>
      <c r="AS123">
        <v>114.39283401793483</v>
      </c>
      <c r="AT123">
        <v>171.58925102690225</v>
      </c>
      <c r="AU123">
        <v>142.99104252241852</v>
      </c>
    </row>
    <row r="124" spans="1:47" x14ac:dyDescent="0.25">
      <c r="A124" t="s">
        <v>352</v>
      </c>
      <c r="B124" t="s">
        <v>453</v>
      </c>
      <c r="C124" t="s">
        <v>320</v>
      </c>
      <c r="D124">
        <v>2026</v>
      </c>
      <c r="E124">
        <v>0</v>
      </c>
      <c r="F124">
        <v>15</v>
      </c>
      <c r="G124">
        <v>0</v>
      </c>
      <c r="H124">
        <v>0</v>
      </c>
      <c r="I124">
        <v>30</v>
      </c>
      <c r="J124">
        <v>45</v>
      </c>
      <c r="K124">
        <v>4</v>
      </c>
      <c r="L124">
        <v>2</v>
      </c>
      <c r="M124">
        <v>10</v>
      </c>
      <c r="N124">
        <v>0</v>
      </c>
      <c r="O124" t="s">
        <v>27</v>
      </c>
      <c r="P124" t="s">
        <v>443</v>
      </c>
      <c r="Q124">
        <v>2026</v>
      </c>
      <c r="R124">
        <v>2041</v>
      </c>
      <c r="S124" t="s">
        <v>444</v>
      </c>
      <c r="T124">
        <v>2029</v>
      </c>
      <c r="U124">
        <v>36.75</v>
      </c>
      <c r="V124">
        <v>1</v>
      </c>
      <c r="W124">
        <v>2029</v>
      </c>
      <c r="X124">
        <v>3</v>
      </c>
      <c r="Y124">
        <v>2029</v>
      </c>
      <c r="Z124">
        <v>1</v>
      </c>
      <c r="AA124">
        <v>120</v>
      </c>
      <c r="AB124">
        <v>180</v>
      </c>
      <c r="AC124">
        <v>120</v>
      </c>
      <c r="AD124">
        <v>180</v>
      </c>
      <c r="AE124">
        <v>0</v>
      </c>
      <c r="AF124">
        <v>0</v>
      </c>
      <c r="AG124">
        <v>120</v>
      </c>
      <c r="AH124">
        <v>180</v>
      </c>
      <c r="AI124">
        <v>1</v>
      </c>
      <c r="AJ124">
        <v>2.4209999999999998</v>
      </c>
      <c r="AK124">
        <v>2030</v>
      </c>
      <c r="AL124" s="61">
        <v>2.4670000000000001</v>
      </c>
      <c r="AM124" s="61">
        <v>2.4209999999999998</v>
      </c>
      <c r="AN124" s="61">
        <v>2.4670000000000001</v>
      </c>
      <c r="AO124">
        <v>1.0490061241000002</v>
      </c>
      <c r="AP124">
        <v>1.0246523523547908</v>
      </c>
      <c r="AQ124">
        <v>1.0748665926936467</v>
      </c>
      <c r="AR124" t="b">
        <v>0</v>
      </c>
      <c r="AS124">
        <v>111.64176169926031</v>
      </c>
      <c r="AT124">
        <v>167.46264254889047</v>
      </c>
      <c r="AU124">
        <v>139.55220212407539</v>
      </c>
    </row>
    <row r="125" spans="1:47" x14ac:dyDescent="0.25">
      <c r="A125" t="s">
        <v>352</v>
      </c>
      <c r="B125" t="s">
        <v>453</v>
      </c>
      <c r="C125" t="s">
        <v>320</v>
      </c>
      <c r="D125">
        <v>2026</v>
      </c>
      <c r="E125">
        <v>0</v>
      </c>
      <c r="F125">
        <v>15</v>
      </c>
      <c r="G125">
        <v>0</v>
      </c>
      <c r="H125">
        <v>0</v>
      </c>
      <c r="I125">
        <v>30</v>
      </c>
      <c r="J125">
        <v>45</v>
      </c>
      <c r="K125">
        <v>4</v>
      </c>
      <c r="L125">
        <v>2</v>
      </c>
      <c r="M125">
        <v>10</v>
      </c>
      <c r="N125">
        <v>0</v>
      </c>
      <c r="O125" t="s">
        <v>27</v>
      </c>
      <c r="P125" t="s">
        <v>443</v>
      </c>
      <c r="Q125">
        <v>2026</v>
      </c>
      <c r="R125">
        <v>2041</v>
      </c>
      <c r="S125" t="s">
        <v>444</v>
      </c>
      <c r="T125">
        <v>2030</v>
      </c>
      <c r="U125">
        <v>37.75</v>
      </c>
      <c r="V125">
        <v>1</v>
      </c>
      <c r="W125">
        <v>2030</v>
      </c>
      <c r="X125">
        <v>4</v>
      </c>
      <c r="Y125">
        <v>2030</v>
      </c>
      <c r="Z125">
        <v>1</v>
      </c>
      <c r="AA125">
        <v>120</v>
      </c>
      <c r="AB125">
        <v>180</v>
      </c>
      <c r="AC125">
        <v>120</v>
      </c>
      <c r="AD125">
        <v>180</v>
      </c>
      <c r="AE125">
        <v>0</v>
      </c>
      <c r="AF125">
        <v>0</v>
      </c>
      <c r="AG125">
        <v>120</v>
      </c>
      <c r="AH125">
        <v>180</v>
      </c>
      <c r="AI125">
        <v>1</v>
      </c>
      <c r="AJ125">
        <v>2.4670000000000001</v>
      </c>
      <c r="AK125">
        <v>2031</v>
      </c>
      <c r="AL125" s="61">
        <v>2.5169999999999999</v>
      </c>
      <c r="AM125" s="61">
        <v>2.4670000000000001</v>
      </c>
      <c r="AN125" s="61">
        <v>2.5169999999999999</v>
      </c>
      <c r="AO125">
        <v>1.0758508410815628</v>
      </c>
      <c r="AP125">
        <v>1.0251508174189523</v>
      </c>
      <c r="AQ125">
        <v>1.1029093691556315</v>
      </c>
      <c r="AR125" t="b">
        <v>0</v>
      </c>
      <c r="AS125">
        <v>108.80313773367429</v>
      </c>
      <c r="AT125">
        <v>163.20470660051143</v>
      </c>
      <c r="AU125">
        <v>136.00392216709287</v>
      </c>
    </row>
    <row r="126" spans="1:47" x14ac:dyDescent="0.25">
      <c r="A126" t="s">
        <v>352</v>
      </c>
      <c r="B126" t="s">
        <v>453</v>
      </c>
      <c r="C126" t="s">
        <v>320</v>
      </c>
      <c r="D126">
        <v>2026</v>
      </c>
      <c r="E126">
        <v>0</v>
      </c>
      <c r="F126">
        <v>15</v>
      </c>
      <c r="G126">
        <v>0</v>
      </c>
      <c r="H126">
        <v>0</v>
      </c>
      <c r="I126">
        <v>30</v>
      </c>
      <c r="J126">
        <v>45</v>
      </c>
      <c r="K126">
        <v>4</v>
      </c>
      <c r="L126">
        <v>2</v>
      </c>
      <c r="M126">
        <v>10</v>
      </c>
      <c r="N126">
        <v>0</v>
      </c>
      <c r="O126" t="s">
        <v>27</v>
      </c>
      <c r="P126" t="s">
        <v>443</v>
      </c>
      <c r="Q126">
        <v>2026</v>
      </c>
      <c r="R126">
        <v>2041</v>
      </c>
      <c r="S126" t="s">
        <v>444</v>
      </c>
      <c r="T126">
        <v>2031</v>
      </c>
      <c r="U126">
        <v>38.75</v>
      </c>
      <c r="V126">
        <v>1</v>
      </c>
      <c r="W126">
        <v>2031</v>
      </c>
      <c r="X126">
        <v>5</v>
      </c>
      <c r="Y126">
        <v>2031</v>
      </c>
      <c r="Z126">
        <v>1</v>
      </c>
      <c r="AA126">
        <v>120</v>
      </c>
      <c r="AB126">
        <v>180</v>
      </c>
      <c r="AC126">
        <v>120</v>
      </c>
      <c r="AD126">
        <v>180</v>
      </c>
      <c r="AE126">
        <v>0</v>
      </c>
      <c r="AF126">
        <v>0</v>
      </c>
      <c r="AG126">
        <v>120</v>
      </c>
      <c r="AH126">
        <v>180</v>
      </c>
      <c r="AI126">
        <v>1</v>
      </c>
      <c r="AJ126">
        <v>2.5169999999999999</v>
      </c>
      <c r="AK126">
        <v>2032</v>
      </c>
      <c r="AL126" s="61">
        <v>2.59</v>
      </c>
      <c r="AM126" s="61">
        <v>2.5169999999999999</v>
      </c>
      <c r="AN126" s="61">
        <v>2.59</v>
      </c>
      <c r="AO126">
        <v>1.1045453584485188</v>
      </c>
      <c r="AP126">
        <v>1.0258719904156592</v>
      </c>
      <c r="AQ126">
        <v>1.1331221453759597</v>
      </c>
      <c r="AR126" t="b">
        <v>0</v>
      </c>
      <c r="AS126">
        <v>105.90208698126281</v>
      </c>
      <c r="AT126">
        <v>158.85313047189422</v>
      </c>
      <c r="AU126">
        <v>132.3776087265785</v>
      </c>
    </row>
    <row r="127" spans="1:47" x14ac:dyDescent="0.25">
      <c r="A127" t="s">
        <v>352</v>
      </c>
      <c r="B127" t="s">
        <v>453</v>
      </c>
      <c r="C127" t="s">
        <v>320</v>
      </c>
      <c r="D127">
        <v>2026</v>
      </c>
      <c r="E127">
        <v>0</v>
      </c>
      <c r="F127">
        <v>15</v>
      </c>
      <c r="G127">
        <v>0</v>
      </c>
      <c r="H127">
        <v>0</v>
      </c>
      <c r="I127">
        <v>30</v>
      </c>
      <c r="J127">
        <v>45</v>
      </c>
      <c r="K127">
        <v>4</v>
      </c>
      <c r="L127">
        <v>2</v>
      </c>
      <c r="M127">
        <v>10</v>
      </c>
      <c r="N127">
        <v>0</v>
      </c>
      <c r="O127" t="s">
        <v>27</v>
      </c>
      <c r="P127" t="s">
        <v>443</v>
      </c>
      <c r="Q127">
        <v>2026</v>
      </c>
      <c r="R127">
        <v>2041</v>
      </c>
      <c r="S127" t="s">
        <v>444</v>
      </c>
      <c r="T127">
        <v>2032</v>
      </c>
      <c r="U127">
        <v>39.75</v>
      </c>
      <c r="V127">
        <v>1</v>
      </c>
      <c r="W127">
        <v>2032</v>
      </c>
      <c r="X127">
        <v>6</v>
      </c>
      <c r="Y127">
        <v>2032</v>
      </c>
      <c r="Z127">
        <v>1</v>
      </c>
      <c r="AA127">
        <v>120</v>
      </c>
      <c r="AB127">
        <v>180</v>
      </c>
      <c r="AC127">
        <v>120</v>
      </c>
      <c r="AD127">
        <v>180</v>
      </c>
      <c r="AE127">
        <v>0</v>
      </c>
      <c r="AF127">
        <v>0</v>
      </c>
      <c r="AG127">
        <v>120</v>
      </c>
      <c r="AH127">
        <v>180</v>
      </c>
      <c r="AI127">
        <v>1</v>
      </c>
      <c r="AJ127">
        <v>2.59</v>
      </c>
      <c r="AK127">
        <v>2033</v>
      </c>
      <c r="AL127" s="61">
        <v>2.6880000000000002</v>
      </c>
      <c r="AM127" s="61">
        <v>2.59</v>
      </c>
      <c r="AN127" s="61">
        <v>2.6880000000000002</v>
      </c>
      <c r="AO127">
        <v>1.1363841013749196</v>
      </c>
      <c r="AP127">
        <v>1.0268423936996114</v>
      </c>
      <c r="AQ127">
        <v>1.1668873708180043</v>
      </c>
      <c r="AR127" t="b">
        <v>0</v>
      </c>
      <c r="AS127">
        <v>102.83768853876474</v>
      </c>
      <c r="AT127">
        <v>154.25653280814711</v>
      </c>
      <c r="AU127">
        <v>128.54711067345593</v>
      </c>
    </row>
    <row r="128" spans="1:47" x14ac:dyDescent="0.25">
      <c r="A128" t="s">
        <v>352</v>
      </c>
      <c r="B128" t="s">
        <v>453</v>
      </c>
      <c r="C128" t="s">
        <v>320</v>
      </c>
      <c r="D128">
        <v>2026</v>
      </c>
      <c r="E128">
        <v>0</v>
      </c>
      <c r="F128">
        <v>15</v>
      </c>
      <c r="G128">
        <v>0</v>
      </c>
      <c r="H128">
        <v>0</v>
      </c>
      <c r="I128">
        <v>30</v>
      </c>
      <c r="J128">
        <v>45</v>
      </c>
      <c r="K128">
        <v>4</v>
      </c>
      <c r="L128">
        <v>2</v>
      </c>
      <c r="M128">
        <v>10</v>
      </c>
      <c r="N128">
        <v>0</v>
      </c>
      <c r="O128" t="s">
        <v>27</v>
      </c>
      <c r="P128" t="s">
        <v>443</v>
      </c>
      <c r="Q128">
        <v>2026</v>
      </c>
      <c r="R128">
        <v>2041</v>
      </c>
      <c r="S128" t="s">
        <v>444</v>
      </c>
      <c r="T128">
        <v>2033</v>
      </c>
      <c r="U128">
        <v>40.75</v>
      </c>
      <c r="V128">
        <v>1</v>
      </c>
      <c r="W128">
        <v>2033</v>
      </c>
      <c r="X128">
        <v>7</v>
      </c>
      <c r="Y128">
        <v>2033</v>
      </c>
      <c r="Z128">
        <v>1</v>
      </c>
      <c r="AA128">
        <v>120</v>
      </c>
      <c r="AB128">
        <v>180</v>
      </c>
      <c r="AC128">
        <v>120</v>
      </c>
      <c r="AD128">
        <v>180</v>
      </c>
      <c r="AE128">
        <v>0</v>
      </c>
      <c r="AF128">
        <v>0</v>
      </c>
      <c r="AG128">
        <v>120</v>
      </c>
      <c r="AH128">
        <v>180</v>
      </c>
      <c r="AI128">
        <v>1</v>
      </c>
      <c r="AJ128">
        <v>2.6880000000000002</v>
      </c>
      <c r="AK128">
        <v>2034</v>
      </c>
      <c r="AL128" s="61">
        <v>2.7519999999999998</v>
      </c>
      <c r="AM128" s="61">
        <v>2.6880000000000002</v>
      </c>
      <c r="AN128" s="61">
        <v>2.7519999999999998</v>
      </c>
      <c r="AO128">
        <v>1.1725143659072164</v>
      </c>
      <c r="AP128">
        <v>1.0274954447000768</v>
      </c>
      <c r="AQ128">
        <v>1.2047531698150638</v>
      </c>
      <c r="AR128" t="b">
        <v>0</v>
      </c>
      <c r="AS128">
        <v>99.605465257601821</v>
      </c>
      <c r="AT128">
        <v>149.40819788640275</v>
      </c>
      <c r="AU128">
        <v>124.50683157200228</v>
      </c>
    </row>
    <row r="129" spans="1:47" x14ac:dyDescent="0.25">
      <c r="A129" t="s">
        <v>352</v>
      </c>
      <c r="B129" t="s">
        <v>453</v>
      </c>
      <c r="C129" t="s">
        <v>320</v>
      </c>
      <c r="D129">
        <v>2026</v>
      </c>
      <c r="E129">
        <v>0</v>
      </c>
      <c r="F129">
        <v>15</v>
      </c>
      <c r="G129">
        <v>0</v>
      </c>
      <c r="H129">
        <v>0</v>
      </c>
      <c r="I129">
        <v>30</v>
      </c>
      <c r="J129">
        <v>45</v>
      </c>
      <c r="K129">
        <v>4</v>
      </c>
      <c r="L129">
        <v>2</v>
      </c>
      <c r="M129">
        <v>10</v>
      </c>
      <c r="N129">
        <v>0</v>
      </c>
      <c r="O129" t="s">
        <v>27</v>
      </c>
      <c r="P129" t="s">
        <v>443</v>
      </c>
      <c r="Q129">
        <v>2026</v>
      </c>
      <c r="R129">
        <v>2041</v>
      </c>
      <c r="S129" t="s">
        <v>444</v>
      </c>
      <c r="T129">
        <v>2034</v>
      </c>
      <c r="U129">
        <v>41.75</v>
      </c>
      <c r="V129">
        <v>1</v>
      </c>
      <c r="W129">
        <v>2034</v>
      </c>
      <c r="X129">
        <v>8</v>
      </c>
      <c r="Y129">
        <v>2034</v>
      </c>
      <c r="Z129">
        <v>1</v>
      </c>
      <c r="AA129">
        <v>120</v>
      </c>
      <c r="AB129">
        <v>180</v>
      </c>
      <c r="AC129">
        <v>120</v>
      </c>
      <c r="AD129">
        <v>180</v>
      </c>
      <c r="AE129">
        <v>0</v>
      </c>
      <c r="AF129">
        <v>0</v>
      </c>
      <c r="AG129">
        <v>120</v>
      </c>
      <c r="AH129">
        <v>180</v>
      </c>
      <c r="AI129">
        <v>1</v>
      </c>
      <c r="AJ129">
        <v>2.7519999999999998</v>
      </c>
      <c r="AK129">
        <v>2035</v>
      </c>
      <c r="AL129" s="61">
        <v>2.8420000000000001</v>
      </c>
      <c r="AM129" s="61">
        <v>2.7519999999999998</v>
      </c>
      <c r="AN129" s="61">
        <v>2.8420000000000001</v>
      </c>
      <c r="AO129">
        <v>1.2092942481281721</v>
      </c>
      <c r="AP129">
        <v>1.0283854649181425</v>
      </c>
      <c r="AQ129">
        <v>1.2436206275841259</v>
      </c>
      <c r="AR129" t="b">
        <v>0</v>
      </c>
      <c r="AS129">
        <v>96.492449014064363</v>
      </c>
      <c r="AT129">
        <v>144.73867352109656</v>
      </c>
      <c r="AU129">
        <v>120.61556126758046</v>
      </c>
    </row>
    <row r="130" spans="1:47" x14ac:dyDescent="0.25">
      <c r="A130" t="s">
        <v>352</v>
      </c>
      <c r="B130" t="s">
        <v>453</v>
      </c>
      <c r="C130" t="s">
        <v>320</v>
      </c>
      <c r="D130">
        <v>2026</v>
      </c>
      <c r="E130">
        <v>0</v>
      </c>
      <c r="F130">
        <v>15</v>
      </c>
      <c r="G130">
        <v>0</v>
      </c>
      <c r="H130">
        <v>0</v>
      </c>
      <c r="I130">
        <v>30</v>
      </c>
      <c r="J130">
        <v>45</v>
      </c>
      <c r="K130">
        <v>4</v>
      </c>
      <c r="L130">
        <v>2</v>
      </c>
      <c r="M130">
        <v>10</v>
      </c>
      <c r="N130">
        <v>0</v>
      </c>
      <c r="O130" t="s">
        <v>27</v>
      </c>
      <c r="P130" t="s">
        <v>443</v>
      </c>
      <c r="Q130">
        <v>2026</v>
      </c>
      <c r="R130">
        <v>2041</v>
      </c>
      <c r="S130" t="s">
        <v>444</v>
      </c>
      <c r="T130">
        <v>2035</v>
      </c>
      <c r="U130">
        <v>42.75</v>
      </c>
      <c r="V130">
        <v>1</v>
      </c>
      <c r="W130">
        <v>2035</v>
      </c>
      <c r="X130">
        <v>9</v>
      </c>
      <c r="Y130">
        <v>2035</v>
      </c>
      <c r="Z130">
        <v>1</v>
      </c>
      <c r="AA130">
        <v>120</v>
      </c>
      <c r="AB130">
        <v>180</v>
      </c>
      <c r="AC130">
        <v>120</v>
      </c>
      <c r="AD130">
        <v>180</v>
      </c>
      <c r="AE130">
        <v>0</v>
      </c>
      <c r="AF130">
        <v>0</v>
      </c>
      <c r="AG130">
        <v>120</v>
      </c>
      <c r="AH130">
        <v>180</v>
      </c>
      <c r="AI130">
        <v>1</v>
      </c>
      <c r="AJ130">
        <v>2.8420000000000001</v>
      </c>
      <c r="AK130">
        <v>2036</v>
      </c>
      <c r="AL130" s="61">
        <v>2.944</v>
      </c>
      <c r="AM130" s="61">
        <v>2.8420000000000001</v>
      </c>
      <c r="AN130" s="61">
        <v>2.944</v>
      </c>
      <c r="AO130">
        <v>1.2513076834571593</v>
      </c>
      <c r="AP130">
        <v>1.0294008580614105</v>
      </c>
      <c r="AQ130">
        <v>1.2880972030496356</v>
      </c>
      <c r="AR130" t="b">
        <v>0</v>
      </c>
      <c r="AS130">
        <v>93.160671194606977</v>
      </c>
      <c r="AT130">
        <v>139.74100679191045</v>
      </c>
      <c r="AU130">
        <v>116.45083899325871</v>
      </c>
    </row>
    <row r="131" spans="1:47" x14ac:dyDescent="0.25">
      <c r="A131" t="s">
        <v>352</v>
      </c>
      <c r="B131" t="s">
        <v>453</v>
      </c>
      <c r="C131" t="s">
        <v>320</v>
      </c>
      <c r="D131">
        <v>2026</v>
      </c>
      <c r="E131">
        <v>0</v>
      </c>
      <c r="F131">
        <v>15</v>
      </c>
      <c r="G131">
        <v>0</v>
      </c>
      <c r="H131">
        <v>0</v>
      </c>
      <c r="I131">
        <v>30</v>
      </c>
      <c r="J131">
        <v>45</v>
      </c>
      <c r="K131">
        <v>4</v>
      </c>
      <c r="L131">
        <v>2</v>
      </c>
      <c r="M131">
        <v>10</v>
      </c>
      <c r="N131">
        <v>0</v>
      </c>
      <c r="O131" t="s">
        <v>27</v>
      </c>
      <c r="P131" t="s">
        <v>443</v>
      </c>
      <c r="Q131">
        <v>2026</v>
      </c>
      <c r="R131">
        <v>2041</v>
      </c>
      <c r="S131" t="s">
        <v>444</v>
      </c>
      <c r="T131">
        <v>2036</v>
      </c>
      <c r="U131">
        <v>43.75</v>
      </c>
      <c r="V131">
        <v>1</v>
      </c>
      <c r="W131">
        <v>2036</v>
      </c>
      <c r="X131">
        <v>10</v>
      </c>
      <c r="Y131">
        <v>2036</v>
      </c>
      <c r="Z131">
        <v>1</v>
      </c>
      <c r="AA131">
        <v>120</v>
      </c>
      <c r="AB131">
        <v>180</v>
      </c>
      <c r="AC131">
        <v>120</v>
      </c>
      <c r="AD131">
        <v>180</v>
      </c>
      <c r="AE131">
        <v>0</v>
      </c>
      <c r="AF131">
        <v>0</v>
      </c>
      <c r="AG131">
        <v>120</v>
      </c>
      <c r="AH131">
        <v>180</v>
      </c>
      <c r="AI131">
        <v>1</v>
      </c>
      <c r="AJ131">
        <v>2.944</v>
      </c>
      <c r="AK131">
        <v>2037</v>
      </c>
      <c r="AL131" s="61">
        <v>3.036</v>
      </c>
      <c r="AM131" s="61">
        <v>2.944</v>
      </c>
      <c r="AN131" s="61">
        <v>3.036</v>
      </c>
      <c r="AO131">
        <v>1.2984025298030446</v>
      </c>
      <c r="AP131">
        <v>1.0303246971701443</v>
      </c>
      <c r="AQ131">
        <v>1.3377761933242711</v>
      </c>
      <c r="AR131" t="b">
        <v>0</v>
      </c>
      <c r="AS131">
        <v>89.701102919023555</v>
      </c>
      <c r="AT131">
        <v>134.55165437853535</v>
      </c>
      <c r="AU131">
        <v>112.12637864877945</v>
      </c>
    </row>
    <row r="132" spans="1:47" x14ac:dyDescent="0.25">
      <c r="A132" t="s">
        <v>352</v>
      </c>
      <c r="B132" t="s">
        <v>453</v>
      </c>
      <c r="C132" t="s">
        <v>320</v>
      </c>
      <c r="D132">
        <v>2026</v>
      </c>
      <c r="E132">
        <v>0</v>
      </c>
      <c r="F132">
        <v>15</v>
      </c>
      <c r="G132">
        <v>0</v>
      </c>
      <c r="H132">
        <v>0</v>
      </c>
      <c r="I132">
        <v>30</v>
      </c>
      <c r="J132">
        <v>45</v>
      </c>
      <c r="K132">
        <v>4</v>
      </c>
      <c r="L132">
        <v>2</v>
      </c>
      <c r="M132">
        <v>10</v>
      </c>
      <c r="N132">
        <v>0</v>
      </c>
      <c r="O132" t="s">
        <v>27</v>
      </c>
      <c r="P132" t="s">
        <v>443</v>
      </c>
      <c r="Q132">
        <v>2026</v>
      </c>
      <c r="R132">
        <v>2041</v>
      </c>
      <c r="S132" t="s">
        <v>444</v>
      </c>
      <c r="T132">
        <v>2037</v>
      </c>
      <c r="U132">
        <v>44.75</v>
      </c>
      <c r="V132">
        <v>1</v>
      </c>
      <c r="W132">
        <v>2037</v>
      </c>
      <c r="X132">
        <v>11</v>
      </c>
      <c r="Y132">
        <v>2037</v>
      </c>
      <c r="Z132">
        <v>1</v>
      </c>
      <c r="AA132">
        <v>120</v>
      </c>
      <c r="AB132">
        <v>180</v>
      </c>
      <c r="AC132">
        <v>120</v>
      </c>
      <c r="AD132">
        <v>180</v>
      </c>
      <c r="AE132">
        <v>0</v>
      </c>
      <c r="AF132">
        <v>0</v>
      </c>
      <c r="AG132">
        <v>120</v>
      </c>
      <c r="AH132">
        <v>180</v>
      </c>
      <c r="AI132">
        <v>1</v>
      </c>
      <c r="AJ132">
        <v>3.036</v>
      </c>
      <c r="AK132">
        <v>2038</v>
      </c>
      <c r="AL132" s="61">
        <v>3.1339999999999999</v>
      </c>
      <c r="AM132" s="61">
        <v>3.036</v>
      </c>
      <c r="AN132" s="61">
        <v>3.1339999999999999</v>
      </c>
      <c r="AO132">
        <v>1.3486209574989538</v>
      </c>
      <c r="AP132">
        <v>1.0313023937742947</v>
      </c>
      <c r="AQ132">
        <v>1.3908360217628524</v>
      </c>
      <c r="AR132" t="b">
        <v>0</v>
      </c>
      <c r="AS132">
        <v>86.279042333044259</v>
      </c>
      <c r="AT132">
        <v>129.41856349956637</v>
      </c>
      <c r="AU132">
        <v>107.84880291630532</v>
      </c>
    </row>
    <row r="133" spans="1:47" x14ac:dyDescent="0.25">
      <c r="A133" t="s">
        <v>352</v>
      </c>
      <c r="B133" t="s">
        <v>453</v>
      </c>
      <c r="C133" t="s">
        <v>320</v>
      </c>
      <c r="D133">
        <v>2026</v>
      </c>
      <c r="E133">
        <v>0</v>
      </c>
      <c r="F133">
        <v>15</v>
      </c>
      <c r="G133">
        <v>0</v>
      </c>
      <c r="H133">
        <v>0</v>
      </c>
      <c r="I133">
        <v>30</v>
      </c>
      <c r="J133">
        <v>45</v>
      </c>
      <c r="K133">
        <v>4</v>
      </c>
      <c r="L133">
        <v>2</v>
      </c>
      <c r="M133">
        <v>10</v>
      </c>
      <c r="N133">
        <v>0</v>
      </c>
      <c r="O133" t="s">
        <v>27</v>
      </c>
      <c r="P133" t="s">
        <v>443</v>
      </c>
      <c r="Q133">
        <v>2026</v>
      </c>
      <c r="R133">
        <v>2041</v>
      </c>
      <c r="S133" t="s">
        <v>444</v>
      </c>
      <c r="T133">
        <v>2038</v>
      </c>
      <c r="U133">
        <v>45.75</v>
      </c>
      <c r="V133">
        <v>1</v>
      </c>
      <c r="W133">
        <v>2038</v>
      </c>
      <c r="X133">
        <v>12</v>
      </c>
      <c r="Y133">
        <v>2038</v>
      </c>
      <c r="Z133">
        <v>1</v>
      </c>
      <c r="AA133">
        <v>120</v>
      </c>
      <c r="AB133">
        <v>180</v>
      </c>
      <c r="AC133">
        <v>120</v>
      </c>
      <c r="AD133">
        <v>180</v>
      </c>
      <c r="AE133">
        <v>0</v>
      </c>
      <c r="AF133">
        <v>0</v>
      </c>
      <c r="AG133">
        <v>120</v>
      </c>
      <c r="AH133">
        <v>180</v>
      </c>
      <c r="AI133">
        <v>1</v>
      </c>
      <c r="AJ133">
        <v>3.1339999999999999</v>
      </c>
      <c r="AK133">
        <v>2039</v>
      </c>
      <c r="AL133" s="61">
        <v>3.2069999999999999</v>
      </c>
      <c r="AM133" s="61">
        <v>3.1339999999999999</v>
      </c>
      <c r="AN133" s="61">
        <v>3.2069999999999999</v>
      </c>
      <c r="AO133">
        <v>1.4041725591738043</v>
      </c>
      <c r="AP133">
        <v>1.0320419904729838</v>
      </c>
      <c r="AQ133">
        <v>1.4491650429372767</v>
      </c>
      <c r="AR133" t="b">
        <v>0</v>
      </c>
      <c r="AS133">
        <v>82.806303246713</v>
      </c>
      <c r="AT133">
        <v>124.20945487006951</v>
      </c>
      <c r="AU133">
        <v>103.50787905839125</v>
      </c>
    </row>
    <row r="134" spans="1:47" x14ac:dyDescent="0.25">
      <c r="A134" t="s">
        <v>352</v>
      </c>
      <c r="B134" t="s">
        <v>453</v>
      </c>
      <c r="C134" t="s">
        <v>320</v>
      </c>
      <c r="D134">
        <v>2026</v>
      </c>
      <c r="E134">
        <v>0</v>
      </c>
      <c r="F134">
        <v>15</v>
      </c>
      <c r="G134">
        <v>0</v>
      </c>
      <c r="H134">
        <v>0</v>
      </c>
      <c r="I134">
        <v>30</v>
      </c>
      <c r="J134">
        <v>45</v>
      </c>
      <c r="K134">
        <v>4</v>
      </c>
      <c r="L134">
        <v>2</v>
      </c>
      <c r="M134">
        <v>10</v>
      </c>
      <c r="N134">
        <v>0</v>
      </c>
      <c r="O134" t="s">
        <v>27</v>
      </c>
      <c r="P134" t="s">
        <v>443</v>
      </c>
      <c r="Q134">
        <v>2026</v>
      </c>
      <c r="R134">
        <v>2041</v>
      </c>
      <c r="S134" t="s">
        <v>444</v>
      </c>
      <c r="T134">
        <v>2039</v>
      </c>
      <c r="U134">
        <v>46.75</v>
      </c>
      <c r="V134">
        <v>1</v>
      </c>
      <c r="W134">
        <v>2039</v>
      </c>
      <c r="X134">
        <v>13</v>
      </c>
      <c r="Y134">
        <v>2039</v>
      </c>
      <c r="Z134">
        <v>1</v>
      </c>
      <c r="AA134">
        <v>120</v>
      </c>
      <c r="AB134">
        <v>180</v>
      </c>
      <c r="AC134">
        <v>120</v>
      </c>
      <c r="AD134">
        <v>180</v>
      </c>
      <c r="AE134">
        <v>0</v>
      </c>
      <c r="AF134">
        <v>0</v>
      </c>
      <c r="AG134">
        <v>120</v>
      </c>
      <c r="AH134">
        <v>180</v>
      </c>
      <c r="AI134">
        <v>1</v>
      </c>
      <c r="AJ134">
        <v>3.2069999999999999</v>
      </c>
      <c r="AK134">
        <v>2040</v>
      </c>
      <c r="AL134" s="61">
        <v>3.3029999999999999</v>
      </c>
      <c r="AM134" s="61">
        <v>3.2069999999999999</v>
      </c>
      <c r="AN134" s="61">
        <v>3.3029999999999999</v>
      </c>
      <c r="AO134">
        <v>1.4605278779269859</v>
      </c>
      <c r="AP134">
        <v>1.0329931616190409</v>
      </c>
      <c r="AQ134">
        <v>1.5087153102525457</v>
      </c>
      <c r="AR134" t="b">
        <v>0</v>
      </c>
      <c r="AS134">
        <v>79.537868532608087</v>
      </c>
      <c r="AT134">
        <v>119.30680279891213</v>
      </c>
      <c r="AU134">
        <v>99.422335665760102</v>
      </c>
    </row>
    <row r="135" spans="1:47" x14ac:dyDescent="0.25">
      <c r="A135" t="s">
        <v>352</v>
      </c>
      <c r="B135" t="s">
        <v>453</v>
      </c>
      <c r="C135" t="s">
        <v>320</v>
      </c>
      <c r="D135">
        <v>2026</v>
      </c>
      <c r="E135">
        <v>0</v>
      </c>
      <c r="F135">
        <v>15</v>
      </c>
      <c r="G135">
        <v>0</v>
      </c>
      <c r="H135">
        <v>0</v>
      </c>
      <c r="I135">
        <v>30</v>
      </c>
      <c r="J135">
        <v>45</v>
      </c>
      <c r="K135">
        <v>4</v>
      </c>
      <c r="L135">
        <v>2</v>
      </c>
      <c r="M135">
        <v>10</v>
      </c>
      <c r="N135">
        <v>0</v>
      </c>
      <c r="O135" t="s">
        <v>27</v>
      </c>
      <c r="P135" t="s">
        <v>443</v>
      </c>
      <c r="Q135">
        <v>2026</v>
      </c>
      <c r="R135">
        <v>2041</v>
      </c>
      <c r="S135" t="s">
        <v>444</v>
      </c>
      <c r="T135">
        <v>2040</v>
      </c>
      <c r="U135">
        <v>47.75</v>
      </c>
      <c r="V135">
        <v>1</v>
      </c>
      <c r="W135">
        <v>2040</v>
      </c>
      <c r="X135">
        <v>14</v>
      </c>
      <c r="Y135">
        <v>2040</v>
      </c>
      <c r="Z135">
        <v>1</v>
      </c>
      <c r="AA135">
        <v>120</v>
      </c>
      <c r="AB135">
        <v>180</v>
      </c>
      <c r="AC135">
        <v>120</v>
      </c>
      <c r="AD135">
        <v>180</v>
      </c>
      <c r="AE135">
        <v>0</v>
      </c>
      <c r="AF135">
        <v>0</v>
      </c>
      <c r="AG135">
        <v>120</v>
      </c>
      <c r="AH135">
        <v>180</v>
      </c>
      <c r="AI135">
        <v>1</v>
      </c>
      <c r="AJ135">
        <v>3.3029999999999999</v>
      </c>
      <c r="AK135">
        <v>2041</v>
      </c>
      <c r="AL135" s="61">
        <v>3.3559999999999999</v>
      </c>
      <c r="AM135" s="61">
        <v>3.3029999999999999</v>
      </c>
      <c r="AN135" s="61">
        <v>3.3559999999999999</v>
      </c>
      <c r="AO135">
        <v>1.5256964700083253</v>
      </c>
      <c r="AP135">
        <v>1.0335396662189136</v>
      </c>
      <c r="AQ135">
        <v>1.5768678203637791</v>
      </c>
      <c r="AR135" t="b">
        <v>0</v>
      </c>
      <c r="AS135">
        <v>76.100227584272929</v>
      </c>
      <c r="AT135">
        <v>114.1503413764094</v>
      </c>
      <c r="AU135">
        <v>95.125284480341165</v>
      </c>
    </row>
    <row r="136" spans="1:47" x14ac:dyDescent="0.25">
      <c r="A136" t="s">
        <v>352</v>
      </c>
      <c r="B136" t="s">
        <v>453</v>
      </c>
      <c r="C136" t="s">
        <v>320</v>
      </c>
      <c r="D136">
        <v>2026</v>
      </c>
      <c r="E136">
        <v>0</v>
      </c>
      <c r="M136">
        <v>10</v>
      </c>
      <c r="Q136">
        <v>2026</v>
      </c>
      <c r="R136">
        <v>2041</v>
      </c>
      <c r="T136">
        <v>2041</v>
      </c>
      <c r="U136">
        <v>48.75</v>
      </c>
      <c r="W136">
        <v>2041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L136" s="61"/>
      <c r="AS136">
        <v>0</v>
      </c>
      <c r="AT136">
        <v>0</v>
      </c>
      <c r="AU136">
        <v>0</v>
      </c>
    </row>
    <row r="137" spans="1:47" x14ac:dyDescent="0.25">
      <c r="A137" t="s">
        <v>326</v>
      </c>
      <c r="B137" t="s">
        <v>454</v>
      </c>
      <c r="C137" t="s">
        <v>319</v>
      </c>
      <c r="D137">
        <v>2026</v>
      </c>
      <c r="E137">
        <v>0</v>
      </c>
      <c r="F137">
        <v>10</v>
      </c>
      <c r="G137">
        <v>0</v>
      </c>
      <c r="H137">
        <v>0</v>
      </c>
      <c r="I137">
        <v>50</v>
      </c>
      <c r="J137">
        <v>250</v>
      </c>
      <c r="K137">
        <v>1</v>
      </c>
      <c r="L137">
        <v>1</v>
      </c>
      <c r="M137">
        <v>11</v>
      </c>
      <c r="N137">
        <v>0</v>
      </c>
      <c r="O137" t="s">
        <v>27</v>
      </c>
      <c r="P137" t="s">
        <v>443</v>
      </c>
      <c r="Q137">
        <v>2026</v>
      </c>
      <c r="R137">
        <v>2036</v>
      </c>
      <c r="S137" t="s">
        <v>444</v>
      </c>
      <c r="T137">
        <v>2026</v>
      </c>
      <c r="U137">
        <v>33.75</v>
      </c>
      <c r="V137">
        <v>1</v>
      </c>
      <c r="W137">
        <v>2026</v>
      </c>
      <c r="X137">
        <v>0</v>
      </c>
      <c r="Y137">
        <v>2026</v>
      </c>
      <c r="Z137">
        <v>1</v>
      </c>
      <c r="AA137">
        <v>50</v>
      </c>
      <c r="AB137">
        <v>250</v>
      </c>
      <c r="AC137">
        <v>50</v>
      </c>
      <c r="AD137">
        <v>250</v>
      </c>
      <c r="AE137">
        <v>0</v>
      </c>
      <c r="AF137">
        <v>0</v>
      </c>
      <c r="AG137">
        <v>50</v>
      </c>
      <c r="AH137">
        <v>250</v>
      </c>
      <c r="AI137">
        <v>1</v>
      </c>
      <c r="AK137">
        <v>2027</v>
      </c>
      <c r="AL137" s="61">
        <v>2.4329999999999998</v>
      </c>
      <c r="AM137" s="61">
        <v>0</v>
      </c>
      <c r="AN137" s="61">
        <v>2.4329999999999998</v>
      </c>
      <c r="AO137">
        <v>1</v>
      </c>
      <c r="AP137">
        <v>1.023385968321771</v>
      </c>
      <c r="AQ137">
        <v>1.023385968321771</v>
      </c>
      <c r="AR137" t="b">
        <v>1</v>
      </c>
      <c r="AS137">
        <v>50</v>
      </c>
      <c r="AT137">
        <v>250</v>
      </c>
      <c r="AU137">
        <v>150</v>
      </c>
    </row>
    <row r="138" spans="1:47" x14ac:dyDescent="0.25">
      <c r="A138" t="s">
        <v>326</v>
      </c>
      <c r="B138" t="s">
        <v>454</v>
      </c>
      <c r="C138" t="s">
        <v>319</v>
      </c>
      <c r="D138">
        <v>2026</v>
      </c>
      <c r="E138">
        <v>0</v>
      </c>
      <c r="F138">
        <v>10</v>
      </c>
      <c r="G138">
        <v>0</v>
      </c>
      <c r="H138">
        <v>0</v>
      </c>
      <c r="I138">
        <v>50</v>
      </c>
      <c r="J138">
        <v>250</v>
      </c>
      <c r="K138">
        <v>1</v>
      </c>
      <c r="L138">
        <v>1</v>
      </c>
      <c r="M138">
        <v>11</v>
      </c>
      <c r="N138">
        <v>0</v>
      </c>
      <c r="O138" t="s">
        <v>27</v>
      </c>
      <c r="P138" t="s">
        <v>443</v>
      </c>
      <c r="Q138">
        <v>2026</v>
      </c>
      <c r="R138">
        <v>2036</v>
      </c>
      <c r="S138" t="s">
        <v>444</v>
      </c>
      <c r="T138">
        <v>2027</v>
      </c>
      <c r="U138">
        <v>34.75</v>
      </c>
      <c r="V138">
        <v>1</v>
      </c>
      <c r="W138">
        <v>2027</v>
      </c>
      <c r="X138">
        <v>1</v>
      </c>
      <c r="Y138">
        <v>2027</v>
      </c>
      <c r="Z138">
        <v>1</v>
      </c>
      <c r="AA138">
        <v>50</v>
      </c>
      <c r="AB138">
        <v>250</v>
      </c>
      <c r="AC138">
        <v>50</v>
      </c>
      <c r="AD138">
        <v>250</v>
      </c>
      <c r="AE138">
        <v>0</v>
      </c>
      <c r="AF138">
        <v>0</v>
      </c>
      <c r="AG138">
        <v>50</v>
      </c>
      <c r="AH138">
        <v>250</v>
      </c>
      <c r="AI138">
        <v>1</v>
      </c>
      <c r="AJ138">
        <v>2.4329999999999998</v>
      </c>
      <c r="AK138">
        <v>2028</v>
      </c>
      <c r="AL138" s="61">
        <v>2.4220000000000002</v>
      </c>
      <c r="AM138" s="61">
        <v>2.4329999999999998</v>
      </c>
      <c r="AN138" s="61">
        <v>2.4220000000000002</v>
      </c>
      <c r="AO138">
        <v>1</v>
      </c>
      <c r="AP138">
        <v>1.0242242189602202</v>
      </c>
      <c r="AQ138">
        <v>1.0242242189602202</v>
      </c>
      <c r="AR138" t="b">
        <v>0</v>
      </c>
      <c r="AS138">
        <v>48.817435747379008</v>
      </c>
      <c r="AT138">
        <v>244.08717873689505</v>
      </c>
      <c r="AU138">
        <v>146.45230724213704</v>
      </c>
    </row>
    <row r="139" spans="1:47" x14ac:dyDescent="0.25">
      <c r="A139" t="s">
        <v>326</v>
      </c>
      <c r="B139" t="s">
        <v>454</v>
      </c>
      <c r="C139" t="s">
        <v>319</v>
      </c>
      <c r="D139">
        <v>2026</v>
      </c>
      <c r="E139">
        <v>0</v>
      </c>
      <c r="F139">
        <v>10</v>
      </c>
      <c r="G139">
        <v>0</v>
      </c>
      <c r="H139">
        <v>0</v>
      </c>
      <c r="I139">
        <v>50</v>
      </c>
      <c r="J139">
        <v>250</v>
      </c>
      <c r="K139">
        <v>1</v>
      </c>
      <c r="L139">
        <v>1</v>
      </c>
      <c r="M139">
        <v>11</v>
      </c>
      <c r="N139">
        <v>0</v>
      </c>
      <c r="O139" t="s">
        <v>27</v>
      </c>
      <c r="P139" t="s">
        <v>443</v>
      </c>
      <c r="Q139">
        <v>2026</v>
      </c>
      <c r="R139">
        <v>2036</v>
      </c>
      <c r="S139" t="s">
        <v>444</v>
      </c>
      <c r="T139">
        <v>2028</v>
      </c>
      <c r="U139">
        <v>35.75</v>
      </c>
      <c r="V139">
        <v>1</v>
      </c>
      <c r="W139">
        <v>2028</v>
      </c>
      <c r="X139">
        <v>2</v>
      </c>
      <c r="Y139">
        <v>2028</v>
      </c>
      <c r="Z139">
        <v>1</v>
      </c>
      <c r="AA139">
        <v>50</v>
      </c>
      <c r="AB139">
        <v>250</v>
      </c>
      <c r="AC139">
        <v>50</v>
      </c>
      <c r="AD139">
        <v>250</v>
      </c>
      <c r="AE139">
        <v>0</v>
      </c>
      <c r="AF139">
        <v>0</v>
      </c>
      <c r="AG139">
        <v>50</v>
      </c>
      <c r="AH139">
        <v>250</v>
      </c>
      <c r="AI139">
        <v>1</v>
      </c>
      <c r="AJ139">
        <v>2.4220000000000002</v>
      </c>
      <c r="AK139">
        <v>2029</v>
      </c>
      <c r="AL139" s="61">
        <v>2.4209999999999998</v>
      </c>
      <c r="AM139" s="61">
        <v>2.4220000000000002</v>
      </c>
      <c r="AN139" s="61">
        <v>2.4209999999999998</v>
      </c>
      <c r="AO139">
        <v>1.0242199999999999</v>
      </c>
      <c r="AP139">
        <v>1.0242103835598433</v>
      </c>
      <c r="AQ139">
        <v>1.0490167590496626</v>
      </c>
      <c r="AR139" t="b">
        <v>0</v>
      </c>
      <c r="AS139">
        <v>47.66368084080618</v>
      </c>
      <c r="AT139">
        <v>238.31840420403091</v>
      </c>
      <c r="AU139">
        <v>142.99104252241855</v>
      </c>
    </row>
    <row r="140" spans="1:47" x14ac:dyDescent="0.25">
      <c r="A140" t="s">
        <v>326</v>
      </c>
      <c r="B140" t="s">
        <v>454</v>
      </c>
      <c r="C140" t="s">
        <v>319</v>
      </c>
      <c r="D140">
        <v>2026</v>
      </c>
      <c r="E140">
        <v>0</v>
      </c>
      <c r="F140">
        <v>10</v>
      </c>
      <c r="G140">
        <v>0</v>
      </c>
      <c r="H140">
        <v>0</v>
      </c>
      <c r="I140">
        <v>50</v>
      </c>
      <c r="J140">
        <v>250</v>
      </c>
      <c r="K140">
        <v>1</v>
      </c>
      <c r="L140">
        <v>1</v>
      </c>
      <c r="M140">
        <v>11</v>
      </c>
      <c r="N140">
        <v>0</v>
      </c>
      <c r="O140" t="s">
        <v>27</v>
      </c>
      <c r="P140" t="s">
        <v>443</v>
      </c>
      <c r="Q140">
        <v>2026</v>
      </c>
      <c r="R140">
        <v>2036</v>
      </c>
      <c r="S140" t="s">
        <v>444</v>
      </c>
      <c r="T140">
        <v>2029</v>
      </c>
      <c r="U140">
        <v>36.75</v>
      </c>
      <c r="V140">
        <v>1</v>
      </c>
      <c r="W140">
        <v>2029</v>
      </c>
      <c r="X140">
        <v>3</v>
      </c>
      <c r="Y140">
        <v>2029</v>
      </c>
      <c r="Z140">
        <v>1</v>
      </c>
      <c r="AA140">
        <v>50</v>
      </c>
      <c r="AB140">
        <v>250</v>
      </c>
      <c r="AC140">
        <v>50</v>
      </c>
      <c r="AD140">
        <v>250</v>
      </c>
      <c r="AE140">
        <v>0</v>
      </c>
      <c r="AF140">
        <v>0</v>
      </c>
      <c r="AG140">
        <v>50</v>
      </c>
      <c r="AH140">
        <v>250</v>
      </c>
      <c r="AI140">
        <v>1</v>
      </c>
      <c r="AJ140">
        <v>2.4209999999999998</v>
      </c>
      <c r="AK140">
        <v>2030</v>
      </c>
      <c r="AL140" s="61">
        <v>2.4670000000000001</v>
      </c>
      <c r="AM140" s="61">
        <v>2.4209999999999998</v>
      </c>
      <c r="AN140" s="61">
        <v>2.4670000000000001</v>
      </c>
      <c r="AO140">
        <v>1.0490061241000002</v>
      </c>
      <c r="AP140">
        <v>1.0246523523547908</v>
      </c>
      <c r="AQ140">
        <v>1.0748665926936467</v>
      </c>
      <c r="AR140" t="b">
        <v>0</v>
      </c>
      <c r="AS140">
        <v>46.517400708025129</v>
      </c>
      <c r="AT140">
        <v>232.58700354012564</v>
      </c>
      <c r="AU140">
        <v>139.55220212407539</v>
      </c>
    </row>
    <row r="141" spans="1:47" x14ac:dyDescent="0.25">
      <c r="A141" t="s">
        <v>326</v>
      </c>
      <c r="B141" t="s">
        <v>454</v>
      </c>
      <c r="C141" t="s">
        <v>319</v>
      </c>
      <c r="D141">
        <v>2026</v>
      </c>
      <c r="E141">
        <v>0</v>
      </c>
      <c r="F141">
        <v>10</v>
      </c>
      <c r="G141">
        <v>0</v>
      </c>
      <c r="H141">
        <v>0</v>
      </c>
      <c r="I141">
        <v>50</v>
      </c>
      <c r="J141">
        <v>250</v>
      </c>
      <c r="K141">
        <v>1</v>
      </c>
      <c r="L141">
        <v>1</v>
      </c>
      <c r="M141">
        <v>11</v>
      </c>
      <c r="N141">
        <v>0</v>
      </c>
      <c r="O141" t="s">
        <v>27</v>
      </c>
      <c r="P141" t="s">
        <v>443</v>
      </c>
      <c r="Q141">
        <v>2026</v>
      </c>
      <c r="R141">
        <v>2036</v>
      </c>
      <c r="S141" t="s">
        <v>444</v>
      </c>
      <c r="T141">
        <v>2030</v>
      </c>
      <c r="U141">
        <v>37.75</v>
      </c>
      <c r="V141">
        <v>1</v>
      </c>
      <c r="W141">
        <v>2030</v>
      </c>
      <c r="X141">
        <v>4</v>
      </c>
      <c r="Y141">
        <v>2030</v>
      </c>
      <c r="Z141">
        <v>1</v>
      </c>
      <c r="AA141">
        <v>50</v>
      </c>
      <c r="AB141">
        <v>250</v>
      </c>
      <c r="AC141">
        <v>50</v>
      </c>
      <c r="AD141">
        <v>250</v>
      </c>
      <c r="AE141">
        <v>0</v>
      </c>
      <c r="AF141">
        <v>0</v>
      </c>
      <c r="AG141">
        <v>50</v>
      </c>
      <c r="AH141">
        <v>250</v>
      </c>
      <c r="AI141">
        <v>1</v>
      </c>
      <c r="AJ141">
        <v>2.4670000000000001</v>
      </c>
      <c r="AK141">
        <v>2031</v>
      </c>
      <c r="AL141" s="61">
        <v>2.5169999999999999</v>
      </c>
      <c r="AM141" s="61">
        <v>2.4670000000000001</v>
      </c>
      <c r="AN141" s="61">
        <v>2.5169999999999999</v>
      </c>
      <c r="AO141">
        <v>1.0758508410815628</v>
      </c>
      <c r="AP141">
        <v>1.0251508174189523</v>
      </c>
      <c r="AQ141">
        <v>1.1029093691556315</v>
      </c>
      <c r="AR141" t="b">
        <v>0</v>
      </c>
      <c r="AS141">
        <v>45.334640722364284</v>
      </c>
      <c r="AT141">
        <v>226.67320361182144</v>
      </c>
      <c r="AU141">
        <v>136.00392216709287</v>
      </c>
    </row>
    <row r="142" spans="1:47" x14ac:dyDescent="0.25">
      <c r="A142" t="s">
        <v>326</v>
      </c>
      <c r="B142" t="s">
        <v>454</v>
      </c>
      <c r="C142" t="s">
        <v>319</v>
      </c>
      <c r="D142">
        <v>2026</v>
      </c>
      <c r="E142">
        <v>0</v>
      </c>
      <c r="F142">
        <v>10</v>
      </c>
      <c r="G142">
        <v>0</v>
      </c>
      <c r="H142">
        <v>0</v>
      </c>
      <c r="I142">
        <v>50</v>
      </c>
      <c r="J142">
        <v>250</v>
      </c>
      <c r="K142">
        <v>1</v>
      </c>
      <c r="L142">
        <v>1</v>
      </c>
      <c r="M142">
        <v>11</v>
      </c>
      <c r="N142">
        <v>0</v>
      </c>
      <c r="O142" t="s">
        <v>27</v>
      </c>
      <c r="P142" t="s">
        <v>443</v>
      </c>
      <c r="Q142">
        <v>2026</v>
      </c>
      <c r="R142">
        <v>2036</v>
      </c>
      <c r="S142" t="s">
        <v>444</v>
      </c>
      <c r="T142">
        <v>2031</v>
      </c>
      <c r="U142">
        <v>38.75</v>
      </c>
      <c r="V142">
        <v>1</v>
      </c>
      <c r="W142">
        <v>2031</v>
      </c>
      <c r="X142">
        <v>5</v>
      </c>
      <c r="Y142">
        <v>2031</v>
      </c>
      <c r="Z142">
        <v>1</v>
      </c>
      <c r="AA142">
        <v>50</v>
      </c>
      <c r="AB142">
        <v>250</v>
      </c>
      <c r="AC142">
        <v>50</v>
      </c>
      <c r="AD142">
        <v>250</v>
      </c>
      <c r="AE142">
        <v>0</v>
      </c>
      <c r="AF142">
        <v>0</v>
      </c>
      <c r="AG142">
        <v>50</v>
      </c>
      <c r="AH142">
        <v>250</v>
      </c>
      <c r="AI142">
        <v>1</v>
      </c>
      <c r="AJ142">
        <v>2.5169999999999999</v>
      </c>
      <c r="AK142">
        <v>2032</v>
      </c>
      <c r="AL142" s="61">
        <v>2.59</v>
      </c>
      <c r="AM142" s="61">
        <v>2.5169999999999999</v>
      </c>
      <c r="AN142" s="61">
        <v>2.59</v>
      </c>
      <c r="AO142">
        <v>1.1045453584485188</v>
      </c>
      <c r="AP142">
        <v>1.0258719904156592</v>
      </c>
      <c r="AQ142">
        <v>1.1331221453759597</v>
      </c>
      <c r="AR142" t="b">
        <v>0</v>
      </c>
      <c r="AS142">
        <v>44.125869575526167</v>
      </c>
      <c r="AT142">
        <v>220.62934787763083</v>
      </c>
      <c r="AU142">
        <v>132.3776087265785</v>
      </c>
    </row>
    <row r="143" spans="1:47" x14ac:dyDescent="0.25">
      <c r="A143" t="s">
        <v>326</v>
      </c>
      <c r="B143" t="s">
        <v>454</v>
      </c>
      <c r="C143" t="s">
        <v>319</v>
      </c>
      <c r="D143">
        <v>2026</v>
      </c>
      <c r="E143">
        <v>0</v>
      </c>
      <c r="F143">
        <v>10</v>
      </c>
      <c r="G143">
        <v>0</v>
      </c>
      <c r="H143">
        <v>0</v>
      </c>
      <c r="I143">
        <v>50</v>
      </c>
      <c r="J143">
        <v>250</v>
      </c>
      <c r="K143">
        <v>1</v>
      </c>
      <c r="L143">
        <v>1</v>
      </c>
      <c r="M143">
        <v>11</v>
      </c>
      <c r="N143">
        <v>0</v>
      </c>
      <c r="O143" t="s">
        <v>27</v>
      </c>
      <c r="P143" t="s">
        <v>443</v>
      </c>
      <c r="Q143">
        <v>2026</v>
      </c>
      <c r="R143">
        <v>2036</v>
      </c>
      <c r="S143" t="s">
        <v>444</v>
      </c>
      <c r="T143">
        <v>2032</v>
      </c>
      <c r="U143">
        <v>39.75</v>
      </c>
      <c r="V143">
        <v>1</v>
      </c>
      <c r="W143">
        <v>2032</v>
      </c>
      <c r="X143">
        <v>6</v>
      </c>
      <c r="Y143">
        <v>2032</v>
      </c>
      <c r="Z143">
        <v>1</v>
      </c>
      <c r="AA143">
        <v>50</v>
      </c>
      <c r="AB143">
        <v>250</v>
      </c>
      <c r="AC143">
        <v>50</v>
      </c>
      <c r="AD143">
        <v>250</v>
      </c>
      <c r="AE143">
        <v>0</v>
      </c>
      <c r="AF143">
        <v>0</v>
      </c>
      <c r="AG143">
        <v>50</v>
      </c>
      <c r="AH143">
        <v>250</v>
      </c>
      <c r="AI143">
        <v>1</v>
      </c>
      <c r="AJ143">
        <v>2.59</v>
      </c>
      <c r="AK143">
        <v>2033</v>
      </c>
      <c r="AL143" s="61">
        <v>2.6880000000000002</v>
      </c>
      <c r="AM143" s="61">
        <v>2.59</v>
      </c>
      <c r="AN143" s="61">
        <v>2.6880000000000002</v>
      </c>
      <c r="AO143">
        <v>1.1363841013749196</v>
      </c>
      <c r="AP143">
        <v>1.0268423936996114</v>
      </c>
      <c r="AQ143">
        <v>1.1668873708180043</v>
      </c>
      <c r="AR143" t="b">
        <v>0</v>
      </c>
      <c r="AS143">
        <v>42.849036891151975</v>
      </c>
      <c r="AT143">
        <v>214.24518445575987</v>
      </c>
      <c r="AU143">
        <v>128.54711067345593</v>
      </c>
    </row>
    <row r="144" spans="1:47" x14ac:dyDescent="0.25">
      <c r="A144" t="s">
        <v>326</v>
      </c>
      <c r="B144" t="s">
        <v>454</v>
      </c>
      <c r="C144" t="s">
        <v>319</v>
      </c>
      <c r="D144">
        <v>2026</v>
      </c>
      <c r="E144">
        <v>0</v>
      </c>
      <c r="F144">
        <v>10</v>
      </c>
      <c r="G144">
        <v>0</v>
      </c>
      <c r="H144">
        <v>0</v>
      </c>
      <c r="I144">
        <v>50</v>
      </c>
      <c r="J144">
        <v>250</v>
      </c>
      <c r="K144">
        <v>1</v>
      </c>
      <c r="L144">
        <v>1</v>
      </c>
      <c r="M144">
        <v>11</v>
      </c>
      <c r="N144">
        <v>0</v>
      </c>
      <c r="O144" t="s">
        <v>27</v>
      </c>
      <c r="P144" t="s">
        <v>443</v>
      </c>
      <c r="Q144">
        <v>2026</v>
      </c>
      <c r="R144">
        <v>2036</v>
      </c>
      <c r="S144" t="s">
        <v>444</v>
      </c>
      <c r="T144">
        <v>2033</v>
      </c>
      <c r="U144">
        <v>40.75</v>
      </c>
      <c r="V144">
        <v>1</v>
      </c>
      <c r="W144">
        <v>2033</v>
      </c>
      <c r="X144">
        <v>7</v>
      </c>
      <c r="Y144">
        <v>2033</v>
      </c>
      <c r="Z144">
        <v>1</v>
      </c>
      <c r="AA144">
        <v>50</v>
      </c>
      <c r="AB144">
        <v>250</v>
      </c>
      <c r="AC144">
        <v>50</v>
      </c>
      <c r="AD144">
        <v>250</v>
      </c>
      <c r="AE144">
        <v>0</v>
      </c>
      <c r="AF144">
        <v>0</v>
      </c>
      <c r="AG144">
        <v>50</v>
      </c>
      <c r="AH144">
        <v>250</v>
      </c>
      <c r="AI144">
        <v>1</v>
      </c>
      <c r="AJ144">
        <v>2.6880000000000002</v>
      </c>
      <c r="AK144">
        <v>2034</v>
      </c>
      <c r="AL144" s="61">
        <v>2.7519999999999998</v>
      </c>
      <c r="AM144" s="61">
        <v>2.6880000000000002</v>
      </c>
      <c r="AN144" s="61">
        <v>2.7519999999999998</v>
      </c>
      <c r="AO144">
        <v>1.1725143659072164</v>
      </c>
      <c r="AP144">
        <v>1.0274954447000768</v>
      </c>
      <c r="AQ144">
        <v>1.2047531698150638</v>
      </c>
      <c r="AR144" t="b">
        <v>0</v>
      </c>
      <c r="AS144">
        <v>41.502277190667428</v>
      </c>
      <c r="AT144">
        <v>207.51138595333714</v>
      </c>
      <c r="AU144">
        <v>124.50683157200228</v>
      </c>
    </row>
    <row r="145" spans="1:47" x14ac:dyDescent="0.25">
      <c r="A145" t="s">
        <v>326</v>
      </c>
      <c r="B145" t="s">
        <v>454</v>
      </c>
      <c r="C145" t="s">
        <v>319</v>
      </c>
      <c r="D145">
        <v>2026</v>
      </c>
      <c r="E145">
        <v>0</v>
      </c>
      <c r="F145">
        <v>10</v>
      </c>
      <c r="G145">
        <v>0</v>
      </c>
      <c r="H145">
        <v>0</v>
      </c>
      <c r="I145">
        <v>50</v>
      </c>
      <c r="J145">
        <v>250</v>
      </c>
      <c r="K145">
        <v>1</v>
      </c>
      <c r="L145">
        <v>1</v>
      </c>
      <c r="M145">
        <v>11</v>
      </c>
      <c r="N145">
        <v>0</v>
      </c>
      <c r="O145" t="s">
        <v>27</v>
      </c>
      <c r="P145" t="s">
        <v>443</v>
      </c>
      <c r="Q145">
        <v>2026</v>
      </c>
      <c r="R145">
        <v>2036</v>
      </c>
      <c r="S145" t="s">
        <v>444</v>
      </c>
      <c r="T145">
        <v>2034</v>
      </c>
      <c r="U145">
        <v>41.75</v>
      </c>
      <c r="V145">
        <v>1</v>
      </c>
      <c r="W145">
        <v>2034</v>
      </c>
      <c r="X145">
        <v>8</v>
      </c>
      <c r="Y145">
        <v>2034</v>
      </c>
      <c r="Z145">
        <v>1</v>
      </c>
      <c r="AA145">
        <v>50</v>
      </c>
      <c r="AB145">
        <v>250</v>
      </c>
      <c r="AC145">
        <v>50</v>
      </c>
      <c r="AD145">
        <v>250</v>
      </c>
      <c r="AE145">
        <v>0</v>
      </c>
      <c r="AF145">
        <v>0</v>
      </c>
      <c r="AG145">
        <v>50</v>
      </c>
      <c r="AH145">
        <v>250</v>
      </c>
      <c r="AI145">
        <v>1</v>
      </c>
      <c r="AJ145">
        <v>2.7519999999999998</v>
      </c>
      <c r="AK145">
        <v>2035</v>
      </c>
      <c r="AL145" s="61">
        <v>2.8420000000000001</v>
      </c>
      <c r="AM145" s="61">
        <v>2.7519999999999998</v>
      </c>
      <c r="AN145" s="61">
        <v>2.8420000000000001</v>
      </c>
      <c r="AO145">
        <v>1.2092942481281721</v>
      </c>
      <c r="AP145">
        <v>1.0283854649181425</v>
      </c>
      <c r="AQ145">
        <v>1.2436206275841259</v>
      </c>
      <c r="AR145" t="b">
        <v>0</v>
      </c>
      <c r="AS145">
        <v>40.205187089193487</v>
      </c>
      <c r="AT145">
        <v>201.02593544596743</v>
      </c>
      <c r="AU145">
        <v>120.61556126758046</v>
      </c>
    </row>
    <row r="146" spans="1:47" x14ac:dyDescent="0.25">
      <c r="A146" t="s">
        <v>326</v>
      </c>
      <c r="B146" t="s">
        <v>454</v>
      </c>
      <c r="C146" t="s">
        <v>319</v>
      </c>
      <c r="D146">
        <v>2026</v>
      </c>
      <c r="E146">
        <v>0</v>
      </c>
      <c r="F146">
        <v>10</v>
      </c>
      <c r="G146">
        <v>0</v>
      </c>
      <c r="H146">
        <v>0</v>
      </c>
      <c r="I146">
        <v>50</v>
      </c>
      <c r="J146">
        <v>250</v>
      </c>
      <c r="K146">
        <v>1</v>
      </c>
      <c r="L146">
        <v>1</v>
      </c>
      <c r="M146">
        <v>11</v>
      </c>
      <c r="N146">
        <v>0</v>
      </c>
      <c r="O146" t="s">
        <v>27</v>
      </c>
      <c r="P146" t="s">
        <v>443</v>
      </c>
      <c r="Q146">
        <v>2026</v>
      </c>
      <c r="R146">
        <v>2036</v>
      </c>
      <c r="S146" t="s">
        <v>444</v>
      </c>
      <c r="T146">
        <v>2035</v>
      </c>
      <c r="U146">
        <v>42.75</v>
      </c>
      <c r="V146">
        <v>1</v>
      </c>
      <c r="W146">
        <v>2035</v>
      </c>
      <c r="X146">
        <v>9</v>
      </c>
      <c r="Y146">
        <v>2035</v>
      </c>
      <c r="Z146">
        <v>1</v>
      </c>
      <c r="AA146">
        <v>50</v>
      </c>
      <c r="AB146">
        <v>250</v>
      </c>
      <c r="AC146">
        <v>50</v>
      </c>
      <c r="AD146">
        <v>250</v>
      </c>
      <c r="AE146">
        <v>0</v>
      </c>
      <c r="AF146">
        <v>0</v>
      </c>
      <c r="AG146">
        <v>50</v>
      </c>
      <c r="AH146">
        <v>250</v>
      </c>
      <c r="AI146">
        <v>1</v>
      </c>
      <c r="AJ146">
        <v>2.8420000000000001</v>
      </c>
      <c r="AK146">
        <v>2036</v>
      </c>
      <c r="AL146" s="61">
        <v>2.944</v>
      </c>
      <c r="AM146" s="61">
        <v>2.8420000000000001</v>
      </c>
      <c r="AN146" s="61">
        <v>2.944</v>
      </c>
      <c r="AO146">
        <v>1.2513076834571593</v>
      </c>
      <c r="AP146">
        <v>1.0294008580614105</v>
      </c>
      <c r="AQ146">
        <v>1.2880972030496356</v>
      </c>
      <c r="AR146" t="b">
        <v>0</v>
      </c>
      <c r="AS146">
        <v>38.816946331086243</v>
      </c>
      <c r="AT146">
        <v>194.0847316554312</v>
      </c>
      <c r="AU146">
        <v>116.45083899325871</v>
      </c>
    </row>
    <row r="147" spans="1:47" x14ac:dyDescent="0.25">
      <c r="A147" t="s">
        <v>326</v>
      </c>
      <c r="B147" t="s">
        <v>454</v>
      </c>
      <c r="C147" t="s">
        <v>319</v>
      </c>
      <c r="D147">
        <v>2026</v>
      </c>
      <c r="E147">
        <v>0</v>
      </c>
      <c r="M147">
        <v>11</v>
      </c>
      <c r="Q147">
        <v>2026</v>
      </c>
      <c r="R147">
        <v>2036</v>
      </c>
      <c r="T147">
        <v>2036</v>
      </c>
      <c r="U147">
        <v>43.75</v>
      </c>
      <c r="W147">
        <v>2036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L147" s="61"/>
      <c r="AS147">
        <v>0</v>
      </c>
      <c r="AT147">
        <v>0</v>
      </c>
      <c r="AU147">
        <v>0</v>
      </c>
    </row>
    <row r="148" spans="1:47" x14ac:dyDescent="0.25">
      <c r="A148" t="s">
        <v>353</v>
      </c>
      <c r="B148" t="s">
        <v>455</v>
      </c>
      <c r="C148" t="s">
        <v>320</v>
      </c>
      <c r="D148">
        <v>2026</v>
      </c>
      <c r="E148">
        <v>0</v>
      </c>
      <c r="F148">
        <v>15</v>
      </c>
      <c r="G148">
        <v>0</v>
      </c>
      <c r="H148">
        <v>0</v>
      </c>
      <c r="I148">
        <v>30</v>
      </c>
      <c r="J148">
        <v>45</v>
      </c>
      <c r="K148">
        <v>4</v>
      </c>
      <c r="L148">
        <v>2</v>
      </c>
      <c r="M148">
        <v>12</v>
      </c>
      <c r="N148">
        <v>0</v>
      </c>
      <c r="O148" t="s">
        <v>27</v>
      </c>
      <c r="P148" t="s">
        <v>443</v>
      </c>
      <c r="Q148">
        <v>2026</v>
      </c>
      <c r="R148">
        <v>2041</v>
      </c>
      <c r="S148" t="s">
        <v>444</v>
      </c>
      <c r="T148">
        <v>2026</v>
      </c>
      <c r="U148">
        <v>33.75</v>
      </c>
      <c r="V148">
        <v>1</v>
      </c>
      <c r="W148">
        <v>2026</v>
      </c>
      <c r="X148">
        <v>0</v>
      </c>
      <c r="Y148">
        <v>2026</v>
      </c>
      <c r="Z148">
        <v>1</v>
      </c>
      <c r="AA148">
        <v>120</v>
      </c>
      <c r="AB148">
        <v>180</v>
      </c>
      <c r="AC148">
        <v>120</v>
      </c>
      <c r="AD148">
        <v>180</v>
      </c>
      <c r="AE148">
        <v>0</v>
      </c>
      <c r="AF148">
        <v>0</v>
      </c>
      <c r="AG148">
        <v>120</v>
      </c>
      <c r="AH148">
        <v>180</v>
      </c>
      <c r="AI148">
        <v>1</v>
      </c>
      <c r="AK148">
        <v>2027</v>
      </c>
      <c r="AL148" s="61">
        <v>2.4329999999999998</v>
      </c>
      <c r="AM148" s="61">
        <v>0</v>
      </c>
      <c r="AN148" s="61">
        <v>2.4329999999999998</v>
      </c>
      <c r="AO148">
        <v>1</v>
      </c>
      <c r="AP148">
        <v>1.023385968321771</v>
      </c>
      <c r="AQ148">
        <v>1.023385968321771</v>
      </c>
      <c r="AR148" t="b">
        <v>1</v>
      </c>
      <c r="AS148">
        <v>120</v>
      </c>
      <c r="AT148">
        <v>180</v>
      </c>
      <c r="AU148">
        <v>150</v>
      </c>
    </row>
    <row r="149" spans="1:47" x14ac:dyDescent="0.25">
      <c r="A149" t="s">
        <v>353</v>
      </c>
      <c r="B149" t="s">
        <v>455</v>
      </c>
      <c r="C149" t="s">
        <v>320</v>
      </c>
      <c r="D149">
        <v>2026</v>
      </c>
      <c r="E149">
        <v>0</v>
      </c>
      <c r="F149">
        <v>15</v>
      </c>
      <c r="G149">
        <v>0</v>
      </c>
      <c r="H149">
        <v>0</v>
      </c>
      <c r="I149">
        <v>30</v>
      </c>
      <c r="J149">
        <v>45</v>
      </c>
      <c r="K149">
        <v>4</v>
      </c>
      <c r="L149">
        <v>2</v>
      </c>
      <c r="M149">
        <v>12</v>
      </c>
      <c r="N149">
        <v>0</v>
      </c>
      <c r="O149" t="s">
        <v>27</v>
      </c>
      <c r="P149" t="s">
        <v>443</v>
      </c>
      <c r="Q149">
        <v>2026</v>
      </c>
      <c r="R149">
        <v>2041</v>
      </c>
      <c r="S149" t="s">
        <v>444</v>
      </c>
      <c r="T149">
        <v>2027</v>
      </c>
      <c r="U149">
        <v>34.75</v>
      </c>
      <c r="V149">
        <v>1</v>
      </c>
      <c r="W149">
        <v>2027</v>
      </c>
      <c r="X149">
        <v>1</v>
      </c>
      <c r="Y149">
        <v>2027</v>
      </c>
      <c r="Z149">
        <v>1</v>
      </c>
      <c r="AA149">
        <v>120</v>
      </c>
      <c r="AB149">
        <v>180</v>
      </c>
      <c r="AC149">
        <v>120</v>
      </c>
      <c r="AD149">
        <v>180</v>
      </c>
      <c r="AE149">
        <v>0</v>
      </c>
      <c r="AF149">
        <v>0</v>
      </c>
      <c r="AG149">
        <v>120</v>
      </c>
      <c r="AH149">
        <v>180</v>
      </c>
      <c r="AI149">
        <v>1</v>
      </c>
      <c r="AJ149">
        <v>2.4329999999999998</v>
      </c>
      <c r="AK149">
        <v>2028</v>
      </c>
      <c r="AL149" s="61">
        <v>2.4220000000000002</v>
      </c>
      <c r="AM149" s="61">
        <v>2.4329999999999998</v>
      </c>
      <c r="AN149" s="61">
        <v>2.4220000000000002</v>
      </c>
      <c r="AO149">
        <v>1</v>
      </c>
      <c r="AP149">
        <v>1.0242242189602202</v>
      </c>
      <c r="AQ149">
        <v>1.0242242189602202</v>
      </c>
      <c r="AR149" t="b">
        <v>0</v>
      </c>
      <c r="AS149">
        <v>117.16184579370963</v>
      </c>
      <c r="AT149">
        <v>175.74276869056445</v>
      </c>
      <c r="AU149">
        <v>146.45230724213704</v>
      </c>
    </row>
    <row r="150" spans="1:47" x14ac:dyDescent="0.25">
      <c r="A150" t="s">
        <v>353</v>
      </c>
      <c r="B150" t="s">
        <v>455</v>
      </c>
      <c r="C150" t="s">
        <v>320</v>
      </c>
      <c r="D150">
        <v>2026</v>
      </c>
      <c r="E150">
        <v>0</v>
      </c>
      <c r="F150">
        <v>15</v>
      </c>
      <c r="G150">
        <v>0</v>
      </c>
      <c r="H150">
        <v>0</v>
      </c>
      <c r="I150">
        <v>30</v>
      </c>
      <c r="J150">
        <v>45</v>
      </c>
      <c r="K150">
        <v>4</v>
      </c>
      <c r="L150">
        <v>2</v>
      </c>
      <c r="M150">
        <v>12</v>
      </c>
      <c r="N150">
        <v>0</v>
      </c>
      <c r="O150" t="s">
        <v>27</v>
      </c>
      <c r="P150" t="s">
        <v>443</v>
      </c>
      <c r="Q150">
        <v>2026</v>
      </c>
      <c r="R150">
        <v>2041</v>
      </c>
      <c r="S150" t="s">
        <v>444</v>
      </c>
      <c r="T150">
        <v>2028</v>
      </c>
      <c r="U150">
        <v>35.75</v>
      </c>
      <c r="V150">
        <v>1</v>
      </c>
      <c r="W150">
        <v>2028</v>
      </c>
      <c r="X150">
        <v>2</v>
      </c>
      <c r="Y150">
        <v>2028</v>
      </c>
      <c r="Z150">
        <v>1</v>
      </c>
      <c r="AA150">
        <v>120</v>
      </c>
      <c r="AB150">
        <v>180</v>
      </c>
      <c r="AC150">
        <v>120</v>
      </c>
      <c r="AD150">
        <v>180</v>
      </c>
      <c r="AE150">
        <v>0</v>
      </c>
      <c r="AF150">
        <v>0</v>
      </c>
      <c r="AG150">
        <v>120</v>
      </c>
      <c r="AH150">
        <v>180</v>
      </c>
      <c r="AI150">
        <v>1</v>
      </c>
      <c r="AJ150">
        <v>2.4220000000000002</v>
      </c>
      <c r="AK150">
        <v>2029</v>
      </c>
      <c r="AL150" s="61">
        <v>2.4209999999999998</v>
      </c>
      <c r="AM150" s="61">
        <v>2.4220000000000002</v>
      </c>
      <c r="AN150" s="61">
        <v>2.4209999999999998</v>
      </c>
      <c r="AO150">
        <v>1.0242199999999999</v>
      </c>
      <c r="AP150">
        <v>1.0242103835598433</v>
      </c>
      <c r="AQ150">
        <v>1.0490167590496626</v>
      </c>
      <c r="AR150" t="b">
        <v>0</v>
      </c>
      <c r="AS150">
        <v>114.39283401793483</v>
      </c>
      <c r="AT150">
        <v>171.58925102690225</v>
      </c>
      <c r="AU150">
        <v>142.99104252241852</v>
      </c>
    </row>
    <row r="151" spans="1:47" x14ac:dyDescent="0.25">
      <c r="A151" t="s">
        <v>353</v>
      </c>
      <c r="B151" t="s">
        <v>455</v>
      </c>
      <c r="C151" t="s">
        <v>320</v>
      </c>
      <c r="D151">
        <v>2026</v>
      </c>
      <c r="E151">
        <v>0</v>
      </c>
      <c r="F151">
        <v>15</v>
      </c>
      <c r="G151">
        <v>0</v>
      </c>
      <c r="H151">
        <v>0</v>
      </c>
      <c r="I151">
        <v>30</v>
      </c>
      <c r="J151">
        <v>45</v>
      </c>
      <c r="K151">
        <v>4</v>
      </c>
      <c r="L151">
        <v>2</v>
      </c>
      <c r="M151">
        <v>12</v>
      </c>
      <c r="N151">
        <v>0</v>
      </c>
      <c r="O151" t="s">
        <v>27</v>
      </c>
      <c r="P151" t="s">
        <v>443</v>
      </c>
      <c r="Q151">
        <v>2026</v>
      </c>
      <c r="R151">
        <v>2041</v>
      </c>
      <c r="S151" t="s">
        <v>444</v>
      </c>
      <c r="T151">
        <v>2029</v>
      </c>
      <c r="U151">
        <v>36.75</v>
      </c>
      <c r="V151">
        <v>1</v>
      </c>
      <c r="W151">
        <v>2029</v>
      </c>
      <c r="X151">
        <v>3</v>
      </c>
      <c r="Y151">
        <v>2029</v>
      </c>
      <c r="Z151">
        <v>1</v>
      </c>
      <c r="AA151">
        <v>120</v>
      </c>
      <c r="AB151">
        <v>180</v>
      </c>
      <c r="AC151">
        <v>120</v>
      </c>
      <c r="AD151">
        <v>180</v>
      </c>
      <c r="AE151">
        <v>0</v>
      </c>
      <c r="AF151">
        <v>0</v>
      </c>
      <c r="AG151">
        <v>120</v>
      </c>
      <c r="AH151">
        <v>180</v>
      </c>
      <c r="AI151">
        <v>1</v>
      </c>
      <c r="AJ151">
        <v>2.4209999999999998</v>
      </c>
      <c r="AK151">
        <v>2030</v>
      </c>
      <c r="AL151" s="61">
        <v>2.4670000000000001</v>
      </c>
      <c r="AM151" s="61">
        <v>2.4209999999999998</v>
      </c>
      <c r="AN151" s="61">
        <v>2.4670000000000001</v>
      </c>
      <c r="AO151">
        <v>1.0490061241000002</v>
      </c>
      <c r="AP151">
        <v>1.0246523523547908</v>
      </c>
      <c r="AQ151">
        <v>1.0748665926936467</v>
      </c>
      <c r="AR151" t="b">
        <v>0</v>
      </c>
      <c r="AS151">
        <v>111.64176169926031</v>
      </c>
      <c r="AT151">
        <v>167.46264254889047</v>
      </c>
      <c r="AU151">
        <v>139.55220212407539</v>
      </c>
    </row>
    <row r="152" spans="1:47" x14ac:dyDescent="0.25">
      <c r="A152" t="s">
        <v>353</v>
      </c>
      <c r="B152" t="s">
        <v>455</v>
      </c>
      <c r="C152" t="s">
        <v>320</v>
      </c>
      <c r="D152">
        <v>2026</v>
      </c>
      <c r="E152">
        <v>0</v>
      </c>
      <c r="F152">
        <v>15</v>
      </c>
      <c r="G152">
        <v>0</v>
      </c>
      <c r="H152">
        <v>0</v>
      </c>
      <c r="I152">
        <v>30</v>
      </c>
      <c r="J152">
        <v>45</v>
      </c>
      <c r="K152">
        <v>4</v>
      </c>
      <c r="L152">
        <v>2</v>
      </c>
      <c r="M152">
        <v>12</v>
      </c>
      <c r="N152">
        <v>0</v>
      </c>
      <c r="O152" t="s">
        <v>27</v>
      </c>
      <c r="P152" t="s">
        <v>443</v>
      </c>
      <c r="Q152">
        <v>2026</v>
      </c>
      <c r="R152">
        <v>2041</v>
      </c>
      <c r="S152" t="s">
        <v>444</v>
      </c>
      <c r="T152">
        <v>2030</v>
      </c>
      <c r="U152">
        <v>37.75</v>
      </c>
      <c r="V152">
        <v>1</v>
      </c>
      <c r="W152">
        <v>2030</v>
      </c>
      <c r="X152">
        <v>4</v>
      </c>
      <c r="Y152">
        <v>2030</v>
      </c>
      <c r="Z152">
        <v>1</v>
      </c>
      <c r="AA152">
        <v>120</v>
      </c>
      <c r="AB152">
        <v>180</v>
      </c>
      <c r="AC152">
        <v>120</v>
      </c>
      <c r="AD152">
        <v>180</v>
      </c>
      <c r="AE152">
        <v>0</v>
      </c>
      <c r="AF152">
        <v>0</v>
      </c>
      <c r="AG152">
        <v>120</v>
      </c>
      <c r="AH152">
        <v>180</v>
      </c>
      <c r="AI152">
        <v>1</v>
      </c>
      <c r="AJ152">
        <v>2.4670000000000001</v>
      </c>
      <c r="AK152">
        <v>2031</v>
      </c>
      <c r="AL152" s="61">
        <v>2.5169999999999999</v>
      </c>
      <c r="AM152" s="61">
        <v>2.4670000000000001</v>
      </c>
      <c r="AN152" s="61">
        <v>2.5169999999999999</v>
      </c>
      <c r="AO152">
        <v>1.0758508410815628</v>
      </c>
      <c r="AP152">
        <v>1.0251508174189523</v>
      </c>
      <c r="AQ152">
        <v>1.1029093691556315</v>
      </c>
      <c r="AR152" t="b">
        <v>0</v>
      </c>
      <c r="AS152">
        <v>108.80313773367429</v>
      </c>
      <c r="AT152">
        <v>163.20470660051143</v>
      </c>
      <c r="AU152">
        <v>136.00392216709287</v>
      </c>
    </row>
    <row r="153" spans="1:47" x14ac:dyDescent="0.25">
      <c r="A153" t="s">
        <v>353</v>
      </c>
      <c r="B153" t="s">
        <v>455</v>
      </c>
      <c r="C153" t="s">
        <v>320</v>
      </c>
      <c r="D153">
        <v>2026</v>
      </c>
      <c r="E153">
        <v>0</v>
      </c>
      <c r="F153">
        <v>15</v>
      </c>
      <c r="G153">
        <v>0</v>
      </c>
      <c r="H153">
        <v>0</v>
      </c>
      <c r="I153">
        <v>30</v>
      </c>
      <c r="J153">
        <v>45</v>
      </c>
      <c r="K153">
        <v>4</v>
      </c>
      <c r="L153">
        <v>2</v>
      </c>
      <c r="M153">
        <v>12</v>
      </c>
      <c r="N153">
        <v>0</v>
      </c>
      <c r="O153" t="s">
        <v>27</v>
      </c>
      <c r="P153" t="s">
        <v>443</v>
      </c>
      <c r="Q153">
        <v>2026</v>
      </c>
      <c r="R153">
        <v>2041</v>
      </c>
      <c r="S153" t="s">
        <v>444</v>
      </c>
      <c r="T153">
        <v>2031</v>
      </c>
      <c r="U153">
        <v>38.75</v>
      </c>
      <c r="V153">
        <v>1</v>
      </c>
      <c r="W153">
        <v>2031</v>
      </c>
      <c r="X153">
        <v>5</v>
      </c>
      <c r="Y153">
        <v>2031</v>
      </c>
      <c r="Z153">
        <v>1</v>
      </c>
      <c r="AA153">
        <v>120</v>
      </c>
      <c r="AB153">
        <v>180</v>
      </c>
      <c r="AC153">
        <v>120</v>
      </c>
      <c r="AD153">
        <v>180</v>
      </c>
      <c r="AE153">
        <v>0</v>
      </c>
      <c r="AF153">
        <v>0</v>
      </c>
      <c r="AG153">
        <v>120</v>
      </c>
      <c r="AH153">
        <v>180</v>
      </c>
      <c r="AI153">
        <v>1</v>
      </c>
      <c r="AJ153">
        <v>2.5169999999999999</v>
      </c>
      <c r="AK153">
        <v>2032</v>
      </c>
      <c r="AL153" s="61">
        <v>2.59</v>
      </c>
      <c r="AM153" s="61">
        <v>2.5169999999999999</v>
      </c>
      <c r="AN153" s="61">
        <v>2.59</v>
      </c>
      <c r="AO153">
        <v>1.1045453584485188</v>
      </c>
      <c r="AP153">
        <v>1.0258719904156592</v>
      </c>
      <c r="AQ153">
        <v>1.1331221453759597</v>
      </c>
      <c r="AR153" t="b">
        <v>0</v>
      </c>
      <c r="AS153">
        <v>105.90208698126281</v>
      </c>
      <c r="AT153">
        <v>158.85313047189422</v>
      </c>
      <c r="AU153">
        <v>132.3776087265785</v>
      </c>
    </row>
    <row r="154" spans="1:47" x14ac:dyDescent="0.25">
      <c r="A154" t="s">
        <v>353</v>
      </c>
      <c r="B154" t="s">
        <v>455</v>
      </c>
      <c r="C154" t="s">
        <v>320</v>
      </c>
      <c r="D154">
        <v>2026</v>
      </c>
      <c r="E154">
        <v>0</v>
      </c>
      <c r="F154">
        <v>15</v>
      </c>
      <c r="G154">
        <v>0</v>
      </c>
      <c r="H154">
        <v>0</v>
      </c>
      <c r="I154">
        <v>30</v>
      </c>
      <c r="J154">
        <v>45</v>
      </c>
      <c r="K154">
        <v>4</v>
      </c>
      <c r="L154">
        <v>2</v>
      </c>
      <c r="M154">
        <v>12</v>
      </c>
      <c r="N154">
        <v>0</v>
      </c>
      <c r="O154" t="s">
        <v>27</v>
      </c>
      <c r="P154" t="s">
        <v>443</v>
      </c>
      <c r="Q154">
        <v>2026</v>
      </c>
      <c r="R154">
        <v>2041</v>
      </c>
      <c r="S154" t="s">
        <v>444</v>
      </c>
      <c r="T154">
        <v>2032</v>
      </c>
      <c r="U154">
        <v>39.75</v>
      </c>
      <c r="V154">
        <v>1</v>
      </c>
      <c r="W154">
        <v>2032</v>
      </c>
      <c r="X154">
        <v>6</v>
      </c>
      <c r="Y154">
        <v>2032</v>
      </c>
      <c r="Z154">
        <v>1</v>
      </c>
      <c r="AA154">
        <v>120</v>
      </c>
      <c r="AB154">
        <v>180</v>
      </c>
      <c r="AC154">
        <v>120</v>
      </c>
      <c r="AD154">
        <v>180</v>
      </c>
      <c r="AE154">
        <v>0</v>
      </c>
      <c r="AF154">
        <v>0</v>
      </c>
      <c r="AG154">
        <v>120</v>
      </c>
      <c r="AH154">
        <v>180</v>
      </c>
      <c r="AI154">
        <v>1</v>
      </c>
      <c r="AJ154">
        <v>2.59</v>
      </c>
      <c r="AK154">
        <v>2033</v>
      </c>
      <c r="AL154" s="61">
        <v>2.6880000000000002</v>
      </c>
      <c r="AM154" s="61">
        <v>2.59</v>
      </c>
      <c r="AN154" s="61">
        <v>2.6880000000000002</v>
      </c>
      <c r="AO154">
        <v>1.1363841013749196</v>
      </c>
      <c r="AP154">
        <v>1.0268423936996114</v>
      </c>
      <c r="AQ154">
        <v>1.1668873708180043</v>
      </c>
      <c r="AR154" t="b">
        <v>0</v>
      </c>
      <c r="AS154">
        <v>102.83768853876474</v>
      </c>
      <c r="AT154">
        <v>154.25653280814711</v>
      </c>
      <c r="AU154">
        <v>128.54711067345593</v>
      </c>
    </row>
    <row r="155" spans="1:47" x14ac:dyDescent="0.25">
      <c r="A155" t="s">
        <v>353</v>
      </c>
      <c r="B155" t="s">
        <v>455</v>
      </c>
      <c r="C155" t="s">
        <v>320</v>
      </c>
      <c r="D155">
        <v>2026</v>
      </c>
      <c r="E155">
        <v>0</v>
      </c>
      <c r="F155">
        <v>15</v>
      </c>
      <c r="G155">
        <v>0</v>
      </c>
      <c r="H155">
        <v>0</v>
      </c>
      <c r="I155">
        <v>30</v>
      </c>
      <c r="J155">
        <v>45</v>
      </c>
      <c r="K155">
        <v>4</v>
      </c>
      <c r="L155">
        <v>2</v>
      </c>
      <c r="M155">
        <v>12</v>
      </c>
      <c r="N155">
        <v>0</v>
      </c>
      <c r="O155" t="s">
        <v>27</v>
      </c>
      <c r="P155" t="s">
        <v>443</v>
      </c>
      <c r="Q155">
        <v>2026</v>
      </c>
      <c r="R155">
        <v>2041</v>
      </c>
      <c r="S155" t="s">
        <v>444</v>
      </c>
      <c r="T155">
        <v>2033</v>
      </c>
      <c r="U155">
        <v>40.75</v>
      </c>
      <c r="V155">
        <v>1</v>
      </c>
      <c r="W155">
        <v>2033</v>
      </c>
      <c r="X155">
        <v>7</v>
      </c>
      <c r="Y155">
        <v>2033</v>
      </c>
      <c r="Z155">
        <v>1</v>
      </c>
      <c r="AA155">
        <v>120</v>
      </c>
      <c r="AB155">
        <v>180</v>
      </c>
      <c r="AC155">
        <v>120</v>
      </c>
      <c r="AD155">
        <v>180</v>
      </c>
      <c r="AE155">
        <v>0</v>
      </c>
      <c r="AF155">
        <v>0</v>
      </c>
      <c r="AG155">
        <v>120</v>
      </c>
      <c r="AH155">
        <v>180</v>
      </c>
      <c r="AI155">
        <v>1</v>
      </c>
      <c r="AJ155">
        <v>2.6880000000000002</v>
      </c>
      <c r="AK155">
        <v>2034</v>
      </c>
      <c r="AL155" s="61">
        <v>2.7519999999999998</v>
      </c>
      <c r="AM155" s="61">
        <v>2.6880000000000002</v>
      </c>
      <c r="AN155" s="61">
        <v>2.7519999999999998</v>
      </c>
      <c r="AO155">
        <v>1.1725143659072164</v>
      </c>
      <c r="AP155">
        <v>1.0274954447000768</v>
      </c>
      <c r="AQ155">
        <v>1.2047531698150638</v>
      </c>
      <c r="AR155" t="b">
        <v>0</v>
      </c>
      <c r="AS155">
        <v>99.605465257601821</v>
      </c>
      <c r="AT155">
        <v>149.40819788640275</v>
      </c>
      <c r="AU155">
        <v>124.50683157200228</v>
      </c>
    </row>
    <row r="156" spans="1:47" x14ac:dyDescent="0.25">
      <c r="A156" t="s">
        <v>353</v>
      </c>
      <c r="B156" t="s">
        <v>455</v>
      </c>
      <c r="C156" t="s">
        <v>320</v>
      </c>
      <c r="D156">
        <v>2026</v>
      </c>
      <c r="E156">
        <v>0</v>
      </c>
      <c r="F156">
        <v>15</v>
      </c>
      <c r="G156">
        <v>0</v>
      </c>
      <c r="H156">
        <v>0</v>
      </c>
      <c r="I156">
        <v>30</v>
      </c>
      <c r="J156">
        <v>45</v>
      </c>
      <c r="K156">
        <v>4</v>
      </c>
      <c r="L156">
        <v>2</v>
      </c>
      <c r="M156">
        <v>12</v>
      </c>
      <c r="N156">
        <v>0</v>
      </c>
      <c r="O156" t="s">
        <v>27</v>
      </c>
      <c r="P156" t="s">
        <v>443</v>
      </c>
      <c r="Q156">
        <v>2026</v>
      </c>
      <c r="R156">
        <v>2041</v>
      </c>
      <c r="S156" t="s">
        <v>444</v>
      </c>
      <c r="T156">
        <v>2034</v>
      </c>
      <c r="U156">
        <v>41.75</v>
      </c>
      <c r="V156">
        <v>1</v>
      </c>
      <c r="W156">
        <v>2034</v>
      </c>
      <c r="X156">
        <v>8</v>
      </c>
      <c r="Y156">
        <v>2034</v>
      </c>
      <c r="Z156">
        <v>1</v>
      </c>
      <c r="AA156">
        <v>120</v>
      </c>
      <c r="AB156">
        <v>180</v>
      </c>
      <c r="AC156">
        <v>120</v>
      </c>
      <c r="AD156">
        <v>180</v>
      </c>
      <c r="AE156">
        <v>0</v>
      </c>
      <c r="AF156">
        <v>0</v>
      </c>
      <c r="AG156">
        <v>120</v>
      </c>
      <c r="AH156">
        <v>180</v>
      </c>
      <c r="AI156">
        <v>1</v>
      </c>
      <c r="AJ156">
        <v>2.7519999999999998</v>
      </c>
      <c r="AK156">
        <v>2035</v>
      </c>
      <c r="AL156" s="61">
        <v>2.8420000000000001</v>
      </c>
      <c r="AM156" s="61">
        <v>2.7519999999999998</v>
      </c>
      <c r="AN156" s="61">
        <v>2.8420000000000001</v>
      </c>
      <c r="AO156">
        <v>1.2092942481281721</v>
      </c>
      <c r="AP156">
        <v>1.0283854649181425</v>
      </c>
      <c r="AQ156">
        <v>1.2436206275841259</v>
      </c>
      <c r="AR156" t="b">
        <v>0</v>
      </c>
      <c r="AS156">
        <v>96.492449014064363</v>
      </c>
      <c r="AT156">
        <v>144.73867352109656</v>
      </c>
      <c r="AU156">
        <v>120.61556126758046</v>
      </c>
    </row>
    <row r="157" spans="1:47" x14ac:dyDescent="0.25">
      <c r="A157" t="s">
        <v>353</v>
      </c>
      <c r="B157" t="s">
        <v>455</v>
      </c>
      <c r="C157" t="s">
        <v>320</v>
      </c>
      <c r="D157">
        <v>2026</v>
      </c>
      <c r="E157">
        <v>0</v>
      </c>
      <c r="F157">
        <v>15</v>
      </c>
      <c r="G157">
        <v>0</v>
      </c>
      <c r="H157">
        <v>0</v>
      </c>
      <c r="I157">
        <v>30</v>
      </c>
      <c r="J157">
        <v>45</v>
      </c>
      <c r="K157">
        <v>4</v>
      </c>
      <c r="L157">
        <v>2</v>
      </c>
      <c r="M157">
        <v>12</v>
      </c>
      <c r="N157">
        <v>0</v>
      </c>
      <c r="O157" t="s">
        <v>27</v>
      </c>
      <c r="P157" t="s">
        <v>443</v>
      </c>
      <c r="Q157">
        <v>2026</v>
      </c>
      <c r="R157">
        <v>2041</v>
      </c>
      <c r="S157" t="s">
        <v>444</v>
      </c>
      <c r="T157">
        <v>2035</v>
      </c>
      <c r="U157">
        <v>42.75</v>
      </c>
      <c r="V157">
        <v>1</v>
      </c>
      <c r="W157">
        <v>2035</v>
      </c>
      <c r="X157">
        <v>9</v>
      </c>
      <c r="Y157">
        <v>2035</v>
      </c>
      <c r="Z157">
        <v>1</v>
      </c>
      <c r="AA157">
        <v>120</v>
      </c>
      <c r="AB157">
        <v>180</v>
      </c>
      <c r="AC157">
        <v>120</v>
      </c>
      <c r="AD157">
        <v>180</v>
      </c>
      <c r="AE157">
        <v>0</v>
      </c>
      <c r="AF157">
        <v>0</v>
      </c>
      <c r="AG157">
        <v>120</v>
      </c>
      <c r="AH157">
        <v>180</v>
      </c>
      <c r="AI157">
        <v>1</v>
      </c>
      <c r="AJ157">
        <v>2.8420000000000001</v>
      </c>
      <c r="AK157">
        <v>2036</v>
      </c>
      <c r="AL157" s="61">
        <v>2.944</v>
      </c>
      <c r="AM157" s="61">
        <v>2.8420000000000001</v>
      </c>
      <c r="AN157" s="61">
        <v>2.944</v>
      </c>
      <c r="AO157">
        <v>1.2513076834571593</v>
      </c>
      <c r="AP157">
        <v>1.0294008580614105</v>
      </c>
      <c r="AQ157">
        <v>1.2880972030496356</v>
      </c>
      <c r="AR157" t="b">
        <v>0</v>
      </c>
      <c r="AS157">
        <v>93.160671194606977</v>
      </c>
      <c r="AT157">
        <v>139.74100679191045</v>
      </c>
      <c r="AU157">
        <v>116.45083899325871</v>
      </c>
    </row>
    <row r="158" spans="1:47" x14ac:dyDescent="0.25">
      <c r="A158" t="s">
        <v>353</v>
      </c>
      <c r="B158" t="s">
        <v>455</v>
      </c>
      <c r="C158" t="s">
        <v>320</v>
      </c>
      <c r="D158">
        <v>2026</v>
      </c>
      <c r="E158">
        <v>0</v>
      </c>
      <c r="F158">
        <v>15</v>
      </c>
      <c r="G158">
        <v>0</v>
      </c>
      <c r="H158">
        <v>0</v>
      </c>
      <c r="I158">
        <v>30</v>
      </c>
      <c r="J158">
        <v>45</v>
      </c>
      <c r="K158">
        <v>4</v>
      </c>
      <c r="L158">
        <v>2</v>
      </c>
      <c r="M158">
        <v>12</v>
      </c>
      <c r="N158">
        <v>0</v>
      </c>
      <c r="O158" t="s">
        <v>27</v>
      </c>
      <c r="P158" t="s">
        <v>443</v>
      </c>
      <c r="Q158">
        <v>2026</v>
      </c>
      <c r="R158">
        <v>2041</v>
      </c>
      <c r="S158" t="s">
        <v>444</v>
      </c>
      <c r="T158">
        <v>2036</v>
      </c>
      <c r="U158">
        <v>43.75</v>
      </c>
      <c r="V158">
        <v>1</v>
      </c>
      <c r="W158">
        <v>2036</v>
      </c>
      <c r="X158">
        <v>10</v>
      </c>
      <c r="Y158">
        <v>2036</v>
      </c>
      <c r="Z158">
        <v>1</v>
      </c>
      <c r="AA158">
        <v>120</v>
      </c>
      <c r="AB158">
        <v>180</v>
      </c>
      <c r="AC158">
        <v>120</v>
      </c>
      <c r="AD158">
        <v>180</v>
      </c>
      <c r="AE158">
        <v>0</v>
      </c>
      <c r="AF158">
        <v>0</v>
      </c>
      <c r="AG158">
        <v>120</v>
      </c>
      <c r="AH158">
        <v>180</v>
      </c>
      <c r="AI158">
        <v>1</v>
      </c>
      <c r="AJ158">
        <v>2.944</v>
      </c>
      <c r="AK158">
        <v>2037</v>
      </c>
      <c r="AL158" s="61">
        <v>3.036</v>
      </c>
      <c r="AM158" s="61">
        <v>2.944</v>
      </c>
      <c r="AN158" s="61">
        <v>3.036</v>
      </c>
      <c r="AO158">
        <v>1.2984025298030446</v>
      </c>
      <c r="AP158">
        <v>1.0303246971701443</v>
      </c>
      <c r="AQ158">
        <v>1.3377761933242711</v>
      </c>
      <c r="AR158" t="b">
        <v>0</v>
      </c>
      <c r="AS158">
        <v>89.701102919023555</v>
      </c>
      <c r="AT158">
        <v>134.55165437853535</v>
      </c>
      <c r="AU158">
        <v>112.12637864877945</v>
      </c>
    </row>
    <row r="159" spans="1:47" x14ac:dyDescent="0.25">
      <c r="A159" t="s">
        <v>353</v>
      </c>
      <c r="B159" t="s">
        <v>455</v>
      </c>
      <c r="C159" t="s">
        <v>320</v>
      </c>
      <c r="D159">
        <v>2026</v>
      </c>
      <c r="E159">
        <v>0</v>
      </c>
      <c r="F159">
        <v>15</v>
      </c>
      <c r="G159">
        <v>0</v>
      </c>
      <c r="H159">
        <v>0</v>
      </c>
      <c r="I159">
        <v>30</v>
      </c>
      <c r="J159">
        <v>45</v>
      </c>
      <c r="K159">
        <v>4</v>
      </c>
      <c r="L159">
        <v>2</v>
      </c>
      <c r="M159">
        <v>12</v>
      </c>
      <c r="N159">
        <v>0</v>
      </c>
      <c r="O159" t="s">
        <v>27</v>
      </c>
      <c r="P159" t="s">
        <v>443</v>
      </c>
      <c r="Q159">
        <v>2026</v>
      </c>
      <c r="R159">
        <v>2041</v>
      </c>
      <c r="S159" t="s">
        <v>444</v>
      </c>
      <c r="T159">
        <v>2037</v>
      </c>
      <c r="U159">
        <v>44.75</v>
      </c>
      <c r="V159">
        <v>1</v>
      </c>
      <c r="W159">
        <v>2037</v>
      </c>
      <c r="X159">
        <v>11</v>
      </c>
      <c r="Y159">
        <v>2037</v>
      </c>
      <c r="Z159">
        <v>1</v>
      </c>
      <c r="AA159">
        <v>120</v>
      </c>
      <c r="AB159">
        <v>180</v>
      </c>
      <c r="AC159">
        <v>120</v>
      </c>
      <c r="AD159">
        <v>180</v>
      </c>
      <c r="AE159">
        <v>0</v>
      </c>
      <c r="AF159">
        <v>0</v>
      </c>
      <c r="AG159">
        <v>120</v>
      </c>
      <c r="AH159">
        <v>180</v>
      </c>
      <c r="AI159">
        <v>1</v>
      </c>
      <c r="AJ159">
        <v>3.036</v>
      </c>
      <c r="AK159">
        <v>2038</v>
      </c>
      <c r="AL159" s="61">
        <v>3.1339999999999999</v>
      </c>
      <c r="AM159" s="61">
        <v>3.036</v>
      </c>
      <c r="AN159" s="61">
        <v>3.1339999999999999</v>
      </c>
      <c r="AO159">
        <v>1.3486209574989538</v>
      </c>
      <c r="AP159">
        <v>1.0313023937742947</v>
      </c>
      <c r="AQ159">
        <v>1.3908360217628524</v>
      </c>
      <c r="AR159" t="b">
        <v>0</v>
      </c>
      <c r="AS159">
        <v>86.279042333044259</v>
      </c>
      <c r="AT159">
        <v>129.41856349956637</v>
      </c>
      <c r="AU159">
        <v>107.84880291630532</v>
      </c>
    </row>
    <row r="160" spans="1:47" x14ac:dyDescent="0.25">
      <c r="A160" t="s">
        <v>353</v>
      </c>
      <c r="B160" t="s">
        <v>455</v>
      </c>
      <c r="C160" t="s">
        <v>320</v>
      </c>
      <c r="D160">
        <v>2026</v>
      </c>
      <c r="E160">
        <v>0</v>
      </c>
      <c r="F160">
        <v>15</v>
      </c>
      <c r="G160">
        <v>0</v>
      </c>
      <c r="H160">
        <v>0</v>
      </c>
      <c r="I160">
        <v>30</v>
      </c>
      <c r="J160">
        <v>45</v>
      </c>
      <c r="K160">
        <v>4</v>
      </c>
      <c r="L160">
        <v>2</v>
      </c>
      <c r="M160">
        <v>12</v>
      </c>
      <c r="N160">
        <v>0</v>
      </c>
      <c r="O160" t="s">
        <v>27</v>
      </c>
      <c r="P160" t="s">
        <v>443</v>
      </c>
      <c r="Q160">
        <v>2026</v>
      </c>
      <c r="R160">
        <v>2041</v>
      </c>
      <c r="S160" t="s">
        <v>444</v>
      </c>
      <c r="T160">
        <v>2038</v>
      </c>
      <c r="U160">
        <v>45.75</v>
      </c>
      <c r="V160">
        <v>1</v>
      </c>
      <c r="W160">
        <v>2038</v>
      </c>
      <c r="X160">
        <v>12</v>
      </c>
      <c r="Y160">
        <v>2038</v>
      </c>
      <c r="Z160">
        <v>1</v>
      </c>
      <c r="AA160">
        <v>120</v>
      </c>
      <c r="AB160">
        <v>180</v>
      </c>
      <c r="AC160">
        <v>120</v>
      </c>
      <c r="AD160">
        <v>180</v>
      </c>
      <c r="AE160">
        <v>0</v>
      </c>
      <c r="AF160">
        <v>0</v>
      </c>
      <c r="AG160">
        <v>120</v>
      </c>
      <c r="AH160">
        <v>180</v>
      </c>
      <c r="AI160">
        <v>1</v>
      </c>
      <c r="AJ160">
        <v>3.1339999999999999</v>
      </c>
      <c r="AK160">
        <v>2039</v>
      </c>
      <c r="AL160" s="61">
        <v>3.2069999999999999</v>
      </c>
      <c r="AM160" s="61">
        <v>3.1339999999999999</v>
      </c>
      <c r="AN160" s="61">
        <v>3.2069999999999999</v>
      </c>
      <c r="AO160">
        <v>1.4041725591738043</v>
      </c>
      <c r="AP160">
        <v>1.0320419904729838</v>
      </c>
      <c r="AQ160">
        <v>1.4491650429372767</v>
      </c>
      <c r="AR160" t="b">
        <v>0</v>
      </c>
      <c r="AS160">
        <v>82.806303246713</v>
      </c>
      <c r="AT160">
        <v>124.20945487006951</v>
      </c>
      <c r="AU160">
        <v>103.50787905839125</v>
      </c>
    </row>
    <row r="161" spans="1:47" x14ac:dyDescent="0.25">
      <c r="A161" t="s">
        <v>353</v>
      </c>
      <c r="B161" t="s">
        <v>455</v>
      </c>
      <c r="C161" t="s">
        <v>320</v>
      </c>
      <c r="D161">
        <v>2026</v>
      </c>
      <c r="E161">
        <v>0</v>
      </c>
      <c r="F161">
        <v>15</v>
      </c>
      <c r="G161">
        <v>0</v>
      </c>
      <c r="H161">
        <v>0</v>
      </c>
      <c r="I161">
        <v>30</v>
      </c>
      <c r="J161">
        <v>45</v>
      </c>
      <c r="K161">
        <v>4</v>
      </c>
      <c r="L161">
        <v>2</v>
      </c>
      <c r="M161">
        <v>12</v>
      </c>
      <c r="N161">
        <v>0</v>
      </c>
      <c r="O161" t="s">
        <v>27</v>
      </c>
      <c r="P161" t="s">
        <v>443</v>
      </c>
      <c r="Q161">
        <v>2026</v>
      </c>
      <c r="R161">
        <v>2041</v>
      </c>
      <c r="S161" t="s">
        <v>444</v>
      </c>
      <c r="T161">
        <v>2039</v>
      </c>
      <c r="U161">
        <v>46.75</v>
      </c>
      <c r="V161">
        <v>1</v>
      </c>
      <c r="W161">
        <v>2039</v>
      </c>
      <c r="X161">
        <v>13</v>
      </c>
      <c r="Y161">
        <v>2039</v>
      </c>
      <c r="Z161">
        <v>1</v>
      </c>
      <c r="AA161">
        <v>120</v>
      </c>
      <c r="AB161">
        <v>180</v>
      </c>
      <c r="AC161">
        <v>120</v>
      </c>
      <c r="AD161">
        <v>180</v>
      </c>
      <c r="AE161">
        <v>0</v>
      </c>
      <c r="AF161">
        <v>0</v>
      </c>
      <c r="AG161">
        <v>120</v>
      </c>
      <c r="AH161">
        <v>180</v>
      </c>
      <c r="AI161">
        <v>1</v>
      </c>
      <c r="AJ161">
        <v>3.2069999999999999</v>
      </c>
      <c r="AK161">
        <v>2040</v>
      </c>
      <c r="AL161" s="61">
        <v>3.3029999999999999</v>
      </c>
      <c r="AM161" s="61">
        <v>3.2069999999999999</v>
      </c>
      <c r="AN161" s="61">
        <v>3.3029999999999999</v>
      </c>
      <c r="AO161">
        <v>1.4605278779269859</v>
      </c>
      <c r="AP161">
        <v>1.0329931616190409</v>
      </c>
      <c r="AQ161">
        <v>1.5087153102525457</v>
      </c>
      <c r="AR161" t="b">
        <v>0</v>
      </c>
      <c r="AS161">
        <v>79.537868532608087</v>
      </c>
      <c r="AT161">
        <v>119.30680279891213</v>
      </c>
      <c r="AU161">
        <v>99.422335665760102</v>
      </c>
    </row>
    <row r="162" spans="1:47" x14ac:dyDescent="0.25">
      <c r="A162" t="s">
        <v>353</v>
      </c>
      <c r="B162" t="s">
        <v>455</v>
      </c>
      <c r="C162" t="s">
        <v>320</v>
      </c>
      <c r="D162">
        <v>2026</v>
      </c>
      <c r="E162">
        <v>0</v>
      </c>
      <c r="F162">
        <v>15</v>
      </c>
      <c r="G162">
        <v>0</v>
      </c>
      <c r="H162">
        <v>0</v>
      </c>
      <c r="I162">
        <v>30</v>
      </c>
      <c r="J162">
        <v>45</v>
      </c>
      <c r="K162">
        <v>4</v>
      </c>
      <c r="L162">
        <v>2</v>
      </c>
      <c r="M162">
        <v>12</v>
      </c>
      <c r="N162">
        <v>0</v>
      </c>
      <c r="O162" t="s">
        <v>27</v>
      </c>
      <c r="P162" t="s">
        <v>443</v>
      </c>
      <c r="Q162">
        <v>2026</v>
      </c>
      <c r="R162">
        <v>2041</v>
      </c>
      <c r="S162" t="s">
        <v>444</v>
      </c>
      <c r="T162">
        <v>2040</v>
      </c>
      <c r="U162">
        <v>47.75</v>
      </c>
      <c r="V162">
        <v>1</v>
      </c>
      <c r="W162">
        <v>2040</v>
      </c>
      <c r="X162">
        <v>14</v>
      </c>
      <c r="Y162">
        <v>2040</v>
      </c>
      <c r="Z162">
        <v>1</v>
      </c>
      <c r="AA162">
        <v>120</v>
      </c>
      <c r="AB162">
        <v>180</v>
      </c>
      <c r="AC162">
        <v>120</v>
      </c>
      <c r="AD162">
        <v>180</v>
      </c>
      <c r="AE162">
        <v>0</v>
      </c>
      <c r="AF162">
        <v>0</v>
      </c>
      <c r="AG162">
        <v>120</v>
      </c>
      <c r="AH162">
        <v>180</v>
      </c>
      <c r="AI162">
        <v>1</v>
      </c>
      <c r="AJ162">
        <v>3.3029999999999999</v>
      </c>
      <c r="AK162">
        <v>2041</v>
      </c>
      <c r="AL162" s="61">
        <v>3.3559999999999999</v>
      </c>
      <c r="AM162" s="61">
        <v>3.3029999999999999</v>
      </c>
      <c r="AN162" s="61">
        <v>3.3559999999999999</v>
      </c>
      <c r="AO162">
        <v>1.5256964700083253</v>
      </c>
      <c r="AP162">
        <v>1.0335396662189136</v>
      </c>
      <c r="AQ162">
        <v>1.5768678203637791</v>
      </c>
      <c r="AR162" t="b">
        <v>0</v>
      </c>
      <c r="AS162">
        <v>76.100227584272929</v>
      </c>
      <c r="AT162">
        <v>114.1503413764094</v>
      </c>
      <c r="AU162">
        <v>95.125284480341165</v>
      </c>
    </row>
    <row r="163" spans="1:47" x14ac:dyDescent="0.25">
      <c r="A163" t="s">
        <v>353</v>
      </c>
      <c r="B163" t="s">
        <v>455</v>
      </c>
      <c r="C163" t="s">
        <v>320</v>
      </c>
      <c r="D163">
        <v>2026</v>
      </c>
      <c r="E163">
        <v>0</v>
      </c>
      <c r="M163">
        <v>12</v>
      </c>
      <c r="Q163">
        <v>2026</v>
      </c>
      <c r="R163">
        <v>2041</v>
      </c>
      <c r="T163">
        <v>2041</v>
      </c>
      <c r="U163">
        <v>48.75</v>
      </c>
      <c r="W163">
        <v>2041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L163" s="61"/>
      <c r="AS163">
        <v>0</v>
      </c>
      <c r="AT163">
        <v>0</v>
      </c>
      <c r="AU163">
        <v>0</v>
      </c>
    </row>
    <row r="164" spans="1:47" x14ac:dyDescent="0.25">
      <c r="A164" t="s">
        <v>327</v>
      </c>
      <c r="B164" t="s">
        <v>456</v>
      </c>
      <c r="C164" t="s">
        <v>319</v>
      </c>
      <c r="D164">
        <v>2026</v>
      </c>
      <c r="E164">
        <v>0</v>
      </c>
      <c r="F164">
        <v>10</v>
      </c>
      <c r="G164">
        <v>0</v>
      </c>
      <c r="H164">
        <v>0</v>
      </c>
      <c r="I164">
        <v>50</v>
      </c>
      <c r="J164">
        <v>250</v>
      </c>
      <c r="K164">
        <v>1</v>
      </c>
      <c r="L164">
        <v>1</v>
      </c>
      <c r="M164">
        <v>13</v>
      </c>
      <c r="N164">
        <v>0</v>
      </c>
      <c r="O164" t="s">
        <v>27</v>
      </c>
      <c r="P164" t="s">
        <v>443</v>
      </c>
      <c r="Q164">
        <v>2026</v>
      </c>
      <c r="R164">
        <v>2036</v>
      </c>
      <c r="S164" t="s">
        <v>444</v>
      </c>
      <c r="T164">
        <v>2026</v>
      </c>
      <c r="U164">
        <v>33.75</v>
      </c>
      <c r="V164">
        <v>1</v>
      </c>
      <c r="W164">
        <v>2026</v>
      </c>
      <c r="X164">
        <v>0</v>
      </c>
      <c r="Y164">
        <v>2026</v>
      </c>
      <c r="Z164">
        <v>1</v>
      </c>
      <c r="AA164">
        <v>50</v>
      </c>
      <c r="AB164">
        <v>250</v>
      </c>
      <c r="AC164">
        <v>50</v>
      </c>
      <c r="AD164">
        <v>250</v>
      </c>
      <c r="AE164">
        <v>0</v>
      </c>
      <c r="AF164">
        <v>0</v>
      </c>
      <c r="AG164">
        <v>50</v>
      </c>
      <c r="AH164">
        <v>250</v>
      </c>
      <c r="AI164">
        <v>1</v>
      </c>
      <c r="AK164">
        <v>2027</v>
      </c>
      <c r="AL164" s="61">
        <v>2.4329999999999998</v>
      </c>
      <c r="AM164" s="61">
        <v>0</v>
      </c>
      <c r="AN164" s="61">
        <v>2.4329999999999998</v>
      </c>
      <c r="AO164">
        <v>1</v>
      </c>
      <c r="AP164">
        <v>1.023385968321771</v>
      </c>
      <c r="AQ164">
        <v>1.023385968321771</v>
      </c>
      <c r="AR164" t="b">
        <v>1</v>
      </c>
      <c r="AS164">
        <v>50</v>
      </c>
      <c r="AT164">
        <v>250</v>
      </c>
      <c r="AU164">
        <v>150</v>
      </c>
    </row>
    <row r="165" spans="1:47" x14ac:dyDescent="0.25">
      <c r="A165" t="s">
        <v>327</v>
      </c>
      <c r="B165" t="s">
        <v>456</v>
      </c>
      <c r="C165" t="s">
        <v>319</v>
      </c>
      <c r="D165">
        <v>2026</v>
      </c>
      <c r="E165">
        <v>0</v>
      </c>
      <c r="F165">
        <v>10</v>
      </c>
      <c r="G165">
        <v>0</v>
      </c>
      <c r="H165">
        <v>0</v>
      </c>
      <c r="I165">
        <v>50</v>
      </c>
      <c r="J165">
        <v>250</v>
      </c>
      <c r="K165">
        <v>1</v>
      </c>
      <c r="L165">
        <v>1</v>
      </c>
      <c r="M165">
        <v>13</v>
      </c>
      <c r="N165">
        <v>0</v>
      </c>
      <c r="O165" t="s">
        <v>27</v>
      </c>
      <c r="P165" t="s">
        <v>443</v>
      </c>
      <c r="Q165">
        <v>2026</v>
      </c>
      <c r="R165">
        <v>2036</v>
      </c>
      <c r="S165" t="s">
        <v>444</v>
      </c>
      <c r="T165">
        <v>2027</v>
      </c>
      <c r="U165">
        <v>34.75</v>
      </c>
      <c r="V165">
        <v>1</v>
      </c>
      <c r="W165">
        <v>2027</v>
      </c>
      <c r="X165">
        <v>1</v>
      </c>
      <c r="Y165">
        <v>2027</v>
      </c>
      <c r="Z165">
        <v>1</v>
      </c>
      <c r="AA165">
        <v>50</v>
      </c>
      <c r="AB165">
        <v>250</v>
      </c>
      <c r="AC165">
        <v>50</v>
      </c>
      <c r="AD165">
        <v>250</v>
      </c>
      <c r="AE165">
        <v>0</v>
      </c>
      <c r="AF165">
        <v>0</v>
      </c>
      <c r="AG165">
        <v>50</v>
      </c>
      <c r="AH165">
        <v>250</v>
      </c>
      <c r="AI165">
        <v>1</v>
      </c>
      <c r="AJ165">
        <v>2.4329999999999998</v>
      </c>
      <c r="AK165">
        <v>2028</v>
      </c>
      <c r="AL165" s="61">
        <v>2.4220000000000002</v>
      </c>
      <c r="AM165" s="61">
        <v>2.4329999999999998</v>
      </c>
      <c r="AN165" s="61">
        <v>2.4220000000000002</v>
      </c>
      <c r="AO165">
        <v>1</v>
      </c>
      <c r="AP165">
        <v>1.0242242189602202</v>
      </c>
      <c r="AQ165">
        <v>1.0242242189602202</v>
      </c>
      <c r="AR165" t="b">
        <v>0</v>
      </c>
      <c r="AS165">
        <v>48.817435747379008</v>
      </c>
      <c r="AT165">
        <v>244.08717873689505</v>
      </c>
      <c r="AU165">
        <v>146.45230724213704</v>
      </c>
    </row>
    <row r="166" spans="1:47" x14ac:dyDescent="0.25">
      <c r="A166" t="s">
        <v>327</v>
      </c>
      <c r="B166" t="s">
        <v>456</v>
      </c>
      <c r="C166" t="s">
        <v>319</v>
      </c>
      <c r="D166">
        <v>2026</v>
      </c>
      <c r="E166">
        <v>0</v>
      </c>
      <c r="F166">
        <v>10</v>
      </c>
      <c r="G166">
        <v>0</v>
      </c>
      <c r="H166">
        <v>0</v>
      </c>
      <c r="I166">
        <v>50</v>
      </c>
      <c r="J166">
        <v>250</v>
      </c>
      <c r="K166">
        <v>1</v>
      </c>
      <c r="L166">
        <v>1</v>
      </c>
      <c r="M166">
        <v>13</v>
      </c>
      <c r="N166">
        <v>0</v>
      </c>
      <c r="O166" t="s">
        <v>27</v>
      </c>
      <c r="P166" t="s">
        <v>443</v>
      </c>
      <c r="Q166">
        <v>2026</v>
      </c>
      <c r="R166">
        <v>2036</v>
      </c>
      <c r="S166" t="s">
        <v>444</v>
      </c>
      <c r="T166">
        <v>2028</v>
      </c>
      <c r="U166">
        <v>35.75</v>
      </c>
      <c r="V166">
        <v>1</v>
      </c>
      <c r="W166">
        <v>2028</v>
      </c>
      <c r="X166">
        <v>2</v>
      </c>
      <c r="Y166">
        <v>2028</v>
      </c>
      <c r="Z166">
        <v>1</v>
      </c>
      <c r="AA166">
        <v>50</v>
      </c>
      <c r="AB166">
        <v>250</v>
      </c>
      <c r="AC166">
        <v>50</v>
      </c>
      <c r="AD166">
        <v>250</v>
      </c>
      <c r="AE166">
        <v>0</v>
      </c>
      <c r="AF166">
        <v>0</v>
      </c>
      <c r="AG166">
        <v>50</v>
      </c>
      <c r="AH166">
        <v>250</v>
      </c>
      <c r="AI166">
        <v>1</v>
      </c>
      <c r="AJ166">
        <v>2.4220000000000002</v>
      </c>
      <c r="AK166">
        <v>2029</v>
      </c>
      <c r="AL166" s="61">
        <v>2.4209999999999998</v>
      </c>
      <c r="AM166" s="61">
        <v>2.4220000000000002</v>
      </c>
      <c r="AN166" s="61">
        <v>2.4209999999999998</v>
      </c>
      <c r="AO166">
        <v>1.0242199999999999</v>
      </c>
      <c r="AP166">
        <v>1.0242103835598433</v>
      </c>
      <c r="AQ166">
        <v>1.0490167590496626</v>
      </c>
      <c r="AR166" t="b">
        <v>0</v>
      </c>
      <c r="AS166">
        <v>47.66368084080618</v>
      </c>
      <c r="AT166">
        <v>238.31840420403091</v>
      </c>
      <c r="AU166">
        <v>142.99104252241855</v>
      </c>
    </row>
    <row r="167" spans="1:47" x14ac:dyDescent="0.25">
      <c r="A167" t="s">
        <v>327</v>
      </c>
      <c r="B167" t="s">
        <v>456</v>
      </c>
      <c r="C167" t="s">
        <v>319</v>
      </c>
      <c r="D167">
        <v>2026</v>
      </c>
      <c r="E167">
        <v>0</v>
      </c>
      <c r="F167">
        <v>10</v>
      </c>
      <c r="G167">
        <v>0</v>
      </c>
      <c r="H167">
        <v>0</v>
      </c>
      <c r="I167">
        <v>50</v>
      </c>
      <c r="J167">
        <v>250</v>
      </c>
      <c r="K167">
        <v>1</v>
      </c>
      <c r="L167">
        <v>1</v>
      </c>
      <c r="M167">
        <v>13</v>
      </c>
      <c r="N167">
        <v>0</v>
      </c>
      <c r="O167" t="s">
        <v>27</v>
      </c>
      <c r="P167" t="s">
        <v>443</v>
      </c>
      <c r="Q167">
        <v>2026</v>
      </c>
      <c r="R167">
        <v>2036</v>
      </c>
      <c r="S167" t="s">
        <v>444</v>
      </c>
      <c r="T167">
        <v>2029</v>
      </c>
      <c r="U167">
        <v>36.75</v>
      </c>
      <c r="V167">
        <v>1</v>
      </c>
      <c r="W167">
        <v>2029</v>
      </c>
      <c r="X167">
        <v>3</v>
      </c>
      <c r="Y167">
        <v>2029</v>
      </c>
      <c r="Z167">
        <v>1</v>
      </c>
      <c r="AA167">
        <v>50</v>
      </c>
      <c r="AB167">
        <v>250</v>
      </c>
      <c r="AC167">
        <v>50</v>
      </c>
      <c r="AD167">
        <v>250</v>
      </c>
      <c r="AE167">
        <v>0</v>
      </c>
      <c r="AF167">
        <v>0</v>
      </c>
      <c r="AG167">
        <v>50</v>
      </c>
      <c r="AH167">
        <v>250</v>
      </c>
      <c r="AI167">
        <v>1</v>
      </c>
      <c r="AJ167">
        <v>2.4209999999999998</v>
      </c>
      <c r="AK167">
        <v>2030</v>
      </c>
      <c r="AL167" s="61">
        <v>2.4670000000000001</v>
      </c>
      <c r="AM167" s="61">
        <v>2.4209999999999998</v>
      </c>
      <c r="AN167" s="61">
        <v>2.4670000000000001</v>
      </c>
      <c r="AO167">
        <v>1.0490061241000002</v>
      </c>
      <c r="AP167">
        <v>1.0246523523547908</v>
      </c>
      <c r="AQ167">
        <v>1.0748665926936467</v>
      </c>
      <c r="AR167" t="b">
        <v>0</v>
      </c>
      <c r="AS167">
        <v>46.517400708025129</v>
      </c>
      <c r="AT167">
        <v>232.58700354012564</v>
      </c>
      <c r="AU167">
        <v>139.55220212407539</v>
      </c>
    </row>
    <row r="168" spans="1:47" x14ac:dyDescent="0.25">
      <c r="A168" t="s">
        <v>327</v>
      </c>
      <c r="B168" t="s">
        <v>456</v>
      </c>
      <c r="C168" t="s">
        <v>319</v>
      </c>
      <c r="D168">
        <v>2026</v>
      </c>
      <c r="E168">
        <v>0</v>
      </c>
      <c r="F168">
        <v>10</v>
      </c>
      <c r="G168">
        <v>0</v>
      </c>
      <c r="H168">
        <v>0</v>
      </c>
      <c r="I168">
        <v>50</v>
      </c>
      <c r="J168">
        <v>250</v>
      </c>
      <c r="K168">
        <v>1</v>
      </c>
      <c r="L168">
        <v>1</v>
      </c>
      <c r="M168">
        <v>13</v>
      </c>
      <c r="N168">
        <v>0</v>
      </c>
      <c r="O168" t="s">
        <v>27</v>
      </c>
      <c r="P168" t="s">
        <v>443</v>
      </c>
      <c r="Q168">
        <v>2026</v>
      </c>
      <c r="R168">
        <v>2036</v>
      </c>
      <c r="S168" t="s">
        <v>444</v>
      </c>
      <c r="T168">
        <v>2030</v>
      </c>
      <c r="U168">
        <v>37.75</v>
      </c>
      <c r="V168">
        <v>1</v>
      </c>
      <c r="W168">
        <v>2030</v>
      </c>
      <c r="X168">
        <v>4</v>
      </c>
      <c r="Y168">
        <v>2030</v>
      </c>
      <c r="Z168">
        <v>1</v>
      </c>
      <c r="AA168">
        <v>50</v>
      </c>
      <c r="AB168">
        <v>250</v>
      </c>
      <c r="AC168">
        <v>50</v>
      </c>
      <c r="AD168">
        <v>250</v>
      </c>
      <c r="AE168">
        <v>0</v>
      </c>
      <c r="AF168">
        <v>0</v>
      </c>
      <c r="AG168">
        <v>50</v>
      </c>
      <c r="AH168">
        <v>250</v>
      </c>
      <c r="AI168">
        <v>1</v>
      </c>
      <c r="AJ168">
        <v>2.4670000000000001</v>
      </c>
      <c r="AK168">
        <v>2031</v>
      </c>
      <c r="AL168" s="61">
        <v>2.5169999999999999</v>
      </c>
      <c r="AM168" s="61">
        <v>2.4670000000000001</v>
      </c>
      <c r="AN168" s="61">
        <v>2.5169999999999999</v>
      </c>
      <c r="AO168">
        <v>1.0758508410815628</v>
      </c>
      <c r="AP168">
        <v>1.0251508174189523</v>
      </c>
      <c r="AQ168">
        <v>1.1029093691556315</v>
      </c>
      <c r="AR168" t="b">
        <v>0</v>
      </c>
      <c r="AS168">
        <v>45.334640722364284</v>
      </c>
      <c r="AT168">
        <v>226.67320361182144</v>
      </c>
      <c r="AU168">
        <v>136.00392216709287</v>
      </c>
    </row>
    <row r="169" spans="1:47" x14ac:dyDescent="0.25">
      <c r="A169" t="s">
        <v>327</v>
      </c>
      <c r="B169" t="s">
        <v>456</v>
      </c>
      <c r="C169" t="s">
        <v>319</v>
      </c>
      <c r="D169">
        <v>2026</v>
      </c>
      <c r="E169">
        <v>0</v>
      </c>
      <c r="F169">
        <v>10</v>
      </c>
      <c r="G169">
        <v>0</v>
      </c>
      <c r="H169">
        <v>0</v>
      </c>
      <c r="I169">
        <v>50</v>
      </c>
      <c r="J169">
        <v>250</v>
      </c>
      <c r="K169">
        <v>1</v>
      </c>
      <c r="L169">
        <v>1</v>
      </c>
      <c r="M169">
        <v>13</v>
      </c>
      <c r="N169">
        <v>0</v>
      </c>
      <c r="O169" t="s">
        <v>27</v>
      </c>
      <c r="P169" t="s">
        <v>443</v>
      </c>
      <c r="Q169">
        <v>2026</v>
      </c>
      <c r="R169">
        <v>2036</v>
      </c>
      <c r="S169" t="s">
        <v>444</v>
      </c>
      <c r="T169">
        <v>2031</v>
      </c>
      <c r="U169">
        <v>38.75</v>
      </c>
      <c r="V169">
        <v>1</v>
      </c>
      <c r="W169">
        <v>2031</v>
      </c>
      <c r="X169">
        <v>5</v>
      </c>
      <c r="Y169">
        <v>2031</v>
      </c>
      <c r="Z169">
        <v>1</v>
      </c>
      <c r="AA169">
        <v>50</v>
      </c>
      <c r="AB169">
        <v>250</v>
      </c>
      <c r="AC169">
        <v>50</v>
      </c>
      <c r="AD169">
        <v>250</v>
      </c>
      <c r="AE169">
        <v>0</v>
      </c>
      <c r="AF169">
        <v>0</v>
      </c>
      <c r="AG169">
        <v>50</v>
      </c>
      <c r="AH169">
        <v>250</v>
      </c>
      <c r="AI169">
        <v>1</v>
      </c>
      <c r="AJ169">
        <v>2.5169999999999999</v>
      </c>
      <c r="AK169">
        <v>2032</v>
      </c>
      <c r="AL169" s="61">
        <v>2.59</v>
      </c>
      <c r="AM169" s="61">
        <v>2.5169999999999999</v>
      </c>
      <c r="AN169" s="61">
        <v>2.59</v>
      </c>
      <c r="AO169">
        <v>1.1045453584485188</v>
      </c>
      <c r="AP169">
        <v>1.0258719904156592</v>
      </c>
      <c r="AQ169">
        <v>1.1331221453759597</v>
      </c>
      <c r="AR169" t="b">
        <v>0</v>
      </c>
      <c r="AS169">
        <v>44.125869575526167</v>
      </c>
      <c r="AT169">
        <v>220.62934787763083</v>
      </c>
      <c r="AU169">
        <v>132.3776087265785</v>
      </c>
    </row>
    <row r="170" spans="1:47" x14ac:dyDescent="0.25">
      <c r="A170" t="s">
        <v>327</v>
      </c>
      <c r="B170" t="s">
        <v>456</v>
      </c>
      <c r="C170" t="s">
        <v>319</v>
      </c>
      <c r="D170">
        <v>2026</v>
      </c>
      <c r="E170">
        <v>0</v>
      </c>
      <c r="F170">
        <v>10</v>
      </c>
      <c r="G170">
        <v>0</v>
      </c>
      <c r="H170">
        <v>0</v>
      </c>
      <c r="I170">
        <v>50</v>
      </c>
      <c r="J170">
        <v>250</v>
      </c>
      <c r="K170">
        <v>1</v>
      </c>
      <c r="L170">
        <v>1</v>
      </c>
      <c r="M170">
        <v>13</v>
      </c>
      <c r="N170">
        <v>0</v>
      </c>
      <c r="O170" t="s">
        <v>27</v>
      </c>
      <c r="P170" t="s">
        <v>443</v>
      </c>
      <c r="Q170">
        <v>2026</v>
      </c>
      <c r="R170">
        <v>2036</v>
      </c>
      <c r="S170" t="s">
        <v>444</v>
      </c>
      <c r="T170">
        <v>2032</v>
      </c>
      <c r="U170">
        <v>39.75</v>
      </c>
      <c r="V170">
        <v>1</v>
      </c>
      <c r="W170">
        <v>2032</v>
      </c>
      <c r="X170">
        <v>6</v>
      </c>
      <c r="Y170">
        <v>2032</v>
      </c>
      <c r="Z170">
        <v>1</v>
      </c>
      <c r="AA170">
        <v>50</v>
      </c>
      <c r="AB170">
        <v>250</v>
      </c>
      <c r="AC170">
        <v>50</v>
      </c>
      <c r="AD170">
        <v>250</v>
      </c>
      <c r="AE170">
        <v>0</v>
      </c>
      <c r="AF170">
        <v>0</v>
      </c>
      <c r="AG170">
        <v>50</v>
      </c>
      <c r="AH170">
        <v>250</v>
      </c>
      <c r="AI170">
        <v>1</v>
      </c>
      <c r="AJ170">
        <v>2.59</v>
      </c>
      <c r="AK170">
        <v>2033</v>
      </c>
      <c r="AL170" s="61">
        <v>2.6880000000000002</v>
      </c>
      <c r="AM170" s="61">
        <v>2.59</v>
      </c>
      <c r="AN170" s="61">
        <v>2.6880000000000002</v>
      </c>
      <c r="AO170">
        <v>1.1363841013749196</v>
      </c>
      <c r="AP170">
        <v>1.0268423936996114</v>
      </c>
      <c r="AQ170">
        <v>1.1668873708180043</v>
      </c>
      <c r="AR170" t="b">
        <v>0</v>
      </c>
      <c r="AS170">
        <v>42.849036891151975</v>
      </c>
      <c r="AT170">
        <v>214.24518445575987</v>
      </c>
      <c r="AU170">
        <v>128.54711067345593</v>
      </c>
    </row>
    <row r="171" spans="1:47" x14ac:dyDescent="0.25">
      <c r="A171" t="s">
        <v>327</v>
      </c>
      <c r="B171" t="s">
        <v>456</v>
      </c>
      <c r="C171" t="s">
        <v>319</v>
      </c>
      <c r="D171">
        <v>2026</v>
      </c>
      <c r="E171">
        <v>0</v>
      </c>
      <c r="F171">
        <v>10</v>
      </c>
      <c r="G171">
        <v>0</v>
      </c>
      <c r="H171">
        <v>0</v>
      </c>
      <c r="I171">
        <v>50</v>
      </c>
      <c r="J171">
        <v>250</v>
      </c>
      <c r="K171">
        <v>1</v>
      </c>
      <c r="L171">
        <v>1</v>
      </c>
      <c r="M171">
        <v>13</v>
      </c>
      <c r="N171">
        <v>0</v>
      </c>
      <c r="O171" t="s">
        <v>27</v>
      </c>
      <c r="P171" t="s">
        <v>443</v>
      </c>
      <c r="Q171">
        <v>2026</v>
      </c>
      <c r="R171">
        <v>2036</v>
      </c>
      <c r="S171" t="s">
        <v>444</v>
      </c>
      <c r="T171">
        <v>2033</v>
      </c>
      <c r="U171">
        <v>40.75</v>
      </c>
      <c r="V171">
        <v>1</v>
      </c>
      <c r="W171">
        <v>2033</v>
      </c>
      <c r="X171">
        <v>7</v>
      </c>
      <c r="Y171">
        <v>2033</v>
      </c>
      <c r="Z171">
        <v>1</v>
      </c>
      <c r="AA171">
        <v>50</v>
      </c>
      <c r="AB171">
        <v>250</v>
      </c>
      <c r="AC171">
        <v>50</v>
      </c>
      <c r="AD171">
        <v>250</v>
      </c>
      <c r="AE171">
        <v>0</v>
      </c>
      <c r="AF171">
        <v>0</v>
      </c>
      <c r="AG171">
        <v>50</v>
      </c>
      <c r="AH171">
        <v>250</v>
      </c>
      <c r="AI171">
        <v>1</v>
      </c>
      <c r="AJ171">
        <v>2.6880000000000002</v>
      </c>
      <c r="AK171">
        <v>2034</v>
      </c>
      <c r="AL171" s="61">
        <v>2.7519999999999998</v>
      </c>
      <c r="AM171" s="61">
        <v>2.6880000000000002</v>
      </c>
      <c r="AN171" s="61">
        <v>2.7519999999999998</v>
      </c>
      <c r="AO171">
        <v>1.1725143659072164</v>
      </c>
      <c r="AP171">
        <v>1.0274954447000768</v>
      </c>
      <c r="AQ171">
        <v>1.2047531698150638</v>
      </c>
      <c r="AR171" t="b">
        <v>0</v>
      </c>
      <c r="AS171">
        <v>41.502277190667428</v>
      </c>
      <c r="AT171">
        <v>207.51138595333714</v>
      </c>
      <c r="AU171">
        <v>124.50683157200228</v>
      </c>
    </row>
    <row r="172" spans="1:47" x14ac:dyDescent="0.25">
      <c r="A172" t="s">
        <v>327</v>
      </c>
      <c r="B172" t="s">
        <v>456</v>
      </c>
      <c r="C172" t="s">
        <v>319</v>
      </c>
      <c r="D172">
        <v>2026</v>
      </c>
      <c r="E172">
        <v>0</v>
      </c>
      <c r="F172">
        <v>10</v>
      </c>
      <c r="G172">
        <v>0</v>
      </c>
      <c r="H172">
        <v>0</v>
      </c>
      <c r="I172">
        <v>50</v>
      </c>
      <c r="J172">
        <v>250</v>
      </c>
      <c r="K172">
        <v>1</v>
      </c>
      <c r="L172">
        <v>1</v>
      </c>
      <c r="M172">
        <v>13</v>
      </c>
      <c r="N172">
        <v>0</v>
      </c>
      <c r="O172" t="s">
        <v>27</v>
      </c>
      <c r="P172" t="s">
        <v>443</v>
      </c>
      <c r="Q172">
        <v>2026</v>
      </c>
      <c r="R172">
        <v>2036</v>
      </c>
      <c r="S172" t="s">
        <v>444</v>
      </c>
      <c r="T172">
        <v>2034</v>
      </c>
      <c r="U172">
        <v>41.75</v>
      </c>
      <c r="V172">
        <v>1</v>
      </c>
      <c r="W172">
        <v>2034</v>
      </c>
      <c r="X172">
        <v>8</v>
      </c>
      <c r="Y172">
        <v>2034</v>
      </c>
      <c r="Z172">
        <v>1</v>
      </c>
      <c r="AA172">
        <v>50</v>
      </c>
      <c r="AB172">
        <v>250</v>
      </c>
      <c r="AC172">
        <v>50</v>
      </c>
      <c r="AD172">
        <v>250</v>
      </c>
      <c r="AE172">
        <v>0</v>
      </c>
      <c r="AF172">
        <v>0</v>
      </c>
      <c r="AG172">
        <v>50</v>
      </c>
      <c r="AH172">
        <v>250</v>
      </c>
      <c r="AI172">
        <v>1</v>
      </c>
      <c r="AJ172">
        <v>2.7519999999999998</v>
      </c>
      <c r="AK172">
        <v>2035</v>
      </c>
      <c r="AL172" s="61">
        <v>2.8420000000000001</v>
      </c>
      <c r="AM172" s="61">
        <v>2.7519999999999998</v>
      </c>
      <c r="AN172" s="61">
        <v>2.8420000000000001</v>
      </c>
      <c r="AO172">
        <v>1.2092942481281721</v>
      </c>
      <c r="AP172">
        <v>1.0283854649181425</v>
      </c>
      <c r="AQ172">
        <v>1.2436206275841259</v>
      </c>
      <c r="AR172" t="b">
        <v>0</v>
      </c>
      <c r="AS172">
        <v>40.205187089193487</v>
      </c>
      <c r="AT172">
        <v>201.02593544596743</v>
      </c>
      <c r="AU172">
        <v>120.61556126758046</v>
      </c>
    </row>
    <row r="173" spans="1:47" x14ac:dyDescent="0.25">
      <c r="A173" t="s">
        <v>327</v>
      </c>
      <c r="B173" t="s">
        <v>456</v>
      </c>
      <c r="C173" t="s">
        <v>319</v>
      </c>
      <c r="D173">
        <v>2026</v>
      </c>
      <c r="E173">
        <v>0</v>
      </c>
      <c r="F173">
        <v>10</v>
      </c>
      <c r="G173">
        <v>0</v>
      </c>
      <c r="H173">
        <v>0</v>
      </c>
      <c r="I173">
        <v>50</v>
      </c>
      <c r="J173">
        <v>250</v>
      </c>
      <c r="K173">
        <v>1</v>
      </c>
      <c r="L173">
        <v>1</v>
      </c>
      <c r="M173">
        <v>13</v>
      </c>
      <c r="N173">
        <v>0</v>
      </c>
      <c r="O173" t="s">
        <v>27</v>
      </c>
      <c r="P173" t="s">
        <v>443</v>
      </c>
      <c r="Q173">
        <v>2026</v>
      </c>
      <c r="R173">
        <v>2036</v>
      </c>
      <c r="S173" t="s">
        <v>444</v>
      </c>
      <c r="T173">
        <v>2035</v>
      </c>
      <c r="U173">
        <v>42.75</v>
      </c>
      <c r="V173">
        <v>1</v>
      </c>
      <c r="W173">
        <v>2035</v>
      </c>
      <c r="X173">
        <v>9</v>
      </c>
      <c r="Y173">
        <v>2035</v>
      </c>
      <c r="Z173">
        <v>1</v>
      </c>
      <c r="AA173">
        <v>50</v>
      </c>
      <c r="AB173">
        <v>250</v>
      </c>
      <c r="AC173">
        <v>50</v>
      </c>
      <c r="AD173">
        <v>250</v>
      </c>
      <c r="AE173">
        <v>0</v>
      </c>
      <c r="AF173">
        <v>0</v>
      </c>
      <c r="AG173">
        <v>50</v>
      </c>
      <c r="AH173">
        <v>250</v>
      </c>
      <c r="AI173">
        <v>1</v>
      </c>
      <c r="AJ173">
        <v>2.8420000000000001</v>
      </c>
      <c r="AK173">
        <v>2036</v>
      </c>
      <c r="AL173" s="61">
        <v>2.944</v>
      </c>
      <c r="AM173" s="61">
        <v>2.8420000000000001</v>
      </c>
      <c r="AN173" s="61">
        <v>2.944</v>
      </c>
      <c r="AO173">
        <v>1.2513076834571593</v>
      </c>
      <c r="AP173">
        <v>1.0294008580614105</v>
      </c>
      <c r="AQ173">
        <v>1.2880972030496356</v>
      </c>
      <c r="AR173" t="b">
        <v>0</v>
      </c>
      <c r="AS173">
        <v>38.816946331086243</v>
      </c>
      <c r="AT173">
        <v>194.0847316554312</v>
      </c>
      <c r="AU173">
        <v>116.45083899325871</v>
      </c>
    </row>
    <row r="174" spans="1:47" x14ac:dyDescent="0.25">
      <c r="A174" t="s">
        <v>327</v>
      </c>
      <c r="B174" t="s">
        <v>456</v>
      </c>
      <c r="C174" t="s">
        <v>319</v>
      </c>
      <c r="D174">
        <v>2026</v>
      </c>
      <c r="E174">
        <v>0</v>
      </c>
      <c r="M174">
        <v>13</v>
      </c>
      <c r="Q174">
        <v>2026</v>
      </c>
      <c r="R174">
        <v>2036</v>
      </c>
      <c r="T174">
        <v>2036</v>
      </c>
      <c r="U174">
        <v>43.75</v>
      </c>
      <c r="W174">
        <v>2036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L174" s="61"/>
      <c r="AS174">
        <v>0</v>
      </c>
      <c r="AT174">
        <v>0</v>
      </c>
      <c r="AU174">
        <v>0</v>
      </c>
    </row>
    <row r="175" spans="1:47" x14ac:dyDescent="0.25">
      <c r="A175" t="s">
        <v>354</v>
      </c>
      <c r="B175" t="s">
        <v>457</v>
      </c>
      <c r="C175" t="s">
        <v>320</v>
      </c>
      <c r="D175">
        <v>2026</v>
      </c>
      <c r="E175">
        <v>0</v>
      </c>
      <c r="F175">
        <v>15</v>
      </c>
      <c r="G175">
        <v>0</v>
      </c>
      <c r="H175">
        <v>0</v>
      </c>
      <c r="I175">
        <v>30</v>
      </c>
      <c r="J175">
        <v>45</v>
      </c>
      <c r="K175">
        <v>4</v>
      </c>
      <c r="L175">
        <v>2</v>
      </c>
      <c r="M175">
        <v>14</v>
      </c>
      <c r="N175">
        <v>0</v>
      </c>
      <c r="O175" t="s">
        <v>27</v>
      </c>
      <c r="P175" t="s">
        <v>443</v>
      </c>
      <c r="Q175">
        <v>2026</v>
      </c>
      <c r="R175">
        <v>2041</v>
      </c>
      <c r="S175" t="s">
        <v>444</v>
      </c>
      <c r="T175">
        <v>2026</v>
      </c>
      <c r="U175">
        <v>33.75</v>
      </c>
      <c r="V175">
        <v>1</v>
      </c>
      <c r="W175">
        <v>2026</v>
      </c>
      <c r="X175">
        <v>0</v>
      </c>
      <c r="Y175">
        <v>2026</v>
      </c>
      <c r="Z175">
        <v>1</v>
      </c>
      <c r="AA175">
        <v>120</v>
      </c>
      <c r="AB175">
        <v>180</v>
      </c>
      <c r="AC175">
        <v>120</v>
      </c>
      <c r="AD175">
        <v>180</v>
      </c>
      <c r="AE175">
        <v>0</v>
      </c>
      <c r="AF175">
        <v>0</v>
      </c>
      <c r="AG175">
        <v>120</v>
      </c>
      <c r="AH175">
        <v>180</v>
      </c>
      <c r="AI175">
        <v>1</v>
      </c>
      <c r="AK175">
        <v>2027</v>
      </c>
      <c r="AL175" s="61">
        <v>2.4329999999999998</v>
      </c>
      <c r="AM175" s="61">
        <v>0</v>
      </c>
      <c r="AN175" s="61">
        <v>2.4329999999999998</v>
      </c>
      <c r="AO175">
        <v>1</v>
      </c>
      <c r="AP175">
        <v>1.023385968321771</v>
      </c>
      <c r="AQ175">
        <v>1.023385968321771</v>
      </c>
      <c r="AR175" t="b">
        <v>1</v>
      </c>
      <c r="AS175">
        <v>120</v>
      </c>
      <c r="AT175">
        <v>180</v>
      </c>
      <c r="AU175">
        <v>150</v>
      </c>
    </row>
    <row r="176" spans="1:47" x14ac:dyDescent="0.25">
      <c r="A176" t="s">
        <v>354</v>
      </c>
      <c r="B176" t="s">
        <v>457</v>
      </c>
      <c r="C176" t="s">
        <v>320</v>
      </c>
      <c r="D176">
        <v>2026</v>
      </c>
      <c r="E176">
        <v>0</v>
      </c>
      <c r="F176">
        <v>15</v>
      </c>
      <c r="G176">
        <v>0</v>
      </c>
      <c r="H176">
        <v>0</v>
      </c>
      <c r="I176">
        <v>30</v>
      </c>
      <c r="J176">
        <v>45</v>
      </c>
      <c r="K176">
        <v>4</v>
      </c>
      <c r="L176">
        <v>2</v>
      </c>
      <c r="M176">
        <v>14</v>
      </c>
      <c r="N176">
        <v>0</v>
      </c>
      <c r="O176" t="s">
        <v>27</v>
      </c>
      <c r="P176" t="s">
        <v>443</v>
      </c>
      <c r="Q176">
        <v>2026</v>
      </c>
      <c r="R176">
        <v>2041</v>
      </c>
      <c r="S176" t="s">
        <v>444</v>
      </c>
      <c r="T176">
        <v>2027</v>
      </c>
      <c r="U176">
        <v>34.75</v>
      </c>
      <c r="V176">
        <v>1</v>
      </c>
      <c r="W176">
        <v>2027</v>
      </c>
      <c r="X176">
        <v>1</v>
      </c>
      <c r="Y176">
        <v>2027</v>
      </c>
      <c r="Z176">
        <v>1</v>
      </c>
      <c r="AA176">
        <v>120</v>
      </c>
      <c r="AB176">
        <v>180</v>
      </c>
      <c r="AC176">
        <v>120</v>
      </c>
      <c r="AD176">
        <v>180</v>
      </c>
      <c r="AE176">
        <v>0</v>
      </c>
      <c r="AF176">
        <v>0</v>
      </c>
      <c r="AG176">
        <v>120</v>
      </c>
      <c r="AH176">
        <v>180</v>
      </c>
      <c r="AI176">
        <v>1</v>
      </c>
      <c r="AJ176">
        <v>2.4329999999999998</v>
      </c>
      <c r="AK176">
        <v>2028</v>
      </c>
      <c r="AL176" s="61">
        <v>2.4220000000000002</v>
      </c>
      <c r="AM176" s="61">
        <v>2.4329999999999998</v>
      </c>
      <c r="AN176" s="61">
        <v>2.4220000000000002</v>
      </c>
      <c r="AO176">
        <v>1</v>
      </c>
      <c r="AP176">
        <v>1.0242242189602202</v>
      </c>
      <c r="AQ176">
        <v>1.0242242189602202</v>
      </c>
      <c r="AR176" t="b">
        <v>0</v>
      </c>
      <c r="AS176">
        <v>117.16184579370963</v>
      </c>
      <c r="AT176">
        <v>175.74276869056445</v>
      </c>
      <c r="AU176">
        <v>146.45230724213704</v>
      </c>
    </row>
    <row r="177" spans="1:47" x14ac:dyDescent="0.25">
      <c r="A177" t="s">
        <v>354</v>
      </c>
      <c r="B177" t="s">
        <v>457</v>
      </c>
      <c r="C177" t="s">
        <v>320</v>
      </c>
      <c r="D177">
        <v>2026</v>
      </c>
      <c r="E177">
        <v>0</v>
      </c>
      <c r="F177">
        <v>15</v>
      </c>
      <c r="G177">
        <v>0</v>
      </c>
      <c r="H177">
        <v>0</v>
      </c>
      <c r="I177">
        <v>30</v>
      </c>
      <c r="J177">
        <v>45</v>
      </c>
      <c r="K177">
        <v>4</v>
      </c>
      <c r="L177">
        <v>2</v>
      </c>
      <c r="M177">
        <v>14</v>
      </c>
      <c r="N177">
        <v>0</v>
      </c>
      <c r="O177" t="s">
        <v>27</v>
      </c>
      <c r="P177" t="s">
        <v>443</v>
      </c>
      <c r="Q177">
        <v>2026</v>
      </c>
      <c r="R177">
        <v>2041</v>
      </c>
      <c r="S177" t="s">
        <v>444</v>
      </c>
      <c r="T177">
        <v>2028</v>
      </c>
      <c r="U177">
        <v>35.75</v>
      </c>
      <c r="V177">
        <v>1</v>
      </c>
      <c r="W177">
        <v>2028</v>
      </c>
      <c r="X177">
        <v>2</v>
      </c>
      <c r="Y177">
        <v>2028</v>
      </c>
      <c r="Z177">
        <v>1</v>
      </c>
      <c r="AA177">
        <v>120</v>
      </c>
      <c r="AB177">
        <v>180</v>
      </c>
      <c r="AC177">
        <v>120</v>
      </c>
      <c r="AD177">
        <v>180</v>
      </c>
      <c r="AE177">
        <v>0</v>
      </c>
      <c r="AF177">
        <v>0</v>
      </c>
      <c r="AG177">
        <v>120</v>
      </c>
      <c r="AH177">
        <v>180</v>
      </c>
      <c r="AI177">
        <v>1</v>
      </c>
      <c r="AJ177">
        <v>2.4220000000000002</v>
      </c>
      <c r="AK177">
        <v>2029</v>
      </c>
      <c r="AL177" s="61">
        <v>2.4209999999999998</v>
      </c>
      <c r="AM177" s="61">
        <v>2.4220000000000002</v>
      </c>
      <c r="AN177" s="61">
        <v>2.4209999999999998</v>
      </c>
      <c r="AO177">
        <v>1.0242199999999999</v>
      </c>
      <c r="AP177">
        <v>1.0242103835598433</v>
      </c>
      <c r="AQ177">
        <v>1.0490167590496626</v>
      </c>
      <c r="AR177" t="b">
        <v>0</v>
      </c>
      <c r="AS177">
        <v>114.39283401793483</v>
      </c>
      <c r="AT177">
        <v>171.58925102690225</v>
      </c>
      <c r="AU177">
        <v>142.99104252241852</v>
      </c>
    </row>
    <row r="178" spans="1:47" x14ac:dyDescent="0.25">
      <c r="A178" t="s">
        <v>354</v>
      </c>
      <c r="B178" t="s">
        <v>457</v>
      </c>
      <c r="C178" t="s">
        <v>320</v>
      </c>
      <c r="D178">
        <v>2026</v>
      </c>
      <c r="E178">
        <v>0</v>
      </c>
      <c r="F178">
        <v>15</v>
      </c>
      <c r="G178">
        <v>0</v>
      </c>
      <c r="H178">
        <v>0</v>
      </c>
      <c r="I178">
        <v>30</v>
      </c>
      <c r="J178">
        <v>45</v>
      </c>
      <c r="K178">
        <v>4</v>
      </c>
      <c r="L178">
        <v>2</v>
      </c>
      <c r="M178">
        <v>14</v>
      </c>
      <c r="N178">
        <v>0</v>
      </c>
      <c r="O178" t="s">
        <v>27</v>
      </c>
      <c r="P178" t="s">
        <v>443</v>
      </c>
      <c r="Q178">
        <v>2026</v>
      </c>
      <c r="R178">
        <v>2041</v>
      </c>
      <c r="S178" t="s">
        <v>444</v>
      </c>
      <c r="T178">
        <v>2029</v>
      </c>
      <c r="U178">
        <v>36.75</v>
      </c>
      <c r="V178">
        <v>1</v>
      </c>
      <c r="W178">
        <v>2029</v>
      </c>
      <c r="X178">
        <v>3</v>
      </c>
      <c r="Y178">
        <v>2029</v>
      </c>
      <c r="Z178">
        <v>1</v>
      </c>
      <c r="AA178">
        <v>120</v>
      </c>
      <c r="AB178">
        <v>180</v>
      </c>
      <c r="AC178">
        <v>120</v>
      </c>
      <c r="AD178">
        <v>180</v>
      </c>
      <c r="AE178">
        <v>0</v>
      </c>
      <c r="AF178">
        <v>0</v>
      </c>
      <c r="AG178">
        <v>120</v>
      </c>
      <c r="AH178">
        <v>180</v>
      </c>
      <c r="AI178">
        <v>1</v>
      </c>
      <c r="AJ178">
        <v>2.4209999999999998</v>
      </c>
      <c r="AK178">
        <v>2030</v>
      </c>
      <c r="AL178" s="61">
        <v>2.4670000000000001</v>
      </c>
      <c r="AM178" s="61">
        <v>2.4209999999999998</v>
      </c>
      <c r="AN178" s="61">
        <v>2.4670000000000001</v>
      </c>
      <c r="AO178">
        <v>1.0490061241000002</v>
      </c>
      <c r="AP178">
        <v>1.0246523523547908</v>
      </c>
      <c r="AQ178">
        <v>1.0748665926936467</v>
      </c>
      <c r="AR178" t="b">
        <v>0</v>
      </c>
      <c r="AS178">
        <v>111.64176169926031</v>
      </c>
      <c r="AT178">
        <v>167.46264254889047</v>
      </c>
      <c r="AU178">
        <v>139.55220212407539</v>
      </c>
    </row>
    <row r="179" spans="1:47" x14ac:dyDescent="0.25">
      <c r="A179" t="s">
        <v>354</v>
      </c>
      <c r="B179" t="s">
        <v>457</v>
      </c>
      <c r="C179" t="s">
        <v>320</v>
      </c>
      <c r="D179">
        <v>2026</v>
      </c>
      <c r="E179">
        <v>0</v>
      </c>
      <c r="F179">
        <v>15</v>
      </c>
      <c r="G179">
        <v>0</v>
      </c>
      <c r="H179">
        <v>0</v>
      </c>
      <c r="I179">
        <v>30</v>
      </c>
      <c r="J179">
        <v>45</v>
      </c>
      <c r="K179">
        <v>4</v>
      </c>
      <c r="L179">
        <v>2</v>
      </c>
      <c r="M179">
        <v>14</v>
      </c>
      <c r="N179">
        <v>0</v>
      </c>
      <c r="O179" t="s">
        <v>27</v>
      </c>
      <c r="P179" t="s">
        <v>443</v>
      </c>
      <c r="Q179">
        <v>2026</v>
      </c>
      <c r="R179">
        <v>2041</v>
      </c>
      <c r="S179" t="s">
        <v>444</v>
      </c>
      <c r="T179">
        <v>2030</v>
      </c>
      <c r="U179">
        <v>37.75</v>
      </c>
      <c r="V179">
        <v>1</v>
      </c>
      <c r="W179">
        <v>2030</v>
      </c>
      <c r="X179">
        <v>4</v>
      </c>
      <c r="Y179">
        <v>2030</v>
      </c>
      <c r="Z179">
        <v>1</v>
      </c>
      <c r="AA179">
        <v>120</v>
      </c>
      <c r="AB179">
        <v>180</v>
      </c>
      <c r="AC179">
        <v>120</v>
      </c>
      <c r="AD179">
        <v>180</v>
      </c>
      <c r="AE179">
        <v>0</v>
      </c>
      <c r="AF179">
        <v>0</v>
      </c>
      <c r="AG179">
        <v>120</v>
      </c>
      <c r="AH179">
        <v>180</v>
      </c>
      <c r="AI179">
        <v>1</v>
      </c>
      <c r="AJ179">
        <v>2.4670000000000001</v>
      </c>
      <c r="AK179">
        <v>2031</v>
      </c>
      <c r="AL179" s="61">
        <v>2.5169999999999999</v>
      </c>
      <c r="AM179" s="61">
        <v>2.4670000000000001</v>
      </c>
      <c r="AN179" s="61">
        <v>2.5169999999999999</v>
      </c>
      <c r="AO179">
        <v>1.0758508410815628</v>
      </c>
      <c r="AP179">
        <v>1.0251508174189523</v>
      </c>
      <c r="AQ179">
        <v>1.1029093691556315</v>
      </c>
      <c r="AR179" t="b">
        <v>0</v>
      </c>
      <c r="AS179">
        <v>108.80313773367429</v>
      </c>
      <c r="AT179">
        <v>163.20470660051143</v>
      </c>
      <c r="AU179">
        <v>136.00392216709287</v>
      </c>
    </row>
    <row r="180" spans="1:47" x14ac:dyDescent="0.25">
      <c r="A180" t="s">
        <v>354</v>
      </c>
      <c r="B180" t="s">
        <v>457</v>
      </c>
      <c r="C180" t="s">
        <v>320</v>
      </c>
      <c r="D180">
        <v>2026</v>
      </c>
      <c r="E180">
        <v>0</v>
      </c>
      <c r="F180">
        <v>15</v>
      </c>
      <c r="G180">
        <v>0</v>
      </c>
      <c r="H180">
        <v>0</v>
      </c>
      <c r="I180">
        <v>30</v>
      </c>
      <c r="J180">
        <v>45</v>
      </c>
      <c r="K180">
        <v>4</v>
      </c>
      <c r="L180">
        <v>2</v>
      </c>
      <c r="M180">
        <v>14</v>
      </c>
      <c r="N180">
        <v>0</v>
      </c>
      <c r="O180" t="s">
        <v>27</v>
      </c>
      <c r="P180" t="s">
        <v>443</v>
      </c>
      <c r="Q180">
        <v>2026</v>
      </c>
      <c r="R180">
        <v>2041</v>
      </c>
      <c r="S180" t="s">
        <v>444</v>
      </c>
      <c r="T180">
        <v>2031</v>
      </c>
      <c r="U180">
        <v>38.75</v>
      </c>
      <c r="V180">
        <v>1</v>
      </c>
      <c r="W180">
        <v>2031</v>
      </c>
      <c r="X180">
        <v>5</v>
      </c>
      <c r="Y180">
        <v>2031</v>
      </c>
      <c r="Z180">
        <v>1</v>
      </c>
      <c r="AA180">
        <v>120</v>
      </c>
      <c r="AB180">
        <v>180</v>
      </c>
      <c r="AC180">
        <v>120</v>
      </c>
      <c r="AD180">
        <v>180</v>
      </c>
      <c r="AE180">
        <v>0</v>
      </c>
      <c r="AF180">
        <v>0</v>
      </c>
      <c r="AG180">
        <v>120</v>
      </c>
      <c r="AH180">
        <v>180</v>
      </c>
      <c r="AI180">
        <v>1</v>
      </c>
      <c r="AJ180">
        <v>2.5169999999999999</v>
      </c>
      <c r="AK180">
        <v>2032</v>
      </c>
      <c r="AL180" s="61">
        <v>2.59</v>
      </c>
      <c r="AM180" s="61">
        <v>2.5169999999999999</v>
      </c>
      <c r="AN180" s="61">
        <v>2.59</v>
      </c>
      <c r="AO180">
        <v>1.1045453584485188</v>
      </c>
      <c r="AP180">
        <v>1.0258719904156592</v>
      </c>
      <c r="AQ180">
        <v>1.1331221453759597</v>
      </c>
      <c r="AR180" t="b">
        <v>0</v>
      </c>
      <c r="AS180">
        <v>105.90208698126281</v>
      </c>
      <c r="AT180">
        <v>158.85313047189422</v>
      </c>
      <c r="AU180">
        <v>132.3776087265785</v>
      </c>
    </row>
    <row r="181" spans="1:47" x14ac:dyDescent="0.25">
      <c r="A181" t="s">
        <v>354</v>
      </c>
      <c r="B181" t="s">
        <v>457</v>
      </c>
      <c r="C181" t="s">
        <v>320</v>
      </c>
      <c r="D181">
        <v>2026</v>
      </c>
      <c r="E181">
        <v>0</v>
      </c>
      <c r="F181">
        <v>15</v>
      </c>
      <c r="G181">
        <v>0</v>
      </c>
      <c r="H181">
        <v>0</v>
      </c>
      <c r="I181">
        <v>30</v>
      </c>
      <c r="J181">
        <v>45</v>
      </c>
      <c r="K181">
        <v>4</v>
      </c>
      <c r="L181">
        <v>2</v>
      </c>
      <c r="M181">
        <v>14</v>
      </c>
      <c r="N181">
        <v>0</v>
      </c>
      <c r="O181" t="s">
        <v>27</v>
      </c>
      <c r="P181" t="s">
        <v>443</v>
      </c>
      <c r="Q181">
        <v>2026</v>
      </c>
      <c r="R181">
        <v>2041</v>
      </c>
      <c r="S181" t="s">
        <v>444</v>
      </c>
      <c r="T181">
        <v>2032</v>
      </c>
      <c r="U181">
        <v>39.75</v>
      </c>
      <c r="V181">
        <v>1</v>
      </c>
      <c r="W181">
        <v>2032</v>
      </c>
      <c r="X181">
        <v>6</v>
      </c>
      <c r="Y181">
        <v>2032</v>
      </c>
      <c r="Z181">
        <v>1</v>
      </c>
      <c r="AA181">
        <v>120</v>
      </c>
      <c r="AB181">
        <v>180</v>
      </c>
      <c r="AC181">
        <v>120</v>
      </c>
      <c r="AD181">
        <v>180</v>
      </c>
      <c r="AE181">
        <v>0</v>
      </c>
      <c r="AF181">
        <v>0</v>
      </c>
      <c r="AG181">
        <v>120</v>
      </c>
      <c r="AH181">
        <v>180</v>
      </c>
      <c r="AI181">
        <v>1</v>
      </c>
      <c r="AJ181">
        <v>2.59</v>
      </c>
      <c r="AK181">
        <v>2033</v>
      </c>
      <c r="AL181" s="61">
        <v>2.6880000000000002</v>
      </c>
      <c r="AM181" s="61">
        <v>2.59</v>
      </c>
      <c r="AN181" s="61">
        <v>2.6880000000000002</v>
      </c>
      <c r="AO181">
        <v>1.1363841013749196</v>
      </c>
      <c r="AP181">
        <v>1.0268423936996114</v>
      </c>
      <c r="AQ181">
        <v>1.1668873708180043</v>
      </c>
      <c r="AR181" t="b">
        <v>0</v>
      </c>
      <c r="AS181">
        <v>102.83768853876474</v>
      </c>
      <c r="AT181">
        <v>154.25653280814711</v>
      </c>
      <c r="AU181">
        <v>128.54711067345593</v>
      </c>
    </row>
    <row r="182" spans="1:47" x14ac:dyDescent="0.25">
      <c r="A182" t="s">
        <v>354</v>
      </c>
      <c r="B182" t="s">
        <v>457</v>
      </c>
      <c r="C182" t="s">
        <v>320</v>
      </c>
      <c r="D182">
        <v>2026</v>
      </c>
      <c r="E182">
        <v>0</v>
      </c>
      <c r="F182">
        <v>15</v>
      </c>
      <c r="G182">
        <v>0</v>
      </c>
      <c r="H182">
        <v>0</v>
      </c>
      <c r="I182">
        <v>30</v>
      </c>
      <c r="J182">
        <v>45</v>
      </c>
      <c r="K182">
        <v>4</v>
      </c>
      <c r="L182">
        <v>2</v>
      </c>
      <c r="M182">
        <v>14</v>
      </c>
      <c r="N182">
        <v>0</v>
      </c>
      <c r="O182" t="s">
        <v>27</v>
      </c>
      <c r="P182" t="s">
        <v>443</v>
      </c>
      <c r="Q182">
        <v>2026</v>
      </c>
      <c r="R182">
        <v>2041</v>
      </c>
      <c r="S182" t="s">
        <v>444</v>
      </c>
      <c r="T182">
        <v>2033</v>
      </c>
      <c r="U182">
        <v>40.75</v>
      </c>
      <c r="V182">
        <v>1</v>
      </c>
      <c r="W182">
        <v>2033</v>
      </c>
      <c r="X182">
        <v>7</v>
      </c>
      <c r="Y182">
        <v>2033</v>
      </c>
      <c r="Z182">
        <v>1</v>
      </c>
      <c r="AA182">
        <v>120</v>
      </c>
      <c r="AB182">
        <v>180</v>
      </c>
      <c r="AC182">
        <v>120</v>
      </c>
      <c r="AD182">
        <v>180</v>
      </c>
      <c r="AE182">
        <v>0</v>
      </c>
      <c r="AF182">
        <v>0</v>
      </c>
      <c r="AG182">
        <v>120</v>
      </c>
      <c r="AH182">
        <v>180</v>
      </c>
      <c r="AI182">
        <v>1</v>
      </c>
      <c r="AJ182">
        <v>2.6880000000000002</v>
      </c>
      <c r="AK182">
        <v>2034</v>
      </c>
      <c r="AL182" s="61">
        <v>2.7519999999999998</v>
      </c>
      <c r="AM182" s="61">
        <v>2.6880000000000002</v>
      </c>
      <c r="AN182" s="61">
        <v>2.7519999999999998</v>
      </c>
      <c r="AO182">
        <v>1.1725143659072164</v>
      </c>
      <c r="AP182">
        <v>1.0274954447000768</v>
      </c>
      <c r="AQ182">
        <v>1.2047531698150638</v>
      </c>
      <c r="AR182" t="b">
        <v>0</v>
      </c>
      <c r="AS182">
        <v>99.605465257601821</v>
      </c>
      <c r="AT182">
        <v>149.40819788640275</v>
      </c>
      <c r="AU182">
        <v>124.50683157200228</v>
      </c>
    </row>
    <row r="183" spans="1:47" x14ac:dyDescent="0.25">
      <c r="A183" t="s">
        <v>354</v>
      </c>
      <c r="B183" t="s">
        <v>457</v>
      </c>
      <c r="C183" t="s">
        <v>320</v>
      </c>
      <c r="D183">
        <v>2026</v>
      </c>
      <c r="E183">
        <v>0</v>
      </c>
      <c r="F183">
        <v>15</v>
      </c>
      <c r="G183">
        <v>0</v>
      </c>
      <c r="H183">
        <v>0</v>
      </c>
      <c r="I183">
        <v>30</v>
      </c>
      <c r="J183">
        <v>45</v>
      </c>
      <c r="K183">
        <v>4</v>
      </c>
      <c r="L183">
        <v>2</v>
      </c>
      <c r="M183">
        <v>14</v>
      </c>
      <c r="N183">
        <v>0</v>
      </c>
      <c r="O183" t="s">
        <v>27</v>
      </c>
      <c r="P183" t="s">
        <v>443</v>
      </c>
      <c r="Q183">
        <v>2026</v>
      </c>
      <c r="R183">
        <v>2041</v>
      </c>
      <c r="S183" t="s">
        <v>444</v>
      </c>
      <c r="T183">
        <v>2034</v>
      </c>
      <c r="U183">
        <v>41.75</v>
      </c>
      <c r="V183">
        <v>1</v>
      </c>
      <c r="W183">
        <v>2034</v>
      </c>
      <c r="X183">
        <v>8</v>
      </c>
      <c r="Y183">
        <v>2034</v>
      </c>
      <c r="Z183">
        <v>1</v>
      </c>
      <c r="AA183">
        <v>120</v>
      </c>
      <c r="AB183">
        <v>180</v>
      </c>
      <c r="AC183">
        <v>120</v>
      </c>
      <c r="AD183">
        <v>180</v>
      </c>
      <c r="AE183">
        <v>0</v>
      </c>
      <c r="AF183">
        <v>0</v>
      </c>
      <c r="AG183">
        <v>120</v>
      </c>
      <c r="AH183">
        <v>180</v>
      </c>
      <c r="AI183">
        <v>1</v>
      </c>
      <c r="AJ183">
        <v>2.7519999999999998</v>
      </c>
      <c r="AK183">
        <v>2035</v>
      </c>
      <c r="AL183" s="61">
        <v>2.8420000000000001</v>
      </c>
      <c r="AM183" s="61">
        <v>2.7519999999999998</v>
      </c>
      <c r="AN183" s="61">
        <v>2.8420000000000001</v>
      </c>
      <c r="AO183">
        <v>1.2092942481281721</v>
      </c>
      <c r="AP183">
        <v>1.0283854649181425</v>
      </c>
      <c r="AQ183">
        <v>1.2436206275841259</v>
      </c>
      <c r="AR183" t="b">
        <v>0</v>
      </c>
      <c r="AS183">
        <v>96.492449014064363</v>
      </c>
      <c r="AT183">
        <v>144.73867352109656</v>
      </c>
      <c r="AU183">
        <v>120.61556126758046</v>
      </c>
    </row>
    <row r="184" spans="1:47" x14ac:dyDescent="0.25">
      <c r="A184" t="s">
        <v>354</v>
      </c>
      <c r="B184" t="s">
        <v>457</v>
      </c>
      <c r="C184" t="s">
        <v>320</v>
      </c>
      <c r="D184">
        <v>2026</v>
      </c>
      <c r="E184">
        <v>0</v>
      </c>
      <c r="F184">
        <v>15</v>
      </c>
      <c r="G184">
        <v>0</v>
      </c>
      <c r="H184">
        <v>0</v>
      </c>
      <c r="I184">
        <v>30</v>
      </c>
      <c r="J184">
        <v>45</v>
      </c>
      <c r="K184">
        <v>4</v>
      </c>
      <c r="L184">
        <v>2</v>
      </c>
      <c r="M184">
        <v>14</v>
      </c>
      <c r="N184">
        <v>0</v>
      </c>
      <c r="O184" t="s">
        <v>27</v>
      </c>
      <c r="P184" t="s">
        <v>443</v>
      </c>
      <c r="Q184">
        <v>2026</v>
      </c>
      <c r="R184">
        <v>2041</v>
      </c>
      <c r="S184" t="s">
        <v>444</v>
      </c>
      <c r="T184">
        <v>2035</v>
      </c>
      <c r="U184">
        <v>42.75</v>
      </c>
      <c r="V184">
        <v>1</v>
      </c>
      <c r="W184">
        <v>2035</v>
      </c>
      <c r="X184">
        <v>9</v>
      </c>
      <c r="Y184">
        <v>2035</v>
      </c>
      <c r="Z184">
        <v>1</v>
      </c>
      <c r="AA184">
        <v>120</v>
      </c>
      <c r="AB184">
        <v>180</v>
      </c>
      <c r="AC184">
        <v>120</v>
      </c>
      <c r="AD184">
        <v>180</v>
      </c>
      <c r="AE184">
        <v>0</v>
      </c>
      <c r="AF184">
        <v>0</v>
      </c>
      <c r="AG184">
        <v>120</v>
      </c>
      <c r="AH184">
        <v>180</v>
      </c>
      <c r="AI184">
        <v>1</v>
      </c>
      <c r="AJ184">
        <v>2.8420000000000001</v>
      </c>
      <c r="AK184">
        <v>2036</v>
      </c>
      <c r="AL184" s="61">
        <v>2.944</v>
      </c>
      <c r="AM184" s="61">
        <v>2.8420000000000001</v>
      </c>
      <c r="AN184" s="61">
        <v>2.944</v>
      </c>
      <c r="AO184">
        <v>1.2513076834571593</v>
      </c>
      <c r="AP184">
        <v>1.0294008580614105</v>
      </c>
      <c r="AQ184">
        <v>1.2880972030496356</v>
      </c>
      <c r="AR184" t="b">
        <v>0</v>
      </c>
      <c r="AS184">
        <v>93.160671194606977</v>
      </c>
      <c r="AT184">
        <v>139.74100679191045</v>
      </c>
      <c r="AU184">
        <v>116.45083899325871</v>
      </c>
    </row>
    <row r="185" spans="1:47" x14ac:dyDescent="0.25">
      <c r="A185" t="s">
        <v>354</v>
      </c>
      <c r="B185" t="s">
        <v>457</v>
      </c>
      <c r="C185" t="s">
        <v>320</v>
      </c>
      <c r="D185">
        <v>2026</v>
      </c>
      <c r="E185">
        <v>0</v>
      </c>
      <c r="F185">
        <v>15</v>
      </c>
      <c r="G185">
        <v>0</v>
      </c>
      <c r="H185">
        <v>0</v>
      </c>
      <c r="I185">
        <v>30</v>
      </c>
      <c r="J185">
        <v>45</v>
      </c>
      <c r="K185">
        <v>4</v>
      </c>
      <c r="L185">
        <v>2</v>
      </c>
      <c r="M185">
        <v>14</v>
      </c>
      <c r="N185">
        <v>0</v>
      </c>
      <c r="O185" t="s">
        <v>27</v>
      </c>
      <c r="P185" t="s">
        <v>443</v>
      </c>
      <c r="Q185">
        <v>2026</v>
      </c>
      <c r="R185">
        <v>2041</v>
      </c>
      <c r="S185" t="s">
        <v>444</v>
      </c>
      <c r="T185">
        <v>2036</v>
      </c>
      <c r="U185">
        <v>43.75</v>
      </c>
      <c r="V185">
        <v>1</v>
      </c>
      <c r="W185">
        <v>2036</v>
      </c>
      <c r="X185">
        <v>10</v>
      </c>
      <c r="Y185">
        <v>2036</v>
      </c>
      <c r="Z185">
        <v>1</v>
      </c>
      <c r="AA185">
        <v>120</v>
      </c>
      <c r="AB185">
        <v>180</v>
      </c>
      <c r="AC185">
        <v>120</v>
      </c>
      <c r="AD185">
        <v>180</v>
      </c>
      <c r="AE185">
        <v>0</v>
      </c>
      <c r="AF185">
        <v>0</v>
      </c>
      <c r="AG185">
        <v>120</v>
      </c>
      <c r="AH185">
        <v>180</v>
      </c>
      <c r="AI185">
        <v>1</v>
      </c>
      <c r="AJ185">
        <v>2.944</v>
      </c>
      <c r="AK185">
        <v>2037</v>
      </c>
      <c r="AL185" s="61">
        <v>3.036</v>
      </c>
      <c r="AM185" s="61">
        <v>2.944</v>
      </c>
      <c r="AN185" s="61">
        <v>3.036</v>
      </c>
      <c r="AO185">
        <v>1.2984025298030446</v>
      </c>
      <c r="AP185">
        <v>1.0303246971701443</v>
      </c>
      <c r="AQ185">
        <v>1.3377761933242711</v>
      </c>
      <c r="AR185" t="b">
        <v>0</v>
      </c>
      <c r="AS185">
        <v>89.701102919023555</v>
      </c>
      <c r="AT185">
        <v>134.55165437853535</v>
      </c>
      <c r="AU185">
        <v>112.12637864877945</v>
      </c>
    </row>
    <row r="186" spans="1:47" x14ac:dyDescent="0.25">
      <c r="A186" t="s">
        <v>354</v>
      </c>
      <c r="B186" t="s">
        <v>457</v>
      </c>
      <c r="C186" t="s">
        <v>320</v>
      </c>
      <c r="D186">
        <v>2026</v>
      </c>
      <c r="E186">
        <v>0</v>
      </c>
      <c r="F186">
        <v>15</v>
      </c>
      <c r="G186">
        <v>0</v>
      </c>
      <c r="H186">
        <v>0</v>
      </c>
      <c r="I186">
        <v>30</v>
      </c>
      <c r="J186">
        <v>45</v>
      </c>
      <c r="K186">
        <v>4</v>
      </c>
      <c r="L186">
        <v>2</v>
      </c>
      <c r="M186">
        <v>14</v>
      </c>
      <c r="N186">
        <v>0</v>
      </c>
      <c r="O186" t="s">
        <v>27</v>
      </c>
      <c r="P186" t="s">
        <v>443</v>
      </c>
      <c r="Q186">
        <v>2026</v>
      </c>
      <c r="R186">
        <v>2041</v>
      </c>
      <c r="S186" t="s">
        <v>444</v>
      </c>
      <c r="T186">
        <v>2037</v>
      </c>
      <c r="U186">
        <v>44.75</v>
      </c>
      <c r="V186">
        <v>1</v>
      </c>
      <c r="W186">
        <v>2037</v>
      </c>
      <c r="X186">
        <v>11</v>
      </c>
      <c r="Y186">
        <v>2037</v>
      </c>
      <c r="Z186">
        <v>1</v>
      </c>
      <c r="AA186">
        <v>120</v>
      </c>
      <c r="AB186">
        <v>180</v>
      </c>
      <c r="AC186">
        <v>120</v>
      </c>
      <c r="AD186">
        <v>180</v>
      </c>
      <c r="AE186">
        <v>0</v>
      </c>
      <c r="AF186">
        <v>0</v>
      </c>
      <c r="AG186">
        <v>120</v>
      </c>
      <c r="AH186">
        <v>180</v>
      </c>
      <c r="AI186">
        <v>1</v>
      </c>
      <c r="AJ186">
        <v>3.036</v>
      </c>
      <c r="AK186">
        <v>2038</v>
      </c>
      <c r="AL186" s="61">
        <v>3.1339999999999999</v>
      </c>
      <c r="AM186" s="61">
        <v>3.036</v>
      </c>
      <c r="AN186" s="61">
        <v>3.1339999999999999</v>
      </c>
      <c r="AO186">
        <v>1.3486209574989538</v>
      </c>
      <c r="AP186">
        <v>1.0313023937742947</v>
      </c>
      <c r="AQ186">
        <v>1.3908360217628524</v>
      </c>
      <c r="AR186" t="b">
        <v>0</v>
      </c>
      <c r="AS186">
        <v>86.279042333044259</v>
      </c>
      <c r="AT186">
        <v>129.41856349956637</v>
      </c>
      <c r="AU186">
        <v>107.84880291630532</v>
      </c>
    </row>
    <row r="187" spans="1:47" x14ac:dyDescent="0.25">
      <c r="A187" t="s">
        <v>354</v>
      </c>
      <c r="B187" t="s">
        <v>457</v>
      </c>
      <c r="C187" t="s">
        <v>320</v>
      </c>
      <c r="D187">
        <v>2026</v>
      </c>
      <c r="E187">
        <v>0</v>
      </c>
      <c r="F187">
        <v>15</v>
      </c>
      <c r="G187">
        <v>0</v>
      </c>
      <c r="H187">
        <v>0</v>
      </c>
      <c r="I187">
        <v>30</v>
      </c>
      <c r="J187">
        <v>45</v>
      </c>
      <c r="K187">
        <v>4</v>
      </c>
      <c r="L187">
        <v>2</v>
      </c>
      <c r="M187">
        <v>14</v>
      </c>
      <c r="N187">
        <v>0</v>
      </c>
      <c r="O187" t="s">
        <v>27</v>
      </c>
      <c r="P187" t="s">
        <v>443</v>
      </c>
      <c r="Q187">
        <v>2026</v>
      </c>
      <c r="R187">
        <v>2041</v>
      </c>
      <c r="S187" t="s">
        <v>444</v>
      </c>
      <c r="T187">
        <v>2038</v>
      </c>
      <c r="U187">
        <v>45.75</v>
      </c>
      <c r="V187">
        <v>1</v>
      </c>
      <c r="W187">
        <v>2038</v>
      </c>
      <c r="X187">
        <v>12</v>
      </c>
      <c r="Y187">
        <v>2038</v>
      </c>
      <c r="Z187">
        <v>1</v>
      </c>
      <c r="AA187">
        <v>120</v>
      </c>
      <c r="AB187">
        <v>180</v>
      </c>
      <c r="AC187">
        <v>120</v>
      </c>
      <c r="AD187">
        <v>180</v>
      </c>
      <c r="AE187">
        <v>0</v>
      </c>
      <c r="AF187">
        <v>0</v>
      </c>
      <c r="AG187">
        <v>120</v>
      </c>
      <c r="AH187">
        <v>180</v>
      </c>
      <c r="AI187">
        <v>1</v>
      </c>
      <c r="AJ187">
        <v>3.1339999999999999</v>
      </c>
      <c r="AK187">
        <v>2039</v>
      </c>
      <c r="AL187" s="61">
        <v>3.2069999999999999</v>
      </c>
      <c r="AM187" s="61">
        <v>3.1339999999999999</v>
      </c>
      <c r="AN187" s="61">
        <v>3.2069999999999999</v>
      </c>
      <c r="AO187">
        <v>1.4041725591738043</v>
      </c>
      <c r="AP187">
        <v>1.0320419904729838</v>
      </c>
      <c r="AQ187">
        <v>1.4491650429372767</v>
      </c>
      <c r="AR187" t="b">
        <v>0</v>
      </c>
      <c r="AS187">
        <v>82.806303246713</v>
      </c>
      <c r="AT187">
        <v>124.20945487006951</v>
      </c>
      <c r="AU187">
        <v>103.50787905839125</v>
      </c>
    </row>
    <row r="188" spans="1:47" x14ac:dyDescent="0.25">
      <c r="A188" t="s">
        <v>354</v>
      </c>
      <c r="B188" t="s">
        <v>457</v>
      </c>
      <c r="C188" t="s">
        <v>320</v>
      </c>
      <c r="D188">
        <v>2026</v>
      </c>
      <c r="E188">
        <v>0</v>
      </c>
      <c r="F188">
        <v>15</v>
      </c>
      <c r="G188">
        <v>0</v>
      </c>
      <c r="H188">
        <v>0</v>
      </c>
      <c r="I188">
        <v>30</v>
      </c>
      <c r="J188">
        <v>45</v>
      </c>
      <c r="K188">
        <v>4</v>
      </c>
      <c r="L188">
        <v>2</v>
      </c>
      <c r="M188">
        <v>14</v>
      </c>
      <c r="N188">
        <v>0</v>
      </c>
      <c r="O188" t="s">
        <v>27</v>
      </c>
      <c r="P188" t="s">
        <v>443</v>
      </c>
      <c r="Q188">
        <v>2026</v>
      </c>
      <c r="R188">
        <v>2041</v>
      </c>
      <c r="S188" t="s">
        <v>444</v>
      </c>
      <c r="T188">
        <v>2039</v>
      </c>
      <c r="U188">
        <v>46.75</v>
      </c>
      <c r="V188">
        <v>1</v>
      </c>
      <c r="W188">
        <v>2039</v>
      </c>
      <c r="X188">
        <v>13</v>
      </c>
      <c r="Y188">
        <v>2039</v>
      </c>
      <c r="Z188">
        <v>1</v>
      </c>
      <c r="AA188">
        <v>120</v>
      </c>
      <c r="AB188">
        <v>180</v>
      </c>
      <c r="AC188">
        <v>120</v>
      </c>
      <c r="AD188">
        <v>180</v>
      </c>
      <c r="AE188">
        <v>0</v>
      </c>
      <c r="AF188">
        <v>0</v>
      </c>
      <c r="AG188">
        <v>120</v>
      </c>
      <c r="AH188">
        <v>180</v>
      </c>
      <c r="AI188">
        <v>1</v>
      </c>
      <c r="AJ188">
        <v>3.2069999999999999</v>
      </c>
      <c r="AK188">
        <v>2040</v>
      </c>
      <c r="AL188" s="61">
        <v>3.3029999999999999</v>
      </c>
      <c r="AM188" s="61">
        <v>3.2069999999999999</v>
      </c>
      <c r="AN188" s="61">
        <v>3.3029999999999999</v>
      </c>
      <c r="AO188">
        <v>1.4605278779269859</v>
      </c>
      <c r="AP188">
        <v>1.0329931616190409</v>
      </c>
      <c r="AQ188">
        <v>1.5087153102525457</v>
      </c>
      <c r="AR188" t="b">
        <v>0</v>
      </c>
      <c r="AS188">
        <v>79.537868532608087</v>
      </c>
      <c r="AT188">
        <v>119.30680279891213</v>
      </c>
      <c r="AU188">
        <v>99.422335665760102</v>
      </c>
    </row>
    <row r="189" spans="1:47" x14ac:dyDescent="0.25">
      <c r="A189" t="s">
        <v>354</v>
      </c>
      <c r="B189" t="s">
        <v>457</v>
      </c>
      <c r="C189" t="s">
        <v>320</v>
      </c>
      <c r="D189">
        <v>2026</v>
      </c>
      <c r="E189">
        <v>0</v>
      </c>
      <c r="F189">
        <v>15</v>
      </c>
      <c r="G189">
        <v>0</v>
      </c>
      <c r="H189">
        <v>0</v>
      </c>
      <c r="I189">
        <v>30</v>
      </c>
      <c r="J189">
        <v>45</v>
      </c>
      <c r="K189">
        <v>4</v>
      </c>
      <c r="L189">
        <v>2</v>
      </c>
      <c r="M189">
        <v>14</v>
      </c>
      <c r="N189">
        <v>0</v>
      </c>
      <c r="O189" t="s">
        <v>27</v>
      </c>
      <c r="P189" t="s">
        <v>443</v>
      </c>
      <c r="Q189">
        <v>2026</v>
      </c>
      <c r="R189">
        <v>2041</v>
      </c>
      <c r="S189" t="s">
        <v>444</v>
      </c>
      <c r="T189">
        <v>2040</v>
      </c>
      <c r="U189">
        <v>47.75</v>
      </c>
      <c r="V189">
        <v>1</v>
      </c>
      <c r="W189">
        <v>2040</v>
      </c>
      <c r="X189">
        <v>14</v>
      </c>
      <c r="Y189">
        <v>2040</v>
      </c>
      <c r="Z189">
        <v>1</v>
      </c>
      <c r="AA189">
        <v>120</v>
      </c>
      <c r="AB189">
        <v>180</v>
      </c>
      <c r="AC189">
        <v>120</v>
      </c>
      <c r="AD189">
        <v>180</v>
      </c>
      <c r="AE189">
        <v>0</v>
      </c>
      <c r="AF189">
        <v>0</v>
      </c>
      <c r="AG189">
        <v>120</v>
      </c>
      <c r="AH189">
        <v>180</v>
      </c>
      <c r="AI189">
        <v>1</v>
      </c>
      <c r="AJ189">
        <v>3.3029999999999999</v>
      </c>
      <c r="AK189">
        <v>2041</v>
      </c>
      <c r="AL189" s="61">
        <v>3.3559999999999999</v>
      </c>
      <c r="AM189" s="61">
        <v>3.3029999999999999</v>
      </c>
      <c r="AN189" s="61">
        <v>3.3559999999999999</v>
      </c>
      <c r="AO189">
        <v>1.5256964700083253</v>
      </c>
      <c r="AP189">
        <v>1.0335396662189136</v>
      </c>
      <c r="AQ189">
        <v>1.5768678203637791</v>
      </c>
      <c r="AR189" t="b">
        <v>0</v>
      </c>
      <c r="AS189">
        <v>76.100227584272929</v>
      </c>
      <c r="AT189">
        <v>114.1503413764094</v>
      </c>
      <c r="AU189">
        <v>95.125284480341165</v>
      </c>
    </row>
    <row r="190" spans="1:47" x14ac:dyDescent="0.25">
      <c r="A190" t="s">
        <v>354</v>
      </c>
      <c r="B190" t="s">
        <v>457</v>
      </c>
      <c r="C190" t="s">
        <v>320</v>
      </c>
      <c r="D190">
        <v>2026</v>
      </c>
      <c r="E190">
        <v>0</v>
      </c>
      <c r="M190">
        <v>14</v>
      </c>
      <c r="Q190">
        <v>2026</v>
      </c>
      <c r="R190">
        <v>2041</v>
      </c>
      <c r="T190">
        <v>2041</v>
      </c>
      <c r="U190">
        <v>48.75</v>
      </c>
      <c r="W190">
        <v>2041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L190" s="61"/>
      <c r="AS190">
        <v>0</v>
      </c>
      <c r="AT190">
        <v>0</v>
      </c>
      <c r="AU190">
        <v>0</v>
      </c>
    </row>
    <row r="191" spans="1:47" x14ac:dyDescent="0.25">
      <c r="A191" t="s">
        <v>328</v>
      </c>
      <c r="B191" t="s">
        <v>458</v>
      </c>
      <c r="C191" t="s">
        <v>319</v>
      </c>
      <c r="D191">
        <v>2026</v>
      </c>
      <c r="E191">
        <v>0</v>
      </c>
      <c r="F191">
        <v>10</v>
      </c>
      <c r="G191">
        <v>0</v>
      </c>
      <c r="H191">
        <v>0</v>
      </c>
      <c r="I191">
        <v>50</v>
      </c>
      <c r="J191">
        <v>250</v>
      </c>
      <c r="K191">
        <v>1</v>
      </c>
      <c r="L191">
        <v>1</v>
      </c>
      <c r="M191">
        <v>15</v>
      </c>
      <c r="N191">
        <v>0</v>
      </c>
      <c r="O191" t="s">
        <v>27</v>
      </c>
      <c r="P191" t="s">
        <v>443</v>
      </c>
      <c r="Q191">
        <v>2026</v>
      </c>
      <c r="R191">
        <v>2036</v>
      </c>
      <c r="S191" t="s">
        <v>444</v>
      </c>
      <c r="T191">
        <v>2026</v>
      </c>
      <c r="U191">
        <v>33.75</v>
      </c>
      <c r="V191">
        <v>1</v>
      </c>
      <c r="W191">
        <v>2026</v>
      </c>
      <c r="X191">
        <v>0</v>
      </c>
      <c r="Y191">
        <v>2026</v>
      </c>
      <c r="Z191">
        <v>1</v>
      </c>
      <c r="AA191">
        <v>50</v>
      </c>
      <c r="AB191">
        <v>250</v>
      </c>
      <c r="AC191">
        <v>50</v>
      </c>
      <c r="AD191">
        <v>250</v>
      </c>
      <c r="AE191">
        <v>0</v>
      </c>
      <c r="AF191">
        <v>0</v>
      </c>
      <c r="AG191">
        <v>50</v>
      </c>
      <c r="AH191">
        <v>250</v>
      </c>
      <c r="AI191">
        <v>1</v>
      </c>
      <c r="AK191">
        <v>2027</v>
      </c>
      <c r="AL191" s="61">
        <v>2.4329999999999998</v>
      </c>
      <c r="AM191" s="61">
        <v>0</v>
      </c>
      <c r="AN191" s="61">
        <v>2.4329999999999998</v>
      </c>
      <c r="AO191">
        <v>1</v>
      </c>
      <c r="AP191">
        <v>1.023385968321771</v>
      </c>
      <c r="AQ191">
        <v>1.023385968321771</v>
      </c>
      <c r="AR191" t="b">
        <v>1</v>
      </c>
      <c r="AS191">
        <v>50</v>
      </c>
      <c r="AT191">
        <v>250</v>
      </c>
      <c r="AU191">
        <v>150</v>
      </c>
    </row>
    <row r="192" spans="1:47" x14ac:dyDescent="0.25">
      <c r="A192" t="s">
        <v>328</v>
      </c>
      <c r="B192" t="s">
        <v>458</v>
      </c>
      <c r="C192" t="s">
        <v>319</v>
      </c>
      <c r="D192">
        <v>2026</v>
      </c>
      <c r="E192">
        <v>0</v>
      </c>
      <c r="F192">
        <v>10</v>
      </c>
      <c r="G192">
        <v>0</v>
      </c>
      <c r="H192">
        <v>0</v>
      </c>
      <c r="I192">
        <v>50</v>
      </c>
      <c r="J192">
        <v>250</v>
      </c>
      <c r="K192">
        <v>1</v>
      </c>
      <c r="L192">
        <v>1</v>
      </c>
      <c r="M192">
        <v>15</v>
      </c>
      <c r="N192">
        <v>0</v>
      </c>
      <c r="O192" t="s">
        <v>27</v>
      </c>
      <c r="P192" t="s">
        <v>443</v>
      </c>
      <c r="Q192">
        <v>2026</v>
      </c>
      <c r="R192">
        <v>2036</v>
      </c>
      <c r="S192" t="s">
        <v>444</v>
      </c>
      <c r="T192">
        <v>2027</v>
      </c>
      <c r="U192">
        <v>34.75</v>
      </c>
      <c r="V192">
        <v>1</v>
      </c>
      <c r="W192">
        <v>2027</v>
      </c>
      <c r="X192">
        <v>1</v>
      </c>
      <c r="Y192">
        <v>2027</v>
      </c>
      <c r="Z192">
        <v>1</v>
      </c>
      <c r="AA192">
        <v>50</v>
      </c>
      <c r="AB192">
        <v>250</v>
      </c>
      <c r="AC192">
        <v>50</v>
      </c>
      <c r="AD192">
        <v>250</v>
      </c>
      <c r="AE192">
        <v>0</v>
      </c>
      <c r="AF192">
        <v>0</v>
      </c>
      <c r="AG192">
        <v>50</v>
      </c>
      <c r="AH192">
        <v>250</v>
      </c>
      <c r="AI192">
        <v>1</v>
      </c>
      <c r="AJ192">
        <v>2.4329999999999998</v>
      </c>
      <c r="AK192">
        <v>2028</v>
      </c>
      <c r="AL192" s="61">
        <v>2.4220000000000002</v>
      </c>
      <c r="AM192" s="61">
        <v>2.4329999999999998</v>
      </c>
      <c r="AN192" s="61">
        <v>2.4220000000000002</v>
      </c>
      <c r="AO192">
        <v>1</v>
      </c>
      <c r="AP192">
        <v>1.0242242189602202</v>
      </c>
      <c r="AQ192">
        <v>1.0242242189602202</v>
      </c>
      <c r="AR192" t="b">
        <v>0</v>
      </c>
      <c r="AS192">
        <v>48.817435747379008</v>
      </c>
      <c r="AT192">
        <v>244.08717873689505</v>
      </c>
      <c r="AU192">
        <v>146.45230724213704</v>
      </c>
    </row>
    <row r="193" spans="1:47" x14ac:dyDescent="0.25">
      <c r="A193" t="s">
        <v>328</v>
      </c>
      <c r="B193" t="s">
        <v>458</v>
      </c>
      <c r="C193" t="s">
        <v>319</v>
      </c>
      <c r="D193">
        <v>2026</v>
      </c>
      <c r="E193">
        <v>0</v>
      </c>
      <c r="F193">
        <v>10</v>
      </c>
      <c r="G193">
        <v>0</v>
      </c>
      <c r="H193">
        <v>0</v>
      </c>
      <c r="I193">
        <v>50</v>
      </c>
      <c r="J193">
        <v>250</v>
      </c>
      <c r="K193">
        <v>1</v>
      </c>
      <c r="L193">
        <v>1</v>
      </c>
      <c r="M193">
        <v>15</v>
      </c>
      <c r="N193">
        <v>0</v>
      </c>
      <c r="O193" t="s">
        <v>27</v>
      </c>
      <c r="P193" t="s">
        <v>443</v>
      </c>
      <c r="Q193">
        <v>2026</v>
      </c>
      <c r="R193">
        <v>2036</v>
      </c>
      <c r="S193" t="s">
        <v>444</v>
      </c>
      <c r="T193">
        <v>2028</v>
      </c>
      <c r="U193">
        <v>35.75</v>
      </c>
      <c r="V193">
        <v>1</v>
      </c>
      <c r="W193">
        <v>2028</v>
      </c>
      <c r="X193">
        <v>2</v>
      </c>
      <c r="Y193">
        <v>2028</v>
      </c>
      <c r="Z193">
        <v>1</v>
      </c>
      <c r="AA193">
        <v>50</v>
      </c>
      <c r="AB193">
        <v>250</v>
      </c>
      <c r="AC193">
        <v>50</v>
      </c>
      <c r="AD193">
        <v>250</v>
      </c>
      <c r="AE193">
        <v>0</v>
      </c>
      <c r="AF193">
        <v>0</v>
      </c>
      <c r="AG193">
        <v>50</v>
      </c>
      <c r="AH193">
        <v>250</v>
      </c>
      <c r="AI193">
        <v>1</v>
      </c>
      <c r="AJ193">
        <v>2.4220000000000002</v>
      </c>
      <c r="AK193">
        <v>2029</v>
      </c>
      <c r="AL193" s="61">
        <v>2.4209999999999998</v>
      </c>
      <c r="AM193" s="61">
        <v>2.4220000000000002</v>
      </c>
      <c r="AN193" s="61">
        <v>2.4209999999999998</v>
      </c>
      <c r="AO193">
        <v>1.0242199999999999</v>
      </c>
      <c r="AP193">
        <v>1.0242103835598433</v>
      </c>
      <c r="AQ193">
        <v>1.0490167590496626</v>
      </c>
      <c r="AR193" t="b">
        <v>0</v>
      </c>
      <c r="AS193">
        <v>47.66368084080618</v>
      </c>
      <c r="AT193">
        <v>238.31840420403091</v>
      </c>
      <c r="AU193">
        <v>142.99104252241855</v>
      </c>
    </row>
    <row r="194" spans="1:47" x14ac:dyDescent="0.25">
      <c r="A194" t="s">
        <v>328</v>
      </c>
      <c r="B194" t="s">
        <v>458</v>
      </c>
      <c r="C194" t="s">
        <v>319</v>
      </c>
      <c r="D194">
        <v>2026</v>
      </c>
      <c r="E194">
        <v>0</v>
      </c>
      <c r="F194">
        <v>10</v>
      </c>
      <c r="G194">
        <v>0</v>
      </c>
      <c r="H194">
        <v>0</v>
      </c>
      <c r="I194">
        <v>50</v>
      </c>
      <c r="J194">
        <v>250</v>
      </c>
      <c r="K194">
        <v>1</v>
      </c>
      <c r="L194">
        <v>1</v>
      </c>
      <c r="M194">
        <v>15</v>
      </c>
      <c r="N194">
        <v>0</v>
      </c>
      <c r="O194" t="s">
        <v>27</v>
      </c>
      <c r="P194" t="s">
        <v>443</v>
      </c>
      <c r="Q194">
        <v>2026</v>
      </c>
      <c r="R194">
        <v>2036</v>
      </c>
      <c r="S194" t="s">
        <v>444</v>
      </c>
      <c r="T194">
        <v>2029</v>
      </c>
      <c r="U194">
        <v>36.75</v>
      </c>
      <c r="V194">
        <v>1</v>
      </c>
      <c r="W194">
        <v>2029</v>
      </c>
      <c r="X194">
        <v>3</v>
      </c>
      <c r="Y194">
        <v>2029</v>
      </c>
      <c r="Z194">
        <v>1</v>
      </c>
      <c r="AA194">
        <v>50</v>
      </c>
      <c r="AB194">
        <v>250</v>
      </c>
      <c r="AC194">
        <v>50</v>
      </c>
      <c r="AD194">
        <v>250</v>
      </c>
      <c r="AE194">
        <v>0</v>
      </c>
      <c r="AF194">
        <v>0</v>
      </c>
      <c r="AG194">
        <v>50</v>
      </c>
      <c r="AH194">
        <v>250</v>
      </c>
      <c r="AI194">
        <v>1</v>
      </c>
      <c r="AJ194">
        <v>2.4209999999999998</v>
      </c>
      <c r="AK194">
        <v>2030</v>
      </c>
      <c r="AL194" s="61">
        <v>2.4670000000000001</v>
      </c>
      <c r="AM194" s="61">
        <v>2.4209999999999998</v>
      </c>
      <c r="AN194" s="61">
        <v>2.4670000000000001</v>
      </c>
      <c r="AO194">
        <v>1.0490061241000002</v>
      </c>
      <c r="AP194">
        <v>1.0246523523547908</v>
      </c>
      <c r="AQ194">
        <v>1.0748665926936467</v>
      </c>
      <c r="AR194" t="b">
        <v>0</v>
      </c>
      <c r="AS194">
        <v>46.517400708025129</v>
      </c>
      <c r="AT194">
        <v>232.58700354012564</v>
      </c>
      <c r="AU194">
        <v>139.55220212407539</v>
      </c>
    </row>
    <row r="195" spans="1:47" x14ac:dyDescent="0.25">
      <c r="A195" t="s">
        <v>328</v>
      </c>
      <c r="B195" t="s">
        <v>458</v>
      </c>
      <c r="C195" t="s">
        <v>319</v>
      </c>
      <c r="D195">
        <v>2026</v>
      </c>
      <c r="E195">
        <v>0</v>
      </c>
      <c r="F195">
        <v>10</v>
      </c>
      <c r="G195">
        <v>0</v>
      </c>
      <c r="H195">
        <v>0</v>
      </c>
      <c r="I195">
        <v>50</v>
      </c>
      <c r="J195">
        <v>250</v>
      </c>
      <c r="K195">
        <v>1</v>
      </c>
      <c r="L195">
        <v>1</v>
      </c>
      <c r="M195">
        <v>15</v>
      </c>
      <c r="N195">
        <v>0</v>
      </c>
      <c r="O195" t="s">
        <v>27</v>
      </c>
      <c r="P195" t="s">
        <v>443</v>
      </c>
      <c r="Q195">
        <v>2026</v>
      </c>
      <c r="R195">
        <v>2036</v>
      </c>
      <c r="S195" t="s">
        <v>444</v>
      </c>
      <c r="T195">
        <v>2030</v>
      </c>
      <c r="U195">
        <v>37.75</v>
      </c>
      <c r="V195">
        <v>1</v>
      </c>
      <c r="W195">
        <v>2030</v>
      </c>
      <c r="X195">
        <v>4</v>
      </c>
      <c r="Y195">
        <v>2030</v>
      </c>
      <c r="Z195">
        <v>1</v>
      </c>
      <c r="AA195">
        <v>50</v>
      </c>
      <c r="AB195">
        <v>250</v>
      </c>
      <c r="AC195">
        <v>50</v>
      </c>
      <c r="AD195">
        <v>250</v>
      </c>
      <c r="AE195">
        <v>0</v>
      </c>
      <c r="AF195">
        <v>0</v>
      </c>
      <c r="AG195">
        <v>50</v>
      </c>
      <c r="AH195">
        <v>250</v>
      </c>
      <c r="AI195">
        <v>1</v>
      </c>
      <c r="AJ195">
        <v>2.4670000000000001</v>
      </c>
      <c r="AK195">
        <v>2031</v>
      </c>
      <c r="AL195" s="61">
        <v>2.5169999999999999</v>
      </c>
      <c r="AM195" s="61">
        <v>2.4670000000000001</v>
      </c>
      <c r="AN195" s="61">
        <v>2.5169999999999999</v>
      </c>
      <c r="AO195">
        <v>1.0758508410815628</v>
      </c>
      <c r="AP195">
        <v>1.0251508174189523</v>
      </c>
      <c r="AQ195">
        <v>1.1029093691556315</v>
      </c>
      <c r="AR195" t="b">
        <v>0</v>
      </c>
      <c r="AS195">
        <v>45.334640722364284</v>
      </c>
      <c r="AT195">
        <v>226.67320361182144</v>
      </c>
      <c r="AU195">
        <v>136.00392216709287</v>
      </c>
    </row>
    <row r="196" spans="1:47" x14ac:dyDescent="0.25">
      <c r="A196" t="s">
        <v>328</v>
      </c>
      <c r="B196" t="s">
        <v>458</v>
      </c>
      <c r="C196" t="s">
        <v>319</v>
      </c>
      <c r="D196">
        <v>2026</v>
      </c>
      <c r="E196">
        <v>0</v>
      </c>
      <c r="F196">
        <v>10</v>
      </c>
      <c r="G196">
        <v>0</v>
      </c>
      <c r="H196">
        <v>0</v>
      </c>
      <c r="I196">
        <v>50</v>
      </c>
      <c r="J196">
        <v>250</v>
      </c>
      <c r="K196">
        <v>1</v>
      </c>
      <c r="L196">
        <v>1</v>
      </c>
      <c r="M196">
        <v>15</v>
      </c>
      <c r="N196">
        <v>0</v>
      </c>
      <c r="O196" t="s">
        <v>27</v>
      </c>
      <c r="P196" t="s">
        <v>443</v>
      </c>
      <c r="Q196">
        <v>2026</v>
      </c>
      <c r="R196">
        <v>2036</v>
      </c>
      <c r="S196" t="s">
        <v>444</v>
      </c>
      <c r="T196">
        <v>2031</v>
      </c>
      <c r="U196">
        <v>38.75</v>
      </c>
      <c r="V196">
        <v>1</v>
      </c>
      <c r="W196">
        <v>2031</v>
      </c>
      <c r="X196">
        <v>5</v>
      </c>
      <c r="Y196">
        <v>2031</v>
      </c>
      <c r="Z196">
        <v>1</v>
      </c>
      <c r="AA196">
        <v>50</v>
      </c>
      <c r="AB196">
        <v>250</v>
      </c>
      <c r="AC196">
        <v>50</v>
      </c>
      <c r="AD196">
        <v>250</v>
      </c>
      <c r="AE196">
        <v>0</v>
      </c>
      <c r="AF196">
        <v>0</v>
      </c>
      <c r="AG196">
        <v>50</v>
      </c>
      <c r="AH196">
        <v>250</v>
      </c>
      <c r="AI196">
        <v>1</v>
      </c>
      <c r="AJ196">
        <v>2.5169999999999999</v>
      </c>
      <c r="AK196">
        <v>2032</v>
      </c>
      <c r="AL196" s="61">
        <v>2.59</v>
      </c>
      <c r="AM196" s="61">
        <v>2.5169999999999999</v>
      </c>
      <c r="AN196" s="61">
        <v>2.59</v>
      </c>
      <c r="AO196">
        <v>1.1045453584485188</v>
      </c>
      <c r="AP196">
        <v>1.0258719904156592</v>
      </c>
      <c r="AQ196">
        <v>1.1331221453759597</v>
      </c>
      <c r="AR196" t="b">
        <v>0</v>
      </c>
      <c r="AS196">
        <v>44.125869575526167</v>
      </c>
      <c r="AT196">
        <v>220.62934787763083</v>
      </c>
      <c r="AU196">
        <v>132.3776087265785</v>
      </c>
    </row>
    <row r="197" spans="1:47" x14ac:dyDescent="0.25">
      <c r="A197" t="s">
        <v>328</v>
      </c>
      <c r="B197" t="s">
        <v>458</v>
      </c>
      <c r="C197" t="s">
        <v>319</v>
      </c>
      <c r="D197">
        <v>2026</v>
      </c>
      <c r="E197">
        <v>0</v>
      </c>
      <c r="F197">
        <v>10</v>
      </c>
      <c r="G197">
        <v>0</v>
      </c>
      <c r="H197">
        <v>0</v>
      </c>
      <c r="I197">
        <v>50</v>
      </c>
      <c r="J197">
        <v>250</v>
      </c>
      <c r="K197">
        <v>1</v>
      </c>
      <c r="L197">
        <v>1</v>
      </c>
      <c r="M197">
        <v>15</v>
      </c>
      <c r="N197">
        <v>0</v>
      </c>
      <c r="O197" t="s">
        <v>27</v>
      </c>
      <c r="P197" t="s">
        <v>443</v>
      </c>
      <c r="Q197">
        <v>2026</v>
      </c>
      <c r="R197">
        <v>2036</v>
      </c>
      <c r="S197" t="s">
        <v>444</v>
      </c>
      <c r="T197">
        <v>2032</v>
      </c>
      <c r="U197">
        <v>39.75</v>
      </c>
      <c r="V197">
        <v>1</v>
      </c>
      <c r="W197">
        <v>2032</v>
      </c>
      <c r="X197">
        <v>6</v>
      </c>
      <c r="Y197">
        <v>2032</v>
      </c>
      <c r="Z197">
        <v>1</v>
      </c>
      <c r="AA197">
        <v>50</v>
      </c>
      <c r="AB197">
        <v>250</v>
      </c>
      <c r="AC197">
        <v>50</v>
      </c>
      <c r="AD197">
        <v>250</v>
      </c>
      <c r="AE197">
        <v>0</v>
      </c>
      <c r="AF197">
        <v>0</v>
      </c>
      <c r="AG197">
        <v>50</v>
      </c>
      <c r="AH197">
        <v>250</v>
      </c>
      <c r="AI197">
        <v>1</v>
      </c>
      <c r="AJ197">
        <v>2.59</v>
      </c>
      <c r="AK197">
        <v>2033</v>
      </c>
      <c r="AL197" s="61">
        <v>2.6880000000000002</v>
      </c>
      <c r="AM197" s="61">
        <v>2.59</v>
      </c>
      <c r="AN197" s="61">
        <v>2.6880000000000002</v>
      </c>
      <c r="AO197">
        <v>1.1363841013749196</v>
      </c>
      <c r="AP197">
        <v>1.0268423936996114</v>
      </c>
      <c r="AQ197">
        <v>1.1668873708180043</v>
      </c>
      <c r="AR197" t="b">
        <v>0</v>
      </c>
      <c r="AS197">
        <v>42.849036891151975</v>
      </c>
      <c r="AT197">
        <v>214.24518445575987</v>
      </c>
      <c r="AU197">
        <v>128.54711067345593</v>
      </c>
    </row>
    <row r="198" spans="1:47" x14ac:dyDescent="0.25">
      <c r="A198" t="s">
        <v>328</v>
      </c>
      <c r="B198" t="s">
        <v>458</v>
      </c>
      <c r="C198" t="s">
        <v>319</v>
      </c>
      <c r="D198">
        <v>2026</v>
      </c>
      <c r="E198">
        <v>0</v>
      </c>
      <c r="F198">
        <v>10</v>
      </c>
      <c r="G198">
        <v>0</v>
      </c>
      <c r="H198">
        <v>0</v>
      </c>
      <c r="I198">
        <v>50</v>
      </c>
      <c r="J198">
        <v>250</v>
      </c>
      <c r="K198">
        <v>1</v>
      </c>
      <c r="L198">
        <v>1</v>
      </c>
      <c r="M198">
        <v>15</v>
      </c>
      <c r="N198">
        <v>0</v>
      </c>
      <c r="O198" t="s">
        <v>27</v>
      </c>
      <c r="P198" t="s">
        <v>443</v>
      </c>
      <c r="Q198">
        <v>2026</v>
      </c>
      <c r="R198">
        <v>2036</v>
      </c>
      <c r="S198" t="s">
        <v>444</v>
      </c>
      <c r="T198">
        <v>2033</v>
      </c>
      <c r="U198">
        <v>40.75</v>
      </c>
      <c r="V198">
        <v>1</v>
      </c>
      <c r="W198">
        <v>2033</v>
      </c>
      <c r="X198">
        <v>7</v>
      </c>
      <c r="Y198">
        <v>2033</v>
      </c>
      <c r="Z198">
        <v>1</v>
      </c>
      <c r="AA198">
        <v>50</v>
      </c>
      <c r="AB198">
        <v>250</v>
      </c>
      <c r="AC198">
        <v>50</v>
      </c>
      <c r="AD198">
        <v>250</v>
      </c>
      <c r="AE198">
        <v>0</v>
      </c>
      <c r="AF198">
        <v>0</v>
      </c>
      <c r="AG198">
        <v>50</v>
      </c>
      <c r="AH198">
        <v>250</v>
      </c>
      <c r="AI198">
        <v>1</v>
      </c>
      <c r="AJ198">
        <v>2.6880000000000002</v>
      </c>
      <c r="AK198">
        <v>2034</v>
      </c>
      <c r="AL198" s="61">
        <v>2.7519999999999998</v>
      </c>
      <c r="AM198" s="61">
        <v>2.6880000000000002</v>
      </c>
      <c r="AN198" s="61">
        <v>2.7519999999999998</v>
      </c>
      <c r="AO198">
        <v>1.1725143659072164</v>
      </c>
      <c r="AP198">
        <v>1.0274954447000768</v>
      </c>
      <c r="AQ198">
        <v>1.2047531698150638</v>
      </c>
      <c r="AR198" t="b">
        <v>0</v>
      </c>
      <c r="AS198">
        <v>41.502277190667428</v>
      </c>
      <c r="AT198">
        <v>207.51138595333714</v>
      </c>
      <c r="AU198">
        <v>124.50683157200228</v>
      </c>
    </row>
    <row r="199" spans="1:47" x14ac:dyDescent="0.25">
      <c r="A199" t="s">
        <v>328</v>
      </c>
      <c r="B199" t="s">
        <v>458</v>
      </c>
      <c r="C199" t="s">
        <v>319</v>
      </c>
      <c r="D199">
        <v>2026</v>
      </c>
      <c r="E199">
        <v>0</v>
      </c>
      <c r="F199">
        <v>10</v>
      </c>
      <c r="G199">
        <v>0</v>
      </c>
      <c r="H199">
        <v>0</v>
      </c>
      <c r="I199">
        <v>50</v>
      </c>
      <c r="J199">
        <v>250</v>
      </c>
      <c r="K199">
        <v>1</v>
      </c>
      <c r="L199">
        <v>1</v>
      </c>
      <c r="M199">
        <v>15</v>
      </c>
      <c r="N199">
        <v>0</v>
      </c>
      <c r="O199" t="s">
        <v>27</v>
      </c>
      <c r="P199" t="s">
        <v>443</v>
      </c>
      <c r="Q199">
        <v>2026</v>
      </c>
      <c r="R199">
        <v>2036</v>
      </c>
      <c r="S199" t="s">
        <v>444</v>
      </c>
      <c r="T199">
        <v>2034</v>
      </c>
      <c r="U199">
        <v>41.75</v>
      </c>
      <c r="V199">
        <v>1</v>
      </c>
      <c r="W199">
        <v>2034</v>
      </c>
      <c r="X199">
        <v>8</v>
      </c>
      <c r="Y199">
        <v>2034</v>
      </c>
      <c r="Z199">
        <v>1</v>
      </c>
      <c r="AA199">
        <v>50</v>
      </c>
      <c r="AB199">
        <v>250</v>
      </c>
      <c r="AC199">
        <v>50</v>
      </c>
      <c r="AD199">
        <v>250</v>
      </c>
      <c r="AE199">
        <v>0</v>
      </c>
      <c r="AF199">
        <v>0</v>
      </c>
      <c r="AG199">
        <v>50</v>
      </c>
      <c r="AH199">
        <v>250</v>
      </c>
      <c r="AI199">
        <v>1</v>
      </c>
      <c r="AJ199">
        <v>2.7519999999999998</v>
      </c>
      <c r="AK199">
        <v>2035</v>
      </c>
      <c r="AL199" s="61">
        <v>2.8420000000000001</v>
      </c>
      <c r="AM199" s="61">
        <v>2.7519999999999998</v>
      </c>
      <c r="AN199" s="61">
        <v>2.8420000000000001</v>
      </c>
      <c r="AO199">
        <v>1.2092942481281721</v>
      </c>
      <c r="AP199">
        <v>1.0283854649181425</v>
      </c>
      <c r="AQ199">
        <v>1.2436206275841259</v>
      </c>
      <c r="AR199" t="b">
        <v>0</v>
      </c>
      <c r="AS199">
        <v>40.205187089193487</v>
      </c>
      <c r="AT199">
        <v>201.02593544596743</v>
      </c>
      <c r="AU199">
        <v>120.61556126758046</v>
      </c>
    </row>
    <row r="200" spans="1:47" x14ac:dyDescent="0.25">
      <c r="A200" t="s">
        <v>328</v>
      </c>
      <c r="B200" t="s">
        <v>458</v>
      </c>
      <c r="C200" t="s">
        <v>319</v>
      </c>
      <c r="D200">
        <v>2026</v>
      </c>
      <c r="E200">
        <v>0</v>
      </c>
      <c r="F200">
        <v>10</v>
      </c>
      <c r="G200">
        <v>0</v>
      </c>
      <c r="H200">
        <v>0</v>
      </c>
      <c r="I200">
        <v>50</v>
      </c>
      <c r="J200">
        <v>250</v>
      </c>
      <c r="K200">
        <v>1</v>
      </c>
      <c r="L200">
        <v>1</v>
      </c>
      <c r="M200">
        <v>15</v>
      </c>
      <c r="N200">
        <v>0</v>
      </c>
      <c r="O200" t="s">
        <v>27</v>
      </c>
      <c r="P200" t="s">
        <v>443</v>
      </c>
      <c r="Q200">
        <v>2026</v>
      </c>
      <c r="R200">
        <v>2036</v>
      </c>
      <c r="S200" t="s">
        <v>444</v>
      </c>
      <c r="T200">
        <v>2035</v>
      </c>
      <c r="U200">
        <v>42.75</v>
      </c>
      <c r="V200">
        <v>1</v>
      </c>
      <c r="W200">
        <v>2035</v>
      </c>
      <c r="X200">
        <v>9</v>
      </c>
      <c r="Y200">
        <v>2035</v>
      </c>
      <c r="Z200">
        <v>1</v>
      </c>
      <c r="AA200">
        <v>50</v>
      </c>
      <c r="AB200">
        <v>250</v>
      </c>
      <c r="AC200">
        <v>50</v>
      </c>
      <c r="AD200">
        <v>250</v>
      </c>
      <c r="AE200">
        <v>0</v>
      </c>
      <c r="AF200">
        <v>0</v>
      </c>
      <c r="AG200">
        <v>50</v>
      </c>
      <c r="AH200">
        <v>250</v>
      </c>
      <c r="AI200">
        <v>1</v>
      </c>
      <c r="AJ200">
        <v>2.8420000000000001</v>
      </c>
      <c r="AK200">
        <v>2036</v>
      </c>
      <c r="AL200" s="61">
        <v>2.944</v>
      </c>
      <c r="AM200" s="61">
        <v>2.8420000000000001</v>
      </c>
      <c r="AN200" s="61">
        <v>2.944</v>
      </c>
      <c r="AO200">
        <v>1.2513076834571593</v>
      </c>
      <c r="AP200">
        <v>1.0294008580614105</v>
      </c>
      <c r="AQ200">
        <v>1.2880972030496356</v>
      </c>
      <c r="AR200" t="b">
        <v>0</v>
      </c>
      <c r="AS200">
        <v>38.816946331086243</v>
      </c>
      <c r="AT200">
        <v>194.0847316554312</v>
      </c>
      <c r="AU200">
        <v>116.45083899325871</v>
      </c>
    </row>
    <row r="201" spans="1:47" x14ac:dyDescent="0.25">
      <c r="A201" t="s">
        <v>328</v>
      </c>
      <c r="B201" t="s">
        <v>458</v>
      </c>
      <c r="C201" t="s">
        <v>319</v>
      </c>
      <c r="D201">
        <v>2026</v>
      </c>
      <c r="E201">
        <v>0</v>
      </c>
      <c r="M201">
        <v>15</v>
      </c>
      <c r="Q201">
        <v>2026</v>
      </c>
      <c r="R201">
        <v>2036</v>
      </c>
      <c r="T201">
        <v>2036</v>
      </c>
      <c r="U201">
        <v>43.75</v>
      </c>
      <c r="W201">
        <v>2036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L201" s="61"/>
      <c r="AS201">
        <v>0</v>
      </c>
      <c r="AT201">
        <v>0</v>
      </c>
      <c r="AU201">
        <v>0</v>
      </c>
    </row>
    <row r="202" spans="1:47" x14ac:dyDescent="0.25">
      <c r="A202" t="s">
        <v>355</v>
      </c>
      <c r="B202" t="s">
        <v>459</v>
      </c>
      <c r="C202" t="s">
        <v>320</v>
      </c>
      <c r="D202">
        <v>2026</v>
      </c>
      <c r="E202">
        <v>0</v>
      </c>
      <c r="F202">
        <v>15</v>
      </c>
      <c r="G202">
        <v>0</v>
      </c>
      <c r="H202">
        <v>0</v>
      </c>
      <c r="I202">
        <v>30</v>
      </c>
      <c r="J202">
        <v>45</v>
      </c>
      <c r="K202">
        <v>4</v>
      </c>
      <c r="L202">
        <v>2</v>
      </c>
      <c r="M202">
        <v>16</v>
      </c>
      <c r="N202">
        <v>0</v>
      </c>
      <c r="O202" t="s">
        <v>27</v>
      </c>
      <c r="P202" t="s">
        <v>443</v>
      </c>
      <c r="Q202">
        <v>2026</v>
      </c>
      <c r="R202">
        <v>2041</v>
      </c>
      <c r="S202" t="s">
        <v>444</v>
      </c>
      <c r="T202">
        <v>2026</v>
      </c>
      <c r="U202">
        <v>33.75</v>
      </c>
      <c r="V202">
        <v>1</v>
      </c>
      <c r="W202">
        <v>2026</v>
      </c>
      <c r="X202">
        <v>0</v>
      </c>
      <c r="Y202">
        <v>2026</v>
      </c>
      <c r="Z202">
        <v>1</v>
      </c>
      <c r="AA202">
        <v>120</v>
      </c>
      <c r="AB202">
        <v>180</v>
      </c>
      <c r="AC202">
        <v>120</v>
      </c>
      <c r="AD202">
        <v>180</v>
      </c>
      <c r="AE202">
        <v>0</v>
      </c>
      <c r="AF202">
        <v>0</v>
      </c>
      <c r="AG202">
        <v>120</v>
      </c>
      <c r="AH202">
        <v>180</v>
      </c>
      <c r="AI202">
        <v>1</v>
      </c>
      <c r="AK202">
        <v>2027</v>
      </c>
      <c r="AL202" s="61">
        <v>2.4329999999999998</v>
      </c>
      <c r="AM202" s="61">
        <v>0</v>
      </c>
      <c r="AN202" s="61">
        <v>2.4329999999999998</v>
      </c>
      <c r="AO202">
        <v>1</v>
      </c>
      <c r="AP202">
        <v>1.023385968321771</v>
      </c>
      <c r="AQ202">
        <v>1.023385968321771</v>
      </c>
      <c r="AR202" t="b">
        <v>1</v>
      </c>
      <c r="AS202">
        <v>120</v>
      </c>
      <c r="AT202">
        <v>180</v>
      </c>
      <c r="AU202">
        <v>150</v>
      </c>
    </row>
    <row r="203" spans="1:47" x14ac:dyDescent="0.25">
      <c r="A203" t="s">
        <v>355</v>
      </c>
      <c r="B203" t="s">
        <v>459</v>
      </c>
      <c r="C203" t="s">
        <v>320</v>
      </c>
      <c r="D203">
        <v>2026</v>
      </c>
      <c r="E203">
        <v>0</v>
      </c>
      <c r="F203">
        <v>15</v>
      </c>
      <c r="G203">
        <v>0</v>
      </c>
      <c r="H203">
        <v>0</v>
      </c>
      <c r="I203">
        <v>30</v>
      </c>
      <c r="J203">
        <v>45</v>
      </c>
      <c r="K203">
        <v>4</v>
      </c>
      <c r="L203">
        <v>2</v>
      </c>
      <c r="M203">
        <v>16</v>
      </c>
      <c r="N203">
        <v>0</v>
      </c>
      <c r="O203" t="s">
        <v>27</v>
      </c>
      <c r="P203" t="s">
        <v>443</v>
      </c>
      <c r="Q203">
        <v>2026</v>
      </c>
      <c r="R203">
        <v>2041</v>
      </c>
      <c r="S203" t="s">
        <v>444</v>
      </c>
      <c r="T203">
        <v>2027</v>
      </c>
      <c r="U203">
        <v>34.75</v>
      </c>
      <c r="V203">
        <v>1</v>
      </c>
      <c r="W203">
        <v>2027</v>
      </c>
      <c r="X203">
        <v>1</v>
      </c>
      <c r="Y203">
        <v>2027</v>
      </c>
      <c r="Z203">
        <v>1</v>
      </c>
      <c r="AA203">
        <v>120</v>
      </c>
      <c r="AB203">
        <v>180</v>
      </c>
      <c r="AC203">
        <v>120</v>
      </c>
      <c r="AD203">
        <v>180</v>
      </c>
      <c r="AE203">
        <v>0</v>
      </c>
      <c r="AF203">
        <v>0</v>
      </c>
      <c r="AG203">
        <v>120</v>
      </c>
      <c r="AH203">
        <v>180</v>
      </c>
      <c r="AI203">
        <v>1</v>
      </c>
      <c r="AJ203">
        <v>2.4329999999999998</v>
      </c>
      <c r="AK203">
        <v>2028</v>
      </c>
      <c r="AL203" s="61">
        <v>2.4220000000000002</v>
      </c>
      <c r="AM203" s="61">
        <v>2.4329999999999998</v>
      </c>
      <c r="AN203" s="61">
        <v>2.4220000000000002</v>
      </c>
      <c r="AO203">
        <v>1</v>
      </c>
      <c r="AP203">
        <v>1.0242242189602202</v>
      </c>
      <c r="AQ203">
        <v>1.0242242189602202</v>
      </c>
      <c r="AR203" t="b">
        <v>0</v>
      </c>
      <c r="AS203">
        <v>117.16184579370963</v>
      </c>
      <c r="AT203">
        <v>175.74276869056445</v>
      </c>
      <c r="AU203">
        <v>146.45230724213704</v>
      </c>
    </row>
    <row r="204" spans="1:47" x14ac:dyDescent="0.25">
      <c r="A204" t="s">
        <v>355</v>
      </c>
      <c r="B204" t="s">
        <v>459</v>
      </c>
      <c r="C204" t="s">
        <v>320</v>
      </c>
      <c r="D204">
        <v>2026</v>
      </c>
      <c r="E204">
        <v>0</v>
      </c>
      <c r="F204">
        <v>15</v>
      </c>
      <c r="G204">
        <v>0</v>
      </c>
      <c r="H204">
        <v>0</v>
      </c>
      <c r="I204">
        <v>30</v>
      </c>
      <c r="J204">
        <v>45</v>
      </c>
      <c r="K204">
        <v>4</v>
      </c>
      <c r="L204">
        <v>2</v>
      </c>
      <c r="M204">
        <v>16</v>
      </c>
      <c r="N204">
        <v>0</v>
      </c>
      <c r="O204" t="s">
        <v>27</v>
      </c>
      <c r="P204" t="s">
        <v>443</v>
      </c>
      <c r="Q204">
        <v>2026</v>
      </c>
      <c r="R204">
        <v>2041</v>
      </c>
      <c r="S204" t="s">
        <v>444</v>
      </c>
      <c r="T204">
        <v>2028</v>
      </c>
      <c r="U204">
        <v>35.75</v>
      </c>
      <c r="V204">
        <v>1</v>
      </c>
      <c r="W204">
        <v>2028</v>
      </c>
      <c r="X204">
        <v>2</v>
      </c>
      <c r="Y204">
        <v>2028</v>
      </c>
      <c r="Z204">
        <v>1</v>
      </c>
      <c r="AA204">
        <v>120</v>
      </c>
      <c r="AB204">
        <v>180</v>
      </c>
      <c r="AC204">
        <v>120</v>
      </c>
      <c r="AD204">
        <v>180</v>
      </c>
      <c r="AE204">
        <v>0</v>
      </c>
      <c r="AF204">
        <v>0</v>
      </c>
      <c r="AG204">
        <v>120</v>
      </c>
      <c r="AH204">
        <v>180</v>
      </c>
      <c r="AI204">
        <v>1</v>
      </c>
      <c r="AJ204">
        <v>2.4220000000000002</v>
      </c>
      <c r="AK204">
        <v>2029</v>
      </c>
      <c r="AL204" s="61">
        <v>2.4209999999999998</v>
      </c>
      <c r="AM204" s="61">
        <v>2.4220000000000002</v>
      </c>
      <c r="AN204" s="61">
        <v>2.4209999999999998</v>
      </c>
      <c r="AO204">
        <v>1.0242199999999999</v>
      </c>
      <c r="AP204">
        <v>1.0242103835598433</v>
      </c>
      <c r="AQ204">
        <v>1.0490167590496626</v>
      </c>
      <c r="AR204" t="b">
        <v>0</v>
      </c>
      <c r="AS204">
        <v>114.39283401793483</v>
      </c>
      <c r="AT204">
        <v>171.58925102690225</v>
      </c>
      <c r="AU204">
        <v>142.99104252241852</v>
      </c>
    </row>
    <row r="205" spans="1:47" x14ac:dyDescent="0.25">
      <c r="A205" t="s">
        <v>355</v>
      </c>
      <c r="B205" t="s">
        <v>459</v>
      </c>
      <c r="C205" t="s">
        <v>320</v>
      </c>
      <c r="D205">
        <v>2026</v>
      </c>
      <c r="E205">
        <v>0</v>
      </c>
      <c r="F205">
        <v>15</v>
      </c>
      <c r="G205">
        <v>0</v>
      </c>
      <c r="H205">
        <v>0</v>
      </c>
      <c r="I205">
        <v>30</v>
      </c>
      <c r="J205">
        <v>45</v>
      </c>
      <c r="K205">
        <v>4</v>
      </c>
      <c r="L205">
        <v>2</v>
      </c>
      <c r="M205">
        <v>16</v>
      </c>
      <c r="N205">
        <v>0</v>
      </c>
      <c r="O205" t="s">
        <v>27</v>
      </c>
      <c r="P205" t="s">
        <v>443</v>
      </c>
      <c r="Q205">
        <v>2026</v>
      </c>
      <c r="R205">
        <v>2041</v>
      </c>
      <c r="S205" t="s">
        <v>444</v>
      </c>
      <c r="T205">
        <v>2029</v>
      </c>
      <c r="U205">
        <v>36.75</v>
      </c>
      <c r="V205">
        <v>1</v>
      </c>
      <c r="W205">
        <v>2029</v>
      </c>
      <c r="X205">
        <v>3</v>
      </c>
      <c r="Y205">
        <v>2029</v>
      </c>
      <c r="Z205">
        <v>1</v>
      </c>
      <c r="AA205">
        <v>120</v>
      </c>
      <c r="AB205">
        <v>180</v>
      </c>
      <c r="AC205">
        <v>120</v>
      </c>
      <c r="AD205">
        <v>180</v>
      </c>
      <c r="AE205">
        <v>0</v>
      </c>
      <c r="AF205">
        <v>0</v>
      </c>
      <c r="AG205">
        <v>120</v>
      </c>
      <c r="AH205">
        <v>180</v>
      </c>
      <c r="AI205">
        <v>1</v>
      </c>
      <c r="AJ205">
        <v>2.4209999999999998</v>
      </c>
      <c r="AK205">
        <v>2030</v>
      </c>
      <c r="AL205" s="61">
        <v>2.4670000000000001</v>
      </c>
      <c r="AM205" s="61">
        <v>2.4209999999999998</v>
      </c>
      <c r="AN205" s="61">
        <v>2.4670000000000001</v>
      </c>
      <c r="AO205">
        <v>1.0490061241000002</v>
      </c>
      <c r="AP205">
        <v>1.0246523523547908</v>
      </c>
      <c r="AQ205">
        <v>1.0748665926936467</v>
      </c>
      <c r="AR205" t="b">
        <v>0</v>
      </c>
      <c r="AS205">
        <v>111.64176169926031</v>
      </c>
      <c r="AT205">
        <v>167.46264254889047</v>
      </c>
      <c r="AU205">
        <v>139.55220212407539</v>
      </c>
    </row>
    <row r="206" spans="1:47" x14ac:dyDescent="0.25">
      <c r="A206" t="s">
        <v>355</v>
      </c>
      <c r="B206" t="s">
        <v>459</v>
      </c>
      <c r="C206" t="s">
        <v>320</v>
      </c>
      <c r="D206">
        <v>2026</v>
      </c>
      <c r="E206">
        <v>0</v>
      </c>
      <c r="F206">
        <v>15</v>
      </c>
      <c r="G206">
        <v>0</v>
      </c>
      <c r="H206">
        <v>0</v>
      </c>
      <c r="I206">
        <v>30</v>
      </c>
      <c r="J206">
        <v>45</v>
      </c>
      <c r="K206">
        <v>4</v>
      </c>
      <c r="L206">
        <v>2</v>
      </c>
      <c r="M206">
        <v>16</v>
      </c>
      <c r="N206">
        <v>0</v>
      </c>
      <c r="O206" t="s">
        <v>27</v>
      </c>
      <c r="P206" t="s">
        <v>443</v>
      </c>
      <c r="Q206">
        <v>2026</v>
      </c>
      <c r="R206">
        <v>2041</v>
      </c>
      <c r="S206" t="s">
        <v>444</v>
      </c>
      <c r="T206">
        <v>2030</v>
      </c>
      <c r="U206">
        <v>37.75</v>
      </c>
      <c r="V206">
        <v>1</v>
      </c>
      <c r="W206">
        <v>2030</v>
      </c>
      <c r="X206">
        <v>4</v>
      </c>
      <c r="Y206">
        <v>2030</v>
      </c>
      <c r="Z206">
        <v>1</v>
      </c>
      <c r="AA206">
        <v>120</v>
      </c>
      <c r="AB206">
        <v>180</v>
      </c>
      <c r="AC206">
        <v>120</v>
      </c>
      <c r="AD206">
        <v>180</v>
      </c>
      <c r="AE206">
        <v>0</v>
      </c>
      <c r="AF206">
        <v>0</v>
      </c>
      <c r="AG206">
        <v>120</v>
      </c>
      <c r="AH206">
        <v>180</v>
      </c>
      <c r="AI206">
        <v>1</v>
      </c>
      <c r="AJ206">
        <v>2.4670000000000001</v>
      </c>
      <c r="AK206">
        <v>2031</v>
      </c>
      <c r="AL206" s="61">
        <v>2.5169999999999999</v>
      </c>
      <c r="AM206" s="61">
        <v>2.4670000000000001</v>
      </c>
      <c r="AN206" s="61">
        <v>2.5169999999999999</v>
      </c>
      <c r="AO206">
        <v>1.0758508410815628</v>
      </c>
      <c r="AP206">
        <v>1.0251508174189523</v>
      </c>
      <c r="AQ206">
        <v>1.1029093691556315</v>
      </c>
      <c r="AR206" t="b">
        <v>0</v>
      </c>
      <c r="AS206">
        <v>108.80313773367429</v>
      </c>
      <c r="AT206">
        <v>163.20470660051143</v>
      </c>
      <c r="AU206">
        <v>136.00392216709287</v>
      </c>
    </row>
    <row r="207" spans="1:47" x14ac:dyDescent="0.25">
      <c r="A207" t="s">
        <v>355</v>
      </c>
      <c r="B207" t="s">
        <v>459</v>
      </c>
      <c r="C207" t="s">
        <v>320</v>
      </c>
      <c r="D207">
        <v>2026</v>
      </c>
      <c r="E207">
        <v>0</v>
      </c>
      <c r="F207">
        <v>15</v>
      </c>
      <c r="G207">
        <v>0</v>
      </c>
      <c r="H207">
        <v>0</v>
      </c>
      <c r="I207">
        <v>30</v>
      </c>
      <c r="J207">
        <v>45</v>
      </c>
      <c r="K207">
        <v>4</v>
      </c>
      <c r="L207">
        <v>2</v>
      </c>
      <c r="M207">
        <v>16</v>
      </c>
      <c r="N207">
        <v>0</v>
      </c>
      <c r="O207" t="s">
        <v>27</v>
      </c>
      <c r="P207" t="s">
        <v>443</v>
      </c>
      <c r="Q207">
        <v>2026</v>
      </c>
      <c r="R207">
        <v>2041</v>
      </c>
      <c r="S207" t="s">
        <v>444</v>
      </c>
      <c r="T207">
        <v>2031</v>
      </c>
      <c r="U207">
        <v>38.75</v>
      </c>
      <c r="V207">
        <v>1</v>
      </c>
      <c r="W207">
        <v>2031</v>
      </c>
      <c r="X207">
        <v>5</v>
      </c>
      <c r="Y207">
        <v>2031</v>
      </c>
      <c r="Z207">
        <v>1</v>
      </c>
      <c r="AA207">
        <v>120</v>
      </c>
      <c r="AB207">
        <v>180</v>
      </c>
      <c r="AC207">
        <v>120</v>
      </c>
      <c r="AD207">
        <v>180</v>
      </c>
      <c r="AE207">
        <v>0</v>
      </c>
      <c r="AF207">
        <v>0</v>
      </c>
      <c r="AG207">
        <v>120</v>
      </c>
      <c r="AH207">
        <v>180</v>
      </c>
      <c r="AI207">
        <v>1</v>
      </c>
      <c r="AJ207">
        <v>2.5169999999999999</v>
      </c>
      <c r="AK207">
        <v>2032</v>
      </c>
      <c r="AL207" s="61">
        <v>2.59</v>
      </c>
      <c r="AM207" s="61">
        <v>2.5169999999999999</v>
      </c>
      <c r="AN207" s="61">
        <v>2.59</v>
      </c>
      <c r="AO207">
        <v>1.1045453584485188</v>
      </c>
      <c r="AP207">
        <v>1.0258719904156592</v>
      </c>
      <c r="AQ207">
        <v>1.1331221453759597</v>
      </c>
      <c r="AR207" t="b">
        <v>0</v>
      </c>
      <c r="AS207">
        <v>105.90208698126281</v>
      </c>
      <c r="AT207">
        <v>158.85313047189422</v>
      </c>
      <c r="AU207">
        <v>132.3776087265785</v>
      </c>
    </row>
    <row r="208" spans="1:47" x14ac:dyDescent="0.25">
      <c r="A208" t="s">
        <v>355</v>
      </c>
      <c r="B208" t="s">
        <v>459</v>
      </c>
      <c r="C208" t="s">
        <v>320</v>
      </c>
      <c r="D208">
        <v>2026</v>
      </c>
      <c r="E208">
        <v>0</v>
      </c>
      <c r="F208">
        <v>15</v>
      </c>
      <c r="G208">
        <v>0</v>
      </c>
      <c r="H208">
        <v>0</v>
      </c>
      <c r="I208">
        <v>30</v>
      </c>
      <c r="J208">
        <v>45</v>
      </c>
      <c r="K208">
        <v>4</v>
      </c>
      <c r="L208">
        <v>2</v>
      </c>
      <c r="M208">
        <v>16</v>
      </c>
      <c r="N208">
        <v>0</v>
      </c>
      <c r="O208" t="s">
        <v>27</v>
      </c>
      <c r="P208" t="s">
        <v>443</v>
      </c>
      <c r="Q208">
        <v>2026</v>
      </c>
      <c r="R208">
        <v>2041</v>
      </c>
      <c r="S208" t="s">
        <v>444</v>
      </c>
      <c r="T208">
        <v>2032</v>
      </c>
      <c r="U208">
        <v>39.75</v>
      </c>
      <c r="V208">
        <v>1</v>
      </c>
      <c r="W208">
        <v>2032</v>
      </c>
      <c r="X208">
        <v>6</v>
      </c>
      <c r="Y208">
        <v>2032</v>
      </c>
      <c r="Z208">
        <v>1</v>
      </c>
      <c r="AA208">
        <v>120</v>
      </c>
      <c r="AB208">
        <v>180</v>
      </c>
      <c r="AC208">
        <v>120</v>
      </c>
      <c r="AD208">
        <v>180</v>
      </c>
      <c r="AE208">
        <v>0</v>
      </c>
      <c r="AF208">
        <v>0</v>
      </c>
      <c r="AG208">
        <v>120</v>
      </c>
      <c r="AH208">
        <v>180</v>
      </c>
      <c r="AI208">
        <v>1</v>
      </c>
      <c r="AJ208">
        <v>2.59</v>
      </c>
      <c r="AK208">
        <v>2033</v>
      </c>
      <c r="AL208" s="61">
        <v>2.6880000000000002</v>
      </c>
      <c r="AM208" s="61">
        <v>2.59</v>
      </c>
      <c r="AN208" s="61">
        <v>2.6880000000000002</v>
      </c>
      <c r="AO208">
        <v>1.1363841013749196</v>
      </c>
      <c r="AP208">
        <v>1.0268423936996114</v>
      </c>
      <c r="AQ208">
        <v>1.1668873708180043</v>
      </c>
      <c r="AR208" t="b">
        <v>0</v>
      </c>
      <c r="AS208">
        <v>102.83768853876474</v>
      </c>
      <c r="AT208">
        <v>154.25653280814711</v>
      </c>
      <c r="AU208">
        <v>128.54711067345593</v>
      </c>
    </row>
    <row r="209" spans="1:47" x14ac:dyDescent="0.25">
      <c r="A209" t="s">
        <v>355</v>
      </c>
      <c r="B209" t="s">
        <v>459</v>
      </c>
      <c r="C209" t="s">
        <v>320</v>
      </c>
      <c r="D209">
        <v>2026</v>
      </c>
      <c r="E209">
        <v>0</v>
      </c>
      <c r="F209">
        <v>15</v>
      </c>
      <c r="G209">
        <v>0</v>
      </c>
      <c r="H209">
        <v>0</v>
      </c>
      <c r="I209">
        <v>30</v>
      </c>
      <c r="J209">
        <v>45</v>
      </c>
      <c r="K209">
        <v>4</v>
      </c>
      <c r="L209">
        <v>2</v>
      </c>
      <c r="M209">
        <v>16</v>
      </c>
      <c r="N209">
        <v>0</v>
      </c>
      <c r="O209" t="s">
        <v>27</v>
      </c>
      <c r="P209" t="s">
        <v>443</v>
      </c>
      <c r="Q209">
        <v>2026</v>
      </c>
      <c r="R209">
        <v>2041</v>
      </c>
      <c r="S209" t="s">
        <v>444</v>
      </c>
      <c r="T209">
        <v>2033</v>
      </c>
      <c r="U209">
        <v>40.75</v>
      </c>
      <c r="V209">
        <v>1</v>
      </c>
      <c r="W209">
        <v>2033</v>
      </c>
      <c r="X209">
        <v>7</v>
      </c>
      <c r="Y209">
        <v>2033</v>
      </c>
      <c r="Z209">
        <v>1</v>
      </c>
      <c r="AA209">
        <v>120</v>
      </c>
      <c r="AB209">
        <v>180</v>
      </c>
      <c r="AC209">
        <v>120</v>
      </c>
      <c r="AD209">
        <v>180</v>
      </c>
      <c r="AE209">
        <v>0</v>
      </c>
      <c r="AF209">
        <v>0</v>
      </c>
      <c r="AG209">
        <v>120</v>
      </c>
      <c r="AH209">
        <v>180</v>
      </c>
      <c r="AI209">
        <v>1</v>
      </c>
      <c r="AJ209">
        <v>2.6880000000000002</v>
      </c>
      <c r="AK209">
        <v>2034</v>
      </c>
      <c r="AL209" s="61">
        <v>2.7519999999999998</v>
      </c>
      <c r="AM209" s="61">
        <v>2.6880000000000002</v>
      </c>
      <c r="AN209" s="61">
        <v>2.7519999999999998</v>
      </c>
      <c r="AO209">
        <v>1.1725143659072164</v>
      </c>
      <c r="AP209">
        <v>1.0274954447000768</v>
      </c>
      <c r="AQ209">
        <v>1.2047531698150638</v>
      </c>
      <c r="AR209" t="b">
        <v>0</v>
      </c>
      <c r="AS209">
        <v>99.605465257601821</v>
      </c>
      <c r="AT209">
        <v>149.40819788640275</v>
      </c>
      <c r="AU209">
        <v>124.50683157200228</v>
      </c>
    </row>
    <row r="210" spans="1:47" x14ac:dyDescent="0.25">
      <c r="A210" t="s">
        <v>355</v>
      </c>
      <c r="B210" t="s">
        <v>459</v>
      </c>
      <c r="C210" t="s">
        <v>320</v>
      </c>
      <c r="D210">
        <v>2026</v>
      </c>
      <c r="E210">
        <v>0</v>
      </c>
      <c r="F210">
        <v>15</v>
      </c>
      <c r="G210">
        <v>0</v>
      </c>
      <c r="H210">
        <v>0</v>
      </c>
      <c r="I210">
        <v>30</v>
      </c>
      <c r="J210">
        <v>45</v>
      </c>
      <c r="K210">
        <v>4</v>
      </c>
      <c r="L210">
        <v>2</v>
      </c>
      <c r="M210">
        <v>16</v>
      </c>
      <c r="N210">
        <v>0</v>
      </c>
      <c r="O210" t="s">
        <v>27</v>
      </c>
      <c r="P210" t="s">
        <v>443</v>
      </c>
      <c r="Q210">
        <v>2026</v>
      </c>
      <c r="R210">
        <v>2041</v>
      </c>
      <c r="S210" t="s">
        <v>444</v>
      </c>
      <c r="T210">
        <v>2034</v>
      </c>
      <c r="U210">
        <v>41.75</v>
      </c>
      <c r="V210">
        <v>1</v>
      </c>
      <c r="W210">
        <v>2034</v>
      </c>
      <c r="X210">
        <v>8</v>
      </c>
      <c r="Y210">
        <v>2034</v>
      </c>
      <c r="Z210">
        <v>1</v>
      </c>
      <c r="AA210">
        <v>120</v>
      </c>
      <c r="AB210">
        <v>180</v>
      </c>
      <c r="AC210">
        <v>120</v>
      </c>
      <c r="AD210">
        <v>180</v>
      </c>
      <c r="AE210">
        <v>0</v>
      </c>
      <c r="AF210">
        <v>0</v>
      </c>
      <c r="AG210">
        <v>120</v>
      </c>
      <c r="AH210">
        <v>180</v>
      </c>
      <c r="AI210">
        <v>1</v>
      </c>
      <c r="AJ210">
        <v>2.7519999999999998</v>
      </c>
      <c r="AK210">
        <v>2035</v>
      </c>
      <c r="AL210" s="61">
        <v>2.8420000000000001</v>
      </c>
      <c r="AM210" s="61">
        <v>2.7519999999999998</v>
      </c>
      <c r="AN210" s="61">
        <v>2.8420000000000001</v>
      </c>
      <c r="AO210">
        <v>1.2092942481281721</v>
      </c>
      <c r="AP210">
        <v>1.0283854649181425</v>
      </c>
      <c r="AQ210">
        <v>1.2436206275841259</v>
      </c>
      <c r="AR210" t="b">
        <v>0</v>
      </c>
      <c r="AS210">
        <v>96.492449014064363</v>
      </c>
      <c r="AT210">
        <v>144.73867352109656</v>
      </c>
      <c r="AU210">
        <v>120.61556126758046</v>
      </c>
    </row>
    <row r="211" spans="1:47" x14ac:dyDescent="0.25">
      <c r="A211" t="s">
        <v>355</v>
      </c>
      <c r="B211" t="s">
        <v>459</v>
      </c>
      <c r="C211" t="s">
        <v>320</v>
      </c>
      <c r="D211">
        <v>2026</v>
      </c>
      <c r="E211">
        <v>0</v>
      </c>
      <c r="F211">
        <v>15</v>
      </c>
      <c r="G211">
        <v>0</v>
      </c>
      <c r="H211">
        <v>0</v>
      </c>
      <c r="I211">
        <v>30</v>
      </c>
      <c r="J211">
        <v>45</v>
      </c>
      <c r="K211">
        <v>4</v>
      </c>
      <c r="L211">
        <v>2</v>
      </c>
      <c r="M211">
        <v>16</v>
      </c>
      <c r="N211">
        <v>0</v>
      </c>
      <c r="O211" t="s">
        <v>27</v>
      </c>
      <c r="P211" t="s">
        <v>443</v>
      </c>
      <c r="Q211">
        <v>2026</v>
      </c>
      <c r="R211">
        <v>2041</v>
      </c>
      <c r="S211" t="s">
        <v>444</v>
      </c>
      <c r="T211">
        <v>2035</v>
      </c>
      <c r="U211">
        <v>42.75</v>
      </c>
      <c r="V211">
        <v>1</v>
      </c>
      <c r="W211">
        <v>2035</v>
      </c>
      <c r="X211">
        <v>9</v>
      </c>
      <c r="Y211">
        <v>2035</v>
      </c>
      <c r="Z211">
        <v>1</v>
      </c>
      <c r="AA211">
        <v>120</v>
      </c>
      <c r="AB211">
        <v>180</v>
      </c>
      <c r="AC211">
        <v>120</v>
      </c>
      <c r="AD211">
        <v>180</v>
      </c>
      <c r="AE211">
        <v>0</v>
      </c>
      <c r="AF211">
        <v>0</v>
      </c>
      <c r="AG211">
        <v>120</v>
      </c>
      <c r="AH211">
        <v>180</v>
      </c>
      <c r="AI211">
        <v>1</v>
      </c>
      <c r="AJ211">
        <v>2.8420000000000001</v>
      </c>
      <c r="AK211">
        <v>2036</v>
      </c>
      <c r="AL211" s="61">
        <v>2.944</v>
      </c>
      <c r="AM211" s="61">
        <v>2.8420000000000001</v>
      </c>
      <c r="AN211" s="61">
        <v>2.944</v>
      </c>
      <c r="AO211">
        <v>1.2513076834571593</v>
      </c>
      <c r="AP211">
        <v>1.0294008580614105</v>
      </c>
      <c r="AQ211">
        <v>1.2880972030496356</v>
      </c>
      <c r="AR211" t="b">
        <v>0</v>
      </c>
      <c r="AS211">
        <v>93.160671194606977</v>
      </c>
      <c r="AT211">
        <v>139.74100679191045</v>
      </c>
      <c r="AU211">
        <v>116.45083899325871</v>
      </c>
    </row>
    <row r="212" spans="1:47" x14ac:dyDescent="0.25">
      <c r="A212" t="s">
        <v>355</v>
      </c>
      <c r="B212" t="s">
        <v>459</v>
      </c>
      <c r="C212" t="s">
        <v>320</v>
      </c>
      <c r="D212">
        <v>2026</v>
      </c>
      <c r="E212">
        <v>0</v>
      </c>
      <c r="F212">
        <v>15</v>
      </c>
      <c r="G212">
        <v>0</v>
      </c>
      <c r="H212">
        <v>0</v>
      </c>
      <c r="I212">
        <v>30</v>
      </c>
      <c r="J212">
        <v>45</v>
      </c>
      <c r="K212">
        <v>4</v>
      </c>
      <c r="L212">
        <v>2</v>
      </c>
      <c r="M212">
        <v>16</v>
      </c>
      <c r="N212">
        <v>0</v>
      </c>
      <c r="O212" t="s">
        <v>27</v>
      </c>
      <c r="P212" t="s">
        <v>443</v>
      </c>
      <c r="Q212">
        <v>2026</v>
      </c>
      <c r="R212">
        <v>2041</v>
      </c>
      <c r="S212" t="s">
        <v>444</v>
      </c>
      <c r="T212">
        <v>2036</v>
      </c>
      <c r="U212">
        <v>43.75</v>
      </c>
      <c r="V212">
        <v>1</v>
      </c>
      <c r="W212">
        <v>2036</v>
      </c>
      <c r="X212">
        <v>10</v>
      </c>
      <c r="Y212">
        <v>2036</v>
      </c>
      <c r="Z212">
        <v>1</v>
      </c>
      <c r="AA212">
        <v>120</v>
      </c>
      <c r="AB212">
        <v>180</v>
      </c>
      <c r="AC212">
        <v>120</v>
      </c>
      <c r="AD212">
        <v>180</v>
      </c>
      <c r="AE212">
        <v>0</v>
      </c>
      <c r="AF212">
        <v>0</v>
      </c>
      <c r="AG212">
        <v>120</v>
      </c>
      <c r="AH212">
        <v>180</v>
      </c>
      <c r="AI212">
        <v>1</v>
      </c>
      <c r="AJ212">
        <v>2.944</v>
      </c>
      <c r="AK212">
        <v>2037</v>
      </c>
      <c r="AL212" s="61">
        <v>3.036</v>
      </c>
      <c r="AM212" s="61">
        <v>2.944</v>
      </c>
      <c r="AN212" s="61">
        <v>3.036</v>
      </c>
      <c r="AO212">
        <v>1.2984025298030446</v>
      </c>
      <c r="AP212">
        <v>1.0303246971701443</v>
      </c>
      <c r="AQ212">
        <v>1.3377761933242711</v>
      </c>
      <c r="AR212" t="b">
        <v>0</v>
      </c>
      <c r="AS212">
        <v>89.701102919023555</v>
      </c>
      <c r="AT212">
        <v>134.55165437853535</v>
      </c>
      <c r="AU212">
        <v>112.12637864877945</v>
      </c>
    </row>
    <row r="213" spans="1:47" x14ac:dyDescent="0.25">
      <c r="A213" t="s">
        <v>355</v>
      </c>
      <c r="B213" t="s">
        <v>459</v>
      </c>
      <c r="C213" t="s">
        <v>320</v>
      </c>
      <c r="D213">
        <v>2026</v>
      </c>
      <c r="E213">
        <v>0</v>
      </c>
      <c r="F213">
        <v>15</v>
      </c>
      <c r="G213">
        <v>0</v>
      </c>
      <c r="H213">
        <v>0</v>
      </c>
      <c r="I213">
        <v>30</v>
      </c>
      <c r="J213">
        <v>45</v>
      </c>
      <c r="K213">
        <v>4</v>
      </c>
      <c r="L213">
        <v>2</v>
      </c>
      <c r="M213">
        <v>16</v>
      </c>
      <c r="N213">
        <v>0</v>
      </c>
      <c r="O213" t="s">
        <v>27</v>
      </c>
      <c r="P213" t="s">
        <v>443</v>
      </c>
      <c r="Q213">
        <v>2026</v>
      </c>
      <c r="R213">
        <v>2041</v>
      </c>
      <c r="S213" t="s">
        <v>444</v>
      </c>
      <c r="T213">
        <v>2037</v>
      </c>
      <c r="U213">
        <v>44.75</v>
      </c>
      <c r="V213">
        <v>1</v>
      </c>
      <c r="W213">
        <v>2037</v>
      </c>
      <c r="X213">
        <v>11</v>
      </c>
      <c r="Y213">
        <v>2037</v>
      </c>
      <c r="Z213">
        <v>1</v>
      </c>
      <c r="AA213">
        <v>120</v>
      </c>
      <c r="AB213">
        <v>180</v>
      </c>
      <c r="AC213">
        <v>120</v>
      </c>
      <c r="AD213">
        <v>180</v>
      </c>
      <c r="AE213">
        <v>0</v>
      </c>
      <c r="AF213">
        <v>0</v>
      </c>
      <c r="AG213">
        <v>120</v>
      </c>
      <c r="AH213">
        <v>180</v>
      </c>
      <c r="AI213">
        <v>1</v>
      </c>
      <c r="AJ213">
        <v>3.036</v>
      </c>
      <c r="AK213">
        <v>2038</v>
      </c>
      <c r="AL213" s="61">
        <v>3.1339999999999999</v>
      </c>
      <c r="AM213" s="61">
        <v>3.036</v>
      </c>
      <c r="AN213" s="61">
        <v>3.1339999999999999</v>
      </c>
      <c r="AO213">
        <v>1.3486209574989538</v>
      </c>
      <c r="AP213">
        <v>1.0313023937742947</v>
      </c>
      <c r="AQ213">
        <v>1.3908360217628524</v>
      </c>
      <c r="AR213" t="b">
        <v>0</v>
      </c>
      <c r="AS213">
        <v>86.279042333044259</v>
      </c>
      <c r="AT213">
        <v>129.41856349956637</v>
      </c>
      <c r="AU213">
        <v>107.84880291630532</v>
      </c>
    </row>
    <row r="214" spans="1:47" x14ac:dyDescent="0.25">
      <c r="A214" t="s">
        <v>355</v>
      </c>
      <c r="B214" t="s">
        <v>459</v>
      </c>
      <c r="C214" t="s">
        <v>320</v>
      </c>
      <c r="D214">
        <v>2026</v>
      </c>
      <c r="E214">
        <v>0</v>
      </c>
      <c r="F214">
        <v>15</v>
      </c>
      <c r="G214">
        <v>0</v>
      </c>
      <c r="H214">
        <v>0</v>
      </c>
      <c r="I214">
        <v>30</v>
      </c>
      <c r="J214">
        <v>45</v>
      </c>
      <c r="K214">
        <v>4</v>
      </c>
      <c r="L214">
        <v>2</v>
      </c>
      <c r="M214">
        <v>16</v>
      </c>
      <c r="N214">
        <v>0</v>
      </c>
      <c r="O214" t="s">
        <v>27</v>
      </c>
      <c r="P214" t="s">
        <v>443</v>
      </c>
      <c r="Q214">
        <v>2026</v>
      </c>
      <c r="R214">
        <v>2041</v>
      </c>
      <c r="S214" t="s">
        <v>444</v>
      </c>
      <c r="T214">
        <v>2038</v>
      </c>
      <c r="U214">
        <v>45.75</v>
      </c>
      <c r="V214">
        <v>1</v>
      </c>
      <c r="W214">
        <v>2038</v>
      </c>
      <c r="X214">
        <v>12</v>
      </c>
      <c r="Y214">
        <v>2038</v>
      </c>
      <c r="Z214">
        <v>1</v>
      </c>
      <c r="AA214">
        <v>120</v>
      </c>
      <c r="AB214">
        <v>180</v>
      </c>
      <c r="AC214">
        <v>120</v>
      </c>
      <c r="AD214">
        <v>180</v>
      </c>
      <c r="AE214">
        <v>0</v>
      </c>
      <c r="AF214">
        <v>0</v>
      </c>
      <c r="AG214">
        <v>120</v>
      </c>
      <c r="AH214">
        <v>180</v>
      </c>
      <c r="AI214">
        <v>1</v>
      </c>
      <c r="AJ214">
        <v>3.1339999999999999</v>
      </c>
      <c r="AK214">
        <v>2039</v>
      </c>
      <c r="AL214" s="61">
        <v>3.2069999999999999</v>
      </c>
      <c r="AM214" s="61">
        <v>3.1339999999999999</v>
      </c>
      <c r="AN214" s="61">
        <v>3.2069999999999999</v>
      </c>
      <c r="AO214">
        <v>1.4041725591738043</v>
      </c>
      <c r="AP214">
        <v>1.0320419904729838</v>
      </c>
      <c r="AQ214">
        <v>1.4491650429372767</v>
      </c>
      <c r="AR214" t="b">
        <v>0</v>
      </c>
      <c r="AS214">
        <v>82.806303246713</v>
      </c>
      <c r="AT214">
        <v>124.20945487006951</v>
      </c>
      <c r="AU214">
        <v>103.50787905839125</v>
      </c>
    </row>
    <row r="215" spans="1:47" x14ac:dyDescent="0.25">
      <c r="A215" t="s">
        <v>355</v>
      </c>
      <c r="B215" t="s">
        <v>459</v>
      </c>
      <c r="C215" t="s">
        <v>320</v>
      </c>
      <c r="D215">
        <v>2026</v>
      </c>
      <c r="E215">
        <v>0</v>
      </c>
      <c r="F215">
        <v>15</v>
      </c>
      <c r="G215">
        <v>0</v>
      </c>
      <c r="H215">
        <v>0</v>
      </c>
      <c r="I215">
        <v>30</v>
      </c>
      <c r="J215">
        <v>45</v>
      </c>
      <c r="K215">
        <v>4</v>
      </c>
      <c r="L215">
        <v>2</v>
      </c>
      <c r="M215">
        <v>16</v>
      </c>
      <c r="N215">
        <v>0</v>
      </c>
      <c r="O215" t="s">
        <v>27</v>
      </c>
      <c r="P215" t="s">
        <v>443</v>
      </c>
      <c r="Q215">
        <v>2026</v>
      </c>
      <c r="R215">
        <v>2041</v>
      </c>
      <c r="S215" t="s">
        <v>444</v>
      </c>
      <c r="T215">
        <v>2039</v>
      </c>
      <c r="U215">
        <v>46.75</v>
      </c>
      <c r="V215">
        <v>1</v>
      </c>
      <c r="W215">
        <v>2039</v>
      </c>
      <c r="X215">
        <v>13</v>
      </c>
      <c r="Y215">
        <v>2039</v>
      </c>
      <c r="Z215">
        <v>1</v>
      </c>
      <c r="AA215">
        <v>120</v>
      </c>
      <c r="AB215">
        <v>180</v>
      </c>
      <c r="AC215">
        <v>120</v>
      </c>
      <c r="AD215">
        <v>180</v>
      </c>
      <c r="AE215">
        <v>0</v>
      </c>
      <c r="AF215">
        <v>0</v>
      </c>
      <c r="AG215">
        <v>120</v>
      </c>
      <c r="AH215">
        <v>180</v>
      </c>
      <c r="AI215">
        <v>1</v>
      </c>
      <c r="AJ215">
        <v>3.2069999999999999</v>
      </c>
      <c r="AK215">
        <v>2040</v>
      </c>
      <c r="AL215" s="61">
        <v>3.3029999999999999</v>
      </c>
      <c r="AM215" s="61">
        <v>3.2069999999999999</v>
      </c>
      <c r="AN215" s="61">
        <v>3.3029999999999999</v>
      </c>
      <c r="AO215">
        <v>1.4605278779269859</v>
      </c>
      <c r="AP215">
        <v>1.0329931616190409</v>
      </c>
      <c r="AQ215">
        <v>1.5087153102525457</v>
      </c>
      <c r="AR215" t="b">
        <v>0</v>
      </c>
      <c r="AS215">
        <v>79.537868532608087</v>
      </c>
      <c r="AT215">
        <v>119.30680279891213</v>
      </c>
      <c r="AU215">
        <v>99.422335665760102</v>
      </c>
    </row>
    <row r="216" spans="1:47" x14ac:dyDescent="0.25">
      <c r="A216" t="s">
        <v>355</v>
      </c>
      <c r="B216" t="s">
        <v>459</v>
      </c>
      <c r="C216" t="s">
        <v>320</v>
      </c>
      <c r="D216">
        <v>2026</v>
      </c>
      <c r="E216">
        <v>0</v>
      </c>
      <c r="F216">
        <v>15</v>
      </c>
      <c r="G216">
        <v>0</v>
      </c>
      <c r="H216">
        <v>0</v>
      </c>
      <c r="I216">
        <v>30</v>
      </c>
      <c r="J216">
        <v>45</v>
      </c>
      <c r="K216">
        <v>4</v>
      </c>
      <c r="L216">
        <v>2</v>
      </c>
      <c r="M216">
        <v>16</v>
      </c>
      <c r="N216">
        <v>0</v>
      </c>
      <c r="O216" t="s">
        <v>27</v>
      </c>
      <c r="P216" t="s">
        <v>443</v>
      </c>
      <c r="Q216">
        <v>2026</v>
      </c>
      <c r="R216">
        <v>2041</v>
      </c>
      <c r="S216" t="s">
        <v>444</v>
      </c>
      <c r="T216">
        <v>2040</v>
      </c>
      <c r="U216">
        <v>47.75</v>
      </c>
      <c r="V216">
        <v>1</v>
      </c>
      <c r="W216">
        <v>2040</v>
      </c>
      <c r="X216">
        <v>14</v>
      </c>
      <c r="Y216">
        <v>2040</v>
      </c>
      <c r="Z216">
        <v>1</v>
      </c>
      <c r="AA216">
        <v>120</v>
      </c>
      <c r="AB216">
        <v>180</v>
      </c>
      <c r="AC216">
        <v>120</v>
      </c>
      <c r="AD216">
        <v>180</v>
      </c>
      <c r="AE216">
        <v>0</v>
      </c>
      <c r="AF216">
        <v>0</v>
      </c>
      <c r="AG216">
        <v>120</v>
      </c>
      <c r="AH216">
        <v>180</v>
      </c>
      <c r="AI216">
        <v>1</v>
      </c>
      <c r="AJ216">
        <v>3.3029999999999999</v>
      </c>
      <c r="AK216">
        <v>2041</v>
      </c>
      <c r="AL216" s="61">
        <v>3.3559999999999999</v>
      </c>
      <c r="AM216" s="61">
        <v>3.3029999999999999</v>
      </c>
      <c r="AN216" s="61">
        <v>3.3559999999999999</v>
      </c>
      <c r="AO216">
        <v>1.5256964700083253</v>
      </c>
      <c r="AP216">
        <v>1.0335396662189136</v>
      </c>
      <c r="AQ216">
        <v>1.5768678203637791</v>
      </c>
      <c r="AR216" t="b">
        <v>0</v>
      </c>
      <c r="AS216">
        <v>76.100227584272929</v>
      </c>
      <c r="AT216">
        <v>114.1503413764094</v>
      </c>
      <c r="AU216">
        <v>95.125284480341165</v>
      </c>
    </row>
    <row r="217" spans="1:47" x14ac:dyDescent="0.25">
      <c r="A217" t="s">
        <v>355</v>
      </c>
      <c r="B217" t="s">
        <v>459</v>
      </c>
      <c r="C217" t="s">
        <v>320</v>
      </c>
      <c r="D217">
        <v>2026</v>
      </c>
      <c r="E217">
        <v>0</v>
      </c>
      <c r="M217">
        <v>16</v>
      </c>
      <c r="Q217">
        <v>2026</v>
      </c>
      <c r="R217">
        <v>2041</v>
      </c>
      <c r="T217">
        <v>2041</v>
      </c>
      <c r="U217">
        <v>48.75</v>
      </c>
      <c r="W217">
        <v>2041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L217" s="61"/>
      <c r="AS217">
        <v>0</v>
      </c>
      <c r="AT217">
        <v>0</v>
      </c>
      <c r="AU217">
        <v>0</v>
      </c>
    </row>
    <row r="218" spans="1:47" x14ac:dyDescent="0.25">
      <c r="A218" t="s">
        <v>329</v>
      </c>
      <c r="B218" t="s">
        <v>460</v>
      </c>
      <c r="C218" t="s">
        <v>319</v>
      </c>
      <c r="D218">
        <v>2026</v>
      </c>
      <c r="E218">
        <v>0</v>
      </c>
      <c r="F218">
        <v>10</v>
      </c>
      <c r="G218">
        <v>0</v>
      </c>
      <c r="H218">
        <v>0</v>
      </c>
      <c r="I218">
        <v>50</v>
      </c>
      <c r="J218">
        <v>250</v>
      </c>
      <c r="K218">
        <v>1</v>
      </c>
      <c r="L218">
        <v>1</v>
      </c>
      <c r="M218">
        <v>17</v>
      </c>
      <c r="N218">
        <v>0</v>
      </c>
      <c r="O218" t="s">
        <v>27</v>
      </c>
      <c r="P218" t="s">
        <v>443</v>
      </c>
      <c r="Q218">
        <v>2026</v>
      </c>
      <c r="R218">
        <v>2036</v>
      </c>
      <c r="S218" t="s">
        <v>444</v>
      </c>
      <c r="T218">
        <v>2026</v>
      </c>
      <c r="U218">
        <v>33.75</v>
      </c>
      <c r="V218">
        <v>1</v>
      </c>
      <c r="W218">
        <v>2026</v>
      </c>
      <c r="X218">
        <v>0</v>
      </c>
      <c r="Y218">
        <v>2026</v>
      </c>
      <c r="Z218">
        <v>1</v>
      </c>
      <c r="AA218">
        <v>50</v>
      </c>
      <c r="AB218">
        <v>250</v>
      </c>
      <c r="AC218">
        <v>50</v>
      </c>
      <c r="AD218">
        <v>250</v>
      </c>
      <c r="AE218">
        <v>0</v>
      </c>
      <c r="AF218">
        <v>0</v>
      </c>
      <c r="AG218">
        <v>50</v>
      </c>
      <c r="AH218">
        <v>250</v>
      </c>
      <c r="AI218">
        <v>1</v>
      </c>
      <c r="AK218">
        <v>2027</v>
      </c>
      <c r="AL218" s="61">
        <v>2.4329999999999998</v>
      </c>
      <c r="AM218" s="61">
        <v>0</v>
      </c>
      <c r="AN218" s="61">
        <v>2.4329999999999998</v>
      </c>
      <c r="AO218">
        <v>1</v>
      </c>
      <c r="AP218">
        <v>1.023385968321771</v>
      </c>
      <c r="AQ218">
        <v>1.023385968321771</v>
      </c>
      <c r="AR218" t="b">
        <v>1</v>
      </c>
      <c r="AS218">
        <v>50</v>
      </c>
      <c r="AT218">
        <v>250</v>
      </c>
      <c r="AU218">
        <v>150</v>
      </c>
    </row>
    <row r="219" spans="1:47" x14ac:dyDescent="0.25">
      <c r="A219" t="s">
        <v>329</v>
      </c>
      <c r="B219" t="s">
        <v>460</v>
      </c>
      <c r="C219" t="s">
        <v>319</v>
      </c>
      <c r="D219">
        <v>2026</v>
      </c>
      <c r="E219">
        <v>0</v>
      </c>
      <c r="F219">
        <v>10</v>
      </c>
      <c r="G219">
        <v>0</v>
      </c>
      <c r="H219">
        <v>0</v>
      </c>
      <c r="I219">
        <v>50</v>
      </c>
      <c r="J219">
        <v>250</v>
      </c>
      <c r="K219">
        <v>1</v>
      </c>
      <c r="L219">
        <v>1</v>
      </c>
      <c r="M219">
        <v>17</v>
      </c>
      <c r="N219">
        <v>0</v>
      </c>
      <c r="O219" t="s">
        <v>27</v>
      </c>
      <c r="P219" t="s">
        <v>443</v>
      </c>
      <c r="Q219">
        <v>2026</v>
      </c>
      <c r="R219">
        <v>2036</v>
      </c>
      <c r="S219" t="s">
        <v>444</v>
      </c>
      <c r="T219">
        <v>2027</v>
      </c>
      <c r="U219">
        <v>34.75</v>
      </c>
      <c r="V219">
        <v>1</v>
      </c>
      <c r="W219">
        <v>2027</v>
      </c>
      <c r="X219">
        <v>1</v>
      </c>
      <c r="Y219">
        <v>2027</v>
      </c>
      <c r="Z219">
        <v>1</v>
      </c>
      <c r="AA219">
        <v>50</v>
      </c>
      <c r="AB219">
        <v>250</v>
      </c>
      <c r="AC219">
        <v>50</v>
      </c>
      <c r="AD219">
        <v>250</v>
      </c>
      <c r="AE219">
        <v>0</v>
      </c>
      <c r="AF219">
        <v>0</v>
      </c>
      <c r="AG219">
        <v>50</v>
      </c>
      <c r="AH219">
        <v>250</v>
      </c>
      <c r="AI219">
        <v>1</v>
      </c>
      <c r="AJ219">
        <v>2.4329999999999998</v>
      </c>
      <c r="AK219">
        <v>2028</v>
      </c>
      <c r="AL219" s="61">
        <v>2.4220000000000002</v>
      </c>
      <c r="AM219" s="61">
        <v>2.4329999999999998</v>
      </c>
      <c r="AN219" s="61">
        <v>2.4220000000000002</v>
      </c>
      <c r="AO219">
        <v>1</v>
      </c>
      <c r="AP219">
        <v>1.0242242189602202</v>
      </c>
      <c r="AQ219">
        <v>1.0242242189602202</v>
      </c>
      <c r="AR219" t="b">
        <v>0</v>
      </c>
      <c r="AS219">
        <v>48.817435747379008</v>
      </c>
      <c r="AT219">
        <v>244.08717873689505</v>
      </c>
      <c r="AU219">
        <v>146.45230724213704</v>
      </c>
    </row>
    <row r="220" spans="1:47" x14ac:dyDescent="0.25">
      <c r="A220" t="s">
        <v>329</v>
      </c>
      <c r="B220" t="s">
        <v>460</v>
      </c>
      <c r="C220" t="s">
        <v>319</v>
      </c>
      <c r="D220">
        <v>2026</v>
      </c>
      <c r="E220">
        <v>0</v>
      </c>
      <c r="F220">
        <v>10</v>
      </c>
      <c r="G220">
        <v>0</v>
      </c>
      <c r="H220">
        <v>0</v>
      </c>
      <c r="I220">
        <v>50</v>
      </c>
      <c r="J220">
        <v>250</v>
      </c>
      <c r="K220">
        <v>1</v>
      </c>
      <c r="L220">
        <v>1</v>
      </c>
      <c r="M220">
        <v>17</v>
      </c>
      <c r="N220">
        <v>0</v>
      </c>
      <c r="O220" t="s">
        <v>27</v>
      </c>
      <c r="P220" t="s">
        <v>443</v>
      </c>
      <c r="Q220">
        <v>2026</v>
      </c>
      <c r="R220">
        <v>2036</v>
      </c>
      <c r="S220" t="s">
        <v>444</v>
      </c>
      <c r="T220">
        <v>2028</v>
      </c>
      <c r="U220">
        <v>35.75</v>
      </c>
      <c r="V220">
        <v>1</v>
      </c>
      <c r="W220">
        <v>2028</v>
      </c>
      <c r="X220">
        <v>2</v>
      </c>
      <c r="Y220">
        <v>2028</v>
      </c>
      <c r="Z220">
        <v>1</v>
      </c>
      <c r="AA220">
        <v>50</v>
      </c>
      <c r="AB220">
        <v>250</v>
      </c>
      <c r="AC220">
        <v>50</v>
      </c>
      <c r="AD220">
        <v>250</v>
      </c>
      <c r="AE220">
        <v>0</v>
      </c>
      <c r="AF220">
        <v>0</v>
      </c>
      <c r="AG220">
        <v>50</v>
      </c>
      <c r="AH220">
        <v>250</v>
      </c>
      <c r="AI220">
        <v>1</v>
      </c>
      <c r="AJ220">
        <v>2.4220000000000002</v>
      </c>
      <c r="AK220">
        <v>2029</v>
      </c>
      <c r="AL220" s="61">
        <v>2.4209999999999998</v>
      </c>
      <c r="AM220" s="61">
        <v>2.4220000000000002</v>
      </c>
      <c r="AN220" s="61">
        <v>2.4209999999999998</v>
      </c>
      <c r="AO220">
        <v>1.0242199999999999</v>
      </c>
      <c r="AP220">
        <v>1.0242103835598433</v>
      </c>
      <c r="AQ220">
        <v>1.0490167590496626</v>
      </c>
      <c r="AR220" t="b">
        <v>0</v>
      </c>
      <c r="AS220">
        <v>47.66368084080618</v>
      </c>
      <c r="AT220">
        <v>238.31840420403091</v>
      </c>
      <c r="AU220">
        <v>142.99104252241855</v>
      </c>
    </row>
    <row r="221" spans="1:47" x14ac:dyDescent="0.25">
      <c r="A221" t="s">
        <v>329</v>
      </c>
      <c r="B221" t="s">
        <v>460</v>
      </c>
      <c r="C221" t="s">
        <v>319</v>
      </c>
      <c r="D221">
        <v>2026</v>
      </c>
      <c r="E221">
        <v>0</v>
      </c>
      <c r="F221">
        <v>10</v>
      </c>
      <c r="G221">
        <v>0</v>
      </c>
      <c r="H221">
        <v>0</v>
      </c>
      <c r="I221">
        <v>50</v>
      </c>
      <c r="J221">
        <v>250</v>
      </c>
      <c r="K221">
        <v>1</v>
      </c>
      <c r="L221">
        <v>1</v>
      </c>
      <c r="M221">
        <v>17</v>
      </c>
      <c r="N221">
        <v>0</v>
      </c>
      <c r="O221" t="s">
        <v>27</v>
      </c>
      <c r="P221" t="s">
        <v>443</v>
      </c>
      <c r="Q221">
        <v>2026</v>
      </c>
      <c r="R221">
        <v>2036</v>
      </c>
      <c r="S221" t="s">
        <v>444</v>
      </c>
      <c r="T221">
        <v>2029</v>
      </c>
      <c r="U221">
        <v>36.75</v>
      </c>
      <c r="V221">
        <v>1</v>
      </c>
      <c r="W221">
        <v>2029</v>
      </c>
      <c r="X221">
        <v>3</v>
      </c>
      <c r="Y221">
        <v>2029</v>
      </c>
      <c r="Z221">
        <v>1</v>
      </c>
      <c r="AA221">
        <v>50</v>
      </c>
      <c r="AB221">
        <v>250</v>
      </c>
      <c r="AC221">
        <v>50</v>
      </c>
      <c r="AD221">
        <v>250</v>
      </c>
      <c r="AE221">
        <v>0</v>
      </c>
      <c r="AF221">
        <v>0</v>
      </c>
      <c r="AG221">
        <v>50</v>
      </c>
      <c r="AH221">
        <v>250</v>
      </c>
      <c r="AI221">
        <v>1</v>
      </c>
      <c r="AJ221">
        <v>2.4209999999999998</v>
      </c>
      <c r="AK221">
        <v>2030</v>
      </c>
      <c r="AL221" s="61">
        <v>2.4670000000000001</v>
      </c>
      <c r="AM221" s="61">
        <v>2.4209999999999998</v>
      </c>
      <c r="AN221" s="61">
        <v>2.4670000000000001</v>
      </c>
      <c r="AO221">
        <v>1.0490061241000002</v>
      </c>
      <c r="AP221">
        <v>1.0246523523547908</v>
      </c>
      <c r="AQ221">
        <v>1.0748665926936467</v>
      </c>
      <c r="AR221" t="b">
        <v>0</v>
      </c>
      <c r="AS221">
        <v>46.517400708025129</v>
      </c>
      <c r="AT221">
        <v>232.58700354012564</v>
      </c>
      <c r="AU221">
        <v>139.55220212407539</v>
      </c>
    </row>
    <row r="222" spans="1:47" x14ac:dyDescent="0.25">
      <c r="A222" t="s">
        <v>329</v>
      </c>
      <c r="B222" t="s">
        <v>460</v>
      </c>
      <c r="C222" t="s">
        <v>319</v>
      </c>
      <c r="D222">
        <v>2026</v>
      </c>
      <c r="E222">
        <v>0</v>
      </c>
      <c r="F222">
        <v>10</v>
      </c>
      <c r="G222">
        <v>0</v>
      </c>
      <c r="H222">
        <v>0</v>
      </c>
      <c r="I222">
        <v>50</v>
      </c>
      <c r="J222">
        <v>250</v>
      </c>
      <c r="K222">
        <v>1</v>
      </c>
      <c r="L222">
        <v>1</v>
      </c>
      <c r="M222">
        <v>17</v>
      </c>
      <c r="N222">
        <v>0</v>
      </c>
      <c r="O222" t="s">
        <v>27</v>
      </c>
      <c r="P222" t="s">
        <v>443</v>
      </c>
      <c r="Q222">
        <v>2026</v>
      </c>
      <c r="R222">
        <v>2036</v>
      </c>
      <c r="S222" t="s">
        <v>444</v>
      </c>
      <c r="T222">
        <v>2030</v>
      </c>
      <c r="U222">
        <v>37.75</v>
      </c>
      <c r="V222">
        <v>1</v>
      </c>
      <c r="W222">
        <v>2030</v>
      </c>
      <c r="X222">
        <v>4</v>
      </c>
      <c r="Y222">
        <v>2030</v>
      </c>
      <c r="Z222">
        <v>1</v>
      </c>
      <c r="AA222">
        <v>50</v>
      </c>
      <c r="AB222">
        <v>250</v>
      </c>
      <c r="AC222">
        <v>50</v>
      </c>
      <c r="AD222">
        <v>250</v>
      </c>
      <c r="AE222">
        <v>0</v>
      </c>
      <c r="AF222">
        <v>0</v>
      </c>
      <c r="AG222">
        <v>50</v>
      </c>
      <c r="AH222">
        <v>250</v>
      </c>
      <c r="AI222">
        <v>1</v>
      </c>
      <c r="AJ222">
        <v>2.4670000000000001</v>
      </c>
      <c r="AK222">
        <v>2031</v>
      </c>
      <c r="AL222" s="61">
        <v>2.5169999999999999</v>
      </c>
      <c r="AM222" s="61">
        <v>2.4670000000000001</v>
      </c>
      <c r="AN222" s="61">
        <v>2.5169999999999999</v>
      </c>
      <c r="AO222">
        <v>1.0758508410815628</v>
      </c>
      <c r="AP222">
        <v>1.0251508174189523</v>
      </c>
      <c r="AQ222">
        <v>1.1029093691556315</v>
      </c>
      <c r="AR222" t="b">
        <v>0</v>
      </c>
      <c r="AS222">
        <v>45.334640722364284</v>
      </c>
      <c r="AT222">
        <v>226.67320361182144</v>
      </c>
      <c r="AU222">
        <v>136.00392216709287</v>
      </c>
    </row>
    <row r="223" spans="1:47" x14ac:dyDescent="0.25">
      <c r="A223" t="s">
        <v>329</v>
      </c>
      <c r="B223" t="s">
        <v>460</v>
      </c>
      <c r="C223" t="s">
        <v>319</v>
      </c>
      <c r="D223">
        <v>2026</v>
      </c>
      <c r="E223">
        <v>0</v>
      </c>
      <c r="F223">
        <v>10</v>
      </c>
      <c r="G223">
        <v>0</v>
      </c>
      <c r="H223">
        <v>0</v>
      </c>
      <c r="I223">
        <v>50</v>
      </c>
      <c r="J223">
        <v>250</v>
      </c>
      <c r="K223">
        <v>1</v>
      </c>
      <c r="L223">
        <v>1</v>
      </c>
      <c r="M223">
        <v>17</v>
      </c>
      <c r="N223">
        <v>0</v>
      </c>
      <c r="O223" t="s">
        <v>27</v>
      </c>
      <c r="P223" t="s">
        <v>443</v>
      </c>
      <c r="Q223">
        <v>2026</v>
      </c>
      <c r="R223">
        <v>2036</v>
      </c>
      <c r="S223" t="s">
        <v>444</v>
      </c>
      <c r="T223">
        <v>2031</v>
      </c>
      <c r="U223">
        <v>38.75</v>
      </c>
      <c r="V223">
        <v>1</v>
      </c>
      <c r="W223">
        <v>2031</v>
      </c>
      <c r="X223">
        <v>5</v>
      </c>
      <c r="Y223">
        <v>2031</v>
      </c>
      <c r="Z223">
        <v>1</v>
      </c>
      <c r="AA223">
        <v>50</v>
      </c>
      <c r="AB223">
        <v>250</v>
      </c>
      <c r="AC223">
        <v>50</v>
      </c>
      <c r="AD223">
        <v>250</v>
      </c>
      <c r="AE223">
        <v>0</v>
      </c>
      <c r="AF223">
        <v>0</v>
      </c>
      <c r="AG223">
        <v>50</v>
      </c>
      <c r="AH223">
        <v>250</v>
      </c>
      <c r="AI223">
        <v>1</v>
      </c>
      <c r="AJ223">
        <v>2.5169999999999999</v>
      </c>
      <c r="AK223">
        <v>2032</v>
      </c>
      <c r="AL223" s="61">
        <v>2.59</v>
      </c>
      <c r="AM223" s="61">
        <v>2.5169999999999999</v>
      </c>
      <c r="AN223" s="61">
        <v>2.59</v>
      </c>
      <c r="AO223">
        <v>1.1045453584485188</v>
      </c>
      <c r="AP223">
        <v>1.0258719904156592</v>
      </c>
      <c r="AQ223">
        <v>1.1331221453759597</v>
      </c>
      <c r="AR223" t="b">
        <v>0</v>
      </c>
      <c r="AS223">
        <v>44.125869575526167</v>
      </c>
      <c r="AT223">
        <v>220.62934787763083</v>
      </c>
      <c r="AU223">
        <v>132.3776087265785</v>
      </c>
    </row>
    <row r="224" spans="1:47" x14ac:dyDescent="0.25">
      <c r="A224" t="s">
        <v>329</v>
      </c>
      <c r="B224" t="s">
        <v>460</v>
      </c>
      <c r="C224" t="s">
        <v>319</v>
      </c>
      <c r="D224">
        <v>2026</v>
      </c>
      <c r="E224">
        <v>0</v>
      </c>
      <c r="F224">
        <v>10</v>
      </c>
      <c r="G224">
        <v>0</v>
      </c>
      <c r="H224">
        <v>0</v>
      </c>
      <c r="I224">
        <v>50</v>
      </c>
      <c r="J224">
        <v>250</v>
      </c>
      <c r="K224">
        <v>1</v>
      </c>
      <c r="L224">
        <v>1</v>
      </c>
      <c r="M224">
        <v>17</v>
      </c>
      <c r="N224">
        <v>0</v>
      </c>
      <c r="O224" t="s">
        <v>27</v>
      </c>
      <c r="P224" t="s">
        <v>443</v>
      </c>
      <c r="Q224">
        <v>2026</v>
      </c>
      <c r="R224">
        <v>2036</v>
      </c>
      <c r="S224" t="s">
        <v>444</v>
      </c>
      <c r="T224">
        <v>2032</v>
      </c>
      <c r="U224">
        <v>39.75</v>
      </c>
      <c r="V224">
        <v>1</v>
      </c>
      <c r="W224">
        <v>2032</v>
      </c>
      <c r="X224">
        <v>6</v>
      </c>
      <c r="Y224">
        <v>2032</v>
      </c>
      <c r="Z224">
        <v>1</v>
      </c>
      <c r="AA224">
        <v>50</v>
      </c>
      <c r="AB224">
        <v>250</v>
      </c>
      <c r="AC224">
        <v>50</v>
      </c>
      <c r="AD224">
        <v>250</v>
      </c>
      <c r="AE224">
        <v>0</v>
      </c>
      <c r="AF224">
        <v>0</v>
      </c>
      <c r="AG224">
        <v>50</v>
      </c>
      <c r="AH224">
        <v>250</v>
      </c>
      <c r="AI224">
        <v>1</v>
      </c>
      <c r="AJ224">
        <v>2.59</v>
      </c>
      <c r="AK224">
        <v>2033</v>
      </c>
      <c r="AL224" s="61">
        <v>2.6880000000000002</v>
      </c>
      <c r="AM224" s="61">
        <v>2.59</v>
      </c>
      <c r="AN224" s="61">
        <v>2.6880000000000002</v>
      </c>
      <c r="AO224">
        <v>1.1363841013749196</v>
      </c>
      <c r="AP224">
        <v>1.0268423936996114</v>
      </c>
      <c r="AQ224">
        <v>1.1668873708180043</v>
      </c>
      <c r="AR224" t="b">
        <v>0</v>
      </c>
      <c r="AS224">
        <v>42.849036891151975</v>
      </c>
      <c r="AT224">
        <v>214.24518445575987</v>
      </c>
      <c r="AU224">
        <v>128.54711067345593</v>
      </c>
    </row>
    <row r="225" spans="1:47" x14ac:dyDescent="0.25">
      <c r="A225" t="s">
        <v>329</v>
      </c>
      <c r="B225" t="s">
        <v>460</v>
      </c>
      <c r="C225" t="s">
        <v>319</v>
      </c>
      <c r="D225">
        <v>2026</v>
      </c>
      <c r="E225">
        <v>0</v>
      </c>
      <c r="F225">
        <v>10</v>
      </c>
      <c r="G225">
        <v>0</v>
      </c>
      <c r="H225">
        <v>0</v>
      </c>
      <c r="I225">
        <v>50</v>
      </c>
      <c r="J225">
        <v>250</v>
      </c>
      <c r="K225">
        <v>1</v>
      </c>
      <c r="L225">
        <v>1</v>
      </c>
      <c r="M225">
        <v>17</v>
      </c>
      <c r="N225">
        <v>0</v>
      </c>
      <c r="O225" t="s">
        <v>27</v>
      </c>
      <c r="P225" t="s">
        <v>443</v>
      </c>
      <c r="Q225">
        <v>2026</v>
      </c>
      <c r="R225">
        <v>2036</v>
      </c>
      <c r="S225" t="s">
        <v>444</v>
      </c>
      <c r="T225">
        <v>2033</v>
      </c>
      <c r="U225">
        <v>40.75</v>
      </c>
      <c r="V225">
        <v>1</v>
      </c>
      <c r="W225">
        <v>2033</v>
      </c>
      <c r="X225">
        <v>7</v>
      </c>
      <c r="Y225">
        <v>2033</v>
      </c>
      <c r="Z225">
        <v>1</v>
      </c>
      <c r="AA225">
        <v>50</v>
      </c>
      <c r="AB225">
        <v>250</v>
      </c>
      <c r="AC225">
        <v>50</v>
      </c>
      <c r="AD225">
        <v>250</v>
      </c>
      <c r="AE225">
        <v>0</v>
      </c>
      <c r="AF225">
        <v>0</v>
      </c>
      <c r="AG225">
        <v>50</v>
      </c>
      <c r="AH225">
        <v>250</v>
      </c>
      <c r="AI225">
        <v>1</v>
      </c>
      <c r="AJ225">
        <v>2.6880000000000002</v>
      </c>
      <c r="AK225">
        <v>2034</v>
      </c>
      <c r="AL225" s="61">
        <v>2.7519999999999998</v>
      </c>
      <c r="AM225" s="61">
        <v>2.6880000000000002</v>
      </c>
      <c r="AN225" s="61">
        <v>2.7519999999999998</v>
      </c>
      <c r="AO225">
        <v>1.1725143659072164</v>
      </c>
      <c r="AP225">
        <v>1.0274954447000768</v>
      </c>
      <c r="AQ225">
        <v>1.2047531698150638</v>
      </c>
      <c r="AR225" t="b">
        <v>0</v>
      </c>
      <c r="AS225">
        <v>41.502277190667428</v>
      </c>
      <c r="AT225">
        <v>207.51138595333714</v>
      </c>
      <c r="AU225">
        <v>124.50683157200228</v>
      </c>
    </row>
    <row r="226" spans="1:47" x14ac:dyDescent="0.25">
      <c r="A226" t="s">
        <v>329</v>
      </c>
      <c r="B226" t="s">
        <v>460</v>
      </c>
      <c r="C226" t="s">
        <v>319</v>
      </c>
      <c r="D226">
        <v>2026</v>
      </c>
      <c r="E226">
        <v>0</v>
      </c>
      <c r="F226">
        <v>10</v>
      </c>
      <c r="G226">
        <v>0</v>
      </c>
      <c r="H226">
        <v>0</v>
      </c>
      <c r="I226">
        <v>50</v>
      </c>
      <c r="J226">
        <v>250</v>
      </c>
      <c r="K226">
        <v>1</v>
      </c>
      <c r="L226">
        <v>1</v>
      </c>
      <c r="M226">
        <v>17</v>
      </c>
      <c r="N226">
        <v>0</v>
      </c>
      <c r="O226" t="s">
        <v>27</v>
      </c>
      <c r="P226" t="s">
        <v>443</v>
      </c>
      <c r="Q226">
        <v>2026</v>
      </c>
      <c r="R226">
        <v>2036</v>
      </c>
      <c r="S226" t="s">
        <v>444</v>
      </c>
      <c r="T226">
        <v>2034</v>
      </c>
      <c r="U226">
        <v>41.75</v>
      </c>
      <c r="V226">
        <v>1</v>
      </c>
      <c r="W226">
        <v>2034</v>
      </c>
      <c r="X226">
        <v>8</v>
      </c>
      <c r="Y226">
        <v>2034</v>
      </c>
      <c r="Z226">
        <v>1</v>
      </c>
      <c r="AA226">
        <v>50</v>
      </c>
      <c r="AB226">
        <v>250</v>
      </c>
      <c r="AC226">
        <v>50</v>
      </c>
      <c r="AD226">
        <v>250</v>
      </c>
      <c r="AE226">
        <v>0</v>
      </c>
      <c r="AF226">
        <v>0</v>
      </c>
      <c r="AG226">
        <v>50</v>
      </c>
      <c r="AH226">
        <v>250</v>
      </c>
      <c r="AI226">
        <v>1</v>
      </c>
      <c r="AJ226">
        <v>2.7519999999999998</v>
      </c>
      <c r="AK226">
        <v>2035</v>
      </c>
      <c r="AL226" s="61">
        <v>2.8420000000000001</v>
      </c>
      <c r="AM226" s="61">
        <v>2.7519999999999998</v>
      </c>
      <c r="AN226" s="61">
        <v>2.8420000000000001</v>
      </c>
      <c r="AO226">
        <v>1.2092942481281721</v>
      </c>
      <c r="AP226">
        <v>1.0283854649181425</v>
      </c>
      <c r="AQ226">
        <v>1.2436206275841259</v>
      </c>
      <c r="AR226" t="b">
        <v>0</v>
      </c>
      <c r="AS226">
        <v>40.205187089193487</v>
      </c>
      <c r="AT226">
        <v>201.02593544596743</v>
      </c>
      <c r="AU226">
        <v>120.61556126758046</v>
      </c>
    </row>
    <row r="227" spans="1:47" x14ac:dyDescent="0.25">
      <c r="A227" t="s">
        <v>329</v>
      </c>
      <c r="B227" t="s">
        <v>460</v>
      </c>
      <c r="C227" t="s">
        <v>319</v>
      </c>
      <c r="D227">
        <v>2026</v>
      </c>
      <c r="E227">
        <v>0</v>
      </c>
      <c r="F227">
        <v>10</v>
      </c>
      <c r="G227">
        <v>0</v>
      </c>
      <c r="H227">
        <v>0</v>
      </c>
      <c r="I227">
        <v>50</v>
      </c>
      <c r="J227">
        <v>250</v>
      </c>
      <c r="K227">
        <v>1</v>
      </c>
      <c r="L227">
        <v>1</v>
      </c>
      <c r="M227">
        <v>17</v>
      </c>
      <c r="N227">
        <v>0</v>
      </c>
      <c r="O227" t="s">
        <v>27</v>
      </c>
      <c r="P227" t="s">
        <v>443</v>
      </c>
      <c r="Q227">
        <v>2026</v>
      </c>
      <c r="R227">
        <v>2036</v>
      </c>
      <c r="S227" t="s">
        <v>444</v>
      </c>
      <c r="T227">
        <v>2035</v>
      </c>
      <c r="U227">
        <v>42.75</v>
      </c>
      <c r="V227">
        <v>1</v>
      </c>
      <c r="W227">
        <v>2035</v>
      </c>
      <c r="X227">
        <v>9</v>
      </c>
      <c r="Y227">
        <v>2035</v>
      </c>
      <c r="Z227">
        <v>1</v>
      </c>
      <c r="AA227">
        <v>50</v>
      </c>
      <c r="AB227">
        <v>250</v>
      </c>
      <c r="AC227">
        <v>50</v>
      </c>
      <c r="AD227">
        <v>250</v>
      </c>
      <c r="AE227">
        <v>0</v>
      </c>
      <c r="AF227">
        <v>0</v>
      </c>
      <c r="AG227">
        <v>50</v>
      </c>
      <c r="AH227">
        <v>250</v>
      </c>
      <c r="AI227">
        <v>1</v>
      </c>
      <c r="AJ227">
        <v>2.8420000000000001</v>
      </c>
      <c r="AK227">
        <v>2036</v>
      </c>
      <c r="AL227" s="61">
        <v>2.944</v>
      </c>
      <c r="AM227" s="61">
        <v>2.8420000000000001</v>
      </c>
      <c r="AN227" s="61">
        <v>2.944</v>
      </c>
      <c r="AO227">
        <v>1.2513076834571593</v>
      </c>
      <c r="AP227">
        <v>1.0294008580614105</v>
      </c>
      <c r="AQ227">
        <v>1.2880972030496356</v>
      </c>
      <c r="AR227" t="b">
        <v>0</v>
      </c>
      <c r="AS227">
        <v>38.816946331086243</v>
      </c>
      <c r="AT227">
        <v>194.0847316554312</v>
      </c>
      <c r="AU227">
        <v>116.45083899325871</v>
      </c>
    </row>
    <row r="228" spans="1:47" x14ac:dyDescent="0.25">
      <c r="A228" t="s">
        <v>329</v>
      </c>
      <c r="B228" t="s">
        <v>460</v>
      </c>
      <c r="C228" t="s">
        <v>319</v>
      </c>
      <c r="D228">
        <v>2026</v>
      </c>
      <c r="E228">
        <v>0</v>
      </c>
      <c r="M228">
        <v>17</v>
      </c>
      <c r="Q228">
        <v>2026</v>
      </c>
      <c r="R228">
        <v>2036</v>
      </c>
      <c r="T228">
        <v>2036</v>
      </c>
      <c r="U228">
        <v>43.75</v>
      </c>
      <c r="W228">
        <v>2036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L228" s="61"/>
      <c r="AS228">
        <v>0</v>
      </c>
      <c r="AT228">
        <v>0</v>
      </c>
      <c r="AU228">
        <v>0</v>
      </c>
    </row>
    <row r="229" spans="1:47" x14ac:dyDescent="0.25">
      <c r="A229" t="s">
        <v>356</v>
      </c>
      <c r="B229" t="s">
        <v>461</v>
      </c>
      <c r="C229" t="s">
        <v>320</v>
      </c>
      <c r="D229">
        <v>2026</v>
      </c>
      <c r="E229">
        <v>0</v>
      </c>
      <c r="F229">
        <v>15</v>
      </c>
      <c r="G229">
        <v>0</v>
      </c>
      <c r="H229">
        <v>0</v>
      </c>
      <c r="I229">
        <v>30</v>
      </c>
      <c r="J229">
        <v>45</v>
      </c>
      <c r="K229">
        <v>4</v>
      </c>
      <c r="L229">
        <v>2</v>
      </c>
      <c r="M229">
        <v>18</v>
      </c>
      <c r="N229">
        <v>0</v>
      </c>
      <c r="O229" t="s">
        <v>27</v>
      </c>
      <c r="P229" t="s">
        <v>443</v>
      </c>
      <c r="Q229">
        <v>2026</v>
      </c>
      <c r="R229">
        <v>2041</v>
      </c>
      <c r="S229" t="s">
        <v>444</v>
      </c>
      <c r="T229">
        <v>2026</v>
      </c>
      <c r="U229">
        <v>33.75</v>
      </c>
      <c r="V229">
        <v>1</v>
      </c>
      <c r="W229">
        <v>2026</v>
      </c>
      <c r="X229">
        <v>0</v>
      </c>
      <c r="Y229">
        <v>2026</v>
      </c>
      <c r="Z229">
        <v>1</v>
      </c>
      <c r="AA229">
        <v>120</v>
      </c>
      <c r="AB229">
        <v>180</v>
      </c>
      <c r="AC229">
        <v>120</v>
      </c>
      <c r="AD229">
        <v>180</v>
      </c>
      <c r="AE229">
        <v>0</v>
      </c>
      <c r="AF229">
        <v>0</v>
      </c>
      <c r="AG229">
        <v>120</v>
      </c>
      <c r="AH229">
        <v>180</v>
      </c>
      <c r="AI229">
        <v>1</v>
      </c>
      <c r="AK229">
        <v>2027</v>
      </c>
      <c r="AL229" s="61">
        <v>2.4329999999999998</v>
      </c>
      <c r="AM229" s="61">
        <v>0</v>
      </c>
      <c r="AN229" s="61">
        <v>2.4329999999999998</v>
      </c>
      <c r="AO229">
        <v>1</v>
      </c>
      <c r="AP229">
        <v>1.023385968321771</v>
      </c>
      <c r="AQ229">
        <v>1.023385968321771</v>
      </c>
      <c r="AR229" t="b">
        <v>1</v>
      </c>
      <c r="AS229">
        <v>120</v>
      </c>
      <c r="AT229">
        <v>180</v>
      </c>
      <c r="AU229">
        <v>150</v>
      </c>
    </row>
    <row r="230" spans="1:47" x14ac:dyDescent="0.25">
      <c r="A230" t="s">
        <v>356</v>
      </c>
      <c r="B230" t="s">
        <v>461</v>
      </c>
      <c r="C230" t="s">
        <v>320</v>
      </c>
      <c r="D230">
        <v>2026</v>
      </c>
      <c r="E230">
        <v>0</v>
      </c>
      <c r="F230">
        <v>15</v>
      </c>
      <c r="G230">
        <v>0</v>
      </c>
      <c r="H230">
        <v>0</v>
      </c>
      <c r="I230">
        <v>30</v>
      </c>
      <c r="J230">
        <v>45</v>
      </c>
      <c r="K230">
        <v>4</v>
      </c>
      <c r="L230">
        <v>2</v>
      </c>
      <c r="M230">
        <v>18</v>
      </c>
      <c r="N230">
        <v>0</v>
      </c>
      <c r="O230" t="s">
        <v>27</v>
      </c>
      <c r="P230" t="s">
        <v>443</v>
      </c>
      <c r="Q230">
        <v>2026</v>
      </c>
      <c r="R230">
        <v>2041</v>
      </c>
      <c r="S230" t="s">
        <v>444</v>
      </c>
      <c r="T230">
        <v>2027</v>
      </c>
      <c r="U230">
        <v>34.75</v>
      </c>
      <c r="V230">
        <v>1</v>
      </c>
      <c r="W230">
        <v>2027</v>
      </c>
      <c r="X230">
        <v>1</v>
      </c>
      <c r="Y230">
        <v>2027</v>
      </c>
      <c r="Z230">
        <v>1</v>
      </c>
      <c r="AA230">
        <v>120</v>
      </c>
      <c r="AB230">
        <v>180</v>
      </c>
      <c r="AC230">
        <v>120</v>
      </c>
      <c r="AD230">
        <v>180</v>
      </c>
      <c r="AE230">
        <v>0</v>
      </c>
      <c r="AF230">
        <v>0</v>
      </c>
      <c r="AG230">
        <v>120</v>
      </c>
      <c r="AH230">
        <v>180</v>
      </c>
      <c r="AI230">
        <v>1</v>
      </c>
      <c r="AJ230">
        <v>2.4329999999999998</v>
      </c>
      <c r="AK230">
        <v>2028</v>
      </c>
      <c r="AL230" s="61">
        <v>2.4220000000000002</v>
      </c>
      <c r="AM230" s="61">
        <v>2.4329999999999998</v>
      </c>
      <c r="AN230" s="61">
        <v>2.4220000000000002</v>
      </c>
      <c r="AO230">
        <v>1</v>
      </c>
      <c r="AP230">
        <v>1.0242242189602202</v>
      </c>
      <c r="AQ230">
        <v>1.0242242189602202</v>
      </c>
      <c r="AR230" t="b">
        <v>0</v>
      </c>
      <c r="AS230">
        <v>117.16184579370963</v>
      </c>
      <c r="AT230">
        <v>175.74276869056445</v>
      </c>
      <c r="AU230">
        <v>146.45230724213704</v>
      </c>
    </row>
    <row r="231" spans="1:47" x14ac:dyDescent="0.25">
      <c r="A231" t="s">
        <v>356</v>
      </c>
      <c r="B231" t="s">
        <v>461</v>
      </c>
      <c r="C231" t="s">
        <v>320</v>
      </c>
      <c r="D231">
        <v>2026</v>
      </c>
      <c r="E231">
        <v>0</v>
      </c>
      <c r="F231">
        <v>15</v>
      </c>
      <c r="G231">
        <v>0</v>
      </c>
      <c r="H231">
        <v>0</v>
      </c>
      <c r="I231">
        <v>30</v>
      </c>
      <c r="J231">
        <v>45</v>
      </c>
      <c r="K231">
        <v>4</v>
      </c>
      <c r="L231">
        <v>2</v>
      </c>
      <c r="M231">
        <v>18</v>
      </c>
      <c r="N231">
        <v>0</v>
      </c>
      <c r="O231" t="s">
        <v>27</v>
      </c>
      <c r="P231" t="s">
        <v>443</v>
      </c>
      <c r="Q231">
        <v>2026</v>
      </c>
      <c r="R231">
        <v>2041</v>
      </c>
      <c r="S231" t="s">
        <v>444</v>
      </c>
      <c r="T231">
        <v>2028</v>
      </c>
      <c r="U231">
        <v>35.75</v>
      </c>
      <c r="V231">
        <v>1</v>
      </c>
      <c r="W231">
        <v>2028</v>
      </c>
      <c r="X231">
        <v>2</v>
      </c>
      <c r="Y231">
        <v>2028</v>
      </c>
      <c r="Z231">
        <v>1</v>
      </c>
      <c r="AA231">
        <v>120</v>
      </c>
      <c r="AB231">
        <v>180</v>
      </c>
      <c r="AC231">
        <v>120</v>
      </c>
      <c r="AD231">
        <v>180</v>
      </c>
      <c r="AE231">
        <v>0</v>
      </c>
      <c r="AF231">
        <v>0</v>
      </c>
      <c r="AG231">
        <v>120</v>
      </c>
      <c r="AH231">
        <v>180</v>
      </c>
      <c r="AI231">
        <v>1</v>
      </c>
      <c r="AJ231">
        <v>2.4220000000000002</v>
      </c>
      <c r="AK231">
        <v>2029</v>
      </c>
      <c r="AL231" s="61">
        <v>2.4209999999999998</v>
      </c>
      <c r="AM231" s="61">
        <v>2.4220000000000002</v>
      </c>
      <c r="AN231" s="61">
        <v>2.4209999999999998</v>
      </c>
      <c r="AO231">
        <v>1.0242199999999999</v>
      </c>
      <c r="AP231">
        <v>1.0242103835598433</v>
      </c>
      <c r="AQ231">
        <v>1.0490167590496626</v>
      </c>
      <c r="AR231" t="b">
        <v>0</v>
      </c>
      <c r="AS231">
        <v>114.39283401793483</v>
      </c>
      <c r="AT231">
        <v>171.58925102690225</v>
      </c>
      <c r="AU231">
        <v>142.99104252241852</v>
      </c>
    </row>
    <row r="232" spans="1:47" x14ac:dyDescent="0.25">
      <c r="A232" t="s">
        <v>356</v>
      </c>
      <c r="B232" t="s">
        <v>461</v>
      </c>
      <c r="C232" t="s">
        <v>320</v>
      </c>
      <c r="D232">
        <v>2026</v>
      </c>
      <c r="E232">
        <v>0</v>
      </c>
      <c r="F232">
        <v>15</v>
      </c>
      <c r="G232">
        <v>0</v>
      </c>
      <c r="H232">
        <v>0</v>
      </c>
      <c r="I232">
        <v>30</v>
      </c>
      <c r="J232">
        <v>45</v>
      </c>
      <c r="K232">
        <v>4</v>
      </c>
      <c r="L232">
        <v>2</v>
      </c>
      <c r="M232">
        <v>18</v>
      </c>
      <c r="N232">
        <v>0</v>
      </c>
      <c r="O232" t="s">
        <v>27</v>
      </c>
      <c r="P232" t="s">
        <v>443</v>
      </c>
      <c r="Q232">
        <v>2026</v>
      </c>
      <c r="R232">
        <v>2041</v>
      </c>
      <c r="S232" t="s">
        <v>444</v>
      </c>
      <c r="T232">
        <v>2029</v>
      </c>
      <c r="U232">
        <v>36.75</v>
      </c>
      <c r="V232">
        <v>1</v>
      </c>
      <c r="W232">
        <v>2029</v>
      </c>
      <c r="X232">
        <v>3</v>
      </c>
      <c r="Y232">
        <v>2029</v>
      </c>
      <c r="Z232">
        <v>1</v>
      </c>
      <c r="AA232">
        <v>120</v>
      </c>
      <c r="AB232">
        <v>180</v>
      </c>
      <c r="AC232">
        <v>120</v>
      </c>
      <c r="AD232">
        <v>180</v>
      </c>
      <c r="AE232">
        <v>0</v>
      </c>
      <c r="AF232">
        <v>0</v>
      </c>
      <c r="AG232">
        <v>120</v>
      </c>
      <c r="AH232">
        <v>180</v>
      </c>
      <c r="AI232">
        <v>1</v>
      </c>
      <c r="AJ232">
        <v>2.4209999999999998</v>
      </c>
      <c r="AK232">
        <v>2030</v>
      </c>
      <c r="AL232" s="61">
        <v>2.4670000000000001</v>
      </c>
      <c r="AM232" s="61">
        <v>2.4209999999999998</v>
      </c>
      <c r="AN232" s="61">
        <v>2.4670000000000001</v>
      </c>
      <c r="AO232">
        <v>1.0490061241000002</v>
      </c>
      <c r="AP232">
        <v>1.0246523523547908</v>
      </c>
      <c r="AQ232">
        <v>1.0748665926936467</v>
      </c>
      <c r="AR232" t="b">
        <v>0</v>
      </c>
      <c r="AS232">
        <v>111.64176169926031</v>
      </c>
      <c r="AT232">
        <v>167.46264254889047</v>
      </c>
      <c r="AU232">
        <v>139.55220212407539</v>
      </c>
    </row>
    <row r="233" spans="1:47" x14ac:dyDescent="0.25">
      <c r="A233" t="s">
        <v>356</v>
      </c>
      <c r="B233" t="s">
        <v>461</v>
      </c>
      <c r="C233" t="s">
        <v>320</v>
      </c>
      <c r="D233">
        <v>2026</v>
      </c>
      <c r="E233">
        <v>0</v>
      </c>
      <c r="F233">
        <v>15</v>
      </c>
      <c r="G233">
        <v>0</v>
      </c>
      <c r="H233">
        <v>0</v>
      </c>
      <c r="I233">
        <v>30</v>
      </c>
      <c r="J233">
        <v>45</v>
      </c>
      <c r="K233">
        <v>4</v>
      </c>
      <c r="L233">
        <v>2</v>
      </c>
      <c r="M233">
        <v>18</v>
      </c>
      <c r="N233">
        <v>0</v>
      </c>
      <c r="O233" t="s">
        <v>27</v>
      </c>
      <c r="P233" t="s">
        <v>443</v>
      </c>
      <c r="Q233">
        <v>2026</v>
      </c>
      <c r="R233">
        <v>2041</v>
      </c>
      <c r="S233" t="s">
        <v>444</v>
      </c>
      <c r="T233">
        <v>2030</v>
      </c>
      <c r="U233">
        <v>37.75</v>
      </c>
      <c r="V233">
        <v>1</v>
      </c>
      <c r="W233">
        <v>2030</v>
      </c>
      <c r="X233">
        <v>4</v>
      </c>
      <c r="Y233">
        <v>2030</v>
      </c>
      <c r="Z233">
        <v>1</v>
      </c>
      <c r="AA233">
        <v>120</v>
      </c>
      <c r="AB233">
        <v>180</v>
      </c>
      <c r="AC233">
        <v>120</v>
      </c>
      <c r="AD233">
        <v>180</v>
      </c>
      <c r="AE233">
        <v>0</v>
      </c>
      <c r="AF233">
        <v>0</v>
      </c>
      <c r="AG233">
        <v>120</v>
      </c>
      <c r="AH233">
        <v>180</v>
      </c>
      <c r="AI233">
        <v>1</v>
      </c>
      <c r="AJ233">
        <v>2.4670000000000001</v>
      </c>
      <c r="AK233">
        <v>2031</v>
      </c>
      <c r="AL233" s="61">
        <v>2.5169999999999999</v>
      </c>
      <c r="AM233" s="61">
        <v>2.4670000000000001</v>
      </c>
      <c r="AN233" s="61">
        <v>2.5169999999999999</v>
      </c>
      <c r="AO233">
        <v>1.0758508410815628</v>
      </c>
      <c r="AP233">
        <v>1.0251508174189523</v>
      </c>
      <c r="AQ233">
        <v>1.1029093691556315</v>
      </c>
      <c r="AR233" t="b">
        <v>0</v>
      </c>
      <c r="AS233">
        <v>108.80313773367429</v>
      </c>
      <c r="AT233">
        <v>163.20470660051143</v>
      </c>
      <c r="AU233">
        <v>136.00392216709287</v>
      </c>
    </row>
    <row r="234" spans="1:47" x14ac:dyDescent="0.25">
      <c r="A234" t="s">
        <v>356</v>
      </c>
      <c r="B234" t="s">
        <v>461</v>
      </c>
      <c r="C234" t="s">
        <v>320</v>
      </c>
      <c r="D234">
        <v>2026</v>
      </c>
      <c r="E234">
        <v>0</v>
      </c>
      <c r="F234">
        <v>15</v>
      </c>
      <c r="G234">
        <v>0</v>
      </c>
      <c r="H234">
        <v>0</v>
      </c>
      <c r="I234">
        <v>30</v>
      </c>
      <c r="J234">
        <v>45</v>
      </c>
      <c r="K234">
        <v>4</v>
      </c>
      <c r="L234">
        <v>2</v>
      </c>
      <c r="M234">
        <v>18</v>
      </c>
      <c r="N234">
        <v>0</v>
      </c>
      <c r="O234" t="s">
        <v>27</v>
      </c>
      <c r="P234" t="s">
        <v>443</v>
      </c>
      <c r="Q234">
        <v>2026</v>
      </c>
      <c r="R234">
        <v>2041</v>
      </c>
      <c r="S234" t="s">
        <v>444</v>
      </c>
      <c r="T234">
        <v>2031</v>
      </c>
      <c r="U234">
        <v>38.75</v>
      </c>
      <c r="V234">
        <v>1</v>
      </c>
      <c r="W234">
        <v>2031</v>
      </c>
      <c r="X234">
        <v>5</v>
      </c>
      <c r="Y234">
        <v>2031</v>
      </c>
      <c r="Z234">
        <v>1</v>
      </c>
      <c r="AA234">
        <v>120</v>
      </c>
      <c r="AB234">
        <v>180</v>
      </c>
      <c r="AC234">
        <v>120</v>
      </c>
      <c r="AD234">
        <v>180</v>
      </c>
      <c r="AE234">
        <v>0</v>
      </c>
      <c r="AF234">
        <v>0</v>
      </c>
      <c r="AG234">
        <v>120</v>
      </c>
      <c r="AH234">
        <v>180</v>
      </c>
      <c r="AI234">
        <v>1</v>
      </c>
      <c r="AJ234">
        <v>2.5169999999999999</v>
      </c>
      <c r="AK234">
        <v>2032</v>
      </c>
      <c r="AL234" s="61">
        <v>2.59</v>
      </c>
      <c r="AM234" s="61">
        <v>2.5169999999999999</v>
      </c>
      <c r="AN234" s="61">
        <v>2.59</v>
      </c>
      <c r="AO234">
        <v>1.1045453584485188</v>
      </c>
      <c r="AP234">
        <v>1.0258719904156592</v>
      </c>
      <c r="AQ234">
        <v>1.1331221453759597</v>
      </c>
      <c r="AR234" t="b">
        <v>0</v>
      </c>
      <c r="AS234">
        <v>105.90208698126281</v>
      </c>
      <c r="AT234">
        <v>158.85313047189422</v>
      </c>
      <c r="AU234">
        <v>132.3776087265785</v>
      </c>
    </row>
    <row r="235" spans="1:47" x14ac:dyDescent="0.25">
      <c r="A235" t="s">
        <v>356</v>
      </c>
      <c r="B235" t="s">
        <v>461</v>
      </c>
      <c r="C235" t="s">
        <v>320</v>
      </c>
      <c r="D235">
        <v>2026</v>
      </c>
      <c r="E235">
        <v>0</v>
      </c>
      <c r="F235">
        <v>15</v>
      </c>
      <c r="G235">
        <v>0</v>
      </c>
      <c r="H235">
        <v>0</v>
      </c>
      <c r="I235">
        <v>30</v>
      </c>
      <c r="J235">
        <v>45</v>
      </c>
      <c r="K235">
        <v>4</v>
      </c>
      <c r="L235">
        <v>2</v>
      </c>
      <c r="M235">
        <v>18</v>
      </c>
      <c r="N235">
        <v>0</v>
      </c>
      <c r="O235" t="s">
        <v>27</v>
      </c>
      <c r="P235" t="s">
        <v>443</v>
      </c>
      <c r="Q235">
        <v>2026</v>
      </c>
      <c r="R235">
        <v>2041</v>
      </c>
      <c r="S235" t="s">
        <v>444</v>
      </c>
      <c r="T235">
        <v>2032</v>
      </c>
      <c r="U235">
        <v>39.75</v>
      </c>
      <c r="V235">
        <v>1</v>
      </c>
      <c r="W235">
        <v>2032</v>
      </c>
      <c r="X235">
        <v>6</v>
      </c>
      <c r="Y235">
        <v>2032</v>
      </c>
      <c r="Z235">
        <v>1</v>
      </c>
      <c r="AA235">
        <v>120</v>
      </c>
      <c r="AB235">
        <v>180</v>
      </c>
      <c r="AC235">
        <v>120</v>
      </c>
      <c r="AD235">
        <v>180</v>
      </c>
      <c r="AE235">
        <v>0</v>
      </c>
      <c r="AF235">
        <v>0</v>
      </c>
      <c r="AG235">
        <v>120</v>
      </c>
      <c r="AH235">
        <v>180</v>
      </c>
      <c r="AI235">
        <v>1</v>
      </c>
      <c r="AJ235">
        <v>2.59</v>
      </c>
      <c r="AK235">
        <v>2033</v>
      </c>
      <c r="AL235" s="61">
        <v>2.6880000000000002</v>
      </c>
      <c r="AM235" s="61">
        <v>2.59</v>
      </c>
      <c r="AN235" s="61">
        <v>2.6880000000000002</v>
      </c>
      <c r="AO235">
        <v>1.1363841013749196</v>
      </c>
      <c r="AP235">
        <v>1.0268423936996114</v>
      </c>
      <c r="AQ235">
        <v>1.1668873708180043</v>
      </c>
      <c r="AR235" t="b">
        <v>0</v>
      </c>
      <c r="AS235">
        <v>102.83768853876474</v>
      </c>
      <c r="AT235">
        <v>154.25653280814711</v>
      </c>
      <c r="AU235">
        <v>128.54711067345593</v>
      </c>
    </row>
    <row r="236" spans="1:47" x14ac:dyDescent="0.25">
      <c r="A236" t="s">
        <v>356</v>
      </c>
      <c r="B236" t="s">
        <v>461</v>
      </c>
      <c r="C236" t="s">
        <v>320</v>
      </c>
      <c r="D236">
        <v>2026</v>
      </c>
      <c r="E236">
        <v>0</v>
      </c>
      <c r="F236">
        <v>15</v>
      </c>
      <c r="G236">
        <v>0</v>
      </c>
      <c r="H236">
        <v>0</v>
      </c>
      <c r="I236">
        <v>30</v>
      </c>
      <c r="J236">
        <v>45</v>
      </c>
      <c r="K236">
        <v>4</v>
      </c>
      <c r="L236">
        <v>2</v>
      </c>
      <c r="M236">
        <v>18</v>
      </c>
      <c r="N236">
        <v>0</v>
      </c>
      <c r="O236" t="s">
        <v>27</v>
      </c>
      <c r="P236" t="s">
        <v>443</v>
      </c>
      <c r="Q236">
        <v>2026</v>
      </c>
      <c r="R236">
        <v>2041</v>
      </c>
      <c r="S236" t="s">
        <v>444</v>
      </c>
      <c r="T236">
        <v>2033</v>
      </c>
      <c r="U236">
        <v>40.75</v>
      </c>
      <c r="V236">
        <v>1</v>
      </c>
      <c r="W236">
        <v>2033</v>
      </c>
      <c r="X236">
        <v>7</v>
      </c>
      <c r="Y236">
        <v>2033</v>
      </c>
      <c r="Z236">
        <v>1</v>
      </c>
      <c r="AA236">
        <v>120</v>
      </c>
      <c r="AB236">
        <v>180</v>
      </c>
      <c r="AC236">
        <v>120</v>
      </c>
      <c r="AD236">
        <v>180</v>
      </c>
      <c r="AE236">
        <v>0</v>
      </c>
      <c r="AF236">
        <v>0</v>
      </c>
      <c r="AG236">
        <v>120</v>
      </c>
      <c r="AH236">
        <v>180</v>
      </c>
      <c r="AI236">
        <v>1</v>
      </c>
      <c r="AJ236">
        <v>2.6880000000000002</v>
      </c>
      <c r="AK236">
        <v>2034</v>
      </c>
      <c r="AL236" s="61">
        <v>2.7519999999999998</v>
      </c>
      <c r="AM236" s="61">
        <v>2.6880000000000002</v>
      </c>
      <c r="AN236" s="61">
        <v>2.7519999999999998</v>
      </c>
      <c r="AO236">
        <v>1.1725143659072164</v>
      </c>
      <c r="AP236">
        <v>1.0274954447000768</v>
      </c>
      <c r="AQ236">
        <v>1.2047531698150638</v>
      </c>
      <c r="AR236" t="b">
        <v>0</v>
      </c>
      <c r="AS236">
        <v>99.605465257601821</v>
      </c>
      <c r="AT236">
        <v>149.40819788640275</v>
      </c>
      <c r="AU236">
        <v>124.50683157200228</v>
      </c>
    </row>
    <row r="237" spans="1:47" x14ac:dyDescent="0.25">
      <c r="A237" t="s">
        <v>356</v>
      </c>
      <c r="B237" t="s">
        <v>461</v>
      </c>
      <c r="C237" t="s">
        <v>320</v>
      </c>
      <c r="D237">
        <v>2026</v>
      </c>
      <c r="E237">
        <v>0</v>
      </c>
      <c r="F237">
        <v>15</v>
      </c>
      <c r="G237">
        <v>0</v>
      </c>
      <c r="H237">
        <v>0</v>
      </c>
      <c r="I237">
        <v>30</v>
      </c>
      <c r="J237">
        <v>45</v>
      </c>
      <c r="K237">
        <v>4</v>
      </c>
      <c r="L237">
        <v>2</v>
      </c>
      <c r="M237">
        <v>18</v>
      </c>
      <c r="N237">
        <v>0</v>
      </c>
      <c r="O237" t="s">
        <v>27</v>
      </c>
      <c r="P237" t="s">
        <v>443</v>
      </c>
      <c r="Q237">
        <v>2026</v>
      </c>
      <c r="R237">
        <v>2041</v>
      </c>
      <c r="S237" t="s">
        <v>444</v>
      </c>
      <c r="T237">
        <v>2034</v>
      </c>
      <c r="U237">
        <v>41.75</v>
      </c>
      <c r="V237">
        <v>1</v>
      </c>
      <c r="W237">
        <v>2034</v>
      </c>
      <c r="X237">
        <v>8</v>
      </c>
      <c r="Y237">
        <v>2034</v>
      </c>
      <c r="Z237">
        <v>1</v>
      </c>
      <c r="AA237">
        <v>120</v>
      </c>
      <c r="AB237">
        <v>180</v>
      </c>
      <c r="AC237">
        <v>120</v>
      </c>
      <c r="AD237">
        <v>180</v>
      </c>
      <c r="AE237">
        <v>0</v>
      </c>
      <c r="AF237">
        <v>0</v>
      </c>
      <c r="AG237">
        <v>120</v>
      </c>
      <c r="AH237">
        <v>180</v>
      </c>
      <c r="AI237">
        <v>1</v>
      </c>
      <c r="AJ237">
        <v>2.7519999999999998</v>
      </c>
      <c r="AK237">
        <v>2035</v>
      </c>
      <c r="AL237" s="61">
        <v>2.8420000000000001</v>
      </c>
      <c r="AM237" s="61">
        <v>2.7519999999999998</v>
      </c>
      <c r="AN237" s="61">
        <v>2.8420000000000001</v>
      </c>
      <c r="AO237">
        <v>1.2092942481281721</v>
      </c>
      <c r="AP237">
        <v>1.0283854649181425</v>
      </c>
      <c r="AQ237">
        <v>1.2436206275841259</v>
      </c>
      <c r="AR237" t="b">
        <v>0</v>
      </c>
      <c r="AS237">
        <v>96.492449014064363</v>
      </c>
      <c r="AT237">
        <v>144.73867352109656</v>
      </c>
      <c r="AU237">
        <v>120.61556126758046</v>
      </c>
    </row>
    <row r="238" spans="1:47" x14ac:dyDescent="0.25">
      <c r="A238" t="s">
        <v>356</v>
      </c>
      <c r="B238" t="s">
        <v>461</v>
      </c>
      <c r="C238" t="s">
        <v>320</v>
      </c>
      <c r="D238">
        <v>2026</v>
      </c>
      <c r="E238">
        <v>0</v>
      </c>
      <c r="F238">
        <v>15</v>
      </c>
      <c r="G238">
        <v>0</v>
      </c>
      <c r="H238">
        <v>0</v>
      </c>
      <c r="I238">
        <v>30</v>
      </c>
      <c r="J238">
        <v>45</v>
      </c>
      <c r="K238">
        <v>4</v>
      </c>
      <c r="L238">
        <v>2</v>
      </c>
      <c r="M238">
        <v>18</v>
      </c>
      <c r="N238">
        <v>0</v>
      </c>
      <c r="O238" t="s">
        <v>27</v>
      </c>
      <c r="P238" t="s">
        <v>443</v>
      </c>
      <c r="Q238">
        <v>2026</v>
      </c>
      <c r="R238">
        <v>2041</v>
      </c>
      <c r="S238" t="s">
        <v>444</v>
      </c>
      <c r="T238">
        <v>2035</v>
      </c>
      <c r="U238">
        <v>42.75</v>
      </c>
      <c r="V238">
        <v>1</v>
      </c>
      <c r="W238">
        <v>2035</v>
      </c>
      <c r="X238">
        <v>9</v>
      </c>
      <c r="Y238">
        <v>2035</v>
      </c>
      <c r="Z238">
        <v>1</v>
      </c>
      <c r="AA238">
        <v>120</v>
      </c>
      <c r="AB238">
        <v>180</v>
      </c>
      <c r="AC238">
        <v>120</v>
      </c>
      <c r="AD238">
        <v>180</v>
      </c>
      <c r="AE238">
        <v>0</v>
      </c>
      <c r="AF238">
        <v>0</v>
      </c>
      <c r="AG238">
        <v>120</v>
      </c>
      <c r="AH238">
        <v>180</v>
      </c>
      <c r="AI238">
        <v>1</v>
      </c>
      <c r="AJ238">
        <v>2.8420000000000001</v>
      </c>
      <c r="AK238">
        <v>2036</v>
      </c>
      <c r="AL238" s="61">
        <v>2.944</v>
      </c>
      <c r="AM238" s="61">
        <v>2.8420000000000001</v>
      </c>
      <c r="AN238" s="61">
        <v>2.944</v>
      </c>
      <c r="AO238">
        <v>1.2513076834571593</v>
      </c>
      <c r="AP238">
        <v>1.0294008580614105</v>
      </c>
      <c r="AQ238">
        <v>1.2880972030496356</v>
      </c>
      <c r="AR238" t="b">
        <v>0</v>
      </c>
      <c r="AS238">
        <v>93.160671194606977</v>
      </c>
      <c r="AT238">
        <v>139.74100679191045</v>
      </c>
      <c r="AU238">
        <v>116.45083899325871</v>
      </c>
    </row>
    <row r="239" spans="1:47" x14ac:dyDescent="0.25">
      <c r="A239" t="s">
        <v>356</v>
      </c>
      <c r="B239" t="s">
        <v>461</v>
      </c>
      <c r="C239" t="s">
        <v>320</v>
      </c>
      <c r="D239">
        <v>2026</v>
      </c>
      <c r="E239">
        <v>0</v>
      </c>
      <c r="F239">
        <v>15</v>
      </c>
      <c r="G239">
        <v>0</v>
      </c>
      <c r="H239">
        <v>0</v>
      </c>
      <c r="I239">
        <v>30</v>
      </c>
      <c r="J239">
        <v>45</v>
      </c>
      <c r="K239">
        <v>4</v>
      </c>
      <c r="L239">
        <v>2</v>
      </c>
      <c r="M239">
        <v>18</v>
      </c>
      <c r="N239">
        <v>0</v>
      </c>
      <c r="O239" t="s">
        <v>27</v>
      </c>
      <c r="P239" t="s">
        <v>443</v>
      </c>
      <c r="Q239">
        <v>2026</v>
      </c>
      <c r="R239">
        <v>2041</v>
      </c>
      <c r="S239" t="s">
        <v>444</v>
      </c>
      <c r="T239">
        <v>2036</v>
      </c>
      <c r="U239">
        <v>43.75</v>
      </c>
      <c r="V239">
        <v>1</v>
      </c>
      <c r="W239">
        <v>2036</v>
      </c>
      <c r="X239">
        <v>10</v>
      </c>
      <c r="Y239">
        <v>2036</v>
      </c>
      <c r="Z239">
        <v>1</v>
      </c>
      <c r="AA239">
        <v>120</v>
      </c>
      <c r="AB239">
        <v>180</v>
      </c>
      <c r="AC239">
        <v>120</v>
      </c>
      <c r="AD239">
        <v>180</v>
      </c>
      <c r="AE239">
        <v>0</v>
      </c>
      <c r="AF239">
        <v>0</v>
      </c>
      <c r="AG239">
        <v>120</v>
      </c>
      <c r="AH239">
        <v>180</v>
      </c>
      <c r="AI239">
        <v>1</v>
      </c>
      <c r="AJ239">
        <v>2.944</v>
      </c>
      <c r="AK239">
        <v>2037</v>
      </c>
      <c r="AL239" s="61">
        <v>3.036</v>
      </c>
      <c r="AM239" s="61">
        <v>2.944</v>
      </c>
      <c r="AN239" s="61">
        <v>3.036</v>
      </c>
      <c r="AO239">
        <v>1.2984025298030446</v>
      </c>
      <c r="AP239">
        <v>1.0303246971701443</v>
      </c>
      <c r="AQ239">
        <v>1.3377761933242711</v>
      </c>
      <c r="AR239" t="b">
        <v>0</v>
      </c>
      <c r="AS239">
        <v>89.701102919023555</v>
      </c>
      <c r="AT239">
        <v>134.55165437853535</v>
      </c>
      <c r="AU239">
        <v>112.12637864877945</v>
      </c>
    </row>
    <row r="240" spans="1:47" x14ac:dyDescent="0.25">
      <c r="A240" t="s">
        <v>356</v>
      </c>
      <c r="B240" t="s">
        <v>461</v>
      </c>
      <c r="C240" t="s">
        <v>320</v>
      </c>
      <c r="D240">
        <v>2026</v>
      </c>
      <c r="E240">
        <v>0</v>
      </c>
      <c r="F240">
        <v>15</v>
      </c>
      <c r="G240">
        <v>0</v>
      </c>
      <c r="H240">
        <v>0</v>
      </c>
      <c r="I240">
        <v>30</v>
      </c>
      <c r="J240">
        <v>45</v>
      </c>
      <c r="K240">
        <v>4</v>
      </c>
      <c r="L240">
        <v>2</v>
      </c>
      <c r="M240">
        <v>18</v>
      </c>
      <c r="N240">
        <v>0</v>
      </c>
      <c r="O240" t="s">
        <v>27</v>
      </c>
      <c r="P240" t="s">
        <v>443</v>
      </c>
      <c r="Q240">
        <v>2026</v>
      </c>
      <c r="R240">
        <v>2041</v>
      </c>
      <c r="S240" t="s">
        <v>444</v>
      </c>
      <c r="T240">
        <v>2037</v>
      </c>
      <c r="U240">
        <v>44.75</v>
      </c>
      <c r="V240">
        <v>1</v>
      </c>
      <c r="W240">
        <v>2037</v>
      </c>
      <c r="X240">
        <v>11</v>
      </c>
      <c r="Y240">
        <v>2037</v>
      </c>
      <c r="Z240">
        <v>1</v>
      </c>
      <c r="AA240">
        <v>120</v>
      </c>
      <c r="AB240">
        <v>180</v>
      </c>
      <c r="AC240">
        <v>120</v>
      </c>
      <c r="AD240">
        <v>180</v>
      </c>
      <c r="AE240">
        <v>0</v>
      </c>
      <c r="AF240">
        <v>0</v>
      </c>
      <c r="AG240">
        <v>120</v>
      </c>
      <c r="AH240">
        <v>180</v>
      </c>
      <c r="AI240">
        <v>1</v>
      </c>
      <c r="AJ240">
        <v>3.036</v>
      </c>
      <c r="AK240">
        <v>2038</v>
      </c>
      <c r="AL240" s="61">
        <v>3.1339999999999999</v>
      </c>
      <c r="AM240" s="61">
        <v>3.036</v>
      </c>
      <c r="AN240" s="61">
        <v>3.1339999999999999</v>
      </c>
      <c r="AO240">
        <v>1.3486209574989538</v>
      </c>
      <c r="AP240">
        <v>1.0313023937742947</v>
      </c>
      <c r="AQ240">
        <v>1.3908360217628524</v>
      </c>
      <c r="AR240" t="b">
        <v>0</v>
      </c>
      <c r="AS240">
        <v>86.279042333044259</v>
      </c>
      <c r="AT240">
        <v>129.41856349956637</v>
      </c>
      <c r="AU240">
        <v>107.84880291630532</v>
      </c>
    </row>
    <row r="241" spans="1:47" x14ac:dyDescent="0.25">
      <c r="A241" t="s">
        <v>356</v>
      </c>
      <c r="B241" t="s">
        <v>461</v>
      </c>
      <c r="C241" t="s">
        <v>320</v>
      </c>
      <c r="D241">
        <v>2026</v>
      </c>
      <c r="E241">
        <v>0</v>
      </c>
      <c r="F241">
        <v>15</v>
      </c>
      <c r="G241">
        <v>0</v>
      </c>
      <c r="H241">
        <v>0</v>
      </c>
      <c r="I241">
        <v>30</v>
      </c>
      <c r="J241">
        <v>45</v>
      </c>
      <c r="K241">
        <v>4</v>
      </c>
      <c r="L241">
        <v>2</v>
      </c>
      <c r="M241">
        <v>18</v>
      </c>
      <c r="N241">
        <v>0</v>
      </c>
      <c r="O241" t="s">
        <v>27</v>
      </c>
      <c r="P241" t="s">
        <v>443</v>
      </c>
      <c r="Q241">
        <v>2026</v>
      </c>
      <c r="R241">
        <v>2041</v>
      </c>
      <c r="S241" t="s">
        <v>444</v>
      </c>
      <c r="T241">
        <v>2038</v>
      </c>
      <c r="U241">
        <v>45.75</v>
      </c>
      <c r="V241">
        <v>1</v>
      </c>
      <c r="W241">
        <v>2038</v>
      </c>
      <c r="X241">
        <v>12</v>
      </c>
      <c r="Y241">
        <v>2038</v>
      </c>
      <c r="Z241">
        <v>1</v>
      </c>
      <c r="AA241">
        <v>120</v>
      </c>
      <c r="AB241">
        <v>180</v>
      </c>
      <c r="AC241">
        <v>120</v>
      </c>
      <c r="AD241">
        <v>180</v>
      </c>
      <c r="AE241">
        <v>0</v>
      </c>
      <c r="AF241">
        <v>0</v>
      </c>
      <c r="AG241">
        <v>120</v>
      </c>
      <c r="AH241">
        <v>180</v>
      </c>
      <c r="AI241">
        <v>1</v>
      </c>
      <c r="AJ241">
        <v>3.1339999999999999</v>
      </c>
      <c r="AK241">
        <v>2039</v>
      </c>
      <c r="AL241" s="61">
        <v>3.2069999999999999</v>
      </c>
      <c r="AM241" s="61">
        <v>3.1339999999999999</v>
      </c>
      <c r="AN241" s="61">
        <v>3.2069999999999999</v>
      </c>
      <c r="AO241">
        <v>1.4041725591738043</v>
      </c>
      <c r="AP241">
        <v>1.0320419904729838</v>
      </c>
      <c r="AQ241">
        <v>1.4491650429372767</v>
      </c>
      <c r="AR241" t="b">
        <v>0</v>
      </c>
      <c r="AS241">
        <v>82.806303246713</v>
      </c>
      <c r="AT241">
        <v>124.20945487006951</v>
      </c>
      <c r="AU241">
        <v>103.50787905839125</v>
      </c>
    </row>
    <row r="242" spans="1:47" x14ac:dyDescent="0.25">
      <c r="A242" t="s">
        <v>356</v>
      </c>
      <c r="B242" t="s">
        <v>461</v>
      </c>
      <c r="C242" t="s">
        <v>320</v>
      </c>
      <c r="D242">
        <v>2026</v>
      </c>
      <c r="E242">
        <v>0</v>
      </c>
      <c r="F242">
        <v>15</v>
      </c>
      <c r="G242">
        <v>0</v>
      </c>
      <c r="H242">
        <v>0</v>
      </c>
      <c r="I242">
        <v>30</v>
      </c>
      <c r="J242">
        <v>45</v>
      </c>
      <c r="K242">
        <v>4</v>
      </c>
      <c r="L242">
        <v>2</v>
      </c>
      <c r="M242">
        <v>18</v>
      </c>
      <c r="N242">
        <v>0</v>
      </c>
      <c r="O242" t="s">
        <v>27</v>
      </c>
      <c r="P242" t="s">
        <v>443</v>
      </c>
      <c r="Q242">
        <v>2026</v>
      </c>
      <c r="R242">
        <v>2041</v>
      </c>
      <c r="S242" t="s">
        <v>444</v>
      </c>
      <c r="T242">
        <v>2039</v>
      </c>
      <c r="U242">
        <v>46.75</v>
      </c>
      <c r="V242">
        <v>1</v>
      </c>
      <c r="W242">
        <v>2039</v>
      </c>
      <c r="X242">
        <v>13</v>
      </c>
      <c r="Y242">
        <v>2039</v>
      </c>
      <c r="Z242">
        <v>1</v>
      </c>
      <c r="AA242">
        <v>120</v>
      </c>
      <c r="AB242">
        <v>180</v>
      </c>
      <c r="AC242">
        <v>120</v>
      </c>
      <c r="AD242">
        <v>180</v>
      </c>
      <c r="AE242">
        <v>0</v>
      </c>
      <c r="AF242">
        <v>0</v>
      </c>
      <c r="AG242">
        <v>120</v>
      </c>
      <c r="AH242">
        <v>180</v>
      </c>
      <c r="AI242">
        <v>1</v>
      </c>
      <c r="AJ242">
        <v>3.2069999999999999</v>
      </c>
      <c r="AK242">
        <v>2040</v>
      </c>
      <c r="AL242" s="61">
        <v>3.3029999999999999</v>
      </c>
      <c r="AM242" s="61">
        <v>3.2069999999999999</v>
      </c>
      <c r="AN242" s="61">
        <v>3.3029999999999999</v>
      </c>
      <c r="AO242">
        <v>1.4605278779269859</v>
      </c>
      <c r="AP242">
        <v>1.0329931616190409</v>
      </c>
      <c r="AQ242">
        <v>1.5087153102525457</v>
      </c>
      <c r="AR242" t="b">
        <v>0</v>
      </c>
      <c r="AS242">
        <v>79.537868532608087</v>
      </c>
      <c r="AT242">
        <v>119.30680279891213</v>
      </c>
      <c r="AU242">
        <v>99.422335665760102</v>
      </c>
    </row>
    <row r="243" spans="1:47" x14ac:dyDescent="0.25">
      <c r="A243" t="s">
        <v>356</v>
      </c>
      <c r="B243" t="s">
        <v>461</v>
      </c>
      <c r="C243" t="s">
        <v>320</v>
      </c>
      <c r="D243">
        <v>2026</v>
      </c>
      <c r="E243">
        <v>0</v>
      </c>
      <c r="F243">
        <v>15</v>
      </c>
      <c r="G243">
        <v>0</v>
      </c>
      <c r="H243">
        <v>0</v>
      </c>
      <c r="I243">
        <v>30</v>
      </c>
      <c r="J243">
        <v>45</v>
      </c>
      <c r="K243">
        <v>4</v>
      </c>
      <c r="L243">
        <v>2</v>
      </c>
      <c r="M243">
        <v>18</v>
      </c>
      <c r="N243">
        <v>0</v>
      </c>
      <c r="O243" t="s">
        <v>27</v>
      </c>
      <c r="P243" t="s">
        <v>443</v>
      </c>
      <c r="Q243">
        <v>2026</v>
      </c>
      <c r="R243">
        <v>2041</v>
      </c>
      <c r="S243" t="s">
        <v>444</v>
      </c>
      <c r="T243">
        <v>2040</v>
      </c>
      <c r="U243">
        <v>47.75</v>
      </c>
      <c r="V243">
        <v>1</v>
      </c>
      <c r="W243">
        <v>2040</v>
      </c>
      <c r="X243">
        <v>14</v>
      </c>
      <c r="Y243">
        <v>2040</v>
      </c>
      <c r="Z243">
        <v>1</v>
      </c>
      <c r="AA243">
        <v>120</v>
      </c>
      <c r="AB243">
        <v>180</v>
      </c>
      <c r="AC243">
        <v>120</v>
      </c>
      <c r="AD243">
        <v>180</v>
      </c>
      <c r="AE243">
        <v>0</v>
      </c>
      <c r="AF243">
        <v>0</v>
      </c>
      <c r="AG243">
        <v>120</v>
      </c>
      <c r="AH243">
        <v>180</v>
      </c>
      <c r="AI243">
        <v>1</v>
      </c>
      <c r="AJ243">
        <v>3.3029999999999999</v>
      </c>
      <c r="AK243">
        <v>2041</v>
      </c>
      <c r="AL243" s="61">
        <v>3.3559999999999999</v>
      </c>
      <c r="AM243" s="61">
        <v>3.3029999999999999</v>
      </c>
      <c r="AN243" s="61">
        <v>3.3559999999999999</v>
      </c>
      <c r="AO243">
        <v>1.5256964700083253</v>
      </c>
      <c r="AP243">
        <v>1.0335396662189136</v>
      </c>
      <c r="AQ243">
        <v>1.5768678203637791</v>
      </c>
      <c r="AR243" t="b">
        <v>0</v>
      </c>
      <c r="AS243">
        <v>76.100227584272929</v>
      </c>
      <c r="AT243">
        <v>114.1503413764094</v>
      </c>
      <c r="AU243">
        <v>95.125284480341165</v>
      </c>
    </row>
    <row r="244" spans="1:47" x14ac:dyDescent="0.25">
      <c r="A244" t="s">
        <v>356</v>
      </c>
      <c r="B244" t="s">
        <v>461</v>
      </c>
      <c r="C244" t="s">
        <v>320</v>
      </c>
      <c r="D244">
        <v>2026</v>
      </c>
      <c r="E244">
        <v>0</v>
      </c>
      <c r="M244">
        <v>18</v>
      </c>
      <c r="Q244">
        <v>2026</v>
      </c>
      <c r="R244">
        <v>2041</v>
      </c>
      <c r="T244">
        <v>2041</v>
      </c>
      <c r="U244">
        <v>48.75</v>
      </c>
      <c r="W244">
        <v>2041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L244" s="61"/>
      <c r="AS244">
        <v>0</v>
      </c>
      <c r="AT244">
        <v>0</v>
      </c>
      <c r="AU244">
        <v>0</v>
      </c>
    </row>
    <row r="245" spans="1:47" x14ac:dyDescent="0.25">
      <c r="A245" t="s">
        <v>330</v>
      </c>
      <c r="B245" t="s">
        <v>462</v>
      </c>
      <c r="C245" t="s">
        <v>319</v>
      </c>
      <c r="D245">
        <v>2026</v>
      </c>
      <c r="E245">
        <v>0</v>
      </c>
      <c r="F245">
        <v>10</v>
      </c>
      <c r="G245">
        <v>0</v>
      </c>
      <c r="H245">
        <v>0</v>
      </c>
      <c r="I245">
        <v>50</v>
      </c>
      <c r="J245">
        <v>250</v>
      </c>
      <c r="K245">
        <v>1</v>
      </c>
      <c r="L245">
        <v>1</v>
      </c>
      <c r="M245">
        <v>19</v>
      </c>
      <c r="N245">
        <v>0</v>
      </c>
      <c r="O245" t="s">
        <v>27</v>
      </c>
      <c r="P245" t="s">
        <v>443</v>
      </c>
      <c r="Q245">
        <v>2026</v>
      </c>
      <c r="R245">
        <v>2036</v>
      </c>
      <c r="S245" t="s">
        <v>444</v>
      </c>
      <c r="T245">
        <v>2026</v>
      </c>
      <c r="U245">
        <v>33.75</v>
      </c>
      <c r="V245">
        <v>1</v>
      </c>
      <c r="W245">
        <v>2026</v>
      </c>
      <c r="X245">
        <v>0</v>
      </c>
      <c r="Y245">
        <v>2026</v>
      </c>
      <c r="Z245">
        <v>1</v>
      </c>
      <c r="AA245">
        <v>50</v>
      </c>
      <c r="AB245">
        <v>250</v>
      </c>
      <c r="AC245">
        <v>50</v>
      </c>
      <c r="AD245">
        <v>250</v>
      </c>
      <c r="AE245">
        <v>0</v>
      </c>
      <c r="AF245">
        <v>0</v>
      </c>
      <c r="AG245">
        <v>50</v>
      </c>
      <c r="AH245">
        <v>250</v>
      </c>
      <c r="AI245">
        <v>1</v>
      </c>
      <c r="AK245">
        <v>2027</v>
      </c>
      <c r="AL245" s="61">
        <v>2.4329999999999998</v>
      </c>
      <c r="AM245" s="61">
        <v>0</v>
      </c>
      <c r="AN245" s="61">
        <v>2.4329999999999998</v>
      </c>
      <c r="AO245">
        <v>1</v>
      </c>
      <c r="AP245">
        <v>1.023385968321771</v>
      </c>
      <c r="AQ245">
        <v>1.023385968321771</v>
      </c>
      <c r="AR245" t="b">
        <v>1</v>
      </c>
      <c r="AS245">
        <v>50</v>
      </c>
      <c r="AT245">
        <v>250</v>
      </c>
      <c r="AU245">
        <v>150</v>
      </c>
    </row>
    <row r="246" spans="1:47" x14ac:dyDescent="0.25">
      <c r="A246" t="s">
        <v>330</v>
      </c>
      <c r="B246" t="s">
        <v>462</v>
      </c>
      <c r="C246" t="s">
        <v>319</v>
      </c>
      <c r="D246">
        <v>2026</v>
      </c>
      <c r="E246">
        <v>0</v>
      </c>
      <c r="F246">
        <v>10</v>
      </c>
      <c r="G246">
        <v>0</v>
      </c>
      <c r="H246">
        <v>0</v>
      </c>
      <c r="I246">
        <v>50</v>
      </c>
      <c r="J246">
        <v>250</v>
      </c>
      <c r="K246">
        <v>1</v>
      </c>
      <c r="L246">
        <v>1</v>
      </c>
      <c r="M246">
        <v>19</v>
      </c>
      <c r="N246">
        <v>0</v>
      </c>
      <c r="O246" t="s">
        <v>27</v>
      </c>
      <c r="P246" t="s">
        <v>443</v>
      </c>
      <c r="Q246">
        <v>2026</v>
      </c>
      <c r="R246">
        <v>2036</v>
      </c>
      <c r="S246" t="s">
        <v>444</v>
      </c>
      <c r="T246">
        <v>2027</v>
      </c>
      <c r="U246">
        <v>34.75</v>
      </c>
      <c r="V246">
        <v>1</v>
      </c>
      <c r="W246">
        <v>2027</v>
      </c>
      <c r="X246">
        <v>1</v>
      </c>
      <c r="Y246">
        <v>2027</v>
      </c>
      <c r="Z246">
        <v>1</v>
      </c>
      <c r="AA246">
        <v>50</v>
      </c>
      <c r="AB246">
        <v>250</v>
      </c>
      <c r="AC246">
        <v>50</v>
      </c>
      <c r="AD246">
        <v>250</v>
      </c>
      <c r="AE246">
        <v>0</v>
      </c>
      <c r="AF246">
        <v>0</v>
      </c>
      <c r="AG246">
        <v>50</v>
      </c>
      <c r="AH246">
        <v>250</v>
      </c>
      <c r="AI246">
        <v>1</v>
      </c>
      <c r="AJ246">
        <v>2.4329999999999998</v>
      </c>
      <c r="AK246">
        <v>2028</v>
      </c>
      <c r="AL246" s="61">
        <v>2.4220000000000002</v>
      </c>
      <c r="AM246" s="61">
        <v>2.4329999999999998</v>
      </c>
      <c r="AN246" s="61">
        <v>2.4220000000000002</v>
      </c>
      <c r="AO246">
        <v>1</v>
      </c>
      <c r="AP246">
        <v>1.0242242189602202</v>
      </c>
      <c r="AQ246">
        <v>1.0242242189602202</v>
      </c>
      <c r="AR246" t="b">
        <v>0</v>
      </c>
      <c r="AS246">
        <v>48.817435747379008</v>
      </c>
      <c r="AT246">
        <v>244.08717873689505</v>
      </c>
      <c r="AU246">
        <v>146.45230724213704</v>
      </c>
    </row>
    <row r="247" spans="1:47" x14ac:dyDescent="0.25">
      <c r="A247" t="s">
        <v>330</v>
      </c>
      <c r="B247" t="s">
        <v>462</v>
      </c>
      <c r="C247" t="s">
        <v>319</v>
      </c>
      <c r="D247">
        <v>2026</v>
      </c>
      <c r="E247">
        <v>0</v>
      </c>
      <c r="F247">
        <v>10</v>
      </c>
      <c r="G247">
        <v>0</v>
      </c>
      <c r="H247">
        <v>0</v>
      </c>
      <c r="I247">
        <v>50</v>
      </c>
      <c r="J247">
        <v>250</v>
      </c>
      <c r="K247">
        <v>1</v>
      </c>
      <c r="L247">
        <v>1</v>
      </c>
      <c r="M247">
        <v>19</v>
      </c>
      <c r="N247">
        <v>0</v>
      </c>
      <c r="O247" t="s">
        <v>27</v>
      </c>
      <c r="P247" t="s">
        <v>443</v>
      </c>
      <c r="Q247">
        <v>2026</v>
      </c>
      <c r="R247">
        <v>2036</v>
      </c>
      <c r="S247" t="s">
        <v>444</v>
      </c>
      <c r="T247">
        <v>2028</v>
      </c>
      <c r="U247">
        <v>35.75</v>
      </c>
      <c r="V247">
        <v>1</v>
      </c>
      <c r="W247">
        <v>2028</v>
      </c>
      <c r="X247">
        <v>2</v>
      </c>
      <c r="Y247">
        <v>2028</v>
      </c>
      <c r="Z247">
        <v>1</v>
      </c>
      <c r="AA247">
        <v>50</v>
      </c>
      <c r="AB247">
        <v>250</v>
      </c>
      <c r="AC247">
        <v>50</v>
      </c>
      <c r="AD247">
        <v>250</v>
      </c>
      <c r="AE247">
        <v>0</v>
      </c>
      <c r="AF247">
        <v>0</v>
      </c>
      <c r="AG247">
        <v>50</v>
      </c>
      <c r="AH247">
        <v>250</v>
      </c>
      <c r="AI247">
        <v>1</v>
      </c>
      <c r="AJ247">
        <v>2.4220000000000002</v>
      </c>
      <c r="AK247">
        <v>2029</v>
      </c>
      <c r="AL247" s="61">
        <v>2.4209999999999998</v>
      </c>
      <c r="AM247" s="61">
        <v>2.4220000000000002</v>
      </c>
      <c r="AN247" s="61">
        <v>2.4209999999999998</v>
      </c>
      <c r="AO247">
        <v>1.0242199999999999</v>
      </c>
      <c r="AP247">
        <v>1.0242103835598433</v>
      </c>
      <c r="AQ247">
        <v>1.0490167590496626</v>
      </c>
      <c r="AR247" t="b">
        <v>0</v>
      </c>
      <c r="AS247">
        <v>47.66368084080618</v>
      </c>
      <c r="AT247">
        <v>238.31840420403091</v>
      </c>
      <c r="AU247">
        <v>142.99104252241855</v>
      </c>
    </row>
    <row r="248" spans="1:47" x14ac:dyDescent="0.25">
      <c r="A248" t="s">
        <v>330</v>
      </c>
      <c r="B248" t="s">
        <v>462</v>
      </c>
      <c r="C248" t="s">
        <v>319</v>
      </c>
      <c r="D248">
        <v>2026</v>
      </c>
      <c r="E248">
        <v>0</v>
      </c>
      <c r="F248">
        <v>10</v>
      </c>
      <c r="G248">
        <v>0</v>
      </c>
      <c r="H248">
        <v>0</v>
      </c>
      <c r="I248">
        <v>50</v>
      </c>
      <c r="J248">
        <v>250</v>
      </c>
      <c r="K248">
        <v>1</v>
      </c>
      <c r="L248">
        <v>1</v>
      </c>
      <c r="M248">
        <v>19</v>
      </c>
      <c r="N248">
        <v>0</v>
      </c>
      <c r="O248" t="s">
        <v>27</v>
      </c>
      <c r="P248" t="s">
        <v>443</v>
      </c>
      <c r="Q248">
        <v>2026</v>
      </c>
      <c r="R248">
        <v>2036</v>
      </c>
      <c r="S248" t="s">
        <v>444</v>
      </c>
      <c r="T248">
        <v>2029</v>
      </c>
      <c r="U248">
        <v>36.75</v>
      </c>
      <c r="V248">
        <v>1</v>
      </c>
      <c r="W248">
        <v>2029</v>
      </c>
      <c r="X248">
        <v>3</v>
      </c>
      <c r="Y248">
        <v>2029</v>
      </c>
      <c r="Z248">
        <v>1</v>
      </c>
      <c r="AA248">
        <v>50</v>
      </c>
      <c r="AB248">
        <v>250</v>
      </c>
      <c r="AC248">
        <v>50</v>
      </c>
      <c r="AD248">
        <v>250</v>
      </c>
      <c r="AE248">
        <v>0</v>
      </c>
      <c r="AF248">
        <v>0</v>
      </c>
      <c r="AG248">
        <v>50</v>
      </c>
      <c r="AH248">
        <v>250</v>
      </c>
      <c r="AI248">
        <v>1</v>
      </c>
      <c r="AJ248">
        <v>2.4209999999999998</v>
      </c>
      <c r="AK248">
        <v>2030</v>
      </c>
      <c r="AL248" s="61">
        <v>2.4670000000000001</v>
      </c>
      <c r="AM248" s="61">
        <v>2.4209999999999998</v>
      </c>
      <c r="AN248" s="61">
        <v>2.4670000000000001</v>
      </c>
      <c r="AO248">
        <v>1.0490061241000002</v>
      </c>
      <c r="AP248">
        <v>1.0246523523547908</v>
      </c>
      <c r="AQ248">
        <v>1.0748665926936467</v>
      </c>
      <c r="AR248" t="b">
        <v>0</v>
      </c>
      <c r="AS248">
        <v>46.517400708025129</v>
      </c>
      <c r="AT248">
        <v>232.58700354012564</v>
      </c>
      <c r="AU248">
        <v>139.55220212407539</v>
      </c>
    </row>
    <row r="249" spans="1:47" x14ac:dyDescent="0.25">
      <c r="A249" t="s">
        <v>330</v>
      </c>
      <c r="B249" t="s">
        <v>462</v>
      </c>
      <c r="C249" t="s">
        <v>319</v>
      </c>
      <c r="D249">
        <v>2026</v>
      </c>
      <c r="E249">
        <v>0</v>
      </c>
      <c r="F249">
        <v>10</v>
      </c>
      <c r="G249">
        <v>0</v>
      </c>
      <c r="H249">
        <v>0</v>
      </c>
      <c r="I249">
        <v>50</v>
      </c>
      <c r="J249">
        <v>250</v>
      </c>
      <c r="K249">
        <v>1</v>
      </c>
      <c r="L249">
        <v>1</v>
      </c>
      <c r="M249">
        <v>19</v>
      </c>
      <c r="N249">
        <v>0</v>
      </c>
      <c r="O249" t="s">
        <v>27</v>
      </c>
      <c r="P249" t="s">
        <v>443</v>
      </c>
      <c r="Q249">
        <v>2026</v>
      </c>
      <c r="R249">
        <v>2036</v>
      </c>
      <c r="S249" t="s">
        <v>444</v>
      </c>
      <c r="T249">
        <v>2030</v>
      </c>
      <c r="U249">
        <v>37.75</v>
      </c>
      <c r="V249">
        <v>1</v>
      </c>
      <c r="W249">
        <v>2030</v>
      </c>
      <c r="X249">
        <v>4</v>
      </c>
      <c r="Y249">
        <v>2030</v>
      </c>
      <c r="Z249">
        <v>1</v>
      </c>
      <c r="AA249">
        <v>50</v>
      </c>
      <c r="AB249">
        <v>250</v>
      </c>
      <c r="AC249">
        <v>50</v>
      </c>
      <c r="AD249">
        <v>250</v>
      </c>
      <c r="AE249">
        <v>0</v>
      </c>
      <c r="AF249">
        <v>0</v>
      </c>
      <c r="AG249">
        <v>50</v>
      </c>
      <c r="AH249">
        <v>250</v>
      </c>
      <c r="AI249">
        <v>1</v>
      </c>
      <c r="AJ249">
        <v>2.4670000000000001</v>
      </c>
      <c r="AK249">
        <v>2031</v>
      </c>
      <c r="AL249" s="61">
        <v>2.5169999999999999</v>
      </c>
      <c r="AM249" s="61">
        <v>2.4670000000000001</v>
      </c>
      <c r="AN249" s="61">
        <v>2.5169999999999999</v>
      </c>
      <c r="AO249">
        <v>1.0758508410815628</v>
      </c>
      <c r="AP249">
        <v>1.0251508174189523</v>
      </c>
      <c r="AQ249">
        <v>1.1029093691556315</v>
      </c>
      <c r="AR249" t="b">
        <v>0</v>
      </c>
      <c r="AS249">
        <v>45.334640722364284</v>
      </c>
      <c r="AT249">
        <v>226.67320361182144</v>
      </c>
      <c r="AU249">
        <v>136.00392216709287</v>
      </c>
    </row>
    <row r="250" spans="1:47" x14ac:dyDescent="0.25">
      <c r="A250" t="s">
        <v>330</v>
      </c>
      <c r="B250" t="s">
        <v>462</v>
      </c>
      <c r="C250" t="s">
        <v>319</v>
      </c>
      <c r="D250">
        <v>2026</v>
      </c>
      <c r="E250">
        <v>0</v>
      </c>
      <c r="F250">
        <v>10</v>
      </c>
      <c r="G250">
        <v>0</v>
      </c>
      <c r="H250">
        <v>0</v>
      </c>
      <c r="I250">
        <v>50</v>
      </c>
      <c r="J250">
        <v>250</v>
      </c>
      <c r="K250">
        <v>1</v>
      </c>
      <c r="L250">
        <v>1</v>
      </c>
      <c r="M250">
        <v>19</v>
      </c>
      <c r="N250">
        <v>0</v>
      </c>
      <c r="O250" t="s">
        <v>27</v>
      </c>
      <c r="P250" t="s">
        <v>443</v>
      </c>
      <c r="Q250">
        <v>2026</v>
      </c>
      <c r="R250">
        <v>2036</v>
      </c>
      <c r="S250" t="s">
        <v>444</v>
      </c>
      <c r="T250">
        <v>2031</v>
      </c>
      <c r="U250">
        <v>38.75</v>
      </c>
      <c r="V250">
        <v>1</v>
      </c>
      <c r="W250">
        <v>2031</v>
      </c>
      <c r="X250">
        <v>5</v>
      </c>
      <c r="Y250">
        <v>2031</v>
      </c>
      <c r="Z250">
        <v>1</v>
      </c>
      <c r="AA250">
        <v>50</v>
      </c>
      <c r="AB250">
        <v>250</v>
      </c>
      <c r="AC250">
        <v>50</v>
      </c>
      <c r="AD250">
        <v>250</v>
      </c>
      <c r="AE250">
        <v>0</v>
      </c>
      <c r="AF250">
        <v>0</v>
      </c>
      <c r="AG250">
        <v>50</v>
      </c>
      <c r="AH250">
        <v>250</v>
      </c>
      <c r="AI250">
        <v>1</v>
      </c>
      <c r="AJ250">
        <v>2.5169999999999999</v>
      </c>
      <c r="AK250">
        <v>2032</v>
      </c>
      <c r="AL250" s="61">
        <v>2.59</v>
      </c>
      <c r="AM250" s="61">
        <v>2.5169999999999999</v>
      </c>
      <c r="AN250" s="61">
        <v>2.59</v>
      </c>
      <c r="AO250">
        <v>1.1045453584485188</v>
      </c>
      <c r="AP250">
        <v>1.0258719904156592</v>
      </c>
      <c r="AQ250">
        <v>1.1331221453759597</v>
      </c>
      <c r="AR250" t="b">
        <v>0</v>
      </c>
      <c r="AS250">
        <v>44.125869575526167</v>
      </c>
      <c r="AT250">
        <v>220.62934787763083</v>
      </c>
      <c r="AU250">
        <v>132.3776087265785</v>
      </c>
    </row>
    <row r="251" spans="1:47" x14ac:dyDescent="0.25">
      <c r="A251" t="s">
        <v>330</v>
      </c>
      <c r="B251" t="s">
        <v>462</v>
      </c>
      <c r="C251" t="s">
        <v>319</v>
      </c>
      <c r="D251">
        <v>2026</v>
      </c>
      <c r="E251">
        <v>0</v>
      </c>
      <c r="F251">
        <v>10</v>
      </c>
      <c r="G251">
        <v>0</v>
      </c>
      <c r="H251">
        <v>0</v>
      </c>
      <c r="I251">
        <v>50</v>
      </c>
      <c r="J251">
        <v>250</v>
      </c>
      <c r="K251">
        <v>1</v>
      </c>
      <c r="L251">
        <v>1</v>
      </c>
      <c r="M251">
        <v>19</v>
      </c>
      <c r="N251">
        <v>0</v>
      </c>
      <c r="O251" t="s">
        <v>27</v>
      </c>
      <c r="P251" t="s">
        <v>443</v>
      </c>
      <c r="Q251">
        <v>2026</v>
      </c>
      <c r="R251">
        <v>2036</v>
      </c>
      <c r="S251" t="s">
        <v>444</v>
      </c>
      <c r="T251">
        <v>2032</v>
      </c>
      <c r="U251">
        <v>39.75</v>
      </c>
      <c r="V251">
        <v>1</v>
      </c>
      <c r="W251">
        <v>2032</v>
      </c>
      <c r="X251">
        <v>6</v>
      </c>
      <c r="Y251">
        <v>2032</v>
      </c>
      <c r="Z251">
        <v>1</v>
      </c>
      <c r="AA251">
        <v>50</v>
      </c>
      <c r="AB251">
        <v>250</v>
      </c>
      <c r="AC251">
        <v>50</v>
      </c>
      <c r="AD251">
        <v>250</v>
      </c>
      <c r="AE251">
        <v>0</v>
      </c>
      <c r="AF251">
        <v>0</v>
      </c>
      <c r="AG251">
        <v>50</v>
      </c>
      <c r="AH251">
        <v>250</v>
      </c>
      <c r="AI251">
        <v>1</v>
      </c>
      <c r="AJ251">
        <v>2.59</v>
      </c>
      <c r="AK251">
        <v>2033</v>
      </c>
      <c r="AL251" s="61">
        <v>2.6880000000000002</v>
      </c>
      <c r="AM251" s="61">
        <v>2.59</v>
      </c>
      <c r="AN251" s="61">
        <v>2.6880000000000002</v>
      </c>
      <c r="AO251">
        <v>1.1363841013749196</v>
      </c>
      <c r="AP251">
        <v>1.0268423936996114</v>
      </c>
      <c r="AQ251">
        <v>1.1668873708180043</v>
      </c>
      <c r="AR251" t="b">
        <v>0</v>
      </c>
      <c r="AS251">
        <v>42.849036891151975</v>
      </c>
      <c r="AT251">
        <v>214.24518445575987</v>
      </c>
      <c r="AU251">
        <v>128.54711067345593</v>
      </c>
    </row>
    <row r="252" spans="1:47" x14ac:dyDescent="0.25">
      <c r="A252" t="s">
        <v>330</v>
      </c>
      <c r="B252" t="s">
        <v>462</v>
      </c>
      <c r="C252" t="s">
        <v>319</v>
      </c>
      <c r="D252">
        <v>2026</v>
      </c>
      <c r="E252">
        <v>0</v>
      </c>
      <c r="F252">
        <v>10</v>
      </c>
      <c r="G252">
        <v>0</v>
      </c>
      <c r="H252">
        <v>0</v>
      </c>
      <c r="I252">
        <v>50</v>
      </c>
      <c r="J252">
        <v>250</v>
      </c>
      <c r="K252">
        <v>1</v>
      </c>
      <c r="L252">
        <v>1</v>
      </c>
      <c r="M252">
        <v>19</v>
      </c>
      <c r="N252">
        <v>0</v>
      </c>
      <c r="O252" t="s">
        <v>27</v>
      </c>
      <c r="P252" t="s">
        <v>443</v>
      </c>
      <c r="Q252">
        <v>2026</v>
      </c>
      <c r="R252">
        <v>2036</v>
      </c>
      <c r="S252" t="s">
        <v>444</v>
      </c>
      <c r="T252">
        <v>2033</v>
      </c>
      <c r="U252">
        <v>40.75</v>
      </c>
      <c r="V252">
        <v>1</v>
      </c>
      <c r="W252">
        <v>2033</v>
      </c>
      <c r="X252">
        <v>7</v>
      </c>
      <c r="Y252">
        <v>2033</v>
      </c>
      <c r="Z252">
        <v>1</v>
      </c>
      <c r="AA252">
        <v>50</v>
      </c>
      <c r="AB252">
        <v>250</v>
      </c>
      <c r="AC252">
        <v>50</v>
      </c>
      <c r="AD252">
        <v>250</v>
      </c>
      <c r="AE252">
        <v>0</v>
      </c>
      <c r="AF252">
        <v>0</v>
      </c>
      <c r="AG252">
        <v>50</v>
      </c>
      <c r="AH252">
        <v>250</v>
      </c>
      <c r="AI252">
        <v>1</v>
      </c>
      <c r="AJ252">
        <v>2.6880000000000002</v>
      </c>
      <c r="AK252">
        <v>2034</v>
      </c>
      <c r="AL252" s="61">
        <v>2.7519999999999998</v>
      </c>
      <c r="AM252" s="61">
        <v>2.6880000000000002</v>
      </c>
      <c r="AN252" s="61">
        <v>2.7519999999999998</v>
      </c>
      <c r="AO252">
        <v>1.1725143659072164</v>
      </c>
      <c r="AP252">
        <v>1.0274954447000768</v>
      </c>
      <c r="AQ252">
        <v>1.2047531698150638</v>
      </c>
      <c r="AR252" t="b">
        <v>0</v>
      </c>
      <c r="AS252">
        <v>41.502277190667428</v>
      </c>
      <c r="AT252">
        <v>207.51138595333714</v>
      </c>
      <c r="AU252">
        <v>124.50683157200228</v>
      </c>
    </row>
    <row r="253" spans="1:47" x14ac:dyDescent="0.25">
      <c r="A253" t="s">
        <v>330</v>
      </c>
      <c r="B253" t="s">
        <v>462</v>
      </c>
      <c r="C253" t="s">
        <v>319</v>
      </c>
      <c r="D253">
        <v>2026</v>
      </c>
      <c r="E253">
        <v>0</v>
      </c>
      <c r="F253">
        <v>10</v>
      </c>
      <c r="G253">
        <v>0</v>
      </c>
      <c r="H253">
        <v>0</v>
      </c>
      <c r="I253">
        <v>50</v>
      </c>
      <c r="J253">
        <v>250</v>
      </c>
      <c r="K253">
        <v>1</v>
      </c>
      <c r="L253">
        <v>1</v>
      </c>
      <c r="M253">
        <v>19</v>
      </c>
      <c r="N253">
        <v>0</v>
      </c>
      <c r="O253" t="s">
        <v>27</v>
      </c>
      <c r="P253" t="s">
        <v>443</v>
      </c>
      <c r="Q253">
        <v>2026</v>
      </c>
      <c r="R253">
        <v>2036</v>
      </c>
      <c r="S253" t="s">
        <v>444</v>
      </c>
      <c r="T253">
        <v>2034</v>
      </c>
      <c r="U253">
        <v>41.75</v>
      </c>
      <c r="V253">
        <v>1</v>
      </c>
      <c r="W253">
        <v>2034</v>
      </c>
      <c r="X253">
        <v>8</v>
      </c>
      <c r="Y253">
        <v>2034</v>
      </c>
      <c r="Z253">
        <v>1</v>
      </c>
      <c r="AA253">
        <v>50</v>
      </c>
      <c r="AB253">
        <v>250</v>
      </c>
      <c r="AC253">
        <v>50</v>
      </c>
      <c r="AD253">
        <v>250</v>
      </c>
      <c r="AE253">
        <v>0</v>
      </c>
      <c r="AF253">
        <v>0</v>
      </c>
      <c r="AG253">
        <v>50</v>
      </c>
      <c r="AH253">
        <v>250</v>
      </c>
      <c r="AI253">
        <v>1</v>
      </c>
      <c r="AJ253">
        <v>2.7519999999999998</v>
      </c>
      <c r="AK253">
        <v>2035</v>
      </c>
      <c r="AL253" s="61">
        <v>2.8420000000000001</v>
      </c>
      <c r="AM253" s="61">
        <v>2.7519999999999998</v>
      </c>
      <c r="AN253" s="61">
        <v>2.8420000000000001</v>
      </c>
      <c r="AO253">
        <v>1.2092942481281721</v>
      </c>
      <c r="AP253">
        <v>1.0283854649181425</v>
      </c>
      <c r="AQ253">
        <v>1.2436206275841259</v>
      </c>
      <c r="AR253" t="b">
        <v>0</v>
      </c>
      <c r="AS253">
        <v>40.205187089193487</v>
      </c>
      <c r="AT253">
        <v>201.02593544596743</v>
      </c>
      <c r="AU253">
        <v>120.61556126758046</v>
      </c>
    </row>
    <row r="254" spans="1:47" x14ac:dyDescent="0.25">
      <c r="A254" t="s">
        <v>330</v>
      </c>
      <c r="B254" t="s">
        <v>462</v>
      </c>
      <c r="C254" t="s">
        <v>319</v>
      </c>
      <c r="D254">
        <v>2026</v>
      </c>
      <c r="E254">
        <v>0</v>
      </c>
      <c r="F254">
        <v>10</v>
      </c>
      <c r="G254">
        <v>0</v>
      </c>
      <c r="H254">
        <v>0</v>
      </c>
      <c r="I254">
        <v>50</v>
      </c>
      <c r="J254">
        <v>250</v>
      </c>
      <c r="K254">
        <v>1</v>
      </c>
      <c r="L254">
        <v>1</v>
      </c>
      <c r="M254">
        <v>19</v>
      </c>
      <c r="N254">
        <v>0</v>
      </c>
      <c r="O254" t="s">
        <v>27</v>
      </c>
      <c r="P254" t="s">
        <v>443</v>
      </c>
      <c r="Q254">
        <v>2026</v>
      </c>
      <c r="R254">
        <v>2036</v>
      </c>
      <c r="S254" t="s">
        <v>444</v>
      </c>
      <c r="T254">
        <v>2035</v>
      </c>
      <c r="U254">
        <v>42.75</v>
      </c>
      <c r="V254">
        <v>1</v>
      </c>
      <c r="W254">
        <v>2035</v>
      </c>
      <c r="X254">
        <v>9</v>
      </c>
      <c r="Y254">
        <v>2035</v>
      </c>
      <c r="Z254">
        <v>1</v>
      </c>
      <c r="AA254">
        <v>50</v>
      </c>
      <c r="AB254">
        <v>250</v>
      </c>
      <c r="AC254">
        <v>50</v>
      </c>
      <c r="AD254">
        <v>250</v>
      </c>
      <c r="AE254">
        <v>0</v>
      </c>
      <c r="AF254">
        <v>0</v>
      </c>
      <c r="AG254">
        <v>50</v>
      </c>
      <c r="AH254">
        <v>250</v>
      </c>
      <c r="AI254">
        <v>1</v>
      </c>
      <c r="AJ254">
        <v>2.8420000000000001</v>
      </c>
      <c r="AK254">
        <v>2036</v>
      </c>
      <c r="AL254" s="61">
        <v>2.944</v>
      </c>
      <c r="AM254" s="61">
        <v>2.8420000000000001</v>
      </c>
      <c r="AN254" s="61">
        <v>2.944</v>
      </c>
      <c r="AO254">
        <v>1.2513076834571593</v>
      </c>
      <c r="AP254">
        <v>1.0294008580614105</v>
      </c>
      <c r="AQ254">
        <v>1.2880972030496356</v>
      </c>
      <c r="AR254" t="b">
        <v>0</v>
      </c>
      <c r="AS254">
        <v>38.816946331086243</v>
      </c>
      <c r="AT254">
        <v>194.0847316554312</v>
      </c>
      <c r="AU254">
        <v>116.45083899325871</v>
      </c>
    </row>
    <row r="255" spans="1:47" x14ac:dyDescent="0.25">
      <c r="A255" t="s">
        <v>330</v>
      </c>
      <c r="B255" t="s">
        <v>462</v>
      </c>
      <c r="C255" t="s">
        <v>319</v>
      </c>
      <c r="D255">
        <v>2026</v>
      </c>
      <c r="E255">
        <v>0</v>
      </c>
      <c r="M255">
        <v>19</v>
      </c>
      <c r="Q255">
        <v>2026</v>
      </c>
      <c r="R255">
        <v>2036</v>
      </c>
      <c r="T255">
        <v>2036</v>
      </c>
      <c r="U255">
        <v>43.75</v>
      </c>
      <c r="W255">
        <v>2036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L255" s="61"/>
      <c r="AS255">
        <v>0</v>
      </c>
      <c r="AT255">
        <v>0</v>
      </c>
      <c r="AU255">
        <v>0</v>
      </c>
    </row>
    <row r="256" spans="1:47" x14ac:dyDescent="0.25">
      <c r="A256" t="s">
        <v>357</v>
      </c>
      <c r="B256" t="s">
        <v>463</v>
      </c>
      <c r="C256" t="s">
        <v>320</v>
      </c>
      <c r="D256">
        <v>2026</v>
      </c>
      <c r="E256">
        <v>0</v>
      </c>
      <c r="F256">
        <v>15</v>
      </c>
      <c r="G256">
        <v>0</v>
      </c>
      <c r="H256">
        <v>0</v>
      </c>
      <c r="I256">
        <v>30</v>
      </c>
      <c r="J256">
        <v>45</v>
      </c>
      <c r="K256">
        <v>4</v>
      </c>
      <c r="L256">
        <v>2</v>
      </c>
      <c r="M256">
        <v>20</v>
      </c>
      <c r="N256">
        <v>0</v>
      </c>
      <c r="O256" t="s">
        <v>27</v>
      </c>
      <c r="P256" t="s">
        <v>443</v>
      </c>
      <c r="Q256">
        <v>2026</v>
      </c>
      <c r="R256">
        <v>2041</v>
      </c>
      <c r="S256" t="s">
        <v>444</v>
      </c>
      <c r="T256">
        <v>2026</v>
      </c>
      <c r="U256">
        <v>33.75</v>
      </c>
      <c r="V256">
        <v>1</v>
      </c>
      <c r="W256">
        <v>2026</v>
      </c>
      <c r="X256">
        <v>0</v>
      </c>
      <c r="Y256">
        <v>2026</v>
      </c>
      <c r="Z256">
        <v>1</v>
      </c>
      <c r="AA256">
        <v>120</v>
      </c>
      <c r="AB256">
        <v>180</v>
      </c>
      <c r="AC256">
        <v>120</v>
      </c>
      <c r="AD256">
        <v>180</v>
      </c>
      <c r="AE256">
        <v>0</v>
      </c>
      <c r="AF256">
        <v>0</v>
      </c>
      <c r="AG256">
        <v>120</v>
      </c>
      <c r="AH256">
        <v>180</v>
      </c>
      <c r="AI256">
        <v>1</v>
      </c>
      <c r="AK256">
        <v>2027</v>
      </c>
      <c r="AL256" s="61">
        <v>2.4329999999999998</v>
      </c>
      <c r="AM256" s="61">
        <v>0</v>
      </c>
      <c r="AN256" s="61">
        <v>2.4329999999999998</v>
      </c>
      <c r="AO256">
        <v>1</v>
      </c>
      <c r="AP256">
        <v>1.023385968321771</v>
      </c>
      <c r="AQ256">
        <v>1.023385968321771</v>
      </c>
      <c r="AR256" t="b">
        <v>1</v>
      </c>
      <c r="AS256">
        <v>120</v>
      </c>
      <c r="AT256">
        <v>180</v>
      </c>
      <c r="AU256">
        <v>150</v>
      </c>
    </row>
    <row r="257" spans="1:47" x14ac:dyDescent="0.25">
      <c r="A257" t="s">
        <v>357</v>
      </c>
      <c r="B257" t="s">
        <v>463</v>
      </c>
      <c r="C257" t="s">
        <v>320</v>
      </c>
      <c r="D257">
        <v>2026</v>
      </c>
      <c r="E257">
        <v>0</v>
      </c>
      <c r="F257">
        <v>15</v>
      </c>
      <c r="G257">
        <v>0</v>
      </c>
      <c r="H257">
        <v>0</v>
      </c>
      <c r="I257">
        <v>30</v>
      </c>
      <c r="J257">
        <v>45</v>
      </c>
      <c r="K257">
        <v>4</v>
      </c>
      <c r="L257">
        <v>2</v>
      </c>
      <c r="M257">
        <v>20</v>
      </c>
      <c r="N257">
        <v>0</v>
      </c>
      <c r="O257" t="s">
        <v>27</v>
      </c>
      <c r="P257" t="s">
        <v>443</v>
      </c>
      <c r="Q257">
        <v>2026</v>
      </c>
      <c r="R257">
        <v>2041</v>
      </c>
      <c r="S257" t="s">
        <v>444</v>
      </c>
      <c r="T257">
        <v>2027</v>
      </c>
      <c r="U257">
        <v>34.75</v>
      </c>
      <c r="V257">
        <v>1</v>
      </c>
      <c r="W257">
        <v>2027</v>
      </c>
      <c r="X257">
        <v>1</v>
      </c>
      <c r="Y257">
        <v>2027</v>
      </c>
      <c r="Z257">
        <v>1</v>
      </c>
      <c r="AA257">
        <v>120</v>
      </c>
      <c r="AB257">
        <v>180</v>
      </c>
      <c r="AC257">
        <v>120</v>
      </c>
      <c r="AD257">
        <v>180</v>
      </c>
      <c r="AE257">
        <v>0</v>
      </c>
      <c r="AF257">
        <v>0</v>
      </c>
      <c r="AG257">
        <v>120</v>
      </c>
      <c r="AH257">
        <v>180</v>
      </c>
      <c r="AI257">
        <v>1</v>
      </c>
      <c r="AJ257">
        <v>2.4329999999999998</v>
      </c>
      <c r="AK257">
        <v>2028</v>
      </c>
      <c r="AL257" s="61">
        <v>2.4220000000000002</v>
      </c>
      <c r="AM257" s="61">
        <v>2.4329999999999998</v>
      </c>
      <c r="AN257" s="61">
        <v>2.4220000000000002</v>
      </c>
      <c r="AO257">
        <v>1</v>
      </c>
      <c r="AP257">
        <v>1.0242242189602202</v>
      </c>
      <c r="AQ257">
        <v>1.0242242189602202</v>
      </c>
      <c r="AR257" t="b">
        <v>0</v>
      </c>
      <c r="AS257">
        <v>117.16184579370963</v>
      </c>
      <c r="AT257">
        <v>175.74276869056445</v>
      </c>
      <c r="AU257">
        <v>146.45230724213704</v>
      </c>
    </row>
    <row r="258" spans="1:47" x14ac:dyDescent="0.25">
      <c r="A258" t="s">
        <v>357</v>
      </c>
      <c r="B258" t="s">
        <v>463</v>
      </c>
      <c r="C258" t="s">
        <v>320</v>
      </c>
      <c r="D258">
        <v>2026</v>
      </c>
      <c r="E258">
        <v>0</v>
      </c>
      <c r="F258">
        <v>15</v>
      </c>
      <c r="G258">
        <v>0</v>
      </c>
      <c r="H258">
        <v>0</v>
      </c>
      <c r="I258">
        <v>30</v>
      </c>
      <c r="J258">
        <v>45</v>
      </c>
      <c r="K258">
        <v>4</v>
      </c>
      <c r="L258">
        <v>2</v>
      </c>
      <c r="M258">
        <v>20</v>
      </c>
      <c r="N258">
        <v>0</v>
      </c>
      <c r="O258" t="s">
        <v>27</v>
      </c>
      <c r="P258" t="s">
        <v>443</v>
      </c>
      <c r="Q258">
        <v>2026</v>
      </c>
      <c r="R258">
        <v>2041</v>
      </c>
      <c r="S258" t="s">
        <v>444</v>
      </c>
      <c r="T258">
        <v>2028</v>
      </c>
      <c r="U258">
        <v>35.75</v>
      </c>
      <c r="V258">
        <v>1</v>
      </c>
      <c r="W258">
        <v>2028</v>
      </c>
      <c r="X258">
        <v>2</v>
      </c>
      <c r="Y258">
        <v>2028</v>
      </c>
      <c r="Z258">
        <v>1</v>
      </c>
      <c r="AA258">
        <v>120</v>
      </c>
      <c r="AB258">
        <v>180</v>
      </c>
      <c r="AC258">
        <v>120</v>
      </c>
      <c r="AD258">
        <v>180</v>
      </c>
      <c r="AE258">
        <v>0</v>
      </c>
      <c r="AF258">
        <v>0</v>
      </c>
      <c r="AG258">
        <v>120</v>
      </c>
      <c r="AH258">
        <v>180</v>
      </c>
      <c r="AI258">
        <v>1</v>
      </c>
      <c r="AJ258">
        <v>2.4220000000000002</v>
      </c>
      <c r="AK258">
        <v>2029</v>
      </c>
      <c r="AL258" s="61">
        <v>2.4209999999999998</v>
      </c>
      <c r="AM258" s="61">
        <v>2.4220000000000002</v>
      </c>
      <c r="AN258" s="61">
        <v>2.4209999999999998</v>
      </c>
      <c r="AO258">
        <v>1.0242199999999999</v>
      </c>
      <c r="AP258">
        <v>1.0242103835598433</v>
      </c>
      <c r="AQ258">
        <v>1.0490167590496626</v>
      </c>
      <c r="AR258" t="b">
        <v>0</v>
      </c>
      <c r="AS258">
        <v>114.39283401793483</v>
      </c>
      <c r="AT258">
        <v>171.58925102690225</v>
      </c>
      <c r="AU258">
        <v>142.99104252241852</v>
      </c>
    </row>
    <row r="259" spans="1:47" x14ac:dyDescent="0.25">
      <c r="A259" t="s">
        <v>357</v>
      </c>
      <c r="B259" t="s">
        <v>463</v>
      </c>
      <c r="C259" t="s">
        <v>320</v>
      </c>
      <c r="D259">
        <v>2026</v>
      </c>
      <c r="E259">
        <v>0</v>
      </c>
      <c r="F259">
        <v>15</v>
      </c>
      <c r="G259">
        <v>0</v>
      </c>
      <c r="H259">
        <v>0</v>
      </c>
      <c r="I259">
        <v>30</v>
      </c>
      <c r="J259">
        <v>45</v>
      </c>
      <c r="K259">
        <v>4</v>
      </c>
      <c r="L259">
        <v>2</v>
      </c>
      <c r="M259">
        <v>20</v>
      </c>
      <c r="N259">
        <v>0</v>
      </c>
      <c r="O259" t="s">
        <v>27</v>
      </c>
      <c r="P259" t="s">
        <v>443</v>
      </c>
      <c r="Q259">
        <v>2026</v>
      </c>
      <c r="R259">
        <v>2041</v>
      </c>
      <c r="S259" t="s">
        <v>444</v>
      </c>
      <c r="T259">
        <v>2029</v>
      </c>
      <c r="U259">
        <v>36.75</v>
      </c>
      <c r="V259">
        <v>1</v>
      </c>
      <c r="W259">
        <v>2029</v>
      </c>
      <c r="X259">
        <v>3</v>
      </c>
      <c r="Y259">
        <v>2029</v>
      </c>
      <c r="Z259">
        <v>1</v>
      </c>
      <c r="AA259">
        <v>120</v>
      </c>
      <c r="AB259">
        <v>180</v>
      </c>
      <c r="AC259">
        <v>120</v>
      </c>
      <c r="AD259">
        <v>180</v>
      </c>
      <c r="AE259">
        <v>0</v>
      </c>
      <c r="AF259">
        <v>0</v>
      </c>
      <c r="AG259">
        <v>120</v>
      </c>
      <c r="AH259">
        <v>180</v>
      </c>
      <c r="AI259">
        <v>1</v>
      </c>
      <c r="AJ259">
        <v>2.4209999999999998</v>
      </c>
      <c r="AK259">
        <v>2030</v>
      </c>
      <c r="AL259" s="61">
        <v>2.4670000000000001</v>
      </c>
      <c r="AM259" s="61">
        <v>2.4209999999999998</v>
      </c>
      <c r="AN259" s="61">
        <v>2.4670000000000001</v>
      </c>
      <c r="AO259">
        <v>1.0490061241000002</v>
      </c>
      <c r="AP259">
        <v>1.0246523523547908</v>
      </c>
      <c r="AQ259">
        <v>1.0748665926936467</v>
      </c>
      <c r="AR259" t="b">
        <v>0</v>
      </c>
      <c r="AS259">
        <v>111.64176169926031</v>
      </c>
      <c r="AT259">
        <v>167.46264254889047</v>
      </c>
      <c r="AU259">
        <v>139.55220212407539</v>
      </c>
    </row>
    <row r="260" spans="1:47" x14ac:dyDescent="0.25">
      <c r="A260" t="s">
        <v>357</v>
      </c>
      <c r="B260" t="s">
        <v>463</v>
      </c>
      <c r="C260" t="s">
        <v>320</v>
      </c>
      <c r="D260">
        <v>2026</v>
      </c>
      <c r="E260">
        <v>0</v>
      </c>
      <c r="F260">
        <v>15</v>
      </c>
      <c r="G260">
        <v>0</v>
      </c>
      <c r="H260">
        <v>0</v>
      </c>
      <c r="I260">
        <v>30</v>
      </c>
      <c r="J260">
        <v>45</v>
      </c>
      <c r="K260">
        <v>4</v>
      </c>
      <c r="L260">
        <v>2</v>
      </c>
      <c r="M260">
        <v>20</v>
      </c>
      <c r="N260">
        <v>0</v>
      </c>
      <c r="O260" t="s">
        <v>27</v>
      </c>
      <c r="P260" t="s">
        <v>443</v>
      </c>
      <c r="Q260">
        <v>2026</v>
      </c>
      <c r="R260">
        <v>2041</v>
      </c>
      <c r="S260" t="s">
        <v>444</v>
      </c>
      <c r="T260">
        <v>2030</v>
      </c>
      <c r="U260">
        <v>37.75</v>
      </c>
      <c r="V260">
        <v>1</v>
      </c>
      <c r="W260">
        <v>2030</v>
      </c>
      <c r="X260">
        <v>4</v>
      </c>
      <c r="Y260">
        <v>2030</v>
      </c>
      <c r="Z260">
        <v>1</v>
      </c>
      <c r="AA260">
        <v>120</v>
      </c>
      <c r="AB260">
        <v>180</v>
      </c>
      <c r="AC260">
        <v>120</v>
      </c>
      <c r="AD260">
        <v>180</v>
      </c>
      <c r="AE260">
        <v>0</v>
      </c>
      <c r="AF260">
        <v>0</v>
      </c>
      <c r="AG260">
        <v>120</v>
      </c>
      <c r="AH260">
        <v>180</v>
      </c>
      <c r="AI260">
        <v>1</v>
      </c>
      <c r="AJ260">
        <v>2.4670000000000001</v>
      </c>
      <c r="AK260">
        <v>2031</v>
      </c>
      <c r="AL260" s="61">
        <v>2.5169999999999999</v>
      </c>
      <c r="AM260" s="61">
        <v>2.4670000000000001</v>
      </c>
      <c r="AN260" s="61">
        <v>2.5169999999999999</v>
      </c>
      <c r="AO260">
        <v>1.0758508410815628</v>
      </c>
      <c r="AP260">
        <v>1.0251508174189523</v>
      </c>
      <c r="AQ260">
        <v>1.1029093691556315</v>
      </c>
      <c r="AR260" t="b">
        <v>0</v>
      </c>
      <c r="AS260">
        <v>108.80313773367429</v>
      </c>
      <c r="AT260">
        <v>163.20470660051143</v>
      </c>
      <c r="AU260">
        <v>136.00392216709287</v>
      </c>
    </row>
    <row r="261" spans="1:47" x14ac:dyDescent="0.25">
      <c r="A261" t="s">
        <v>357</v>
      </c>
      <c r="B261" t="s">
        <v>463</v>
      </c>
      <c r="C261" t="s">
        <v>320</v>
      </c>
      <c r="D261">
        <v>2026</v>
      </c>
      <c r="E261">
        <v>0</v>
      </c>
      <c r="F261">
        <v>15</v>
      </c>
      <c r="G261">
        <v>0</v>
      </c>
      <c r="H261">
        <v>0</v>
      </c>
      <c r="I261">
        <v>30</v>
      </c>
      <c r="J261">
        <v>45</v>
      </c>
      <c r="K261">
        <v>4</v>
      </c>
      <c r="L261">
        <v>2</v>
      </c>
      <c r="M261">
        <v>20</v>
      </c>
      <c r="N261">
        <v>0</v>
      </c>
      <c r="O261" t="s">
        <v>27</v>
      </c>
      <c r="P261" t="s">
        <v>443</v>
      </c>
      <c r="Q261">
        <v>2026</v>
      </c>
      <c r="R261">
        <v>2041</v>
      </c>
      <c r="S261" t="s">
        <v>444</v>
      </c>
      <c r="T261">
        <v>2031</v>
      </c>
      <c r="U261">
        <v>38.75</v>
      </c>
      <c r="V261">
        <v>1</v>
      </c>
      <c r="W261">
        <v>2031</v>
      </c>
      <c r="X261">
        <v>5</v>
      </c>
      <c r="Y261">
        <v>2031</v>
      </c>
      <c r="Z261">
        <v>1</v>
      </c>
      <c r="AA261">
        <v>120</v>
      </c>
      <c r="AB261">
        <v>180</v>
      </c>
      <c r="AC261">
        <v>120</v>
      </c>
      <c r="AD261">
        <v>180</v>
      </c>
      <c r="AE261">
        <v>0</v>
      </c>
      <c r="AF261">
        <v>0</v>
      </c>
      <c r="AG261">
        <v>120</v>
      </c>
      <c r="AH261">
        <v>180</v>
      </c>
      <c r="AI261">
        <v>1</v>
      </c>
      <c r="AJ261">
        <v>2.5169999999999999</v>
      </c>
      <c r="AK261">
        <v>2032</v>
      </c>
      <c r="AL261" s="61">
        <v>2.59</v>
      </c>
      <c r="AM261" s="61">
        <v>2.5169999999999999</v>
      </c>
      <c r="AN261" s="61">
        <v>2.59</v>
      </c>
      <c r="AO261">
        <v>1.1045453584485188</v>
      </c>
      <c r="AP261">
        <v>1.0258719904156592</v>
      </c>
      <c r="AQ261">
        <v>1.1331221453759597</v>
      </c>
      <c r="AR261" t="b">
        <v>0</v>
      </c>
      <c r="AS261">
        <v>105.90208698126281</v>
      </c>
      <c r="AT261">
        <v>158.85313047189422</v>
      </c>
      <c r="AU261">
        <v>132.3776087265785</v>
      </c>
    </row>
    <row r="262" spans="1:47" x14ac:dyDescent="0.25">
      <c r="A262" t="s">
        <v>357</v>
      </c>
      <c r="B262" t="s">
        <v>463</v>
      </c>
      <c r="C262" t="s">
        <v>320</v>
      </c>
      <c r="D262">
        <v>2026</v>
      </c>
      <c r="E262">
        <v>0</v>
      </c>
      <c r="F262">
        <v>15</v>
      </c>
      <c r="G262">
        <v>0</v>
      </c>
      <c r="H262">
        <v>0</v>
      </c>
      <c r="I262">
        <v>30</v>
      </c>
      <c r="J262">
        <v>45</v>
      </c>
      <c r="K262">
        <v>4</v>
      </c>
      <c r="L262">
        <v>2</v>
      </c>
      <c r="M262">
        <v>20</v>
      </c>
      <c r="N262">
        <v>0</v>
      </c>
      <c r="O262" t="s">
        <v>27</v>
      </c>
      <c r="P262" t="s">
        <v>443</v>
      </c>
      <c r="Q262">
        <v>2026</v>
      </c>
      <c r="R262">
        <v>2041</v>
      </c>
      <c r="S262" t="s">
        <v>444</v>
      </c>
      <c r="T262">
        <v>2032</v>
      </c>
      <c r="U262">
        <v>39.75</v>
      </c>
      <c r="V262">
        <v>1</v>
      </c>
      <c r="W262">
        <v>2032</v>
      </c>
      <c r="X262">
        <v>6</v>
      </c>
      <c r="Y262">
        <v>2032</v>
      </c>
      <c r="Z262">
        <v>1</v>
      </c>
      <c r="AA262">
        <v>120</v>
      </c>
      <c r="AB262">
        <v>180</v>
      </c>
      <c r="AC262">
        <v>120</v>
      </c>
      <c r="AD262">
        <v>180</v>
      </c>
      <c r="AE262">
        <v>0</v>
      </c>
      <c r="AF262">
        <v>0</v>
      </c>
      <c r="AG262">
        <v>120</v>
      </c>
      <c r="AH262">
        <v>180</v>
      </c>
      <c r="AI262">
        <v>1</v>
      </c>
      <c r="AJ262">
        <v>2.59</v>
      </c>
      <c r="AK262">
        <v>2033</v>
      </c>
      <c r="AL262" s="61">
        <v>2.6880000000000002</v>
      </c>
      <c r="AM262" s="61">
        <v>2.59</v>
      </c>
      <c r="AN262" s="61">
        <v>2.6880000000000002</v>
      </c>
      <c r="AO262">
        <v>1.1363841013749196</v>
      </c>
      <c r="AP262">
        <v>1.0268423936996114</v>
      </c>
      <c r="AQ262">
        <v>1.1668873708180043</v>
      </c>
      <c r="AR262" t="b">
        <v>0</v>
      </c>
      <c r="AS262">
        <v>102.83768853876474</v>
      </c>
      <c r="AT262">
        <v>154.25653280814711</v>
      </c>
      <c r="AU262">
        <v>128.54711067345593</v>
      </c>
    </row>
    <row r="263" spans="1:47" x14ac:dyDescent="0.25">
      <c r="A263" t="s">
        <v>357</v>
      </c>
      <c r="B263" t="s">
        <v>463</v>
      </c>
      <c r="C263" t="s">
        <v>320</v>
      </c>
      <c r="D263">
        <v>2026</v>
      </c>
      <c r="E263">
        <v>0</v>
      </c>
      <c r="F263">
        <v>15</v>
      </c>
      <c r="G263">
        <v>0</v>
      </c>
      <c r="H263">
        <v>0</v>
      </c>
      <c r="I263">
        <v>30</v>
      </c>
      <c r="J263">
        <v>45</v>
      </c>
      <c r="K263">
        <v>4</v>
      </c>
      <c r="L263">
        <v>2</v>
      </c>
      <c r="M263">
        <v>20</v>
      </c>
      <c r="N263">
        <v>0</v>
      </c>
      <c r="O263" t="s">
        <v>27</v>
      </c>
      <c r="P263" t="s">
        <v>443</v>
      </c>
      <c r="Q263">
        <v>2026</v>
      </c>
      <c r="R263">
        <v>2041</v>
      </c>
      <c r="S263" t="s">
        <v>444</v>
      </c>
      <c r="T263">
        <v>2033</v>
      </c>
      <c r="U263">
        <v>40.75</v>
      </c>
      <c r="V263">
        <v>1</v>
      </c>
      <c r="W263">
        <v>2033</v>
      </c>
      <c r="X263">
        <v>7</v>
      </c>
      <c r="Y263">
        <v>2033</v>
      </c>
      <c r="Z263">
        <v>1</v>
      </c>
      <c r="AA263">
        <v>120</v>
      </c>
      <c r="AB263">
        <v>180</v>
      </c>
      <c r="AC263">
        <v>120</v>
      </c>
      <c r="AD263">
        <v>180</v>
      </c>
      <c r="AE263">
        <v>0</v>
      </c>
      <c r="AF263">
        <v>0</v>
      </c>
      <c r="AG263">
        <v>120</v>
      </c>
      <c r="AH263">
        <v>180</v>
      </c>
      <c r="AI263">
        <v>1</v>
      </c>
      <c r="AJ263">
        <v>2.6880000000000002</v>
      </c>
      <c r="AK263">
        <v>2034</v>
      </c>
      <c r="AL263" s="61">
        <v>2.7519999999999998</v>
      </c>
      <c r="AM263" s="61">
        <v>2.6880000000000002</v>
      </c>
      <c r="AN263" s="61">
        <v>2.7519999999999998</v>
      </c>
      <c r="AO263">
        <v>1.1725143659072164</v>
      </c>
      <c r="AP263">
        <v>1.0274954447000768</v>
      </c>
      <c r="AQ263">
        <v>1.2047531698150638</v>
      </c>
      <c r="AR263" t="b">
        <v>0</v>
      </c>
      <c r="AS263">
        <v>99.605465257601821</v>
      </c>
      <c r="AT263">
        <v>149.40819788640275</v>
      </c>
      <c r="AU263">
        <v>124.50683157200228</v>
      </c>
    </row>
    <row r="264" spans="1:47" x14ac:dyDescent="0.25">
      <c r="A264" t="s">
        <v>357</v>
      </c>
      <c r="B264" t="s">
        <v>463</v>
      </c>
      <c r="C264" t="s">
        <v>320</v>
      </c>
      <c r="D264">
        <v>2026</v>
      </c>
      <c r="E264">
        <v>0</v>
      </c>
      <c r="F264">
        <v>15</v>
      </c>
      <c r="G264">
        <v>0</v>
      </c>
      <c r="H264">
        <v>0</v>
      </c>
      <c r="I264">
        <v>30</v>
      </c>
      <c r="J264">
        <v>45</v>
      </c>
      <c r="K264">
        <v>4</v>
      </c>
      <c r="L264">
        <v>2</v>
      </c>
      <c r="M264">
        <v>20</v>
      </c>
      <c r="N264">
        <v>0</v>
      </c>
      <c r="O264" t="s">
        <v>27</v>
      </c>
      <c r="P264" t="s">
        <v>443</v>
      </c>
      <c r="Q264">
        <v>2026</v>
      </c>
      <c r="R264">
        <v>2041</v>
      </c>
      <c r="S264" t="s">
        <v>444</v>
      </c>
      <c r="T264">
        <v>2034</v>
      </c>
      <c r="U264">
        <v>41.75</v>
      </c>
      <c r="V264">
        <v>1</v>
      </c>
      <c r="W264">
        <v>2034</v>
      </c>
      <c r="X264">
        <v>8</v>
      </c>
      <c r="Y264">
        <v>2034</v>
      </c>
      <c r="Z264">
        <v>1</v>
      </c>
      <c r="AA264">
        <v>120</v>
      </c>
      <c r="AB264">
        <v>180</v>
      </c>
      <c r="AC264">
        <v>120</v>
      </c>
      <c r="AD264">
        <v>180</v>
      </c>
      <c r="AE264">
        <v>0</v>
      </c>
      <c r="AF264">
        <v>0</v>
      </c>
      <c r="AG264">
        <v>120</v>
      </c>
      <c r="AH264">
        <v>180</v>
      </c>
      <c r="AI264">
        <v>1</v>
      </c>
      <c r="AJ264">
        <v>2.7519999999999998</v>
      </c>
      <c r="AK264">
        <v>2035</v>
      </c>
      <c r="AL264" s="61">
        <v>2.8420000000000001</v>
      </c>
      <c r="AM264" s="61">
        <v>2.7519999999999998</v>
      </c>
      <c r="AN264" s="61">
        <v>2.8420000000000001</v>
      </c>
      <c r="AO264">
        <v>1.2092942481281721</v>
      </c>
      <c r="AP264">
        <v>1.0283854649181425</v>
      </c>
      <c r="AQ264">
        <v>1.2436206275841259</v>
      </c>
      <c r="AR264" t="b">
        <v>0</v>
      </c>
      <c r="AS264">
        <v>96.492449014064363</v>
      </c>
      <c r="AT264">
        <v>144.73867352109656</v>
      </c>
      <c r="AU264">
        <v>120.61556126758046</v>
      </c>
    </row>
    <row r="265" spans="1:47" x14ac:dyDescent="0.25">
      <c r="A265" t="s">
        <v>357</v>
      </c>
      <c r="B265" t="s">
        <v>463</v>
      </c>
      <c r="C265" t="s">
        <v>320</v>
      </c>
      <c r="D265">
        <v>2026</v>
      </c>
      <c r="E265">
        <v>0</v>
      </c>
      <c r="F265">
        <v>15</v>
      </c>
      <c r="G265">
        <v>0</v>
      </c>
      <c r="H265">
        <v>0</v>
      </c>
      <c r="I265">
        <v>30</v>
      </c>
      <c r="J265">
        <v>45</v>
      </c>
      <c r="K265">
        <v>4</v>
      </c>
      <c r="L265">
        <v>2</v>
      </c>
      <c r="M265">
        <v>20</v>
      </c>
      <c r="N265">
        <v>0</v>
      </c>
      <c r="O265" t="s">
        <v>27</v>
      </c>
      <c r="P265" t="s">
        <v>443</v>
      </c>
      <c r="Q265">
        <v>2026</v>
      </c>
      <c r="R265">
        <v>2041</v>
      </c>
      <c r="S265" t="s">
        <v>444</v>
      </c>
      <c r="T265">
        <v>2035</v>
      </c>
      <c r="U265">
        <v>42.75</v>
      </c>
      <c r="V265">
        <v>1</v>
      </c>
      <c r="W265">
        <v>2035</v>
      </c>
      <c r="X265">
        <v>9</v>
      </c>
      <c r="Y265">
        <v>2035</v>
      </c>
      <c r="Z265">
        <v>1</v>
      </c>
      <c r="AA265">
        <v>120</v>
      </c>
      <c r="AB265">
        <v>180</v>
      </c>
      <c r="AC265">
        <v>120</v>
      </c>
      <c r="AD265">
        <v>180</v>
      </c>
      <c r="AE265">
        <v>0</v>
      </c>
      <c r="AF265">
        <v>0</v>
      </c>
      <c r="AG265">
        <v>120</v>
      </c>
      <c r="AH265">
        <v>180</v>
      </c>
      <c r="AI265">
        <v>1</v>
      </c>
      <c r="AJ265">
        <v>2.8420000000000001</v>
      </c>
      <c r="AK265">
        <v>2036</v>
      </c>
      <c r="AL265" s="61">
        <v>2.944</v>
      </c>
      <c r="AM265" s="61">
        <v>2.8420000000000001</v>
      </c>
      <c r="AN265" s="61">
        <v>2.944</v>
      </c>
      <c r="AO265">
        <v>1.2513076834571593</v>
      </c>
      <c r="AP265">
        <v>1.0294008580614105</v>
      </c>
      <c r="AQ265">
        <v>1.2880972030496356</v>
      </c>
      <c r="AR265" t="b">
        <v>0</v>
      </c>
      <c r="AS265">
        <v>93.160671194606977</v>
      </c>
      <c r="AT265">
        <v>139.74100679191045</v>
      </c>
      <c r="AU265">
        <v>116.45083899325871</v>
      </c>
    </row>
    <row r="266" spans="1:47" x14ac:dyDescent="0.25">
      <c r="A266" t="s">
        <v>357</v>
      </c>
      <c r="B266" t="s">
        <v>463</v>
      </c>
      <c r="C266" t="s">
        <v>320</v>
      </c>
      <c r="D266">
        <v>2026</v>
      </c>
      <c r="E266">
        <v>0</v>
      </c>
      <c r="F266">
        <v>15</v>
      </c>
      <c r="G266">
        <v>0</v>
      </c>
      <c r="H266">
        <v>0</v>
      </c>
      <c r="I266">
        <v>30</v>
      </c>
      <c r="J266">
        <v>45</v>
      </c>
      <c r="K266">
        <v>4</v>
      </c>
      <c r="L266">
        <v>2</v>
      </c>
      <c r="M266">
        <v>20</v>
      </c>
      <c r="N266">
        <v>0</v>
      </c>
      <c r="O266" t="s">
        <v>27</v>
      </c>
      <c r="P266" t="s">
        <v>443</v>
      </c>
      <c r="Q266">
        <v>2026</v>
      </c>
      <c r="R266">
        <v>2041</v>
      </c>
      <c r="S266" t="s">
        <v>444</v>
      </c>
      <c r="T266">
        <v>2036</v>
      </c>
      <c r="U266">
        <v>43.75</v>
      </c>
      <c r="V266">
        <v>1</v>
      </c>
      <c r="W266">
        <v>2036</v>
      </c>
      <c r="X266">
        <v>10</v>
      </c>
      <c r="Y266">
        <v>2036</v>
      </c>
      <c r="Z266">
        <v>1</v>
      </c>
      <c r="AA266">
        <v>120</v>
      </c>
      <c r="AB266">
        <v>180</v>
      </c>
      <c r="AC266">
        <v>120</v>
      </c>
      <c r="AD266">
        <v>180</v>
      </c>
      <c r="AE266">
        <v>0</v>
      </c>
      <c r="AF266">
        <v>0</v>
      </c>
      <c r="AG266">
        <v>120</v>
      </c>
      <c r="AH266">
        <v>180</v>
      </c>
      <c r="AI266">
        <v>1</v>
      </c>
      <c r="AJ266">
        <v>2.944</v>
      </c>
      <c r="AK266">
        <v>2037</v>
      </c>
      <c r="AL266" s="61">
        <v>3.036</v>
      </c>
      <c r="AM266" s="61">
        <v>2.944</v>
      </c>
      <c r="AN266" s="61">
        <v>3.036</v>
      </c>
      <c r="AO266">
        <v>1.2984025298030446</v>
      </c>
      <c r="AP266">
        <v>1.0303246971701443</v>
      </c>
      <c r="AQ266">
        <v>1.3377761933242711</v>
      </c>
      <c r="AR266" t="b">
        <v>0</v>
      </c>
      <c r="AS266">
        <v>89.701102919023555</v>
      </c>
      <c r="AT266">
        <v>134.55165437853535</v>
      </c>
      <c r="AU266">
        <v>112.12637864877945</v>
      </c>
    </row>
    <row r="267" spans="1:47" x14ac:dyDescent="0.25">
      <c r="A267" t="s">
        <v>357</v>
      </c>
      <c r="B267" t="s">
        <v>463</v>
      </c>
      <c r="C267" t="s">
        <v>320</v>
      </c>
      <c r="D267">
        <v>2026</v>
      </c>
      <c r="E267">
        <v>0</v>
      </c>
      <c r="F267">
        <v>15</v>
      </c>
      <c r="G267">
        <v>0</v>
      </c>
      <c r="H267">
        <v>0</v>
      </c>
      <c r="I267">
        <v>30</v>
      </c>
      <c r="J267">
        <v>45</v>
      </c>
      <c r="K267">
        <v>4</v>
      </c>
      <c r="L267">
        <v>2</v>
      </c>
      <c r="M267">
        <v>20</v>
      </c>
      <c r="N267">
        <v>0</v>
      </c>
      <c r="O267" t="s">
        <v>27</v>
      </c>
      <c r="P267" t="s">
        <v>443</v>
      </c>
      <c r="Q267">
        <v>2026</v>
      </c>
      <c r="R267">
        <v>2041</v>
      </c>
      <c r="S267" t="s">
        <v>444</v>
      </c>
      <c r="T267">
        <v>2037</v>
      </c>
      <c r="U267">
        <v>44.75</v>
      </c>
      <c r="V267">
        <v>1</v>
      </c>
      <c r="W267">
        <v>2037</v>
      </c>
      <c r="X267">
        <v>11</v>
      </c>
      <c r="Y267">
        <v>2037</v>
      </c>
      <c r="Z267">
        <v>1</v>
      </c>
      <c r="AA267">
        <v>120</v>
      </c>
      <c r="AB267">
        <v>180</v>
      </c>
      <c r="AC267">
        <v>120</v>
      </c>
      <c r="AD267">
        <v>180</v>
      </c>
      <c r="AE267">
        <v>0</v>
      </c>
      <c r="AF267">
        <v>0</v>
      </c>
      <c r="AG267">
        <v>120</v>
      </c>
      <c r="AH267">
        <v>180</v>
      </c>
      <c r="AI267">
        <v>1</v>
      </c>
      <c r="AJ267">
        <v>3.036</v>
      </c>
      <c r="AK267">
        <v>2038</v>
      </c>
      <c r="AL267" s="61">
        <v>3.1339999999999999</v>
      </c>
      <c r="AM267" s="61">
        <v>3.036</v>
      </c>
      <c r="AN267" s="61">
        <v>3.1339999999999999</v>
      </c>
      <c r="AO267">
        <v>1.3486209574989538</v>
      </c>
      <c r="AP267">
        <v>1.0313023937742947</v>
      </c>
      <c r="AQ267">
        <v>1.3908360217628524</v>
      </c>
      <c r="AR267" t="b">
        <v>0</v>
      </c>
      <c r="AS267">
        <v>86.279042333044259</v>
      </c>
      <c r="AT267">
        <v>129.41856349956637</v>
      </c>
      <c r="AU267">
        <v>107.84880291630532</v>
      </c>
    </row>
    <row r="268" spans="1:47" x14ac:dyDescent="0.25">
      <c r="A268" t="s">
        <v>357</v>
      </c>
      <c r="B268" t="s">
        <v>463</v>
      </c>
      <c r="C268" t="s">
        <v>320</v>
      </c>
      <c r="D268">
        <v>2026</v>
      </c>
      <c r="E268">
        <v>0</v>
      </c>
      <c r="F268">
        <v>15</v>
      </c>
      <c r="G268">
        <v>0</v>
      </c>
      <c r="H268">
        <v>0</v>
      </c>
      <c r="I268">
        <v>30</v>
      </c>
      <c r="J268">
        <v>45</v>
      </c>
      <c r="K268">
        <v>4</v>
      </c>
      <c r="L268">
        <v>2</v>
      </c>
      <c r="M268">
        <v>20</v>
      </c>
      <c r="N268">
        <v>0</v>
      </c>
      <c r="O268" t="s">
        <v>27</v>
      </c>
      <c r="P268" t="s">
        <v>443</v>
      </c>
      <c r="Q268">
        <v>2026</v>
      </c>
      <c r="R268">
        <v>2041</v>
      </c>
      <c r="S268" t="s">
        <v>444</v>
      </c>
      <c r="T268">
        <v>2038</v>
      </c>
      <c r="U268">
        <v>45.75</v>
      </c>
      <c r="V268">
        <v>1</v>
      </c>
      <c r="W268">
        <v>2038</v>
      </c>
      <c r="X268">
        <v>12</v>
      </c>
      <c r="Y268">
        <v>2038</v>
      </c>
      <c r="Z268">
        <v>1</v>
      </c>
      <c r="AA268">
        <v>120</v>
      </c>
      <c r="AB268">
        <v>180</v>
      </c>
      <c r="AC268">
        <v>120</v>
      </c>
      <c r="AD268">
        <v>180</v>
      </c>
      <c r="AE268">
        <v>0</v>
      </c>
      <c r="AF268">
        <v>0</v>
      </c>
      <c r="AG268">
        <v>120</v>
      </c>
      <c r="AH268">
        <v>180</v>
      </c>
      <c r="AI268">
        <v>1</v>
      </c>
      <c r="AJ268">
        <v>3.1339999999999999</v>
      </c>
      <c r="AK268">
        <v>2039</v>
      </c>
      <c r="AL268" s="61">
        <v>3.2069999999999999</v>
      </c>
      <c r="AM268" s="61">
        <v>3.1339999999999999</v>
      </c>
      <c r="AN268" s="61">
        <v>3.2069999999999999</v>
      </c>
      <c r="AO268">
        <v>1.4041725591738043</v>
      </c>
      <c r="AP268">
        <v>1.0320419904729838</v>
      </c>
      <c r="AQ268">
        <v>1.4491650429372767</v>
      </c>
      <c r="AR268" t="b">
        <v>0</v>
      </c>
      <c r="AS268">
        <v>82.806303246713</v>
      </c>
      <c r="AT268">
        <v>124.20945487006951</v>
      </c>
      <c r="AU268">
        <v>103.50787905839125</v>
      </c>
    </row>
    <row r="269" spans="1:47" x14ac:dyDescent="0.25">
      <c r="A269" t="s">
        <v>357</v>
      </c>
      <c r="B269" t="s">
        <v>463</v>
      </c>
      <c r="C269" t="s">
        <v>320</v>
      </c>
      <c r="D269">
        <v>2026</v>
      </c>
      <c r="E269">
        <v>0</v>
      </c>
      <c r="F269">
        <v>15</v>
      </c>
      <c r="G269">
        <v>0</v>
      </c>
      <c r="H269">
        <v>0</v>
      </c>
      <c r="I269">
        <v>30</v>
      </c>
      <c r="J269">
        <v>45</v>
      </c>
      <c r="K269">
        <v>4</v>
      </c>
      <c r="L269">
        <v>2</v>
      </c>
      <c r="M269">
        <v>20</v>
      </c>
      <c r="N269">
        <v>0</v>
      </c>
      <c r="O269" t="s">
        <v>27</v>
      </c>
      <c r="P269" t="s">
        <v>443</v>
      </c>
      <c r="Q269">
        <v>2026</v>
      </c>
      <c r="R269">
        <v>2041</v>
      </c>
      <c r="S269" t="s">
        <v>444</v>
      </c>
      <c r="T269">
        <v>2039</v>
      </c>
      <c r="U269">
        <v>46.75</v>
      </c>
      <c r="V269">
        <v>1</v>
      </c>
      <c r="W269">
        <v>2039</v>
      </c>
      <c r="X269">
        <v>13</v>
      </c>
      <c r="Y269">
        <v>2039</v>
      </c>
      <c r="Z269">
        <v>1</v>
      </c>
      <c r="AA269">
        <v>120</v>
      </c>
      <c r="AB269">
        <v>180</v>
      </c>
      <c r="AC269">
        <v>120</v>
      </c>
      <c r="AD269">
        <v>180</v>
      </c>
      <c r="AE269">
        <v>0</v>
      </c>
      <c r="AF269">
        <v>0</v>
      </c>
      <c r="AG269">
        <v>120</v>
      </c>
      <c r="AH269">
        <v>180</v>
      </c>
      <c r="AI269">
        <v>1</v>
      </c>
      <c r="AJ269">
        <v>3.2069999999999999</v>
      </c>
      <c r="AK269">
        <v>2040</v>
      </c>
      <c r="AL269" s="61">
        <v>3.3029999999999999</v>
      </c>
      <c r="AM269" s="61">
        <v>3.2069999999999999</v>
      </c>
      <c r="AN269" s="61">
        <v>3.3029999999999999</v>
      </c>
      <c r="AO269">
        <v>1.4605278779269859</v>
      </c>
      <c r="AP269">
        <v>1.0329931616190409</v>
      </c>
      <c r="AQ269">
        <v>1.5087153102525457</v>
      </c>
      <c r="AR269" t="b">
        <v>0</v>
      </c>
      <c r="AS269">
        <v>79.537868532608087</v>
      </c>
      <c r="AT269">
        <v>119.30680279891213</v>
      </c>
      <c r="AU269">
        <v>99.422335665760102</v>
      </c>
    </row>
    <row r="270" spans="1:47" x14ac:dyDescent="0.25">
      <c r="A270" t="s">
        <v>357</v>
      </c>
      <c r="B270" t="s">
        <v>463</v>
      </c>
      <c r="C270" t="s">
        <v>320</v>
      </c>
      <c r="D270">
        <v>2026</v>
      </c>
      <c r="E270">
        <v>0</v>
      </c>
      <c r="F270">
        <v>15</v>
      </c>
      <c r="G270">
        <v>0</v>
      </c>
      <c r="H270">
        <v>0</v>
      </c>
      <c r="I270">
        <v>30</v>
      </c>
      <c r="J270">
        <v>45</v>
      </c>
      <c r="K270">
        <v>4</v>
      </c>
      <c r="L270">
        <v>2</v>
      </c>
      <c r="M270">
        <v>20</v>
      </c>
      <c r="N270">
        <v>0</v>
      </c>
      <c r="O270" t="s">
        <v>27</v>
      </c>
      <c r="P270" t="s">
        <v>443</v>
      </c>
      <c r="Q270">
        <v>2026</v>
      </c>
      <c r="R270">
        <v>2041</v>
      </c>
      <c r="S270" t="s">
        <v>444</v>
      </c>
      <c r="T270">
        <v>2040</v>
      </c>
      <c r="U270">
        <v>47.75</v>
      </c>
      <c r="V270">
        <v>1</v>
      </c>
      <c r="W270">
        <v>2040</v>
      </c>
      <c r="X270">
        <v>14</v>
      </c>
      <c r="Y270">
        <v>2040</v>
      </c>
      <c r="Z270">
        <v>1</v>
      </c>
      <c r="AA270">
        <v>120</v>
      </c>
      <c r="AB270">
        <v>180</v>
      </c>
      <c r="AC270">
        <v>120</v>
      </c>
      <c r="AD270">
        <v>180</v>
      </c>
      <c r="AE270">
        <v>0</v>
      </c>
      <c r="AF270">
        <v>0</v>
      </c>
      <c r="AG270">
        <v>120</v>
      </c>
      <c r="AH270">
        <v>180</v>
      </c>
      <c r="AI270">
        <v>1</v>
      </c>
      <c r="AJ270">
        <v>3.3029999999999999</v>
      </c>
      <c r="AK270">
        <v>2041</v>
      </c>
      <c r="AL270" s="61">
        <v>3.3559999999999999</v>
      </c>
      <c r="AM270" s="61">
        <v>3.3029999999999999</v>
      </c>
      <c r="AN270" s="61">
        <v>3.3559999999999999</v>
      </c>
      <c r="AO270">
        <v>1.5256964700083253</v>
      </c>
      <c r="AP270">
        <v>1.0335396662189136</v>
      </c>
      <c r="AQ270">
        <v>1.5768678203637791</v>
      </c>
      <c r="AR270" t="b">
        <v>0</v>
      </c>
      <c r="AS270">
        <v>76.100227584272929</v>
      </c>
      <c r="AT270">
        <v>114.1503413764094</v>
      </c>
      <c r="AU270">
        <v>95.125284480341165</v>
      </c>
    </row>
    <row r="271" spans="1:47" x14ac:dyDescent="0.25">
      <c r="A271" t="s">
        <v>357</v>
      </c>
      <c r="B271" t="s">
        <v>463</v>
      </c>
      <c r="C271" t="s">
        <v>320</v>
      </c>
      <c r="D271">
        <v>2026</v>
      </c>
      <c r="E271">
        <v>0</v>
      </c>
      <c r="M271">
        <v>20</v>
      </c>
      <c r="Q271">
        <v>2026</v>
      </c>
      <c r="R271">
        <v>2041</v>
      </c>
      <c r="T271">
        <v>2041</v>
      </c>
      <c r="U271">
        <v>48.75</v>
      </c>
      <c r="W271">
        <v>2041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L271" s="61"/>
      <c r="AS271">
        <v>0</v>
      </c>
      <c r="AT271">
        <v>0</v>
      </c>
      <c r="AU271">
        <v>0</v>
      </c>
    </row>
    <row r="272" spans="1:47" x14ac:dyDescent="0.25">
      <c r="A272" t="s">
        <v>331</v>
      </c>
      <c r="B272" t="s">
        <v>464</v>
      </c>
      <c r="C272" t="s">
        <v>319</v>
      </c>
      <c r="D272">
        <v>2026</v>
      </c>
      <c r="E272">
        <v>0</v>
      </c>
      <c r="F272">
        <v>10</v>
      </c>
      <c r="G272">
        <v>0</v>
      </c>
      <c r="H272">
        <v>0</v>
      </c>
      <c r="I272">
        <v>50</v>
      </c>
      <c r="J272">
        <v>250</v>
      </c>
      <c r="K272">
        <v>1</v>
      </c>
      <c r="L272">
        <v>1</v>
      </c>
      <c r="M272">
        <v>21</v>
      </c>
      <c r="N272">
        <v>0</v>
      </c>
      <c r="O272" t="s">
        <v>27</v>
      </c>
      <c r="P272" t="s">
        <v>443</v>
      </c>
      <c r="Q272">
        <v>2026</v>
      </c>
      <c r="R272">
        <v>2036</v>
      </c>
      <c r="S272" t="s">
        <v>444</v>
      </c>
      <c r="T272">
        <v>2026</v>
      </c>
      <c r="U272">
        <v>33.75</v>
      </c>
      <c r="V272">
        <v>1</v>
      </c>
      <c r="W272">
        <v>2026</v>
      </c>
      <c r="X272">
        <v>0</v>
      </c>
      <c r="Y272">
        <v>2026</v>
      </c>
      <c r="Z272">
        <v>1</v>
      </c>
      <c r="AA272">
        <v>50</v>
      </c>
      <c r="AB272">
        <v>250</v>
      </c>
      <c r="AC272">
        <v>50</v>
      </c>
      <c r="AD272">
        <v>250</v>
      </c>
      <c r="AE272">
        <v>0</v>
      </c>
      <c r="AF272">
        <v>0</v>
      </c>
      <c r="AG272">
        <v>50</v>
      </c>
      <c r="AH272">
        <v>250</v>
      </c>
      <c r="AI272">
        <v>1</v>
      </c>
      <c r="AK272">
        <v>2027</v>
      </c>
      <c r="AL272" s="61">
        <v>2.4329999999999998</v>
      </c>
      <c r="AM272" s="61">
        <v>0</v>
      </c>
      <c r="AN272" s="61">
        <v>2.4329999999999998</v>
      </c>
      <c r="AO272">
        <v>1</v>
      </c>
      <c r="AP272">
        <v>1.023385968321771</v>
      </c>
      <c r="AQ272">
        <v>1.023385968321771</v>
      </c>
      <c r="AR272" t="b">
        <v>1</v>
      </c>
      <c r="AS272">
        <v>50</v>
      </c>
      <c r="AT272">
        <v>250</v>
      </c>
      <c r="AU272">
        <v>150</v>
      </c>
    </row>
    <row r="273" spans="1:47" x14ac:dyDescent="0.25">
      <c r="A273" t="s">
        <v>331</v>
      </c>
      <c r="B273" t="s">
        <v>464</v>
      </c>
      <c r="C273" t="s">
        <v>319</v>
      </c>
      <c r="D273">
        <v>2026</v>
      </c>
      <c r="E273">
        <v>0</v>
      </c>
      <c r="F273">
        <v>10</v>
      </c>
      <c r="G273">
        <v>0</v>
      </c>
      <c r="H273">
        <v>0</v>
      </c>
      <c r="I273">
        <v>50</v>
      </c>
      <c r="J273">
        <v>250</v>
      </c>
      <c r="K273">
        <v>1</v>
      </c>
      <c r="L273">
        <v>1</v>
      </c>
      <c r="M273">
        <v>21</v>
      </c>
      <c r="N273">
        <v>0</v>
      </c>
      <c r="O273" t="s">
        <v>27</v>
      </c>
      <c r="P273" t="s">
        <v>443</v>
      </c>
      <c r="Q273">
        <v>2026</v>
      </c>
      <c r="R273">
        <v>2036</v>
      </c>
      <c r="S273" t="s">
        <v>444</v>
      </c>
      <c r="T273">
        <v>2027</v>
      </c>
      <c r="U273">
        <v>34.75</v>
      </c>
      <c r="V273">
        <v>1</v>
      </c>
      <c r="W273">
        <v>2027</v>
      </c>
      <c r="X273">
        <v>1</v>
      </c>
      <c r="Y273">
        <v>2027</v>
      </c>
      <c r="Z273">
        <v>1</v>
      </c>
      <c r="AA273">
        <v>50</v>
      </c>
      <c r="AB273">
        <v>250</v>
      </c>
      <c r="AC273">
        <v>50</v>
      </c>
      <c r="AD273">
        <v>250</v>
      </c>
      <c r="AE273">
        <v>0</v>
      </c>
      <c r="AF273">
        <v>0</v>
      </c>
      <c r="AG273">
        <v>50</v>
      </c>
      <c r="AH273">
        <v>250</v>
      </c>
      <c r="AI273">
        <v>1</v>
      </c>
      <c r="AJ273">
        <v>2.4329999999999998</v>
      </c>
      <c r="AK273">
        <v>2028</v>
      </c>
      <c r="AL273" s="61">
        <v>2.4220000000000002</v>
      </c>
      <c r="AM273" s="61">
        <v>2.4329999999999998</v>
      </c>
      <c r="AN273" s="61">
        <v>2.4220000000000002</v>
      </c>
      <c r="AO273">
        <v>1</v>
      </c>
      <c r="AP273">
        <v>1.0242242189602202</v>
      </c>
      <c r="AQ273">
        <v>1.0242242189602202</v>
      </c>
      <c r="AR273" t="b">
        <v>0</v>
      </c>
      <c r="AS273">
        <v>48.817435747379008</v>
      </c>
      <c r="AT273">
        <v>244.08717873689505</v>
      </c>
      <c r="AU273">
        <v>146.45230724213704</v>
      </c>
    </row>
    <row r="274" spans="1:47" x14ac:dyDescent="0.25">
      <c r="A274" t="s">
        <v>331</v>
      </c>
      <c r="B274" t="s">
        <v>464</v>
      </c>
      <c r="C274" t="s">
        <v>319</v>
      </c>
      <c r="D274">
        <v>2026</v>
      </c>
      <c r="E274">
        <v>0</v>
      </c>
      <c r="F274">
        <v>10</v>
      </c>
      <c r="G274">
        <v>0</v>
      </c>
      <c r="H274">
        <v>0</v>
      </c>
      <c r="I274">
        <v>50</v>
      </c>
      <c r="J274">
        <v>250</v>
      </c>
      <c r="K274">
        <v>1</v>
      </c>
      <c r="L274">
        <v>1</v>
      </c>
      <c r="M274">
        <v>21</v>
      </c>
      <c r="N274">
        <v>0</v>
      </c>
      <c r="O274" t="s">
        <v>27</v>
      </c>
      <c r="P274" t="s">
        <v>443</v>
      </c>
      <c r="Q274">
        <v>2026</v>
      </c>
      <c r="R274">
        <v>2036</v>
      </c>
      <c r="S274" t="s">
        <v>444</v>
      </c>
      <c r="T274">
        <v>2028</v>
      </c>
      <c r="U274">
        <v>35.75</v>
      </c>
      <c r="V274">
        <v>1</v>
      </c>
      <c r="W274">
        <v>2028</v>
      </c>
      <c r="X274">
        <v>2</v>
      </c>
      <c r="Y274">
        <v>2028</v>
      </c>
      <c r="Z274">
        <v>1</v>
      </c>
      <c r="AA274">
        <v>50</v>
      </c>
      <c r="AB274">
        <v>250</v>
      </c>
      <c r="AC274">
        <v>50</v>
      </c>
      <c r="AD274">
        <v>250</v>
      </c>
      <c r="AE274">
        <v>0</v>
      </c>
      <c r="AF274">
        <v>0</v>
      </c>
      <c r="AG274">
        <v>50</v>
      </c>
      <c r="AH274">
        <v>250</v>
      </c>
      <c r="AI274">
        <v>1</v>
      </c>
      <c r="AJ274">
        <v>2.4220000000000002</v>
      </c>
      <c r="AK274">
        <v>2029</v>
      </c>
      <c r="AL274" s="61">
        <v>2.4209999999999998</v>
      </c>
      <c r="AM274" s="61">
        <v>2.4220000000000002</v>
      </c>
      <c r="AN274" s="61">
        <v>2.4209999999999998</v>
      </c>
      <c r="AO274">
        <v>1.0242199999999999</v>
      </c>
      <c r="AP274">
        <v>1.0242103835598433</v>
      </c>
      <c r="AQ274">
        <v>1.0490167590496626</v>
      </c>
      <c r="AR274" t="b">
        <v>0</v>
      </c>
      <c r="AS274">
        <v>47.66368084080618</v>
      </c>
      <c r="AT274">
        <v>238.31840420403091</v>
      </c>
      <c r="AU274">
        <v>142.99104252241855</v>
      </c>
    </row>
    <row r="275" spans="1:47" x14ac:dyDescent="0.25">
      <c r="A275" t="s">
        <v>331</v>
      </c>
      <c r="B275" t="s">
        <v>464</v>
      </c>
      <c r="C275" t="s">
        <v>319</v>
      </c>
      <c r="D275">
        <v>2026</v>
      </c>
      <c r="E275">
        <v>0</v>
      </c>
      <c r="F275">
        <v>10</v>
      </c>
      <c r="G275">
        <v>0</v>
      </c>
      <c r="H275">
        <v>0</v>
      </c>
      <c r="I275">
        <v>50</v>
      </c>
      <c r="J275">
        <v>250</v>
      </c>
      <c r="K275">
        <v>1</v>
      </c>
      <c r="L275">
        <v>1</v>
      </c>
      <c r="M275">
        <v>21</v>
      </c>
      <c r="N275">
        <v>0</v>
      </c>
      <c r="O275" t="s">
        <v>27</v>
      </c>
      <c r="P275" t="s">
        <v>443</v>
      </c>
      <c r="Q275">
        <v>2026</v>
      </c>
      <c r="R275">
        <v>2036</v>
      </c>
      <c r="S275" t="s">
        <v>444</v>
      </c>
      <c r="T275">
        <v>2029</v>
      </c>
      <c r="U275">
        <v>36.75</v>
      </c>
      <c r="V275">
        <v>1</v>
      </c>
      <c r="W275">
        <v>2029</v>
      </c>
      <c r="X275">
        <v>3</v>
      </c>
      <c r="Y275">
        <v>2029</v>
      </c>
      <c r="Z275">
        <v>1</v>
      </c>
      <c r="AA275">
        <v>50</v>
      </c>
      <c r="AB275">
        <v>250</v>
      </c>
      <c r="AC275">
        <v>50</v>
      </c>
      <c r="AD275">
        <v>250</v>
      </c>
      <c r="AE275">
        <v>0</v>
      </c>
      <c r="AF275">
        <v>0</v>
      </c>
      <c r="AG275">
        <v>50</v>
      </c>
      <c r="AH275">
        <v>250</v>
      </c>
      <c r="AI275">
        <v>1</v>
      </c>
      <c r="AJ275">
        <v>2.4209999999999998</v>
      </c>
      <c r="AK275">
        <v>2030</v>
      </c>
      <c r="AL275" s="61">
        <v>2.4670000000000001</v>
      </c>
      <c r="AM275" s="61">
        <v>2.4209999999999998</v>
      </c>
      <c r="AN275" s="61">
        <v>2.4670000000000001</v>
      </c>
      <c r="AO275">
        <v>1.0490061241000002</v>
      </c>
      <c r="AP275">
        <v>1.0246523523547908</v>
      </c>
      <c r="AQ275">
        <v>1.0748665926936467</v>
      </c>
      <c r="AR275" t="b">
        <v>0</v>
      </c>
      <c r="AS275">
        <v>46.517400708025129</v>
      </c>
      <c r="AT275">
        <v>232.58700354012564</v>
      </c>
      <c r="AU275">
        <v>139.55220212407539</v>
      </c>
    </row>
    <row r="276" spans="1:47" x14ac:dyDescent="0.25">
      <c r="A276" t="s">
        <v>331</v>
      </c>
      <c r="B276" t="s">
        <v>464</v>
      </c>
      <c r="C276" t="s">
        <v>319</v>
      </c>
      <c r="D276">
        <v>2026</v>
      </c>
      <c r="E276">
        <v>0</v>
      </c>
      <c r="F276">
        <v>10</v>
      </c>
      <c r="G276">
        <v>0</v>
      </c>
      <c r="H276">
        <v>0</v>
      </c>
      <c r="I276">
        <v>50</v>
      </c>
      <c r="J276">
        <v>250</v>
      </c>
      <c r="K276">
        <v>1</v>
      </c>
      <c r="L276">
        <v>1</v>
      </c>
      <c r="M276">
        <v>21</v>
      </c>
      <c r="N276">
        <v>0</v>
      </c>
      <c r="O276" t="s">
        <v>27</v>
      </c>
      <c r="P276" t="s">
        <v>443</v>
      </c>
      <c r="Q276">
        <v>2026</v>
      </c>
      <c r="R276">
        <v>2036</v>
      </c>
      <c r="S276" t="s">
        <v>444</v>
      </c>
      <c r="T276">
        <v>2030</v>
      </c>
      <c r="U276">
        <v>37.75</v>
      </c>
      <c r="V276">
        <v>1</v>
      </c>
      <c r="W276">
        <v>2030</v>
      </c>
      <c r="X276">
        <v>4</v>
      </c>
      <c r="Y276">
        <v>2030</v>
      </c>
      <c r="Z276">
        <v>1</v>
      </c>
      <c r="AA276">
        <v>50</v>
      </c>
      <c r="AB276">
        <v>250</v>
      </c>
      <c r="AC276">
        <v>50</v>
      </c>
      <c r="AD276">
        <v>250</v>
      </c>
      <c r="AE276">
        <v>0</v>
      </c>
      <c r="AF276">
        <v>0</v>
      </c>
      <c r="AG276">
        <v>50</v>
      </c>
      <c r="AH276">
        <v>250</v>
      </c>
      <c r="AI276">
        <v>1</v>
      </c>
      <c r="AJ276">
        <v>2.4670000000000001</v>
      </c>
      <c r="AK276">
        <v>2031</v>
      </c>
      <c r="AL276" s="61">
        <v>2.5169999999999999</v>
      </c>
      <c r="AM276" s="61">
        <v>2.4670000000000001</v>
      </c>
      <c r="AN276" s="61">
        <v>2.5169999999999999</v>
      </c>
      <c r="AO276">
        <v>1.0758508410815628</v>
      </c>
      <c r="AP276">
        <v>1.0251508174189523</v>
      </c>
      <c r="AQ276">
        <v>1.1029093691556315</v>
      </c>
      <c r="AR276" t="b">
        <v>0</v>
      </c>
      <c r="AS276">
        <v>45.334640722364284</v>
      </c>
      <c r="AT276">
        <v>226.67320361182144</v>
      </c>
      <c r="AU276">
        <v>136.00392216709287</v>
      </c>
    </row>
    <row r="277" spans="1:47" x14ac:dyDescent="0.25">
      <c r="A277" t="s">
        <v>331</v>
      </c>
      <c r="B277" t="s">
        <v>464</v>
      </c>
      <c r="C277" t="s">
        <v>319</v>
      </c>
      <c r="D277">
        <v>2026</v>
      </c>
      <c r="E277">
        <v>0</v>
      </c>
      <c r="F277">
        <v>10</v>
      </c>
      <c r="G277">
        <v>0</v>
      </c>
      <c r="H277">
        <v>0</v>
      </c>
      <c r="I277">
        <v>50</v>
      </c>
      <c r="J277">
        <v>250</v>
      </c>
      <c r="K277">
        <v>1</v>
      </c>
      <c r="L277">
        <v>1</v>
      </c>
      <c r="M277">
        <v>21</v>
      </c>
      <c r="N277">
        <v>0</v>
      </c>
      <c r="O277" t="s">
        <v>27</v>
      </c>
      <c r="P277" t="s">
        <v>443</v>
      </c>
      <c r="Q277">
        <v>2026</v>
      </c>
      <c r="R277">
        <v>2036</v>
      </c>
      <c r="S277" t="s">
        <v>444</v>
      </c>
      <c r="T277">
        <v>2031</v>
      </c>
      <c r="U277">
        <v>38.75</v>
      </c>
      <c r="V277">
        <v>1</v>
      </c>
      <c r="W277">
        <v>2031</v>
      </c>
      <c r="X277">
        <v>5</v>
      </c>
      <c r="Y277">
        <v>2031</v>
      </c>
      <c r="Z277">
        <v>1</v>
      </c>
      <c r="AA277">
        <v>50</v>
      </c>
      <c r="AB277">
        <v>250</v>
      </c>
      <c r="AC277">
        <v>50</v>
      </c>
      <c r="AD277">
        <v>250</v>
      </c>
      <c r="AE277">
        <v>0</v>
      </c>
      <c r="AF277">
        <v>0</v>
      </c>
      <c r="AG277">
        <v>50</v>
      </c>
      <c r="AH277">
        <v>250</v>
      </c>
      <c r="AI277">
        <v>1</v>
      </c>
      <c r="AJ277">
        <v>2.5169999999999999</v>
      </c>
      <c r="AK277">
        <v>2032</v>
      </c>
      <c r="AL277" s="61">
        <v>2.59</v>
      </c>
      <c r="AM277" s="61">
        <v>2.5169999999999999</v>
      </c>
      <c r="AN277" s="61">
        <v>2.59</v>
      </c>
      <c r="AO277">
        <v>1.1045453584485188</v>
      </c>
      <c r="AP277">
        <v>1.0258719904156592</v>
      </c>
      <c r="AQ277">
        <v>1.1331221453759597</v>
      </c>
      <c r="AR277" t="b">
        <v>0</v>
      </c>
      <c r="AS277">
        <v>44.125869575526167</v>
      </c>
      <c r="AT277">
        <v>220.62934787763083</v>
      </c>
      <c r="AU277">
        <v>132.3776087265785</v>
      </c>
    </row>
    <row r="278" spans="1:47" x14ac:dyDescent="0.25">
      <c r="A278" t="s">
        <v>331</v>
      </c>
      <c r="B278" t="s">
        <v>464</v>
      </c>
      <c r="C278" t="s">
        <v>319</v>
      </c>
      <c r="D278">
        <v>2026</v>
      </c>
      <c r="E278">
        <v>0</v>
      </c>
      <c r="F278">
        <v>10</v>
      </c>
      <c r="G278">
        <v>0</v>
      </c>
      <c r="H278">
        <v>0</v>
      </c>
      <c r="I278">
        <v>50</v>
      </c>
      <c r="J278">
        <v>250</v>
      </c>
      <c r="K278">
        <v>1</v>
      </c>
      <c r="L278">
        <v>1</v>
      </c>
      <c r="M278">
        <v>21</v>
      </c>
      <c r="N278">
        <v>0</v>
      </c>
      <c r="O278" t="s">
        <v>27</v>
      </c>
      <c r="P278" t="s">
        <v>443</v>
      </c>
      <c r="Q278">
        <v>2026</v>
      </c>
      <c r="R278">
        <v>2036</v>
      </c>
      <c r="S278" t="s">
        <v>444</v>
      </c>
      <c r="T278">
        <v>2032</v>
      </c>
      <c r="U278">
        <v>39.75</v>
      </c>
      <c r="V278">
        <v>1</v>
      </c>
      <c r="W278">
        <v>2032</v>
      </c>
      <c r="X278">
        <v>6</v>
      </c>
      <c r="Y278">
        <v>2032</v>
      </c>
      <c r="Z278">
        <v>1</v>
      </c>
      <c r="AA278">
        <v>50</v>
      </c>
      <c r="AB278">
        <v>250</v>
      </c>
      <c r="AC278">
        <v>50</v>
      </c>
      <c r="AD278">
        <v>250</v>
      </c>
      <c r="AE278">
        <v>0</v>
      </c>
      <c r="AF278">
        <v>0</v>
      </c>
      <c r="AG278">
        <v>50</v>
      </c>
      <c r="AH278">
        <v>250</v>
      </c>
      <c r="AI278">
        <v>1</v>
      </c>
      <c r="AJ278">
        <v>2.59</v>
      </c>
      <c r="AK278">
        <v>2033</v>
      </c>
      <c r="AL278" s="61">
        <v>2.6880000000000002</v>
      </c>
      <c r="AM278" s="61">
        <v>2.59</v>
      </c>
      <c r="AN278" s="61">
        <v>2.6880000000000002</v>
      </c>
      <c r="AO278">
        <v>1.1363841013749196</v>
      </c>
      <c r="AP278">
        <v>1.0268423936996114</v>
      </c>
      <c r="AQ278">
        <v>1.1668873708180043</v>
      </c>
      <c r="AR278" t="b">
        <v>0</v>
      </c>
      <c r="AS278">
        <v>42.849036891151975</v>
      </c>
      <c r="AT278">
        <v>214.24518445575987</v>
      </c>
      <c r="AU278">
        <v>128.54711067345593</v>
      </c>
    </row>
    <row r="279" spans="1:47" x14ac:dyDescent="0.25">
      <c r="A279" t="s">
        <v>331</v>
      </c>
      <c r="B279" t="s">
        <v>464</v>
      </c>
      <c r="C279" t="s">
        <v>319</v>
      </c>
      <c r="D279">
        <v>2026</v>
      </c>
      <c r="E279">
        <v>0</v>
      </c>
      <c r="F279">
        <v>10</v>
      </c>
      <c r="G279">
        <v>0</v>
      </c>
      <c r="H279">
        <v>0</v>
      </c>
      <c r="I279">
        <v>50</v>
      </c>
      <c r="J279">
        <v>250</v>
      </c>
      <c r="K279">
        <v>1</v>
      </c>
      <c r="L279">
        <v>1</v>
      </c>
      <c r="M279">
        <v>21</v>
      </c>
      <c r="N279">
        <v>0</v>
      </c>
      <c r="O279" t="s">
        <v>27</v>
      </c>
      <c r="P279" t="s">
        <v>443</v>
      </c>
      <c r="Q279">
        <v>2026</v>
      </c>
      <c r="R279">
        <v>2036</v>
      </c>
      <c r="S279" t="s">
        <v>444</v>
      </c>
      <c r="T279">
        <v>2033</v>
      </c>
      <c r="U279">
        <v>40.75</v>
      </c>
      <c r="V279">
        <v>1</v>
      </c>
      <c r="W279">
        <v>2033</v>
      </c>
      <c r="X279">
        <v>7</v>
      </c>
      <c r="Y279">
        <v>2033</v>
      </c>
      <c r="Z279">
        <v>1</v>
      </c>
      <c r="AA279">
        <v>50</v>
      </c>
      <c r="AB279">
        <v>250</v>
      </c>
      <c r="AC279">
        <v>50</v>
      </c>
      <c r="AD279">
        <v>250</v>
      </c>
      <c r="AE279">
        <v>0</v>
      </c>
      <c r="AF279">
        <v>0</v>
      </c>
      <c r="AG279">
        <v>50</v>
      </c>
      <c r="AH279">
        <v>250</v>
      </c>
      <c r="AI279">
        <v>1</v>
      </c>
      <c r="AJ279">
        <v>2.6880000000000002</v>
      </c>
      <c r="AK279">
        <v>2034</v>
      </c>
      <c r="AL279" s="61">
        <v>2.7519999999999998</v>
      </c>
      <c r="AM279" s="61">
        <v>2.6880000000000002</v>
      </c>
      <c r="AN279" s="61">
        <v>2.7519999999999998</v>
      </c>
      <c r="AO279">
        <v>1.1725143659072164</v>
      </c>
      <c r="AP279">
        <v>1.0274954447000768</v>
      </c>
      <c r="AQ279">
        <v>1.2047531698150638</v>
      </c>
      <c r="AR279" t="b">
        <v>0</v>
      </c>
      <c r="AS279">
        <v>41.502277190667428</v>
      </c>
      <c r="AT279">
        <v>207.51138595333714</v>
      </c>
      <c r="AU279">
        <v>124.50683157200228</v>
      </c>
    </row>
    <row r="280" spans="1:47" x14ac:dyDescent="0.25">
      <c r="A280" t="s">
        <v>331</v>
      </c>
      <c r="B280" t="s">
        <v>464</v>
      </c>
      <c r="C280" t="s">
        <v>319</v>
      </c>
      <c r="D280">
        <v>2026</v>
      </c>
      <c r="E280">
        <v>0</v>
      </c>
      <c r="F280">
        <v>10</v>
      </c>
      <c r="G280">
        <v>0</v>
      </c>
      <c r="H280">
        <v>0</v>
      </c>
      <c r="I280">
        <v>50</v>
      </c>
      <c r="J280">
        <v>250</v>
      </c>
      <c r="K280">
        <v>1</v>
      </c>
      <c r="L280">
        <v>1</v>
      </c>
      <c r="M280">
        <v>21</v>
      </c>
      <c r="N280">
        <v>0</v>
      </c>
      <c r="O280" t="s">
        <v>27</v>
      </c>
      <c r="P280" t="s">
        <v>443</v>
      </c>
      <c r="Q280">
        <v>2026</v>
      </c>
      <c r="R280">
        <v>2036</v>
      </c>
      <c r="S280" t="s">
        <v>444</v>
      </c>
      <c r="T280">
        <v>2034</v>
      </c>
      <c r="U280">
        <v>41.75</v>
      </c>
      <c r="V280">
        <v>1</v>
      </c>
      <c r="W280">
        <v>2034</v>
      </c>
      <c r="X280">
        <v>8</v>
      </c>
      <c r="Y280">
        <v>2034</v>
      </c>
      <c r="Z280">
        <v>1</v>
      </c>
      <c r="AA280">
        <v>50</v>
      </c>
      <c r="AB280">
        <v>250</v>
      </c>
      <c r="AC280">
        <v>50</v>
      </c>
      <c r="AD280">
        <v>250</v>
      </c>
      <c r="AE280">
        <v>0</v>
      </c>
      <c r="AF280">
        <v>0</v>
      </c>
      <c r="AG280">
        <v>50</v>
      </c>
      <c r="AH280">
        <v>250</v>
      </c>
      <c r="AI280">
        <v>1</v>
      </c>
      <c r="AJ280">
        <v>2.7519999999999998</v>
      </c>
      <c r="AK280">
        <v>2035</v>
      </c>
      <c r="AL280" s="61">
        <v>2.8420000000000001</v>
      </c>
      <c r="AM280" s="61">
        <v>2.7519999999999998</v>
      </c>
      <c r="AN280" s="61">
        <v>2.8420000000000001</v>
      </c>
      <c r="AO280">
        <v>1.2092942481281721</v>
      </c>
      <c r="AP280">
        <v>1.0283854649181425</v>
      </c>
      <c r="AQ280">
        <v>1.2436206275841259</v>
      </c>
      <c r="AR280" t="b">
        <v>0</v>
      </c>
      <c r="AS280">
        <v>40.205187089193487</v>
      </c>
      <c r="AT280">
        <v>201.02593544596743</v>
      </c>
      <c r="AU280">
        <v>120.61556126758046</v>
      </c>
    </row>
    <row r="281" spans="1:47" x14ac:dyDescent="0.25">
      <c r="A281" t="s">
        <v>331</v>
      </c>
      <c r="B281" t="s">
        <v>464</v>
      </c>
      <c r="C281" t="s">
        <v>319</v>
      </c>
      <c r="D281">
        <v>2026</v>
      </c>
      <c r="E281">
        <v>0</v>
      </c>
      <c r="F281">
        <v>10</v>
      </c>
      <c r="G281">
        <v>0</v>
      </c>
      <c r="H281">
        <v>0</v>
      </c>
      <c r="I281">
        <v>50</v>
      </c>
      <c r="J281">
        <v>250</v>
      </c>
      <c r="K281">
        <v>1</v>
      </c>
      <c r="L281">
        <v>1</v>
      </c>
      <c r="M281">
        <v>21</v>
      </c>
      <c r="N281">
        <v>0</v>
      </c>
      <c r="O281" t="s">
        <v>27</v>
      </c>
      <c r="P281" t="s">
        <v>443</v>
      </c>
      <c r="Q281">
        <v>2026</v>
      </c>
      <c r="R281">
        <v>2036</v>
      </c>
      <c r="S281" t="s">
        <v>444</v>
      </c>
      <c r="T281">
        <v>2035</v>
      </c>
      <c r="U281">
        <v>42.75</v>
      </c>
      <c r="V281">
        <v>1</v>
      </c>
      <c r="W281">
        <v>2035</v>
      </c>
      <c r="X281">
        <v>9</v>
      </c>
      <c r="Y281">
        <v>2035</v>
      </c>
      <c r="Z281">
        <v>1</v>
      </c>
      <c r="AA281">
        <v>50</v>
      </c>
      <c r="AB281">
        <v>250</v>
      </c>
      <c r="AC281">
        <v>50</v>
      </c>
      <c r="AD281">
        <v>250</v>
      </c>
      <c r="AE281">
        <v>0</v>
      </c>
      <c r="AF281">
        <v>0</v>
      </c>
      <c r="AG281">
        <v>50</v>
      </c>
      <c r="AH281">
        <v>250</v>
      </c>
      <c r="AI281">
        <v>1</v>
      </c>
      <c r="AJ281">
        <v>2.8420000000000001</v>
      </c>
      <c r="AK281">
        <v>2036</v>
      </c>
      <c r="AL281" s="61">
        <v>2.944</v>
      </c>
      <c r="AM281" s="61">
        <v>2.8420000000000001</v>
      </c>
      <c r="AN281" s="61">
        <v>2.944</v>
      </c>
      <c r="AO281">
        <v>1.2513076834571593</v>
      </c>
      <c r="AP281">
        <v>1.0294008580614105</v>
      </c>
      <c r="AQ281">
        <v>1.2880972030496356</v>
      </c>
      <c r="AR281" t="b">
        <v>0</v>
      </c>
      <c r="AS281">
        <v>38.816946331086243</v>
      </c>
      <c r="AT281">
        <v>194.0847316554312</v>
      </c>
      <c r="AU281">
        <v>116.45083899325871</v>
      </c>
    </row>
    <row r="282" spans="1:47" x14ac:dyDescent="0.25">
      <c r="A282" t="s">
        <v>331</v>
      </c>
      <c r="B282" t="s">
        <v>464</v>
      </c>
      <c r="C282" t="s">
        <v>319</v>
      </c>
      <c r="D282">
        <v>2026</v>
      </c>
      <c r="E282">
        <v>0</v>
      </c>
      <c r="M282">
        <v>21</v>
      </c>
      <c r="Q282">
        <v>2026</v>
      </c>
      <c r="R282">
        <v>2036</v>
      </c>
      <c r="T282">
        <v>2036</v>
      </c>
      <c r="U282">
        <v>43.75</v>
      </c>
      <c r="W282">
        <v>2036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L282" s="61"/>
      <c r="AS282">
        <v>0</v>
      </c>
      <c r="AT282">
        <v>0</v>
      </c>
      <c r="AU282">
        <v>0</v>
      </c>
    </row>
    <row r="283" spans="1:47" x14ac:dyDescent="0.25">
      <c r="A283" t="s">
        <v>358</v>
      </c>
      <c r="B283" t="s">
        <v>465</v>
      </c>
      <c r="C283" t="s">
        <v>320</v>
      </c>
      <c r="D283">
        <v>2026</v>
      </c>
      <c r="E283">
        <v>0</v>
      </c>
      <c r="F283">
        <v>15</v>
      </c>
      <c r="G283">
        <v>0</v>
      </c>
      <c r="H283">
        <v>0</v>
      </c>
      <c r="I283">
        <v>30</v>
      </c>
      <c r="J283">
        <v>45</v>
      </c>
      <c r="K283">
        <v>4</v>
      </c>
      <c r="L283">
        <v>2</v>
      </c>
      <c r="M283">
        <v>22</v>
      </c>
      <c r="N283">
        <v>0</v>
      </c>
      <c r="O283" t="s">
        <v>27</v>
      </c>
      <c r="P283" t="s">
        <v>443</v>
      </c>
      <c r="Q283">
        <v>2026</v>
      </c>
      <c r="R283">
        <v>2041</v>
      </c>
      <c r="S283" t="s">
        <v>444</v>
      </c>
      <c r="T283">
        <v>2026</v>
      </c>
      <c r="U283">
        <v>33.75</v>
      </c>
      <c r="V283">
        <v>1</v>
      </c>
      <c r="W283">
        <v>2026</v>
      </c>
      <c r="X283">
        <v>0</v>
      </c>
      <c r="Y283">
        <v>2026</v>
      </c>
      <c r="Z283">
        <v>1</v>
      </c>
      <c r="AA283">
        <v>120</v>
      </c>
      <c r="AB283">
        <v>180</v>
      </c>
      <c r="AC283">
        <v>120</v>
      </c>
      <c r="AD283">
        <v>180</v>
      </c>
      <c r="AE283">
        <v>0</v>
      </c>
      <c r="AF283">
        <v>0</v>
      </c>
      <c r="AG283">
        <v>120</v>
      </c>
      <c r="AH283">
        <v>180</v>
      </c>
      <c r="AI283">
        <v>1</v>
      </c>
      <c r="AK283">
        <v>2027</v>
      </c>
      <c r="AL283" s="61">
        <v>2.4329999999999998</v>
      </c>
      <c r="AM283" s="61">
        <v>0</v>
      </c>
      <c r="AN283" s="61">
        <v>2.4329999999999998</v>
      </c>
      <c r="AO283">
        <v>1</v>
      </c>
      <c r="AP283">
        <v>1.023385968321771</v>
      </c>
      <c r="AQ283">
        <v>1.023385968321771</v>
      </c>
      <c r="AR283" t="b">
        <v>1</v>
      </c>
      <c r="AS283">
        <v>120</v>
      </c>
      <c r="AT283">
        <v>180</v>
      </c>
      <c r="AU283">
        <v>150</v>
      </c>
    </row>
    <row r="284" spans="1:47" x14ac:dyDescent="0.25">
      <c r="A284" t="s">
        <v>358</v>
      </c>
      <c r="B284" t="s">
        <v>465</v>
      </c>
      <c r="C284" t="s">
        <v>320</v>
      </c>
      <c r="D284">
        <v>2026</v>
      </c>
      <c r="E284">
        <v>0</v>
      </c>
      <c r="F284">
        <v>15</v>
      </c>
      <c r="G284">
        <v>0</v>
      </c>
      <c r="H284">
        <v>0</v>
      </c>
      <c r="I284">
        <v>30</v>
      </c>
      <c r="J284">
        <v>45</v>
      </c>
      <c r="K284">
        <v>4</v>
      </c>
      <c r="L284">
        <v>2</v>
      </c>
      <c r="M284">
        <v>22</v>
      </c>
      <c r="N284">
        <v>0</v>
      </c>
      <c r="O284" t="s">
        <v>27</v>
      </c>
      <c r="P284" t="s">
        <v>443</v>
      </c>
      <c r="Q284">
        <v>2026</v>
      </c>
      <c r="R284">
        <v>2041</v>
      </c>
      <c r="S284" t="s">
        <v>444</v>
      </c>
      <c r="T284">
        <v>2027</v>
      </c>
      <c r="U284">
        <v>34.75</v>
      </c>
      <c r="V284">
        <v>1</v>
      </c>
      <c r="W284">
        <v>2027</v>
      </c>
      <c r="X284">
        <v>1</v>
      </c>
      <c r="Y284">
        <v>2027</v>
      </c>
      <c r="Z284">
        <v>1</v>
      </c>
      <c r="AA284">
        <v>120</v>
      </c>
      <c r="AB284">
        <v>180</v>
      </c>
      <c r="AC284">
        <v>120</v>
      </c>
      <c r="AD284">
        <v>180</v>
      </c>
      <c r="AE284">
        <v>0</v>
      </c>
      <c r="AF284">
        <v>0</v>
      </c>
      <c r="AG284">
        <v>120</v>
      </c>
      <c r="AH284">
        <v>180</v>
      </c>
      <c r="AI284">
        <v>1</v>
      </c>
      <c r="AJ284">
        <v>2.4329999999999998</v>
      </c>
      <c r="AK284">
        <v>2028</v>
      </c>
      <c r="AL284" s="61">
        <v>2.4220000000000002</v>
      </c>
      <c r="AM284" s="61">
        <v>2.4329999999999998</v>
      </c>
      <c r="AN284" s="61">
        <v>2.4220000000000002</v>
      </c>
      <c r="AO284">
        <v>1</v>
      </c>
      <c r="AP284">
        <v>1.0242242189602202</v>
      </c>
      <c r="AQ284">
        <v>1.0242242189602202</v>
      </c>
      <c r="AR284" t="b">
        <v>0</v>
      </c>
      <c r="AS284">
        <v>117.16184579370963</v>
      </c>
      <c r="AT284">
        <v>175.74276869056445</v>
      </c>
      <c r="AU284">
        <v>146.45230724213704</v>
      </c>
    </row>
    <row r="285" spans="1:47" x14ac:dyDescent="0.25">
      <c r="A285" t="s">
        <v>358</v>
      </c>
      <c r="B285" t="s">
        <v>465</v>
      </c>
      <c r="C285" t="s">
        <v>320</v>
      </c>
      <c r="D285">
        <v>2026</v>
      </c>
      <c r="E285">
        <v>0</v>
      </c>
      <c r="F285">
        <v>15</v>
      </c>
      <c r="G285">
        <v>0</v>
      </c>
      <c r="H285">
        <v>0</v>
      </c>
      <c r="I285">
        <v>30</v>
      </c>
      <c r="J285">
        <v>45</v>
      </c>
      <c r="K285">
        <v>4</v>
      </c>
      <c r="L285">
        <v>2</v>
      </c>
      <c r="M285">
        <v>22</v>
      </c>
      <c r="N285">
        <v>0</v>
      </c>
      <c r="O285" t="s">
        <v>27</v>
      </c>
      <c r="P285" t="s">
        <v>443</v>
      </c>
      <c r="Q285">
        <v>2026</v>
      </c>
      <c r="R285">
        <v>2041</v>
      </c>
      <c r="S285" t="s">
        <v>444</v>
      </c>
      <c r="T285">
        <v>2028</v>
      </c>
      <c r="U285">
        <v>35.75</v>
      </c>
      <c r="V285">
        <v>1</v>
      </c>
      <c r="W285">
        <v>2028</v>
      </c>
      <c r="X285">
        <v>2</v>
      </c>
      <c r="Y285">
        <v>2028</v>
      </c>
      <c r="Z285">
        <v>1</v>
      </c>
      <c r="AA285">
        <v>120</v>
      </c>
      <c r="AB285">
        <v>180</v>
      </c>
      <c r="AC285">
        <v>120</v>
      </c>
      <c r="AD285">
        <v>180</v>
      </c>
      <c r="AE285">
        <v>0</v>
      </c>
      <c r="AF285">
        <v>0</v>
      </c>
      <c r="AG285">
        <v>120</v>
      </c>
      <c r="AH285">
        <v>180</v>
      </c>
      <c r="AI285">
        <v>1</v>
      </c>
      <c r="AJ285">
        <v>2.4220000000000002</v>
      </c>
      <c r="AK285">
        <v>2029</v>
      </c>
      <c r="AL285" s="61">
        <v>2.4209999999999998</v>
      </c>
      <c r="AM285" s="61">
        <v>2.4220000000000002</v>
      </c>
      <c r="AN285" s="61">
        <v>2.4209999999999998</v>
      </c>
      <c r="AO285">
        <v>1.0242199999999999</v>
      </c>
      <c r="AP285">
        <v>1.0242103835598433</v>
      </c>
      <c r="AQ285">
        <v>1.0490167590496626</v>
      </c>
      <c r="AR285" t="b">
        <v>0</v>
      </c>
      <c r="AS285">
        <v>114.39283401793483</v>
      </c>
      <c r="AT285">
        <v>171.58925102690225</v>
      </c>
      <c r="AU285">
        <v>142.99104252241852</v>
      </c>
    </row>
    <row r="286" spans="1:47" x14ac:dyDescent="0.25">
      <c r="A286" t="s">
        <v>358</v>
      </c>
      <c r="B286" t="s">
        <v>465</v>
      </c>
      <c r="C286" t="s">
        <v>320</v>
      </c>
      <c r="D286">
        <v>2026</v>
      </c>
      <c r="E286">
        <v>0</v>
      </c>
      <c r="F286">
        <v>15</v>
      </c>
      <c r="G286">
        <v>0</v>
      </c>
      <c r="H286">
        <v>0</v>
      </c>
      <c r="I286">
        <v>30</v>
      </c>
      <c r="J286">
        <v>45</v>
      </c>
      <c r="K286">
        <v>4</v>
      </c>
      <c r="L286">
        <v>2</v>
      </c>
      <c r="M286">
        <v>22</v>
      </c>
      <c r="N286">
        <v>0</v>
      </c>
      <c r="O286" t="s">
        <v>27</v>
      </c>
      <c r="P286" t="s">
        <v>443</v>
      </c>
      <c r="Q286">
        <v>2026</v>
      </c>
      <c r="R286">
        <v>2041</v>
      </c>
      <c r="S286" t="s">
        <v>444</v>
      </c>
      <c r="T286">
        <v>2029</v>
      </c>
      <c r="U286">
        <v>36.75</v>
      </c>
      <c r="V286">
        <v>1</v>
      </c>
      <c r="W286">
        <v>2029</v>
      </c>
      <c r="X286">
        <v>3</v>
      </c>
      <c r="Y286">
        <v>2029</v>
      </c>
      <c r="Z286">
        <v>1</v>
      </c>
      <c r="AA286">
        <v>120</v>
      </c>
      <c r="AB286">
        <v>180</v>
      </c>
      <c r="AC286">
        <v>120</v>
      </c>
      <c r="AD286">
        <v>180</v>
      </c>
      <c r="AE286">
        <v>0</v>
      </c>
      <c r="AF286">
        <v>0</v>
      </c>
      <c r="AG286">
        <v>120</v>
      </c>
      <c r="AH286">
        <v>180</v>
      </c>
      <c r="AI286">
        <v>1</v>
      </c>
      <c r="AJ286">
        <v>2.4209999999999998</v>
      </c>
      <c r="AK286">
        <v>2030</v>
      </c>
      <c r="AL286" s="61">
        <v>2.4670000000000001</v>
      </c>
      <c r="AM286" s="61">
        <v>2.4209999999999998</v>
      </c>
      <c r="AN286" s="61">
        <v>2.4670000000000001</v>
      </c>
      <c r="AO286">
        <v>1.0490061241000002</v>
      </c>
      <c r="AP286">
        <v>1.0246523523547908</v>
      </c>
      <c r="AQ286">
        <v>1.0748665926936467</v>
      </c>
      <c r="AR286" t="b">
        <v>0</v>
      </c>
      <c r="AS286">
        <v>111.64176169926031</v>
      </c>
      <c r="AT286">
        <v>167.46264254889047</v>
      </c>
      <c r="AU286">
        <v>139.55220212407539</v>
      </c>
    </row>
    <row r="287" spans="1:47" x14ac:dyDescent="0.25">
      <c r="A287" t="s">
        <v>358</v>
      </c>
      <c r="B287" t="s">
        <v>465</v>
      </c>
      <c r="C287" t="s">
        <v>320</v>
      </c>
      <c r="D287">
        <v>2026</v>
      </c>
      <c r="E287">
        <v>0</v>
      </c>
      <c r="F287">
        <v>15</v>
      </c>
      <c r="G287">
        <v>0</v>
      </c>
      <c r="H287">
        <v>0</v>
      </c>
      <c r="I287">
        <v>30</v>
      </c>
      <c r="J287">
        <v>45</v>
      </c>
      <c r="K287">
        <v>4</v>
      </c>
      <c r="L287">
        <v>2</v>
      </c>
      <c r="M287">
        <v>22</v>
      </c>
      <c r="N287">
        <v>0</v>
      </c>
      <c r="O287" t="s">
        <v>27</v>
      </c>
      <c r="P287" t="s">
        <v>443</v>
      </c>
      <c r="Q287">
        <v>2026</v>
      </c>
      <c r="R287">
        <v>2041</v>
      </c>
      <c r="S287" t="s">
        <v>444</v>
      </c>
      <c r="T287">
        <v>2030</v>
      </c>
      <c r="U287">
        <v>37.75</v>
      </c>
      <c r="V287">
        <v>1</v>
      </c>
      <c r="W287">
        <v>2030</v>
      </c>
      <c r="X287">
        <v>4</v>
      </c>
      <c r="Y287">
        <v>2030</v>
      </c>
      <c r="Z287">
        <v>1</v>
      </c>
      <c r="AA287">
        <v>120</v>
      </c>
      <c r="AB287">
        <v>180</v>
      </c>
      <c r="AC287">
        <v>120</v>
      </c>
      <c r="AD287">
        <v>180</v>
      </c>
      <c r="AE287">
        <v>0</v>
      </c>
      <c r="AF287">
        <v>0</v>
      </c>
      <c r="AG287">
        <v>120</v>
      </c>
      <c r="AH287">
        <v>180</v>
      </c>
      <c r="AI287">
        <v>1</v>
      </c>
      <c r="AJ287">
        <v>2.4670000000000001</v>
      </c>
      <c r="AK287">
        <v>2031</v>
      </c>
      <c r="AL287" s="61">
        <v>2.5169999999999999</v>
      </c>
      <c r="AM287" s="61">
        <v>2.4670000000000001</v>
      </c>
      <c r="AN287" s="61">
        <v>2.5169999999999999</v>
      </c>
      <c r="AO287">
        <v>1.0758508410815628</v>
      </c>
      <c r="AP287">
        <v>1.0251508174189523</v>
      </c>
      <c r="AQ287">
        <v>1.1029093691556315</v>
      </c>
      <c r="AR287" t="b">
        <v>0</v>
      </c>
      <c r="AS287">
        <v>108.80313773367429</v>
      </c>
      <c r="AT287">
        <v>163.20470660051143</v>
      </c>
      <c r="AU287">
        <v>136.00392216709287</v>
      </c>
    </row>
    <row r="288" spans="1:47" x14ac:dyDescent="0.25">
      <c r="A288" t="s">
        <v>358</v>
      </c>
      <c r="B288" t="s">
        <v>465</v>
      </c>
      <c r="C288" t="s">
        <v>320</v>
      </c>
      <c r="D288">
        <v>2026</v>
      </c>
      <c r="E288">
        <v>0</v>
      </c>
      <c r="F288">
        <v>15</v>
      </c>
      <c r="G288">
        <v>0</v>
      </c>
      <c r="H288">
        <v>0</v>
      </c>
      <c r="I288">
        <v>30</v>
      </c>
      <c r="J288">
        <v>45</v>
      </c>
      <c r="K288">
        <v>4</v>
      </c>
      <c r="L288">
        <v>2</v>
      </c>
      <c r="M288">
        <v>22</v>
      </c>
      <c r="N288">
        <v>0</v>
      </c>
      <c r="O288" t="s">
        <v>27</v>
      </c>
      <c r="P288" t="s">
        <v>443</v>
      </c>
      <c r="Q288">
        <v>2026</v>
      </c>
      <c r="R288">
        <v>2041</v>
      </c>
      <c r="S288" t="s">
        <v>444</v>
      </c>
      <c r="T288">
        <v>2031</v>
      </c>
      <c r="U288">
        <v>38.75</v>
      </c>
      <c r="V288">
        <v>1</v>
      </c>
      <c r="W288">
        <v>2031</v>
      </c>
      <c r="X288">
        <v>5</v>
      </c>
      <c r="Y288">
        <v>2031</v>
      </c>
      <c r="Z288">
        <v>1</v>
      </c>
      <c r="AA288">
        <v>120</v>
      </c>
      <c r="AB288">
        <v>180</v>
      </c>
      <c r="AC288">
        <v>120</v>
      </c>
      <c r="AD288">
        <v>180</v>
      </c>
      <c r="AE288">
        <v>0</v>
      </c>
      <c r="AF288">
        <v>0</v>
      </c>
      <c r="AG288">
        <v>120</v>
      </c>
      <c r="AH288">
        <v>180</v>
      </c>
      <c r="AI288">
        <v>1</v>
      </c>
      <c r="AJ288">
        <v>2.5169999999999999</v>
      </c>
      <c r="AK288">
        <v>2032</v>
      </c>
      <c r="AL288" s="61">
        <v>2.59</v>
      </c>
      <c r="AM288" s="61">
        <v>2.5169999999999999</v>
      </c>
      <c r="AN288" s="61">
        <v>2.59</v>
      </c>
      <c r="AO288">
        <v>1.1045453584485188</v>
      </c>
      <c r="AP288">
        <v>1.0258719904156592</v>
      </c>
      <c r="AQ288">
        <v>1.1331221453759597</v>
      </c>
      <c r="AR288" t="b">
        <v>0</v>
      </c>
      <c r="AS288">
        <v>105.90208698126281</v>
      </c>
      <c r="AT288">
        <v>158.85313047189422</v>
      </c>
      <c r="AU288">
        <v>132.3776087265785</v>
      </c>
    </row>
    <row r="289" spans="1:47" x14ac:dyDescent="0.25">
      <c r="A289" t="s">
        <v>358</v>
      </c>
      <c r="B289" t="s">
        <v>465</v>
      </c>
      <c r="C289" t="s">
        <v>320</v>
      </c>
      <c r="D289">
        <v>2026</v>
      </c>
      <c r="E289">
        <v>0</v>
      </c>
      <c r="F289">
        <v>15</v>
      </c>
      <c r="G289">
        <v>0</v>
      </c>
      <c r="H289">
        <v>0</v>
      </c>
      <c r="I289">
        <v>30</v>
      </c>
      <c r="J289">
        <v>45</v>
      </c>
      <c r="K289">
        <v>4</v>
      </c>
      <c r="L289">
        <v>2</v>
      </c>
      <c r="M289">
        <v>22</v>
      </c>
      <c r="N289">
        <v>0</v>
      </c>
      <c r="O289" t="s">
        <v>27</v>
      </c>
      <c r="P289" t="s">
        <v>443</v>
      </c>
      <c r="Q289">
        <v>2026</v>
      </c>
      <c r="R289">
        <v>2041</v>
      </c>
      <c r="S289" t="s">
        <v>444</v>
      </c>
      <c r="T289">
        <v>2032</v>
      </c>
      <c r="U289">
        <v>39.75</v>
      </c>
      <c r="V289">
        <v>1</v>
      </c>
      <c r="W289">
        <v>2032</v>
      </c>
      <c r="X289">
        <v>6</v>
      </c>
      <c r="Y289">
        <v>2032</v>
      </c>
      <c r="Z289">
        <v>1</v>
      </c>
      <c r="AA289">
        <v>120</v>
      </c>
      <c r="AB289">
        <v>180</v>
      </c>
      <c r="AC289">
        <v>120</v>
      </c>
      <c r="AD289">
        <v>180</v>
      </c>
      <c r="AE289">
        <v>0</v>
      </c>
      <c r="AF289">
        <v>0</v>
      </c>
      <c r="AG289">
        <v>120</v>
      </c>
      <c r="AH289">
        <v>180</v>
      </c>
      <c r="AI289">
        <v>1</v>
      </c>
      <c r="AJ289">
        <v>2.59</v>
      </c>
      <c r="AK289">
        <v>2033</v>
      </c>
      <c r="AL289" s="61">
        <v>2.6880000000000002</v>
      </c>
      <c r="AM289" s="61">
        <v>2.59</v>
      </c>
      <c r="AN289" s="61">
        <v>2.6880000000000002</v>
      </c>
      <c r="AO289">
        <v>1.1363841013749196</v>
      </c>
      <c r="AP289">
        <v>1.0268423936996114</v>
      </c>
      <c r="AQ289">
        <v>1.1668873708180043</v>
      </c>
      <c r="AR289" t="b">
        <v>0</v>
      </c>
      <c r="AS289">
        <v>102.83768853876474</v>
      </c>
      <c r="AT289">
        <v>154.25653280814711</v>
      </c>
      <c r="AU289">
        <v>128.54711067345593</v>
      </c>
    </row>
    <row r="290" spans="1:47" x14ac:dyDescent="0.25">
      <c r="A290" t="s">
        <v>358</v>
      </c>
      <c r="B290" t="s">
        <v>465</v>
      </c>
      <c r="C290" t="s">
        <v>320</v>
      </c>
      <c r="D290">
        <v>2026</v>
      </c>
      <c r="E290">
        <v>0</v>
      </c>
      <c r="F290">
        <v>15</v>
      </c>
      <c r="G290">
        <v>0</v>
      </c>
      <c r="H290">
        <v>0</v>
      </c>
      <c r="I290">
        <v>30</v>
      </c>
      <c r="J290">
        <v>45</v>
      </c>
      <c r="K290">
        <v>4</v>
      </c>
      <c r="L290">
        <v>2</v>
      </c>
      <c r="M290">
        <v>22</v>
      </c>
      <c r="N290">
        <v>0</v>
      </c>
      <c r="O290" t="s">
        <v>27</v>
      </c>
      <c r="P290" t="s">
        <v>443</v>
      </c>
      <c r="Q290">
        <v>2026</v>
      </c>
      <c r="R290">
        <v>2041</v>
      </c>
      <c r="S290" t="s">
        <v>444</v>
      </c>
      <c r="T290">
        <v>2033</v>
      </c>
      <c r="U290">
        <v>40.75</v>
      </c>
      <c r="V290">
        <v>1</v>
      </c>
      <c r="W290">
        <v>2033</v>
      </c>
      <c r="X290">
        <v>7</v>
      </c>
      <c r="Y290">
        <v>2033</v>
      </c>
      <c r="Z290">
        <v>1</v>
      </c>
      <c r="AA290">
        <v>120</v>
      </c>
      <c r="AB290">
        <v>180</v>
      </c>
      <c r="AC290">
        <v>120</v>
      </c>
      <c r="AD290">
        <v>180</v>
      </c>
      <c r="AE290">
        <v>0</v>
      </c>
      <c r="AF290">
        <v>0</v>
      </c>
      <c r="AG290">
        <v>120</v>
      </c>
      <c r="AH290">
        <v>180</v>
      </c>
      <c r="AI290">
        <v>1</v>
      </c>
      <c r="AJ290">
        <v>2.6880000000000002</v>
      </c>
      <c r="AK290">
        <v>2034</v>
      </c>
      <c r="AL290" s="61">
        <v>2.7519999999999998</v>
      </c>
      <c r="AM290" s="61">
        <v>2.6880000000000002</v>
      </c>
      <c r="AN290" s="61">
        <v>2.7519999999999998</v>
      </c>
      <c r="AO290">
        <v>1.1725143659072164</v>
      </c>
      <c r="AP290">
        <v>1.0274954447000768</v>
      </c>
      <c r="AQ290">
        <v>1.2047531698150638</v>
      </c>
      <c r="AR290" t="b">
        <v>0</v>
      </c>
      <c r="AS290">
        <v>99.605465257601821</v>
      </c>
      <c r="AT290">
        <v>149.40819788640275</v>
      </c>
      <c r="AU290">
        <v>124.50683157200228</v>
      </c>
    </row>
    <row r="291" spans="1:47" x14ac:dyDescent="0.25">
      <c r="A291" t="s">
        <v>358</v>
      </c>
      <c r="B291" t="s">
        <v>465</v>
      </c>
      <c r="C291" t="s">
        <v>320</v>
      </c>
      <c r="D291">
        <v>2026</v>
      </c>
      <c r="E291">
        <v>0</v>
      </c>
      <c r="F291">
        <v>15</v>
      </c>
      <c r="G291">
        <v>0</v>
      </c>
      <c r="H291">
        <v>0</v>
      </c>
      <c r="I291">
        <v>30</v>
      </c>
      <c r="J291">
        <v>45</v>
      </c>
      <c r="K291">
        <v>4</v>
      </c>
      <c r="L291">
        <v>2</v>
      </c>
      <c r="M291">
        <v>22</v>
      </c>
      <c r="N291">
        <v>0</v>
      </c>
      <c r="O291" t="s">
        <v>27</v>
      </c>
      <c r="P291" t="s">
        <v>443</v>
      </c>
      <c r="Q291">
        <v>2026</v>
      </c>
      <c r="R291">
        <v>2041</v>
      </c>
      <c r="S291" t="s">
        <v>444</v>
      </c>
      <c r="T291">
        <v>2034</v>
      </c>
      <c r="U291">
        <v>41.75</v>
      </c>
      <c r="V291">
        <v>1</v>
      </c>
      <c r="W291">
        <v>2034</v>
      </c>
      <c r="X291">
        <v>8</v>
      </c>
      <c r="Y291">
        <v>2034</v>
      </c>
      <c r="Z291">
        <v>1</v>
      </c>
      <c r="AA291">
        <v>120</v>
      </c>
      <c r="AB291">
        <v>180</v>
      </c>
      <c r="AC291">
        <v>120</v>
      </c>
      <c r="AD291">
        <v>180</v>
      </c>
      <c r="AE291">
        <v>0</v>
      </c>
      <c r="AF291">
        <v>0</v>
      </c>
      <c r="AG291">
        <v>120</v>
      </c>
      <c r="AH291">
        <v>180</v>
      </c>
      <c r="AI291">
        <v>1</v>
      </c>
      <c r="AJ291">
        <v>2.7519999999999998</v>
      </c>
      <c r="AK291">
        <v>2035</v>
      </c>
      <c r="AL291" s="61">
        <v>2.8420000000000001</v>
      </c>
      <c r="AM291" s="61">
        <v>2.7519999999999998</v>
      </c>
      <c r="AN291" s="61">
        <v>2.8420000000000001</v>
      </c>
      <c r="AO291">
        <v>1.2092942481281721</v>
      </c>
      <c r="AP291">
        <v>1.0283854649181425</v>
      </c>
      <c r="AQ291">
        <v>1.2436206275841259</v>
      </c>
      <c r="AR291" t="b">
        <v>0</v>
      </c>
      <c r="AS291">
        <v>96.492449014064363</v>
      </c>
      <c r="AT291">
        <v>144.73867352109656</v>
      </c>
      <c r="AU291">
        <v>120.61556126758046</v>
      </c>
    </row>
    <row r="292" spans="1:47" x14ac:dyDescent="0.25">
      <c r="A292" t="s">
        <v>358</v>
      </c>
      <c r="B292" t="s">
        <v>465</v>
      </c>
      <c r="C292" t="s">
        <v>320</v>
      </c>
      <c r="D292">
        <v>2026</v>
      </c>
      <c r="E292">
        <v>0</v>
      </c>
      <c r="F292">
        <v>15</v>
      </c>
      <c r="G292">
        <v>0</v>
      </c>
      <c r="H292">
        <v>0</v>
      </c>
      <c r="I292">
        <v>30</v>
      </c>
      <c r="J292">
        <v>45</v>
      </c>
      <c r="K292">
        <v>4</v>
      </c>
      <c r="L292">
        <v>2</v>
      </c>
      <c r="M292">
        <v>22</v>
      </c>
      <c r="N292">
        <v>0</v>
      </c>
      <c r="O292" t="s">
        <v>27</v>
      </c>
      <c r="P292" t="s">
        <v>443</v>
      </c>
      <c r="Q292">
        <v>2026</v>
      </c>
      <c r="R292">
        <v>2041</v>
      </c>
      <c r="S292" t="s">
        <v>444</v>
      </c>
      <c r="T292">
        <v>2035</v>
      </c>
      <c r="U292">
        <v>42.75</v>
      </c>
      <c r="V292">
        <v>1</v>
      </c>
      <c r="W292">
        <v>2035</v>
      </c>
      <c r="X292">
        <v>9</v>
      </c>
      <c r="Y292">
        <v>2035</v>
      </c>
      <c r="Z292">
        <v>1</v>
      </c>
      <c r="AA292">
        <v>120</v>
      </c>
      <c r="AB292">
        <v>180</v>
      </c>
      <c r="AC292">
        <v>120</v>
      </c>
      <c r="AD292">
        <v>180</v>
      </c>
      <c r="AE292">
        <v>0</v>
      </c>
      <c r="AF292">
        <v>0</v>
      </c>
      <c r="AG292">
        <v>120</v>
      </c>
      <c r="AH292">
        <v>180</v>
      </c>
      <c r="AI292">
        <v>1</v>
      </c>
      <c r="AJ292">
        <v>2.8420000000000001</v>
      </c>
      <c r="AK292">
        <v>2036</v>
      </c>
      <c r="AL292" s="61">
        <v>2.944</v>
      </c>
      <c r="AM292" s="61">
        <v>2.8420000000000001</v>
      </c>
      <c r="AN292" s="61">
        <v>2.944</v>
      </c>
      <c r="AO292">
        <v>1.2513076834571593</v>
      </c>
      <c r="AP292">
        <v>1.0294008580614105</v>
      </c>
      <c r="AQ292">
        <v>1.2880972030496356</v>
      </c>
      <c r="AR292" t="b">
        <v>0</v>
      </c>
      <c r="AS292">
        <v>93.160671194606977</v>
      </c>
      <c r="AT292">
        <v>139.74100679191045</v>
      </c>
      <c r="AU292">
        <v>116.45083899325871</v>
      </c>
    </row>
    <row r="293" spans="1:47" x14ac:dyDescent="0.25">
      <c r="A293" t="s">
        <v>358</v>
      </c>
      <c r="B293" t="s">
        <v>465</v>
      </c>
      <c r="C293" t="s">
        <v>320</v>
      </c>
      <c r="D293">
        <v>2026</v>
      </c>
      <c r="E293">
        <v>0</v>
      </c>
      <c r="F293">
        <v>15</v>
      </c>
      <c r="G293">
        <v>0</v>
      </c>
      <c r="H293">
        <v>0</v>
      </c>
      <c r="I293">
        <v>30</v>
      </c>
      <c r="J293">
        <v>45</v>
      </c>
      <c r="K293">
        <v>4</v>
      </c>
      <c r="L293">
        <v>2</v>
      </c>
      <c r="M293">
        <v>22</v>
      </c>
      <c r="N293">
        <v>0</v>
      </c>
      <c r="O293" t="s">
        <v>27</v>
      </c>
      <c r="P293" t="s">
        <v>443</v>
      </c>
      <c r="Q293">
        <v>2026</v>
      </c>
      <c r="R293">
        <v>2041</v>
      </c>
      <c r="S293" t="s">
        <v>444</v>
      </c>
      <c r="T293">
        <v>2036</v>
      </c>
      <c r="U293">
        <v>43.75</v>
      </c>
      <c r="V293">
        <v>1</v>
      </c>
      <c r="W293">
        <v>2036</v>
      </c>
      <c r="X293">
        <v>10</v>
      </c>
      <c r="Y293">
        <v>2036</v>
      </c>
      <c r="Z293">
        <v>1</v>
      </c>
      <c r="AA293">
        <v>120</v>
      </c>
      <c r="AB293">
        <v>180</v>
      </c>
      <c r="AC293">
        <v>120</v>
      </c>
      <c r="AD293">
        <v>180</v>
      </c>
      <c r="AE293">
        <v>0</v>
      </c>
      <c r="AF293">
        <v>0</v>
      </c>
      <c r="AG293">
        <v>120</v>
      </c>
      <c r="AH293">
        <v>180</v>
      </c>
      <c r="AI293">
        <v>1</v>
      </c>
      <c r="AJ293">
        <v>2.944</v>
      </c>
      <c r="AK293">
        <v>2037</v>
      </c>
      <c r="AL293" s="61">
        <v>3.036</v>
      </c>
      <c r="AM293" s="61">
        <v>2.944</v>
      </c>
      <c r="AN293" s="61">
        <v>3.036</v>
      </c>
      <c r="AO293">
        <v>1.2984025298030446</v>
      </c>
      <c r="AP293">
        <v>1.0303246971701443</v>
      </c>
      <c r="AQ293">
        <v>1.3377761933242711</v>
      </c>
      <c r="AR293" t="b">
        <v>0</v>
      </c>
      <c r="AS293">
        <v>89.701102919023555</v>
      </c>
      <c r="AT293">
        <v>134.55165437853535</v>
      </c>
      <c r="AU293">
        <v>112.12637864877945</v>
      </c>
    </row>
    <row r="294" spans="1:47" x14ac:dyDescent="0.25">
      <c r="A294" t="s">
        <v>358</v>
      </c>
      <c r="B294" t="s">
        <v>465</v>
      </c>
      <c r="C294" t="s">
        <v>320</v>
      </c>
      <c r="D294">
        <v>2026</v>
      </c>
      <c r="E294">
        <v>0</v>
      </c>
      <c r="F294">
        <v>15</v>
      </c>
      <c r="G294">
        <v>0</v>
      </c>
      <c r="H294">
        <v>0</v>
      </c>
      <c r="I294">
        <v>30</v>
      </c>
      <c r="J294">
        <v>45</v>
      </c>
      <c r="K294">
        <v>4</v>
      </c>
      <c r="L294">
        <v>2</v>
      </c>
      <c r="M294">
        <v>22</v>
      </c>
      <c r="N294">
        <v>0</v>
      </c>
      <c r="O294" t="s">
        <v>27</v>
      </c>
      <c r="P294" t="s">
        <v>443</v>
      </c>
      <c r="Q294">
        <v>2026</v>
      </c>
      <c r="R294">
        <v>2041</v>
      </c>
      <c r="S294" t="s">
        <v>444</v>
      </c>
      <c r="T294">
        <v>2037</v>
      </c>
      <c r="U294">
        <v>44.75</v>
      </c>
      <c r="V294">
        <v>1</v>
      </c>
      <c r="W294">
        <v>2037</v>
      </c>
      <c r="X294">
        <v>11</v>
      </c>
      <c r="Y294">
        <v>2037</v>
      </c>
      <c r="Z294">
        <v>1</v>
      </c>
      <c r="AA294">
        <v>120</v>
      </c>
      <c r="AB294">
        <v>180</v>
      </c>
      <c r="AC294">
        <v>120</v>
      </c>
      <c r="AD294">
        <v>180</v>
      </c>
      <c r="AE294">
        <v>0</v>
      </c>
      <c r="AF294">
        <v>0</v>
      </c>
      <c r="AG294">
        <v>120</v>
      </c>
      <c r="AH294">
        <v>180</v>
      </c>
      <c r="AI294">
        <v>1</v>
      </c>
      <c r="AJ294">
        <v>3.036</v>
      </c>
      <c r="AK294">
        <v>2038</v>
      </c>
      <c r="AL294" s="61">
        <v>3.1339999999999999</v>
      </c>
      <c r="AM294" s="61">
        <v>3.036</v>
      </c>
      <c r="AN294" s="61">
        <v>3.1339999999999999</v>
      </c>
      <c r="AO294">
        <v>1.3486209574989538</v>
      </c>
      <c r="AP294">
        <v>1.0313023937742947</v>
      </c>
      <c r="AQ294">
        <v>1.3908360217628524</v>
      </c>
      <c r="AR294" t="b">
        <v>0</v>
      </c>
      <c r="AS294">
        <v>86.279042333044259</v>
      </c>
      <c r="AT294">
        <v>129.41856349956637</v>
      </c>
      <c r="AU294">
        <v>107.84880291630532</v>
      </c>
    </row>
    <row r="295" spans="1:47" x14ac:dyDescent="0.25">
      <c r="A295" t="s">
        <v>358</v>
      </c>
      <c r="B295" t="s">
        <v>465</v>
      </c>
      <c r="C295" t="s">
        <v>320</v>
      </c>
      <c r="D295">
        <v>2026</v>
      </c>
      <c r="E295">
        <v>0</v>
      </c>
      <c r="F295">
        <v>15</v>
      </c>
      <c r="G295">
        <v>0</v>
      </c>
      <c r="H295">
        <v>0</v>
      </c>
      <c r="I295">
        <v>30</v>
      </c>
      <c r="J295">
        <v>45</v>
      </c>
      <c r="K295">
        <v>4</v>
      </c>
      <c r="L295">
        <v>2</v>
      </c>
      <c r="M295">
        <v>22</v>
      </c>
      <c r="N295">
        <v>0</v>
      </c>
      <c r="O295" t="s">
        <v>27</v>
      </c>
      <c r="P295" t="s">
        <v>443</v>
      </c>
      <c r="Q295">
        <v>2026</v>
      </c>
      <c r="R295">
        <v>2041</v>
      </c>
      <c r="S295" t="s">
        <v>444</v>
      </c>
      <c r="T295">
        <v>2038</v>
      </c>
      <c r="U295">
        <v>45.75</v>
      </c>
      <c r="V295">
        <v>1</v>
      </c>
      <c r="W295">
        <v>2038</v>
      </c>
      <c r="X295">
        <v>12</v>
      </c>
      <c r="Y295">
        <v>2038</v>
      </c>
      <c r="Z295">
        <v>1</v>
      </c>
      <c r="AA295">
        <v>120</v>
      </c>
      <c r="AB295">
        <v>180</v>
      </c>
      <c r="AC295">
        <v>120</v>
      </c>
      <c r="AD295">
        <v>180</v>
      </c>
      <c r="AE295">
        <v>0</v>
      </c>
      <c r="AF295">
        <v>0</v>
      </c>
      <c r="AG295">
        <v>120</v>
      </c>
      <c r="AH295">
        <v>180</v>
      </c>
      <c r="AI295">
        <v>1</v>
      </c>
      <c r="AJ295">
        <v>3.1339999999999999</v>
      </c>
      <c r="AK295">
        <v>2039</v>
      </c>
      <c r="AL295" s="61">
        <v>3.2069999999999999</v>
      </c>
      <c r="AM295" s="61">
        <v>3.1339999999999999</v>
      </c>
      <c r="AN295" s="61">
        <v>3.2069999999999999</v>
      </c>
      <c r="AO295">
        <v>1.4041725591738043</v>
      </c>
      <c r="AP295">
        <v>1.0320419904729838</v>
      </c>
      <c r="AQ295">
        <v>1.4491650429372767</v>
      </c>
      <c r="AR295" t="b">
        <v>0</v>
      </c>
      <c r="AS295">
        <v>82.806303246713</v>
      </c>
      <c r="AT295">
        <v>124.20945487006951</v>
      </c>
      <c r="AU295">
        <v>103.50787905839125</v>
      </c>
    </row>
    <row r="296" spans="1:47" x14ac:dyDescent="0.25">
      <c r="A296" t="s">
        <v>358</v>
      </c>
      <c r="B296" t="s">
        <v>465</v>
      </c>
      <c r="C296" t="s">
        <v>320</v>
      </c>
      <c r="D296">
        <v>2026</v>
      </c>
      <c r="E296">
        <v>0</v>
      </c>
      <c r="F296">
        <v>15</v>
      </c>
      <c r="G296">
        <v>0</v>
      </c>
      <c r="H296">
        <v>0</v>
      </c>
      <c r="I296">
        <v>30</v>
      </c>
      <c r="J296">
        <v>45</v>
      </c>
      <c r="K296">
        <v>4</v>
      </c>
      <c r="L296">
        <v>2</v>
      </c>
      <c r="M296">
        <v>22</v>
      </c>
      <c r="N296">
        <v>0</v>
      </c>
      <c r="O296" t="s">
        <v>27</v>
      </c>
      <c r="P296" t="s">
        <v>443</v>
      </c>
      <c r="Q296">
        <v>2026</v>
      </c>
      <c r="R296">
        <v>2041</v>
      </c>
      <c r="S296" t="s">
        <v>444</v>
      </c>
      <c r="T296">
        <v>2039</v>
      </c>
      <c r="U296">
        <v>46.75</v>
      </c>
      <c r="V296">
        <v>1</v>
      </c>
      <c r="W296">
        <v>2039</v>
      </c>
      <c r="X296">
        <v>13</v>
      </c>
      <c r="Y296">
        <v>2039</v>
      </c>
      <c r="Z296">
        <v>1</v>
      </c>
      <c r="AA296">
        <v>120</v>
      </c>
      <c r="AB296">
        <v>180</v>
      </c>
      <c r="AC296">
        <v>120</v>
      </c>
      <c r="AD296">
        <v>180</v>
      </c>
      <c r="AE296">
        <v>0</v>
      </c>
      <c r="AF296">
        <v>0</v>
      </c>
      <c r="AG296">
        <v>120</v>
      </c>
      <c r="AH296">
        <v>180</v>
      </c>
      <c r="AI296">
        <v>1</v>
      </c>
      <c r="AJ296">
        <v>3.2069999999999999</v>
      </c>
      <c r="AK296">
        <v>2040</v>
      </c>
      <c r="AL296" s="61">
        <v>3.3029999999999999</v>
      </c>
      <c r="AM296" s="61">
        <v>3.2069999999999999</v>
      </c>
      <c r="AN296" s="61">
        <v>3.3029999999999999</v>
      </c>
      <c r="AO296">
        <v>1.4605278779269859</v>
      </c>
      <c r="AP296">
        <v>1.0329931616190409</v>
      </c>
      <c r="AQ296">
        <v>1.5087153102525457</v>
      </c>
      <c r="AR296" t="b">
        <v>0</v>
      </c>
      <c r="AS296">
        <v>79.537868532608087</v>
      </c>
      <c r="AT296">
        <v>119.30680279891213</v>
      </c>
      <c r="AU296">
        <v>99.422335665760102</v>
      </c>
    </row>
    <row r="297" spans="1:47" x14ac:dyDescent="0.25">
      <c r="A297" t="s">
        <v>358</v>
      </c>
      <c r="B297" t="s">
        <v>465</v>
      </c>
      <c r="C297" t="s">
        <v>320</v>
      </c>
      <c r="D297">
        <v>2026</v>
      </c>
      <c r="E297">
        <v>0</v>
      </c>
      <c r="F297">
        <v>15</v>
      </c>
      <c r="G297">
        <v>0</v>
      </c>
      <c r="H297">
        <v>0</v>
      </c>
      <c r="I297">
        <v>30</v>
      </c>
      <c r="J297">
        <v>45</v>
      </c>
      <c r="K297">
        <v>4</v>
      </c>
      <c r="L297">
        <v>2</v>
      </c>
      <c r="M297">
        <v>22</v>
      </c>
      <c r="N297">
        <v>0</v>
      </c>
      <c r="O297" t="s">
        <v>27</v>
      </c>
      <c r="P297" t="s">
        <v>443</v>
      </c>
      <c r="Q297">
        <v>2026</v>
      </c>
      <c r="R297">
        <v>2041</v>
      </c>
      <c r="S297" t="s">
        <v>444</v>
      </c>
      <c r="T297">
        <v>2040</v>
      </c>
      <c r="U297">
        <v>47.75</v>
      </c>
      <c r="V297">
        <v>1</v>
      </c>
      <c r="W297">
        <v>2040</v>
      </c>
      <c r="X297">
        <v>14</v>
      </c>
      <c r="Y297">
        <v>2040</v>
      </c>
      <c r="Z297">
        <v>1</v>
      </c>
      <c r="AA297">
        <v>120</v>
      </c>
      <c r="AB297">
        <v>180</v>
      </c>
      <c r="AC297">
        <v>120</v>
      </c>
      <c r="AD297">
        <v>180</v>
      </c>
      <c r="AE297">
        <v>0</v>
      </c>
      <c r="AF297">
        <v>0</v>
      </c>
      <c r="AG297">
        <v>120</v>
      </c>
      <c r="AH297">
        <v>180</v>
      </c>
      <c r="AI297">
        <v>1</v>
      </c>
      <c r="AJ297">
        <v>3.3029999999999999</v>
      </c>
      <c r="AK297">
        <v>2041</v>
      </c>
      <c r="AL297" s="61">
        <v>3.3559999999999999</v>
      </c>
      <c r="AM297" s="61">
        <v>3.3029999999999999</v>
      </c>
      <c r="AN297" s="61">
        <v>3.3559999999999999</v>
      </c>
      <c r="AO297">
        <v>1.5256964700083253</v>
      </c>
      <c r="AP297">
        <v>1.0335396662189136</v>
      </c>
      <c r="AQ297">
        <v>1.5768678203637791</v>
      </c>
      <c r="AR297" t="b">
        <v>0</v>
      </c>
      <c r="AS297">
        <v>76.100227584272929</v>
      </c>
      <c r="AT297">
        <v>114.1503413764094</v>
      </c>
      <c r="AU297">
        <v>95.125284480341165</v>
      </c>
    </row>
    <row r="298" spans="1:47" x14ac:dyDescent="0.25">
      <c r="A298" t="s">
        <v>358</v>
      </c>
      <c r="B298" t="s">
        <v>465</v>
      </c>
      <c r="C298" t="s">
        <v>320</v>
      </c>
      <c r="D298">
        <v>2026</v>
      </c>
      <c r="E298">
        <v>0</v>
      </c>
      <c r="M298">
        <v>22</v>
      </c>
      <c r="Q298">
        <v>2026</v>
      </c>
      <c r="R298">
        <v>2041</v>
      </c>
      <c r="T298">
        <v>2041</v>
      </c>
      <c r="U298">
        <v>48.75</v>
      </c>
      <c r="W298">
        <v>2041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L298" s="61"/>
      <c r="AS298">
        <v>0</v>
      </c>
      <c r="AT298">
        <v>0</v>
      </c>
      <c r="AU298">
        <v>0</v>
      </c>
    </row>
    <row r="299" spans="1:47" x14ac:dyDescent="0.25">
      <c r="A299" t="s">
        <v>332</v>
      </c>
      <c r="B299" t="s">
        <v>466</v>
      </c>
      <c r="C299" t="s">
        <v>319</v>
      </c>
      <c r="D299">
        <v>2026</v>
      </c>
      <c r="E299">
        <v>0</v>
      </c>
      <c r="F299">
        <v>10</v>
      </c>
      <c r="G299">
        <v>0</v>
      </c>
      <c r="H299">
        <v>0</v>
      </c>
      <c r="I299">
        <v>50</v>
      </c>
      <c r="J299">
        <v>250</v>
      </c>
      <c r="K299">
        <v>1</v>
      </c>
      <c r="L299">
        <v>1</v>
      </c>
      <c r="M299">
        <v>23</v>
      </c>
      <c r="N299">
        <v>0</v>
      </c>
      <c r="O299" t="s">
        <v>27</v>
      </c>
      <c r="P299" t="s">
        <v>443</v>
      </c>
      <c r="Q299">
        <v>2026</v>
      </c>
      <c r="R299">
        <v>2036</v>
      </c>
      <c r="S299" t="s">
        <v>444</v>
      </c>
      <c r="T299">
        <v>2026</v>
      </c>
      <c r="U299">
        <v>33.75</v>
      </c>
      <c r="V299">
        <v>1</v>
      </c>
      <c r="W299">
        <v>2026</v>
      </c>
      <c r="X299">
        <v>0</v>
      </c>
      <c r="Y299">
        <v>2026</v>
      </c>
      <c r="Z299">
        <v>1</v>
      </c>
      <c r="AA299">
        <v>50</v>
      </c>
      <c r="AB299">
        <v>250</v>
      </c>
      <c r="AC299">
        <v>50</v>
      </c>
      <c r="AD299">
        <v>250</v>
      </c>
      <c r="AE299">
        <v>0</v>
      </c>
      <c r="AF299">
        <v>0</v>
      </c>
      <c r="AG299">
        <v>50</v>
      </c>
      <c r="AH299">
        <v>250</v>
      </c>
      <c r="AI299">
        <v>1</v>
      </c>
      <c r="AK299">
        <v>2027</v>
      </c>
      <c r="AL299" s="61">
        <v>2.4329999999999998</v>
      </c>
      <c r="AM299" s="61">
        <v>0</v>
      </c>
      <c r="AN299" s="61">
        <v>2.4329999999999998</v>
      </c>
      <c r="AO299">
        <v>1</v>
      </c>
      <c r="AP299">
        <v>1.023385968321771</v>
      </c>
      <c r="AQ299">
        <v>1.023385968321771</v>
      </c>
      <c r="AR299" t="b">
        <v>1</v>
      </c>
      <c r="AS299">
        <v>50</v>
      </c>
      <c r="AT299">
        <v>250</v>
      </c>
      <c r="AU299">
        <v>150</v>
      </c>
    </row>
    <row r="300" spans="1:47" x14ac:dyDescent="0.25">
      <c r="A300" t="s">
        <v>332</v>
      </c>
      <c r="B300" t="s">
        <v>466</v>
      </c>
      <c r="C300" t="s">
        <v>319</v>
      </c>
      <c r="D300">
        <v>2026</v>
      </c>
      <c r="E300">
        <v>0</v>
      </c>
      <c r="F300">
        <v>10</v>
      </c>
      <c r="G300">
        <v>0</v>
      </c>
      <c r="H300">
        <v>0</v>
      </c>
      <c r="I300">
        <v>50</v>
      </c>
      <c r="J300">
        <v>250</v>
      </c>
      <c r="K300">
        <v>1</v>
      </c>
      <c r="L300">
        <v>1</v>
      </c>
      <c r="M300">
        <v>23</v>
      </c>
      <c r="N300">
        <v>0</v>
      </c>
      <c r="O300" t="s">
        <v>27</v>
      </c>
      <c r="P300" t="s">
        <v>443</v>
      </c>
      <c r="Q300">
        <v>2026</v>
      </c>
      <c r="R300">
        <v>2036</v>
      </c>
      <c r="S300" t="s">
        <v>444</v>
      </c>
      <c r="T300">
        <v>2027</v>
      </c>
      <c r="U300">
        <v>34.75</v>
      </c>
      <c r="V300">
        <v>1</v>
      </c>
      <c r="W300">
        <v>2027</v>
      </c>
      <c r="X300">
        <v>1</v>
      </c>
      <c r="Y300">
        <v>2027</v>
      </c>
      <c r="Z300">
        <v>1</v>
      </c>
      <c r="AA300">
        <v>50</v>
      </c>
      <c r="AB300">
        <v>250</v>
      </c>
      <c r="AC300">
        <v>50</v>
      </c>
      <c r="AD300">
        <v>250</v>
      </c>
      <c r="AE300">
        <v>0</v>
      </c>
      <c r="AF300">
        <v>0</v>
      </c>
      <c r="AG300">
        <v>50</v>
      </c>
      <c r="AH300">
        <v>250</v>
      </c>
      <c r="AI300">
        <v>1</v>
      </c>
      <c r="AJ300">
        <v>2.4329999999999998</v>
      </c>
      <c r="AK300">
        <v>2028</v>
      </c>
      <c r="AL300" s="61">
        <v>2.4220000000000002</v>
      </c>
      <c r="AM300" s="61">
        <v>2.4329999999999998</v>
      </c>
      <c r="AN300" s="61">
        <v>2.4220000000000002</v>
      </c>
      <c r="AO300">
        <v>1</v>
      </c>
      <c r="AP300">
        <v>1.0242242189602202</v>
      </c>
      <c r="AQ300">
        <v>1.0242242189602202</v>
      </c>
      <c r="AR300" t="b">
        <v>0</v>
      </c>
      <c r="AS300">
        <v>48.817435747379008</v>
      </c>
      <c r="AT300">
        <v>244.08717873689505</v>
      </c>
      <c r="AU300">
        <v>146.45230724213704</v>
      </c>
    </row>
    <row r="301" spans="1:47" x14ac:dyDescent="0.25">
      <c r="A301" t="s">
        <v>332</v>
      </c>
      <c r="B301" t="s">
        <v>466</v>
      </c>
      <c r="C301" t="s">
        <v>319</v>
      </c>
      <c r="D301">
        <v>2026</v>
      </c>
      <c r="E301">
        <v>0</v>
      </c>
      <c r="F301">
        <v>10</v>
      </c>
      <c r="G301">
        <v>0</v>
      </c>
      <c r="H301">
        <v>0</v>
      </c>
      <c r="I301">
        <v>50</v>
      </c>
      <c r="J301">
        <v>250</v>
      </c>
      <c r="K301">
        <v>1</v>
      </c>
      <c r="L301">
        <v>1</v>
      </c>
      <c r="M301">
        <v>23</v>
      </c>
      <c r="N301">
        <v>0</v>
      </c>
      <c r="O301" t="s">
        <v>27</v>
      </c>
      <c r="P301" t="s">
        <v>443</v>
      </c>
      <c r="Q301">
        <v>2026</v>
      </c>
      <c r="R301">
        <v>2036</v>
      </c>
      <c r="S301" t="s">
        <v>444</v>
      </c>
      <c r="T301">
        <v>2028</v>
      </c>
      <c r="U301">
        <v>35.75</v>
      </c>
      <c r="V301">
        <v>1</v>
      </c>
      <c r="W301">
        <v>2028</v>
      </c>
      <c r="X301">
        <v>2</v>
      </c>
      <c r="Y301">
        <v>2028</v>
      </c>
      <c r="Z301">
        <v>1</v>
      </c>
      <c r="AA301">
        <v>50</v>
      </c>
      <c r="AB301">
        <v>250</v>
      </c>
      <c r="AC301">
        <v>50</v>
      </c>
      <c r="AD301">
        <v>250</v>
      </c>
      <c r="AE301">
        <v>0</v>
      </c>
      <c r="AF301">
        <v>0</v>
      </c>
      <c r="AG301">
        <v>50</v>
      </c>
      <c r="AH301">
        <v>250</v>
      </c>
      <c r="AI301">
        <v>1</v>
      </c>
      <c r="AJ301">
        <v>2.4220000000000002</v>
      </c>
      <c r="AK301">
        <v>2029</v>
      </c>
      <c r="AL301" s="61">
        <v>2.4209999999999998</v>
      </c>
      <c r="AM301" s="61">
        <v>2.4220000000000002</v>
      </c>
      <c r="AN301" s="61">
        <v>2.4209999999999998</v>
      </c>
      <c r="AO301">
        <v>1.0242199999999999</v>
      </c>
      <c r="AP301">
        <v>1.0242103835598433</v>
      </c>
      <c r="AQ301">
        <v>1.0490167590496626</v>
      </c>
      <c r="AR301" t="b">
        <v>0</v>
      </c>
      <c r="AS301">
        <v>47.66368084080618</v>
      </c>
      <c r="AT301">
        <v>238.31840420403091</v>
      </c>
      <c r="AU301">
        <v>142.99104252241855</v>
      </c>
    </row>
    <row r="302" spans="1:47" x14ac:dyDescent="0.25">
      <c r="A302" t="s">
        <v>332</v>
      </c>
      <c r="B302" t="s">
        <v>466</v>
      </c>
      <c r="C302" t="s">
        <v>319</v>
      </c>
      <c r="D302">
        <v>2026</v>
      </c>
      <c r="E302">
        <v>0</v>
      </c>
      <c r="F302">
        <v>10</v>
      </c>
      <c r="G302">
        <v>0</v>
      </c>
      <c r="H302">
        <v>0</v>
      </c>
      <c r="I302">
        <v>50</v>
      </c>
      <c r="J302">
        <v>250</v>
      </c>
      <c r="K302">
        <v>1</v>
      </c>
      <c r="L302">
        <v>1</v>
      </c>
      <c r="M302">
        <v>23</v>
      </c>
      <c r="N302">
        <v>0</v>
      </c>
      <c r="O302" t="s">
        <v>27</v>
      </c>
      <c r="P302" t="s">
        <v>443</v>
      </c>
      <c r="Q302">
        <v>2026</v>
      </c>
      <c r="R302">
        <v>2036</v>
      </c>
      <c r="S302" t="s">
        <v>444</v>
      </c>
      <c r="T302">
        <v>2029</v>
      </c>
      <c r="U302">
        <v>36.75</v>
      </c>
      <c r="V302">
        <v>1</v>
      </c>
      <c r="W302">
        <v>2029</v>
      </c>
      <c r="X302">
        <v>3</v>
      </c>
      <c r="Y302">
        <v>2029</v>
      </c>
      <c r="Z302">
        <v>1</v>
      </c>
      <c r="AA302">
        <v>50</v>
      </c>
      <c r="AB302">
        <v>250</v>
      </c>
      <c r="AC302">
        <v>50</v>
      </c>
      <c r="AD302">
        <v>250</v>
      </c>
      <c r="AE302">
        <v>0</v>
      </c>
      <c r="AF302">
        <v>0</v>
      </c>
      <c r="AG302">
        <v>50</v>
      </c>
      <c r="AH302">
        <v>250</v>
      </c>
      <c r="AI302">
        <v>1</v>
      </c>
      <c r="AJ302">
        <v>2.4209999999999998</v>
      </c>
      <c r="AK302">
        <v>2030</v>
      </c>
      <c r="AL302" s="61">
        <v>2.4670000000000001</v>
      </c>
      <c r="AM302" s="61">
        <v>2.4209999999999998</v>
      </c>
      <c r="AN302" s="61">
        <v>2.4670000000000001</v>
      </c>
      <c r="AO302">
        <v>1.0490061241000002</v>
      </c>
      <c r="AP302">
        <v>1.0246523523547908</v>
      </c>
      <c r="AQ302">
        <v>1.0748665926936467</v>
      </c>
      <c r="AR302" t="b">
        <v>0</v>
      </c>
      <c r="AS302">
        <v>46.517400708025129</v>
      </c>
      <c r="AT302">
        <v>232.58700354012564</v>
      </c>
      <c r="AU302">
        <v>139.55220212407539</v>
      </c>
    </row>
    <row r="303" spans="1:47" x14ac:dyDescent="0.25">
      <c r="A303" t="s">
        <v>332</v>
      </c>
      <c r="B303" t="s">
        <v>466</v>
      </c>
      <c r="C303" t="s">
        <v>319</v>
      </c>
      <c r="D303">
        <v>2026</v>
      </c>
      <c r="E303">
        <v>0</v>
      </c>
      <c r="F303">
        <v>10</v>
      </c>
      <c r="G303">
        <v>0</v>
      </c>
      <c r="H303">
        <v>0</v>
      </c>
      <c r="I303">
        <v>50</v>
      </c>
      <c r="J303">
        <v>250</v>
      </c>
      <c r="K303">
        <v>1</v>
      </c>
      <c r="L303">
        <v>1</v>
      </c>
      <c r="M303">
        <v>23</v>
      </c>
      <c r="N303">
        <v>0</v>
      </c>
      <c r="O303" t="s">
        <v>27</v>
      </c>
      <c r="P303" t="s">
        <v>443</v>
      </c>
      <c r="Q303">
        <v>2026</v>
      </c>
      <c r="R303">
        <v>2036</v>
      </c>
      <c r="S303" t="s">
        <v>444</v>
      </c>
      <c r="T303">
        <v>2030</v>
      </c>
      <c r="U303">
        <v>37.75</v>
      </c>
      <c r="V303">
        <v>1</v>
      </c>
      <c r="W303">
        <v>2030</v>
      </c>
      <c r="X303">
        <v>4</v>
      </c>
      <c r="Y303">
        <v>2030</v>
      </c>
      <c r="Z303">
        <v>1</v>
      </c>
      <c r="AA303">
        <v>50</v>
      </c>
      <c r="AB303">
        <v>250</v>
      </c>
      <c r="AC303">
        <v>50</v>
      </c>
      <c r="AD303">
        <v>250</v>
      </c>
      <c r="AE303">
        <v>0</v>
      </c>
      <c r="AF303">
        <v>0</v>
      </c>
      <c r="AG303">
        <v>50</v>
      </c>
      <c r="AH303">
        <v>250</v>
      </c>
      <c r="AI303">
        <v>1</v>
      </c>
      <c r="AJ303">
        <v>2.4670000000000001</v>
      </c>
      <c r="AK303">
        <v>2031</v>
      </c>
      <c r="AL303" s="61">
        <v>2.5169999999999999</v>
      </c>
      <c r="AM303" s="61">
        <v>2.4670000000000001</v>
      </c>
      <c r="AN303" s="61">
        <v>2.5169999999999999</v>
      </c>
      <c r="AO303">
        <v>1.0758508410815628</v>
      </c>
      <c r="AP303">
        <v>1.0251508174189523</v>
      </c>
      <c r="AQ303">
        <v>1.1029093691556315</v>
      </c>
      <c r="AR303" t="b">
        <v>0</v>
      </c>
      <c r="AS303">
        <v>45.334640722364284</v>
      </c>
      <c r="AT303">
        <v>226.67320361182144</v>
      </c>
      <c r="AU303">
        <v>136.00392216709287</v>
      </c>
    </row>
    <row r="304" spans="1:47" x14ac:dyDescent="0.25">
      <c r="A304" t="s">
        <v>332</v>
      </c>
      <c r="B304" t="s">
        <v>466</v>
      </c>
      <c r="C304" t="s">
        <v>319</v>
      </c>
      <c r="D304">
        <v>2026</v>
      </c>
      <c r="E304">
        <v>0</v>
      </c>
      <c r="F304">
        <v>10</v>
      </c>
      <c r="G304">
        <v>0</v>
      </c>
      <c r="H304">
        <v>0</v>
      </c>
      <c r="I304">
        <v>50</v>
      </c>
      <c r="J304">
        <v>250</v>
      </c>
      <c r="K304">
        <v>1</v>
      </c>
      <c r="L304">
        <v>1</v>
      </c>
      <c r="M304">
        <v>23</v>
      </c>
      <c r="N304">
        <v>0</v>
      </c>
      <c r="O304" t="s">
        <v>27</v>
      </c>
      <c r="P304" t="s">
        <v>443</v>
      </c>
      <c r="Q304">
        <v>2026</v>
      </c>
      <c r="R304">
        <v>2036</v>
      </c>
      <c r="S304" t="s">
        <v>444</v>
      </c>
      <c r="T304">
        <v>2031</v>
      </c>
      <c r="U304">
        <v>38.75</v>
      </c>
      <c r="V304">
        <v>1</v>
      </c>
      <c r="W304">
        <v>2031</v>
      </c>
      <c r="X304">
        <v>5</v>
      </c>
      <c r="Y304">
        <v>2031</v>
      </c>
      <c r="Z304">
        <v>1</v>
      </c>
      <c r="AA304">
        <v>50</v>
      </c>
      <c r="AB304">
        <v>250</v>
      </c>
      <c r="AC304">
        <v>50</v>
      </c>
      <c r="AD304">
        <v>250</v>
      </c>
      <c r="AE304">
        <v>0</v>
      </c>
      <c r="AF304">
        <v>0</v>
      </c>
      <c r="AG304">
        <v>50</v>
      </c>
      <c r="AH304">
        <v>250</v>
      </c>
      <c r="AI304">
        <v>1</v>
      </c>
      <c r="AJ304">
        <v>2.5169999999999999</v>
      </c>
      <c r="AK304">
        <v>2032</v>
      </c>
      <c r="AL304" s="61">
        <v>2.59</v>
      </c>
      <c r="AM304" s="61">
        <v>2.5169999999999999</v>
      </c>
      <c r="AN304" s="61">
        <v>2.59</v>
      </c>
      <c r="AO304">
        <v>1.1045453584485188</v>
      </c>
      <c r="AP304">
        <v>1.0258719904156592</v>
      </c>
      <c r="AQ304">
        <v>1.1331221453759597</v>
      </c>
      <c r="AR304" t="b">
        <v>0</v>
      </c>
      <c r="AS304">
        <v>44.125869575526167</v>
      </c>
      <c r="AT304">
        <v>220.62934787763083</v>
      </c>
      <c r="AU304">
        <v>132.3776087265785</v>
      </c>
    </row>
    <row r="305" spans="1:47" x14ac:dyDescent="0.25">
      <c r="A305" t="s">
        <v>332</v>
      </c>
      <c r="B305" t="s">
        <v>466</v>
      </c>
      <c r="C305" t="s">
        <v>319</v>
      </c>
      <c r="D305">
        <v>2026</v>
      </c>
      <c r="E305">
        <v>0</v>
      </c>
      <c r="F305">
        <v>10</v>
      </c>
      <c r="G305">
        <v>0</v>
      </c>
      <c r="H305">
        <v>0</v>
      </c>
      <c r="I305">
        <v>50</v>
      </c>
      <c r="J305">
        <v>250</v>
      </c>
      <c r="K305">
        <v>1</v>
      </c>
      <c r="L305">
        <v>1</v>
      </c>
      <c r="M305">
        <v>23</v>
      </c>
      <c r="N305">
        <v>0</v>
      </c>
      <c r="O305" t="s">
        <v>27</v>
      </c>
      <c r="P305" t="s">
        <v>443</v>
      </c>
      <c r="Q305">
        <v>2026</v>
      </c>
      <c r="R305">
        <v>2036</v>
      </c>
      <c r="S305" t="s">
        <v>444</v>
      </c>
      <c r="T305">
        <v>2032</v>
      </c>
      <c r="U305">
        <v>39.75</v>
      </c>
      <c r="V305">
        <v>1</v>
      </c>
      <c r="W305">
        <v>2032</v>
      </c>
      <c r="X305">
        <v>6</v>
      </c>
      <c r="Y305">
        <v>2032</v>
      </c>
      <c r="Z305">
        <v>1</v>
      </c>
      <c r="AA305">
        <v>50</v>
      </c>
      <c r="AB305">
        <v>250</v>
      </c>
      <c r="AC305">
        <v>50</v>
      </c>
      <c r="AD305">
        <v>250</v>
      </c>
      <c r="AE305">
        <v>0</v>
      </c>
      <c r="AF305">
        <v>0</v>
      </c>
      <c r="AG305">
        <v>50</v>
      </c>
      <c r="AH305">
        <v>250</v>
      </c>
      <c r="AI305">
        <v>1</v>
      </c>
      <c r="AJ305">
        <v>2.59</v>
      </c>
      <c r="AK305">
        <v>2033</v>
      </c>
      <c r="AL305" s="61">
        <v>2.6880000000000002</v>
      </c>
      <c r="AM305" s="61">
        <v>2.59</v>
      </c>
      <c r="AN305" s="61">
        <v>2.6880000000000002</v>
      </c>
      <c r="AO305">
        <v>1.1363841013749196</v>
      </c>
      <c r="AP305">
        <v>1.0268423936996114</v>
      </c>
      <c r="AQ305">
        <v>1.1668873708180043</v>
      </c>
      <c r="AR305" t="b">
        <v>0</v>
      </c>
      <c r="AS305">
        <v>42.849036891151975</v>
      </c>
      <c r="AT305">
        <v>214.24518445575987</v>
      </c>
      <c r="AU305">
        <v>128.54711067345593</v>
      </c>
    </row>
    <row r="306" spans="1:47" x14ac:dyDescent="0.25">
      <c r="A306" t="s">
        <v>332</v>
      </c>
      <c r="B306" t="s">
        <v>466</v>
      </c>
      <c r="C306" t="s">
        <v>319</v>
      </c>
      <c r="D306">
        <v>2026</v>
      </c>
      <c r="E306">
        <v>0</v>
      </c>
      <c r="F306">
        <v>10</v>
      </c>
      <c r="G306">
        <v>0</v>
      </c>
      <c r="H306">
        <v>0</v>
      </c>
      <c r="I306">
        <v>50</v>
      </c>
      <c r="J306">
        <v>250</v>
      </c>
      <c r="K306">
        <v>1</v>
      </c>
      <c r="L306">
        <v>1</v>
      </c>
      <c r="M306">
        <v>23</v>
      </c>
      <c r="N306">
        <v>0</v>
      </c>
      <c r="O306" t="s">
        <v>27</v>
      </c>
      <c r="P306" t="s">
        <v>443</v>
      </c>
      <c r="Q306">
        <v>2026</v>
      </c>
      <c r="R306">
        <v>2036</v>
      </c>
      <c r="S306" t="s">
        <v>444</v>
      </c>
      <c r="T306">
        <v>2033</v>
      </c>
      <c r="U306">
        <v>40.75</v>
      </c>
      <c r="V306">
        <v>1</v>
      </c>
      <c r="W306">
        <v>2033</v>
      </c>
      <c r="X306">
        <v>7</v>
      </c>
      <c r="Y306">
        <v>2033</v>
      </c>
      <c r="Z306">
        <v>1</v>
      </c>
      <c r="AA306">
        <v>50</v>
      </c>
      <c r="AB306">
        <v>250</v>
      </c>
      <c r="AC306">
        <v>50</v>
      </c>
      <c r="AD306">
        <v>250</v>
      </c>
      <c r="AE306">
        <v>0</v>
      </c>
      <c r="AF306">
        <v>0</v>
      </c>
      <c r="AG306">
        <v>50</v>
      </c>
      <c r="AH306">
        <v>250</v>
      </c>
      <c r="AI306">
        <v>1</v>
      </c>
      <c r="AJ306">
        <v>2.6880000000000002</v>
      </c>
      <c r="AK306">
        <v>2034</v>
      </c>
      <c r="AL306" s="61">
        <v>2.7519999999999998</v>
      </c>
      <c r="AM306" s="61">
        <v>2.6880000000000002</v>
      </c>
      <c r="AN306" s="61">
        <v>2.7519999999999998</v>
      </c>
      <c r="AO306">
        <v>1.1725143659072164</v>
      </c>
      <c r="AP306">
        <v>1.0274954447000768</v>
      </c>
      <c r="AQ306">
        <v>1.2047531698150638</v>
      </c>
      <c r="AR306" t="b">
        <v>0</v>
      </c>
      <c r="AS306">
        <v>41.502277190667428</v>
      </c>
      <c r="AT306">
        <v>207.51138595333714</v>
      </c>
      <c r="AU306">
        <v>124.50683157200228</v>
      </c>
    </row>
    <row r="307" spans="1:47" x14ac:dyDescent="0.25">
      <c r="A307" t="s">
        <v>332</v>
      </c>
      <c r="B307" t="s">
        <v>466</v>
      </c>
      <c r="C307" t="s">
        <v>319</v>
      </c>
      <c r="D307">
        <v>2026</v>
      </c>
      <c r="E307">
        <v>0</v>
      </c>
      <c r="F307">
        <v>10</v>
      </c>
      <c r="G307">
        <v>0</v>
      </c>
      <c r="H307">
        <v>0</v>
      </c>
      <c r="I307">
        <v>50</v>
      </c>
      <c r="J307">
        <v>250</v>
      </c>
      <c r="K307">
        <v>1</v>
      </c>
      <c r="L307">
        <v>1</v>
      </c>
      <c r="M307">
        <v>23</v>
      </c>
      <c r="N307">
        <v>0</v>
      </c>
      <c r="O307" t="s">
        <v>27</v>
      </c>
      <c r="P307" t="s">
        <v>443</v>
      </c>
      <c r="Q307">
        <v>2026</v>
      </c>
      <c r="R307">
        <v>2036</v>
      </c>
      <c r="S307" t="s">
        <v>444</v>
      </c>
      <c r="T307">
        <v>2034</v>
      </c>
      <c r="U307">
        <v>41.75</v>
      </c>
      <c r="V307">
        <v>1</v>
      </c>
      <c r="W307">
        <v>2034</v>
      </c>
      <c r="X307">
        <v>8</v>
      </c>
      <c r="Y307">
        <v>2034</v>
      </c>
      <c r="Z307">
        <v>1</v>
      </c>
      <c r="AA307">
        <v>50</v>
      </c>
      <c r="AB307">
        <v>250</v>
      </c>
      <c r="AC307">
        <v>50</v>
      </c>
      <c r="AD307">
        <v>250</v>
      </c>
      <c r="AE307">
        <v>0</v>
      </c>
      <c r="AF307">
        <v>0</v>
      </c>
      <c r="AG307">
        <v>50</v>
      </c>
      <c r="AH307">
        <v>250</v>
      </c>
      <c r="AI307">
        <v>1</v>
      </c>
      <c r="AJ307">
        <v>2.7519999999999998</v>
      </c>
      <c r="AK307">
        <v>2035</v>
      </c>
      <c r="AL307" s="61">
        <v>2.8420000000000001</v>
      </c>
      <c r="AM307" s="61">
        <v>2.7519999999999998</v>
      </c>
      <c r="AN307" s="61">
        <v>2.8420000000000001</v>
      </c>
      <c r="AO307">
        <v>1.2092942481281721</v>
      </c>
      <c r="AP307">
        <v>1.0283854649181425</v>
      </c>
      <c r="AQ307">
        <v>1.2436206275841259</v>
      </c>
      <c r="AR307" t="b">
        <v>0</v>
      </c>
      <c r="AS307">
        <v>40.205187089193487</v>
      </c>
      <c r="AT307">
        <v>201.02593544596743</v>
      </c>
      <c r="AU307">
        <v>120.61556126758046</v>
      </c>
    </row>
    <row r="308" spans="1:47" x14ac:dyDescent="0.25">
      <c r="A308" t="s">
        <v>332</v>
      </c>
      <c r="B308" t="s">
        <v>466</v>
      </c>
      <c r="C308" t="s">
        <v>319</v>
      </c>
      <c r="D308">
        <v>2026</v>
      </c>
      <c r="E308">
        <v>0</v>
      </c>
      <c r="F308">
        <v>10</v>
      </c>
      <c r="G308">
        <v>0</v>
      </c>
      <c r="H308">
        <v>0</v>
      </c>
      <c r="I308">
        <v>50</v>
      </c>
      <c r="J308">
        <v>250</v>
      </c>
      <c r="K308">
        <v>1</v>
      </c>
      <c r="L308">
        <v>1</v>
      </c>
      <c r="M308">
        <v>23</v>
      </c>
      <c r="N308">
        <v>0</v>
      </c>
      <c r="O308" t="s">
        <v>27</v>
      </c>
      <c r="P308" t="s">
        <v>443</v>
      </c>
      <c r="Q308">
        <v>2026</v>
      </c>
      <c r="R308">
        <v>2036</v>
      </c>
      <c r="S308" t="s">
        <v>444</v>
      </c>
      <c r="T308">
        <v>2035</v>
      </c>
      <c r="U308">
        <v>42.75</v>
      </c>
      <c r="V308">
        <v>1</v>
      </c>
      <c r="W308">
        <v>2035</v>
      </c>
      <c r="X308">
        <v>9</v>
      </c>
      <c r="Y308">
        <v>2035</v>
      </c>
      <c r="Z308">
        <v>1</v>
      </c>
      <c r="AA308">
        <v>50</v>
      </c>
      <c r="AB308">
        <v>250</v>
      </c>
      <c r="AC308">
        <v>50</v>
      </c>
      <c r="AD308">
        <v>250</v>
      </c>
      <c r="AE308">
        <v>0</v>
      </c>
      <c r="AF308">
        <v>0</v>
      </c>
      <c r="AG308">
        <v>50</v>
      </c>
      <c r="AH308">
        <v>250</v>
      </c>
      <c r="AI308">
        <v>1</v>
      </c>
      <c r="AJ308">
        <v>2.8420000000000001</v>
      </c>
      <c r="AK308">
        <v>2036</v>
      </c>
      <c r="AL308" s="61">
        <v>2.944</v>
      </c>
      <c r="AM308" s="61">
        <v>2.8420000000000001</v>
      </c>
      <c r="AN308" s="61">
        <v>2.944</v>
      </c>
      <c r="AO308">
        <v>1.2513076834571593</v>
      </c>
      <c r="AP308">
        <v>1.0294008580614105</v>
      </c>
      <c r="AQ308">
        <v>1.2880972030496356</v>
      </c>
      <c r="AR308" t="b">
        <v>0</v>
      </c>
      <c r="AS308">
        <v>38.816946331086243</v>
      </c>
      <c r="AT308">
        <v>194.0847316554312</v>
      </c>
      <c r="AU308">
        <v>116.45083899325871</v>
      </c>
    </row>
    <row r="309" spans="1:47" x14ac:dyDescent="0.25">
      <c r="A309" t="s">
        <v>332</v>
      </c>
      <c r="B309" t="s">
        <v>466</v>
      </c>
      <c r="C309" t="s">
        <v>319</v>
      </c>
      <c r="D309">
        <v>2026</v>
      </c>
      <c r="E309">
        <v>0</v>
      </c>
      <c r="M309">
        <v>23</v>
      </c>
      <c r="Q309">
        <v>2026</v>
      </c>
      <c r="R309">
        <v>2036</v>
      </c>
      <c r="T309">
        <v>2036</v>
      </c>
      <c r="U309">
        <v>43.75</v>
      </c>
      <c r="W309">
        <v>2036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L309" s="61"/>
      <c r="AS309">
        <v>0</v>
      </c>
      <c r="AT309">
        <v>0</v>
      </c>
      <c r="AU309">
        <v>0</v>
      </c>
    </row>
    <row r="310" spans="1:47" x14ac:dyDescent="0.25">
      <c r="A310" t="s">
        <v>359</v>
      </c>
      <c r="B310" t="s">
        <v>467</v>
      </c>
      <c r="C310" t="s">
        <v>320</v>
      </c>
      <c r="D310">
        <v>2026</v>
      </c>
      <c r="E310">
        <v>0</v>
      </c>
      <c r="F310">
        <v>15</v>
      </c>
      <c r="G310">
        <v>0</v>
      </c>
      <c r="H310">
        <v>0</v>
      </c>
      <c r="I310">
        <v>30</v>
      </c>
      <c r="J310">
        <v>45</v>
      </c>
      <c r="K310">
        <v>4</v>
      </c>
      <c r="L310">
        <v>2</v>
      </c>
      <c r="M310">
        <v>24</v>
      </c>
      <c r="N310">
        <v>0</v>
      </c>
      <c r="O310" t="s">
        <v>27</v>
      </c>
      <c r="P310" t="s">
        <v>443</v>
      </c>
      <c r="Q310">
        <v>2026</v>
      </c>
      <c r="R310">
        <v>2041</v>
      </c>
      <c r="S310" t="s">
        <v>444</v>
      </c>
      <c r="T310">
        <v>2026</v>
      </c>
      <c r="U310">
        <v>33.75</v>
      </c>
      <c r="V310">
        <v>1</v>
      </c>
      <c r="W310">
        <v>2026</v>
      </c>
      <c r="X310">
        <v>0</v>
      </c>
      <c r="Y310">
        <v>2026</v>
      </c>
      <c r="Z310">
        <v>1</v>
      </c>
      <c r="AA310">
        <v>120</v>
      </c>
      <c r="AB310">
        <v>180</v>
      </c>
      <c r="AC310">
        <v>120</v>
      </c>
      <c r="AD310">
        <v>180</v>
      </c>
      <c r="AE310">
        <v>0</v>
      </c>
      <c r="AF310">
        <v>0</v>
      </c>
      <c r="AG310">
        <v>120</v>
      </c>
      <c r="AH310">
        <v>180</v>
      </c>
      <c r="AI310">
        <v>1</v>
      </c>
      <c r="AK310">
        <v>2027</v>
      </c>
      <c r="AL310" s="61">
        <v>2.4329999999999998</v>
      </c>
      <c r="AM310" s="61">
        <v>0</v>
      </c>
      <c r="AN310" s="61">
        <v>2.4329999999999998</v>
      </c>
      <c r="AO310">
        <v>1</v>
      </c>
      <c r="AP310">
        <v>1.023385968321771</v>
      </c>
      <c r="AQ310">
        <v>1.023385968321771</v>
      </c>
      <c r="AR310" t="b">
        <v>1</v>
      </c>
      <c r="AS310">
        <v>120</v>
      </c>
      <c r="AT310">
        <v>180</v>
      </c>
      <c r="AU310">
        <v>150</v>
      </c>
    </row>
    <row r="311" spans="1:47" x14ac:dyDescent="0.25">
      <c r="A311" t="s">
        <v>359</v>
      </c>
      <c r="B311" t="s">
        <v>467</v>
      </c>
      <c r="C311" t="s">
        <v>320</v>
      </c>
      <c r="D311">
        <v>2026</v>
      </c>
      <c r="E311">
        <v>0</v>
      </c>
      <c r="F311">
        <v>15</v>
      </c>
      <c r="G311">
        <v>0</v>
      </c>
      <c r="H311">
        <v>0</v>
      </c>
      <c r="I311">
        <v>30</v>
      </c>
      <c r="J311">
        <v>45</v>
      </c>
      <c r="K311">
        <v>4</v>
      </c>
      <c r="L311">
        <v>2</v>
      </c>
      <c r="M311">
        <v>24</v>
      </c>
      <c r="N311">
        <v>0</v>
      </c>
      <c r="O311" t="s">
        <v>27</v>
      </c>
      <c r="P311" t="s">
        <v>443</v>
      </c>
      <c r="Q311">
        <v>2026</v>
      </c>
      <c r="R311">
        <v>2041</v>
      </c>
      <c r="S311" t="s">
        <v>444</v>
      </c>
      <c r="T311">
        <v>2027</v>
      </c>
      <c r="U311">
        <v>34.75</v>
      </c>
      <c r="V311">
        <v>1</v>
      </c>
      <c r="W311">
        <v>2027</v>
      </c>
      <c r="X311">
        <v>1</v>
      </c>
      <c r="Y311">
        <v>2027</v>
      </c>
      <c r="Z311">
        <v>1</v>
      </c>
      <c r="AA311">
        <v>120</v>
      </c>
      <c r="AB311">
        <v>180</v>
      </c>
      <c r="AC311">
        <v>120</v>
      </c>
      <c r="AD311">
        <v>180</v>
      </c>
      <c r="AE311">
        <v>0</v>
      </c>
      <c r="AF311">
        <v>0</v>
      </c>
      <c r="AG311">
        <v>120</v>
      </c>
      <c r="AH311">
        <v>180</v>
      </c>
      <c r="AI311">
        <v>1</v>
      </c>
      <c r="AJ311">
        <v>2.4329999999999998</v>
      </c>
      <c r="AK311">
        <v>2028</v>
      </c>
      <c r="AL311" s="61">
        <v>2.4220000000000002</v>
      </c>
      <c r="AM311" s="61">
        <v>2.4329999999999998</v>
      </c>
      <c r="AN311" s="61">
        <v>2.4220000000000002</v>
      </c>
      <c r="AO311">
        <v>1</v>
      </c>
      <c r="AP311">
        <v>1.0242242189602202</v>
      </c>
      <c r="AQ311">
        <v>1.0242242189602202</v>
      </c>
      <c r="AR311" t="b">
        <v>0</v>
      </c>
      <c r="AS311">
        <v>117.16184579370963</v>
      </c>
      <c r="AT311">
        <v>175.74276869056445</v>
      </c>
      <c r="AU311">
        <v>146.45230724213704</v>
      </c>
    </row>
    <row r="312" spans="1:47" x14ac:dyDescent="0.25">
      <c r="A312" t="s">
        <v>359</v>
      </c>
      <c r="B312" t="s">
        <v>467</v>
      </c>
      <c r="C312" t="s">
        <v>320</v>
      </c>
      <c r="D312">
        <v>2026</v>
      </c>
      <c r="E312">
        <v>0</v>
      </c>
      <c r="F312">
        <v>15</v>
      </c>
      <c r="G312">
        <v>0</v>
      </c>
      <c r="H312">
        <v>0</v>
      </c>
      <c r="I312">
        <v>30</v>
      </c>
      <c r="J312">
        <v>45</v>
      </c>
      <c r="K312">
        <v>4</v>
      </c>
      <c r="L312">
        <v>2</v>
      </c>
      <c r="M312">
        <v>24</v>
      </c>
      <c r="N312">
        <v>0</v>
      </c>
      <c r="O312" t="s">
        <v>27</v>
      </c>
      <c r="P312" t="s">
        <v>443</v>
      </c>
      <c r="Q312">
        <v>2026</v>
      </c>
      <c r="R312">
        <v>2041</v>
      </c>
      <c r="S312" t="s">
        <v>444</v>
      </c>
      <c r="T312">
        <v>2028</v>
      </c>
      <c r="U312">
        <v>35.75</v>
      </c>
      <c r="V312">
        <v>1</v>
      </c>
      <c r="W312">
        <v>2028</v>
      </c>
      <c r="X312">
        <v>2</v>
      </c>
      <c r="Y312">
        <v>2028</v>
      </c>
      <c r="Z312">
        <v>1</v>
      </c>
      <c r="AA312">
        <v>120</v>
      </c>
      <c r="AB312">
        <v>180</v>
      </c>
      <c r="AC312">
        <v>120</v>
      </c>
      <c r="AD312">
        <v>180</v>
      </c>
      <c r="AE312">
        <v>0</v>
      </c>
      <c r="AF312">
        <v>0</v>
      </c>
      <c r="AG312">
        <v>120</v>
      </c>
      <c r="AH312">
        <v>180</v>
      </c>
      <c r="AI312">
        <v>1</v>
      </c>
      <c r="AJ312">
        <v>2.4220000000000002</v>
      </c>
      <c r="AK312">
        <v>2029</v>
      </c>
      <c r="AL312" s="61">
        <v>2.4209999999999998</v>
      </c>
      <c r="AM312" s="61">
        <v>2.4220000000000002</v>
      </c>
      <c r="AN312" s="61">
        <v>2.4209999999999998</v>
      </c>
      <c r="AO312">
        <v>1.0242199999999999</v>
      </c>
      <c r="AP312">
        <v>1.0242103835598433</v>
      </c>
      <c r="AQ312">
        <v>1.0490167590496626</v>
      </c>
      <c r="AR312" t="b">
        <v>0</v>
      </c>
      <c r="AS312">
        <v>114.39283401793483</v>
      </c>
      <c r="AT312">
        <v>171.58925102690225</v>
      </c>
      <c r="AU312">
        <v>142.99104252241852</v>
      </c>
    </row>
    <row r="313" spans="1:47" x14ac:dyDescent="0.25">
      <c r="A313" t="s">
        <v>359</v>
      </c>
      <c r="B313" t="s">
        <v>467</v>
      </c>
      <c r="C313" t="s">
        <v>320</v>
      </c>
      <c r="D313">
        <v>2026</v>
      </c>
      <c r="E313">
        <v>0</v>
      </c>
      <c r="F313">
        <v>15</v>
      </c>
      <c r="G313">
        <v>0</v>
      </c>
      <c r="H313">
        <v>0</v>
      </c>
      <c r="I313">
        <v>30</v>
      </c>
      <c r="J313">
        <v>45</v>
      </c>
      <c r="K313">
        <v>4</v>
      </c>
      <c r="L313">
        <v>2</v>
      </c>
      <c r="M313">
        <v>24</v>
      </c>
      <c r="N313">
        <v>0</v>
      </c>
      <c r="O313" t="s">
        <v>27</v>
      </c>
      <c r="P313" t="s">
        <v>443</v>
      </c>
      <c r="Q313">
        <v>2026</v>
      </c>
      <c r="R313">
        <v>2041</v>
      </c>
      <c r="S313" t="s">
        <v>444</v>
      </c>
      <c r="T313">
        <v>2029</v>
      </c>
      <c r="U313">
        <v>36.75</v>
      </c>
      <c r="V313">
        <v>1</v>
      </c>
      <c r="W313">
        <v>2029</v>
      </c>
      <c r="X313">
        <v>3</v>
      </c>
      <c r="Y313">
        <v>2029</v>
      </c>
      <c r="Z313">
        <v>1</v>
      </c>
      <c r="AA313">
        <v>120</v>
      </c>
      <c r="AB313">
        <v>180</v>
      </c>
      <c r="AC313">
        <v>120</v>
      </c>
      <c r="AD313">
        <v>180</v>
      </c>
      <c r="AE313">
        <v>0</v>
      </c>
      <c r="AF313">
        <v>0</v>
      </c>
      <c r="AG313">
        <v>120</v>
      </c>
      <c r="AH313">
        <v>180</v>
      </c>
      <c r="AI313">
        <v>1</v>
      </c>
      <c r="AJ313">
        <v>2.4209999999999998</v>
      </c>
      <c r="AK313">
        <v>2030</v>
      </c>
      <c r="AL313" s="61">
        <v>2.4670000000000001</v>
      </c>
      <c r="AM313" s="61">
        <v>2.4209999999999998</v>
      </c>
      <c r="AN313" s="61">
        <v>2.4670000000000001</v>
      </c>
      <c r="AO313">
        <v>1.0490061241000002</v>
      </c>
      <c r="AP313">
        <v>1.0246523523547908</v>
      </c>
      <c r="AQ313">
        <v>1.0748665926936467</v>
      </c>
      <c r="AR313" t="b">
        <v>0</v>
      </c>
      <c r="AS313">
        <v>111.64176169926031</v>
      </c>
      <c r="AT313">
        <v>167.46264254889047</v>
      </c>
      <c r="AU313">
        <v>139.55220212407539</v>
      </c>
    </row>
    <row r="314" spans="1:47" x14ac:dyDescent="0.25">
      <c r="A314" t="s">
        <v>359</v>
      </c>
      <c r="B314" t="s">
        <v>467</v>
      </c>
      <c r="C314" t="s">
        <v>320</v>
      </c>
      <c r="D314">
        <v>2026</v>
      </c>
      <c r="E314">
        <v>0</v>
      </c>
      <c r="F314">
        <v>15</v>
      </c>
      <c r="G314">
        <v>0</v>
      </c>
      <c r="H314">
        <v>0</v>
      </c>
      <c r="I314">
        <v>30</v>
      </c>
      <c r="J314">
        <v>45</v>
      </c>
      <c r="K314">
        <v>4</v>
      </c>
      <c r="L314">
        <v>2</v>
      </c>
      <c r="M314">
        <v>24</v>
      </c>
      <c r="N314">
        <v>0</v>
      </c>
      <c r="O314" t="s">
        <v>27</v>
      </c>
      <c r="P314" t="s">
        <v>443</v>
      </c>
      <c r="Q314">
        <v>2026</v>
      </c>
      <c r="R314">
        <v>2041</v>
      </c>
      <c r="S314" t="s">
        <v>444</v>
      </c>
      <c r="T314">
        <v>2030</v>
      </c>
      <c r="U314">
        <v>37.75</v>
      </c>
      <c r="V314">
        <v>1</v>
      </c>
      <c r="W314">
        <v>2030</v>
      </c>
      <c r="X314">
        <v>4</v>
      </c>
      <c r="Y314">
        <v>2030</v>
      </c>
      <c r="Z314">
        <v>1</v>
      </c>
      <c r="AA314">
        <v>120</v>
      </c>
      <c r="AB314">
        <v>180</v>
      </c>
      <c r="AC314">
        <v>120</v>
      </c>
      <c r="AD314">
        <v>180</v>
      </c>
      <c r="AE314">
        <v>0</v>
      </c>
      <c r="AF314">
        <v>0</v>
      </c>
      <c r="AG314">
        <v>120</v>
      </c>
      <c r="AH314">
        <v>180</v>
      </c>
      <c r="AI314">
        <v>1</v>
      </c>
      <c r="AJ314">
        <v>2.4670000000000001</v>
      </c>
      <c r="AK314">
        <v>2031</v>
      </c>
      <c r="AL314" s="61">
        <v>2.5169999999999999</v>
      </c>
      <c r="AM314" s="61">
        <v>2.4670000000000001</v>
      </c>
      <c r="AN314" s="61">
        <v>2.5169999999999999</v>
      </c>
      <c r="AO314">
        <v>1.0758508410815628</v>
      </c>
      <c r="AP314">
        <v>1.0251508174189523</v>
      </c>
      <c r="AQ314">
        <v>1.1029093691556315</v>
      </c>
      <c r="AR314" t="b">
        <v>0</v>
      </c>
      <c r="AS314">
        <v>108.80313773367429</v>
      </c>
      <c r="AT314">
        <v>163.20470660051143</v>
      </c>
      <c r="AU314">
        <v>136.00392216709287</v>
      </c>
    </row>
    <row r="315" spans="1:47" x14ac:dyDescent="0.25">
      <c r="A315" t="s">
        <v>359</v>
      </c>
      <c r="B315" t="s">
        <v>467</v>
      </c>
      <c r="C315" t="s">
        <v>320</v>
      </c>
      <c r="D315">
        <v>2026</v>
      </c>
      <c r="E315">
        <v>0</v>
      </c>
      <c r="F315">
        <v>15</v>
      </c>
      <c r="G315">
        <v>0</v>
      </c>
      <c r="H315">
        <v>0</v>
      </c>
      <c r="I315">
        <v>30</v>
      </c>
      <c r="J315">
        <v>45</v>
      </c>
      <c r="K315">
        <v>4</v>
      </c>
      <c r="L315">
        <v>2</v>
      </c>
      <c r="M315">
        <v>24</v>
      </c>
      <c r="N315">
        <v>0</v>
      </c>
      <c r="O315" t="s">
        <v>27</v>
      </c>
      <c r="P315" t="s">
        <v>443</v>
      </c>
      <c r="Q315">
        <v>2026</v>
      </c>
      <c r="R315">
        <v>2041</v>
      </c>
      <c r="S315" t="s">
        <v>444</v>
      </c>
      <c r="T315">
        <v>2031</v>
      </c>
      <c r="U315">
        <v>38.75</v>
      </c>
      <c r="V315">
        <v>1</v>
      </c>
      <c r="W315">
        <v>2031</v>
      </c>
      <c r="X315">
        <v>5</v>
      </c>
      <c r="Y315">
        <v>2031</v>
      </c>
      <c r="Z315">
        <v>1</v>
      </c>
      <c r="AA315">
        <v>120</v>
      </c>
      <c r="AB315">
        <v>180</v>
      </c>
      <c r="AC315">
        <v>120</v>
      </c>
      <c r="AD315">
        <v>180</v>
      </c>
      <c r="AE315">
        <v>0</v>
      </c>
      <c r="AF315">
        <v>0</v>
      </c>
      <c r="AG315">
        <v>120</v>
      </c>
      <c r="AH315">
        <v>180</v>
      </c>
      <c r="AI315">
        <v>1</v>
      </c>
      <c r="AJ315">
        <v>2.5169999999999999</v>
      </c>
      <c r="AK315">
        <v>2032</v>
      </c>
      <c r="AL315" s="61">
        <v>2.59</v>
      </c>
      <c r="AM315" s="61">
        <v>2.5169999999999999</v>
      </c>
      <c r="AN315" s="61">
        <v>2.59</v>
      </c>
      <c r="AO315">
        <v>1.1045453584485188</v>
      </c>
      <c r="AP315">
        <v>1.0258719904156592</v>
      </c>
      <c r="AQ315">
        <v>1.1331221453759597</v>
      </c>
      <c r="AR315" t="b">
        <v>0</v>
      </c>
      <c r="AS315">
        <v>105.90208698126281</v>
      </c>
      <c r="AT315">
        <v>158.85313047189422</v>
      </c>
      <c r="AU315">
        <v>132.3776087265785</v>
      </c>
    </row>
    <row r="316" spans="1:47" x14ac:dyDescent="0.25">
      <c r="A316" t="s">
        <v>359</v>
      </c>
      <c r="B316" t="s">
        <v>467</v>
      </c>
      <c r="C316" t="s">
        <v>320</v>
      </c>
      <c r="D316">
        <v>2026</v>
      </c>
      <c r="E316">
        <v>0</v>
      </c>
      <c r="F316">
        <v>15</v>
      </c>
      <c r="G316">
        <v>0</v>
      </c>
      <c r="H316">
        <v>0</v>
      </c>
      <c r="I316">
        <v>30</v>
      </c>
      <c r="J316">
        <v>45</v>
      </c>
      <c r="K316">
        <v>4</v>
      </c>
      <c r="L316">
        <v>2</v>
      </c>
      <c r="M316">
        <v>24</v>
      </c>
      <c r="N316">
        <v>0</v>
      </c>
      <c r="O316" t="s">
        <v>27</v>
      </c>
      <c r="P316" t="s">
        <v>443</v>
      </c>
      <c r="Q316">
        <v>2026</v>
      </c>
      <c r="R316">
        <v>2041</v>
      </c>
      <c r="S316" t="s">
        <v>444</v>
      </c>
      <c r="T316">
        <v>2032</v>
      </c>
      <c r="U316">
        <v>39.75</v>
      </c>
      <c r="V316">
        <v>1</v>
      </c>
      <c r="W316">
        <v>2032</v>
      </c>
      <c r="X316">
        <v>6</v>
      </c>
      <c r="Y316">
        <v>2032</v>
      </c>
      <c r="Z316">
        <v>1</v>
      </c>
      <c r="AA316">
        <v>120</v>
      </c>
      <c r="AB316">
        <v>180</v>
      </c>
      <c r="AC316">
        <v>120</v>
      </c>
      <c r="AD316">
        <v>180</v>
      </c>
      <c r="AE316">
        <v>0</v>
      </c>
      <c r="AF316">
        <v>0</v>
      </c>
      <c r="AG316">
        <v>120</v>
      </c>
      <c r="AH316">
        <v>180</v>
      </c>
      <c r="AI316">
        <v>1</v>
      </c>
      <c r="AJ316">
        <v>2.59</v>
      </c>
      <c r="AK316">
        <v>2033</v>
      </c>
      <c r="AL316" s="61">
        <v>2.6880000000000002</v>
      </c>
      <c r="AM316" s="61">
        <v>2.59</v>
      </c>
      <c r="AN316" s="61">
        <v>2.6880000000000002</v>
      </c>
      <c r="AO316">
        <v>1.1363841013749196</v>
      </c>
      <c r="AP316">
        <v>1.0268423936996114</v>
      </c>
      <c r="AQ316">
        <v>1.1668873708180043</v>
      </c>
      <c r="AR316" t="b">
        <v>0</v>
      </c>
      <c r="AS316">
        <v>102.83768853876474</v>
      </c>
      <c r="AT316">
        <v>154.25653280814711</v>
      </c>
      <c r="AU316">
        <v>128.54711067345593</v>
      </c>
    </row>
    <row r="317" spans="1:47" x14ac:dyDescent="0.25">
      <c r="A317" t="s">
        <v>359</v>
      </c>
      <c r="B317" t="s">
        <v>467</v>
      </c>
      <c r="C317" t="s">
        <v>320</v>
      </c>
      <c r="D317">
        <v>2026</v>
      </c>
      <c r="E317">
        <v>0</v>
      </c>
      <c r="F317">
        <v>15</v>
      </c>
      <c r="G317">
        <v>0</v>
      </c>
      <c r="H317">
        <v>0</v>
      </c>
      <c r="I317">
        <v>30</v>
      </c>
      <c r="J317">
        <v>45</v>
      </c>
      <c r="K317">
        <v>4</v>
      </c>
      <c r="L317">
        <v>2</v>
      </c>
      <c r="M317">
        <v>24</v>
      </c>
      <c r="N317">
        <v>0</v>
      </c>
      <c r="O317" t="s">
        <v>27</v>
      </c>
      <c r="P317" t="s">
        <v>443</v>
      </c>
      <c r="Q317">
        <v>2026</v>
      </c>
      <c r="R317">
        <v>2041</v>
      </c>
      <c r="S317" t="s">
        <v>444</v>
      </c>
      <c r="T317">
        <v>2033</v>
      </c>
      <c r="U317">
        <v>40.75</v>
      </c>
      <c r="V317">
        <v>1</v>
      </c>
      <c r="W317">
        <v>2033</v>
      </c>
      <c r="X317">
        <v>7</v>
      </c>
      <c r="Y317">
        <v>2033</v>
      </c>
      <c r="Z317">
        <v>1</v>
      </c>
      <c r="AA317">
        <v>120</v>
      </c>
      <c r="AB317">
        <v>180</v>
      </c>
      <c r="AC317">
        <v>120</v>
      </c>
      <c r="AD317">
        <v>180</v>
      </c>
      <c r="AE317">
        <v>0</v>
      </c>
      <c r="AF317">
        <v>0</v>
      </c>
      <c r="AG317">
        <v>120</v>
      </c>
      <c r="AH317">
        <v>180</v>
      </c>
      <c r="AI317">
        <v>1</v>
      </c>
      <c r="AJ317">
        <v>2.6880000000000002</v>
      </c>
      <c r="AK317">
        <v>2034</v>
      </c>
      <c r="AL317" s="61">
        <v>2.7519999999999998</v>
      </c>
      <c r="AM317" s="61">
        <v>2.6880000000000002</v>
      </c>
      <c r="AN317" s="61">
        <v>2.7519999999999998</v>
      </c>
      <c r="AO317">
        <v>1.1725143659072164</v>
      </c>
      <c r="AP317">
        <v>1.0274954447000768</v>
      </c>
      <c r="AQ317">
        <v>1.2047531698150638</v>
      </c>
      <c r="AR317" t="b">
        <v>0</v>
      </c>
      <c r="AS317">
        <v>99.605465257601821</v>
      </c>
      <c r="AT317">
        <v>149.40819788640275</v>
      </c>
      <c r="AU317">
        <v>124.50683157200228</v>
      </c>
    </row>
    <row r="318" spans="1:47" x14ac:dyDescent="0.25">
      <c r="A318" t="s">
        <v>359</v>
      </c>
      <c r="B318" t="s">
        <v>467</v>
      </c>
      <c r="C318" t="s">
        <v>320</v>
      </c>
      <c r="D318">
        <v>2026</v>
      </c>
      <c r="E318">
        <v>0</v>
      </c>
      <c r="F318">
        <v>15</v>
      </c>
      <c r="G318">
        <v>0</v>
      </c>
      <c r="H318">
        <v>0</v>
      </c>
      <c r="I318">
        <v>30</v>
      </c>
      <c r="J318">
        <v>45</v>
      </c>
      <c r="K318">
        <v>4</v>
      </c>
      <c r="L318">
        <v>2</v>
      </c>
      <c r="M318">
        <v>24</v>
      </c>
      <c r="N318">
        <v>0</v>
      </c>
      <c r="O318" t="s">
        <v>27</v>
      </c>
      <c r="P318" t="s">
        <v>443</v>
      </c>
      <c r="Q318">
        <v>2026</v>
      </c>
      <c r="R318">
        <v>2041</v>
      </c>
      <c r="S318" t="s">
        <v>444</v>
      </c>
      <c r="T318">
        <v>2034</v>
      </c>
      <c r="U318">
        <v>41.75</v>
      </c>
      <c r="V318">
        <v>1</v>
      </c>
      <c r="W318">
        <v>2034</v>
      </c>
      <c r="X318">
        <v>8</v>
      </c>
      <c r="Y318">
        <v>2034</v>
      </c>
      <c r="Z318">
        <v>1</v>
      </c>
      <c r="AA318">
        <v>120</v>
      </c>
      <c r="AB318">
        <v>180</v>
      </c>
      <c r="AC318">
        <v>120</v>
      </c>
      <c r="AD318">
        <v>180</v>
      </c>
      <c r="AE318">
        <v>0</v>
      </c>
      <c r="AF318">
        <v>0</v>
      </c>
      <c r="AG318">
        <v>120</v>
      </c>
      <c r="AH318">
        <v>180</v>
      </c>
      <c r="AI318">
        <v>1</v>
      </c>
      <c r="AJ318">
        <v>2.7519999999999998</v>
      </c>
      <c r="AK318">
        <v>2035</v>
      </c>
      <c r="AL318" s="61">
        <v>2.8420000000000001</v>
      </c>
      <c r="AM318" s="61">
        <v>2.7519999999999998</v>
      </c>
      <c r="AN318" s="61">
        <v>2.8420000000000001</v>
      </c>
      <c r="AO318">
        <v>1.2092942481281721</v>
      </c>
      <c r="AP318">
        <v>1.0283854649181425</v>
      </c>
      <c r="AQ318">
        <v>1.2436206275841259</v>
      </c>
      <c r="AR318" t="b">
        <v>0</v>
      </c>
      <c r="AS318">
        <v>96.492449014064363</v>
      </c>
      <c r="AT318">
        <v>144.73867352109656</v>
      </c>
      <c r="AU318">
        <v>120.61556126758046</v>
      </c>
    </row>
    <row r="319" spans="1:47" x14ac:dyDescent="0.25">
      <c r="A319" t="s">
        <v>359</v>
      </c>
      <c r="B319" t="s">
        <v>467</v>
      </c>
      <c r="C319" t="s">
        <v>320</v>
      </c>
      <c r="D319">
        <v>2026</v>
      </c>
      <c r="E319">
        <v>0</v>
      </c>
      <c r="F319">
        <v>15</v>
      </c>
      <c r="G319">
        <v>0</v>
      </c>
      <c r="H319">
        <v>0</v>
      </c>
      <c r="I319">
        <v>30</v>
      </c>
      <c r="J319">
        <v>45</v>
      </c>
      <c r="K319">
        <v>4</v>
      </c>
      <c r="L319">
        <v>2</v>
      </c>
      <c r="M319">
        <v>24</v>
      </c>
      <c r="N319">
        <v>0</v>
      </c>
      <c r="O319" t="s">
        <v>27</v>
      </c>
      <c r="P319" t="s">
        <v>443</v>
      </c>
      <c r="Q319">
        <v>2026</v>
      </c>
      <c r="R319">
        <v>2041</v>
      </c>
      <c r="S319" t="s">
        <v>444</v>
      </c>
      <c r="T319">
        <v>2035</v>
      </c>
      <c r="U319">
        <v>42.75</v>
      </c>
      <c r="V319">
        <v>1</v>
      </c>
      <c r="W319">
        <v>2035</v>
      </c>
      <c r="X319">
        <v>9</v>
      </c>
      <c r="Y319">
        <v>2035</v>
      </c>
      <c r="Z319">
        <v>1</v>
      </c>
      <c r="AA319">
        <v>120</v>
      </c>
      <c r="AB319">
        <v>180</v>
      </c>
      <c r="AC319">
        <v>120</v>
      </c>
      <c r="AD319">
        <v>180</v>
      </c>
      <c r="AE319">
        <v>0</v>
      </c>
      <c r="AF319">
        <v>0</v>
      </c>
      <c r="AG319">
        <v>120</v>
      </c>
      <c r="AH319">
        <v>180</v>
      </c>
      <c r="AI319">
        <v>1</v>
      </c>
      <c r="AJ319">
        <v>2.8420000000000001</v>
      </c>
      <c r="AK319">
        <v>2036</v>
      </c>
      <c r="AL319" s="61">
        <v>2.944</v>
      </c>
      <c r="AM319" s="61">
        <v>2.8420000000000001</v>
      </c>
      <c r="AN319" s="61">
        <v>2.944</v>
      </c>
      <c r="AO319">
        <v>1.2513076834571593</v>
      </c>
      <c r="AP319">
        <v>1.0294008580614105</v>
      </c>
      <c r="AQ319">
        <v>1.2880972030496356</v>
      </c>
      <c r="AR319" t="b">
        <v>0</v>
      </c>
      <c r="AS319">
        <v>93.160671194606977</v>
      </c>
      <c r="AT319">
        <v>139.74100679191045</v>
      </c>
      <c r="AU319">
        <v>116.45083899325871</v>
      </c>
    </row>
    <row r="320" spans="1:47" x14ac:dyDescent="0.25">
      <c r="A320" t="s">
        <v>359</v>
      </c>
      <c r="B320" t="s">
        <v>467</v>
      </c>
      <c r="C320" t="s">
        <v>320</v>
      </c>
      <c r="D320">
        <v>2026</v>
      </c>
      <c r="E320">
        <v>0</v>
      </c>
      <c r="F320">
        <v>15</v>
      </c>
      <c r="G320">
        <v>0</v>
      </c>
      <c r="H320">
        <v>0</v>
      </c>
      <c r="I320">
        <v>30</v>
      </c>
      <c r="J320">
        <v>45</v>
      </c>
      <c r="K320">
        <v>4</v>
      </c>
      <c r="L320">
        <v>2</v>
      </c>
      <c r="M320">
        <v>24</v>
      </c>
      <c r="N320">
        <v>0</v>
      </c>
      <c r="O320" t="s">
        <v>27</v>
      </c>
      <c r="P320" t="s">
        <v>443</v>
      </c>
      <c r="Q320">
        <v>2026</v>
      </c>
      <c r="R320">
        <v>2041</v>
      </c>
      <c r="S320" t="s">
        <v>444</v>
      </c>
      <c r="T320">
        <v>2036</v>
      </c>
      <c r="U320">
        <v>43.75</v>
      </c>
      <c r="V320">
        <v>1</v>
      </c>
      <c r="W320">
        <v>2036</v>
      </c>
      <c r="X320">
        <v>10</v>
      </c>
      <c r="Y320">
        <v>2036</v>
      </c>
      <c r="Z320">
        <v>1</v>
      </c>
      <c r="AA320">
        <v>120</v>
      </c>
      <c r="AB320">
        <v>180</v>
      </c>
      <c r="AC320">
        <v>120</v>
      </c>
      <c r="AD320">
        <v>180</v>
      </c>
      <c r="AE320">
        <v>0</v>
      </c>
      <c r="AF320">
        <v>0</v>
      </c>
      <c r="AG320">
        <v>120</v>
      </c>
      <c r="AH320">
        <v>180</v>
      </c>
      <c r="AI320">
        <v>1</v>
      </c>
      <c r="AJ320">
        <v>2.944</v>
      </c>
      <c r="AK320">
        <v>2037</v>
      </c>
      <c r="AL320" s="61">
        <v>3.036</v>
      </c>
      <c r="AM320" s="61">
        <v>2.944</v>
      </c>
      <c r="AN320" s="61">
        <v>3.036</v>
      </c>
      <c r="AO320">
        <v>1.2984025298030446</v>
      </c>
      <c r="AP320">
        <v>1.0303246971701443</v>
      </c>
      <c r="AQ320">
        <v>1.3377761933242711</v>
      </c>
      <c r="AR320" t="b">
        <v>0</v>
      </c>
      <c r="AS320">
        <v>89.701102919023555</v>
      </c>
      <c r="AT320">
        <v>134.55165437853535</v>
      </c>
      <c r="AU320">
        <v>112.12637864877945</v>
      </c>
    </row>
    <row r="321" spans="1:47" x14ac:dyDescent="0.25">
      <c r="A321" t="s">
        <v>359</v>
      </c>
      <c r="B321" t="s">
        <v>467</v>
      </c>
      <c r="C321" t="s">
        <v>320</v>
      </c>
      <c r="D321">
        <v>2026</v>
      </c>
      <c r="E321">
        <v>0</v>
      </c>
      <c r="F321">
        <v>15</v>
      </c>
      <c r="G321">
        <v>0</v>
      </c>
      <c r="H321">
        <v>0</v>
      </c>
      <c r="I321">
        <v>30</v>
      </c>
      <c r="J321">
        <v>45</v>
      </c>
      <c r="K321">
        <v>4</v>
      </c>
      <c r="L321">
        <v>2</v>
      </c>
      <c r="M321">
        <v>24</v>
      </c>
      <c r="N321">
        <v>0</v>
      </c>
      <c r="O321" t="s">
        <v>27</v>
      </c>
      <c r="P321" t="s">
        <v>443</v>
      </c>
      <c r="Q321">
        <v>2026</v>
      </c>
      <c r="R321">
        <v>2041</v>
      </c>
      <c r="S321" t="s">
        <v>444</v>
      </c>
      <c r="T321">
        <v>2037</v>
      </c>
      <c r="U321">
        <v>44.75</v>
      </c>
      <c r="V321">
        <v>1</v>
      </c>
      <c r="W321">
        <v>2037</v>
      </c>
      <c r="X321">
        <v>11</v>
      </c>
      <c r="Y321">
        <v>2037</v>
      </c>
      <c r="Z321">
        <v>1</v>
      </c>
      <c r="AA321">
        <v>120</v>
      </c>
      <c r="AB321">
        <v>180</v>
      </c>
      <c r="AC321">
        <v>120</v>
      </c>
      <c r="AD321">
        <v>180</v>
      </c>
      <c r="AE321">
        <v>0</v>
      </c>
      <c r="AF321">
        <v>0</v>
      </c>
      <c r="AG321">
        <v>120</v>
      </c>
      <c r="AH321">
        <v>180</v>
      </c>
      <c r="AI321">
        <v>1</v>
      </c>
      <c r="AJ321">
        <v>3.036</v>
      </c>
      <c r="AK321">
        <v>2038</v>
      </c>
      <c r="AL321" s="61">
        <v>3.1339999999999999</v>
      </c>
      <c r="AM321" s="61">
        <v>3.036</v>
      </c>
      <c r="AN321" s="61">
        <v>3.1339999999999999</v>
      </c>
      <c r="AO321">
        <v>1.3486209574989538</v>
      </c>
      <c r="AP321">
        <v>1.0313023937742947</v>
      </c>
      <c r="AQ321">
        <v>1.3908360217628524</v>
      </c>
      <c r="AR321" t="b">
        <v>0</v>
      </c>
      <c r="AS321">
        <v>86.279042333044259</v>
      </c>
      <c r="AT321">
        <v>129.41856349956637</v>
      </c>
      <c r="AU321">
        <v>107.84880291630532</v>
      </c>
    </row>
    <row r="322" spans="1:47" x14ac:dyDescent="0.25">
      <c r="A322" t="s">
        <v>359</v>
      </c>
      <c r="B322" t="s">
        <v>467</v>
      </c>
      <c r="C322" t="s">
        <v>320</v>
      </c>
      <c r="D322">
        <v>2026</v>
      </c>
      <c r="E322">
        <v>0</v>
      </c>
      <c r="F322">
        <v>15</v>
      </c>
      <c r="G322">
        <v>0</v>
      </c>
      <c r="H322">
        <v>0</v>
      </c>
      <c r="I322">
        <v>30</v>
      </c>
      <c r="J322">
        <v>45</v>
      </c>
      <c r="K322">
        <v>4</v>
      </c>
      <c r="L322">
        <v>2</v>
      </c>
      <c r="M322">
        <v>24</v>
      </c>
      <c r="N322">
        <v>0</v>
      </c>
      <c r="O322" t="s">
        <v>27</v>
      </c>
      <c r="P322" t="s">
        <v>443</v>
      </c>
      <c r="Q322">
        <v>2026</v>
      </c>
      <c r="R322">
        <v>2041</v>
      </c>
      <c r="S322" t="s">
        <v>444</v>
      </c>
      <c r="T322">
        <v>2038</v>
      </c>
      <c r="U322">
        <v>45.75</v>
      </c>
      <c r="V322">
        <v>1</v>
      </c>
      <c r="W322">
        <v>2038</v>
      </c>
      <c r="X322">
        <v>12</v>
      </c>
      <c r="Y322">
        <v>2038</v>
      </c>
      <c r="Z322">
        <v>1</v>
      </c>
      <c r="AA322">
        <v>120</v>
      </c>
      <c r="AB322">
        <v>180</v>
      </c>
      <c r="AC322">
        <v>120</v>
      </c>
      <c r="AD322">
        <v>180</v>
      </c>
      <c r="AE322">
        <v>0</v>
      </c>
      <c r="AF322">
        <v>0</v>
      </c>
      <c r="AG322">
        <v>120</v>
      </c>
      <c r="AH322">
        <v>180</v>
      </c>
      <c r="AI322">
        <v>1</v>
      </c>
      <c r="AJ322">
        <v>3.1339999999999999</v>
      </c>
      <c r="AK322">
        <v>2039</v>
      </c>
      <c r="AL322" s="61">
        <v>3.2069999999999999</v>
      </c>
      <c r="AM322" s="61">
        <v>3.1339999999999999</v>
      </c>
      <c r="AN322" s="61">
        <v>3.2069999999999999</v>
      </c>
      <c r="AO322">
        <v>1.4041725591738043</v>
      </c>
      <c r="AP322">
        <v>1.0320419904729838</v>
      </c>
      <c r="AQ322">
        <v>1.4491650429372767</v>
      </c>
      <c r="AR322" t="b">
        <v>0</v>
      </c>
      <c r="AS322">
        <v>82.806303246713</v>
      </c>
      <c r="AT322">
        <v>124.20945487006951</v>
      </c>
      <c r="AU322">
        <v>103.50787905839125</v>
      </c>
    </row>
    <row r="323" spans="1:47" x14ac:dyDescent="0.25">
      <c r="A323" t="s">
        <v>359</v>
      </c>
      <c r="B323" t="s">
        <v>467</v>
      </c>
      <c r="C323" t="s">
        <v>320</v>
      </c>
      <c r="D323">
        <v>2026</v>
      </c>
      <c r="E323">
        <v>0</v>
      </c>
      <c r="F323">
        <v>15</v>
      </c>
      <c r="G323">
        <v>0</v>
      </c>
      <c r="H323">
        <v>0</v>
      </c>
      <c r="I323">
        <v>30</v>
      </c>
      <c r="J323">
        <v>45</v>
      </c>
      <c r="K323">
        <v>4</v>
      </c>
      <c r="L323">
        <v>2</v>
      </c>
      <c r="M323">
        <v>24</v>
      </c>
      <c r="N323">
        <v>0</v>
      </c>
      <c r="O323" t="s">
        <v>27</v>
      </c>
      <c r="P323" t="s">
        <v>443</v>
      </c>
      <c r="Q323">
        <v>2026</v>
      </c>
      <c r="R323">
        <v>2041</v>
      </c>
      <c r="S323" t="s">
        <v>444</v>
      </c>
      <c r="T323">
        <v>2039</v>
      </c>
      <c r="U323">
        <v>46.75</v>
      </c>
      <c r="V323">
        <v>1</v>
      </c>
      <c r="W323">
        <v>2039</v>
      </c>
      <c r="X323">
        <v>13</v>
      </c>
      <c r="Y323">
        <v>2039</v>
      </c>
      <c r="Z323">
        <v>1</v>
      </c>
      <c r="AA323">
        <v>120</v>
      </c>
      <c r="AB323">
        <v>180</v>
      </c>
      <c r="AC323">
        <v>120</v>
      </c>
      <c r="AD323">
        <v>180</v>
      </c>
      <c r="AE323">
        <v>0</v>
      </c>
      <c r="AF323">
        <v>0</v>
      </c>
      <c r="AG323">
        <v>120</v>
      </c>
      <c r="AH323">
        <v>180</v>
      </c>
      <c r="AI323">
        <v>1</v>
      </c>
      <c r="AJ323">
        <v>3.2069999999999999</v>
      </c>
      <c r="AK323">
        <v>2040</v>
      </c>
      <c r="AL323" s="61">
        <v>3.3029999999999999</v>
      </c>
      <c r="AM323" s="61">
        <v>3.2069999999999999</v>
      </c>
      <c r="AN323" s="61">
        <v>3.3029999999999999</v>
      </c>
      <c r="AO323">
        <v>1.4605278779269859</v>
      </c>
      <c r="AP323">
        <v>1.0329931616190409</v>
      </c>
      <c r="AQ323">
        <v>1.5087153102525457</v>
      </c>
      <c r="AR323" t="b">
        <v>0</v>
      </c>
      <c r="AS323">
        <v>79.537868532608087</v>
      </c>
      <c r="AT323">
        <v>119.30680279891213</v>
      </c>
      <c r="AU323">
        <v>99.422335665760102</v>
      </c>
    </row>
    <row r="324" spans="1:47" x14ac:dyDescent="0.25">
      <c r="A324" t="s">
        <v>359</v>
      </c>
      <c r="B324" t="s">
        <v>467</v>
      </c>
      <c r="C324" t="s">
        <v>320</v>
      </c>
      <c r="D324">
        <v>2026</v>
      </c>
      <c r="E324">
        <v>0</v>
      </c>
      <c r="F324">
        <v>15</v>
      </c>
      <c r="G324">
        <v>0</v>
      </c>
      <c r="H324">
        <v>0</v>
      </c>
      <c r="I324">
        <v>30</v>
      </c>
      <c r="J324">
        <v>45</v>
      </c>
      <c r="K324">
        <v>4</v>
      </c>
      <c r="L324">
        <v>2</v>
      </c>
      <c r="M324">
        <v>24</v>
      </c>
      <c r="N324">
        <v>0</v>
      </c>
      <c r="O324" t="s">
        <v>27</v>
      </c>
      <c r="P324" t="s">
        <v>443</v>
      </c>
      <c r="Q324">
        <v>2026</v>
      </c>
      <c r="R324">
        <v>2041</v>
      </c>
      <c r="S324" t="s">
        <v>444</v>
      </c>
      <c r="T324">
        <v>2040</v>
      </c>
      <c r="U324">
        <v>47.75</v>
      </c>
      <c r="V324">
        <v>1</v>
      </c>
      <c r="W324">
        <v>2040</v>
      </c>
      <c r="X324">
        <v>14</v>
      </c>
      <c r="Y324">
        <v>2040</v>
      </c>
      <c r="Z324">
        <v>1</v>
      </c>
      <c r="AA324">
        <v>120</v>
      </c>
      <c r="AB324">
        <v>180</v>
      </c>
      <c r="AC324">
        <v>120</v>
      </c>
      <c r="AD324">
        <v>180</v>
      </c>
      <c r="AE324">
        <v>0</v>
      </c>
      <c r="AF324">
        <v>0</v>
      </c>
      <c r="AG324">
        <v>120</v>
      </c>
      <c r="AH324">
        <v>180</v>
      </c>
      <c r="AI324">
        <v>1</v>
      </c>
      <c r="AJ324">
        <v>3.3029999999999999</v>
      </c>
      <c r="AK324">
        <v>2041</v>
      </c>
      <c r="AL324" s="61">
        <v>3.3559999999999999</v>
      </c>
      <c r="AM324" s="61">
        <v>3.3029999999999999</v>
      </c>
      <c r="AN324" s="61">
        <v>3.3559999999999999</v>
      </c>
      <c r="AO324">
        <v>1.5256964700083253</v>
      </c>
      <c r="AP324">
        <v>1.0335396662189136</v>
      </c>
      <c r="AQ324">
        <v>1.5768678203637791</v>
      </c>
      <c r="AR324" t="b">
        <v>0</v>
      </c>
      <c r="AS324">
        <v>76.100227584272929</v>
      </c>
      <c r="AT324">
        <v>114.1503413764094</v>
      </c>
      <c r="AU324">
        <v>95.125284480341165</v>
      </c>
    </row>
    <row r="325" spans="1:47" x14ac:dyDescent="0.25">
      <c r="A325" t="s">
        <v>359</v>
      </c>
      <c r="B325" t="s">
        <v>467</v>
      </c>
      <c r="C325" t="s">
        <v>320</v>
      </c>
      <c r="D325">
        <v>2026</v>
      </c>
      <c r="E325">
        <v>0</v>
      </c>
      <c r="M325">
        <v>24</v>
      </c>
      <c r="Q325">
        <v>2026</v>
      </c>
      <c r="R325">
        <v>2041</v>
      </c>
      <c r="T325">
        <v>2041</v>
      </c>
      <c r="U325">
        <v>48.75</v>
      </c>
      <c r="W325">
        <v>2041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L325" s="61"/>
      <c r="AS325">
        <v>0</v>
      </c>
      <c r="AT325">
        <v>0</v>
      </c>
      <c r="AU325">
        <v>0</v>
      </c>
    </row>
    <row r="326" spans="1:47" x14ac:dyDescent="0.25">
      <c r="A326" t="s">
        <v>333</v>
      </c>
      <c r="B326" t="s">
        <v>468</v>
      </c>
      <c r="C326" t="s">
        <v>319</v>
      </c>
      <c r="D326">
        <v>2026</v>
      </c>
      <c r="E326">
        <v>0</v>
      </c>
      <c r="F326">
        <v>10</v>
      </c>
      <c r="G326">
        <v>0</v>
      </c>
      <c r="H326">
        <v>0</v>
      </c>
      <c r="I326">
        <v>50</v>
      </c>
      <c r="J326">
        <v>250</v>
      </c>
      <c r="K326">
        <v>1</v>
      </c>
      <c r="L326">
        <v>1</v>
      </c>
      <c r="M326">
        <v>25</v>
      </c>
      <c r="N326">
        <v>0</v>
      </c>
      <c r="O326" t="s">
        <v>27</v>
      </c>
      <c r="P326" t="s">
        <v>443</v>
      </c>
      <c r="Q326">
        <v>2026</v>
      </c>
      <c r="R326">
        <v>2036</v>
      </c>
      <c r="S326" t="s">
        <v>444</v>
      </c>
      <c r="T326">
        <v>2026</v>
      </c>
      <c r="U326">
        <v>33.75</v>
      </c>
      <c r="V326">
        <v>1</v>
      </c>
      <c r="W326">
        <v>2026</v>
      </c>
      <c r="X326">
        <v>0</v>
      </c>
      <c r="Y326">
        <v>2026</v>
      </c>
      <c r="Z326">
        <v>1</v>
      </c>
      <c r="AA326">
        <v>50</v>
      </c>
      <c r="AB326">
        <v>250</v>
      </c>
      <c r="AC326">
        <v>50</v>
      </c>
      <c r="AD326">
        <v>250</v>
      </c>
      <c r="AE326">
        <v>0</v>
      </c>
      <c r="AF326">
        <v>0</v>
      </c>
      <c r="AG326">
        <v>50</v>
      </c>
      <c r="AH326">
        <v>250</v>
      </c>
      <c r="AI326">
        <v>1</v>
      </c>
      <c r="AK326">
        <v>2027</v>
      </c>
      <c r="AL326" s="61">
        <v>2.4329999999999998</v>
      </c>
      <c r="AM326" s="61">
        <v>0</v>
      </c>
      <c r="AN326" s="61">
        <v>2.4329999999999998</v>
      </c>
      <c r="AO326">
        <v>1</v>
      </c>
      <c r="AP326">
        <v>1.023385968321771</v>
      </c>
      <c r="AQ326">
        <v>1.023385968321771</v>
      </c>
      <c r="AR326" t="b">
        <v>1</v>
      </c>
      <c r="AS326">
        <v>50</v>
      </c>
      <c r="AT326">
        <v>250</v>
      </c>
      <c r="AU326">
        <v>150</v>
      </c>
    </row>
    <row r="327" spans="1:47" x14ac:dyDescent="0.25">
      <c r="A327" t="s">
        <v>333</v>
      </c>
      <c r="B327" t="s">
        <v>468</v>
      </c>
      <c r="C327" t="s">
        <v>319</v>
      </c>
      <c r="D327">
        <v>2026</v>
      </c>
      <c r="E327">
        <v>0</v>
      </c>
      <c r="F327">
        <v>10</v>
      </c>
      <c r="G327">
        <v>0</v>
      </c>
      <c r="H327">
        <v>0</v>
      </c>
      <c r="I327">
        <v>50</v>
      </c>
      <c r="J327">
        <v>250</v>
      </c>
      <c r="K327">
        <v>1</v>
      </c>
      <c r="L327">
        <v>1</v>
      </c>
      <c r="M327">
        <v>25</v>
      </c>
      <c r="N327">
        <v>0</v>
      </c>
      <c r="O327" t="s">
        <v>27</v>
      </c>
      <c r="P327" t="s">
        <v>443</v>
      </c>
      <c r="Q327">
        <v>2026</v>
      </c>
      <c r="R327">
        <v>2036</v>
      </c>
      <c r="S327" t="s">
        <v>444</v>
      </c>
      <c r="T327">
        <v>2027</v>
      </c>
      <c r="U327">
        <v>34.75</v>
      </c>
      <c r="V327">
        <v>1</v>
      </c>
      <c r="W327">
        <v>2027</v>
      </c>
      <c r="X327">
        <v>1</v>
      </c>
      <c r="Y327">
        <v>2027</v>
      </c>
      <c r="Z327">
        <v>1</v>
      </c>
      <c r="AA327">
        <v>50</v>
      </c>
      <c r="AB327">
        <v>250</v>
      </c>
      <c r="AC327">
        <v>50</v>
      </c>
      <c r="AD327">
        <v>250</v>
      </c>
      <c r="AE327">
        <v>0</v>
      </c>
      <c r="AF327">
        <v>0</v>
      </c>
      <c r="AG327">
        <v>50</v>
      </c>
      <c r="AH327">
        <v>250</v>
      </c>
      <c r="AI327">
        <v>1</v>
      </c>
      <c r="AJ327">
        <v>2.4329999999999998</v>
      </c>
      <c r="AK327">
        <v>2028</v>
      </c>
      <c r="AL327" s="61">
        <v>2.4220000000000002</v>
      </c>
      <c r="AM327" s="61">
        <v>2.4329999999999998</v>
      </c>
      <c r="AN327" s="61">
        <v>2.4220000000000002</v>
      </c>
      <c r="AO327">
        <v>1</v>
      </c>
      <c r="AP327">
        <v>1.0242242189602202</v>
      </c>
      <c r="AQ327">
        <v>1.0242242189602202</v>
      </c>
      <c r="AR327" t="b">
        <v>0</v>
      </c>
      <c r="AS327">
        <v>48.817435747379008</v>
      </c>
      <c r="AT327">
        <v>244.08717873689505</v>
      </c>
      <c r="AU327">
        <v>146.45230724213704</v>
      </c>
    </row>
    <row r="328" spans="1:47" x14ac:dyDescent="0.25">
      <c r="A328" t="s">
        <v>333</v>
      </c>
      <c r="B328" t="s">
        <v>468</v>
      </c>
      <c r="C328" t="s">
        <v>319</v>
      </c>
      <c r="D328">
        <v>2026</v>
      </c>
      <c r="E328">
        <v>0</v>
      </c>
      <c r="F328">
        <v>10</v>
      </c>
      <c r="G328">
        <v>0</v>
      </c>
      <c r="H328">
        <v>0</v>
      </c>
      <c r="I328">
        <v>50</v>
      </c>
      <c r="J328">
        <v>250</v>
      </c>
      <c r="K328">
        <v>1</v>
      </c>
      <c r="L328">
        <v>1</v>
      </c>
      <c r="M328">
        <v>25</v>
      </c>
      <c r="N328">
        <v>0</v>
      </c>
      <c r="O328" t="s">
        <v>27</v>
      </c>
      <c r="P328" t="s">
        <v>443</v>
      </c>
      <c r="Q328">
        <v>2026</v>
      </c>
      <c r="R328">
        <v>2036</v>
      </c>
      <c r="S328" t="s">
        <v>444</v>
      </c>
      <c r="T328">
        <v>2028</v>
      </c>
      <c r="U328">
        <v>35.75</v>
      </c>
      <c r="V328">
        <v>1</v>
      </c>
      <c r="W328">
        <v>2028</v>
      </c>
      <c r="X328">
        <v>2</v>
      </c>
      <c r="Y328">
        <v>2028</v>
      </c>
      <c r="Z328">
        <v>1</v>
      </c>
      <c r="AA328">
        <v>50</v>
      </c>
      <c r="AB328">
        <v>250</v>
      </c>
      <c r="AC328">
        <v>50</v>
      </c>
      <c r="AD328">
        <v>250</v>
      </c>
      <c r="AE328">
        <v>0</v>
      </c>
      <c r="AF328">
        <v>0</v>
      </c>
      <c r="AG328">
        <v>50</v>
      </c>
      <c r="AH328">
        <v>250</v>
      </c>
      <c r="AI328">
        <v>1</v>
      </c>
      <c r="AJ328">
        <v>2.4220000000000002</v>
      </c>
      <c r="AK328">
        <v>2029</v>
      </c>
      <c r="AL328" s="61">
        <v>2.4209999999999998</v>
      </c>
      <c r="AM328" s="61">
        <v>2.4220000000000002</v>
      </c>
      <c r="AN328" s="61">
        <v>2.4209999999999998</v>
      </c>
      <c r="AO328">
        <v>1.0242199999999999</v>
      </c>
      <c r="AP328">
        <v>1.0242103835598433</v>
      </c>
      <c r="AQ328">
        <v>1.0490167590496626</v>
      </c>
      <c r="AR328" t="b">
        <v>0</v>
      </c>
      <c r="AS328">
        <v>47.66368084080618</v>
      </c>
      <c r="AT328">
        <v>238.31840420403091</v>
      </c>
      <c r="AU328">
        <v>142.99104252241855</v>
      </c>
    </row>
    <row r="329" spans="1:47" x14ac:dyDescent="0.25">
      <c r="A329" t="s">
        <v>333</v>
      </c>
      <c r="B329" t="s">
        <v>468</v>
      </c>
      <c r="C329" t="s">
        <v>319</v>
      </c>
      <c r="D329">
        <v>2026</v>
      </c>
      <c r="E329">
        <v>0</v>
      </c>
      <c r="F329">
        <v>10</v>
      </c>
      <c r="G329">
        <v>0</v>
      </c>
      <c r="H329">
        <v>0</v>
      </c>
      <c r="I329">
        <v>50</v>
      </c>
      <c r="J329">
        <v>250</v>
      </c>
      <c r="K329">
        <v>1</v>
      </c>
      <c r="L329">
        <v>1</v>
      </c>
      <c r="M329">
        <v>25</v>
      </c>
      <c r="N329">
        <v>0</v>
      </c>
      <c r="O329" t="s">
        <v>27</v>
      </c>
      <c r="P329" t="s">
        <v>443</v>
      </c>
      <c r="Q329">
        <v>2026</v>
      </c>
      <c r="R329">
        <v>2036</v>
      </c>
      <c r="S329" t="s">
        <v>444</v>
      </c>
      <c r="T329">
        <v>2029</v>
      </c>
      <c r="U329">
        <v>36.75</v>
      </c>
      <c r="V329">
        <v>1</v>
      </c>
      <c r="W329">
        <v>2029</v>
      </c>
      <c r="X329">
        <v>3</v>
      </c>
      <c r="Y329">
        <v>2029</v>
      </c>
      <c r="Z329">
        <v>1</v>
      </c>
      <c r="AA329">
        <v>50</v>
      </c>
      <c r="AB329">
        <v>250</v>
      </c>
      <c r="AC329">
        <v>50</v>
      </c>
      <c r="AD329">
        <v>250</v>
      </c>
      <c r="AE329">
        <v>0</v>
      </c>
      <c r="AF329">
        <v>0</v>
      </c>
      <c r="AG329">
        <v>50</v>
      </c>
      <c r="AH329">
        <v>250</v>
      </c>
      <c r="AI329">
        <v>1</v>
      </c>
      <c r="AJ329">
        <v>2.4209999999999998</v>
      </c>
      <c r="AK329">
        <v>2030</v>
      </c>
      <c r="AL329" s="61">
        <v>2.4670000000000001</v>
      </c>
      <c r="AM329" s="61">
        <v>2.4209999999999998</v>
      </c>
      <c r="AN329" s="61">
        <v>2.4670000000000001</v>
      </c>
      <c r="AO329">
        <v>1.0490061241000002</v>
      </c>
      <c r="AP329">
        <v>1.0246523523547908</v>
      </c>
      <c r="AQ329">
        <v>1.0748665926936467</v>
      </c>
      <c r="AR329" t="b">
        <v>0</v>
      </c>
      <c r="AS329">
        <v>46.517400708025129</v>
      </c>
      <c r="AT329">
        <v>232.58700354012564</v>
      </c>
      <c r="AU329">
        <v>139.55220212407539</v>
      </c>
    </row>
    <row r="330" spans="1:47" x14ac:dyDescent="0.25">
      <c r="A330" t="s">
        <v>333</v>
      </c>
      <c r="B330" t="s">
        <v>468</v>
      </c>
      <c r="C330" t="s">
        <v>319</v>
      </c>
      <c r="D330">
        <v>2026</v>
      </c>
      <c r="E330">
        <v>0</v>
      </c>
      <c r="F330">
        <v>10</v>
      </c>
      <c r="G330">
        <v>0</v>
      </c>
      <c r="H330">
        <v>0</v>
      </c>
      <c r="I330">
        <v>50</v>
      </c>
      <c r="J330">
        <v>250</v>
      </c>
      <c r="K330">
        <v>1</v>
      </c>
      <c r="L330">
        <v>1</v>
      </c>
      <c r="M330">
        <v>25</v>
      </c>
      <c r="N330">
        <v>0</v>
      </c>
      <c r="O330" t="s">
        <v>27</v>
      </c>
      <c r="P330" t="s">
        <v>443</v>
      </c>
      <c r="Q330">
        <v>2026</v>
      </c>
      <c r="R330">
        <v>2036</v>
      </c>
      <c r="S330" t="s">
        <v>444</v>
      </c>
      <c r="T330">
        <v>2030</v>
      </c>
      <c r="U330">
        <v>37.75</v>
      </c>
      <c r="V330">
        <v>1</v>
      </c>
      <c r="W330">
        <v>2030</v>
      </c>
      <c r="X330">
        <v>4</v>
      </c>
      <c r="Y330">
        <v>2030</v>
      </c>
      <c r="Z330">
        <v>1</v>
      </c>
      <c r="AA330">
        <v>50</v>
      </c>
      <c r="AB330">
        <v>250</v>
      </c>
      <c r="AC330">
        <v>50</v>
      </c>
      <c r="AD330">
        <v>250</v>
      </c>
      <c r="AE330">
        <v>0</v>
      </c>
      <c r="AF330">
        <v>0</v>
      </c>
      <c r="AG330">
        <v>50</v>
      </c>
      <c r="AH330">
        <v>250</v>
      </c>
      <c r="AI330">
        <v>1</v>
      </c>
      <c r="AJ330">
        <v>2.4670000000000001</v>
      </c>
      <c r="AK330">
        <v>2031</v>
      </c>
      <c r="AL330" s="61">
        <v>2.5169999999999999</v>
      </c>
      <c r="AM330" s="61">
        <v>2.4670000000000001</v>
      </c>
      <c r="AN330" s="61">
        <v>2.5169999999999999</v>
      </c>
      <c r="AO330">
        <v>1.0758508410815628</v>
      </c>
      <c r="AP330">
        <v>1.0251508174189523</v>
      </c>
      <c r="AQ330">
        <v>1.1029093691556315</v>
      </c>
      <c r="AR330" t="b">
        <v>0</v>
      </c>
      <c r="AS330">
        <v>45.334640722364284</v>
      </c>
      <c r="AT330">
        <v>226.67320361182144</v>
      </c>
      <c r="AU330">
        <v>136.00392216709287</v>
      </c>
    </row>
    <row r="331" spans="1:47" x14ac:dyDescent="0.25">
      <c r="A331" t="s">
        <v>333</v>
      </c>
      <c r="B331" t="s">
        <v>468</v>
      </c>
      <c r="C331" t="s">
        <v>319</v>
      </c>
      <c r="D331">
        <v>2026</v>
      </c>
      <c r="E331">
        <v>0</v>
      </c>
      <c r="F331">
        <v>10</v>
      </c>
      <c r="G331">
        <v>0</v>
      </c>
      <c r="H331">
        <v>0</v>
      </c>
      <c r="I331">
        <v>50</v>
      </c>
      <c r="J331">
        <v>250</v>
      </c>
      <c r="K331">
        <v>1</v>
      </c>
      <c r="L331">
        <v>1</v>
      </c>
      <c r="M331">
        <v>25</v>
      </c>
      <c r="N331">
        <v>0</v>
      </c>
      <c r="O331" t="s">
        <v>27</v>
      </c>
      <c r="P331" t="s">
        <v>443</v>
      </c>
      <c r="Q331">
        <v>2026</v>
      </c>
      <c r="R331">
        <v>2036</v>
      </c>
      <c r="S331" t="s">
        <v>444</v>
      </c>
      <c r="T331">
        <v>2031</v>
      </c>
      <c r="U331">
        <v>38.75</v>
      </c>
      <c r="V331">
        <v>1</v>
      </c>
      <c r="W331">
        <v>2031</v>
      </c>
      <c r="X331">
        <v>5</v>
      </c>
      <c r="Y331">
        <v>2031</v>
      </c>
      <c r="Z331">
        <v>1</v>
      </c>
      <c r="AA331">
        <v>50</v>
      </c>
      <c r="AB331">
        <v>250</v>
      </c>
      <c r="AC331">
        <v>50</v>
      </c>
      <c r="AD331">
        <v>250</v>
      </c>
      <c r="AE331">
        <v>0</v>
      </c>
      <c r="AF331">
        <v>0</v>
      </c>
      <c r="AG331">
        <v>50</v>
      </c>
      <c r="AH331">
        <v>250</v>
      </c>
      <c r="AI331">
        <v>1</v>
      </c>
      <c r="AJ331">
        <v>2.5169999999999999</v>
      </c>
      <c r="AK331">
        <v>2032</v>
      </c>
      <c r="AL331" s="61">
        <v>2.59</v>
      </c>
      <c r="AM331" s="61">
        <v>2.5169999999999999</v>
      </c>
      <c r="AN331" s="61">
        <v>2.59</v>
      </c>
      <c r="AO331">
        <v>1.1045453584485188</v>
      </c>
      <c r="AP331">
        <v>1.0258719904156592</v>
      </c>
      <c r="AQ331">
        <v>1.1331221453759597</v>
      </c>
      <c r="AR331" t="b">
        <v>0</v>
      </c>
      <c r="AS331">
        <v>44.125869575526167</v>
      </c>
      <c r="AT331">
        <v>220.62934787763083</v>
      </c>
      <c r="AU331">
        <v>132.3776087265785</v>
      </c>
    </row>
    <row r="332" spans="1:47" x14ac:dyDescent="0.25">
      <c r="A332" t="s">
        <v>333</v>
      </c>
      <c r="B332" t="s">
        <v>468</v>
      </c>
      <c r="C332" t="s">
        <v>319</v>
      </c>
      <c r="D332">
        <v>2026</v>
      </c>
      <c r="E332">
        <v>0</v>
      </c>
      <c r="F332">
        <v>10</v>
      </c>
      <c r="G332">
        <v>0</v>
      </c>
      <c r="H332">
        <v>0</v>
      </c>
      <c r="I332">
        <v>50</v>
      </c>
      <c r="J332">
        <v>250</v>
      </c>
      <c r="K332">
        <v>1</v>
      </c>
      <c r="L332">
        <v>1</v>
      </c>
      <c r="M332">
        <v>25</v>
      </c>
      <c r="N332">
        <v>0</v>
      </c>
      <c r="O332" t="s">
        <v>27</v>
      </c>
      <c r="P332" t="s">
        <v>443</v>
      </c>
      <c r="Q332">
        <v>2026</v>
      </c>
      <c r="R332">
        <v>2036</v>
      </c>
      <c r="S332" t="s">
        <v>444</v>
      </c>
      <c r="T332">
        <v>2032</v>
      </c>
      <c r="U332">
        <v>39.75</v>
      </c>
      <c r="V332">
        <v>1</v>
      </c>
      <c r="W332">
        <v>2032</v>
      </c>
      <c r="X332">
        <v>6</v>
      </c>
      <c r="Y332">
        <v>2032</v>
      </c>
      <c r="Z332">
        <v>1</v>
      </c>
      <c r="AA332">
        <v>50</v>
      </c>
      <c r="AB332">
        <v>250</v>
      </c>
      <c r="AC332">
        <v>50</v>
      </c>
      <c r="AD332">
        <v>250</v>
      </c>
      <c r="AE332">
        <v>0</v>
      </c>
      <c r="AF332">
        <v>0</v>
      </c>
      <c r="AG332">
        <v>50</v>
      </c>
      <c r="AH332">
        <v>250</v>
      </c>
      <c r="AI332">
        <v>1</v>
      </c>
      <c r="AJ332">
        <v>2.59</v>
      </c>
      <c r="AK332">
        <v>2033</v>
      </c>
      <c r="AL332" s="61">
        <v>2.6880000000000002</v>
      </c>
      <c r="AM332" s="61">
        <v>2.59</v>
      </c>
      <c r="AN332" s="61">
        <v>2.6880000000000002</v>
      </c>
      <c r="AO332">
        <v>1.1363841013749196</v>
      </c>
      <c r="AP332">
        <v>1.0268423936996114</v>
      </c>
      <c r="AQ332">
        <v>1.1668873708180043</v>
      </c>
      <c r="AR332" t="b">
        <v>0</v>
      </c>
      <c r="AS332">
        <v>42.849036891151975</v>
      </c>
      <c r="AT332">
        <v>214.24518445575987</v>
      </c>
      <c r="AU332">
        <v>128.54711067345593</v>
      </c>
    </row>
    <row r="333" spans="1:47" x14ac:dyDescent="0.25">
      <c r="A333" t="s">
        <v>333</v>
      </c>
      <c r="B333" t="s">
        <v>468</v>
      </c>
      <c r="C333" t="s">
        <v>319</v>
      </c>
      <c r="D333">
        <v>2026</v>
      </c>
      <c r="E333">
        <v>0</v>
      </c>
      <c r="F333">
        <v>10</v>
      </c>
      <c r="G333">
        <v>0</v>
      </c>
      <c r="H333">
        <v>0</v>
      </c>
      <c r="I333">
        <v>50</v>
      </c>
      <c r="J333">
        <v>250</v>
      </c>
      <c r="K333">
        <v>1</v>
      </c>
      <c r="L333">
        <v>1</v>
      </c>
      <c r="M333">
        <v>25</v>
      </c>
      <c r="N333">
        <v>0</v>
      </c>
      <c r="O333" t="s">
        <v>27</v>
      </c>
      <c r="P333" t="s">
        <v>443</v>
      </c>
      <c r="Q333">
        <v>2026</v>
      </c>
      <c r="R333">
        <v>2036</v>
      </c>
      <c r="S333" t="s">
        <v>444</v>
      </c>
      <c r="T333">
        <v>2033</v>
      </c>
      <c r="U333">
        <v>40.75</v>
      </c>
      <c r="V333">
        <v>1</v>
      </c>
      <c r="W333">
        <v>2033</v>
      </c>
      <c r="X333">
        <v>7</v>
      </c>
      <c r="Y333">
        <v>2033</v>
      </c>
      <c r="Z333">
        <v>1</v>
      </c>
      <c r="AA333">
        <v>50</v>
      </c>
      <c r="AB333">
        <v>250</v>
      </c>
      <c r="AC333">
        <v>50</v>
      </c>
      <c r="AD333">
        <v>250</v>
      </c>
      <c r="AE333">
        <v>0</v>
      </c>
      <c r="AF333">
        <v>0</v>
      </c>
      <c r="AG333">
        <v>50</v>
      </c>
      <c r="AH333">
        <v>250</v>
      </c>
      <c r="AI333">
        <v>1</v>
      </c>
      <c r="AJ333">
        <v>2.6880000000000002</v>
      </c>
      <c r="AK333">
        <v>2034</v>
      </c>
      <c r="AL333" s="61">
        <v>2.7519999999999998</v>
      </c>
      <c r="AM333" s="61">
        <v>2.6880000000000002</v>
      </c>
      <c r="AN333" s="61">
        <v>2.7519999999999998</v>
      </c>
      <c r="AO333">
        <v>1.1725143659072164</v>
      </c>
      <c r="AP333">
        <v>1.0274954447000768</v>
      </c>
      <c r="AQ333">
        <v>1.2047531698150638</v>
      </c>
      <c r="AR333" t="b">
        <v>0</v>
      </c>
      <c r="AS333">
        <v>41.502277190667428</v>
      </c>
      <c r="AT333">
        <v>207.51138595333714</v>
      </c>
      <c r="AU333">
        <v>124.50683157200228</v>
      </c>
    </row>
    <row r="334" spans="1:47" x14ac:dyDescent="0.25">
      <c r="A334" t="s">
        <v>333</v>
      </c>
      <c r="B334" t="s">
        <v>468</v>
      </c>
      <c r="C334" t="s">
        <v>319</v>
      </c>
      <c r="D334">
        <v>2026</v>
      </c>
      <c r="E334">
        <v>0</v>
      </c>
      <c r="F334">
        <v>10</v>
      </c>
      <c r="G334">
        <v>0</v>
      </c>
      <c r="H334">
        <v>0</v>
      </c>
      <c r="I334">
        <v>50</v>
      </c>
      <c r="J334">
        <v>250</v>
      </c>
      <c r="K334">
        <v>1</v>
      </c>
      <c r="L334">
        <v>1</v>
      </c>
      <c r="M334">
        <v>25</v>
      </c>
      <c r="N334">
        <v>0</v>
      </c>
      <c r="O334" t="s">
        <v>27</v>
      </c>
      <c r="P334" t="s">
        <v>443</v>
      </c>
      <c r="Q334">
        <v>2026</v>
      </c>
      <c r="R334">
        <v>2036</v>
      </c>
      <c r="S334" t="s">
        <v>444</v>
      </c>
      <c r="T334">
        <v>2034</v>
      </c>
      <c r="U334">
        <v>41.75</v>
      </c>
      <c r="V334">
        <v>1</v>
      </c>
      <c r="W334">
        <v>2034</v>
      </c>
      <c r="X334">
        <v>8</v>
      </c>
      <c r="Y334">
        <v>2034</v>
      </c>
      <c r="Z334">
        <v>1</v>
      </c>
      <c r="AA334">
        <v>50</v>
      </c>
      <c r="AB334">
        <v>250</v>
      </c>
      <c r="AC334">
        <v>50</v>
      </c>
      <c r="AD334">
        <v>250</v>
      </c>
      <c r="AE334">
        <v>0</v>
      </c>
      <c r="AF334">
        <v>0</v>
      </c>
      <c r="AG334">
        <v>50</v>
      </c>
      <c r="AH334">
        <v>250</v>
      </c>
      <c r="AI334">
        <v>1</v>
      </c>
      <c r="AJ334">
        <v>2.7519999999999998</v>
      </c>
      <c r="AK334">
        <v>2035</v>
      </c>
      <c r="AL334" s="61">
        <v>2.8420000000000001</v>
      </c>
      <c r="AM334" s="61">
        <v>2.7519999999999998</v>
      </c>
      <c r="AN334" s="61">
        <v>2.8420000000000001</v>
      </c>
      <c r="AO334">
        <v>1.2092942481281721</v>
      </c>
      <c r="AP334">
        <v>1.0283854649181425</v>
      </c>
      <c r="AQ334">
        <v>1.2436206275841259</v>
      </c>
      <c r="AR334" t="b">
        <v>0</v>
      </c>
      <c r="AS334">
        <v>40.205187089193487</v>
      </c>
      <c r="AT334">
        <v>201.02593544596743</v>
      </c>
      <c r="AU334">
        <v>120.61556126758046</v>
      </c>
    </row>
    <row r="335" spans="1:47" x14ac:dyDescent="0.25">
      <c r="A335" t="s">
        <v>333</v>
      </c>
      <c r="B335" t="s">
        <v>468</v>
      </c>
      <c r="C335" t="s">
        <v>319</v>
      </c>
      <c r="D335">
        <v>2026</v>
      </c>
      <c r="E335">
        <v>0</v>
      </c>
      <c r="F335">
        <v>10</v>
      </c>
      <c r="G335">
        <v>0</v>
      </c>
      <c r="H335">
        <v>0</v>
      </c>
      <c r="I335">
        <v>50</v>
      </c>
      <c r="J335">
        <v>250</v>
      </c>
      <c r="K335">
        <v>1</v>
      </c>
      <c r="L335">
        <v>1</v>
      </c>
      <c r="M335">
        <v>25</v>
      </c>
      <c r="N335">
        <v>0</v>
      </c>
      <c r="O335" t="s">
        <v>27</v>
      </c>
      <c r="P335" t="s">
        <v>443</v>
      </c>
      <c r="Q335">
        <v>2026</v>
      </c>
      <c r="R335">
        <v>2036</v>
      </c>
      <c r="S335" t="s">
        <v>444</v>
      </c>
      <c r="T335">
        <v>2035</v>
      </c>
      <c r="U335">
        <v>42.75</v>
      </c>
      <c r="V335">
        <v>1</v>
      </c>
      <c r="W335">
        <v>2035</v>
      </c>
      <c r="X335">
        <v>9</v>
      </c>
      <c r="Y335">
        <v>2035</v>
      </c>
      <c r="Z335">
        <v>1</v>
      </c>
      <c r="AA335">
        <v>50</v>
      </c>
      <c r="AB335">
        <v>250</v>
      </c>
      <c r="AC335">
        <v>50</v>
      </c>
      <c r="AD335">
        <v>250</v>
      </c>
      <c r="AE335">
        <v>0</v>
      </c>
      <c r="AF335">
        <v>0</v>
      </c>
      <c r="AG335">
        <v>50</v>
      </c>
      <c r="AH335">
        <v>250</v>
      </c>
      <c r="AI335">
        <v>1</v>
      </c>
      <c r="AJ335">
        <v>2.8420000000000001</v>
      </c>
      <c r="AK335">
        <v>2036</v>
      </c>
      <c r="AL335" s="61">
        <v>2.944</v>
      </c>
      <c r="AM335" s="61">
        <v>2.8420000000000001</v>
      </c>
      <c r="AN335" s="61">
        <v>2.944</v>
      </c>
      <c r="AO335">
        <v>1.2513076834571593</v>
      </c>
      <c r="AP335">
        <v>1.0294008580614105</v>
      </c>
      <c r="AQ335">
        <v>1.2880972030496356</v>
      </c>
      <c r="AR335" t="b">
        <v>0</v>
      </c>
      <c r="AS335">
        <v>38.816946331086243</v>
      </c>
      <c r="AT335">
        <v>194.0847316554312</v>
      </c>
      <c r="AU335">
        <v>116.45083899325871</v>
      </c>
    </row>
    <row r="336" spans="1:47" x14ac:dyDescent="0.25">
      <c r="A336" t="s">
        <v>333</v>
      </c>
      <c r="B336" t="s">
        <v>468</v>
      </c>
      <c r="C336" t="s">
        <v>319</v>
      </c>
      <c r="D336">
        <v>2026</v>
      </c>
      <c r="E336">
        <v>0</v>
      </c>
      <c r="M336">
        <v>25</v>
      </c>
      <c r="Q336">
        <v>2026</v>
      </c>
      <c r="R336">
        <v>2036</v>
      </c>
      <c r="T336">
        <v>2036</v>
      </c>
      <c r="U336">
        <v>43.75</v>
      </c>
      <c r="W336">
        <v>2036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L336" s="61"/>
      <c r="AS336">
        <v>0</v>
      </c>
      <c r="AT336">
        <v>0</v>
      </c>
      <c r="AU336">
        <v>0</v>
      </c>
    </row>
    <row r="337" spans="1:47" x14ac:dyDescent="0.25">
      <c r="A337" t="s">
        <v>360</v>
      </c>
      <c r="B337" t="s">
        <v>469</v>
      </c>
      <c r="C337" t="s">
        <v>320</v>
      </c>
      <c r="D337">
        <v>2026</v>
      </c>
      <c r="E337">
        <v>0</v>
      </c>
      <c r="F337">
        <v>15</v>
      </c>
      <c r="G337">
        <v>0</v>
      </c>
      <c r="H337">
        <v>0</v>
      </c>
      <c r="I337">
        <v>30</v>
      </c>
      <c r="J337">
        <v>45</v>
      </c>
      <c r="K337">
        <v>4</v>
      </c>
      <c r="L337">
        <v>2</v>
      </c>
      <c r="M337">
        <v>26</v>
      </c>
      <c r="N337">
        <v>0</v>
      </c>
      <c r="O337" t="s">
        <v>27</v>
      </c>
      <c r="P337" t="s">
        <v>443</v>
      </c>
      <c r="Q337">
        <v>2026</v>
      </c>
      <c r="R337">
        <v>2041</v>
      </c>
      <c r="S337" t="s">
        <v>444</v>
      </c>
      <c r="T337">
        <v>2026</v>
      </c>
      <c r="U337">
        <v>33.75</v>
      </c>
      <c r="V337">
        <v>1</v>
      </c>
      <c r="W337">
        <v>2026</v>
      </c>
      <c r="X337">
        <v>0</v>
      </c>
      <c r="Y337">
        <v>2026</v>
      </c>
      <c r="Z337">
        <v>1</v>
      </c>
      <c r="AA337">
        <v>120</v>
      </c>
      <c r="AB337">
        <v>180</v>
      </c>
      <c r="AC337">
        <v>120</v>
      </c>
      <c r="AD337">
        <v>180</v>
      </c>
      <c r="AE337">
        <v>0</v>
      </c>
      <c r="AF337">
        <v>0</v>
      </c>
      <c r="AG337">
        <v>120</v>
      </c>
      <c r="AH337">
        <v>180</v>
      </c>
      <c r="AI337">
        <v>1</v>
      </c>
      <c r="AK337">
        <v>2027</v>
      </c>
      <c r="AL337" s="61">
        <v>2.4329999999999998</v>
      </c>
      <c r="AM337" s="61">
        <v>0</v>
      </c>
      <c r="AN337" s="61">
        <v>2.4329999999999998</v>
      </c>
      <c r="AO337">
        <v>1</v>
      </c>
      <c r="AP337">
        <v>1.023385968321771</v>
      </c>
      <c r="AQ337">
        <v>1.023385968321771</v>
      </c>
      <c r="AR337" t="b">
        <v>1</v>
      </c>
      <c r="AS337">
        <v>120</v>
      </c>
      <c r="AT337">
        <v>180</v>
      </c>
      <c r="AU337">
        <v>150</v>
      </c>
    </row>
    <row r="338" spans="1:47" x14ac:dyDescent="0.25">
      <c r="A338" t="s">
        <v>360</v>
      </c>
      <c r="B338" t="s">
        <v>469</v>
      </c>
      <c r="C338" t="s">
        <v>320</v>
      </c>
      <c r="D338">
        <v>2026</v>
      </c>
      <c r="E338">
        <v>0</v>
      </c>
      <c r="F338">
        <v>15</v>
      </c>
      <c r="G338">
        <v>0</v>
      </c>
      <c r="H338">
        <v>0</v>
      </c>
      <c r="I338">
        <v>30</v>
      </c>
      <c r="J338">
        <v>45</v>
      </c>
      <c r="K338">
        <v>4</v>
      </c>
      <c r="L338">
        <v>2</v>
      </c>
      <c r="M338">
        <v>26</v>
      </c>
      <c r="N338">
        <v>0</v>
      </c>
      <c r="O338" t="s">
        <v>27</v>
      </c>
      <c r="P338" t="s">
        <v>443</v>
      </c>
      <c r="Q338">
        <v>2026</v>
      </c>
      <c r="R338">
        <v>2041</v>
      </c>
      <c r="S338" t="s">
        <v>444</v>
      </c>
      <c r="T338">
        <v>2027</v>
      </c>
      <c r="U338">
        <v>34.75</v>
      </c>
      <c r="V338">
        <v>1</v>
      </c>
      <c r="W338">
        <v>2027</v>
      </c>
      <c r="X338">
        <v>1</v>
      </c>
      <c r="Y338">
        <v>2027</v>
      </c>
      <c r="Z338">
        <v>1</v>
      </c>
      <c r="AA338">
        <v>120</v>
      </c>
      <c r="AB338">
        <v>180</v>
      </c>
      <c r="AC338">
        <v>120</v>
      </c>
      <c r="AD338">
        <v>180</v>
      </c>
      <c r="AE338">
        <v>0</v>
      </c>
      <c r="AF338">
        <v>0</v>
      </c>
      <c r="AG338">
        <v>120</v>
      </c>
      <c r="AH338">
        <v>180</v>
      </c>
      <c r="AI338">
        <v>1</v>
      </c>
      <c r="AJ338">
        <v>2.4329999999999998</v>
      </c>
      <c r="AK338">
        <v>2028</v>
      </c>
      <c r="AL338" s="61">
        <v>2.4220000000000002</v>
      </c>
      <c r="AM338" s="61">
        <v>2.4329999999999998</v>
      </c>
      <c r="AN338" s="61">
        <v>2.4220000000000002</v>
      </c>
      <c r="AO338">
        <v>1</v>
      </c>
      <c r="AP338">
        <v>1.0242242189602202</v>
      </c>
      <c r="AQ338">
        <v>1.0242242189602202</v>
      </c>
      <c r="AR338" t="b">
        <v>0</v>
      </c>
      <c r="AS338">
        <v>117.16184579370963</v>
      </c>
      <c r="AT338">
        <v>175.74276869056445</v>
      </c>
      <c r="AU338">
        <v>146.45230724213704</v>
      </c>
    </row>
    <row r="339" spans="1:47" x14ac:dyDescent="0.25">
      <c r="A339" t="s">
        <v>360</v>
      </c>
      <c r="B339" t="s">
        <v>469</v>
      </c>
      <c r="C339" t="s">
        <v>320</v>
      </c>
      <c r="D339">
        <v>2026</v>
      </c>
      <c r="E339">
        <v>0</v>
      </c>
      <c r="F339">
        <v>15</v>
      </c>
      <c r="G339">
        <v>0</v>
      </c>
      <c r="H339">
        <v>0</v>
      </c>
      <c r="I339">
        <v>30</v>
      </c>
      <c r="J339">
        <v>45</v>
      </c>
      <c r="K339">
        <v>4</v>
      </c>
      <c r="L339">
        <v>2</v>
      </c>
      <c r="M339">
        <v>26</v>
      </c>
      <c r="N339">
        <v>0</v>
      </c>
      <c r="O339" t="s">
        <v>27</v>
      </c>
      <c r="P339" t="s">
        <v>443</v>
      </c>
      <c r="Q339">
        <v>2026</v>
      </c>
      <c r="R339">
        <v>2041</v>
      </c>
      <c r="S339" t="s">
        <v>444</v>
      </c>
      <c r="T339">
        <v>2028</v>
      </c>
      <c r="U339">
        <v>35.75</v>
      </c>
      <c r="V339">
        <v>1</v>
      </c>
      <c r="W339">
        <v>2028</v>
      </c>
      <c r="X339">
        <v>2</v>
      </c>
      <c r="Y339">
        <v>2028</v>
      </c>
      <c r="Z339">
        <v>1</v>
      </c>
      <c r="AA339">
        <v>120</v>
      </c>
      <c r="AB339">
        <v>180</v>
      </c>
      <c r="AC339">
        <v>120</v>
      </c>
      <c r="AD339">
        <v>180</v>
      </c>
      <c r="AE339">
        <v>0</v>
      </c>
      <c r="AF339">
        <v>0</v>
      </c>
      <c r="AG339">
        <v>120</v>
      </c>
      <c r="AH339">
        <v>180</v>
      </c>
      <c r="AI339">
        <v>1</v>
      </c>
      <c r="AJ339">
        <v>2.4220000000000002</v>
      </c>
      <c r="AK339">
        <v>2029</v>
      </c>
      <c r="AL339" s="61">
        <v>2.4209999999999998</v>
      </c>
      <c r="AM339" s="61">
        <v>2.4220000000000002</v>
      </c>
      <c r="AN339" s="61">
        <v>2.4209999999999998</v>
      </c>
      <c r="AO339">
        <v>1.0242199999999999</v>
      </c>
      <c r="AP339">
        <v>1.0242103835598433</v>
      </c>
      <c r="AQ339">
        <v>1.0490167590496626</v>
      </c>
      <c r="AR339" t="b">
        <v>0</v>
      </c>
      <c r="AS339">
        <v>114.39283401793483</v>
      </c>
      <c r="AT339">
        <v>171.58925102690225</v>
      </c>
      <c r="AU339">
        <v>142.99104252241852</v>
      </c>
    </row>
    <row r="340" spans="1:47" x14ac:dyDescent="0.25">
      <c r="A340" t="s">
        <v>360</v>
      </c>
      <c r="B340" t="s">
        <v>469</v>
      </c>
      <c r="C340" t="s">
        <v>320</v>
      </c>
      <c r="D340">
        <v>2026</v>
      </c>
      <c r="E340">
        <v>0</v>
      </c>
      <c r="F340">
        <v>15</v>
      </c>
      <c r="G340">
        <v>0</v>
      </c>
      <c r="H340">
        <v>0</v>
      </c>
      <c r="I340">
        <v>30</v>
      </c>
      <c r="J340">
        <v>45</v>
      </c>
      <c r="K340">
        <v>4</v>
      </c>
      <c r="L340">
        <v>2</v>
      </c>
      <c r="M340">
        <v>26</v>
      </c>
      <c r="N340">
        <v>0</v>
      </c>
      <c r="O340" t="s">
        <v>27</v>
      </c>
      <c r="P340" t="s">
        <v>443</v>
      </c>
      <c r="Q340">
        <v>2026</v>
      </c>
      <c r="R340">
        <v>2041</v>
      </c>
      <c r="S340" t="s">
        <v>444</v>
      </c>
      <c r="T340">
        <v>2029</v>
      </c>
      <c r="U340">
        <v>36.75</v>
      </c>
      <c r="V340">
        <v>1</v>
      </c>
      <c r="W340">
        <v>2029</v>
      </c>
      <c r="X340">
        <v>3</v>
      </c>
      <c r="Y340">
        <v>2029</v>
      </c>
      <c r="Z340">
        <v>1</v>
      </c>
      <c r="AA340">
        <v>120</v>
      </c>
      <c r="AB340">
        <v>180</v>
      </c>
      <c r="AC340">
        <v>120</v>
      </c>
      <c r="AD340">
        <v>180</v>
      </c>
      <c r="AE340">
        <v>0</v>
      </c>
      <c r="AF340">
        <v>0</v>
      </c>
      <c r="AG340">
        <v>120</v>
      </c>
      <c r="AH340">
        <v>180</v>
      </c>
      <c r="AI340">
        <v>1</v>
      </c>
      <c r="AJ340">
        <v>2.4209999999999998</v>
      </c>
      <c r="AK340">
        <v>2030</v>
      </c>
      <c r="AL340" s="61">
        <v>2.4670000000000001</v>
      </c>
      <c r="AM340" s="61">
        <v>2.4209999999999998</v>
      </c>
      <c r="AN340" s="61">
        <v>2.4670000000000001</v>
      </c>
      <c r="AO340">
        <v>1.0490061241000002</v>
      </c>
      <c r="AP340">
        <v>1.0246523523547908</v>
      </c>
      <c r="AQ340">
        <v>1.0748665926936467</v>
      </c>
      <c r="AR340" t="b">
        <v>0</v>
      </c>
      <c r="AS340">
        <v>111.64176169926031</v>
      </c>
      <c r="AT340">
        <v>167.46264254889047</v>
      </c>
      <c r="AU340">
        <v>139.55220212407539</v>
      </c>
    </row>
    <row r="341" spans="1:47" x14ac:dyDescent="0.25">
      <c r="A341" t="s">
        <v>360</v>
      </c>
      <c r="B341" t="s">
        <v>469</v>
      </c>
      <c r="C341" t="s">
        <v>320</v>
      </c>
      <c r="D341">
        <v>2026</v>
      </c>
      <c r="E341">
        <v>0</v>
      </c>
      <c r="F341">
        <v>15</v>
      </c>
      <c r="G341">
        <v>0</v>
      </c>
      <c r="H341">
        <v>0</v>
      </c>
      <c r="I341">
        <v>30</v>
      </c>
      <c r="J341">
        <v>45</v>
      </c>
      <c r="K341">
        <v>4</v>
      </c>
      <c r="L341">
        <v>2</v>
      </c>
      <c r="M341">
        <v>26</v>
      </c>
      <c r="N341">
        <v>0</v>
      </c>
      <c r="O341" t="s">
        <v>27</v>
      </c>
      <c r="P341" t="s">
        <v>443</v>
      </c>
      <c r="Q341">
        <v>2026</v>
      </c>
      <c r="R341">
        <v>2041</v>
      </c>
      <c r="S341" t="s">
        <v>444</v>
      </c>
      <c r="T341">
        <v>2030</v>
      </c>
      <c r="U341">
        <v>37.75</v>
      </c>
      <c r="V341">
        <v>1</v>
      </c>
      <c r="W341">
        <v>2030</v>
      </c>
      <c r="X341">
        <v>4</v>
      </c>
      <c r="Y341">
        <v>2030</v>
      </c>
      <c r="Z341">
        <v>1</v>
      </c>
      <c r="AA341">
        <v>120</v>
      </c>
      <c r="AB341">
        <v>180</v>
      </c>
      <c r="AC341">
        <v>120</v>
      </c>
      <c r="AD341">
        <v>180</v>
      </c>
      <c r="AE341">
        <v>0</v>
      </c>
      <c r="AF341">
        <v>0</v>
      </c>
      <c r="AG341">
        <v>120</v>
      </c>
      <c r="AH341">
        <v>180</v>
      </c>
      <c r="AI341">
        <v>1</v>
      </c>
      <c r="AJ341">
        <v>2.4670000000000001</v>
      </c>
      <c r="AK341">
        <v>2031</v>
      </c>
      <c r="AL341" s="61">
        <v>2.5169999999999999</v>
      </c>
      <c r="AM341" s="61">
        <v>2.4670000000000001</v>
      </c>
      <c r="AN341" s="61">
        <v>2.5169999999999999</v>
      </c>
      <c r="AO341">
        <v>1.0758508410815628</v>
      </c>
      <c r="AP341">
        <v>1.0251508174189523</v>
      </c>
      <c r="AQ341">
        <v>1.1029093691556315</v>
      </c>
      <c r="AR341" t="b">
        <v>0</v>
      </c>
      <c r="AS341">
        <v>108.80313773367429</v>
      </c>
      <c r="AT341">
        <v>163.20470660051143</v>
      </c>
      <c r="AU341">
        <v>136.00392216709287</v>
      </c>
    </row>
    <row r="342" spans="1:47" x14ac:dyDescent="0.25">
      <c r="A342" t="s">
        <v>360</v>
      </c>
      <c r="B342" t="s">
        <v>469</v>
      </c>
      <c r="C342" t="s">
        <v>320</v>
      </c>
      <c r="D342">
        <v>2026</v>
      </c>
      <c r="E342">
        <v>0</v>
      </c>
      <c r="F342">
        <v>15</v>
      </c>
      <c r="G342">
        <v>0</v>
      </c>
      <c r="H342">
        <v>0</v>
      </c>
      <c r="I342">
        <v>30</v>
      </c>
      <c r="J342">
        <v>45</v>
      </c>
      <c r="K342">
        <v>4</v>
      </c>
      <c r="L342">
        <v>2</v>
      </c>
      <c r="M342">
        <v>26</v>
      </c>
      <c r="N342">
        <v>0</v>
      </c>
      <c r="O342" t="s">
        <v>27</v>
      </c>
      <c r="P342" t="s">
        <v>443</v>
      </c>
      <c r="Q342">
        <v>2026</v>
      </c>
      <c r="R342">
        <v>2041</v>
      </c>
      <c r="S342" t="s">
        <v>444</v>
      </c>
      <c r="T342">
        <v>2031</v>
      </c>
      <c r="U342">
        <v>38.75</v>
      </c>
      <c r="V342">
        <v>1</v>
      </c>
      <c r="W342">
        <v>2031</v>
      </c>
      <c r="X342">
        <v>5</v>
      </c>
      <c r="Y342">
        <v>2031</v>
      </c>
      <c r="Z342">
        <v>1</v>
      </c>
      <c r="AA342">
        <v>120</v>
      </c>
      <c r="AB342">
        <v>180</v>
      </c>
      <c r="AC342">
        <v>120</v>
      </c>
      <c r="AD342">
        <v>180</v>
      </c>
      <c r="AE342">
        <v>0</v>
      </c>
      <c r="AF342">
        <v>0</v>
      </c>
      <c r="AG342">
        <v>120</v>
      </c>
      <c r="AH342">
        <v>180</v>
      </c>
      <c r="AI342">
        <v>1</v>
      </c>
      <c r="AJ342">
        <v>2.5169999999999999</v>
      </c>
      <c r="AK342">
        <v>2032</v>
      </c>
      <c r="AL342" s="61">
        <v>2.59</v>
      </c>
      <c r="AM342" s="61">
        <v>2.5169999999999999</v>
      </c>
      <c r="AN342" s="61">
        <v>2.59</v>
      </c>
      <c r="AO342">
        <v>1.1045453584485188</v>
      </c>
      <c r="AP342">
        <v>1.0258719904156592</v>
      </c>
      <c r="AQ342">
        <v>1.1331221453759597</v>
      </c>
      <c r="AR342" t="b">
        <v>0</v>
      </c>
      <c r="AS342">
        <v>105.90208698126281</v>
      </c>
      <c r="AT342">
        <v>158.85313047189422</v>
      </c>
      <c r="AU342">
        <v>132.3776087265785</v>
      </c>
    </row>
    <row r="343" spans="1:47" x14ac:dyDescent="0.25">
      <c r="A343" t="s">
        <v>360</v>
      </c>
      <c r="B343" t="s">
        <v>469</v>
      </c>
      <c r="C343" t="s">
        <v>320</v>
      </c>
      <c r="D343">
        <v>2026</v>
      </c>
      <c r="E343">
        <v>0</v>
      </c>
      <c r="F343">
        <v>15</v>
      </c>
      <c r="G343">
        <v>0</v>
      </c>
      <c r="H343">
        <v>0</v>
      </c>
      <c r="I343">
        <v>30</v>
      </c>
      <c r="J343">
        <v>45</v>
      </c>
      <c r="K343">
        <v>4</v>
      </c>
      <c r="L343">
        <v>2</v>
      </c>
      <c r="M343">
        <v>26</v>
      </c>
      <c r="N343">
        <v>0</v>
      </c>
      <c r="O343" t="s">
        <v>27</v>
      </c>
      <c r="P343" t="s">
        <v>443</v>
      </c>
      <c r="Q343">
        <v>2026</v>
      </c>
      <c r="R343">
        <v>2041</v>
      </c>
      <c r="S343" t="s">
        <v>444</v>
      </c>
      <c r="T343">
        <v>2032</v>
      </c>
      <c r="U343">
        <v>39.75</v>
      </c>
      <c r="V343">
        <v>1</v>
      </c>
      <c r="W343">
        <v>2032</v>
      </c>
      <c r="X343">
        <v>6</v>
      </c>
      <c r="Y343">
        <v>2032</v>
      </c>
      <c r="Z343">
        <v>1</v>
      </c>
      <c r="AA343">
        <v>120</v>
      </c>
      <c r="AB343">
        <v>180</v>
      </c>
      <c r="AC343">
        <v>120</v>
      </c>
      <c r="AD343">
        <v>180</v>
      </c>
      <c r="AE343">
        <v>0</v>
      </c>
      <c r="AF343">
        <v>0</v>
      </c>
      <c r="AG343">
        <v>120</v>
      </c>
      <c r="AH343">
        <v>180</v>
      </c>
      <c r="AI343">
        <v>1</v>
      </c>
      <c r="AJ343">
        <v>2.59</v>
      </c>
      <c r="AK343">
        <v>2033</v>
      </c>
      <c r="AL343" s="61">
        <v>2.6880000000000002</v>
      </c>
      <c r="AM343" s="61">
        <v>2.59</v>
      </c>
      <c r="AN343" s="61">
        <v>2.6880000000000002</v>
      </c>
      <c r="AO343">
        <v>1.1363841013749196</v>
      </c>
      <c r="AP343">
        <v>1.0268423936996114</v>
      </c>
      <c r="AQ343">
        <v>1.1668873708180043</v>
      </c>
      <c r="AR343" t="b">
        <v>0</v>
      </c>
      <c r="AS343">
        <v>102.83768853876474</v>
      </c>
      <c r="AT343">
        <v>154.25653280814711</v>
      </c>
      <c r="AU343">
        <v>128.54711067345593</v>
      </c>
    </row>
    <row r="344" spans="1:47" x14ac:dyDescent="0.25">
      <c r="A344" t="s">
        <v>360</v>
      </c>
      <c r="B344" t="s">
        <v>469</v>
      </c>
      <c r="C344" t="s">
        <v>320</v>
      </c>
      <c r="D344">
        <v>2026</v>
      </c>
      <c r="E344">
        <v>0</v>
      </c>
      <c r="F344">
        <v>15</v>
      </c>
      <c r="G344">
        <v>0</v>
      </c>
      <c r="H344">
        <v>0</v>
      </c>
      <c r="I344">
        <v>30</v>
      </c>
      <c r="J344">
        <v>45</v>
      </c>
      <c r="K344">
        <v>4</v>
      </c>
      <c r="L344">
        <v>2</v>
      </c>
      <c r="M344">
        <v>26</v>
      </c>
      <c r="N344">
        <v>0</v>
      </c>
      <c r="O344" t="s">
        <v>27</v>
      </c>
      <c r="P344" t="s">
        <v>443</v>
      </c>
      <c r="Q344">
        <v>2026</v>
      </c>
      <c r="R344">
        <v>2041</v>
      </c>
      <c r="S344" t="s">
        <v>444</v>
      </c>
      <c r="T344">
        <v>2033</v>
      </c>
      <c r="U344">
        <v>40.75</v>
      </c>
      <c r="V344">
        <v>1</v>
      </c>
      <c r="W344">
        <v>2033</v>
      </c>
      <c r="X344">
        <v>7</v>
      </c>
      <c r="Y344">
        <v>2033</v>
      </c>
      <c r="Z344">
        <v>1</v>
      </c>
      <c r="AA344">
        <v>120</v>
      </c>
      <c r="AB344">
        <v>180</v>
      </c>
      <c r="AC344">
        <v>120</v>
      </c>
      <c r="AD344">
        <v>180</v>
      </c>
      <c r="AE344">
        <v>0</v>
      </c>
      <c r="AF344">
        <v>0</v>
      </c>
      <c r="AG344">
        <v>120</v>
      </c>
      <c r="AH344">
        <v>180</v>
      </c>
      <c r="AI344">
        <v>1</v>
      </c>
      <c r="AJ344">
        <v>2.6880000000000002</v>
      </c>
      <c r="AK344">
        <v>2034</v>
      </c>
      <c r="AL344" s="61">
        <v>2.7519999999999998</v>
      </c>
      <c r="AM344" s="61">
        <v>2.6880000000000002</v>
      </c>
      <c r="AN344" s="61">
        <v>2.7519999999999998</v>
      </c>
      <c r="AO344">
        <v>1.1725143659072164</v>
      </c>
      <c r="AP344">
        <v>1.0274954447000768</v>
      </c>
      <c r="AQ344">
        <v>1.2047531698150638</v>
      </c>
      <c r="AR344" t="b">
        <v>0</v>
      </c>
      <c r="AS344">
        <v>99.605465257601821</v>
      </c>
      <c r="AT344">
        <v>149.40819788640275</v>
      </c>
      <c r="AU344">
        <v>124.50683157200228</v>
      </c>
    </row>
    <row r="345" spans="1:47" x14ac:dyDescent="0.25">
      <c r="A345" t="s">
        <v>360</v>
      </c>
      <c r="B345" t="s">
        <v>469</v>
      </c>
      <c r="C345" t="s">
        <v>320</v>
      </c>
      <c r="D345">
        <v>2026</v>
      </c>
      <c r="E345">
        <v>0</v>
      </c>
      <c r="F345">
        <v>15</v>
      </c>
      <c r="G345">
        <v>0</v>
      </c>
      <c r="H345">
        <v>0</v>
      </c>
      <c r="I345">
        <v>30</v>
      </c>
      <c r="J345">
        <v>45</v>
      </c>
      <c r="K345">
        <v>4</v>
      </c>
      <c r="L345">
        <v>2</v>
      </c>
      <c r="M345">
        <v>26</v>
      </c>
      <c r="N345">
        <v>0</v>
      </c>
      <c r="O345" t="s">
        <v>27</v>
      </c>
      <c r="P345" t="s">
        <v>443</v>
      </c>
      <c r="Q345">
        <v>2026</v>
      </c>
      <c r="R345">
        <v>2041</v>
      </c>
      <c r="S345" t="s">
        <v>444</v>
      </c>
      <c r="T345">
        <v>2034</v>
      </c>
      <c r="U345">
        <v>41.75</v>
      </c>
      <c r="V345">
        <v>1</v>
      </c>
      <c r="W345">
        <v>2034</v>
      </c>
      <c r="X345">
        <v>8</v>
      </c>
      <c r="Y345">
        <v>2034</v>
      </c>
      <c r="Z345">
        <v>1</v>
      </c>
      <c r="AA345">
        <v>120</v>
      </c>
      <c r="AB345">
        <v>180</v>
      </c>
      <c r="AC345">
        <v>120</v>
      </c>
      <c r="AD345">
        <v>180</v>
      </c>
      <c r="AE345">
        <v>0</v>
      </c>
      <c r="AF345">
        <v>0</v>
      </c>
      <c r="AG345">
        <v>120</v>
      </c>
      <c r="AH345">
        <v>180</v>
      </c>
      <c r="AI345">
        <v>1</v>
      </c>
      <c r="AJ345">
        <v>2.7519999999999998</v>
      </c>
      <c r="AK345">
        <v>2035</v>
      </c>
      <c r="AL345" s="61">
        <v>2.8420000000000001</v>
      </c>
      <c r="AM345" s="61">
        <v>2.7519999999999998</v>
      </c>
      <c r="AN345" s="61">
        <v>2.8420000000000001</v>
      </c>
      <c r="AO345">
        <v>1.2092942481281721</v>
      </c>
      <c r="AP345">
        <v>1.0283854649181425</v>
      </c>
      <c r="AQ345">
        <v>1.2436206275841259</v>
      </c>
      <c r="AR345" t="b">
        <v>0</v>
      </c>
      <c r="AS345">
        <v>96.492449014064363</v>
      </c>
      <c r="AT345">
        <v>144.73867352109656</v>
      </c>
      <c r="AU345">
        <v>120.61556126758046</v>
      </c>
    </row>
    <row r="346" spans="1:47" x14ac:dyDescent="0.25">
      <c r="A346" t="s">
        <v>360</v>
      </c>
      <c r="B346" t="s">
        <v>469</v>
      </c>
      <c r="C346" t="s">
        <v>320</v>
      </c>
      <c r="D346">
        <v>2026</v>
      </c>
      <c r="E346">
        <v>0</v>
      </c>
      <c r="F346">
        <v>15</v>
      </c>
      <c r="G346">
        <v>0</v>
      </c>
      <c r="H346">
        <v>0</v>
      </c>
      <c r="I346">
        <v>30</v>
      </c>
      <c r="J346">
        <v>45</v>
      </c>
      <c r="K346">
        <v>4</v>
      </c>
      <c r="L346">
        <v>2</v>
      </c>
      <c r="M346">
        <v>26</v>
      </c>
      <c r="N346">
        <v>0</v>
      </c>
      <c r="O346" t="s">
        <v>27</v>
      </c>
      <c r="P346" t="s">
        <v>443</v>
      </c>
      <c r="Q346">
        <v>2026</v>
      </c>
      <c r="R346">
        <v>2041</v>
      </c>
      <c r="S346" t="s">
        <v>444</v>
      </c>
      <c r="T346">
        <v>2035</v>
      </c>
      <c r="U346">
        <v>42.75</v>
      </c>
      <c r="V346">
        <v>1</v>
      </c>
      <c r="W346">
        <v>2035</v>
      </c>
      <c r="X346">
        <v>9</v>
      </c>
      <c r="Y346">
        <v>2035</v>
      </c>
      <c r="Z346">
        <v>1</v>
      </c>
      <c r="AA346">
        <v>120</v>
      </c>
      <c r="AB346">
        <v>180</v>
      </c>
      <c r="AC346">
        <v>120</v>
      </c>
      <c r="AD346">
        <v>180</v>
      </c>
      <c r="AE346">
        <v>0</v>
      </c>
      <c r="AF346">
        <v>0</v>
      </c>
      <c r="AG346">
        <v>120</v>
      </c>
      <c r="AH346">
        <v>180</v>
      </c>
      <c r="AI346">
        <v>1</v>
      </c>
      <c r="AJ346">
        <v>2.8420000000000001</v>
      </c>
      <c r="AK346">
        <v>2036</v>
      </c>
      <c r="AL346" s="61">
        <v>2.944</v>
      </c>
      <c r="AM346" s="61">
        <v>2.8420000000000001</v>
      </c>
      <c r="AN346" s="61">
        <v>2.944</v>
      </c>
      <c r="AO346">
        <v>1.2513076834571593</v>
      </c>
      <c r="AP346">
        <v>1.0294008580614105</v>
      </c>
      <c r="AQ346">
        <v>1.2880972030496356</v>
      </c>
      <c r="AR346" t="b">
        <v>0</v>
      </c>
      <c r="AS346">
        <v>93.160671194606977</v>
      </c>
      <c r="AT346">
        <v>139.74100679191045</v>
      </c>
      <c r="AU346">
        <v>116.45083899325871</v>
      </c>
    </row>
    <row r="347" spans="1:47" x14ac:dyDescent="0.25">
      <c r="A347" t="s">
        <v>360</v>
      </c>
      <c r="B347" t="s">
        <v>469</v>
      </c>
      <c r="C347" t="s">
        <v>320</v>
      </c>
      <c r="D347">
        <v>2026</v>
      </c>
      <c r="E347">
        <v>0</v>
      </c>
      <c r="F347">
        <v>15</v>
      </c>
      <c r="G347">
        <v>0</v>
      </c>
      <c r="H347">
        <v>0</v>
      </c>
      <c r="I347">
        <v>30</v>
      </c>
      <c r="J347">
        <v>45</v>
      </c>
      <c r="K347">
        <v>4</v>
      </c>
      <c r="L347">
        <v>2</v>
      </c>
      <c r="M347">
        <v>26</v>
      </c>
      <c r="N347">
        <v>0</v>
      </c>
      <c r="O347" t="s">
        <v>27</v>
      </c>
      <c r="P347" t="s">
        <v>443</v>
      </c>
      <c r="Q347">
        <v>2026</v>
      </c>
      <c r="R347">
        <v>2041</v>
      </c>
      <c r="S347" t="s">
        <v>444</v>
      </c>
      <c r="T347">
        <v>2036</v>
      </c>
      <c r="U347">
        <v>43.75</v>
      </c>
      <c r="V347">
        <v>1</v>
      </c>
      <c r="W347">
        <v>2036</v>
      </c>
      <c r="X347">
        <v>10</v>
      </c>
      <c r="Y347">
        <v>2036</v>
      </c>
      <c r="Z347">
        <v>1</v>
      </c>
      <c r="AA347">
        <v>120</v>
      </c>
      <c r="AB347">
        <v>180</v>
      </c>
      <c r="AC347">
        <v>120</v>
      </c>
      <c r="AD347">
        <v>180</v>
      </c>
      <c r="AE347">
        <v>0</v>
      </c>
      <c r="AF347">
        <v>0</v>
      </c>
      <c r="AG347">
        <v>120</v>
      </c>
      <c r="AH347">
        <v>180</v>
      </c>
      <c r="AI347">
        <v>1</v>
      </c>
      <c r="AJ347">
        <v>2.944</v>
      </c>
      <c r="AK347">
        <v>2037</v>
      </c>
      <c r="AL347" s="61">
        <v>3.036</v>
      </c>
      <c r="AM347" s="61">
        <v>2.944</v>
      </c>
      <c r="AN347" s="61">
        <v>3.036</v>
      </c>
      <c r="AO347">
        <v>1.2984025298030446</v>
      </c>
      <c r="AP347">
        <v>1.0303246971701443</v>
      </c>
      <c r="AQ347">
        <v>1.3377761933242711</v>
      </c>
      <c r="AR347" t="b">
        <v>0</v>
      </c>
      <c r="AS347">
        <v>89.701102919023555</v>
      </c>
      <c r="AT347">
        <v>134.55165437853535</v>
      </c>
      <c r="AU347">
        <v>112.12637864877945</v>
      </c>
    </row>
    <row r="348" spans="1:47" x14ac:dyDescent="0.25">
      <c r="A348" t="s">
        <v>360</v>
      </c>
      <c r="B348" t="s">
        <v>469</v>
      </c>
      <c r="C348" t="s">
        <v>320</v>
      </c>
      <c r="D348">
        <v>2026</v>
      </c>
      <c r="E348">
        <v>0</v>
      </c>
      <c r="F348">
        <v>15</v>
      </c>
      <c r="G348">
        <v>0</v>
      </c>
      <c r="H348">
        <v>0</v>
      </c>
      <c r="I348">
        <v>30</v>
      </c>
      <c r="J348">
        <v>45</v>
      </c>
      <c r="K348">
        <v>4</v>
      </c>
      <c r="L348">
        <v>2</v>
      </c>
      <c r="M348">
        <v>26</v>
      </c>
      <c r="N348">
        <v>0</v>
      </c>
      <c r="O348" t="s">
        <v>27</v>
      </c>
      <c r="P348" t="s">
        <v>443</v>
      </c>
      <c r="Q348">
        <v>2026</v>
      </c>
      <c r="R348">
        <v>2041</v>
      </c>
      <c r="S348" t="s">
        <v>444</v>
      </c>
      <c r="T348">
        <v>2037</v>
      </c>
      <c r="U348">
        <v>44.75</v>
      </c>
      <c r="V348">
        <v>1</v>
      </c>
      <c r="W348">
        <v>2037</v>
      </c>
      <c r="X348">
        <v>11</v>
      </c>
      <c r="Y348">
        <v>2037</v>
      </c>
      <c r="Z348">
        <v>1</v>
      </c>
      <c r="AA348">
        <v>120</v>
      </c>
      <c r="AB348">
        <v>180</v>
      </c>
      <c r="AC348">
        <v>120</v>
      </c>
      <c r="AD348">
        <v>180</v>
      </c>
      <c r="AE348">
        <v>0</v>
      </c>
      <c r="AF348">
        <v>0</v>
      </c>
      <c r="AG348">
        <v>120</v>
      </c>
      <c r="AH348">
        <v>180</v>
      </c>
      <c r="AI348">
        <v>1</v>
      </c>
      <c r="AJ348">
        <v>3.036</v>
      </c>
      <c r="AK348">
        <v>2038</v>
      </c>
      <c r="AL348" s="61">
        <v>3.1339999999999999</v>
      </c>
      <c r="AM348" s="61">
        <v>3.036</v>
      </c>
      <c r="AN348" s="61">
        <v>3.1339999999999999</v>
      </c>
      <c r="AO348">
        <v>1.3486209574989538</v>
      </c>
      <c r="AP348">
        <v>1.0313023937742947</v>
      </c>
      <c r="AQ348">
        <v>1.3908360217628524</v>
      </c>
      <c r="AR348" t="b">
        <v>0</v>
      </c>
      <c r="AS348">
        <v>86.279042333044259</v>
      </c>
      <c r="AT348">
        <v>129.41856349956637</v>
      </c>
      <c r="AU348">
        <v>107.84880291630532</v>
      </c>
    </row>
    <row r="349" spans="1:47" x14ac:dyDescent="0.25">
      <c r="A349" t="s">
        <v>360</v>
      </c>
      <c r="B349" t="s">
        <v>469</v>
      </c>
      <c r="C349" t="s">
        <v>320</v>
      </c>
      <c r="D349">
        <v>2026</v>
      </c>
      <c r="E349">
        <v>0</v>
      </c>
      <c r="F349">
        <v>15</v>
      </c>
      <c r="G349">
        <v>0</v>
      </c>
      <c r="H349">
        <v>0</v>
      </c>
      <c r="I349">
        <v>30</v>
      </c>
      <c r="J349">
        <v>45</v>
      </c>
      <c r="K349">
        <v>4</v>
      </c>
      <c r="L349">
        <v>2</v>
      </c>
      <c r="M349">
        <v>26</v>
      </c>
      <c r="N349">
        <v>0</v>
      </c>
      <c r="O349" t="s">
        <v>27</v>
      </c>
      <c r="P349" t="s">
        <v>443</v>
      </c>
      <c r="Q349">
        <v>2026</v>
      </c>
      <c r="R349">
        <v>2041</v>
      </c>
      <c r="S349" t="s">
        <v>444</v>
      </c>
      <c r="T349">
        <v>2038</v>
      </c>
      <c r="U349">
        <v>45.75</v>
      </c>
      <c r="V349">
        <v>1</v>
      </c>
      <c r="W349">
        <v>2038</v>
      </c>
      <c r="X349">
        <v>12</v>
      </c>
      <c r="Y349">
        <v>2038</v>
      </c>
      <c r="Z349">
        <v>1</v>
      </c>
      <c r="AA349">
        <v>120</v>
      </c>
      <c r="AB349">
        <v>180</v>
      </c>
      <c r="AC349">
        <v>120</v>
      </c>
      <c r="AD349">
        <v>180</v>
      </c>
      <c r="AE349">
        <v>0</v>
      </c>
      <c r="AF349">
        <v>0</v>
      </c>
      <c r="AG349">
        <v>120</v>
      </c>
      <c r="AH349">
        <v>180</v>
      </c>
      <c r="AI349">
        <v>1</v>
      </c>
      <c r="AJ349">
        <v>3.1339999999999999</v>
      </c>
      <c r="AK349">
        <v>2039</v>
      </c>
      <c r="AL349" s="61">
        <v>3.2069999999999999</v>
      </c>
      <c r="AM349" s="61">
        <v>3.1339999999999999</v>
      </c>
      <c r="AN349" s="61">
        <v>3.2069999999999999</v>
      </c>
      <c r="AO349">
        <v>1.4041725591738043</v>
      </c>
      <c r="AP349">
        <v>1.0320419904729838</v>
      </c>
      <c r="AQ349">
        <v>1.4491650429372767</v>
      </c>
      <c r="AR349" t="b">
        <v>0</v>
      </c>
      <c r="AS349">
        <v>82.806303246713</v>
      </c>
      <c r="AT349">
        <v>124.20945487006951</v>
      </c>
      <c r="AU349">
        <v>103.50787905839125</v>
      </c>
    </row>
    <row r="350" spans="1:47" x14ac:dyDescent="0.25">
      <c r="A350" t="s">
        <v>360</v>
      </c>
      <c r="B350" t="s">
        <v>469</v>
      </c>
      <c r="C350" t="s">
        <v>320</v>
      </c>
      <c r="D350">
        <v>2026</v>
      </c>
      <c r="E350">
        <v>0</v>
      </c>
      <c r="F350">
        <v>15</v>
      </c>
      <c r="G350">
        <v>0</v>
      </c>
      <c r="H350">
        <v>0</v>
      </c>
      <c r="I350">
        <v>30</v>
      </c>
      <c r="J350">
        <v>45</v>
      </c>
      <c r="K350">
        <v>4</v>
      </c>
      <c r="L350">
        <v>2</v>
      </c>
      <c r="M350">
        <v>26</v>
      </c>
      <c r="N350">
        <v>0</v>
      </c>
      <c r="O350" t="s">
        <v>27</v>
      </c>
      <c r="P350" t="s">
        <v>443</v>
      </c>
      <c r="Q350">
        <v>2026</v>
      </c>
      <c r="R350">
        <v>2041</v>
      </c>
      <c r="S350" t="s">
        <v>444</v>
      </c>
      <c r="T350">
        <v>2039</v>
      </c>
      <c r="U350">
        <v>46.75</v>
      </c>
      <c r="V350">
        <v>1</v>
      </c>
      <c r="W350">
        <v>2039</v>
      </c>
      <c r="X350">
        <v>13</v>
      </c>
      <c r="Y350">
        <v>2039</v>
      </c>
      <c r="Z350">
        <v>1</v>
      </c>
      <c r="AA350">
        <v>120</v>
      </c>
      <c r="AB350">
        <v>180</v>
      </c>
      <c r="AC350">
        <v>120</v>
      </c>
      <c r="AD350">
        <v>180</v>
      </c>
      <c r="AE350">
        <v>0</v>
      </c>
      <c r="AF350">
        <v>0</v>
      </c>
      <c r="AG350">
        <v>120</v>
      </c>
      <c r="AH350">
        <v>180</v>
      </c>
      <c r="AI350">
        <v>1</v>
      </c>
      <c r="AJ350">
        <v>3.2069999999999999</v>
      </c>
      <c r="AK350">
        <v>2040</v>
      </c>
      <c r="AL350" s="61">
        <v>3.3029999999999999</v>
      </c>
      <c r="AM350" s="61">
        <v>3.2069999999999999</v>
      </c>
      <c r="AN350" s="61">
        <v>3.3029999999999999</v>
      </c>
      <c r="AO350">
        <v>1.4605278779269859</v>
      </c>
      <c r="AP350">
        <v>1.0329931616190409</v>
      </c>
      <c r="AQ350">
        <v>1.5087153102525457</v>
      </c>
      <c r="AR350" t="b">
        <v>0</v>
      </c>
      <c r="AS350">
        <v>79.537868532608087</v>
      </c>
      <c r="AT350">
        <v>119.30680279891213</v>
      </c>
      <c r="AU350">
        <v>99.422335665760102</v>
      </c>
    </row>
    <row r="351" spans="1:47" x14ac:dyDescent="0.25">
      <c r="A351" t="s">
        <v>360</v>
      </c>
      <c r="B351" t="s">
        <v>469</v>
      </c>
      <c r="C351" t="s">
        <v>320</v>
      </c>
      <c r="D351">
        <v>2026</v>
      </c>
      <c r="E351">
        <v>0</v>
      </c>
      <c r="F351">
        <v>15</v>
      </c>
      <c r="G351">
        <v>0</v>
      </c>
      <c r="H351">
        <v>0</v>
      </c>
      <c r="I351">
        <v>30</v>
      </c>
      <c r="J351">
        <v>45</v>
      </c>
      <c r="K351">
        <v>4</v>
      </c>
      <c r="L351">
        <v>2</v>
      </c>
      <c r="M351">
        <v>26</v>
      </c>
      <c r="N351">
        <v>0</v>
      </c>
      <c r="O351" t="s">
        <v>27</v>
      </c>
      <c r="P351" t="s">
        <v>443</v>
      </c>
      <c r="Q351">
        <v>2026</v>
      </c>
      <c r="R351">
        <v>2041</v>
      </c>
      <c r="S351" t="s">
        <v>444</v>
      </c>
      <c r="T351">
        <v>2040</v>
      </c>
      <c r="U351">
        <v>47.75</v>
      </c>
      <c r="V351">
        <v>1</v>
      </c>
      <c r="W351">
        <v>2040</v>
      </c>
      <c r="X351">
        <v>14</v>
      </c>
      <c r="Y351">
        <v>2040</v>
      </c>
      <c r="Z351">
        <v>1</v>
      </c>
      <c r="AA351">
        <v>120</v>
      </c>
      <c r="AB351">
        <v>180</v>
      </c>
      <c r="AC351">
        <v>120</v>
      </c>
      <c r="AD351">
        <v>180</v>
      </c>
      <c r="AE351">
        <v>0</v>
      </c>
      <c r="AF351">
        <v>0</v>
      </c>
      <c r="AG351">
        <v>120</v>
      </c>
      <c r="AH351">
        <v>180</v>
      </c>
      <c r="AI351">
        <v>1</v>
      </c>
      <c r="AJ351">
        <v>3.3029999999999999</v>
      </c>
      <c r="AK351">
        <v>2041</v>
      </c>
      <c r="AL351" s="61">
        <v>3.3559999999999999</v>
      </c>
      <c r="AM351" s="61">
        <v>3.3029999999999999</v>
      </c>
      <c r="AN351" s="61">
        <v>3.3559999999999999</v>
      </c>
      <c r="AO351">
        <v>1.5256964700083253</v>
      </c>
      <c r="AP351">
        <v>1.0335396662189136</v>
      </c>
      <c r="AQ351">
        <v>1.5768678203637791</v>
      </c>
      <c r="AR351" t="b">
        <v>0</v>
      </c>
      <c r="AS351">
        <v>76.100227584272929</v>
      </c>
      <c r="AT351">
        <v>114.1503413764094</v>
      </c>
      <c r="AU351">
        <v>95.125284480341165</v>
      </c>
    </row>
    <row r="352" spans="1:47" x14ac:dyDescent="0.25">
      <c r="A352" t="s">
        <v>360</v>
      </c>
      <c r="B352" t="s">
        <v>469</v>
      </c>
      <c r="C352" t="s">
        <v>320</v>
      </c>
      <c r="D352">
        <v>2026</v>
      </c>
      <c r="E352">
        <v>0</v>
      </c>
      <c r="M352">
        <v>26</v>
      </c>
      <c r="Q352">
        <v>2026</v>
      </c>
      <c r="R352">
        <v>2041</v>
      </c>
      <c r="T352">
        <v>2041</v>
      </c>
      <c r="U352">
        <v>48.75</v>
      </c>
      <c r="W352">
        <v>2041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L352" s="61"/>
      <c r="AS352">
        <v>0</v>
      </c>
      <c r="AT352">
        <v>0</v>
      </c>
      <c r="AU352">
        <v>0</v>
      </c>
    </row>
    <row r="353" spans="1:47" x14ac:dyDescent="0.25">
      <c r="A353" t="s">
        <v>334</v>
      </c>
      <c r="B353" t="s">
        <v>470</v>
      </c>
      <c r="C353" t="s">
        <v>319</v>
      </c>
      <c r="D353">
        <v>2026</v>
      </c>
      <c r="E353">
        <v>0</v>
      </c>
      <c r="F353">
        <v>10</v>
      </c>
      <c r="G353">
        <v>0</v>
      </c>
      <c r="H353">
        <v>0</v>
      </c>
      <c r="I353">
        <v>50</v>
      </c>
      <c r="J353">
        <v>250</v>
      </c>
      <c r="K353">
        <v>1</v>
      </c>
      <c r="L353">
        <v>1</v>
      </c>
      <c r="M353">
        <v>27</v>
      </c>
      <c r="N353">
        <v>0</v>
      </c>
      <c r="O353" t="s">
        <v>27</v>
      </c>
      <c r="P353" t="s">
        <v>443</v>
      </c>
      <c r="Q353">
        <v>2026</v>
      </c>
      <c r="R353">
        <v>2036</v>
      </c>
      <c r="S353" t="s">
        <v>444</v>
      </c>
      <c r="T353">
        <v>2026</v>
      </c>
      <c r="U353">
        <v>33.75</v>
      </c>
      <c r="V353">
        <v>1</v>
      </c>
      <c r="W353">
        <v>2026</v>
      </c>
      <c r="X353">
        <v>0</v>
      </c>
      <c r="Y353">
        <v>2026</v>
      </c>
      <c r="Z353">
        <v>1</v>
      </c>
      <c r="AA353">
        <v>50</v>
      </c>
      <c r="AB353">
        <v>250</v>
      </c>
      <c r="AC353">
        <v>50</v>
      </c>
      <c r="AD353">
        <v>250</v>
      </c>
      <c r="AE353">
        <v>0</v>
      </c>
      <c r="AF353">
        <v>0</v>
      </c>
      <c r="AG353">
        <v>50</v>
      </c>
      <c r="AH353">
        <v>250</v>
      </c>
      <c r="AI353">
        <v>1</v>
      </c>
      <c r="AK353">
        <v>2027</v>
      </c>
      <c r="AL353" s="61">
        <v>2.4329999999999998</v>
      </c>
      <c r="AM353" s="61">
        <v>0</v>
      </c>
      <c r="AN353" s="61">
        <v>2.4329999999999998</v>
      </c>
      <c r="AO353">
        <v>1</v>
      </c>
      <c r="AP353">
        <v>1.023385968321771</v>
      </c>
      <c r="AQ353">
        <v>1.023385968321771</v>
      </c>
      <c r="AR353" t="b">
        <v>1</v>
      </c>
      <c r="AS353">
        <v>50</v>
      </c>
      <c r="AT353">
        <v>250</v>
      </c>
      <c r="AU353">
        <v>150</v>
      </c>
    </row>
    <row r="354" spans="1:47" x14ac:dyDescent="0.25">
      <c r="A354" t="s">
        <v>334</v>
      </c>
      <c r="B354" t="s">
        <v>470</v>
      </c>
      <c r="C354" t="s">
        <v>319</v>
      </c>
      <c r="D354">
        <v>2026</v>
      </c>
      <c r="E354">
        <v>0</v>
      </c>
      <c r="F354">
        <v>10</v>
      </c>
      <c r="G354">
        <v>0</v>
      </c>
      <c r="H354">
        <v>0</v>
      </c>
      <c r="I354">
        <v>50</v>
      </c>
      <c r="J354">
        <v>250</v>
      </c>
      <c r="K354">
        <v>1</v>
      </c>
      <c r="L354">
        <v>1</v>
      </c>
      <c r="M354">
        <v>27</v>
      </c>
      <c r="N354">
        <v>0</v>
      </c>
      <c r="O354" t="s">
        <v>27</v>
      </c>
      <c r="P354" t="s">
        <v>443</v>
      </c>
      <c r="Q354">
        <v>2026</v>
      </c>
      <c r="R354">
        <v>2036</v>
      </c>
      <c r="S354" t="s">
        <v>444</v>
      </c>
      <c r="T354">
        <v>2027</v>
      </c>
      <c r="U354">
        <v>34.75</v>
      </c>
      <c r="V354">
        <v>1</v>
      </c>
      <c r="W354">
        <v>2027</v>
      </c>
      <c r="X354">
        <v>1</v>
      </c>
      <c r="Y354">
        <v>2027</v>
      </c>
      <c r="Z354">
        <v>1</v>
      </c>
      <c r="AA354">
        <v>50</v>
      </c>
      <c r="AB354">
        <v>250</v>
      </c>
      <c r="AC354">
        <v>50</v>
      </c>
      <c r="AD354">
        <v>250</v>
      </c>
      <c r="AE354">
        <v>0</v>
      </c>
      <c r="AF354">
        <v>0</v>
      </c>
      <c r="AG354">
        <v>50</v>
      </c>
      <c r="AH354">
        <v>250</v>
      </c>
      <c r="AI354">
        <v>1</v>
      </c>
      <c r="AJ354">
        <v>2.4329999999999998</v>
      </c>
      <c r="AK354">
        <v>2028</v>
      </c>
      <c r="AL354" s="61">
        <v>2.4220000000000002</v>
      </c>
      <c r="AM354" s="61">
        <v>2.4329999999999998</v>
      </c>
      <c r="AN354" s="61">
        <v>2.4220000000000002</v>
      </c>
      <c r="AO354">
        <v>1</v>
      </c>
      <c r="AP354">
        <v>1.0242242189602202</v>
      </c>
      <c r="AQ354">
        <v>1.0242242189602202</v>
      </c>
      <c r="AR354" t="b">
        <v>0</v>
      </c>
      <c r="AS354">
        <v>48.817435747379008</v>
      </c>
      <c r="AT354">
        <v>244.08717873689505</v>
      </c>
      <c r="AU354">
        <v>146.45230724213704</v>
      </c>
    </row>
    <row r="355" spans="1:47" x14ac:dyDescent="0.25">
      <c r="A355" t="s">
        <v>334</v>
      </c>
      <c r="B355" t="s">
        <v>470</v>
      </c>
      <c r="C355" t="s">
        <v>319</v>
      </c>
      <c r="D355">
        <v>2026</v>
      </c>
      <c r="E355">
        <v>0</v>
      </c>
      <c r="F355">
        <v>10</v>
      </c>
      <c r="G355">
        <v>0</v>
      </c>
      <c r="H355">
        <v>0</v>
      </c>
      <c r="I355">
        <v>50</v>
      </c>
      <c r="J355">
        <v>250</v>
      </c>
      <c r="K355">
        <v>1</v>
      </c>
      <c r="L355">
        <v>1</v>
      </c>
      <c r="M355">
        <v>27</v>
      </c>
      <c r="N355">
        <v>0</v>
      </c>
      <c r="O355" t="s">
        <v>27</v>
      </c>
      <c r="P355" t="s">
        <v>443</v>
      </c>
      <c r="Q355">
        <v>2026</v>
      </c>
      <c r="R355">
        <v>2036</v>
      </c>
      <c r="S355" t="s">
        <v>444</v>
      </c>
      <c r="T355">
        <v>2028</v>
      </c>
      <c r="U355">
        <v>35.75</v>
      </c>
      <c r="V355">
        <v>1</v>
      </c>
      <c r="W355">
        <v>2028</v>
      </c>
      <c r="X355">
        <v>2</v>
      </c>
      <c r="Y355">
        <v>2028</v>
      </c>
      <c r="Z355">
        <v>1</v>
      </c>
      <c r="AA355">
        <v>50</v>
      </c>
      <c r="AB355">
        <v>250</v>
      </c>
      <c r="AC355">
        <v>50</v>
      </c>
      <c r="AD355">
        <v>250</v>
      </c>
      <c r="AE355">
        <v>0</v>
      </c>
      <c r="AF355">
        <v>0</v>
      </c>
      <c r="AG355">
        <v>50</v>
      </c>
      <c r="AH355">
        <v>250</v>
      </c>
      <c r="AI355">
        <v>1</v>
      </c>
      <c r="AJ355">
        <v>2.4220000000000002</v>
      </c>
      <c r="AK355">
        <v>2029</v>
      </c>
      <c r="AL355" s="61">
        <v>2.4209999999999998</v>
      </c>
      <c r="AM355" s="61">
        <v>2.4220000000000002</v>
      </c>
      <c r="AN355" s="61">
        <v>2.4209999999999998</v>
      </c>
      <c r="AO355">
        <v>1.0242199999999999</v>
      </c>
      <c r="AP355">
        <v>1.0242103835598433</v>
      </c>
      <c r="AQ355">
        <v>1.0490167590496626</v>
      </c>
      <c r="AR355" t="b">
        <v>0</v>
      </c>
      <c r="AS355">
        <v>47.66368084080618</v>
      </c>
      <c r="AT355">
        <v>238.31840420403091</v>
      </c>
      <c r="AU355">
        <v>142.99104252241855</v>
      </c>
    </row>
    <row r="356" spans="1:47" x14ac:dyDescent="0.25">
      <c r="A356" t="s">
        <v>334</v>
      </c>
      <c r="B356" t="s">
        <v>470</v>
      </c>
      <c r="C356" t="s">
        <v>319</v>
      </c>
      <c r="D356">
        <v>2026</v>
      </c>
      <c r="E356">
        <v>0</v>
      </c>
      <c r="F356">
        <v>10</v>
      </c>
      <c r="G356">
        <v>0</v>
      </c>
      <c r="H356">
        <v>0</v>
      </c>
      <c r="I356">
        <v>50</v>
      </c>
      <c r="J356">
        <v>250</v>
      </c>
      <c r="K356">
        <v>1</v>
      </c>
      <c r="L356">
        <v>1</v>
      </c>
      <c r="M356">
        <v>27</v>
      </c>
      <c r="N356">
        <v>0</v>
      </c>
      <c r="O356" t="s">
        <v>27</v>
      </c>
      <c r="P356" t="s">
        <v>443</v>
      </c>
      <c r="Q356">
        <v>2026</v>
      </c>
      <c r="R356">
        <v>2036</v>
      </c>
      <c r="S356" t="s">
        <v>444</v>
      </c>
      <c r="T356">
        <v>2029</v>
      </c>
      <c r="U356">
        <v>36.75</v>
      </c>
      <c r="V356">
        <v>1</v>
      </c>
      <c r="W356">
        <v>2029</v>
      </c>
      <c r="X356">
        <v>3</v>
      </c>
      <c r="Y356">
        <v>2029</v>
      </c>
      <c r="Z356">
        <v>1</v>
      </c>
      <c r="AA356">
        <v>50</v>
      </c>
      <c r="AB356">
        <v>250</v>
      </c>
      <c r="AC356">
        <v>50</v>
      </c>
      <c r="AD356">
        <v>250</v>
      </c>
      <c r="AE356">
        <v>0</v>
      </c>
      <c r="AF356">
        <v>0</v>
      </c>
      <c r="AG356">
        <v>50</v>
      </c>
      <c r="AH356">
        <v>250</v>
      </c>
      <c r="AI356">
        <v>1</v>
      </c>
      <c r="AJ356">
        <v>2.4209999999999998</v>
      </c>
      <c r="AK356">
        <v>2030</v>
      </c>
      <c r="AL356" s="61">
        <v>2.4670000000000001</v>
      </c>
      <c r="AM356" s="61">
        <v>2.4209999999999998</v>
      </c>
      <c r="AN356" s="61">
        <v>2.4670000000000001</v>
      </c>
      <c r="AO356">
        <v>1.0490061241000002</v>
      </c>
      <c r="AP356">
        <v>1.0246523523547908</v>
      </c>
      <c r="AQ356">
        <v>1.0748665926936467</v>
      </c>
      <c r="AR356" t="b">
        <v>0</v>
      </c>
      <c r="AS356">
        <v>46.517400708025129</v>
      </c>
      <c r="AT356">
        <v>232.58700354012564</v>
      </c>
      <c r="AU356">
        <v>139.55220212407539</v>
      </c>
    </row>
    <row r="357" spans="1:47" x14ac:dyDescent="0.25">
      <c r="A357" t="s">
        <v>334</v>
      </c>
      <c r="B357" t="s">
        <v>470</v>
      </c>
      <c r="C357" t="s">
        <v>319</v>
      </c>
      <c r="D357">
        <v>2026</v>
      </c>
      <c r="E357">
        <v>0</v>
      </c>
      <c r="F357">
        <v>10</v>
      </c>
      <c r="G357">
        <v>0</v>
      </c>
      <c r="H357">
        <v>0</v>
      </c>
      <c r="I357">
        <v>50</v>
      </c>
      <c r="J357">
        <v>250</v>
      </c>
      <c r="K357">
        <v>1</v>
      </c>
      <c r="L357">
        <v>1</v>
      </c>
      <c r="M357">
        <v>27</v>
      </c>
      <c r="N357">
        <v>0</v>
      </c>
      <c r="O357" t="s">
        <v>27</v>
      </c>
      <c r="P357" t="s">
        <v>443</v>
      </c>
      <c r="Q357">
        <v>2026</v>
      </c>
      <c r="R357">
        <v>2036</v>
      </c>
      <c r="S357" t="s">
        <v>444</v>
      </c>
      <c r="T357">
        <v>2030</v>
      </c>
      <c r="U357">
        <v>37.75</v>
      </c>
      <c r="V357">
        <v>1</v>
      </c>
      <c r="W357">
        <v>2030</v>
      </c>
      <c r="X357">
        <v>4</v>
      </c>
      <c r="Y357">
        <v>2030</v>
      </c>
      <c r="Z357">
        <v>1</v>
      </c>
      <c r="AA357">
        <v>50</v>
      </c>
      <c r="AB357">
        <v>250</v>
      </c>
      <c r="AC357">
        <v>50</v>
      </c>
      <c r="AD357">
        <v>250</v>
      </c>
      <c r="AE357">
        <v>0</v>
      </c>
      <c r="AF357">
        <v>0</v>
      </c>
      <c r="AG357">
        <v>50</v>
      </c>
      <c r="AH357">
        <v>250</v>
      </c>
      <c r="AI357">
        <v>1</v>
      </c>
      <c r="AJ357">
        <v>2.4670000000000001</v>
      </c>
      <c r="AK357">
        <v>2031</v>
      </c>
      <c r="AL357" s="61">
        <v>2.5169999999999999</v>
      </c>
      <c r="AM357" s="61">
        <v>2.4670000000000001</v>
      </c>
      <c r="AN357" s="61">
        <v>2.5169999999999999</v>
      </c>
      <c r="AO357">
        <v>1.0758508410815628</v>
      </c>
      <c r="AP357">
        <v>1.0251508174189523</v>
      </c>
      <c r="AQ357">
        <v>1.1029093691556315</v>
      </c>
      <c r="AR357" t="b">
        <v>0</v>
      </c>
      <c r="AS357">
        <v>45.334640722364284</v>
      </c>
      <c r="AT357">
        <v>226.67320361182144</v>
      </c>
      <c r="AU357">
        <v>136.00392216709287</v>
      </c>
    </row>
    <row r="358" spans="1:47" x14ac:dyDescent="0.25">
      <c r="A358" t="s">
        <v>334</v>
      </c>
      <c r="B358" t="s">
        <v>470</v>
      </c>
      <c r="C358" t="s">
        <v>319</v>
      </c>
      <c r="D358">
        <v>2026</v>
      </c>
      <c r="E358">
        <v>0</v>
      </c>
      <c r="F358">
        <v>10</v>
      </c>
      <c r="G358">
        <v>0</v>
      </c>
      <c r="H358">
        <v>0</v>
      </c>
      <c r="I358">
        <v>50</v>
      </c>
      <c r="J358">
        <v>250</v>
      </c>
      <c r="K358">
        <v>1</v>
      </c>
      <c r="L358">
        <v>1</v>
      </c>
      <c r="M358">
        <v>27</v>
      </c>
      <c r="N358">
        <v>0</v>
      </c>
      <c r="O358" t="s">
        <v>27</v>
      </c>
      <c r="P358" t="s">
        <v>443</v>
      </c>
      <c r="Q358">
        <v>2026</v>
      </c>
      <c r="R358">
        <v>2036</v>
      </c>
      <c r="S358" t="s">
        <v>444</v>
      </c>
      <c r="T358">
        <v>2031</v>
      </c>
      <c r="U358">
        <v>38.75</v>
      </c>
      <c r="V358">
        <v>1</v>
      </c>
      <c r="W358">
        <v>2031</v>
      </c>
      <c r="X358">
        <v>5</v>
      </c>
      <c r="Y358">
        <v>2031</v>
      </c>
      <c r="Z358">
        <v>1</v>
      </c>
      <c r="AA358">
        <v>50</v>
      </c>
      <c r="AB358">
        <v>250</v>
      </c>
      <c r="AC358">
        <v>50</v>
      </c>
      <c r="AD358">
        <v>250</v>
      </c>
      <c r="AE358">
        <v>0</v>
      </c>
      <c r="AF358">
        <v>0</v>
      </c>
      <c r="AG358">
        <v>50</v>
      </c>
      <c r="AH358">
        <v>250</v>
      </c>
      <c r="AI358">
        <v>1</v>
      </c>
      <c r="AJ358">
        <v>2.5169999999999999</v>
      </c>
      <c r="AK358">
        <v>2032</v>
      </c>
      <c r="AL358" s="61">
        <v>2.59</v>
      </c>
      <c r="AM358" s="61">
        <v>2.5169999999999999</v>
      </c>
      <c r="AN358" s="61">
        <v>2.59</v>
      </c>
      <c r="AO358">
        <v>1.1045453584485188</v>
      </c>
      <c r="AP358">
        <v>1.0258719904156592</v>
      </c>
      <c r="AQ358">
        <v>1.1331221453759597</v>
      </c>
      <c r="AR358" t="b">
        <v>0</v>
      </c>
      <c r="AS358">
        <v>44.125869575526167</v>
      </c>
      <c r="AT358">
        <v>220.62934787763083</v>
      </c>
      <c r="AU358">
        <v>132.3776087265785</v>
      </c>
    </row>
    <row r="359" spans="1:47" x14ac:dyDescent="0.25">
      <c r="A359" t="s">
        <v>334</v>
      </c>
      <c r="B359" t="s">
        <v>470</v>
      </c>
      <c r="C359" t="s">
        <v>319</v>
      </c>
      <c r="D359">
        <v>2026</v>
      </c>
      <c r="E359">
        <v>0</v>
      </c>
      <c r="F359">
        <v>10</v>
      </c>
      <c r="G359">
        <v>0</v>
      </c>
      <c r="H359">
        <v>0</v>
      </c>
      <c r="I359">
        <v>50</v>
      </c>
      <c r="J359">
        <v>250</v>
      </c>
      <c r="K359">
        <v>1</v>
      </c>
      <c r="L359">
        <v>1</v>
      </c>
      <c r="M359">
        <v>27</v>
      </c>
      <c r="N359">
        <v>0</v>
      </c>
      <c r="O359" t="s">
        <v>27</v>
      </c>
      <c r="P359" t="s">
        <v>443</v>
      </c>
      <c r="Q359">
        <v>2026</v>
      </c>
      <c r="R359">
        <v>2036</v>
      </c>
      <c r="S359" t="s">
        <v>444</v>
      </c>
      <c r="T359">
        <v>2032</v>
      </c>
      <c r="U359">
        <v>39.75</v>
      </c>
      <c r="V359">
        <v>1</v>
      </c>
      <c r="W359">
        <v>2032</v>
      </c>
      <c r="X359">
        <v>6</v>
      </c>
      <c r="Y359">
        <v>2032</v>
      </c>
      <c r="Z359">
        <v>1</v>
      </c>
      <c r="AA359">
        <v>50</v>
      </c>
      <c r="AB359">
        <v>250</v>
      </c>
      <c r="AC359">
        <v>50</v>
      </c>
      <c r="AD359">
        <v>250</v>
      </c>
      <c r="AE359">
        <v>0</v>
      </c>
      <c r="AF359">
        <v>0</v>
      </c>
      <c r="AG359">
        <v>50</v>
      </c>
      <c r="AH359">
        <v>250</v>
      </c>
      <c r="AI359">
        <v>1</v>
      </c>
      <c r="AJ359">
        <v>2.59</v>
      </c>
      <c r="AK359">
        <v>2033</v>
      </c>
      <c r="AL359" s="61">
        <v>2.6880000000000002</v>
      </c>
      <c r="AM359" s="61">
        <v>2.59</v>
      </c>
      <c r="AN359" s="61">
        <v>2.6880000000000002</v>
      </c>
      <c r="AO359">
        <v>1.1363841013749196</v>
      </c>
      <c r="AP359">
        <v>1.0268423936996114</v>
      </c>
      <c r="AQ359">
        <v>1.1668873708180043</v>
      </c>
      <c r="AR359" t="b">
        <v>0</v>
      </c>
      <c r="AS359">
        <v>42.849036891151975</v>
      </c>
      <c r="AT359">
        <v>214.24518445575987</v>
      </c>
      <c r="AU359">
        <v>128.54711067345593</v>
      </c>
    </row>
    <row r="360" spans="1:47" x14ac:dyDescent="0.25">
      <c r="A360" t="s">
        <v>334</v>
      </c>
      <c r="B360" t="s">
        <v>470</v>
      </c>
      <c r="C360" t="s">
        <v>319</v>
      </c>
      <c r="D360">
        <v>2026</v>
      </c>
      <c r="E360">
        <v>0</v>
      </c>
      <c r="F360">
        <v>10</v>
      </c>
      <c r="G360">
        <v>0</v>
      </c>
      <c r="H360">
        <v>0</v>
      </c>
      <c r="I360">
        <v>50</v>
      </c>
      <c r="J360">
        <v>250</v>
      </c>
      <c r="K360">
        <v>1</v>
      </c>
      <c r="L360">
        <v>1</v>
      </c>
      <c r="M360">
        <v>27</v>
      </c>
      <c r="N360">
        <v>0</v>
      </c>
      <c r="O360" t="s">
        <v>27</v>
      </c>
      <c r="P360" t="s">
        <v>443</v>
      </c>
      <c r="Q360">
        <v>2026</v>
      </c>
      <c r="R360">
        <v>2036</v>
      </c>
      <c r="S360" t="s">
        <v>444</v>
      </c>
      <c r="T360">
        <v>2033</v>
      </c>
      <c r="U360">
        <v>40.75</v>
      </c>
      <c r="V360">
        <v>1</v>
      </c>
      <c r="W360">
        <v>2033</v>
      </c>
      <c r="X360">
        <v>7</v>
      </c>
      <c r="Y360">
        <v>2033</v>
      </c>
      <c r="Z360">
        <v>1</v>
      </c>
      <c r="AA360">
        <v>50</v>
      </c>
      <c r="AB360">
        <v>250</v>
      </c>
      <c r="AC360">
        <v>50</v>
      </c>
      <c r="AD360">
        <v>250</v>
      </c>
      <c r="AE360">
        <v>0</v>
      </c>
      <c r="AF360">
        <v>0</v>
      </c>
      <c r="AG360">
        <v>50</v>
      </c>
      <c r="AH360">
        <v>250</v>
      </c>
      <c r="AI360">
        <v>1</v>
      </c>
      <c r="AJ360">
        <v>2.6880000000000002</v>
      </c>
      <c r="AK360">
        <v>2034</v>
      </c>
      <c r="AL360" s="61">
        <v>2.7519999999999998</v>
      </c>
      <c r="AM360" s="61">
        <v>2.6880000000000002</v>
      </c>
      <c r="AN360" s="61">
        <v>2.7519999999999998</v>
      </c>
      <c r="AO360">
        <v>1.1725143659072164</v>
      </c>
      <c r="AP360">
        <v>1.0274954447000768</v>
      </c>
      <c r="AQ360">
        <v>1.2047531698150638</v>
      </c>
      <c r="AR360" t="b">
        <v>0</v>
      </c>
      <c r="AS360">
        <v>41.502277190667428</v>
      </c>
      <c r="AT360">
        <v>207.51138595333714</v>
      </c>
      <c r="AU360">
        <v>124.50683157200228</v>
      </c>
    </row>
    <row r="361" spans="1:47" x14ac:dyDescent="0.25">
      <c r="A361" t="s">
        <v>334</v>
      </c>
      <c r="B361" t="s">
        <v>470</v>
      </c>
      <c r="C361" t="s">
        <v>319</v>
      </c>
      <c r="D361">
        <v>2026</v>
      </c>
      <c r="E361">
        <v>0</v>
      </c>
      <c r="F361">
        <v>10</v>
      </c>
      <c r="G361">
        <v>0</v>
      </c>
      <c r="H361">
        <v>0</v>
      </c>
      <c r="I361">
        <v>50</v>
      </c>
      <c r="J361">
        <v>250</v>
      </c>
      <c r="K361">
        <v>1</v>
      </c>
      <c r="L361">
        <v>1</v>
      </c>
      <c r="M361">
        <v>27</v>
      </c>
      <c r="N361">
        <v>0</v>
      </c>
      <c r="O361" t="s">
        <v>27</v>
      </c>
      <c r="P361" t="s">
        <v>443</v>
      </c>
      <c r="Q361">
        <v>2026</v>
      </c>
      <c r="R361">
        <v>2036</v>
      </c>
      <c r="S361" t="s">
        <v>444</v>
      </c>
      <c r="T361">
        <v>2034</v>
      </c>
      <c r="U361">
        <v>41.75</v>
      </c>
      <c r="V361">
        <v>1</v>
      </c>
      <c r="W361">
        <v>2034</v>
      </c>
      <c r="X361">
        <v>8</v>
      </c>
      <c r="Y361">
        <v>2034</v>
      </c>
      <c r="Z361">
        <v>1</v>
      </c>
      <c r="AA361">
        <v>50</v>
      </c>
      <c r="AB361">
        <v>250</v>
      </c>
      <c r="AC361">
        <v>50</v>
      </c>
      <c r="AD361">
        <v>250</v>
      </c>
      <c r="AE361">
        <v>0</v>
      </c>
      <c r="AF361">
        <v>0</v>
      </c>
      <c r="AG361">
        <v>50</v>
      </c>
      <c r="AH361">
        <v>250</v>
      </c>
      <c r="AI361">
        <v>1</v>
      </c>
      <c r="AJ361">
        <v>2.7519999999999998</v>
      </c>
      <c r="AK361">
        <v>2035</v>
      </c>
      <c r="AL361" s="61">
        <v>2.8420000000000001</v>
      </c>
      <c r="AM361" s="61">
        <v>2.7519999999999998</v>
      </c>
      <c r="AN361" s="61">
        <v>2.8420000000000001</v>
      </c>
      <c r="AO361">
        <v>1.2092942481281721</v>
      </c>
      <c r="AP361">
        <v>1.0283854649181425</v>
      </c>
      <c r="AQ361">
        <v>1.2436206275841259</v>
      </c>
      <c r="AR361" t="b">
        <v>0</v>
      </c>
      <c r="AS361">
        <v>40.205187089193487</v>
      </c>
      <c r="AT361">
        <v>201.02593544596743</v>
      </c>
      <c r="AU361">
        <v>120.61556126758046</v>
      </c>
    </row>
    <row r="362" spans="1:47" x14ac:dyDescent="0.25">
      <c r="A362" t="s">
        <v>334</v>
      </c>
      <c r="B362" t="s">
        <v>470</v>
      </c>
      <c r="C362" t="s">
        <v>319</v>
      </c>
      <c r="D362">
        <v>2026</v>
      </c>
      <c r="E362">
        <v>0</v>
      </c>
      <c r="F362">
        <v>10</v>
      </c>
      <c r="G362">
        <v>0</v>
      </c>
      <c r="H362">
        <v>0</v>
      </c>
      <c r="I362">
        <v>50</v>
      </c>
      <c r="J362">
        <v>250</v>
      </c>
      <c r="K362">
        <v>1</v>
      </c>
      <c r="L362">
        <v>1</v>
      </c>
      <c r="M362">
        <v>27</v>
      </c>
      <c r="N362">
        <v>0</v>
      </c>
      <c r="O362" t="s">
        <v>27</v>
      </c>
      <c r="P362" t="s">
        <v>443</v>
      </c>
      <c r="Q362">
        <v>2026</v>
      </c>
      <c r="R362">
        <v>2036</v>
      </c>
      <c r="S362" t="s">
        <v>444</v>
      </c>
      <c r="T362">
        <v>2035</v>
      </c>
      <c r="U362">
        <v>42.75</v>
      </c>
      <c r="V362">
        <v>1</v>
      </c>
      <c r="W362">
        <v>2035</v>
      </c>
      <c r="X362">
        <v>9</v>
      </c>
      <c r="Y362">
        <v>2035</v>
      </c>
      <c r="Z362">
        <v>1</v>
      </c>
      <c r="AA362">
        <v>50</v>
      </c>
      <c r="AB362">
        <v>250</v>
      </c>
      <c r="AC362">
        <v>50</v>
      </c>
      <c r="AD362">
        <v>250</v>
      </c>
      <c r="AE362">
        <v>0</v>
      </c>
      <c r="AF362">
        <v>0</v>
      </c>
      <c r="AG362">
        <v>50</v>
      </c>
      <c r="AH362">
        <v>250</v>
      </c>
      <c r="AI362">
        <v>1</v>
      </c>
      <c r="AJ362">
        <v>2.8420000000000001</v>
      </c>
      <c r="AK362">
        <v>2036</v>
      </c>
      <c r="AL362" s="61">
        <v>2.944</v>
      </c>
      <c r="AM362" s="61">
        <v>2.8420000000000001</v>
      </c>
      <c r="AN362" s="61">
        <v>2.944</v>
      </c>
      <c r="AO362">
        <v>1.2513076834571593</v>
      </c>
      <c r="AP362">
        <v>1.0294008580614105</v>
      </c>
      <c r="AQ362">
        <v>1.2880972030496356</v>
      </c>
      <c r="AR362" t="b">
        <v>0</v>
      </c>
      <c r="AS362">
        <v>38.816946331086243</v>
      </c>
      <c r="AT362">
        <v>194.0847316554312</v>
      </c>
      <c r="AU362">
        <v>116.45083899325871</v>
      </c>
    </row>
    <row r="363" spans="1:47" x14ac:dyDescent="0.25">
      <c r="A363" t="s">
        <v>334</v>
      </c>
      <c r="B363" t="s">
        <v>470</v>
      </c>
      <c r="C363" t="s">
        <v>319</v>
      </c>
      <c r="D363">
        <v>2026</v>
      </c>
      <c r="E363">
        <v>0</v>
      </c>
      <c r="M363">
        <v>27</v>
      </c>
      <c r="Q363">
        <v>2026</v>
      </c>
      <c r="R363">
        <v>2036</v>
      </c>
      <c r="T363">
        <v>2036</v>
      </c>
      <c r="U363">
        <v>43.75</v>
      </c>
      <c r="W363">
        <v>2036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L363" s="61"/>
      <c r="AS363">
        <v>0</v>
      </c>
      <c r="AT363">
        <v>0</v>
      </c>
      <c r="AU363">
        <v>0</v>
      </c>
    </row>
    <row r="364" spans="1:47" x14ac:dyDescent="0.25">
      <c r="A364" t="s">
        <v>361</v>
      </c>
      <c r="B364" t="s">
        <v>471</v>
      </c>
      <c r="C364" t="s">
        <v>320</v>
      </c>
      <c r="D364">
        <v>2026</v>
      </c>
      <c r="E364">
        <v>0</v>
      </c>
      <c r="F364">
        <v>15</v>
      </c>
      <c r="G364">
        <v>0</v>
      </c>
      <c r="H364">
        <v>0</v>
      </c>
      <c r="I364">
        <v>30</v>
      </c>
      <c r="J364">
        <v>45</v>
      </c>
      <c r="K364">
        <v>4</v>
      </c>
      <c r="L364">
        <v>2</v>
      </c>
      <c r="M364">
        <v>28</v>
      </c>
      <c r="N364">
        <v>0</v>
      </c>
      <c r="O364" t="s">
        <v>27</v>
      </c>
      <c r="P364" t="s">
        <v>443</v>
      </c>
      <c r="Q364">
        <v>2026</v>
      </c>
      <c r="R364">
        <v>2041</v>
      </c>
      <c r="S364" t="s">
        <v>444</v>
      </c>
      <c r="T364">
        <v>2026</v>
      </c>
      <c r="U364">
        <v>33.75</v>
      </c>
      <c r="V364">
        <v>1</v>
      </c>
      <c r="W364">
        <v>2026</v>
      </c>
      <c r="X364">
        <v>0</v>
      </c>
      <c r="Y364">
        <v>2026</v>
      </c>
      <c r="Z364">
        <v>1</v>
      </c>
      <c r="AA364">
        <v>120</v>
      </c>
      <c r="AB364">
        <v>180</v>
      </c>
      <c r="AC364">
        <v>120</v>
      </c>
      <c r="AD364">
        <v>180</v>
      </c>
      <c r="AE364">
        <v>0</v>
      </c>
      <c r="AF364">
        <v>0</v>
      </c>
      <c r="AG364">
        <v>120</v>
      </c>
      <c r="AH364">
        <v>180</v>
      </c>
      <c r="AI364">
        <v>1</v>
      </c>
      <c r="AK364">
        <v>2027</v>
      </c>
      <c r="AL364" s="61">
        <v>2.4329999999999998</v>
      </c>
      <c r="AM364" s="61">
        <v>0</v>
      </c>
      <c r="AN364" s="61">
        <v>2.4329999999999998</v>
      </c>
      <c r="AO364">
        <v>1</v>
      </c>
      <c r="AP364">
        <v>1.023385968321771</v>
      </c>
      <c r="AQ364">
        <v>1.023385968321771</v>
      </c>
      <c r="AR364" t="b">
        <v>1</v>
      </c>
      <c r="AS364">
        <v>120</v>
      </c>
      <c r="AT364">
        <v>180</v>
      </c>
      <c r="AU364">
        <v>150</v>
      </c>
    </row>
    <row r="365" spans="1:47" x14ac:dyDescent="0.25">
      <c r="A365" t="s">
        <v>361</v>
      </c>
      <c r="B365" t="s">
        <v>471</v>
      </c>
      <c r="C365" t="s">
        <v>320</v>
      </c>
      <c r="D365">
        <v>2026</v>
      </c>
      <c r="E365">
        <v>0</v>
      </c>
      <c r="F365">
        <v>15</v>
      </c>
      <c r="G365">
        <v>0</v>
      </c>
      <c r="H365">
        <v>0</v>
      </c>
      <c r="I365">
        <v>30</v>
      </c>
      <c r="J365">
        <v>45</v>
      </c>
      <c r="K365">
        <v>4</v>
      </c>
      <c r="L365">
        <v>2</v>
      </c>
      <c r="M365">
        <v>28</v>
      </c>
      <c r="N365">
        <v>0</v>
      </c>
      <c r="O365" t="s">
        <v>27</v>
      </c>
      <c r="P365" t="s">
        <v>443</v>
      </c>
      <c r="Q365">
        <v>2026</v>
      </c>
      <c r="R365">
        <v>2041</v>
      </c>
      <c r="S365" t="s">
        <v>444</v>
      </c>
      <c r="T365">
        <v>2027</v>
      </c>
      <c r="U365">
        <v>34.75</v>
      </c>
      <c r="V365">
        <v>1</v>
      </c>
      <c r="W365">
        <v>2027</v>
      </c>
      <c r="X365">
        <v>1</v>
      </c>
      <c r="Y365">
        <v>2027</v>
      </c>
      <c r="Z365">
        <v>1</v>
      </c>
      <c r="AA365">
        <v>120</v>
      </c>
      <c r="AB365">
        <v>180</v>
      </c>
      <c r="AC365">
        <v>120</v>
      </c>
      <c r="AD365">
        <v>180</v>
      </c>
      <c r="AE365">
        <v>0</v>
      </c>
      <c r="AF365">
        <v>0</v>
      </c>
      <c r="AG365">
        <v>120</v>
      </c>
      <c r="AH365">
        <v>180</v>
      </c>
      <c r="AI365">
        <v>1</v>
      </c>
      <c r="AJ365">
        <v>2.4329999999999998</v>
      </c>
      <c r="AK365">
        <v>2028</v>
      </c>
      <c r="AL365" s="61">
        <v>2.4220000000000002</v>
      </c>
      <c r="AM365" s="61">
        <v>2.4329999999999998</v>
      </c>
      <c r="AN365" s="61">
        <v>2.4220000000000002</v>
      </c>
      <c r="AO365">
        <v>1</v>
      </c>
      <c r="AP365">
        <v>1.0242242189602202</v>
      </c>
      <c r="AQ365">
        <v>1.0242242189602202</v>
      </c>
      <c r="AR365" t="b">
        <v>0</v>
      </c>
      <c r="AS365">
        <v>117.16184579370963</v>
      </c>
      <c r="AT365">
        <v>175.74276869056445</v>
      </c>
      <c r="AU365">
        <v>146.45230724213704</v>
      </c>
    </row>
    <row r="366" spans="1:47" x14ac:dyDescent="0.25">
      <c r="A366" t="s">
        <v>361</v>
      </c>
      <c r="B366" t="s">
        <v>471</v>
      </c>
      <c r="C366" t="s">
        <v>320</v>
      </c>
      <c r="D366">
        <v>2026</v>
      </c>
      <c r="E366">
        <v>0</v>
      </c>
      <c r="F366">
        <v>15</v>
      </c>
      <c r="G366">
        <v>0</v>
      </c>
      <c r="H366">
        <v>0</v>
      </c>
      <c r="I366">
        <v>30</v>
      </c>
      <c r="J366">
        <v>45</v>
      </c>
      <c r="K366">
        <v>4</v>
      </c>
      <c r="L366">
        <v>2</v>
      </c>
      <c r="M366">
        <v>28</v>
      </c>
      <c r="N366">
        <v>0</v>
      </c>
      <c r="O366" t="s">
        <v>27</v>
      </c>
      <c r="P366" t="s">
        <v>443</v>
      </c>
      <c r="Q366">
        <v>2026</v>
      </c>
      <c r="R366">
        <v>2041</v>
      </c>
      <c r="S366" t="s">
        <v>444</v>
      </c>
      <c r="T366">
        <v>2028</v>
      </c>
      <c r="U366">
        <v>35.75</v>
      </c>
      <c r="V366">
        <v>1</v>
      </c>
      <c r="W366">
        <v>2028</v>
      </c>
      <c r="X366">
        <v>2</v>
      </c>
      <c r="Y366">
        <v>2028</v>
      </c>
      <c r="Z366">
        <v>1</v>
      </c>
      <c r="AA366">
        <v>120</v>
      </c>
      <c r="AB366">
        <v>180</v>
      </c>
      <c r="AC366">
        <v>120</v>
      </c>
      <c r="AD366">
        <v>180</v>
      </c>
      <c r="AE366">
        <v>0</v>
      </c>
      <c r="AF366">
        <v>0</v>
      </c>
      <c r="AG366">
        <v>120</v>
      </c>
      <c r="AH366">
        <v>180</v>
      </c>
      <c r="AI366">
        <v>1</v>
      </c>
      <c r="AJ366">
        <v>2.4220000000000002</v>
      </c>
      <c r="AK366">
        <v>2029</v>
      </c>
      <c r="AL366" s="61">
        <v>2.4209999999999998</v>
      </c>
      <c r="AM366" s="61">
        <v>2.4220000000000002</v>
      </c>
      <c r="AN366" s="61">
        <v>2.4209999999999998</v>
      </c>
      <c r="AO366">
        <v>1.0242199999999999</v>
      </c>
      <c r="AP366">
        <v>1.0242103835598433</v>
      </c>
      <c r="AQ366">
        <v>1.0490167590496626</v>
      </c>
      <c r="AR366" t="b">
        <v>0</v>
      </c>
      <c r="AS366">
        <v>114.39283401793483</v>
      </c>
      <c r="AT366">
        <v>171.58925102690225</v>
      </c>
      <c r="AU366">
        <v>142.99104252241852</v>
      </c>
    </row>
    <row r="367" spans="1:47" x14ac:dyDescent="0.25">
      <c r="A367" t="s">
        <v>361</v>
      </c>
      <c r="B367" t="s">
        <v>471</v>
      </c>
      <c r="C367" t="s">
        <v>320</v>
      </c>
      <c r="D367">
        <v>2026</v>
      </c>
      <c r="E367">
        <v>0</v>
      </c>
      <c r="F367">
        <v>15</v>
      </c>
      <c r="G367">
        <v>0</v>
      </c>
      <c r="H367">
        <v>0</v>
      </c>
      <c r="I367">
        <v>30</v>
      </c>
      <c r="J367">
        <v>45</v>
      </c>
      <c r="K367">
        <v>4</v>
      </c>
      <c r="L367">
        <v>2</v>
      </c>
      <c r="M367">
        <v>28</v>
      </c>
      <c r="N367">
        <v>0</v>
      </c>
      <c r="O367" t="s">
        <v>27</v>
      </c>
      <c r="P367" t="s">
        <v>443</v>
      </c>
      <c r="Q367">
        <v>2026</v>
      </c>
      <c r="R367">
        <v>2041</v>
      </c>
      <c r="S367" t="s">
        <v>444</v>
      </c>
      <c r="T367">
        <v>2029</v>
      </c>
      <c r="U367">
        <v>36.75</v>
      </c>
      <c r="V367">
        <v>1</v>
      </c>
      <c r="W367">
        <v>2029</v>
      </c>
      <c r="X367">
        <v>3</v>
      </c>
      <c r="Y367">
        <v>2029</v>
      </c>
      <c r="Z367">
        <v>1</v>
      </c>
      <c r="AA367">
        <v>120</v>
      </c>
      <c r="AB367">
        <v>180</v>
      </c>
      <c r="AC367">
        <v>120</v>
      </c>
      <c r="AD367">
        <v>180</v>
      </c>
      <c r="AE367">
        <v>0</v>
      </c>
      <c r="AF367">
        <v>0</v>
      </c>
      <c r="AG367">
        <v>120</v>
      </c>
      <c r="AH367">
        <v>180</v>
      </c>
      <c r="AI367">
        <v>1</v>
      </c>
      <c r="AJ367">
        <v>2.4209999999999998</v>
      </c>
      <c r="AK367">
        <v>2030</v>
      </c>
      <c r="AL367" s="61">
        <v>2.4670000000000001</v>
      </c>
      <c r="AM367" s="61">
        <v>2.4209999999999998</v>
      </c>
      <c r="AN367" s="61">
        <v>2.4670000000000001</v>
      </c>
      <c r="AO367">
        <v>1.0490061241000002</v>
      </c>
      <c r="AP367">
        <v>1.0246523523547908</v>
      </c>
      <c r="AQ367">
        <v>1.0748665926936467</v>
      </c>
      <c r="AR367" t="b">
        <v>0</v>
      </c>
      <c r="AS367">
        <v>111.64176169926031</v>
      </c>
      <c r="AT367">
        <v>167.46264254889047</v>
      </c>
      <c r="AU367">
        <v>139.55220212407539</v>
      </c>
    </row>
    <row r="368" spans="1:47" x14ac:dyDescent="0.25">
      <c r="A368" t="s">
        <v>361</v>
      </c>
      <c r="B368" t="s">
        <v>471</v>
      </c>
      <c r="C368" t="s">
        <v>320</v>
      </c>
      <c r="D368">
        <v>2026</v>
      </c>
      <c r="E368">
        <v>0</v>
      </c>
      <c r="F368">
        <v>15</v>
      </c>
      <c r="G368">
        <v>0</v>
      </c>
      <c r="H368">
        <v>0</v>
      </c>
      <c r="I368">
        <v>30</v>
      </c>
      <c r="J368">
        <v>45</v>
      </c>
      <c r="K368">
        <v>4</v>
      </c>
      <c r="L368">
        <v>2</v>
      </c>
      <c r="M368">
        <v>28</v>
      </c>
      <c r="N368">
        <v>0</v>
      </c>
      <c r="O368" t="s">
        <v>27</v>
      </c>
      <c r="P368" t="s">
        <v>443</v>
      </c>
      <c r="Q368">
        <v>2026</v>
      </c>
      <c r="R368">
        <v>2041</v>
      </c>
      <c r="S368" t="s">
        <v>444</v>
      </c>
      <c r="T368">
        <v>2030</v>
      </c>
      <c r="U368">
        <v>37.75</v>
      </c>
      <c r="V368">
        <v>1</v>
      </c>
      <c r="W368">
        <v>2030</v>
      </c>
      <c r="X368">
        <v>4</v>
      </c>
      <c r="Y368">
        <v>2030</v>
      </c>
      <c r="Z368">
        <v>1</v>
      </c>
      <c r="AA368">
        <v>120</v>
      </c>
      <c r="AB368">
        <v>180</v>
      </c>
      <c r="AC368">
        <v>120</v>
      </c>
      <c r="AD368">
        <v>180</v>
      </c>
      <c r="AE368">
        <v>0</v>
      </c>
      <c r="AF368">
        <v>0</v>
      </c>
      <c r="AG368">
        <v>120</v>
      </c>
      <c r="AH368">
        <v>180</v>
      </c>
      <c r="AI368">
        <v>1</v>
      </c>
      <c r="AJ368">
        <v>2.4670000000000001</v>
      </c>
      <c r="AK368">
        <v>2031</v>
      </c>
      <c r="AL368" s="61">
        <v>2.5169999999999999</v>
      </c>
      <c r="AM368" s="61">
        <v>2.4670000000000001</v>
      </c>
      <c r="AN368" s="61">
        <v>2.5169999999999999</v>
      </c>
      <c r="AO368">
        <v>1.0758508410815628</v>
      </c>
      <c r="AP368">
        <v>1.0251508174189523</v>
      </c>
      <c r="AQ368">
        <v>1.1029093691556315</v>
      </c>
      <c r="AR368" t="b">
        <v>0</v>
      </c>
      <c r="AS368">
        <v>108.80313773367429</v>
      </c>
      <c r="AT368">
        <v>163.20470660051143</v>
      </c>
      <c r="AU368">
        <v>136.00392216709287</v>
      </c>
    </row>
    <row r="369" spans="1:47" x14ac:dyDescent="0.25">
      <c r="A369" t="s">
        <v>361</v>
      </c>
      <c r="B369" t="s">
        <v>471</v>
      </c>
      <c r="C369" t="s">
        <v>320</v>
      </c>
      <c r="D369">
        <v>2026</v>
      </c>
      <c r="E369">
        <v>0</v>
      </c>
      <c r="F369">
        <v>15</v>
      </c>
      <c r="G369">
        <v>0</v>
      </c>
      <c r="H369">
        <v>0</v>
      </c>
      <c r="I369">
        <v>30</v>
      </c>
      <c r="J369">
        <v>45</v>
      </c>
      <c r="K369">
        <v>4</v>
      </c>
      <c r="L369">
        <v>2</v>
      </c>
      <c r="M369">
        <v>28</v>
      </c>
      <c r="N369">
        <v>0</v>
      </c>
      <c r="O369" t="s">
        <v>27</v>
      </c>
      <c r="P369" t="s">
        <v>443</v>
      </c>
      <c r="Q369">
        <v>2026</v>
      </c>
      <c r="R369">
        <v>2041</v>
      </c>
      <c r="S369" t="s">
        <v>444</v>
      </c>
      <c r="T369">
        <v>2031</v>
      </c>
      <c r="U369">
        <v>38.75</v>
      </c>
      <c r="V369">
        <v>1</v>
      </c>
      <c r="W369">
        <v>2031</v>
      </c>
      <c r="X369">
        <v>5</v>
      </c>
      <c r="Y369">
        <v>2031</v>
      </c>
      <c r="Z369">
        <v>1</v>
      </c>
      <c r="AA369">
        <v>120</v>
      </c>
      <c r="AB369">
        <v>180</v>
      </c>
      <c r="AC369">
        <v>120</v>
      </c>
      <c r="AD369">
        <v>180</v>
      </c>
      <c r="AE369">
        <v>0</v>
      </c>
      <c r="AF369">
        <v>0</v>
      </c>
      <c r="AG369">
        <v>120</v>
      </c>
      <c r="AH369">
        <v>180</v>
      </c>
      <c r="AI369">
        <v>1</v>
      </c>
      <c r="AJ369">
        <v>2.5169999999999999</v>
      </c>
      <c r="AK369">
        <v>2032</v>
      </c>
      <c r="AL369" s="61">
        <v>2.59</v>
      </c>
      <c r="AM369" s="61">
        <v>2.5169999999999999</v>
      </c>
      <c r="AN369" s="61">
        <v>2.59</v>
      </c>
      <c r="AO369">
        <v>1.1045453584485188</v>
      </c>
      <c r="AP369">
        <v>1.0258719904156592</v>
      </c>
      <c r="AQ369">
        <v>1.1331221453759597</v>
      </c>
      <c r="AR369" t="b">
        <v>0</v>
      </c>
      <c r="AS369">
        <v>105.90208698126281</v>
      </c>
      <c r="AT369">
        <v>158.85313047189422</v>
      </c>
      <c r="AU369">
        <v>132.3776087265785</v>
      </c>
    </row>
    <row r="370" spans="1:47" x14ac:dyDescent="0.25">
      <c r="A370" t="s">
        <v>361</v>
      </c>
      <c r="B370" t="s">
        <v>471</v>
      </c>
      <c r="C370" t="s">
        <v>320</v>
      </c>
      <c r="D370">
        <v>2026</v>
      </c>
      <c r="E370">
        <v>0</v>
      </c>
      <c r="F370">
        <v>15</v>
      </c>
      <c r="G370">
        <v>0</v>
      </c>
      <c r="H370">
        <v>0</v>
      </c>
      <c r="I370">
        <v>30</v>
      </c>
      <c r="J370">
        <v>45</v>
      </c>
      <c r="K370">
        <v>4</v>
      </c>
      <c r="L370">
        <v>2</v>
      </c>
      <c r="M370">
        <v>28</v>
      </c>
      <c r="N370">
        <v>0</v>
      </c>
      <c r="O370" t="s">
        <v>27</v>
      </c>
      <c r="P370" t="s">
        <v>443</v>
      </c>
      <c r="Q370">
        <v>2026</v>
      </c>
      <c r="R370">
        <v>2041</v>
      </c>
      <c r="S370" t="s">
        <v>444</v>
      </c>
      <c r="T370">
        <v>2032</v>
      </c>
      <c r="U370">
        <v>39.75</v>
      </c>
      <c r="V370">
        <v>1</v>
      </c>
      <c r="W370">
        <v>2032</v>
      </c>
      <c r="X370">
        <v>6</v>
      </c>
      <c r="Y370">
        <v>2032</v>
      </c>
      <c r="Z370">
        <v>1</v>
      </c>
      <c r="AA370">
        <v>120</v>
      </c>
      <c r="AB370">
        <v>180</v>
      </c>
      <c r="AC370">
        <v>120</v>
      </c>
      <c r="AD370">
        <v>180</v>
      </c>
      <c r="AE370">
        <v>0</v>
      </c>
      <c r="AF370">
        <v>0</v>
      </c>
      <c r="AG370">
        <v>120</v>
      </c>
      <c r="AH370">
        <v>180</v>
      </c>
      <c r="AI370">
        <v>1</v>
      </c>
      <c r="AJ370">
        <v>2.59</v>
      </c>
      <c r="AK370">
        <v>2033</v>
      </c>
      <c r="AL370" s="61">
        <v>2.6880000000000002</v>
      </c>
      <c r="AM370" s="61">
        <v>2.59</v>
      </c>
      <c r="AN370" s="61">
        <v>2.6880000000000002</v>
      </c>
      <c r="AO370">
        <v>1.1363841013749196</v>
      </c>
      <c r="AP370">
        <v>1.0268423936996114</v>
      </c>
      <c r="AQ370">
        <v>1.1668873708180043</v>
      </c>
      <c r="AR370" t="b">
        <v>0</v>
      </c>
      <c r="AS370">
        <v>102.83768853876474</v>
      </c>
      <c r="AT370">
        <v>154.25653280814711</v>
      </c>
      <c r="AU370">
        <v>128.54711067345593</v>
      </c>
    </row>
    <row r="371" spans="1:47" x14ac:dyDescent="0.25">
      <c r="A371" t="s">
        <v>361</v>
      </c>
      <c r="B371" t="s">
        <v>471</v>
      </c>
      <c r="C371" t="s">
        <v>320</v>
      </c>
      <c r="D371">
        <v>2026</v>
      </c>
      <c r="E371">
        <v>0</v>
      </c>
      <c r="F371">
        <v>15</v>
      </c>
      <c r="G371">
        <v>0</v>
      </c>
      <c r="H371">
        <v>0</v>
      </c>
      <c r="I371">
        <v>30</v>
      </c>
      <c r="J371">
        <v>45</v>
      </c>
      <c r="K371">
        <v>4</v>
      </c>
      <c r="L371">
        <v>2</v>
      </c>
      <c r="M371">
        <v>28</v>
      </c>
      <c r="N371">
        <v>0</v>
      </c>
      <c r="O371" t="s">
        <v>27</v>
      </c>
      <c r="P371" t="s">
        <v>443</v>
      </c>
      <c r="Q371">
        <v>2026</v>
      </c>
      <c r="R371">
        <v>2041</v>
      </c>
      <c r="S371" t="s">
        <v>444</v>
      </c>
      <c r="T371">
        <v>2033</v>
      </c>
      <c r="U371">
        <v>40.75</v>
      </c>
      <c r="V371">
        <v>1</v>
      </c>
      <c r="W371">
        <v>2033</v>
      </c>
      <c r="X371">
        <v>7</v>
      </c>
      <c r="Y371">
        <v>2033</v>
      </c>
      <c r="Z371">
        <v>1</v>
      </c>
      <c r="AA371">
        <v>120</v>
      </c>
      <c r="AB371">
        <v>180</v>
      </c>
      <c r="AC371">
        <v>120</v>
      </c>
      <c r="AD371">
        <v>180</v>
      </c>
      <c r="AE371">
        <v>0</v>
      </c>
      <c r="AF371">
        <v>0</v>
      </c>
      <c r="AG371">
        <v>120</v>
      </c>
      <c r="AH371">
        <v>180</v>
      </c>
      <c r="AI371">
        <v>1</v>
      </c>
      <c r="AJ371">
        <v>2.6880000000000002</v>
      </c>
      <c r="AK371">
        <v>2034</v>
      </c>
      <c r="AL371" s="61">
        <v>2.7519999999999998</v>
      </c>
      <c r="AM371" s="61">
        <v>2.6880000000000002</v>
      </c>
      <c r="AN371" s="61">
        <v>2.7519999999999998</v>
      </c>
      <c r="AO371">
        <v>1.1725143659072164</v>
      </c>
      <c r="AP371">
        <v>1.0274954447000768</v>
      </c>
      <c r="AQ371">
        <v>1.2047531698150638</v>
      </c>
      <c r="AR371" t="b">
        <v>0</v>
      </c>
      <c r="AS371">
        <v>99.605465257601821</v>
      </c>
      <c r="AT371">
        <v>149.40819788640275</v>
      </c>
      <c r="AU371">
        <v>124.50683157200228</v>
      </c>
    </row>
    <row r="372" spans="1:47" x14ac:dyDescent="0.25">
      <c r="A372" t="s">
        <v>361</v>
      </c>
      <c r="B372" t="s">
        <v>471</v>
      </c>
      <c r="C372" t="s">
        <v>320</v>
      </c>
      <c r="D372">
        <v>2026</v>
      </c>
      <c r="E372">
        <v>0</v>
      </c>
      <c r="F372">
        <v>15</v>
      </c>
      <c r="G372">
        <v>0</v>
      </c>
      <c r="H372">
        <v>0</v>
      </c>
      <c r="I372">
        <v>30</v>
      </c>
      <c r="J372">
        <v>45</v>
      </c>
      <c r="K372">
        <v>4</v>
      </c>
      <c r="L372">
        <v>2</v>
      </c>
      <c r="M372">
        <v>28</v>
      </c>
      <c r="N372">
        <v>0</v>
      </c>
      <c r="O372" t="s">
        <v>27</v>
      </c>
      <c r="P372" t="s">
        <v>443</v>
      </c>
      <c r="Q372">
        <v>2026</v>
      </c>
      <c r="R372">
        <v>2041</v>
      </c>
      <c r="S372" t="s">
        <v>444</v>
      </c>
      <c r="T372">
        <v>2034</v>
      </c>
      <c r="U372">
        <v>41.75</v>
      </c>
      <c r="V372">
        <v>1</v>
      </c>
      <c r="W372">
        <v>2034</v>
      </c>
      <c r="X372">
        <v>8</v>
      </c>
      <c r="Y372">
        <v>2034</v>
      </c>
      <c r="Z372">
        <v>1</v>
      </c>
      <c r="AA372">
        <v>120</v>
      </c>
      <c r="AB372">
        <v>180</v>
      </c>
      <c r="AC372">
        <v>120</v>
      </c>
      <c r="AD372">
        <v>180</v>
      </c>
      <c r="AE372">
        <v>0</v>
      </c>
      <c r="AF372">
        <v>0</v>
      </c>
      <c r="AG372">
        <v>120</v>
      </c>
      <c r="AH372">
        <v>180</v>
      </c>
      <c r="AI372">
        <v>1</v>
      </c>
      <c r="AJ372">
        <v>2.7519999999999998</v>
      </c>
      <c r="AK372">
        <v>2035</v>
      </c>
      <c r="AL372" s="61">
        <v>2.8420000000000001</v>
      </c>
      <c r="AM372" s="61">
        <v>2.7519999999999998</v>
      </c>
      <c r="AN372" s="61">
        <v>2.8420000000000001</v>
      </c>
      <c r="AO372">
        <v>1.2092942481281721</v>
      </c>
      <c r="AP372">
        <v>1.0283854649181425</v>
      </c>
      <c r="AQ372">
        <v>1.2436206275841259</v>
      </c>
      <c r="AR372" t="b">
        <v>0</v>
      </c>
      <c r="AS372">
        <v>96.492449014064363</v>
      </c>
      <c r="AT372">
        <v>144.73867352109656</v>
      </c>
      <c r="AU372">
        <v>120.61556126758046</v>
      </c>
    </row>
    <row r="373" spans="1:47" x14ac:dyDescent="0.25">
      <c r="A373" t="s">
        <v>361</v>
      </c>
      <c r="B373" t="s">
        <v>471</v>
      </c>
      <c r="C373" t="s">
        <v>320</v>
      </c>
      <c r="D373">
        <v>2026</v>
      </c>
      <c r="E373">
        <v>0</v>
      </c>
      <c r="F373">
        <v>15</v>
      </c>
      <c r="G373">
        <v>0</v>
      </c>
      <c r="H373">
        <v>0</v>
      </c>
      <c r="I373">
        <v>30</v>
      </c>
      <c r="J373">
        <v>45</v>
      </c>
      <c r="K373">
        <v>4</v>
      </c>
      <c r="L373">
        <v>2</v>
      </c>
      <c r="M373">
        <v>28</v>
      </c>
      <c r="N373">
        <v>0</v>
      </c>
      <c r="O373" t="s">
        <v>27</v>
      </c>
      <c r="P373" t="s">
        <v>443</v>
      </c>
      <c r="Q373">
        <v>2026</v>
      </c>
      <c r="R373">
        <v>2041</v>
      </c>
      <c r="S373" t="s">
        <v>444</v>
      </c>
      <c r="T373">
        <v>2035</v>
      </c>
      <c r="U373">
        <v>42.75</v>
      </c>
      <c r="V373">
        <v>1</v>
      </c>
      <c r="W373">
        <v>2035</v>
      </c>
      <c r="X373">
        <v>9</v>
      </c>
      <c r="Y373">
        <v>2035</v>
      </c>
      <c r="Z373">
        <v>1</v>
      </c>
      <c r="AA373">
        <v>120</v>
      </c>
      <c r="AB373">
        <v>180</v>
      </c>
      <c r="AC373">
        <v>120</v>
      </c>
      <c r="AD373">
        <v>180</v>
      </c>
      <c r="AE373">
        <v>0</v>
      </c>
      <c r="AF373">
        <v>0</v>
      </c>
      <c r="AG373">
        <v>120</v>
      </c>
      <c r="AH373">
        <v>180</v>
      </c>
      <c r="AI373">
        <v>1</v>
      </c>
      <c r="AJ373">
        <v>2.8420000000000001</v>
      </c>
      <c r="AK373">
        <v>2036</v>
      </c>
      <c r="AL373" s="61">
        <v>2.944</v>
      </c>
      <c r="AM373" s="61">
        <v>2.8420000000000001</v>
      </c>
      <c r="AN373" s="61">
        <v>2.944</v>
      </c>
      <c r="AO373">
        <v>1.2513076834571593</v>
      </c>
      <c r="AP373">
        <v>1.0294008580614105</v>
      </c>
      <c r="AQ373">
        <v>1.2880972030496356</v>
      </c>
      <c r="AR373" t="b">
        <v>0</v>
      </c>
      <c r="AS373">
        <v>93.160671194606977</v>
      </c>
      <c r="AT373">
        <v>139.74100679191045</v>
      </c>
      <c r="AU373">
        <v>116.45083899325871</v>
      </c>
    </row>
    <row r="374" spans="1:47" x14ac:dyDescent="0.25">
      <c r="A374" t="s">
        <v>361</v>
      </c>
      <c r="B374" t="s">
        <v>471</v>
      </c>
      <c r="C374" t="s">
        <v>320</v>
      </c>
      <c r="D374">
        <v>2026</v>
      </c>
      <c r="E374">
        <v>0</v>
      </c>
      <c r="F374">
        <v>15</v>
      </c>
      <c r="G374">
        <v>0</v>
      </c>
      <c r="H374">
        <v>0</v>
      </c>
      <c r="I374">
        <v>30</v>
      </c>
      <c r="J374">
        <v>45</v>
      </c>
      <c r="K374">
        <v>4</v>
      </c>
      <c r="L374">
        <v>2</v>
      </c>
      <c r="M374">
        <v>28</v>
      </c>
      <c r="N374">
        <v>0</v>
      </c>
      <c r="O374" t="s">
        <v>27</v>
      </c>
      <c r="P374" t="s">
        <v>443</v>
      </c>
      <c r="Q374">
        <v>2026</v>
      </c>
      <c r="R374">
        <v>2041</v>
      </c>
      <c r="S374" t="s">
        <v>444</v>
      </c>
      <c r="T374">
        <v>2036</v>
      </c>
      <c r="U374">
        <v>43.75</v>
      </c>
      <c r="V374">
        <v>1</v>
      </c>
      <c r="W374">
        <v>2036</v>
      </c>
      <c r="X374">
        <v>10</v>
      </c>
      <c r="Y374">
        <v>2036</v>
      </c>
      <c r="Z374">
        <v>1</v>
      </c>
      <c r="AA374">
        <v>120</v>
      </c>
      <c r="AB374">
        <v>180</v>
      </c>
      <c r="AC374">
        <v>120</v>
      </c>
      <c r="AD374">
        <v>180</v>
      </c>
      <c r="AE374">
        <v>0</v>
      </c>
      <c r="AF374">
        <v>0</v>
      </c>
      <c r="AG374">
        <v>120</v>
      </c>
      <c r="AH374">
        <v>180</v>
      </c>
      <c r="AI374">
        <v>1</v>
      </c>
      <c r="AJ374">
        <v>2.944</v>
      </c>
      <c r="AK374">
        <v>2037</v>
      </c>
      <c r="AL374" s="61">
        <v>3.036</v>
      </c>
      <c r="AM374" s="61">
        <v>2.944</v>
      </c>
      <c r="AN374" s="61">
        <v>3.036</v>
      </c>
      <c r="AO374">
        <v>1.2984025298030446</v>
      </c>
      <c r="AP374">
        <v>1.0303246971701443</v>
      </c>
      <c r="AQ374">
        <v>1.3377761933242711</v>
      </c>
      <c r="AR374" t="b">
        <v>0</v>
      </c>
      <c r="AS374">
        <v>89.701102919023555</v>
      </c>
      <c r="AT374">
        <v>134.55165437853535</v>
      </c>
      <c r="AU374">
        <v>112.12637864877945</v>
      </c>
    </row>
    <row r="375" spans="1:47" x14ac:dyDescent="0.25">
      <c r="A375" t="s">
        <v>361</v>
      </c>
      <c r="B375" t="s">
        <v>471</v>
      </c>
      <c r="C375" t="s">
        <v>320</v>
      </c>
      <c r="D375">
        <v>2026</v>
      </c>
      <c r="E375">
        <v>0</v>
      </c>
      <c r="F375">
        <v>15</v>
      </c>
      <c r="G375">
        <v>0</v>
      </c>
      <c r="H375">
        <v>0</v>
      </c>
      <c r="I375">
        <v>30</v>
      </c>
      <c r="J375">
        <v>45</v>
      </c>
      <c r="K375">
        <v>4</v>
      </c>
      <c r="L375">
        <v>2</v>
      </c>
      <c r="M375">
        <v>28</v>
      </c>
      <c r="N375">
        <v>0</v>
      </c>
      <c r="O375" t="s">
        <v>27</v>
      </c>
      <c r="P375" t="s">
        <v>443</v>
      </c>
      <c r="Q375">
        <v>2026</v>
      </c>
      <c r="R375">
        <v>2041</v>
      </c>
      <c r="S375" t="s">
        <v>444</v>
      </c>
      <c r="T375">
        <v>2037</v>
      </c>
      <c r="U375">
        <v>44.75</v>
      </c>
      <c r="V375">
        <v>1</v>
      </c>
      <c r="W375">
        <v>2037</v>
      </c>
      <c r="X375">
        <v>11</v>
      </c>
      <c r="Y375">
        <v>2037</v>
      </c>
      <c r="Z375">
        <v>1</v>
      </c>
      <c r="AA375">
        <v>120</v>
      </c>
      <c r="AB375">
        <v>180</v>
      </c>
      <c r="AC375">
        <v>120</v>
      </c>
      <c r="AD375">
        <v>180</v>
      </c>
      <c r="AE375">
        <v>0</v>
      </c>
      <c r="AF375">
        <v>0</v>
      </c>
      <c r="AG375">
        <v>120</v>
      </c>
      <c r="AH375">
        <v>180</v>
      </c>
      <c r="AI375">
        <v>1</v>
      </c>
      <c r="AJ375">
        <v>3.036</v>
      </c>
      <c r="AK375">
        <v>2038</v>
      </c>
      <c r="AL375" s="61">
        <v>3.1339999999999999</v>
      </c>
      <c r="AM375" s="61">
        <v>3.036</v>
      </c>
      <c r="AN375" s="61">
        <v>3.1339999999999999</v>
      </c>
      <c r="AO375">
        <v>1.3486209574989538</v>
      </c>
      <c r="AP375">
        <v>1.0313023937742947</v>
      </c>
      <c r="AQ375">
        <v>1.3908360217628524</v>
      </c>
      <c r="AR375" t="b">
        <v>0</v>
      </c>
      <c r="AS375">
        <v>86.279042333044259</v>
      </c>
      <c r="AT375">
        <v>129.41856349956637</v>
      </c>
      <c r="AU375">
        <v>107.84880291630532</v>
      </c>
    </row>
    <row r="376" spans="1:47" x14ac:dyDescent="0.25">
      <c r="A376" t="s">
        <v>361</v>
      </c>
      <c r="B376" t="s">
        <v>471</v>
      </c>
      <c r="C376" t="s">
        <v>320</v>
      </c>
      <c r="D376">
        <v>2026</v>
      </c>
      <c r="E376">
        <v>0</v>
      </c>
      <c r="F376">
        <v>15</v>
      </c>
      <c r="G376">
        <v>0</v>
      </c>
      <c r="H376">
        <v>0</v>
      </c>
      <c r="I376">
        <v>30</v>
      </c>
      <c r="J376">
        <v>45</v>
      </c>
      <c r="K376">
        <v>4</v>
      </c>
      <c r="L376">
        <v>2</v>
      </c>
      <c r="M376">
        <v>28</v>
      </c>
      <c r="N376">
        <v>0</v>
      </c>
      <c r="O376" t="s">
        <v>27</v>
      </c>
      <c r="P376" t="s">
        <v>443</v>
      </c>
      <c r="Q376">
        <v>2026</v>
      </c>
      <c r="R376">
        <v>2041</v>
      </c>
      <c r="S376" t="s">
        <v>444</v>
      </c>
      <c r="T376">
        <v>2038</v>
      </c>
      <c r="U376">
        <v>45.75</v>
      </c>
      <c r="V376">
        <v>1</v>
      </c>
      <c r="W376">
        <v>2038</v>
      </c>
      <c r="X376">
        <v>12</v>
      </c>
      <c r="Y376">
        <v>2038</v>
      </c>
      <c r="Z376">
        <v>1</v>
      </c>
      <c r="AA376">
        <v>120</v>
      </c>
      <c r="AB376">
        <v>180</v>
      </c>
      <c r="AC376">
        <v>120</v>
      </c>
      <c r="AD376">
        <v>180</v>
      </c>
      <c r="AE376">
        <v>0</v>
      </c>
      <c r="AF376">
        <v>0</v>
      </c>
      <c r="AG376">
        <v>120</v>
      </c>
      <c r="AH376">
        <v>180</v>
      </c>
      <c r="AI376">
        <v>1</v>
      </c>
      <c r="AJ376">
        <v>3.1339999999999999</v>
      </c>
      <c r="AK376">
        <v>2039</v>
      </c>
      <c r="AL376" s="61">
        <v>3.2069999999999999</v>
      </c>
      <c r="AM376" s="61">
        <v>3.1339999999999999</v>
      </c>
      <c r="AN376" s="61">
        <v>3.2069999999999999</v>
      </c>
      <c r="AO376">
        <v>1.4041725591738043</v>
      </c>
      <c r="AP376">
        <v>1.0320419904729838</v>
      </c>
      <c r="AQ376">
        <v>1.4491650429372767</v>
      </c>
      <c r="AR376" t="b">
        <v>0</v>
      </c>
      <c r="AS376">
        <v>82.806303246713</v>
      </c>
      <c r="AT376">
        <v>124.20945487006951</v>
      </c>
      <c r="AU376">
        <v>103.50787905839125</v>
      </c>
    </row>
    <row r="377" spans="1:47" x14ac:dyDescent="0.25">
      <c r="A377" t="s">
        <v>361</v>
      </c>
      <c r="B377" t="s">
        <v>471</v>
      </c>
      <c r="C377" t="s">
        <v>320</v>
      </c>
      <c r="D377">
        <v>2026</v>
      </c>
      <c r="E377">
        <v>0</v>
      </c>
      <c r="F377">
        <v>15</v>
      </c>
      <c r="G377">
        <v>0</v>
      </c>
      <c r="H377">
        <v>0</v>
      </c>
      <c r="I377">
        <v>30</v>
      </c>
      <c r="J377">
        <v>45</v>
      </c>
      <c r="K377">
        <v>4</v>
      </c>
      <c r="L377">
        <v>2</v>
      </c>
      <c r="M377">
        <v>28</v>
      </c>
      <c r="N377">
        <v>0</v>
      </c>
      <c r="O377" t="s">
        <v>27</v>
      </c>
      <c r="P377" t="s">
        <v>443</v>
      </c>
      <c r="Q377">
        <v>2026</v>
      </c>
      <c r="R377">
        <v>2041</v>
      </c>
      <c r="S377" t="s">
        <v>444</v>
      </c>
      <c r="T377">
        <v>2039</v>
      </c>
      <c r="U377">
        <v>46.75</v>
      </c>
      <c r="V377">
        <v>1</v>
      </c>
      <c r="W377">
        <v>2039</v>
      </c>
      <c r="X377">
        <v>13</v>
      </c>
      <c r="Y377">
        <v>2039</v>
      </c>
      <c r="Z377">
        <v>1</v>
      </c>
      <c r="AA377">
        <v>120</v>
      </c>
      <c r="AB377">
        <v>180</v>
      </c>
      <c r="AC377">
        <v>120</v>
      </c>
      <c r="AD377">
        <v>180</v>
      </c>
      <c r="AE377">
        <v>0</v>
      </c>
      <c r="AF377">
        <v>0</v>
      </c>
      <c r="AG377">
        <v>120</v>
      </c>
      <c r="AH377">
        <v>180</v>
      </c>
      <c r="AI377">
        <v>1</v>
      </c>
      <c r="AJ377">
        <v>3.2069999999999999</v>
      </c>
      <c r="AK377">
        <v>2040</v>
      </c>
      <c r="AL377" s="61">
        <v>3.3029999999999999</v>
      </c>
      <c r="AM377" s="61">
        <v>3.2069999999999999</v>
      </c>
      <c r="AN377" s="61">
        <v>3.3029999999999999</v>
      </c>
      <c r="AO377">
        <v>1.4605278779269859</v>
      </c>
      <c r="AP377">
        <v>1.0329931616190409</v>
      </c>
      <c r="AQ377">
        <v>1.5087153102525457</v>
      </c>
      <c r="AR377" t="b">
        <v>0</v>
      </c>
      <c r="AS377">
        <v>79.537868532608087</v>
      </c>
      <c r="AT377">
        <v>119.30680279891213</v>
      </c>
      <c r="AU377">
        <v>99.422335665760102</v>
      </c>
    </row>
    <row r="378" spans="1:47" x14ac:dyDescent="0.25">
      <c r="A378" t="s">
        <v>361</v>
      </c>
      <c r="B378" t="s">
        <v>471</v>
      </c>
      <c r="C378" t="s">
        <v>320</v>
      </c>
      <c r="D378">
        <v>2026</v>
      </c>
      <c r="E378">
        <v>0</v>
      </c>
      <c r="F378">
        <v>15</v>
      </c>
      <c r="G378">
        <v>0</v>
      </c>
      <c r="H378">
        <v>0</v>
      </c>
      <c r="I378">
        <v>30</v>
      </c>
      <c r="J378">
        <v>45</v>
      </c>
      <c r="K378">
        <v>4</v>
      </c>
      <c r="L378">
        <v>2</v>
      </c>
      <c r="M378">
        <v>28</v>
      </c>
      <c r="N378">
        <v>0</v>
      </c>
      <c r="O378" t="s">
        <v>27</v>
      </c>
      <c r="P378" t="s">
        <v>443</v>
      </c>
      <c r="Q378">
        <v>2026</v>
      </c>
      <c r="R378">
        <v>2041</v>
      </c>
      <c r="S378" t="s">
        <v>444</v>
      </c>
      <c r="T378">
        <v>2040</v>
      </c>
      <c r="U378">
        <v>47.75</v>
      </c>
      <c r="V378">
        <v>1</v>
      </c>
      <c r="W378">
        <v>2040</v>
      </c>
      <c r="X378">
        <v>14</v>
      </c>
      <c r="Y378">
        <v>2040</v>
      </c>
      <c r="Z378">
        <v>1</v>
      </c>
      <c r="AA378">
        <v>120</v>
      </c>
      <c r="AB378">
        <v>180</v>
      </c>
      <c r="AC378">
        <v>120</v>
      </c>
      <c r="AD378">
        <v>180</v>
      </c>
      <c r="AE378">
        <v>0</v>
      </c>
      <c r="AF378">
        <v>0</v>
      </c>
      <c r="AG378">
        <v>120</v>
      </c>
      <c r="AH378">
        <v>180</v>
      </c>
      <c r="AI378">
        <v>1</v>
      </c>
      <c r="AJ378">
        <v>3.3029999999999999</v>
      </c>
      <c r="AK378">
        <v>2041</v>
      </c>
      <c r="AL378" s="61">
        <v>3.3559999999999999</v>
      </c>
      <c r="AM378" s="61">
        <v>3.3029999999999999</v>
      </c>
      <c r="AN378" s="61">
        <v>3.3559999999999999</v>
      </c>
      <c r="AO378">
        <v>1.5256964700083253</v>
      </c>
      <c r="AP378">
        <v>1.0335396662189136</v>
      </c>
      <c r="AQ378">
        <v>1.5768678203637791</v>
      </c>
      <c r="AR378" t="b">
        <v>0</v>
      </c>
      <c r="AS378">
        <v>76.100227584272929</v>
      </c>
      <c r="AT378">
        <v>114.1503413764094</v>
      </c>
      <c r="AU378">
        <v>95.125284480341165</v>
      </c>
    </row>
    <row r="379" spans="1:47" x14ac:dyDescent="0.25">
      <c r="A379" t="s">
        <v>361</v>
      </c>
      <c r="B379" t="s">
        <v>471</v>
      </c>
      <c r="C379" t="s">
        <v>320</v>
      </c>
      <c r="D379">
        <v>2026</v>
      </c>
      <c r="E379">
        <v>0</v>
      </c>
      <c r="M379">
        <v>28</v>
      </c>
      <c r="Q379">
        <v>2026</v>
      </c>
      <c r="R379">
        <v>2041</v>
      </c>
      <c r="T379">
        <v>2041</v>
      </c>
      <c r="U379">
        <v>48.75</v>
      </c>
      <c r="W379">
        <v>2041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L379" s="61"/>
      <c r="AS379">
        <v>0</v>
      </c>
      <c r="AT379">
        <v>0</v>
      </c>
      <c r="AU379">
        <v>0</v>
      </c>
    </row>
    <row r="380" spans="1:47" x14ac:dyDescent="0.25">
      <c r="A380" t="s">
        <v>335</v>
      </c>
      <c r="B380" t="s">
        <v>472</v>
      </c>
      <c r="C380" t="s">
        <v>319</v>
      </c>
      <c r="D380">
        <v>2026</v>
      </c>
      <c r="E380">
        <v>0</v>
      </c>
      <c r="F380">
        <v>10</v>
      </c>
      <c r="G380">
        <v>0</v>
      </c>
      <c r="H380">
        <v>0</v>
      </c>
      <c r="I380">
        <v>50</v>
      </c>
      <c r="J380">
        <v>250</v>
      </c>
      <c r="K380">
        <v>1</v>
      </c>
      <c r="L380">
        <v>1</v>
      </c>
      <c r="M380">
        <v>29</v>
      </c>
      <c r="N380">
        <v>0</v>
      </c>
      <c r="O380" t="s">
        <v>27</v>
      </c>
      <c r="P380" t="s">
        <v>443</v>
      </c>
      <c r="Q380">
        <v>2026</v>
      </c>
      <c r="R380">
        <v>2036</v>
      </c>
      <c r="S380" t="s">
        <v>444</v>
      </c>
      <c r="T380">
        <v>2026</v>
      </c>
      <c r="U380">
        <v>33.75</v>
      </c>
      <c r="V380">
        <v>1</v>
      </c>
      <c r="W380">
        <v>2026</v>
      </c>
      <c r="X380">
        <v>0</v>
      </c>
      <c r="Y380">
        <v>2026</v>
      </c>
      <c r="Z380">
        <v>1</v>
      </c>
      <c r="AA380">
        <v>50</v>
      </c>
      <c r="AB380">
        <v>250</v>
      </c>
      <c r="AC380">
        <v>50</v>
      </c>
      <c r="AD380">
        <v>250</v>
      </c>
      <c r="AE380">
        <v>0</v>
      </c>
      <c r="AF380">
        <v>0</v>
      </c>
      <c r="AG380">
        <v>50</v>
      </c>
      <c r="AH380">
        <v>250</v>
      </c>
      <c r="AI380">
        <v>1</v>
      </c>
      <c r="AK380">
        <v>2027</v>
      </c>
      <c r="AL380" s="61">
        <v>2.4329999999999998</v>
      </c>
      <c r="AM380" s="61">
        <v>0</v>
      </c>
      <c r="AN380" s="61">
        <v>2.4329999999999998</v>
      </c>
      <c r="AO380">
        <v>1</v>
      </c>
      <c r="AP380">
        <v>1.023385968321771</v>
      </c>
      <c r="AQ380">
        <v>1.023385968321771</v>
      </c>
      <c r="AR380" t="b">
        <v>1</v>
      </c>
      <c r="AS380">
        <v>50</v>
      </c>
      <c r="AT380">
        <v>250</v>
      </c>
      <c r="AU380">
        <v>150</v>
      </c>
    </row>
    <row r="381" spans="1:47" x14ac:dyDescent="0.25">
      <c r="A381" t="s">
        <v>335</v>
      </c>
      <c r="B381" t="s">
        <v>472</v>
      </c>
      <c r="C381" t="s">
        <v>319</v>
      </c>
      <c r="D381">
        <v>2026</v>
      </c>
      <c r="E381">
        <v>0</v>
      </c>
      <c r="F381">
        <v>10</v>
      </c>
      <c r="G381">
        <v>0</v>
      </c>
      <c r="H381">
        <v>0</v>
      </c>
      <c r="I381">
        <v>50</v>
      </c>
      <c r="J381">
        <v>250</v>
      </c>
      <c r="K381">
        <v>1</v>
      </c>
      <c r="L381">
        <v>1</v>
      </c>
      <c r="M381">
        <v>29</v>
      </c>
      <c r="N381">
        <v>0</v>
      </c>
      <c r="O381" t="s">
        <v>27</v>
      </c>
      <c r="P381" t="s">
        <v>443</v>
      </c>
      <c r="Q381">
        <v>2026</v>
      </c>
      <c r="R381">
        <v>2036</v>
      </c>
      <c r="S381" t="s">
        <v>444</v>
      </c>
      <c r="T381">
        <v>2027</v>
      </c>
      <c r="U381">
        <v>34.75</v>
      </c>
      <c r="V381">
        <v>1</v>
      </c>
      <c r="W381">
        <v>2027</v>
      </c>
      <c r="X381">
        <v>1</v>
      </c>
      <c r="Y381">
        <v>2027</v>
      </c>
      <c r="Z381">
        <v>1</v>
      </c>
      <c r="AA381">
        <v>50</v>
      </c>
      <c r="AB381">
        <v>250</v>
      </c>
      <c r="AC381">
        <v>50</v>
      </c>
      <c r="AD381">
        <v>250</v>
      </c>
      <c r="AE381">
        <v>0</v>
      </c>
      <c r="AF381">
        <v>0</v>
      </c>
      <c r="AG381">
        <v>50</v>
      </c>
      <c r="AH381">
        <v>250</v>
      </c>
      <c r="AI381">
        <v>1</v>
      </c>
      <c r="AJ381">
        <v>2.4329999999999998</v>
      </c>
      <c r="AK381">
        <v>2028</v>
      </c>
      <c r="AL381" s="61">
        <v>2.4220000000000002</v>
      </c>
      <c r="AM381" s="61">
        <v>2.4329999999999998</v>
      </c>
      <c r="AN381" s="61">
        <v>2.4220000000000002</v>
      </c>
      <c r="AO381">
        <v>1</v>
      </c>
      <c r="AP381">
        <v>1.0242242189602202</v>
      </c>
      <c r="AQ381">
        <v>1.0242242189602202</v>
      </c>
      <c r="AR381" t="b">
        <v>0</v>
      </c>
      <c r="AS381">
        <v>48.817435747379008</v>
      </c>
      <c r="AT381">
        <v>244.08717873689505</v>
      </c>
      <c r="AU381">
        <v>146.45230724213704</v>
      </c>
    </row>
    <row r="382" spans="1:47" x14ac:dyDescent="0.25">
      <c r="A382" t="s">
        <v>335</v>
      </c>
      <c r="B382" t="s">
        <v>472</v>
      </c>
      <c r="C382" t="s">
        <v>319</v>
      </c>
      <c r="D382">
        <v>2026</v>
      </c>
      <c r="E382">
        <v>0</v>
      </c>
      <c r="F382">
        <v>10</v>
      </c>
      <c r="G382">
        <v>0</v>
      </c>
      <c r="H382">
        <v>0</v>
      </c>
      <c r="I382">
        <v>50</v>
      </c>
      <c r="J382">
        <v>250</v>
      </c>
      <c r="K382">
        <v>1</v>
      </c>
      <c r="L382">
        <v>1</v>
      </c>
      <c r="M382">
        <v>29</v>
      </c>
      <c r="N382">
        <v>0</v>
      </c>
      <c r="O382" t="s">
        <v>27</v>
      </c>
      <c r="P382" t="s">
        <v>443</v>
      </c>
      <c r="Q382">
        <v>2026</v>
      </c>
      <c r="R382">
        <v>2036</v>
      </c>
      <c r="S382" t="s">
        <v>444</v>
      </c>
      <c r="T382">
        <v>2028</v>
      </c>
      <c r="U382">
        <v>35.75</v>
      </c>
      <c r="V382">
        <v>1</v>
      </c>
      <c r="W382">
        <v>2028</v>
      </c>
      <c r="X382">
        <v>2</v>
      </c>
      <c r="Y382">
        <v>2028</v>
      </c>
      <c r="Z382">
        <v>1</v>
      </c>
      <c r="AA382">
        <v>50</v>
      </c>
      <c r="AB382">
        <v>250</v>
      </c>
      <c r="AC382">
        <v>50</v>
      </c>
      <c r="AD382">
        <v>250</v>
      </c>
      <c r="AE382">
        <v>0</v>
      </c>
      <c r="AF382">
        <v>0</v>
      </c>
      <c r="AG382">
        <v>50</v>
      </c>
      <c r="AH382">
        <v>250</v>
      </c>
      <c r="AI382">
        <v>1</v>
      </c>
      <c r="AJ382">
        <v>2.4220000000000002</v>
      </c>
      <c r="AK382">
        <v>2029</v>
      </c>
      <c r="AL382" s="61">
        <v>2.4209999999999998</v>
      </c>
      <c r="AM382" s="61">
        <v>2.4220000000000002</v>
      </c>
      <c r="AN382" s="61">
        <v>2.4209999999999998</v>
      </c>
      <c r="AO382">
        <v>1.0242199999999999</v>
      </c>
      <c r="AP382">
        <v>1.0242103835598433</v>
      </c>
      <c r="AQ382">
        <v>1.0490167590496626</v>
      </c>
      <c r="AR382" t="b">
        <v>0</v>
      </c>
      <c r="AS382">
        <v>47.66368084080618</v>
      </c>
      <c r="AT382">
        <v>238.31840420403091</v>
      </c>
      <c r="AU382">
        <v>142.99104252241855</v>
      </c>
    </row>
    <row r="383" spans="1:47" x14ac:dyDescent="0.25">
      <c r="A383" t="s">
        <v>335</v>
      </c>
      <c r="B383" t="s">
        <v>472</v>
      </c>
      <c r="C383" t="s">
        <v>319</v>
      </c>
      <c r="D383">
        <v>2026</v>
      </c>
      <c r="E383">
        <v>0</v>
      </c>
      <c r="F383">
        <v>10</v>
      </c>
      <c r="G383">
        <v>0</v>
      </c>
      <c r="H383">
        <v>0</v>
      </c>
      <c r="I383">
        <v>50</v>
      </c>
      <c r="J383">
        <v>250</v>
      </c>
      <c r="K383">
        <v>1</v>
      </c>
      <c r="L383">
        <v>1</v>
      </c>
      <c r="M383">
        <v>29</v>
      </c>
      <c r="N383">
        <v>0</v>
      </c>
      <c r="O383" t="s">
        <v>27</v>
      </c>
      <c r="P383" t="s">
        <v>443</v>
      </c>
      <c r="Q383">
        <v>2026</v>
      </c>
      <c r="R383">
        <v>2036</v>
      </c>
      <c r="S383" t="s">
        <v>444</v>
      </c>
      <c r="T383">
        <v>2029</v>
      </c>
      <c r="U383">
        <v>36.75</v>
      </c>
      <c r="V383">
        <v>1</v>
      </c>
      <c r="W383">
        <v>2029</v>
      </c>
      <c r="X383">
        <v>3</v>
      </c>
      <c r="Y383">
        <v>2029</v>
      </c>
      <c r="Z383">
        <v>1</v>
      </c>
      <c r="AA383">
        <v>50</v>
      </c>
      <c r="AB383">
        <v>250</v>
      </c>
      <c r="AC383">
        <v>50</v>
      </c>
      <c r="AD383">
        <v>250</v>
      </c>
      <c r="AE383">
        <v>0</v>
      </c>
      <c r="AF383">
        <v>0</v>
      </c>
      <c r="AG383">
        <v>50</v>
      </c>
      <c r="AH383">
        <v>250</v>
      </c>
      <c r="AI383">
        <v>1</v>
      </c>
      <c r="AJ383">
        <v>2.4209999999999998</v>
      </c>
      <c r="AK383">
        <v>2030</v>
      </c>
      <c r="AL383" s="61">
        <v>2.4670000000000001</v>
      </c>
      <c r="AM383" s="61">
        <v>2.4209999999999998</v>
      </c>
      <c r="AN383" s="61">
        <v>2.4670000000000001</v>
      </c>
      <c r="AO383">
        <v>1.0490061241000002</v>
      </c>
      <c r="AP383">
        <v>1.0246523523547908</v>
      </c>
      <c r="AQ383">
        <v>1.0748665926936467</v>
      </c>
      <c r="AR383" t="b">
        <v>0</v>
      </c>
      <c r="AS383">
        <v>46.517400708025129</v>
      </c>
      <c r="AT383">
        <v>232.58700354012564</v>
      </c>
      <c r="AU383">
        <v>139.55220212407539</v>
      </c>
    </row>
    <row r="384" spans="1:47" x14ac:dyDescent="0.25">
      <c r="A384" t="s">
        <v>335</v>
      </c>
      <c r="B384" t="s">
        <v>472</v>
      </c>
      <c r="C384" t="s">
        <v>319</v>
      </c>
      <c r="D384">
        <v>2026</v>
      </c>
      <c r="E384">
        <v>0</v>
      </c>
      <c r="F384">
        <v>10</v>
      </c>
      <c r="G384">
        <v>0</v>
      </c>
      <c r="H384">
        <v>0</v>
      </c>
      <c r="I384">
        <v>50</v>
      </c>
      <c r="J384">
        <v>250</v>
      </c>
      <c r="K384">
        <v>1</v>
      </c>
      <c r="L384">
        <v>1</v>
      </c>
      <c r="M384">
        <v>29</v>
      </c>
      <c r="N384">
        <v>0</v>
      </c>
      <c r="O384" t="s">
        <v>27</v>
      </c>
      <c r="P384" t="s">
        <v>443</v>
      </c>
      <c r="Q384">
        <v>2026</v>
      </c>
      <c r="R384">
        <v>2036</v>
      </c>
      <c r="S384" t="s">
        <v>444</v>
      </c>
      <c r="T384">
        <v>2030</v>
      </c>
      <c r="U384">
        <v>37.75</v>
      </c>
      <c r="V384">
        <v>1</v>
      </c>
      <c r="W384">
        <v>2030</v>
      </c>
      <c r="X384">
        <v>4</v>
      </c>
      <c r="Y384">
        <v>2030</v>
      </c>
      <c r="Z384">
        <v>1</v>
      </c>
      <c r="AA384">
        <v>50</v>
      </c>
      <c r="AB384">
        <v>250</v>
      </c>
      <c r="AC384">
        <v>50</v>
      </c>
      <c r="AD384">
        <v>250</v>
      </c>
      <c r="AE384">
        <v>0</v>
      </c>
      <c r="AF384">
        <v>0</v>
      </c>
      <c r="AG384">
        <v>50</v>
      </c>
      <c r="AH384">
        <v>250</v>
      </c>
      <c r="AI384">
        <v>1</v>
      </c>
      <c r="AJ384">
        <v>2.4670000000000001</v>
      </c>
      <c r="AK384">
        <v>2031</v>
      </c>
      <c r="AL384" s="61">
        <v>2.5169999999999999</v>
      </c>
      <c r="AM384" s="61">
        <v>2.4670000000000001</v>
      </c>
      <c r="AN384" s="61">
        <v>2.5169999999999999</v>
      </c>
      <c r="AO384">
        <v>1.0758508410815628</v>
      </c>
      <c r="AP384">
        <v>1.0251508174189523</v>
      </c>
      <c r="AQ384">
        <v>1.1029093691556315</v>
      </c>
      <c r="AR384" t="b">
        <v>0</v>
      </c>
      <c r="AS384">
        <v>45.334640722364284</v>
      </c>
      <c r="AT384">
        <v>226.67320361182144</v>
      </c>
      <c r="AU384">
        <v>136.00392216709287</v>
      </c>
    </row>
    <row r="385" spans="1:47" x14ac:dyDescent="0.25">
      <c r="A385" t="s">
        <v>335</v>
      </c>
      <c r="B385" t="s">
        <v>472</v>
      </c>
      <c r="C385" t="s">
        <v>319</v>
      </c>
      <c r="D385">
        <v>2026</v>
      </c>
      <c r="E385">
        <v>0</v>
      </c>
      <c r="F385">
        <v>10</v>
      </c>
      <c r="G385">
        <v>0</v>
      </c>
      <c r="H385">
        <v>0</v>
      </c>
      <c r="I385">
        <v>50</v>
      </c>
      <c r="J385">
        <v>250</v>
      </c>
      <c r="K385">
        <v>1</v>
      </c>
      <c r="L385">
        <v>1</v>
      </c>
      <c r="M385">
        <v>29</v>
      </c>
      <c r="N385">
        <v>0</v>
      </c>
      <c r="O385" t="s">
        <v>27</v>
      </c>
      <c r="P385" t="s">
        <v>443</v>
      </c>
      <c r="Q385">
        <v>2026</v>
      </c>
      <c r="R385">
        <v>2036</v>
      </c>
      <c r="S385" t="s">
        <v>444</v>
      </c>
      <c r="T385">
        <v>2031</v>
      </c>
      <c r="U385">
        <v>38.75</v>
      </c>
      <c r="V385">
        <v>1</v>
      </c>
      <c r="W385">
        <v>2031</v>
      </c>
      <c r="X385">
        <v>5</v>
      </c>
      <c r="Y385">
        <v>2031</v>
      </c>
      <c r="Z385">
        <v>1</v>
      </c>
      <c r="AA385">
        <v>50</v>
      </c>
      <c r="AB385">
        <v>250</v>
      </c>
      <c r="AC385">
        <v>50</v>
      </c>
      <c r="AD385">
        <v>250</v>
      </c>
      <c r="AE385">
        <v>0</v>
      </c>
      <c r="AF385">
        <v>0</v>
      </c>
      <c r="AG385">
        <v>50</v>
      </c>
      <c r="AH385">
        <v>250</v>
      </c>
      <c r="AI385">
        <v>1</v>
      </c>
      <c r="AJ385">
        <v>2.5169999999999999</v>
      </c>
      <c r="AK385">
        <v>2032</v>
      </c>
      <c r="AL385" s="61">
        <v>2.59</v>
      </c>
      <c r="AM385" s="61">
        <v>2.5169999999999999</v>
      </c>
      <c r="AN385" s="61">
        <v>2.59</v>
      </c>
      <c r="AO385">
        <v>1.1045453584485188</v>
      </c>
      <c r="AP385">
        <v>1.0258719904156592</v>
      </c>
      <c r="AQ385">
        <v>1.1331221453759597</v>
      </c>
      <c r="AR385" t="b">
        <v>0</v>
      </c>
      <c r="AS385">
        <v>44.125869575526167</v>
      </c>
      <c r="AT385">
        <v>220.62934787763083</v>
      </c>
      <c r="AU385">
        <v>132.3776087265785</v>
      </c>
    </row>
    <row r="386" spans="1:47" x14ac:dyDescent="0.25">
      <c r="A386" t="s">
        <v>335</v>
      </c>
      <c r="B386" t="s">
        <v>472</v>
      </c>
      <c r="C386" t="s">
        <v>319</v>
      </c>
      <c r="D386">
        <v>2026</v>
      </c>
      <c r="E386">
        <v>0</v>
      </c>
      <c r="F386">
        <v>10</v>
      </c>
      <c r="G386">
        <v>0</v>
      </c>
      <c r="H386">
        <v>0</v>
      </c>
      <c r="I386">
        <v>50</v>
      </c>
      <c r="J386">
        <v>250</v>
      </c>
      <c r="K386">
        <v>1</v>
      </c>
      <c r="L386">
        <v>1</v>
      </c>
      <c r="M386">
        <v>29</v>
      </c>
      <c r="N386">
        <v>0</v>
      </c>
      <c r="O386" t="s">
        <v>27</v>
      </c>
      <c r="P386" t="s">
        <v>443</v>
      </c>
      <c r="Q386">
        <v>2026</v>
      </c>
      <c r="R386">
        <v>2036</v>
      </c>
      <c r="S386" t="s">
        <v>444</v>
      </c>
      <c r="T386">
        <v>2032</v>
      </c>
      <c r="U386">
        <v>39.75</v>
      </c>
      <c r="V386">
        <v>1</v>
      </c>
      <c r="W386">
        <v>2032</v>
      </c>
      <c r="X386">
        <v>6</v>
      </c>
      <c r="Y386">
        <v>2032</v>
      </c>
      <c r="Z386">
        <v>1</v>
      </c>
      <c r="AA386">
        <v>50</v>
      </c>
      <c r="AB386">
        <v>250</v>
      </c>
      <c r="AC386">
        <v>50</v>
      </c>
      <c r="AD386">
        <v>250</v>
      </c>
      <c r="AE386">
        <v>0</v>
      </c>
      <c r="AF386">
        <v>0</v>
      </c>
      <c r="AG386">
        <v>50</v>
      </c>
      <c r="AH386">
        <v>250</v>
      </c>
      <c r="AI386">
        <v>1</v>
      </c>
      <c r="AJ386">
        <v>2.59</v>
      </c>
      <c r="AK386">
        <v>2033</v>
      </c>
      <c r="AL386" s="61">
        <v>2.6880000000000002</v>
      </c>
      <c r="AM386" s="61">
        <v>2.59</v>
      </c>
      <c r="AN386" s="61">
        <v>2.6880000000000002</v>
      </c>
      <c r="AO386">
        <v>1.1363841013749196</v>
      </c>
      <c r="AP386">
        <v>1.0268423936996114</v>
      </c>
      <c r="AQ386">
        <v>1.1668873708180043</v>
      </c>
      <c r="AR386" t="b">
        <v>0</v>
      </c>
      <c r="AS386">
        <v>42.849036891151975</v>
      </c>
      <c r="AT386">
        <v>214.24518445575987</v>
      </c>
      <c r="AU386">
        <v>128.54711067345593</v>
      </c>
    </row>
    <row r="387" spans="1:47" x14ac:dyDescent="0.25">
      <c r="A387" t="s">
        <v>335</v>
      </c>
      <c r="B387" t="s">
        <v>472</v>
      </c>
      <c r="C387" t="s">
        <v>319</v>
      </c>
      <c r="D387">
        <v>2026</v>
      </c>
      <c r="E387">
        <v>0</v>
      </c>
      <c r="F387">
        <v>10</v>
      </c>
      <c r="G387">
        <v>0</v>
      </c>
      <c r="H387">
        <v>0</v>
      </c>
      <c r="I387">
        <v>50</v>
      </c>
      <c r="J387">
        <v>250</v>
      </c>
      <c r="K387">
        <v>1</v>
      </c>
      <c r="L387">
        <v>1</v>
      </c>
      <c r="M387">
        <v>29</v>
      </c>
      <c r="N387">
        <v>0</v>
      </c>
      <c r="O387" t="s">
        <v>27</v>
      </c>
      <c r="P387" t="s">
        <v>443</v>
      </c>
      <c r="Q387">
        <v>2026</v>
      </c>
      <c r="R387">
        <v>2036</v>
      </c>
      <c r="S387" t="s">
        <v>444</v>
      </c>
      <c r="T387">
        <v>2033</v>
      </c>
      <c r="U387">
        <v>40.75</v>
      </c>
      <c r="V387">
        <v>1</v>
      </c>
      <c r="W387">
        <v>2033</v>
      </c>
      <c r="X387">
        <v>7</v>
      </c>
      <c r="Y387">
        <v>2033</v>
      </c>
      <c r="Z387">
        <v>1</v>
      </c>
      <c r="AA387">
        <v>50</v>
      </c>
      <c r="AB387">
        <v>250</v>
      </c>
      <c r="AC387">
        <v>50</v>
      </c>
      <c r="AD387">
        <v>250</v>
      </c>
      <c r="AE387">
        <v>0</v>
      </c>
      <c r="AF387">
        <v>0</v>
      </c>
      <c r="AG387">
        <v>50</v>
      </c>
      <c r="AH387">
        <v>250</v>
      </c>
      <c r="AI387">
        <v>1</v>
      </c>
      <c r="AJ387">
        <v>2.6880000000000002</v>
      </c>
      <c r="AK387">
        <v>2034</v>
      </c>
      <c r="AL387" s="61">
        <v>2.7519999999999998</v>
      </c>
      <c r="AM387" s="61">
        <v>2.6880000000000002</v>
      </c>
      <c r="AN387" s="61">
        <v>2.7519999999999998</v>
      </c>
      <c r="AO387">
        <v>1.1725143659072164</v>
      </c>
      <c r="AP387">
        <v>1.0274954447000768</v>
      </c>
      <c r="AQ387">
        <v>1.2047531698150638</v>
      </c>
      <c r="AR387" t="b">
        <v>0</v>
      </c>
      <c r="AS387">
        <v>41.502277190667428</v>
      </c>
      <c r="AT387">
        <v>207.51138595333714</v>
      </c>
      <c r="AU387">
        <v>124.50683157200228</v>
      </c>
    </row>
    <row r="388" spans="1:47" x14ac:dyDescent="0.25">
      <c r="A388" t="s">
        <v>335</v>
      </c>
      <c r="B388" t="s">
        <v>472</v>
      </c>
      <c r="C388" t="s">
        <v>319</v>
      </c>
      <c r="D388">
        <v>2026</v>
      </c>
      <c r="E388">
        <v>0</v>
      </c>
      <c r="F388">
        <v>10</v>
      </c>
      <c r="G388">
        <v>0</v>
      </c>
      <c r="H388">
        <v>0</v>
      </c>
      <c r="I388">
        <v>50</v>
      </c>
      <c r="J388">
        <v>250</v>
      </c>
      <c r="K388">
        <v>1</v>
      </c>
      <c r="L388">
        <v>1</v>
      </c>
      <c r="M388">
        <v>29</v>
      </c>
      <c r="N388">
        <v>0</v>
      </c>
      <c r="O388" t="s">
        <v>27</v>
      </c>
      <c r="P388" t="s">
        <v>443</v>
      </c>
      <c r="Q388">
        <v>2026</v>
      </c>
      <c r="R388">
        <v>2036</v>
      </c>
      <c r="S388" t="s">
        <v>444</v>
      </c>
      <c r="T388">
        <v>2034</v>
      </c>
      <c r="U388">
        <v>41.75</v>
      </c>
      <c r="V388">
        <v>1</v>
      </c>
      <c r="W388">
        <v>2034</v>
      </c>
      <c r="X388">
        <v>8</v>
      </c>
      <c r="Y388">
        <v>2034</v>
      </c>
      <c r="Z388">
        <v>1</v>
      </c>
      <c r="AA388">
        <v>50</v>
      </c>
      <c r="AB388">
        <v>250</v>
      </c>
      <c r="AC388">
        <v>50</v>
      </c>
      <c r="AD388">
        <v>250</v>
      </c>
      <c r="AE388">
        <v>0</v>
      </c>
      <c r="AF388">
        <v>0</v>
      </c>
      <c r="AG388">
        <v>50</v>
      </c>
      <c r="AH388">
        <v>250</v>
      </c>
      <c r="AI388">
        <v>1</v>
      </c>
      <c r="AJ388">
        <v>2.7519999999999998</v>
      </c>
      <c r="AK388">
        <v>2035</v>
      </c>
      <c r="AL388" s="61">
        <v>2.8420000000000001</v>
      </c>
      <c r="AM388" s="61">
        <v>2.7519999999999998</v>
      </c>
      <c r="AN388" s="61">
        <v>2.8420000000000001</v>
      </c>
      <c r="AO388">
        <v>1.2092942481281721</v>
      </c>
      <c r="AP388">
        <v>1.0283854649181425</v>
      </c>
      <c r="AQ388">
        <v>1.2436206275841259</v>
      </c>
      <c r="AR388" t="b">
        <v>0</v>
      </c>
      <c r="AS388">
        <v>40.205187089193487</v>
      </c>
      <c r="AT388">
        <v>201.02593544596743</v>
      </c>
      <c r="AU388">
        <v>120.61556126758046</v>
      </c>
    </row>
    <row r="389" spans="1:47" x14ac:dyDescent="0.25">
      <c r="A389" t="s">
        <v>335</v>
      </c>
      <c r="B389" t="s">
        <v>472</v>
      </c>
      <c r="C389" t="s">
        <v>319</v>
      </c>
      <c r="D389">
        <v>2026</v>
      </c>
      <c r="E389">
        <v>0</v>
      </c>
      <c r="F389">
        <v>10</v>
      </c>
      <c r="G389">
        <v>0</v>
      </c>
      <c r="H389">
        <v>0</v>
      </c>
      <c r="I389">
        <v>50</v>
      </c>
      <c r="J389">
        <v>250</v>
      </c>
      <c r="K389">
        <v>1</v>
      </c>
      <c r="L389">
        <v>1</v>
      </c>
      <c r="M389">
        <v>29</v>
      </c>
      <c r="N389">
        <v>0</v>
      </c>
      <c r="O389" t="s">
        <v>27</v>
      </c>
      <c r="P389" t="s">
        <v>443</v>
      </c>
      <c r="Q389">
        <v>2026</v>
      </c>
      <c r="R389">
        <v>2036</v>
      </c>
      <c r="S389" t="s">
        <v>444</v>
      </c>
      <c r="T389">
        <v>2035</v>
      </c>
      <c r="U389">
        <v>42.75</v>
      </c>
      <c r="V389">
        <v>1</v>
      </c>
      <c r="W389">
        <v>2035</v>
      </c>
      <c r="X389">
        <v>9</v>
      </c>
      <c r="Y389">
        <v>2035</v>
      </c>
      <c r="Z389">
        <v>1</v>
      </c>
      <c r="AA389">
        <v>50</v>
      </c>
      <c r="AB389">
        <v>250</v>
      </c>
      <c r="AC389">
        <v>50</v>
      </c>
      <c r="AD389">
        <v>250</v>
      </c>
      <c r="AE389">
        <v>0</v>
      </c>
      <c r="AF389">
        <v>0</v>
      </c>
      <c r="AG389">
        <v>50</v>
      </c>
      <c r="AH389">
        <v>250</v>
      </c>
      <c r="AI389">
        <v>1</v>
      </c>
      <c r="AJ389">
        <v>2.8420000000000001</v>
      </c>
      <c r="AK389">
        <v>2036</v>
      </c>
      <c r="AL389" s="61">
        <v>2.944</v>
      </c>
      <c r="AM389" s="61">
        <v>2.8420000000000001</v>
      </c>
      <c r="AN389" s="61">
        <v>2.944</v>
      </c>
      <c r="AO389">
        <v>1.2513076834571593</v>
      </c>
      <c r="AP389">
        <v>1.0294008580614105</v>
      </c>
      <c r="AQ389">
        <v>1.2880972030496356</v>
      </c>
      <c r="AR389" t="b">
        <v>0</v>
      </c>
      <c r="AS389">
        <v>38.816946331086243</v>
      </c>
      <c r="AT389">
        <v>194.0847316554312</v>
      </c>
      <c r="AU389">
        <v>116.45083899325871</v>
      </c>
    </row>
    <row r="390" spans="1:47" x14ac:dyDescent="0.25">
      <c r="A390" t="s">
        <v>335</v>
      </c>
      <c r="B390" t="s">
        <v>472</v>
      </c>
      <c r="C390" t="s">
        <v>319</v>
      </c>
      <c r="D390">
        <v>2026</v>
      </c>
      <c r="E390">
        <v>0</v>
      </c>
      <c r="M390">
        <v>29</v>
      </c>
      <c r="Q390">
        <v>2026</v>
      </c>
      <c r="R390">
        <v>2036</v>
      </c>
      <c r="T390">
        <v>2036</v>
      </c>
      <c r="U390">
        <v>43.75</v>
      </c>
      <c r="W390">
        <v>2036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L390" s="61"/>
      <c r="AS390">
        <v>0</v>
      </c>
      <c r="AT390">
        <v>0</v>
      </c>
      <c r="AU390">
        <v>0</v>
      </c>
    </row>
    <row r="391" spans="1:47" x14ac:dyDescent="0.25">
      <c r="A391" t="s">
        <v>362</v>
      </c>
      <c r="B391" t="s">
        <v>473</v>
      </c>
      <c r="C391" t="s">
        <v>320</v>
      </c>
      <c r="D391">
        <v>2026</v>
      </c>
      <c r="E391">
        <v>0</v>
      </c>
      <c r="F391">
        <v>15</v>
      </c>
      <c r="G391">
        <v>0</v>
      </c>
      <c r="H391">
        <v>0</v>
      </c>
      <c r="I391">
        <v>30</v>
      </c>
      <c r="J391">
        <v>45</v>
      </c>
      <c r="K391">
        <v>4</v>
      </c>
      <c r="L391">
        <v>2</v>
      </c>
      <c r="M391">
        <v>30</v>
      </c>
      <c r="N391">
        <v>0</v>
      </c>
      <c r="O391" t="s">
        <v>27</v>
      </c>
      <c r="P391" t="s">
        <v>443</v>
      </c>
      <c r="Q391">
        <v>2026</v>
      </c>
      <c r="R391">
        <v>2041</v>
      </c>
      <c r="S391" t="s">
        <v>444</v>
      </c>
      <c r="T391">
        <v>2026</v>
      </c>
      <c r="U391">
        <v>33.75</v>
      </c>
      <c r="V391">
        <v>1</v>
      </c>
      <c r="W391">
        <v>2026</v>
      </c>
      <c r="X391">
        <v>0</v>
      </c>
      <c r="Y391">
        <v>2026</v>
      </c>
      <c r="Z391">
        <v>1</v>
      </c>
      <c r="AA391">
        <v>120</v>
      </c>
      <c r="AB391">
        <v>180</v>
      </c>
      <c r="AC391">
        <v>120</v>
      </c>
      <c r="AD391">
        <v>180</v>
      </c>
      <c r="AE391">
        <v>0</v>
      </c>
      <c r="AF391">
        <v>0</v>
      </c>
      <c r="AG391">
        <v>120</v>
      </c>
      <c r="AH391">
        <v>180</v>
      </c>
      <c r="AI391">
        <v>1</v>
      </c>
      <c r="AK391">
        <v>2027</v>
      </c>
      <c r="AL391" s="61">
        <v>2.4329999999999998</v>
      </c>
      <c r="AM391" s="61">
        <v>0</v>
      </c>
      <c r="AN391" s="61">
        <v>2.4329999999999998</v>
      </c>
      <c r="AO391">
        <v>1</v>
      </c>
      <c r="AP391">
        <v>1.023385968321771</v>
      </c>
      <c r="AQ391">
        <v>1.023385968321771</v>
      </c>
      <c r="AR391" t="b">
        <v>1</v>
      </c>
      <c r="AS391">
        <v>120</v>
      </c>
      <c r="AT391">
        <v>180</v>
      </c>
      <c r="AU391">
        <v>150</v>
      </c>
    </row>
    <row r="392" spans="1:47" x14ac:dyDescent="0.25">
      <c r="A392" t="s">
        <v>362</v>
      </c>
      <c r="B392" t="s">
        <v>473</v>
      </c>
      <c r="C392" t="s">
        <v>320</v>
      </c>
      <c r="D392">
        <v>2026</v>
      </c>
      <c r="E392">
        <v>0</v>
      </c>
      <c r="F392">
        <v>15</v>
      </c>
      <c r="G392">
        <v>0</v>
      </c>
      <c r="H392">
        <v>0</v>
      </c>
      <c r="I392">
        <v>30</v>
      </c>
      <c r="J392">
        <v>45</v>
      </c>
      <c r="K392">
        <v>4</v>
      </c>
      <c r="L392">
        <v>2</v>
      </c>
      <c r="M392">
        <v>30</v>
      </c>
      <c r="N392">
        <v>0</v>
      </c>
      <c r="O392" t="s">
        <v>27</v>
      </c>
      <c r="P392" t="s">
        <v>443</v>
      </c>
      <c r="Q392">
        <v>2026</v>
      </c>
      <c r="R392">
        <v>2041</v>
      </c>
      <c r="S392" t="s">
        <v>444</v>
      </c>
      <c r="T392">
        <v>2027</v>
      </c>
      <c r="U392">
        <v>34.75</v>
      </c>
      <c r="V392">
        <v>1</v>
      </c>
      <c r="W392">
        <v>2027</v>
      </c>
      <c r="X392">
        <v>1</v>
      </c>
      <c r="Y392">
        <v>2027</v>
      </c>
      <c r="Z392">
        <v>1</v>
      </c>
      <c r="AA392">
        <v>120</v>
      </c>
      <c r="AB392">
        <v>180</v>
      </c>
      <c r="AC392">
        <v>120</v>
      </c>
      <c r="AD392">
        <v>180</v>
      </c>
      <c r="AE392">
        <v>0</v>
      </c>
      <c r="AF392">
        <v>0</v>
      </c>
      <c r="AG392">
        <v>120</v>
      </c>
      <c r="AH392">
        <v>180</v>
      </c>
      <c r="AI392">
        <v>1</v>
      </c>
      <c r="AJ392">
        <v>2.4329999999999998</v>
      </c>
      <c r="AK392">
        <v>2028</v>
      </c>
      <c r="AL392" s="61">
        <v>2.4220000000000002</v>
      </c>
      <c r="AM392" s="61">
        <v>2.4329999999999998</v>
      </c>
      <c r="AN392" s="61">
        <v>2.4220000000000002</v>
      </c>
      <c r="AO392">
        <v>1</v>
      </c>
      <c r="AP392">
        <v>1.0242242189602202</v>
      </c>
      <c r="AQ392">
        <v>1.0242242189602202</v>
      </c>
      <c r="AR392" t="b">
        <v>0</v>
      </c>
      <c r="AS392">
        <v>117.16184579370963</v>
      </c>
      <c r="AT392">
        <v>175.74276869056445</v>
      </c>
      <c r="AU392">
        <v>146.45230724213704</v>
      </c>
    </row>
    <row r="393" spans="1:47" x14ac:dyDescent="0.25">
      <c r="A393" t="s">
        <v>362</v>
      </c>
      <c r="B393" t="s">
        <v>473</v>
      </c>
      <c r="C393" t="s">
        <v>320</v>
      </c>
      <c r="D393">
        <v>2026</v>
      </c>
      <c r="E393">
        <v>0</v>
      </c>
      <c r="F393">
        <v>15</v>
      </c>
      <c r="G393">
        <v>0</v>
      </c>
      <c r="H393">
        <v>0</v>
      </c>
      <c r="I393">
        <v>30</v>
      </c>
      <c r="J393">
        <v>45</v>
      </c>
      <c r="K393">
        <v>4</v>
      </c>
      <c r="L393">
        <v>2</v>
      </c>
      <c r="M393">
        <v>30</v>
      </c>
      <c r="N393">
        <v>0</v>
      </c>
      <c r="O393" t="s">
        <v>27</v>
      </c>
      <c r="P393" t="s">
        <v>443</v>
      </c>
      <c r="Q393">
        <v>2026</v>
      </c>
      <c r="R393">
        <v>2041</v>
      </c>
      <c r="S393" t="s">
        <v>444</v>
      </c>
      <c r="T393">
        <v>2028</v>
      </c>
      <c r="U393">
        <v>35.75</v>
      </c>
      <c r="V393">
        <v>1</v>
      </c>
      <c r="W393">
        <v>2028</v>
      </c>
      <c r="X393">
        <v>2</v>
      </c>
      <c r="Y393">
        <v>2028</v>
      </c>
      <c r="Z393">
        <v>1</v>
      </c>
      <c r="AA393">
        <v>120</v>
      </c>
      <c r="AB393">
        <v>180</v>
      </c>
      <c r="AC393">
        <v>120</v>
      </c>
      <c r="AD393">
        <v>180</v>
      </c>
      <c r="AE393">
        <v>0</v>
      </c>
      <c r="AF393">
        <v>0</v>
      </c>
      <c r="AG393">
        <v>120</v>
      </c>
      <c r="AH393">
        <v>180</v>
      </c>
      <c r="AI393">
        <v>1</v>
      </c>
      <c r="AJ393">
        <v>2.4220000000000002</v>
      </c>
      <c r="AK393">
        <v>2029</v>
      </c>
      <c r="AL393" s="61">
        <v>2.4209999999999998</v>
      </c>
      <c r="AM393" s="61">
        <v>2.4220000000000002</v>
      </c>
      <c r="AN393" s="61">
        <v>2.4209999999999998</v>
      </c>
      <c r="AO393">
        <v>1.0242199999999999</v>
      </c>
      <c r="AP393">
        <v>1.0242103835598433</v>
      </c>
      <c r="AQ393">
        <v>1.0490167590496626</v>
      </c>
      <c r="AR393" t="b">
        <v>0</v>
      </c>
      <c r="AS393">
        <v>114.39283401793483</v>
      </c>
      <c r="AT393">
        <v>171.58925102690225</v>
      </c>
      <c r="AU393">
        <v>142.99104252241852</v>
      </c>
    </row>
    <row r="394" spans="1:47" x14ac:dyDescent="0.25">
      <c r="A394" t="s">
        <v>362</v>
      </c>
      <c r="B394" t="s">
        <v>473</v>
      </c>
      <c r="C394" t="s">
        <v>320</v>
      </c>
      <c r="D394">
        <v>2026</v>
      </c>
      <c r="E394">
        <v>0</v>
      </c>
      <c r="F394">
        <v>15</v>
      </c>
      <c r="G394">
        <v>0</v>
      </c>
      <c r="H394">
        <v>0</v>
      </c>
      <c r="I394">
        <v>30</v>
      </c>
      <c r="J394">
        <v>45</v>
      </c>
      <c r="K394">
        <v>4</v>
      </c>
      <c r="L394">
        <v>2</v>
      </c>
      <c r="M394">
        <v>30</v>
      </c>
      <c r="N394">
        <v>0</v>
      </c>
      <c r="O394" t="s">
        <v>27</v>
      </c>
      <c r="P394" t="s">
        <v>443</v>
      </c>
      <c r="Q394">
        <v>2026</v>
      </c>
      <c r="R394">
        <v>2041</v>
      </c>
      <c r="S394" t="s">
        <v>444</v>
      </c>
      <c r="T394">
        <v>2029</v>
      </c>
      <c r="U394">
        <v>36.75</v>
      </c>
      <c r="V394">
        <v>1</v>
      </c>
      <c r="W394">
        <v>2029</v>
      </c>
      <c r="X394">
        <v>3</v>
      </c>
      <c r="Y394">
        <v>2029</v>
      </c>
      <c r="Z394">
        <v>1</v>
      </c>
      <c r="AA394">
        <v>120</v>
      </c>
      <c r="AB394">
        <v>180</v>
      </c>
      <c r="AC394">
        <v>120</v>
      </c>
      <c r="AD394">
        <v>180</v>
      </c>
      <c r="AE394">
        <v>0</v>
      </c>
      <c r="AF394">
        <v>0</v>
      </c>
      <c r="AG394">
        <v>120</v>
      </c>
      <c r="AH394">
        <v>180</v>
      </c>
      <c r="AI394">
        <v>1</v>
      </c>
      <c r="AJ394">
        <v>2.4209999999999998</v>
      </c>
      <c r="AK394">
        <v>2030</v>
      </c>
      <c r="AL394" s="61">
        <v>2.4670000000000001</v>
      </c>
      <c r="AM394" s="61">
        <v>2.4209999999999998</v>
      </c>
      <c r="AN394" s="61">
        <v>2.4670000000000001</v>
      </c>
      <c r="AO394">
        <v>1.0490061241000002</v>
      </c>
      <c r="AP394">
        <v>1.0246523523547908</v>
      </c>
      <c r="AQ394">
        <v>1.0748665926936467</v>
      </c>
      <c r="AR394" t="b">
        <v>0</v>
      </c>
      <c r="AS394">
        <v>111.64176169926031</v>
      </c>
      <c r="AT394">
        <v>167.46264254889047</v>
      </c>
      <c r="AU394">
        <v>139.55220212407539</v>
      </c>
    </row>
    <row r="395" spans="1:47" x14ac:dyDescent="0.25">
      <c r="A395" t="s">
        <v>362</v>
      </c>
      <c r="B395" t="s">
        <v>473</v>
      </c>
      <c r="C395" t="s">
        <v>320</v>
      </c>
      <c r="D395">
        <v>2026</v>
      </c>
      <c r="E395">
        <v>0</v>
      </c>
      <c r="F395">
        <v>15</v>
      </c>
      <c r="G395">
        <v>0</v>
      </c>
      <c r="H395">
        <v>0</v>
      </c>
      <c r="I395">
        <v>30</v>
      </c>
      <c r="J395">
        <v>45</v>
      </c>
      <c r="K395">
        <v>4</v>
      </c>
      <c r="L395">
        <v>2</v>
      </c>
      <c r="M395">
        <v>30</v>
      </c>
      <c r="N395">
        <v>0</v>
      </c>
      <c r="O395" t="s">
        <v>27</v>
      </c>
      <c r="P395" t="s">
        <v>443</v>
      </c>
      <c r="Q395">
        <v>2026</v>
      </c>
      <c r="R395">
        <v>2041</v>
      </c>
      <c r="S395" t="s">
        <v>444</v>
      </c>
      <c r="T395">
        <v>2030</v>
      </c>
      <c r="U395">
        <v>37.75</v>
      </c>
      <c r="V395">
        <v>1</v>
      </c>
      <c r="W395">
        <v>2030</v>
      </c>
      <c r="X395">
        <v>4</v>
      </c>
      <c r="Y395">
        <v>2030</v>
      </c>
      <c r="Z395">
        <v>1</v>
      </c>
      <c r="AA395">
        <v>120</v>
      </c>
      <c r="AB395">
        <v>180</v>
      </c>
      <c r="AC395">
        <v>120</v>
      </c>
      <c r="AD395">
        <v>180</v>
      </c>
      <c r="AE395">
        <v>0</v>
      </c>
      <c r="AF395">
        <v>0</v>
      </c>
      <c r="AG395">
        <v>120</v>
      </c>
      <c r="AH395">
        <v>180</v>
      </c>
      <c r="AI395">
        <v>1</v>
      </c>
      <c r="AJ395">
        <v>2.4670000000000001</v>
      </c>
      <c r="AK395">
        <v>2031</v>
      </c>
      <c r="AL395" s="61">
        <v>2.5169999999999999</v>
      </c>
      <c r="AM395" s="61">
        <v>2.4670000000000001</v>
      </c>
      <c r="AN395" s="61">
        <v>2.5169999999999999</v>
      </c>
      <c r="AO395">
        <v>1.0758508410815628</v>
      </c>
      <c r="AP395">
        <v>1.0251508174189523</v>
      </c>
      <c r="AQ395">
        <v>1.1029093691556315</v>
      </c>
      <c r="AR395" t="b">
        <v>0</v>
      </c>
      <c r="AS395">
        <v>108.80313773367429</v>
      </c>
      <c r="AT395">
        <v>163.20470660051143</v>
      </c>
      <c r="AU395">
        <v>136.00392216709287</v>
      </c>
    </row>
    <row r="396" spans="1:47" x14ac:dyDescent="0.25">
      <c r="A396" t="s">
        <v>362</v>
      </c>
      <c r="B396" t="s">
        <v>473</v>
      </c>
      <c r="C396" t="s">
        <v>320</v>
      </c>
      <c r="D396">
        <v>2026</v>
      </c>
      <c r="E396">
        <v>0</v>
      </c>
      <c r="F396">
        <v>15</v>
      </c>
      <c r="G396">
        <v>0</v>
      </c>
      <c r="H396">
        <v>0</v>
      </c>
      <c r="I396">
        <v>30</v>
      </c>
      <c r="J396">
        <v>45</v>
      </c>
      <c r="K396">
        <v>4</v>
      </c>
      <c r="L396">
        <v>2</v>
      </c>
      <c r="M396">
        <v>30</v>
      </c>
      <c r="N396">
        <v>0</v>
      </c>
      <c r="O396" t="s">
        <v>27</v>
      </c>
      <c r="P396" t="s">
        <v>443</v>
      </c>
      <c r="Q396">
        <v>2026</v>
      </c>
      <c r="R396">
        <v>2041</v>
      </c>
      <c r="S396" t="s">
        <v>444</v>
      </c>
      <c r="T396">
        <v>2031</v>
      </c>
      <c r="U396">
        <v>38.75</v>
      </c>
      <c r="V396">
        <v>1</v>
      </c>
      <c r="W396">
        <v>2031</v>
      </c>
      <c r="X396">
        <v>5</v>
      </c>
      <c r="Y396">
        <v>2031</v>
      </c>
      <c r="Z396">
        <v>1</v>
      </c>
      <c r="AA396">
        <v>120</v>
      </c>
      <c r="AB396">
        <v>180</v>
      </c>
      <c r="AC396">
        <v>120</v>
      </c>
      <c r="AD396">
        <v>180</v>
      </c>
      <c r="AE396">
        <v>0</v>
      </c>
      <c r="AF396">
        <v>0</v>
      </c>
      <c r="AG396">
        <v>120</v>
      </c>
      <c r="AH396">
        <v>180</v>
      </c>
      <c r="AI396">
        <v>1</v>
      </c>
      <c r="AJ396">
        <v>2.5169999999999999</v>
      </c>
      <c r="AK396">
        <v>2032</v>
      </c>
      <c r="AL396" s="61">
        <v>2.59</v>
      </c>
      <c r="AM396" s="61">
        <v>2.5169999999999999</v>
      </c>
      <c r="AN396" s="61">
        <v>2.59</v>
      </c>
      <c r="AO396">
        <v>1.1045453584485188</v>
      </c>
      <c r="AP396">
        <v>1.0258719904156592</v>
      </c>
      <c r="AQ396">
        <v>1.1331221453759597</v>
      </c>
      <c r="AR396" t="b">
        <v>0</v>
      </c>
      <c r="AS396">
        <v>105.90208698126281</v>
      </c>
      <c r="AT396">
        <v>158.85313047189422</v>
      </c>
      <c r="AU396">
        <v>132.3776087265785</v>
      </c>
    </row>
    <row r="397" spans="1:47" x14ac:dyDescent="0.25">
      <c r="A397" t="s">
        <v>362</v>
      </c>
      <c r="B397" t="s">
        <v>473</v>
      </c>
      <c r="C397" t="s">
        <v>320</v>
      </c>
      <c r="D397">
        <v>2026</v>
      </c>
      <c r="E397">
        <v>0</v>
      </c>
      <c r="F397">
        <v>15</v>
      </c>
      <c r="G397">
        <v>0</v>
      </c>
      <c r="H397">
        <v>0</v>
      </c>
      <c r="I397">
        <v>30</v>
      </c>
      <c r="J397">
        <v>45</v>
      </c>
      <c r="K397">
        <v>4</v>
      </c>
      <c r="L397">
        <v>2</v>
      </c>
      <c r="M397">
        <v>30</v>
      </c>
      <c r="N397">
        <v>0</v>
      </c>
      <c r="O397" t="s">
        <v>27</v>
      </c>
      <c r="P397" t="s">
        <v>443</v>
      </c>
      <c r="Q397">
        <v>2026</v>
      </c>
      <c r="R397">
        <v>2041</v>
      </c>
      <c r="S397" t="s">
        <v>444</v>
      </c>
      <c r="T397">
        <v>2032</v>
      </c>
      <c r="U397">
        <v>39.75</v>
      </c>
      <c r="V397">
        <v>1</v>
      </c>
      <c r="W397">
        <v>2032</v>
      </c>
      <c r="X397">
        <v>6</v>
      </c>
      <c r="Y397">
        <v>2032</v>
      </c>
      <c r="Z397">
        <v>1</v>
      </c>
      <c r="AA397">
        <v>120</v>
      </c>
      <c r="AB397">
        <v>180</v>
      </c>
      <c r="AC397">
        <v>120</v>
      </c>
      <c r="AD397">
        <v>180</v>
      </c>
      <c r="AE397">
        <v>0</v>
      </c>
      <c r="AF397">
        <v>0</v>
      </c>
      <c r="AG397">
        <v>120</v>
      </c>
      <c r="AH397">
        <v>180</v>
      </c>
      <c r="AI397">
        <v>1</v>
      </c>
      <c r="AJ397">
        <v>2.59</v>
      </c>
      <c r="AK397">
        <v>2033</v>
      </c>
      <c r="AL397" s="61">
        <v>2.6880000000000002</v>
      </c>
      <c r="AM397" s="61">
        <v>2.59</v>
      </c>
      <c r="AN397" s="61">
        <v>2.6880000000000002</v>
      </c>
      <c r="AO397">
        <v>1.1363841013749196</v>
      </c>
      <c r="AP397">
        <v>1.0268423936996114</v>
      </c>
      <c r="AQ397">
        <v>1.1668873708180043</v>
      </c>
      <c r="AR397" t="b">
        <v>0</v>
      </c>
      <c r="AS397">
        <v>102.83768853876474</v>
      </c>
      <c r="AT397">
        <v>154.25653280814711</v>
      </c>
      <c r="AU397">
        <v>128.54711067345593</v>
      </c>
    </row>
    <row r="398" spans="1:47" x14ac:dyDescent="0.25">
      <c r="A398" t="s">
        <v>362</v>
      </c>
      <c r="B398" t="s">
        <v>473</v>
      </c>
      <c r="C398" t="s">
        <v>320</v>
      </c>
      <c r="D398">
        <v>2026</v>
      </c>
      <c r="E398">
        <v>0</v>
      </c>
      <c r="F398">
        <v>15</v>
      </c>
      <c r="G398">
        <v>0</v>
      </c>
      <c r="H398">
        <v>0</v>
      </c>
      <c r="I398">
        <v>30</v>
      </c>
      <c r="J398">
        <v>45</v>
      </c>
      <c r="K398">
        <v>4</v>
      </c>
      <c r="L398">
        <v>2</v>
      </c>
      <c r="M398">
        <v>30</v>
      </c>
      <c r="N398">
        <v>0</v>
      </c>
      <c r="O398" t="s">
        <v>27</v>
      </c>
      <c r="P398" t="s">
        <v>443</v>
      </c>
      <c r="Q398">
        <v>2026</v>
      </c>
      <c r="R398">
        <v>2041</v>
      </c>
      <c r="S398" t="s">
        <v>444</v>
      </c>
      <c r="T398">
        <v>2033</v>
      </c>
      <c r="U398">
        <v>40.75</v>
      </c>
      <c r="V398">
        <v>1</v>
      </c>
      <c r="W398">
        <v>2033</v>
      </c>
      <c r="X398">
        <v>7</v>
      </c>
      <c r="Y398">
        <v>2033</v>
      </c>
      <c r="Z398">
        <v>1</v>
      </c>
      <c r="AA398">
        <v>120</v>
      </c>
      <c r="AB398">
        <v>180</v>
      </c>
      <c r="AC398">
        <v>120</v>
      </c>
      <c r="AD398">
        <v>180</v>
      </c>
      <c r="AE398">
        <v>0</v>
      </c>
      <c r="AF398">
        <v>0</v>
      </c>
      <c r="AG398">
        <v>120</v>
      </c>
      <c r="AH398">
        <v>180</v>
      </c>
      <c r="AI398">
        <v>1</v>
      </c>
      <c r="AJ398">
        <v>2.6880000000000002</v>
      </c>
      <c r="AK398">
        <v>2034</v>
      </c>
      <c r="AL398" s="61">
        <v>2.7519999999999998</v>
      </c>
      <c r="AM398" s="61">
        <v>2.6880000000000002</v>
      </c>
      <c r="AN398" s="61">
        <v>2.7519999999999998</v>
      </c>
      <c r="AO398">
        <v>1.1725143659072164</v>
      </c>
      <c r="AP398">
        <v>1.0274954447000768</v>
      </c>
      <c r="AQ398">
        <v>1.2047531698150638</v>
      </c>
      <c r="AR398" t="b">
        <v>0</v>
      </c>
      <c r="AS398">
        <v>99.605465257601821</v>
      </c>
      <c r="AT398">
        <v>149.40819788640275</v>
      </c>
      <c r="AU398">
        <v>124.50683157200228</v>
      </c>
    </row>
    <row r="399" spans="1:47" x14ac:dyDescent="0.25">
      <c r="A399" t="s">
        <v>362</v>
      </c>
      <c r="B399" t="s">
        <v>473</v>
      </c>
      <c r="C399" t="s">
        <v>320</v>
      </c>
      <c r="D399">
        <v>2026</v>
      </c>
      <c r="E399">
        <v>0</v>
      </c>
      <c r="F399">
        <v>15</v>
      </c>
      <c r="G399">
        <v>0</v>
      </c>
      <c r="H399">
        <v>0</v>
      </c>
      <c r="I399">
        <v>30</v>
      </c>
      <c r="J399">
        <v>45</v>
      </c>
      <c r="K399">
        <v>4</v>
      </c>
      <c r="L399">
        <v>2</v>
      </c>
      <c r="M399">
        <v>30</v>
      </c>
      <c r="N399">
        <v>0</v>
      </c>
      <c r="O399" t="s">
        <v>27</v>
      </c>
      <c r="P399" t="s">
        <v>443</v>
      </c>
      <c r="Q399">
        <v>2026</v>
      </c>
      <c r="R399">
        <v>2041</v>
      </c>
      <c r="S399" t="s">
        <v>444</v>
      </c>
      <c r="T399">
        <v>2034</v>
      </c>
      <c r="U399">
        <v>41.75</v>
      </c>
      <c r="V399">
        <v>1</v>
      </c>
      <c r="W399">
        <v>2034</v>
      </c>
      <c r="X399">
        <v>8</v>
      </c>
      <c r="Y399">
        <v>2034</v>
      </c>
      <c r="Z399">
        <v>1</v>
      </c>
      <c r="AA399">
        <v>120</v>
      </c>
      <c r="AB399">
        <v>180</v>
      </c>
      <c r="AC399">
        <v>120</v>
      </c>
      <c r="AD399">
        <v>180</v>
      </c>
      <c r="AE399">
        <v>0</v>
      </c>
      <c r="AF399">
        <v>0</v>
      </c>
      <c r="AG399">
        <v>120</v>
      </c>
      <c r="AH399">
        <v>180</v>
      </c>
      <c r="AI399">
        <v>1</v>
      </c>
      <c r="AJ399">
        <v>2.7519999999999998</v>
      </c>
      <c r="AK399">
        <v>2035</v>
      </c>
      <c r="AL399" s="61">
        <v>2.8420000000000001</v>
      </c>
      <c r="AM399" s="61">
        <v>2.7519999999999998</v>
      </c>
      <c r="AN399" s="61">
        <v>2.8420000000000001</v>
      </c>
      <c r="AO399">
        <v>1.2092942481281721</v>
      </c>
      <c r="AP399">
        <v>1.0283854649181425</v>
      </c>
      <c r="AQ399">
        <v>1.2436206275841259</v>
      </c>
      <c r="AR399" t="b">
        <v>0</v>
      </c>
      <c r="AS399">
        <v>96.492449014064363</v>
      </c>
      <c r="AT399">
        <v>144.73867352109656</v>
      </c>
      <c r="AU399">
        <v>120.61556126758046</v>
      </c>
    </row>
    <row r="400" spans="1:47" x14ac:dyDescent="0.25">
      <c r="A400" t="s">
        <v>362</v>
      </c>
      <c r="B400" t="s">
        <v>473</v>
      </c>
      <c r="C400" t="s">
        <v>320</v>
      </c>
      <c r="D400">
        <v>2026</v>
      </c>
      <c r="E400">
        <v>0</v>
      </c>
      <c r="F400">
        <v>15</v>
      </c>
      <c r="G400">
        <v>0</v>
      </c>
      <c r="H400">
        <v>0</v>
      </c>
      <c r="I400">
        <v>30</v>
      </c>
      <c r="J400">
        <v>45</v>
      </c>
      <c r="K400">
        <v>4</v>
      </c>
      <c r="L400">
        <v>2</v>
      </c>
      <c r="M400">
        <v>30</v>
      </c>
      <c r="N400">
        <v>0</v>
      </c>
      <c r="O400" t="s">
        <v>27</v>
      </c>
      <c r="P400" t="s">
        <v>443</v>
      </c>
      <c r="Q400">
        <v>2026</v>
      </c>
      <c r="R400">
        <v>2041</v>
      </c>
      <c r="S400" t="s">
        <v>444</v>
      </c>
      <c r="T400">
        <v>2035</v>
      </c>
      <c r="U400">
        <v>42.75</v>
      </c>
      <c r="V400">
        <v>1</v>
      </c>
      <c r="W400">
        <v>2035</v>
      </c>
      <c r="X400">
        <v>9</v>
      </c>
      <c r="Y400">
        <v>2035</v>
      </c>
      <c r="Z400">
        <v>1</v>
      </c>
      <c r="AA400">
        <v>120</v>
      </c>
      <c r="AB400">
        <v>180</v>
      </c>
      <c r="AC400">
        <v>120</v>
      </c>
      <c r="AD400">
        <v>180</v>
      </c>
      <c r="AE400">
        <v>0</v>
      </c>
      <c r="AF400">
        <v>0</v>
      </c>
      <c r="AG400">
        <v>120</v>
      </c>
      <c r="AH400">
        <v>180</v>
      </c>
      <c r="AI400">
        <v>1</v>
      </c>
      <c r="AJ400">
        <v>2.8420000000000001</v>
      </c>
      <c r="AK400">
        <v>2036</v>
      </c>
      <c r="AL400" s="61">
        <v>2.944</v>
      </c>
      <c r="AM400" s="61">
        <v>2.8420000000000001</v>
      </c>
      <c r="AN400" s="61">
        <v>2.944</v>
      </c>
      <c r="AO400">
        <v>1.2513076834571593</v>
      </c>
      <c r="AP400">
        <v>1.0294008580614105</v>
      </c>
      <c r="AQ400">
        <v>1.2880972030496356</v>
      </c>
      <c r="AR400" t="b">
        <v>0</v>
      </c>
      <c r="AS400">
        <v>93.160671194606977</v>
      </c>
      <c r="AT400">
        <v>139.74100679191045</v>
      </c>
      <c r="AU400">
        <v>116.45083899325871</v>
      </c>
    </row>
    <row r="401" spans="1:47" x14ac:dyDescent="0.25">
      <c r="A401" t="s">
        <v>362</v>
      </c>
      <c r="B401" t="s">
        <v>473</v>
      </c>
      <c r="C401" t="s">
        <v>320</v>
      </c>
      <c r="D401">
        <v>2026</v>
      </c>
      <c r="E401">
        <v>0</v>
      </c>
      <c r="F401">
        <v>15</v>
      </c>
      <c r="G401">
        <v>0</v>
      </c>
      <c r="H401">
        <v>0</v>
      </c>
      <c r="I401">
        <v>30</v>
      </c>
      <c r="J401">
        <v>45</v>
      </c>
      <c r="K401">
        <v>4</v>
      </c>
      <c r="L401">
        <v>2</v>
      </c>
      <c r="M401">
        <v>30</v>
      </c>
      <c r="N401">
        <v>0</v>
      </c>
      <c r="O401" t="s">
        <v>27</v>
      </c>
      <c r="P401" t="s">
        <v>443</v>
      </c>
      <c r="Q401">
        <v>2026</v>
      </c>
      <c r="R401">
        <v>2041</v>
      </c>
      <c r="S401" t="s">
        <v>444</v>
      </c>
      <c r="T401">
        <v>2036</v>
      </c>
      <c r="U401">
        <v>43.75</v>
      </c>
      <c r="V401">
        <v>1</v>
      </c>
      <c r="W401">
        <v>2036</v>
      </c>
      <c r="X401">
        <v>10</v>
      </c>
      <c r="Y401">
        <v>2036</v>
      </c>
      <c r="Z401">
        <v>1</v>
      </c>
      <c r="AA401">
        <v>120</v>
      </c>
      <c r="AB401">
        <v>180</v>
      </c>
      <c r="AC401">
        <v>120</v>
      </c>
      <c r="AD401">
        <v>180</v>
      </c>
      <c r="AE401">
        <v>0</v>
      </c>
      <c r="AF401">
        <v>0</v>
      </c>
      <c r="AG401">
        <v>120</v>
      </c>
      <c r="AH401">
        <v>180</v>
      </c>
      <c r="AI401">
        <v>1</v>
      </c>
      <c r="AJ401">
        <v>2.944</v>
      </c>
      <c r="AK401">
        <v>2037</v>
      </c>
      <c r="AL401" s="61">
        <v>3.036</v>
      </c>
      <c r="AM401" s="61">
        <v>2.944</v>
      </c>
      <c r="AN401" s="61">
        <v>3.036</v>
      </c>
      <c r="AO401">
        <v>1.2984025298030446</v>
      </c>
      <c r="AP401">
        <v>1.0303246971701443</v>
      </c>
      <c r="AQ401">
        <v>1.3377761933242711</v>
      </c>
      <c r="AR401" t="b">
        <v>0</v>
      </c>
      <c r="AS401">
        <v>89.701102919023555</v>
      </c>
      <c r="AT401">
        <v>134.55165437853535</v>
      </c>
      <c r="AU401">
        <v>112.12637864877945</v>
      </c>
    </row>
    <row r="402" spans="1:47" x14ac:dyDescent="0.25">
      <c r="A402" t="s">
        <v>362</v>
      </c>
      <c r="B402" t="s">
        <v>473</v>
      </c>
      <c r="C402" t="s">
        <v>320</v>
      </c>
      <c r="D402">
        <v>2026</v>
      </c>
      <c r="E402">
        <v>0</v>
      </c>
      <c r="F402">
        <v>15</v>
      </c>
      <c r="G402">
        <v>0</v>
      </c>
      <c r="H402">
        <v>0</v>
      </c>
      <c r="I402">
        <v>30</v>
      </c>
      <c r="J402">
        <v>45</v>
      </c>
      <c r="K402">
        <v>4</v>
      </c>
      <c r="L402">
        <v>2</v>
      </c>
      <c r="M402">
        <v>30</v>
      </c>
      <c r="N402">
        <v>0</v>
      </c>
      <c r="O402" t="s">
        <v>27</v>
      </c>
      <c r="P402" t="s">
        <v>443</v>
      </c>
      <c r="Q402">
        <v>2026</v>
      </c>
      <c r="R402">
        <v>2041</v>
      </c>
      <c r="S402" t="s">
        <v>444</v>
      </c>
      <c r="T402">
        <v>2037</v>
      </c>
      <c r="U402">
        <v>44.75</v>
      </c>
      <c r="V402">
        <v>1</v>
      </c>
      <c r="W402">
        <v>2037</v>
      </c>
      <c r="X402">
        <v>11</v>
      </c>
      <c r="Y402">
        <v>2037</v>
      </c>
      <c r="Z402">
        <v>1</v>
      </c>
      <c r="AA402">
        <v>120</v>
      </c>
      <c r="AB402">
        <v>180</v>
      </c>
      <c r="AC402">
        <v>120</v>
      </c>
      <c r="AD402">
        <v>180</v>
      </c>
      <c r="AE402">
        <v>0</v>
      </c>
      <c r="AF402">
        <v>0</v>
      </c>
      <c r="AG402">
        <v>120</v>
      </c>
      <c r="AH402">
        <v>180</v>
      </c>
      <c r="AI402">
        <v>1</v>
      </c>
      <c r="AJ402">
        <v>3.036</v>
      </c>
      <c r="AK402">
        <v>2038</v>
      </c>
      <c r="AL402" s="61">
        <v>3.1339999999999999</v>
      </c>
      <c r="AM402" s="61">
        <v>3.036</v>
      </c>
      <c r="AN402" s="61">
        <v>3.1339999999999999</v>
      </c>
      <c r="AO402">
        <v>1.3486209574989538</v>
      </c>
      <c r="AP402">
        <v>1.0313023937742947</v>
      </c>
      <c r="AQ402">
        <v>1.3908360217628524</v>
      </c>
      <c r="AR402" t="b">
        <v>0</v>
      </c>
      <c r="AS402">
        <v>86.279042333044259</v>
      </c>
      <c r="AT402">
        <v>129.41856349956637</v>
      </c>
      <c r="AU402">
        <v>107.84880291630532</v>
      </c>
    </row>
    <row r="403" spans="1:47" x14ac:dyDescent="0.25">
      <c r="A403" t="s">
        <v>362</v>
      </c>
      <c r="B403" t="s">
        <v>473</v>
      </c>
      <c r="C403" t="s">
        <v>320</v>
      </c>
      <c r="D403">
        <v>2026</v>
      </c>
      <c r="E403">
        <v>0</v>
      </c>
      <c r="F403">
        <v>15</v>
      </c>
      <c r="G403">
        <v>0</v>
      </c>
      <c r="H403">
        <v>0</v>
      </c>
      <c r="I403">
        <v>30</v>
      </c>
      <c r="J403">
        <v>45</v>
      </c>
      <c r="K403">
        <v>4</v>
      </c>
      <c r="L403">
        <v>2</v>
      </c>
      <c r="M403">
        <v>30</v>
      </c>
      <c r="N403">
        <v>0</v>
      </c>
      <c r="O403" t="s">
        <v>27</v>
      </c>
      <c r="P403" t="s">
        <v>443</v>
      </c>
      <c r="Q403">
        <v>2026</v>
      </c>
      <c r="R403">
        <v>2041</v>
      </c>
      <c r="S403" t="s">
        <v>444</v>
      </c>
      <c r="T403">
        <v>2038</v>
      </c>
      <c r="U403">
        <v>45.75</v>
      </c>
      <c r="V403">
        <v>1</v>
      </c>
      <c r="W403">
        <v>2038</v>
      </c>
      <c r="X403">
        <v>12</v>
      </c>
      <c r="Y403">
        <v>2038</v>
      </c>
      <c r="Z403">
        <v>1</v>
      </c>
      <c r="AA403">
        <v>120</v>
      </c>
      <c r="AB403">
        <v>180</v>
      </c>
      <c r="AC403">
        <v>120</v>
      </c>
      <c r="AD403">
        <v>180</v>
      </c>
      <c r="AE403">
        <v>0</v>
      </c>
      <c r="AF403">
        <v>0</v>
      </c>
      <c r="AG403">
        <v>120</v>
      </c>
      <c r="AH403">
        <v>180</v>
      </c>
      <c r="AI403">
        <v>1</v>
      </c>
      <c r="AJ403">
        <v>3.1339999999999999</v>
      </c>
      <c r="AK403">
        <v>2039</v>
      </c>
      <c r="AL403" s="61">
        <v>3.2069999999999999</v>
      </c>
      <c r="AM403" s="61">
        <v>3.1339999999999999</v>
      </c>
      <c r="AN403" s="61">
        <v>3.2069999999999999</v>
      </c>
      <c r="AO403">
        <v>1.4041725591738043</v>
      </c>
      <c r="AP403">
        <v>1.0320419904729838</v>
      </c>
      <c r="AQ403">
        <v>1.4491650429372767</v>
      </c>
      <c r="AR403" t="b">
        <v>0</v>
      </c>
      <c r="AS403">
        <v>82.806303246713</v>
      </c>
      <c r="AT403">
        <v>124.20945487006951</v>
      </c>
      <c r="AU403">
        <v>103.50787905839125</v>
      </c>
    </row>
    <row r="404" spans="1:47" x14ac:dyDescent="0.25">
      <c r="A404" t="s">
        <v>362</v>
      </c>
      <c r="B404" t="s">
        <v>473</v>
      </c>
      <c r="C404" t="s">
        <v>320</v>
      </c>
      <c r="D404">
        <v>2026</v>
      </c>
      <c r="E404">
        <v>0</v>
      </c>
      <c r="F404">
        <v>15</v>
      </c>
      <c r="G404">
        <v>0</v>
      </c>
      <c r="H404">
        <v>0</v>
      </c>
      <c r="I404">
        <v>30</v>
      </c>
      <c r="J404">
        <v>45</v>
      </c>
      <c r="K404">
        <v>4</v>
      </c>
      <c r="L404">
        <v>2</v>
      </c>
      <c r="M404">
        <v>30</v>
      </c>
      <c r="N404">
        <v>0</v>
      </c>
      <c r="O404" t="s">
        <v>27</v>
      </c>
      <c r="P404" t="s">
        <v>443</v>
      </c>
      <c r="Q404">
        <v>2026</v>
      </c>
      <c r="R404">
        <v>2041</v>
      </c>
      <c r="S404" t="s">
        <v>444</v>
      </c>
      <c r="T404">
        <v>2039</v>
      </c>
      <c r="U404">
        <v>46.75</v>
      </c>
      <c r="V404">
        <v>1</v>
      </c>
      <c r="W404">
        <v>2039</v>
      </c>
      <c r="X404">
        <v>13</v>
      </c>
      <c r="Y404">
        <v>2039</v>
      </c>
      <c r="Z404">
        <v>1</v>
      </c>
      <c r="AA404">
        <v>120</v>
      </c>
      <c r="AB404">
        <v>180</v>
      </c>
      <c r="AC404">
        <v>120</v>
      </c>
      <c r="AD404">
        <v>180</v>
      </c>
      <c r="AE404">
        <v>0</v>
      </c>
      <c r="AF404">
        <v>0</v>
      </c>
      <c r="AG404">
        <v>120</v>
      </c>
      <c r="AH404">
        <v>180</v>
      </c>
      <c r="AI404">
        <v>1</v>
      </c>
      <c r="AJ404">
        <v>3.2069999999999999</v>
      </c>
      <c r="AK404">
        <v>2040</v>
      </c>
      <c r="AL404" s="61">
        <v>3.3029999999999999</v>
      </c>
      <c r="AM404" s="61">
        <v>3.2069999999999999</v>
      </c>
      <c r="AN404" s="61">
        <v>3.3029999999999999</v>
      </c>
      <c r="AO404">
        <v>1.4605278779269859</v>
      </c>
      <c r="AP404">
        <v>1.0329931616190409</v>
      </c>
      <c r="AQ404">
        <v>1.5087153102525457</v>
      </c>
      <c r="AR404" t="b">
        <v>0</v>
      </c>
      <c r="AS404">
        <v>79.537868532608087</v>
      </c>
      <c r="AT404">
        <v>119.30680279891213</v>
      </c>
      <c r="AU404">
        <v>99.422335665760102</v>
      </c>
    </row>
    <row r="405" spans="1:47" x14ac:dyDescent="0.25">
      <c r="A405" t="s">
        <v>362</v>
      </c>
      <c r="B405" t="s">
        <v>473</v>
      </c>
      <c r="C405" t="s">
        <v>320</v>
      </c>
      <c r="D405">
        <v>2026</v>
      </c>
      <c r="E405">
        <v>0</v>
      </c>
      <c r="F405">
        <v>15</v>
      </c>
      <c r="G405">
        <v>0</v>
      </c>
      <c r="H405">
        <v>0</v>
      </c>
      <c r="I405">
        <v>30</v>
      </c>
      <c r="J405">
        <v>45</v>
      </c>
      <c r="K405">
        <v>4</v>
      </c>
      <c r="L405">
        <v>2</v>
      </c>
      <c r="M405">
        <v>30</v>
      </c>
      <c r="N405">
        <v>0</v>
      </c>
      <c r="O405" t="s">
        <v>27</v>
      </c>
      <c r="P405" t="s">
        <v>443</v>
      </c>
      <c r="Q405">
        <v>2026</v>
      </c>
      <c r="R405">
        <v>2041</v>
      </c>
      <c r="S405" t="s">
        <v>444</v>
      </c>
      <c r="T405">
        <v>2040</v>
      </c>
      <c r="U405">
        <v>47.75</v>
      </c>
      <c r="V405">
        <v>1</v>
      </c>
      <c r="W405">
        <v>2040</v>
      </c>
      <c r="X405">
        <v>14</v>
      </c>
      <c r="Y405">
        <v>2040</v>
      </c>
      <c r="Z405">
        <v>1</v>
      </c>
      <c r="AA405">
        <v>120</v>
      </c>
      <c r="AB405">
        <v>180</v>
      </c>
      <c r="AC405">
        <v>120</v>
      </c>
      <c r="AD405">
        <v>180</v>
      </c>
      <c r="AE405">
        <v>0</v>
      </c>
      <c r="AF405">
        <v>0</v>
      </c>
      <c r="AG405">
        <v>120</v>
      </c>
      <c r="AH405">
        <v>180</v>
      </c>
      <c r="AI405">
        <v>1</v>
      </c>
      <c r="AJ405">
        <v>3.3029999999999999</v>
      </c>
      <c r="AK405">
        <v>2041</v>
      </c>
      <c r="AL405" s="61">
        <v>3.3559999999999999</v>
      </c>
      <c r="AM405" s="61">
        <v>3.3029999999999999</v>
      </c>
      <c r="AN405" s="61">
        <v>3.3559999999999999</v>
      </c>
      <c r="AO405">
        <v>1.5256964700083253</v>
      </c>
      <c r="AP405">
        <v>1.0335396662189136</v>
      </c>
      <c r="AQ405">
        <v>1.5768678203637791</v>
      </c>
      <c r="AR405" t="b">
        <v>0</v>
      </c>
      <c r="AS405">
        <v>76.100227584272929</v>
      </c>
      <c r="AT405">
        <v>114.1503413764094</v>
      </c>
      <c r="AU405">
        <v>95.125284480341165</v>
      </c>
    </row>
    <row r="406" spans="1:47" x14ac:dyDescent="0.25">
      <c r="A406" t="s">
        <v>362</v>
      </c>
      <c r="B406" t="s">
        <v>473</v>
      </c>
      <c r="C406" t="s">
        <v>320</v>
      </c>
      <c r="D406">
        <v>2026</v>
      </c>
      <c r="E406">
        <v>0</v>
      </c>
      <c r="M406">
        <v>30</v>
      </c>
      <c r="Q406">
        <v>2026</v>
      </c>
      <c r="R406">
        <v>2041</v>
      </c>
      <c r="T406">
        <v>2041</v>
      </c>
      <c r="U406">
        <v>48.75</v>
      </c>
      <c r="W406">
        <v>2041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L406" s="61"/>
      <c r="AS406">
        <v>0</v>
      </c>
      <c r="AT406">
        <v>0</v>
      </c>
      <c r="AU406">
        <v>0</v>
      </c>
    </row>
    <row r="407" spans="1:47" x14ac:dyDescent="0.25">
      <c r="A407" t="s">
        <v>336</v>
      </c>
      <c r="B407" t="s">
        <v>474</v>
      </c>
      <c r="C407" t="s">
        <v>319</v>
      </c>
      <c r="D407">
        <v>2026</v>
      </c>
      <c r="E407">
        <v>0</v>
      </c>
      <c r="F407">
        <v>10</v>
      </c>
      <c r="G407">
        <v>0</v>
      </c>
      <c r="H407">
        <v>0</v>
      </c>
      <c r="I407">
        <v>50</v>
      </c>
      <c r="J407">
        <v>250</v>
      </c>
      <c r="K407">
        <v>1</v>
      </c>
      <c r="L407">
        <v>1</v>
      </c>
      <c r="M407">
        <v>31</v>
      </c>
      <c r="N407">
        <v>0</v>
      </c>
      <c r="O407" t="s">
        <v>27</v>
      </c>
      <c r="P407" t="s">
        <v>443</v>
      </c>
      <c r="Q407">
        <v>2026</v>
      </c>
      <c r="R407">
        <v>2036</v>
      </c>
      <c r="S407" t="s">
        <v>444</v>
      </c>
      <c r="T407">
        <v>2026</v>
      </c>
      <c r="U407">
        <v>33.75</v>
      </c>
      <c r="V407">
        <v>1</v>
      </c>
      <c r="W407">
        <v>2026</v>
      </c>
      <c r="X407">
        <v>0</v>
      </c>
      <c r="Y407">
        <v>2026</v>
      </c>
      <c r="Z407">
        <v>1</v>
      </c>
      <c r="AA407">
        <v>50</v>
      </c>
      <c r="AB407">
        <v>250</v>
      </c>
      <c r="AC407">
        <v>50</v>
      </c>
      <c r="AD407">
        <v>250</v>
      </c>
      <c r="AE407">
        <v>0</v>
      </c>
      <c r="AF407">
        <v>0</v>
      </c>
      <c r="AG407">
        <v>50</v>
      </c>
      <c r="AH407">
        <v>250</v>
      </c>
      <c r="AI407">
        <v>1</v>
      </c>
      <c r="AK407">
        <v>2027</v>
      </c>
      <c r="AL407" s="61">
        <v>2.4329999999999998</v>
      </c>
      <c r="AM407" s="61">
        <v>0</v>
      </c>
      <c r="AN407" s="61">
        <v>2.4329999999999998</v>
      </c>
      <c r="AO407">
        <v>1</v>
      </c>
      <c r="AP407">
        <v>1.023385968321771</v>
      </c>
      <c r="AQ407">
        <v>1.023385968321771</v>
      </c>
      <c r="AR407" t="b">
        <v>1</v>
      </c>
      <c r="AS407">
        <v>50</v>
      </c>
      <c r="AT407">
        <v>250</v>
      </c>
      <c r="AU407">
        <v>150</v>
      </c>
    </row>
    <row r="408" spans="1:47" x14ac:dyDescent="0.25">
      <c r="A408" t="s">
        <v>336</v>
      </c>
      <c r="B408" t="s">
        <v>474</v>
      </c>
      <c r="C408" t="s">
        <v>319</v>
      </c>
      <c r="D408">
        <v>2026</v>
      </c>
      <c r="E408">
        <v>0</v>
      </c>
      <c r="F408">
        <v>10</v>
      </c>
      <c r="G408">
        <v>0</v>
      </c>
      <c r="H408">
        <v>0</v>
      </c>
      <c r="I408">
        <v>50</v>
      </c>
      <c r="J408">
        <v>250</v>
      </c>
      <c r="K408">
        <v>1</v>
      </c>
      <c r="L408">
        <v>1</v>
      </c>
      <c r="M408">
        <v>31</v>
      </c>
      <c r="N408">
        <v>0</v>
      </c>
      <c r="O408" t="s">
        <v>27</v>
      </c>
      <c r="P408" t="s">
        <v>443</v>
      </c>
      <c r="Q408">
        <v>2026</v>
      </c>
      <c r="R408">
        <v>2036</v>
      </c>
      <c r="S408" t="s">
        <v>444</v>
      </c>
      <c r="T408">
        <v>2027</v>
      </c>
      <c r="U408">
        <v>34.75</v>
      </c>
      <c r="V408">
        <v>1</v>
      </c>
      <c r="W408">
        <v>2027</v>
      </c>
      <c r="X408">
        <v>1</v>
      </c>
      <c r="Y408">
        <v>2027</v>
      </c>
      <c r="Z408">
        <v>1</v>
      </c>
      <c r="AA408">
        <v>50</v>
      </c>
      <c r="AB408">
        <v>250</v>
      </c>
      <c r="AC408">
        <v>50</v>
      </c>
      <c r="AD408">
        <v>250</v>
      </c>
      <c r="AE408">
        <v>0</v>
      </c>
      <c r="AF408">
        <v>0</v>
      </c>
      <c r="AG408">
        <v>50</v>
      </c>
      <c r="AH408">
        <v>250</v>
      </c>
      <c r="AI408">
        <v>1</v>
      </c>
      <c r="AJ408">
        <v>2.4329999999999998</v>
      </c>
      <c r="AK408">
        <v>2028</v>
      </c>
      <c r="AL408" s="61">
        <v>2.4220000000000002</v>
      </c>
      <c r="AM408" s="61">
        <v>2.4329999999999998</v>
      </c>
      <c r="AN408" s="61">
        <v>2.4220000000000002</v>
      </c>
      <c r="AO408">
        <v>1</v>
      </c>
      <c r="AP408">
        <v>1.0242242189602202</v>
      </c>
      <c r="AQ408">
        <v>1.0242242189602202</v>
      </c>
      <c r="AR408" t="b">
        <v>0</v>
      </c>
      <c r="AS408">
        <v>48.817435747379008</v>
      </c>
      <c r="AT408">
        <v>244.08717873689505</v>
      </c>
      <c r="AU408">
        <v>146.45230724213704</v>
      </c>
    </row>
    <row r="409" spans="1:47" x14ac:dyDescent="0.25">
      <c r="A409" t="s">
        <v>336</v>
      </c>
      <c r="B409" t="s">
        <v>474</v>
      </c>
      <c r="C409" t="s">
        <v>319</v>
      </c>
      <c r="D409">
        <v>2026</v>
      </c>
      <c r="E409">
        <v>0</v>
      </c>
      <c r="F409">
        <v>10</v>
      </c>
      <c r="G409">
        <v>0</v>
      </c>
      <c r="H409">
        <v>0</v>
      </c>
      <c r="I409">
        <v>50</v>
      </c>
      <c r="J409">
        <v>250</v>
      </c>
      <c r="K409">
        <v>1</v>
      </c>
      <c r="L409">
        <v>1</v>
      </c>
      <c r="M409">
        <v>31</v>
      </c>
      <c r="N409">
        <v>0</v>
      </c>
      <c r="O409" t="s">
        <v>27</v>
      </c>
      <c r="P409" t="s">
        <v>443</v>
      </c>
      <c r="Q409">
        <v>2026</v>
      </c>
      <c r="R409">
        <v>2036</v>
      </c>
      <c r="S409" t="s">
        <v>444</v>
      </c>
      <c r="T409">
        <v>2028</v>
      </c>
      <c r="U409">
        <v>35.75</v>
      </c>
      <c r="V409">
        <v>1</v>
      </c>
      <c r="W409">
        <v>2028</v>
      </c>
      <c r="X409">
        <v>2</v>
      </c>
      <c r="Y409">
        <v>2028</v>
      </c>
      <c r="Z409">
        <v>1</v>
      </c>
      <c r="AA409">
        <v>50</v>
      </c>
      <c r="AB409">
        <v>250</v>
      </c>
      <c r="AC409">
        <v>50</v>
      </c>
      <c r="AD409">
        <v>250</v>
      </c>
      <c r="AE409">
        <v>0</v>
      </c>
      <c r="AF409">
        <v>0</v>
      </c>
      <c r="AG409">
        <v>50</v>
      </c>
      <c r="AH409">
        <v>250</v>
      </c>
      <c r="AI409">
        <v>1</v>
      </c>
      <c r="AJ409">
        <v>2.4220000000000002</v>
      </c>
      <c r="AK409">
        <v>2029</v>
      </c>
      <c r="AL409" s="61">
        <v>2.4209999999999998</v>
      </c>
      <c r="AM409" s="61">
        <v>2.4220000000000002</v>
      </c>
      <c r="AN409" s="61">
        <v>2.4209999999999998</v>
      </c>
      <c r="AO409">
        <v>1.0242199999999999</v>
      </c>
      <c r="AP409">
        <v>1.0242103835598433</v>
      </c>
      <c r="AQ409">
        <v>1.0490167590496626</v>
      </c>
      <c r="AR409" t="b">
        <v>0</v>
      </c>
      <c r="AS409">
        <v>47.66368084080618</v>
      </c>
      <c r="AT409">
        <v>238.31840420403091</v>
      </c>
      <c r="AU409">
        <v>142.99104252241855</v>
      </c>
    </row>
    <row r="410" spans="1:47" x14ac:dyDescent="0.25">
      <c r="A410" t="s">
        <v>336</v>
      </c>
      <c r="B410" t="s">
        <v>474</v>
      </c>
      <c r="C410" t="s">
        <v>319</v>
      </c>
      <c r="D410">
        <v>2026</v>
      </c>
      <c r="E410">
        <v>0</v>
      </c>
      <c r="F410">
        <v>10</v>
      </c>
      <c r="G410">
        <v>0</v>
      </c>
      <c r="H410">
        <v>0</v>
      </c>
      <c r="I410">
        <v>50</v>
      </c>
      <c r="J410">
        <v>250</v>
      </c>
      <c r="K410">
        <v>1</v>
      </c>
      <c r="L410">
        <v>1</v>
      </c>
      <c r="M410">
        <v>31</v>
      </c>
      <c r="N410">
        <v>0</v>
      </c>
      <c r="O410" t="s">
        <v>27</v>
      </c>
      <c r="P410" t="s">
        <v>443</v>
      </c>
      <c r="Q410">
        <v>2026</v>
      </c>
      <c r="R410">
        <v>2036</v>
      </c>
      <c r="S410" t="s">
        <v>444</v>
      </c>
      <c r="T410">
        <v>2029</v>
      </c>
      <c r="U410">
        <v>36.75</v>
      </c>
      <c r="V410">
        <v>1</v>
      </c>
      <c r="W410">
        <v>2029</v>
      </c>
      <c r="X410">
        <v>3</v>
      </c>
      <c r="Y410">
        <v>2029</v>
      </c>
      <c r="Z410">
        <v>1</v>
      </c>
      <c r="AA410">
        <v>50</v>
      </c>
      <c r="AB410">
        <v>250</v>
      </c>
      <c r="AC410">
        <v>50</v>
      </c>
      <c r="AD410">
        <v>250</v>
      </c>
      <c r="AE410">
        <v>0</v>
      </c>
      <c r="AF410">
        <v>0</v>
      </c>
      <c r="AG410">
        <v>50</v>
      </c>
      <c r="AH410">
        <v>250</v>
      </c>
      <c r="AI410">
        <v>1</v>
      </c>
      <c r="AJ410">
        <v>2.4209999999999998</v>
      </c>
      <c r="AK410">
        <v>2030</v>
      </c>
      <c r="AL410" s="61">
        <v>2.4670000000000001</v>
      </c>
      <c r="AM410" s="61">
        <v>2.4209999999999998</v>
      </c>
      <c r="AN410" s="61">
        <v>2.4670000000000001</v>
      </c>
      <c r="AO410">
        <v>1.0490061241000002</v>
      </c>
      <c r="AP410">
        <v>1.0246523523547908</v>
      </c>
      <c r="AQ410">
        <v>1.0748665926936467</v>
      </c>
      <c r="AR410" t="b">
        <v>0</v>
      </c>
      <c r="AS410">
        <v>46.517400708025129</v>
      </c>
      <c r="AT410">
        <v>232.58700354012564</v>
      </c>
      <c r="AU410">
        <v>139.55220212407539</v>
      </c>
    </row>
    <row r="411" spans="1:47" x14ac:dyDescent="0.25">
      <c r="A411" t="s">
        <v>336</v>
      </c>
      <c r="B411" t="s">
        <v>474</v>
      </c>
      <c r="C411" t="s">
        <v>319</v>
      </c>
      <c r="D411">
        <v>2026</v>
      </c>
      <c r="E411">
        <v>0</v>
      </c>
      <c r="F411">
        <v>10</v>
      </c>
      <c r="G411">
        <v>0</v>
      </c>
      <c r="H411">
        <v>0</v>
      </c>
      <c r="I411">
        <v>50</v>
      </c>
      <c r="J411">
        <v>250</v>
      </c>
      <c r="K411">
        <v>1</v>
      </c>
      <c r="L411">
        <v>1</v>
      </c>
      <c r="M411">
        <v>31</v>
      </c>
      <c r="N411">
        <v>0</v>
      </c>
      <c r="O411" t="s">
        <v>27</v>
      </c>
      <c r="P411" t="s">
        <v>443</v>
      </c>
      <c r="Q411">
        <v>2026</v>
      </c>
      <c r="R411">
        <v>2036</v>
      </c>
      <c r="S411" t="s">
        <v>444</v>
      </c>
      <c r="T411">
        <v>2030</v>
      </c>
      <c r="U411">
        <v>37.75</v>
      </c>
      <c r="V411">
        <v>1</v>
      </c>
      <c r="W411">
        <v>2030</v>
      </c>
      <c r="X411">
        <v>4</v>
      </c>
      <c r="Y411">
        <v>2030</v>
      </c>
      <c r="Z411">
        <v>1</v>
      </c>
      <c r="AA411">
        <v>50</v>
      </c>
      <c r="AB411">
        <v>250</v>
      </c>
      <c r="AC411">
        <v>50</v>
      </c>
      <c r="AD411">
        <v>250</v>
      </c>
      <c r="AE411">
        <v>0</v>
      </c>
      <c r="AF411">
        <v>0</v>
      </c>
      <c r="AG411">
        <v>50</v>
      </c>
      <c r="AH411">
        <v>250</v>
      </c>
      <c r="AI411">
        <v>1</v>
      </c>
      <c r="AJ411">
        <v>2.4670000000000001</v>
      </c>
      <c r="AK411">
        <v>2031</v>
      </c>
      <c r="AL411" s="61">
        <v>2.5169999999999999</v>
      </c>
      <c r="AM411" s="61">
        <v>2.4670000000000001</v>
      </c>
      <c r="AN411" s="61">
        <v>2.5169999999999999</v>
      </c>
      <c r="AO411">
        <v>1.0758508410815628</v>
      </c>
      <c r="AP411">
        <v>1.0251508174189523</v>
      </c>
      <c r="AQ411">
        <v>1.1029093691556315</v>
      </c>
      <c r="AR411" t="b">
        <v>0</v>
      </c>
      <c r="AS411">
        <v>45.334640722364284</v>
      </c>
      <c r="AT411">
        <v>226.67320361182144</v>
      </c>
      <c r="AU411">
        <v>136.00392216709287</v>
      </c>
    </row>
    <row r="412" spans="1:47" x14ac:dyDescent="0.25">
      <c r="A412" t="s">
        <v>336</v>
      </c>
      <c r="B412" t="s">
        <v>474</v>
      </c>
      <c r="C412" t="s">
        <v>319</v>
      </c>
      <c r="D412">
        <v>2026</v>
      </c>
      <c r="E412">
        <v>0</v>
      </c>
      <c r="F412">
        <v>10</v>
      </c>
      <c r="G412">
        <v>0</v>
      </c>
      <c r="H412">
        <v>0</v>
      </c>
      <c r="I412">
        <v>50</v>
      </c>
      <c r="J412">
        <v>250</v>
      </c>
      <c r="K412">
        <v>1</v>
      </c>
      <c r="L412">
        <v>1</v>
      </c>
      <c r="M412">
        <v>31</v>
      </c>
      <c r="N412">
        <v>0</v>
      </c>
      <c r="O412" t="s">
        <v>27</v>
      </c>
      <c r="P412" t="s">
        <v>443</v>
      </c>
      <c r="Q412">
        <v>2026</v>
      </c>
      <c r="R412">
        <v>2036</v>
      </c>
      <c r="S412" t="s">
        <v>444</v>
      </c>
      <c r="T412">
        <v>2031</v>
      </c>
      <c r="U412">
        <v>38.75</v>
      </c>
      <c r="V412">
        <v>1</v>
      </c>
      <c r="W412">
        <v>2031</v>
      </c>
      <c r="X412">
        <v>5</v>
      </c>
      <c r="Y412">
        <v>2031</v>
      </c>
      <c r="Z412">
        <v>1</v>
      </c>
      <c r="AA412">
        <v>50</v>
      </c>
      <c r="AB412">
        <v>250</v>
      </c>
      <c r="AC412">
        <v>50</v>
      </c>
      <c r="AD412">
        <v>250</v>
      </c>
      <c r="AE412">
        <v>0</v>
      </c>
      <c r="AF412">
        <v>0</v>
      </c>
      <c r="AG412">
        <v>50</v>
      </c>
      <c r="AH412">
        <v>250</v>
      </c>
      <c r="AI412">
        <v>1</v>
      </c>
      <c r="AJ412">
        <v>2.5169999999999999</v>
      </c>
      <c r="AK412">
        <v>2032</v>
      </c>
      <c r="AL412" s="61">
        <v>2.59</v>
      </c>
      <c r="AM412" s="61">
        <v>2.5169999999999999</v>
      </c>
      <c r="AN412" s="61">
        <v>2.59</v>
      </c>
      <c r="AO412">
        <v>1.1045453584485188</v>
      </c>
      <c r="AP412">
        <v>1.0258719904156592</v>
      </c>
      <c r="AQ412">
        <v>1.1331221453759597</v>
      </c>
      <c r="AR412" t="b">
        <v>0</v>
      </c>
      <c r="AS412">
        <v>44.125869575526167</v>
      </c>
      <c r="AT412">
        <v>220.62934787763083</v>
      </c>
      <c r="AU412">
        <v>132.3776087265785</v>
      </c>
    </row>
    <row r="413" spans="1:47" x14ac:dyDescent="0.25">
      <c r="A413" t="s">
        <v>336</v>
      </c>
      <c r="B413" t="s">
        <v>474</v>
      </c>
      <c r="C413" t="s">
        <v>319</v>
      </c>
      <c r="D413">
        <v>2026</v>
      </c>
      <c r="E413">
        <v>0</v>
      </c>
      <c r="F413">
        <v>10</v>
      </c>
      <c r="G413">
        <v>0</v>
      </c>
      <c r="H413">
        <v>0</v>
      </c>
      <c r="I413">
        <v>50</v>
      </c>
      <c r="J413">
        <v>250</v>
      </c>
      <c r="K413">
        <v>1</v>
      </c>
      <c r="L413">
        <v>1</v>
      </c>
      <c r="M413">
        <v>31</v>
      </c>
      <c r="N413">
        <v>0</v>
      </c>
      <c r="O413" t="s">
        <v>27</v>
      </c>
      <c r="P413" t="s">
        <v>443</v>
      </c>
      <c r="Q413">
        <v>2026</v>
      </c>
      <c r="R413">
        <v>2036</v>
      </c>
      <c r="S413" t="s">
        <v>444</v>
      </c>
      <c r="T413">
        <v>2032</v>
      </c>
      <c r="U413">
        <v>39.75</v>
      </c>
      <c r="V413">
        <v>1</v>
      </c>
      <c r="W413">
        <v>2032</v>
      </c>
      <c r="X413">
        <v>6</v>
      </c>
      <c r="Y413">
        <v>2032</v>
      </c>
      <c r="Z413">
        <v>1</v>
      </c>
      <c r="AA413">
        <v>50</v>
      </c>
      <c r="AB413">
        <v>250</v>
      </c>
      <c r="AC413">
        <v>50</v>
      </c>
      <c r="AD413">
        <v>250</v>
      </c>
      <c r="AE413">
        <v>0</v>
      </c>
      <c r="AF413">
        <v>0</v>
      </c>
      <c r="AG413">
        <v>50</v>
      </c>
      <c r="AH413">
        <v>250</v>
      </c>
      <c r="AI413">
        <v>1</v>
      </c>
      <c r="AJ413">
        <v>2.59</v>
      </c>
      <c r="AK413">
        <v>2033</v>
      </c>
      <c r="AL413" s="61">
        <v>2.6880000000000002</v>
      </c>
      <c r="AM413" s="61">
        <v>2.59</v>
      </c>
      <c r="AN413" s="61">
        <v>2.6880000000000002</v>
      </c>
      <c r="AO413">
        <v>1.1363841013749196</v>
      </c>
      <c r="AP413">
        <v>1.0268423936996114</v>
      </c>
      <c r="AQ413">
        <v>1.1668873708180043</v>
      </c>
      <c r="AR413" t="b">
        <v>0</v>
      </c>
      <c r="AS413">
        <v>42.849036891151975</v>
      </c>
      <c r="AT413">
        <v>214.24518445575987</v>
      </c>
      <c r="AU413">
        <v>128.54711067345593</v>
      </c>
    </row>
    <row r="414" spans="1:47" x14ac:dyDescent="0.25">
      <c r="A414" t="s">
        <v>336</v>
      </c>
      <c r="B414" t="s">
        <v>474</v>
      </c>
      <c r="C414" t="s">
        <v>319</v>
      </c>
      <c r="D414">
        <v>2026</v>
      </c>
      <c r="E414">
        <v>0</v>
      </c>
      <c r="F414">
        <v>10</v>
      </c>
      <c r="G414">
        <v>0</v>
      </c>
      <c r="H414">
        <v>0</v>
      </c>
      <c r="I414">
        <v>50</v>
      </c>
      <c r="J414">
        <v>250</v>
      </c>
      <c r="K414">
        <v>1</v>
      </c>
      <c r="L414">
        <v>1</v>
      </c>
      <c r="M414">
        <v>31</v>
      </c>
      <c r="N414">
        <v>0</v>
      </c>
      <c r="O414" t="s">
        <v>27</v>
      </c>
      <c r="P414" t="s">
        <v>443</v>
      </c>
      <c r="Q414">
        <v>2026</v>
      </c>
      <c r="R414">
        <v>2036</v>
      </c>
      <c r="S414" t="s">
        <v>444</v>
      </c>
      <c r="T414">
        <v>2033</v>
      </c>
      <c r="U414">
        <v>40.75</v>
      </c>
      <c r="V414">
        <v>1</v>
      </c>
      <c r="W414">
        <v>2033</v>
      </c>
      <c r="X414">
        <v>7</v>
      </c>
      <c r="Y414">
        <v>2033</v>
      </c>
      <c r="Z414">
        <v>1</v>
      </c>
      <c r="AA414">
        <v>50</v>
      </c>
      <c r="AB414">
        <v>250</v>
      </c>
      <c r="AC414">
        <v>50</v>
      </c>
      <c r="AD414">
        <v>250</v>
      </c>
      <c r="AE414">
        <v>0</v>
      </c>
      <c r="AF414">
        <v>0</v>
      </c>
      <c r="AG414">
        <v>50</v>
      </c>
      <c r="AH414">
        <v>250</v>
      </c>
      <c r="AI414">
        <v>1</v>
      </c>
      <c r="AJ414">
        <v>2.6880000000000002</v>
      </c>
      <c r="AK414">
        <v>2034</v>
      </c>
      <c r="AL414" s="61">
        <v>2.7519999999999998</v>
      </c>
      <c r="AM414" s="61">
        <v>2.6880000000000002</v>
      </c>
      <c r="AN414" s="61">
        <v>2.7519999999999998</v>
      </c>
      <c r="AO414">
        <v>1.1725143659072164</v>
      </c>
      <c r="AP414">
        <v>1.0274954447000768</v>
      </c>
      <c r="AQ414">
        <v>1.2047531698150638</v>
      </c>
      <c r="AR414" t="b">
        <v>0</v>
      </c>
      <c r="AS414">
        <v>41.502277190667428</v>
      </c>
      <c r="AT414">
        <v>207.51138595333714</v>
      </c>
      <c r="AU414">
        <v>124.50683157200228</v>
      </c>
    </row>
    <row r="415" spans="1:47" x14ac:dyDescent="0.25">
      <c r="A415" t="s">
        <v>336</v>
      </c>
      <c r="B415" t="s">
        <v>474</v>
      </c>
      <c r="C415" t="s">
        <v>319</v>
      </c>
      <c r="D415">
        <v>2026</v>
      </c>
      <c r="E415">
        <v>0</v>
      </c>
      <c r="F415">
        <v>10</v>
      </c>
      <c r="G415">
        <v>0</v>
      </c>
      <c r="H415">
        <v>0</v>
      </c>
      <c r="I415">
        <v>50</v>
      </c>
      <c r="J415">
        <v>250</v>
      </c>
      <c r="K415">
        <v>1</v>
      </c>
      <c r="L415">
        <v>1</v>
      </c>
      <c r="M415">
        <v>31</v>
      </c>
      <c r="N415">
        <v>0</v>
      </c>
      <c r="O415" t="s">
        <v>27</v>
      </c>
      <c r="P415" t="s">
        <v>443</v>
      </c>
      <c r="Q415">
        <v>2026</v>
      </c>
      <c r="R415">
        <v>2036</v>
      </c>
      <c r="S415" t="s">
        <v>444</v>
      </c>
      <c r="T415">
        <v>2034</v>
      </c>
      <c r="U415">
        <v>41.75</v>
      </c>
      <c r="V415">
        <v>1</v>
      </c>
      <c r="W415">
        <v>2034</v>
      </c>
      <c r="X415">
        <v>8</v>
      </c>
      <c r="Y415">
        <v>2034</v>
      </c>
      <c r="Z415">
        <v>1</v>
      </c>
      <c r="AA415">
        <v>50</v>
      </c>
      <c r="AB415">
        <v>250</v>
      </c>
      <c r="AC415">
        <v>50</v>
      </c>
      <c r="AD415">
        <v>250</v>
      </c>
      <c r="AE415">
        <v>0</v>
      </c>
      <c r="AF415">
        <v>0</v>
      </c>
      <c r="AG415">
        <v>50</v>
      </c>
      <c r="AH415">
        <v>250</v>
      </c>
      <c r="AI415">
        <v>1</v>
      </c>
      <c r="AJ415">
        <v>2.7519999999999998</v>
      </c>
      <c r="AK415">
        <v>2035</v>
      </c>
      <c r="AL415" s="61">
        <v>2.8420000000000001</v>
      </c>
      <c r="AM415" s="61">
        <v>2.7519999999999998</v>
      </c>
      <c r="AN415" s="61">
        <v>2.8420000000000001</v>
      </c>
      <c r="AO415">
        <v>1.2092942481281721</v>
      </c>
      <c r="AP415">
        <v>1.0283854649181425</v>
      </c>
      <c r="AQ415">
        <v>1.2436206275841259</v>
      </c>
      <c r="AR415" t="b">
        <v>0</v>
      </c>
      <c r="AS415">
        <v>40.205187089193487</v>
      </c>
      <c r="AT415">
        <v>201.02593544596743</v>
      </c>
      <c r="AU415">
        <v>120.61556126758046</v>
      </c>
    </row>
    <row r="416" spans="1:47" x14ac:dyDescent="0.25">
      <c r="A416" t="s">
        <v>336</v>
      </c>
      <c r="B416" t="s">
        <v>474</v>
      </c>
      <c r="C416" t="s">
        <v>319</v>
      </c>
      <c r="D416">
        <v>2026</v>
      </c>
      <c r="E416">
        <v>0</v>
      </c>
      <c r="F416">
        <v>10</v>
      </c>
      <c r="G416">
        <v>0</v>
      </c>
      <c r="H416">
        <v>0</v>
      </c>
      <c r="I416">
        <v>50</v>
      </c>
      <c r="J416">
        <v>250</v>
      </c>
      <c r="K416">
        <v>1</v>
      </c>
      <c r="L416">
        <v>1</v>
      </c>
      <c r="M416">
        <v>31</v>
      </c>
      <c r="N416">
        <v>0</v>
      </c>
      <c r="O416" t="s">
        <v>27</v>
      </c>
      <c r="P416" t="s">
        <v>443</v>
      </c>
      <c r="Q416">
        <v>2026</v>
      </c>
      <c r="R416">
        <v>2036</v>
      </c>
      <c r="S416" t="s">
        <v>444</v>
      </c>
      <c r="T416">
        <v>2035</v>
      </c>
      <c r="U416">
        <v>42.75</v>
      </c>
      <c r="V416">
        <v>1</v>
      </c>
      <c r="W416">
        <v>2035</v>
      </c>
      <c r="X416">
        <v>9</v>
      </c>
      <c r="Y416">
        <v>2035</v>
      </c>
      <c r="Z416">
        <v>1</v>
      </c>
      <c r="AA416">
        <v>50</v>
      </c>
      <c r="AB416">
        <v>250</v>
      </c>
      <c r="AC416">
        <v>50</v>
      </c>
      <c r="AD416">
        <v>250</v>
      </c>
      <c r="AE416">
        <v>0</v>
      </c>
      <c r="AF416">
        <v>0</v>
      </c>
      <c r="AG416">
        <v>50</v>
      </c>
      <c r="AH416">
        <v>250</v>
      </c>
      <c r="AI416">
        <v>1</v>
      </c>
      <c r="AJ416">
        <v>2.8420000000000001</v>
      </c>
      <c r="AK416">
        <v>2036</v>
      </c>
      <c r="AL416" s="61">
        <v>2.944</v>
      </c>
      <c r="AM416" s="61">
        <v>2.8420000000000001</v>
      </c>
      <c r="AN416" s="61">
        <v>2.944</v>
      </c>
      <c r="AO416">
        <v>1.2513076834571593</v>
      </c>
      <c r="AP416">
        <v>1.0294008580614105</v>
      </c>
      <c r="AQ416">
        <v>1.2880972030496356</v>
      </c>
      <c r="AR416" t="b">
        <v>0</v>
      </c>
      <c r="AS416">
        <v>38.816946331086243</v>
      </c>
      <c r="AT416">
        <v>194.0847316554312</v>
      </c>
      <c r="AU416">
        <v>116.45083899325871</v>
      </c>
    </row>
    <row r="417" spans="1:47" x14ac:dyDescent="0.25">
      <c r="A417" t="s">
        <v>336</v>
      </c>
      <c r="B417" t="s">
        <v>474</v>
      </c>
      <c r="C417" t="s">
        <v>319</v>
      </c>
      <c r="D417">
        <v>2026</v>
      </c>
      <c r="E417">
        <v>0</v>
      </c>
      <c r="M417">
        <v>31</v>
      </c>
      <c r="Q417">
        <v>2026</v>
      </c>
      <c r="R417">
        <v>2036</v>
      </c>
      <c r="T417">
        <v>2036</v>
      </c>
      <c r="U417">
        <v>43.75</v>
      </c>
      <c r="W417">
        <v>2036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L417" s="61"/>
      <c r="AS417">
        <v>0</v>
      </c>
      <c r="AT417">
        <v>0</v>
      </c>
      <c r="AU417">
        <v>0</v>
      </c>
    </row>
    <row r="418" spans="1:47" x14ac:dyDescent="0.25">
      <c r="A418" t="s">
        <v>363</v>
      </c>
      <c r="B418" t="s">
        <v>475</v>
      </c>
      <c r="C418" t="s">
        <v>320</v>
      </c>
      <c r="D418">
        <v>2026</v>
      </c>
      <c r="E418">
        <v>0</v>
      </c>
      <c r="F418">
        <v>15</v>
      </c>
      <c r="G418">
        <v>0</v>
      </c>
      <c r="H418">
        <v>0</v>
      </c>
      <c r="I418">
        <v>30</v>
      </c>
      <c r="J418">
        <v>45</v>
      </c>
      <c r="K418">
        <v>4</v>
      </c>
      <c r="L418">
        <v>2</v>
      </c>
      <c r="M418">
        <v>32</v>
      </c>
      <c r="N418">
        <v>0</v>
      </c>
      <c r="O418" t="s">
        <v>27</v>
      </c>
      <c r="P418" t="s">
        <v>443</v>
      </c>
      <c r="Q418">
        <v>2026</v>
      </c>
      <c r="R418">
        <v>2041</v>
      </c>
      <c r="S418" t="s">
        <v>444</v>
      </c>
      <c r="T418">
        <v>2026</v>
      </c>
      <c r="U418">
        <v>33.75</v>
      </c>
      <c r="V418">
        <v>1</v>
      </c>
      <c r="W418">
        <v>2026</v>
      </c>
      <c r="X418">
        <v>0</v>
      </c>
      <c r="Y418">
        <v>2026</v>
      </c>
      <c r="Z418">
        <v>1</v>
      </c>
      <c r="AA418">
        <v>120</v>
      </c>
      <c r="AB418">
        <v>180</v>
      </c>
      <c r="AC418">
        <v>120</v>
      </c>
      <c r="AD418">
        <v>180</v>
      </c>
      <c r="AE418">
        <v>0</v>
      </c>
      <c r="AF418">
        <v>0</v>
      </c>
      <c r="AG418">
        <v>120</v>
      </c>
      <c r="AH418">
        <v>180</v>
      </c>
      <c r="AI418">
        <v>1</v>
      </c>
      <c r="AK418">
        <v>2027</v>
      </c>
      <c r="AL418" s="61">
        <v>2.4329999999999998</v>
      </c>
      <c r="AM418" s="61">
        <v>0</v>
      </c>
      <c r="AN418" s="61">
        <v>2.4329999999999998</v>
      </c>
      <c r="AO418">
        <v>1</v>
      </c>
      <c r="AP418">
        <v>1.023385968321771</v>
      </c>
      <c r="AQ418">
        <v>1.023385968321771</v>
      </c>
      <c r="AR418" t="b">
        <v>1</v>
      </c>
      <c r="AS418">
        <v>120</v>
      </c>
      <c r="AT418">
        <v>180</v>
      </c>
      <c r="AU418">
        <v>150</v>
      </c>
    </row>
    <row r="419" spans="1:47" x14ac:dyDescent="0.25">
      <c r="A419" t="s">
        <v>363</v>
      </c>
      <c r="B419" t="s">
        <v>475</v>
      </c>
      <c r="C419" t="s">
        <v>320</v>
      </c>
      <c r="D419">
        <v>2026</v>
      </c>
      <c r="E419">
        <v>0</v>
      </c>
      <c r="F419">
        <v>15</v>
      </c>
      <c r="G419">
        <v>0</v>
      </c>
      <c r="H419">
        <v>0</v>
      </c>
      <c r="I419">
        <v>30</v>
      </c>
      <c r="J419">
        <v>45</v>
      </c>
      <c r="K419">
        <v>4</v>
      </c>
      <c r="L419">
        <v>2</v>
      </c>
      <c r="M419">
        <v>32</v>
      </c>
      <c r="N419">
        <v>0</v>
      </c>
      <c r="O419" t="s">
        <v>27</v>
      </c>
      <c r="P419" t="s">
        <v>443</v>
      </c>
      <c r="Q419">
        <v>2026</v>
      </c>
      <c r="R419">
        <v>2041</v>
      </c>
      <c r="S419" t="s">
        <v>444</v>
      </c>
      <c r="T419">
        <v>2027</v>
      </c>
      <c r="U419">
        <v>34.75</v>
      </c>
      <c r="V419">
        <v>1</v>
      </c>
      <c r="W419">
        <v>2027</v>
      </c>
      <c r="X419">
        <v>1</v>
      </c>
      <c r="Y419">
        <v>2027</v>
      </c>
      <c r="Z419">
        <v>1</v>
      </c>
      <c r="AA419">
        <v>120</v>
      </c>
      <c r="AB419">
        <v>180</v>
      </c>
      <c r="AC419">
        <v>120</v>
      </c>
      <c r="AD419">
        <v>180</v>
      </c>
      <c r="AE419">
        <v>0</v>
      </c>
      <c r="AF419">
        <v>0</v>
      </c>
      <c r="AG419">
        <v>120</v>
      </c>
      <c r="AH419">
        <v>180</v>
      </c>
      <c r="AI419">
        <v>1</v>
      </c>
      <c r="AJ419">
        <v>2.4329999999999998</v>
      </c>
      <c r="AK419">
        <v>2028</v>
      </c>
      <c r="AL419" s="61">
        <v>2.4220000000000002</v>
      </c>
      <c r="AM419" s="61">
        <v>2.4329999999999998</v>
      </c>
      <c r="AN419" s="61">
        <v>2.4220000000000002</v>
      </c>
      <c r="AO419">
        <v>1</v>
      </c>
      <c r="AP419">
        <v>1.0242242189602202</v>
      </c>
      <c r="AQ419">
        <v>1.0242242189602202</v>
      </c>
      <c r="AR419" t="b">
        <v>0</v>
      </c>
      <c r="AS419">
        <v>117.16184579370963</v>
      </c>
      <c r="AT419">
        <v>175.74276869056445</v>
      </c>
      <c r="AU419">
        <v>146.45230724213704</v>
      </c>
    </row>
    <row r="420" spans="1:47" x14ac:dyDescent="0.25">
      <c r="A420" t="s">
        <v>363</v>
      </c>
      <c r="B420" t="s">
        <v>475</v>
      </c>
      <c r="C420" t="s">
        <v>320</v>
      </c>
      <c r="D420">
        <v>2026</v>
      </c>
      <c r="E420">
        <v>0</v>
      </c>
      <c r="F420">
        <v>15</v>
      </c>
      <c r="G420">
        <v>0</v>
      </c>
      <c r="H420">
        <v>0</v>
      </c>
      <c r="I420">
        <v>30</v>
      </c>
      <c r="J420">
        <v>45</v>
      </c>
      <c r="K420">
        <v>4</v>
      </c>
      <c r="L420">
        <v>2</v>
      </c>
      <c r="M420">
        <v>32</v>
      </c>
      <c r="N420">
        <v>0</v>
      </c>
      <c r="O420" t="s">
        <v>27</v>
      </c>
      <c r="P420" t="s">
        <v>443</v>
      </c>
      <c r="Q420">
        <v>2026</v>
      </c>
      <c r="R420">
        <v>2041</v>
      </c>
      <c r="S420" t="s">
        <v>444</v>
      </c>
      <c r="T420">
        <v>2028</v>
      </c>
      <c r="U420">
        <v>35.75</v>
      </c>
      <c r="V420">
        <v>1</v>
      </c>
      <c r="W420">
        <v>2028</v>
      </c>
      <c r="X420">
        <v>2</v>
      </c>
      <c r="Y420">
        <v>2028</v>
      </c>
      <c r="Z420">
        <v>1</v>
      </c>
      <c r="AA420">
        <v>120</v>
      </c>
      <c r="AB420">
        <v>180</v>
      </c>
      <c r="AC420">
        <v>120</v>
      </c>
      <c r="AD420">
        <v>180</v>
      </c>
      <c r="AE420">
        <v>0</v>
      </c>
      <c r="AF420">
        <v>0</v>
      </c>
      <c r="AG420">
        <v>120</v>
      </c>
      <c r="AH420">
        <v>180</v>
      </c>
      <c r="AI420">
        <v>1</v>
      </c>
      <c r="AJ420">
        <v>2.4220000000000002</v>
      </c>
      <c r="AK420">
        <v>2029</v>
      </c>
      <c r="AL420" s="61">
        <v>2.4209999999999998</v>
      </c>
      <c r="AM420" s="61">
        <v>2.4220000000000002</v>
      </c>
      <c r="AN420" s="61">
        <v>2.4209999999999998</v>
      </c>
      <c r="AO420">
        <v>1.0242199999999999</v>
      </c>
      <c r="AP420">
        <v>1.0242103835598433</v>
      </c>
      <c r="AQ420">
        <v>1.0490167590496626</v>
      </c>
      <c r="AR420" t="b">
        <v>0</v>
      </c>
      <c r="AS420">
        <v>114.39283401793483</v>
      </c>
      <c r="AT420">
        <v>171.58925102690225</v>
      </c>
      <c r="AU420">
        <v>142.99104252241852</v>
      </c>
    </row>
    <row r="421" spans="1:47" x14ac:dyDescent="0.25">
      <c r="A421" t="s">
        <v>363</v>
      </c>
      <c r="B421" t="s">
        <v>475</v>
      </c>
      <c r="C421" t="s">
        <v>320</v>
      </c>
      <c r="D421">
        <v>2026</v>
      </c>
      <c r="E421">
        <v>0</v>
      </c>
      <c r="F421">
        <v>15</v>
      </c>
      <c r="G421">
        <v>0</v>
      </c>
      <c r="H421">
        <v>0</v>
      </c>
      <c r="I421">
        <v>30</v>
      </c>
      <c r="J421">
        <v>45</v>
      </c>
      <c r="K421">
        <v>4</v>
      </c>
      <c r="L421">
        <v>2</v>
      </c>
      <c r="M421">
        <v>32</v>
      </c>
      <c r="N421">
        <v>0</v>
      </c>
      <c r="O421" t="s">
        <v>27</v>
      </c>
      <c r="P421" t="s">
        <v>443</v>
      </c>
      <c r="Q421">
        <v>2026</v>
      </c>
      <c r="R421">
        <v>2041</v>
      </c>
      <c r="S421" t="s">
        <v>444</v>
      </c>
      <c r="T421">
        <v>2029</v>
      </c>
      <c r="U421">
        <v>36.75</v>
      </c>
      <c r="V421">
        <v>1</v>
      </c>
      <c r="W421">
        <v>2029</v>
      </c>
      <c r="X421">
        <v>3</v>
      </c>
      <c r="Y421">
        <v>2029</v>
      </c>
      <c r="Z421">
        <v>1</v>
      </c>
      <c r="AA421">
        <v>120</v>
      </c>
      <c r="AB421">
        <v>180</v>
      </c>
      <c r="AC421">
        <v>120</v>
      </c>
      <c r="AD421">
        <v>180</v>
      </c>
      <c r="AE421">
        <v>0</v>
      </c>
      <c r="AF421">
        <v>0</v>
      </c>
      <c r="AG421">
        <v>120</v>
      </c>
      <c r="AH421">
        <v>180</v>
      </c>
      <c r="AI421">
        <v>1</v>
      </c>
      <c r="AJ421">
        <v>2.4209999999999998</v>
      </c>
      <c r="AK421">
        <v>2030</v>
      </c>
      <c r="AL421" s="61">
        <v>2.4670000000000001</v>
      </c>
      <c r="AM421" s="61">
        <v>2.4209999999999998</v>
      </c>
      <c r="AN421" s="61">
        <v>2.4670000000000001</v>
      </c>
      <c r="AO421">
        <v>1.0490061241000002</v>
      </c>
      <c r="AP421">
        <v>1.0246523523547908</v>
      </c>
      <c r="AQ421">
        <v>1.0748665926936467</v>
      </c>
      <c r="AR421" t="b">
        <v>0</v>
      </c>
      <c r="AS421">
        <v>111.64176169926031</v>
      </c>
      <c r="AT421">
        <v>167.46264254889047</v>
      </c>
      <c r="AU421">
        <v>139.55220212407539</v>
      </c>
    </row>
    <row r="422" spans="1:47" x14ac:dyDescent="0.25">
      <c r="A422" t="s">
        <v>363</v>
      </c>
      <c r="B422" t="s">
        <v>475</v>
      </c>
      <c r="C422" t="s">
        <v>320</v>
      </c>
      <c r="D422">
        <v>2026</v>
      </c>
      <c r="E422">
        <v>0</v>
      </c>
      <c r="F422">
        <v>15</v>
      </c>
      <c r="G422">
        <v>0</v>
      </c>
      <c r="H422">
        <v>0</v>
      </c>
      <c r="I422">
        <v>30</v>
      </c>
      <c r="J422">
        <v>45</v>
      </c>
      <c r="K422">
        <v>4</v>
      </c>
      <c r="L422">
        <v>2</v>
      </c>
      <c r="M422">
        <v>32</v>
      </c>
      <c r="N422">
        <v>0</v>
      </c>
      <c r="O422" t="s">
        <v>27</v>
      </c>
      <c r="P422" t="s">
        <v>443</v>
      </c>
      <c r="Q422">
        <v>2026</v>
      </c>
      <c r="R422">
        <v>2041</v>
      </c>
      <c r="S422" t="s">
        <v>444</v>
      </c>
      <c r="T422">
        <v>2030</v>
      </c>
      <c r="U422">
        <v>37.75</v>
      </c>
      <c r="V422">
        <v>1</v>
      </c>
      <c r="W422">
        <v>2030</v>
      </c>
      <c r="X422">
        <v>4</v>
      </c>
      <c r="Y422">
        <v>2030</v>
      </c>
      <c r="Z422">
        <v>1</v>
      </c>
      <c r="AA422">
        <v>120</v>
      </c>
      <c r="AB422">
        <v>180</v>
      </c>
      <c r="AC422">
        <v>120</v>
      </c>
      <c r="AD422">
        <v>180</v>
      </c>
      <c r="AE422">
        <v>0</v>
      </c>
      <c r="AF422">
        <v>0</v>
      </c>
      <c r="AG422">
        <v>120</v>
      </c>
      <c r="AH422">
        <v>180</v>
      </c>
      <c r="AI422">
        <v>1</v>
      </c>
      <c r="AJ422">
        <v>2.4670000000000001</v>
      </c>
      <c r="AK422">
        <v>2031</v>
      </c>
      <c r="AL422" s="61">
        <v>2.5169999999999999</v>
      </c>
      <c r="AM422" s="61">
        <v>2.4670000000000001</v>
      </c>
      <c r="AN422" s="61">
        <v>2.5169999999999999</v>
      </c>
      <c r="AO422">
        <v>1.0758508410815628</v>
      </c>
      <c r="AP422">
        <v>1.0251508174189523</v>
      </c>
      <c r="AQ422">
        <v>1.1029093691556315</v>
      </c>
      <c r="AR422" t="b">
        <v>0</v>
      </c>
      <c r="AS422">
        <v>108.80313773367429</v>
      </c>
      <c r="AT422">
        <v>163.20470660051143</v>
      </c>
      <c r="AU422">
        <v>136.00392216709287</v>
      </c>
    </row>
    <row r="423" spans="1:47" x14ac:dyDescent="0.25">
      <c r="A423" t="s">
        <v>363</v>
      </c>
      <c r="B423" t="s">
        <v>475</v>
      </c>
      <c r="C423" t="s">
        <v>320</v>
      </c>
      <c r="D423">
        <v>2026</v>
      </c>
      <c r="E423">
        <v>0</v>
      </c>
      <c r="F423">
        <v>15</v>
      </c>
      <c r="G423">
        <v>0</v>
      </c>
      <c r="H423">
        <v>0</v>
      </c>
      <c r="I423">
        <v>30</v>
      </c>
      <c r="J423">
        <v>45</v>
      </c>
      <c r="K423">
        <v>4</v>
      </c>
      <c r="L423">
        <v>2</v>
      </c>
      <c r="M423">
        <v>32</v>
      </c>
      <c r="N423">
        <v>0</v>
      </c>
      <c r="O423" t="s">
        <v>27</v>
      </c>
      <c r="P423" t="s">
        <v>443</v>
      </c>
      <c r="Q423">
        <v>2026</v>
      </c>
      <c r="R423">
        <v>2041</v>
      </c>
      <c r="S423" t="s">
        <v>444</v>
      </c>
      <c r="T423">
        <v>2031</v>
      </c>
      <c r="U423">
        <v>38.75</v>
      </c>
      <c r="V423">
        <v>1</v>
      </c>
      <c r="W423">
        <v>2031</v>
      </c>
      <c r="X423">
        <v>5</v>
      </c>
      <c r="Y423">
        <v>2031</v>
      </c>
      <c r="Z423">
        <v>1</v>
      </c>
      <c r="AA423">
        <v>120</v>
      </c>
      <c r="AB423">
        <v>180</v>
      </c>
      <c r="AC423">
        <v>120</v>
      </c>
      <c r="AD423">
        <v>180</v>
      </c>
      <c r="AE423">
        <v>0</v>
      </c>
      <c r="AF423">
        <v>0</v>
      </c>
      <c r="AG423">
        <v>120</v>
      </c>
      <c r="AH423">
        <v>180</v>
      </c>
      <c r="AI423">
        <v>1</v>
      </c>
      <c r="AJ423">
        <v>2.5169999999999999</v>
      </c>
      <c r="AK423">
        <v>2032</v>
      </c>
      <c r="AL423" s="61">
        <v>2.59</v>
      </c>
      <c r="AM423" s="61">
        <v>2.5169999999999999</v>
      </c>
      <c r="AN423" s="61">
        <v>2.59</v>
      </c>
      <c r="AO423">
        <v>1.1045453584485188</v>
      </c>
      <c r="AP423">
        <v>1.0258719904156592</v>
      </c>
      <c r="AQ423">
        <v>1.1331221453759597</v>
      </c>
      <c r="AR423" t="b">
        <v>0</v>
      </c>
      <c r="AS423">
        <v>105.90208698126281</v>
      </c>
      <c r="AT423">
        <v>158.85313047189422</v>
      </c>
      <c r="AU423">
        <v>132.3776087265785</v>
      </c>
    </row>
    <row r="424" spans="1:47" x14ac:dyDescent="0.25">
      <c r="A424" t="s">
        <v>363</v>
      </c>
      <c r="B424" t="s">
        <v>475</v>
      </c>
      <c r="C424" t="s">
        <v>320</v>
      </c>
      <c r="D424">
        <v>2026</v>
      </c>
      <c r="E424">
        <v>0</v>
      </c>
      <c r="F424">
        <v>15</v>
      </c>
      <c r="G424">
        <v>0</v>
      </c>
      <c r="H424">
        <v>0</v>
      </c>
      <c r="I424">
        <v>30</v>
      </c>
      <c r="J424">
        <v>45</v>
      </c>
      <c r="K424">
        <v>4</v>
      </c>
      <c r="L424">
        <v>2</v>
      </c>
      <c r="M424">
        <v>32</v>
      </c>
      <c r="N424">
        <v>0</v>
      </c>
      <c r="O424" t="s">
        <v>27</v>
      </c>
      <c r="P424" t="s">
        <v>443</v>
      </c>
      <c r="Q424">
        <v>2026</v>
      </c>
      <c r="R424">
        <v>2041</v>
      </c>
      <c r="S424" t="s">
        <v>444</v>
      </c>
      <c r="T424">
        <v>2032</v>
      </c>
      <c r="U424">
        <v>39.75</v>
      </c>
      <c r="V424">
        <v>1</v>
      </c>
      <c r="W424">
        <v>2032</v>
      </c>
      <c r="X424">
        <v>6</v>
      </c>
      <c r="Y424">
        <v>2032</v>
      </c>
      <c r="Z424">
        <v>1</v>
      </c>
      <c r="AA424">
        <v>120</v>
      </c>
      <c r="AB424">
        <v>180</v>
      </c>
      <c r="AC424">
        <v>120</v>
      </c>
      <c r="AD424">
        <v>180</v>
      </c>
      <c r="AE424">
        <v>0</v>
      </c>
      <c r="AF424">
        <v>0</v>
      </c>
      <c r="AG424">
        <v>120</v>
      </c>
      <c r="AH424">
        <v>180</v>
      </c>
      <c r="AI424">
        <v>1</v>
      </c>
      <c r="AJ424">
        <v>2.59</v>
      </c>
      <c r="AK424">
        <v>2033</v>
      </c>
      <c r="AL424" s="61">
        <v>2.6880000000000002</v>
      </c>
      <c r="AM424" s="61">
        <v>2.59</v>
      </c>
      <c r="AN424" s="61">
        <v>2.6880000000000002</v>
      </c>
      <c r="AO424">
        <v>1.1363841013749196</v>
      </c>
      <c r="AP424">
        <v>1.0268423936996114</v>
      </c>
      <c r="AQ424">
        <v>1.1668873708180043</v>
      </c>
      <c r="AR424" t="b">
        <v>0</v>
      </c>
      <c r="AS424">
        <v>102.83768853876474</v>
      </c>
      <c r="AT424">
        <v>154.25653280814711</v>
      </c>
      <c r="AU424">
        <v>128.54711067345593</v>
      </c>
    </row>
    <row r="425" spans="1:47" x14ac:dyDescent="0.25">
      <c r="A425" t="s">
        <v>363</v>
      </c>
      <c r="B425" t="s">
        <v>475</v>
      </c>
      <c r="C425" t="s">
        <v>320</v>
      </c>
      <c r="D425">
        <v>2026</v>
      </c>
      <c r="E425">
        <v>0</v>
      </c>
      <c r="F425">
        <v>15</v>
      </c>
      <c r="G425">
        <v>0</v>
      </c>
      <c r="H425">
        <v>0</v>
      </c>
      <c r="I425">
        <v>30</v>
      </c>
      <c r="J425">
        <v>45</v>
      </c>
      <c r="K425">
        <v>4</v>
      </c>
      <c r="L425">
        <v>2</v>
      </c>
      <c r="M425">
        <v>32</v>
      </c>
      <c r="N425">
        <v>0</v>
      </c>
      <c r="O425" t="s">
        <v>27</v>
      </c>
      <c r="P425" t="s">
        <v>443</v>
      </c>
      <c r="Q425">
        <v>2026</v>
      </c>
      <c r="R425">
        <v>2041</v>
      </c>
      <c r="S425" t="s">
        <v>444</v>
      </c>
      <c r="T425">
        <v>2033</v>
      </c>
      <c r="U425">
        <v>40.75</v>
      </c>
      <c r="V425">
        <v>1</v>
      </c>
      <c r="W425">
        <v>2033</v>
      </c>
      <c r="X425">
        <v>7</v>
      </c>
      <c r="Y425">
        <v>2033</v>
      </c>
      <c r="Z425">
        <v>1</v>
      </c>
      <c r="AA425">
        <v>120</v>
      </c>
      <c r="AB425">
        <v>180</v>
      </c>
      <c r="AC425">
        <v>120</v>
      </c>
      <c r="AD425">
        <v>180</v>
      </c>
      <c r="AE425">
        <v>0</v>
      </c>
      <c r="AF425">
        <v>0</v>
      </c>
      <c r="AG425">
        <v>120</v>
      </c>
      <c r="AH425">
        <v>180</v>
      </c>
      <c r="AI425">
        <v>1</v>
      </c>
      <c r="AJ425">
        <v>2.6880000000000002</v>
      </c>
      <c r="AK425">
        <v>2034</v>
      </c>
      <c r="AL425" s="61">
        <v>2.7519999999999998</v>
      </c>
      <c r="AM425" s="61">
        <v>2.6880000000000002</v>
      </c>
      <c r="AN425" s="61">
        <v>2.7519999999999998</v>
      </c>
      <c r="AO425">
        <v>1.1725143659072164</v>
      </c>
      <c r="AP425">
        <v>1.0274954447000768</v>
      </c>
      <c r="AQ425">
        <v>1.2047531698150638</v>
      </c>
      <c r="AR425" t="b">
        <v>0</v>
      </c>
      <c r="AS425">
        <v>99.605465257601821</v>
      </c>
      <c r="AT425">
        <v>149.40819788640275</v>
      </c>
      <c r="AU425">
        <v>124.50683157200228</v>
      </c>
    </row>
    <row r="426" spans="1:47" x14ac:dyDescent="0.25">
      <c r="A426" t="s">
        <v>363</v>
      </c>
      <c r="B426" t="s">
        <v>475</v>
      </c>
      <c r="C426" t="s">
        <v>320</v>
      </c>
      <c r="D426">
        <v>2026</v>
      </c>
      <c r="E426">
        <v>0</v>
      </c>
      <c r="F426">
        <v>15</v>
      </c>
      <c r="G426">
        <v>0</v>
      </c>
      <c r="H426">
        <v>0</v>
      </c>
      <c r="I426">
        <v>30</v>
      </c>
      <c r="J426">
        <v>45</v>
      </c>
      <c r="K426">
        <v>4</v>
      </c>
      <c r="L426">
        <v>2</v>
      </c>
      <c r="M426">
        <v>32</v>
      </c>
      <c r="N426">
        <v>0</v>
      </c>
      <c r="O426" t="s">
        <v>27</v>
      </c>
      <c r="P426" t="s">
        <v>443</v>
      </c>
      <c r="Q426">
        <v>2026</v>
      </c>
      <c r="R426">
        <v>2041</v>
      </c>
      <c r="S426" t="s">
        <v>444</v>
      </c>
      <c r="T426">
        <v>2034</v>
      </c>
      <c r="U426">
        <v>41.75</v>
      </c>
      <c r="V426">
        <v>1</v>
      </c>
      <c r="W426">
        <v>2034</v>
      </c>
      <c r="X426">
        <v>8</v>
      </c>
      <c r="Y426">
        <v>2034</v>
      </c>
      <c r="Z426">
        <v>1</v>
      </c>
      <c r="AA426">
        <v>120</v>
      </c>
      <c r="AB426">
        <v>180</v>
      </c>
      <c r="AC426">
        <v>120</v>
      </c>
      <c r="AD426">
        <v>180</v>
      </c>
      <c r="AE426">
        <v>0</v>
      </c>
      <c r="AF426">
        <v>0</v>
      </c>
      <c r="AG426">
        <v>120</v>
      </c>
      <c r="AH426">
        <v>180</v>
      </c>
      <c r="AI426">
        <v>1</v>
      </c>
      <c r="AJ426">
        <v>2.7519999999999998</v>
      </c>
      <c r="AK426">
        <v>2035</v>
      </c>
      <c r="AL426" s="61">
        <v>2.8420000000000001</v>
      </c>
      <c r="AM426" s="61">
        <v>2.7519999999999998</v>
      </c>
      <c r="AN426" s="61">
        <v>2.8420000000000001</v>
      </c>
      <c r="AO426">
        <v>1.2092942481281721</v>
      </c>
      <c r="AP426">
        <v>1.0283854649181425</v>
      </c>
      <c r="AQ426">
        <v>1.2436206275841259</v>
      </c>
      <c r="AR426" t="b">
        <v>0</v>
      </c>
      <c r="AS426">
        <v>96.492449014064363</v>
      </c>
      <c r="AT426">
        <v>144.73867352109656</v>
      </c>
      <c r="AU426">
        <v>120.61556126758046</v>
      </c>
    </row>
    <row r="427" spans="1:47" x14ac:dyDescent="0.25">
      <c r="A427" t="s">
        <v>363</v>
      </c>
      <c r="B427" t="s">
        <v>475</v>
      </c>
      <c r="C427" t="s">
        <v>320</v>
      </c>
      <c r="D427">
        <v>2026</v>
      </c>
      <c r="E427">
        <v>0</v>
      </c>
      <c r="F427">
        <v>15</v>
      </c>
      <c r="G427">
        <v>0</v>
      </c>
      <c r="H427">
        <v>0</v>
      </c>
      <c r="I427">
        <v>30</v>
      </c>
      <c r="J427">
        <v>45</v>
      </c>
      <c r="K427">
        <v>4</v>
      </c>
      <c r="L427">
        <v>2</v>
      </c>
      <c r="M427">
        <v>32</v>
      </c>
      <c r="N427">
        <v>0</v>
      </c>
      <c r="O427" t="s">
        <v>27</v>
      </c>
      <c r="P427" t="s">
        <v>443</v>
      </c>
      <c r="Q427">
        <v>2026</v>
      </c>
      <c r="R427">
        <v>2041</v>
      </c>
      <c r="S427" t="s">
        <v>444</v>
      </c>
      <c r="T427">
        <v>2035</v>
      </c>
      <c r="U427">
        <v>42.75</v>
      </c>
      <c r="V427">
        <v>1</v>
      </c>
      <c r="W427">
        <v>2035</v>
      </c>
      <c r="X427">
        <v>9</v>
      </c>
      <c r="Y427">
        <v>2035</v>
      </c>
      <c r="Z427">
        <v>1</v>
      </c>
      <c r="AA427">
        <v>120</v>
      </c>
      <c r="AB427">
        <v>180</v>
      </c>
      <c r="AC427">
        <v>120</v>
      </c>
      <c r="AD427">
        <v>180</v>
      </c>
      <c r="AE427">
        <v>0</v>
      </c>
      <c r="AF427">
        <v>0</v>
      </c>
      <c r="AG427">
        <v>120</v>
      </c>
      <c r="AH427">
        <v>180</v>
      </c>
      <c r="AI427">
        <v>1</v>
      </c>
      <c r="AJ427">
        <v>2.8420000000000001</v>
      </c>
      <c r="AK427">
        <v>2036</v>
      </c>
      <c r="AL427" s="61">
        <v>2.944</v>
      </c>
      <c r="AM427" s="61">
        <v>2.8420000000000001</v>
      </c>
      <c r="AN427" s="61">
        <v>2.944</v>
      </c>
      <c r="AO427">
        <v>1.2513076834571593</v>
      </c>
      <c r="AP427">
        <v>1.0294008580614105</v>
      </c>
      <c r="AQ427">
        <v>1.2880972030496356</v>
      </c>
      <c r="AR427" t="b">
        <v>0</v>
      </c>
      <c r="AS427">
        <v>93.160671194606977</v>
      </c>
      <c r="AT427">
        <v>139.74100679191045</v>
      </c>
      <c r="AU427">
        <v>116.45083899325871</v>
      </c>
    </row>
    <row r="428" spans="1:47" x14ac:dyDescent="0.25">
      <c r="A428" t="s">
        <v>363</v>
      </c>
      <c r="B428" t="s">
        <v>475</v>
      </c>
      <c r="C428" t="s">
        <v>320</v>
      </c>
      <c r="D428">
        <v>2026</v>
      </c>
      <c r="E428">
        <v>0</v>
      </c>
      <c r="F428">
        <v>15</v>
      </c>
      <c r="G428">
        <v>0</v>
      </c>
      <c r="H428">
        <v>0</v>
      </c>
      <c r="I428">
        <v>30</v>
      </c>
      <c r="J428">
        <v>45</v>
      </c>
      <c r="K428">
        <v>4</v>
      </c>
      <c r="L428">
        <v>2</v>
      </c>
      <c r="M428">
        <v>32</v>
      </c>
      <c r="N428">
        <v>0</v>
      </c>
      <c r="O428" t="s">
        <v>27</v>
      </c>
      <c r="P428" t="s">
        <v>443</v>
      </c>
      <c r="Q428">
        <v>2026</v>
      </c>
      <c r="R428">
        <v>2041</v>
      </c>
      <c r="S428" t="s">
        <v>444</v>
      </c>
      <c r="T428">
        <v>2036</v>
      </c>
      <c r="U428">
        <v>43.75</v>
      </c>
      <c r="V428">
        <v>1</v>
      </c>
      <c r="W428">
        <v>2036</v>
      </c>
      <c r="X428">
        <v>10</v>
      </c>
      <c r="Y428">
        <v>2036</v>
      </c>
      <c r="Z428">
        <v>1</v>
      </c>
      <c r="AA428">
        <v>120</v>
      </c>
      <c r="AB428">
        <v>180</v>
      </c>
      <c r="AC428">
        <v>120</v>
      </c>
      <c r="AD428">
        <v>180</v>
      </c>
      <c r="AE428">
        <v>0</v>
      </c>
      <c r="AF428">
        <v>0</v>
      </c>
      <c r="AG428">
        <v>120</v>
      </c>
      <c r="AH428">
        <v>180</v>
      </c>
      <c r="AI428">
        <v>1</v>
      </c>
      <c r="AJ428">
        <v>2.944</v>
      </c>
      <c r="AK428">
        <v>2037</v>
      </c>
      <c r="AL428" s="61">
        <v>3.036</v>
      </c>
      <c r="AM428" s="61">
        <v>2.944</v>
      </c>
      <c r="AN428" s="61">
        <v>3.036</v>
      </c>
      <c r="AO428">
        <v>1.2984025298030446</v>
      </c>
      <c r="AP428">
        <v>1.0303246971701443</v>
      </c>
      <c r="AQ428">
        <v>1.3377761933242711</v>
      </c>
      <c r="AR428" t="b">
        <v>0</v>
      </c>
      <c r="AS428">
        <v>89.701102919023555</v>
      </c>
      <c r="AT428">
        <v>134.55165437853535</v>
      </c>
      <c r="AU428">
        <v>112.12637864877945</v>
      </c>
    </row>
    <row r="429" spans="1:47" x14ac:dyDescent="0.25">
      <c r="A429" t="s">
        <v>363</v>
      </c>
      <c r="B429" t="s">
        <v>475</v>
      </c>
      <c r="C429" t="s">
        <v>320</v>
      </c>
      <c r="D429">
        <v>2026</v>
      </c>
      <c r="E429">
        <v>0</v>
      </c>
      <c r="F429">
        <v>15</v>
      </c>
      <c r="G429">
        <v>0</v>
      </c>
      <c r="H429">
        <v>0</v>
      </c>
      <c r="I429">
        <v>30</v>
      </c>
      <c r="J429">
        <v>45</v>
      </c>
      <c r="K429">
        <v>4</v>
      </c>
      <c r="L429">
        <v>2</v>
      </c>
      <c r="M429">
        <v>32</v>
      </c>
      <c r="N429">
        <v>0</v>
      </c>
      <c r="O429" t="s">
        <v>27</v>
      </c>
      <c r="P429" t="s">
        <v>443</v>
      </c>
      <c r="Q429">
        <v>2026</v>
      </c>
      <c r="R429">
        <v>2041</v>
      </c>
      <c r="S429" t="s">
        <v>444</v>
      </c>
      <c r="T429">
        <v>2037</v>
      </c>
      <c r="U429">
        <v>44.75</v>
      </c>
      <c r="V429">
        <v>1</v>
      </c>
      <c r="W429">
        <v>2037</v>
      </c>
      <c r="X429">
        <v>11</v>
      </c>
      <c r="Y429">
        <v>2037</v>
      </c>
      <c r="Z429">
        <v>1</v>
      </c>
      <c r="AA429">
        <v>120</v>
      </c>
      <c r="AB429">
        <v>180</v>
      </c>
      <c r="AC429">
        <v>120</v>
      </c>
      <c r="AD429">
        <v>180</v>
      </c>
      <c r="AE429">
        <v>0</v>
      </c>
      <c r="AF429">
        <v>0</v>
      </c>
      <c r="AG429">
        <v>120</v>
      </c>
      <c r="AH429">
        <v>180</v>
      </c>
      <c r="AI429">
        <v>1</v>
      </c>
      <c r="AJ429">
        <v>3.036</v>
      </c>
      <c r="AK429">
        <v>2038</v>
      </c>
      <c r="AL429" s="61">
        <v>3.1339999999999999</v>
      </c>
      <c r="AM429" s="61">
        <v>3.036</v>
      </c>
      <c r="AN429" s="61">
        <v>3.1339999999999999</v>
      </c>
      <c r="AO429">
        <v>1.3486209574989538</v>
      </c>
      <c r="AP429">
        <v>1.0313023937742947</v>
      </c>
      <c r="AQ429">
        <v>1.3908360217628524</v>
      </c>
      <c r="AR429" t="b">
        <v>0</v>
      </c>
      <c r="AS429">
        <v>86.279042333044259</v>
      </c>
      <c r="AT429">
        <v>129.41856349956637</v>
      </c>
      <c r="AU429">
        <v>107.84880291630532</v>
      </c>
    </row>
    <row r="430" spans="1:47" x14ac:dyDescent="0.25">
      <c r="A430" t="s">
        <v>363</v>
      </c>
      <c r="B430" t="s">
        <v>475</v>
      </c>
      <c r="C430" t="s">
        <v>320</v>
      </c>
      <c r="D430">
        <v>2026</v>
      </c>
      <c r="E430">
        <v>0</v>
      </c>
      <c r="F430">
        <v>15</v>
      </c>
      <c r="G430">
        <v>0</v>
      </c>
      <c r="H430">
        <v>0</v>
      </c>
      <c r="I430">
        <v>30</v>
      </c>
      <c r="J430">
        <v>45</v>
      </c>
      <c r="K430">
        <v>4</v>
      </c>
      <c r="L430">
        <v>2</v>
      </c>
      <c r="M430">
        <v>32</v>
      </c>
      <c r="N430">
        <v>0</v>
      </c>
      <c r="O430" t="s">
        <v>27</v>
      </c>
      <c r="P430" t="s">
        <v>443</v>
      </c>
      <c r="Q430">
        <v>2026</v>
      </c>
      <c r="R430">
        <v>2041</v>
      </c>
      <c r="S430" t="s">
        <v>444</v>
      </c>
      <c r="T430">
        <v>2038</v>
      </c>
      <c r="U430">
        <v>45.75</v>
      </c>
      <c r="V430">
        <v>1</v>
      </c>
      <c r="W430">
        <v>2038</v>
      </c>
      <c r="X430">
        <v>12</v>
      </c>
      <c r="Y430">
        <v>2038</v>
      </c>
      <c r="Z430">
        <v>1</v>
      </c>
      <c r="AA430">
        <v>120</v>
      </c>
      <c r="AB430">
        <v>180</v>
      </c>
      <c r="AC430">
        <v>120</v>
      </c>
      <c r="AD430">
        <v>180</v>
      </c>
      <c r="AE430">
        <v>0</v>
      </c>
      <c r="AF430">
        <v>0</v>
      </c>
      <c r="AG430">
        <v>120</v>
      </c>
      <c r="AH430">
        <v>180</v>
      </c>
      <c r="AI430">
        <v>1</v>
      </c>
      <c r="AJ430">
        <v>3.1339999999999999</v>
      </c>
      <c r="AK430">
        <v>2039</v>
      </c>
      <c r="AL430" s="61">
        <v>3.2069999999999999</v>
      </c>
      <c r="AM430" s="61">
        <v>3.1339999999999999</v>
      </c>
      <c r="AN430" s="61">
        <v>3.2069999999999999</v>
      </c>
      <c r="AO430">
        <v>1.4041725591738043</v>
      </c>
      <c r="AP430">
        <v>1.0320419904729838</v>
      </c>
      <c r="AQ430">
        <v>1.4491650429372767</v>
      </c>
      <c r="AR430" t="b">
        <v>0</v>
      </c>
      <c r="AS430">
        <v>82.806303246713</v>
      </c>
      <c r="AT430">
        <v>124.20945487006951</v>
      </c>
      <c r="AU430">
        <v>103.50787905839125</v>
      </c>
    </row>
    <row r="431" spans="1:47" x14ac:dyDescent="0.25">
      <c r="A431" t="s">
        <v>363</v>
      </c>
      <c r="B431" t="s">
        <v>475</v>
      </c>
      <c r="C431" t="s">
        <v>320</v>
      </c>
      <c r="D431">
        <v>2026</v>
      </c>
      <c r="E431">
        <v>0</v>
      </c>
      <c r="F431">
        <v>15</v>
      </c>
      <c r="G431">
        <v>0</v>
      </c>
      <c r="H431">
        <v>0</v>
      </c>
      <c r="I431">
        <v>30</v>
      </c>
      <c r="J431">
        <v>45</v>
      </c>
      <c r="K431">
        <v>4</v>
      </c>
      <c r="L431">
        <v>2</v>
      </c>
      <c r="M431">
        <v>32</v>
      </c>
      <c r="N431">
        <v>0</v>
      </c>
      <c r="O431" t="s">
        <v>27</v>
      </c>
      <c r="P431" t="s">
        <v>443</v>
      </c>
      <c r="Q431">
        <v>2026</v>
      </c>
      <c r="R431">
        <v>2041</v>
      </c>
      <c r="S431" t="s">
        <v>444</v>
      </c>
      <c r="T431">
        <v>2039</v>
      </c>
      <c r="U431">
        <v>46.75</v>
      </c>
      <c r="V431">
        <v>1</v>
      </c>
      <c r="W431">
        <v>2039</v>
      </c>
      <c r="X431">
        <v>13</v>
      </c>
      <c r="Y431">
        <v>2039</v>
      </c>
      <c r="Z431">
        <v>1</v>
      </c>
      <c r="AA431">
        <v>120</v>
      </c>
      <c r="AB431">
        <v>180</v>
      </c>
      <c r="AC431">
        <v>120</v>
      </c>
      <c r="AD431">
        <v>180</v>
      </c>
      <c r="AE431">
        <v>0</v>
      </c>
      <c r="AF431">
        <v>0</v>
      </c>
      <c r="AG431">
        <v>120</v>
      </c>
      <c r="AH431">
        <v>180</v>
      </c>
      <c r="AI431">
        <v>1</v>
      </c>
      <c r="AJ431">
        <v>3.2069999999999999</v>
      </c>
      <c r="AK431">
        <v>2040</v>
      </c>
      <c r="AL431" s="61">
        <v>3.3029999999999999</v>
      </c>
      <c r="AM431" s="61">
        <v>3.2069999999999999</v>
      </c>
      <c r="AN431" s="61">
        <v>3.3029999999999999</v>
      </c>
      <c r="AO431">
        <v>1.4605278779269859</v>
      </c>
      <c r="AP431">
        <v>1.0329931616190409</v>
      </c>
      <c r="AQ431">
        <v>1.5087153102525457</v>
      </c>
      <c r="AR431" t="b">
        <v>0</v>
      </c>
      <c r="AS431">
        <v>79.537868532608087</v>
      </c>
      <c r="AT431">
        <v>119.30680279891213</v>
      </c>
      <c r="AU431">
        <v>99.422335665760102</v>
      </c>
    </row>
    <row r="432" spans="1:47" x14ac:dyDescent="0.25">
      <c r="A432" t="s">
        <v>363</v>
      </c>
      <c r="B432" t="s">
        <v>475</v>
      </c>
      <c r="C432" t="s">
        <v>320</v>
      </c>
      <c r="D432">
        <v>2026</v>
      </c>
      <c r="E432">
        <v>0</v>
      </c>
      <c r="F432">
        <v>15</v>
      </c>
      <c r="G432">
        <v>0</v>
      </c>
      <c r="H432">
        <v>0</v>
      </c>
      <c r="I432">
        <v>30</v>
      </c>
      <c r="J432">
        <v>45</v>
      </c>
      <c r="K432">
        <v>4</v>
      </c>
      <c r="L432">
        <v>2</v>
      </c>
      <c r="M432">
        <v>32</v>
      </c>
      <c r="N432">
        <v>0</v>
      </c>
      <c r="O432" t="s">
        <v>27</v>
      </c>
      <c r="P432" t="s">
        <v>443</v>
      </c>
      <c r="Q432">
        <v>2026</v>
      </c>
      <c r="R432">
        <v>2041</v>
      </c>
      <c r="S432" t="s">
        <v>444</v>
      </c>
      <c r="T432">
        <v>2040</v>
      </c>
      <c r="U432">
        <v>47.75</v>
      </c>
      <c r="V432">
        <v>1</v>
      </c>
      <c r="W432">
        <v>2040</v>
      </c>
      <c r="X432">
        <v>14</v>
      </c>
      <c r="Y432">
        <v>2040</v>
      </c>
      <c r="Z432">
        <v>1</v>
      </c>
      <c r="AA432">
        <v>120</v>
      </c>
      <c r="AB432">
        <v>180</v>
      </c>
      <c r="AC432">
        <v>120</v>
      </c>
      <c r="AD432">
        <v>180</v>
      </c>
      <c r="AE432">
        <v>0</v>
      </c>
      <c r="AF432">
        <v>0</v>
      </c>
      <c r="AG432">
        <v>120</v>
      </c>
      <c r="AH432">
        <v>180</v>
      </c>
      <c r="AI432">
        <v>1</v>
      </c>
      <c r="AJ432">
        <v>3.3029999999999999</v>
      </c>
      <c r="AK432">
        <v>2041</v>
      </c>
      <c r="AL432" s="61">
        <v>3.3559999999999999</v>
      </c>
      <c r="AM432" s="61">
        <v>3.3029999999999999</v>
      </c>
      <c r="AN432" s="61">
        <v>3.3559999999999999</v>
      </c>
      <c r="AO432">
        <v>1.5256964700083253</v>
      </c>
      <c r="AP432">
        <v>1.0335396662189136</v>
      </c>
      <c r="AQ432">
        <v>1.5768678203637791</v>
      </c>
      <c r="AR432" t="b">
        <v>0</v>
      </c>
      <c r="AS432">
        <v>76.100227584272929</v>
      </c>
      <c r="AT432">
        <v>114.1503413764094</v>
      </c>
      <c r="AU432">
        <v>95.125284480341165</v>
      </c>
    </row>
    <row r="433" spans="1:47" x14ac:dyDescent="0.25">
      <c r="A433" t="s">
        <v>363</v>
      </c>
      <c r="B433" t="s">
        <v>475</v>
      </c>
      <c r="C433" t="s">
        <v>320</v>
      </c>
      <c r="D433">
        <v>2026</v>
      </c>
      <c r="E433">
        <v>0</v>
      </c>
      <c r="M433">
        <v>32</v>
      </c>
      <c r="Q433">
        <v>2026</v>
      </c>
      <c r="R433">
        <v>2041</v>
      </c>
      <c r="T433">
        <v>2041</v>
      </c>
      <c r="U433">
        <v>48.75</v>
      </c>
      <c r="W433">
        <v>2041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L433" s="61"/>
      <c r="AS433">
        <v>0</v>
      </c>
      <c r="AT433">
        <v>0</v>
      </c>
      <c r="AU433">
        <v>0</v>
      </c>
    </row>
    <row r="434" spans="1:47" x14ac:dyDescent="0.25">
      <c r="A434" t="s">
        <v>337</v>
      </c>
      <c r="B434" t="s">
        <v>476</v>
      </c>
      <c r="C434" t="s">
        <v>319</v>
      </c>
      <c r="D434">
        <v>2026</v>
      </c>
      <c r="E434">
        <v>0</v>
      </c>
      <c r="F434">
        <v>10</v>
      </c>
      <c r="G434">
        <v>0</v>
      </c>
      <c r="H434">
        <v>0</v>
      </c>
      <c r="I434">
        <v>50</v>
      </c>
      <c r="J434">
        <v>250</v>
      </c>
      <c r="K434">
        <v>1</v>
      </c>
      <c r="L434">
        <v>1</v>
      </c>
      <c r="M434">
        <v>33</v>
      </c>
      <c r="N434">
        <v>0</v>
      </c>
      <c r="O434" t="s">
        <v>27</v>
      </c>
      <c r="P434" t="s">
        <v>443</v>
      </c>
      <c r="Q434">
        <v>2026</v>
      </c>
      <c r="R434">
        <v>2036</v>
      </c>
      <c r="S434" t="s">
        <v>444</v>
      </c>
      <c r="T434">
        <v>2026</v>
      </c>
      <c r="U434">
        <v>33.75</v>
      </c>
      <c r="V434">
        <v>1</v>
      </c>
      <c r="W434">
        <v>2026</v>
      </c>
      <c r="X434">
        <v>0</v>
      </c>
      <c r="Y434">
        <v>2026</v>
      </c>
      <c r="Z434">
        <v>1</v>
      </c>
      <c r="AA434">
        <v>50</v>
      </c>
      <c r="AB434">
        <v>250</v>
      </c>
      <c r="AC434">
        <v>50</v>
      </c>
      <c r="AD434">
        <v>250</v>
      </c>
      <c r="AE434">
        <v>0</v>
      </c>
      <c r="AF434">
        <v>0</v>
      </c>
      <c r="AG434">
        <v>50</v>
      </c>
      <c r="AH434">
        <v>250</v>
      </c>
      <c r="AI434">
        <v>1</v>
      </c>
      <c r="AK434">
        <v>2027</v>
      </c>
      <c r="AL434" s="61">
        <v>2.4329999999999998</v>
      </c>
      <c r="AM434" s="61">
        <v>0</v>
      </c>
      <c r="AN434" s="61">
        <v>2.4329999999999998</v>
      </c>
      <c r="AO434">
        <v>1</v>
      </c>
      <c r="AP434">
        <v>1.023385968321771</v>
      </c>
      <c r="AQ434">
        <v>1.023385968321771</v>
      </c>
      <c r="AR434" t="b">
        <v>1</v>
      </c>
      <c r="AS434">
        <v>50</v>
      </c>
      <c r="AT434">
        <v>250</v>
      </c>
      <c r="AU434">
        <v>150</v>
      </c>
    </row>
    <row r="435" spans="1:47" x14ac:dyDescent="0.25">
      <c r="A435" t="s">
        <v>337</v>
      </c>
      <c r="B435" t="s">
        <v>476</v>
      </c>
      <c r="C435" t="s">
        <v>319</v>
      </c>
      <c r="D435">
        <v>2026</v>
      </c>
      <c r="E435">
        <v>0</v>
      </c>
      <c r="F435">
        <v>10</v>
      </c>
      <c r="G435">
        <v>0</v>
      </c>
      <c r="H435">
        <v>0</v>
      </c>
      <c r="I435">
        <v>50</v>
      </c>
      <c r="J435">
        <v>250</v>
      </c>
      <c r="K435">
        <v>1</v>
      </c>
      <c r="L435">
        <v>1</v>
      </c>
      <c r="M435">
        <v>33</v>
      </c>
      <c r="N435">
        <v>0</v>
      </c>
      <c r="O435" t="s">
        <v>27</v>
      </c>
      <c r="P435" t="s">
        <v>443</v>
      </c>
      <c r="Q435">
        <v>2026</v>
      </c>
      <c r="R435">
        <v>2036</v>
      </c>
      <c r="S435" t="s">
        <v>444</v>
      </c>
      <c r="T435">
        <v>2027</v>
      </c>
      <c r="U435">
        <v>34.75</v>
      </c>
      <c r="V435">
        <v>1</v>
      </c>
      <c r="W435">
        <v>2027</v>
      </c>
      <c r="X435">
        <v>1</v>
      </c>
      <c r="Y435">
        <v>2027</v>
      </c>
      <c r="Z435">
        <v>1</v>
      </c>
      <c r="AA435">
        <v>50</v>
      </c>
      <c r="AB435">
        <v>250</v>
      </c>
      <c r="AC435">
        <v>50</v>
      </c>
      <c r="AD435">
        <v>250</v>
      </c>
      <c r="AE435">
        <v>0</v>
      </c>
      <c r="AF435">
        <v>0</v>
      </c>
      <c r="AG435">
        <v>50</v>
      </c>
      <c r="AH435">
        <v>250</v>
      </c>
      <c r="AI435">
        <v>1</v>
      </c>
      <c r="AJ435">
        <v>2.4329999999999998</v>
      </c>
      <c r="AK435">
        <v>2028</v>
      </c>
      <c r="AL435" s="61">
        <v>2.4220000000000002</v>
      </c>
      <c r="AM435" s="61">
        <v>2.4329999999999998</v>
      </c>
      <c r="AN435" s="61">
        <v>2.4220000000000002</v>
      </c>
      <c r="AO435">
        <v>1</v>
      </c>
      <c r="AP435">
        <v>1.0242242189602202</v>
      </c>
      <c r="AQ435">
        <v>1.0242242189602202</v>
      </c>
      <c r="AR435" t="b">
        <v>0</v>
      </c>
      <c r="AS435">
        <v>48.817435747379008</v>
      </c>
      <c r="AT435">
        <v>244.08717873689505</v>
      </c>
      <c r="AU435">
        <v>146.45230724213704</v>
      </c>
    </row>
    <row r="436" spans="1:47" x14ac:dyDescent="0.25">
      <c r="A436" t="s">
        <v>337</v>
      </c>
      <c r="B436" t="s">
        <v>476</v>
      </c>
      <c r="C436" t="s">
        <v>319</v>
      </c>
      <c r="D436">
        <v>2026</v>
      </c>
      <c r="E436">
        <v>0</v>
      </c>
      <c r="F436">
        <v>10</v>
      </c>
      <c r="G436">
        <v>0</v>
      </c>
      <c r="H436">
        <v>0</v>
      </c>
      <c r="I436">
        <v>50</v>
      </c>
      <c r="J436">
        <v>250</v>
      </c>
      <c r="K436">
        <v>1</v>
      </c>
      <c r="L436">
        <v>1</v>
      </c>
      <c r="M436">
        <v>33</v>
      </c>
      <c r="N436">
        <v>0</v>
      </c>
      <c r="O436" t="s">
        <v>27</v>
      </c>
      <c r="P436" t="s">
        <v>443</v>
      </c>
      <c r="Q436">
        <v>2026</v>
      </c>
      <c r="R436">
        <v>2036</v>
      </c>
      <c r="S436" t="s">
        <v>444</v>
      </c>
      <c r="T436">
        <v>2028</v>
      </c>
      <c r="U436">
        <v>35.75</v>
      </c>
      <c r="V436">
        <v>1</v>
      </c>
      <c r="W436">
        <v>2028</v>
      </c>
      <c r="X436">
        <v>2</v>
      </c>
      <c r="Y436">
        <v>2028</v>
      </c>
      <c r="Z436">
        <v>1</v>
      </c>
      <c r="AA436">
        <v>50</v>
      </c>
      <c r="AB436">
        <v>250</v>
      </c>
      <c r="AC436">
        <v>50</v>
      </c>
      <c r="AD436">
        <v>250</v>
      </c>
      <c r="AE436">
        <v>0</v>
      </c>
      <c r="AF436">
        <v>0</v>
      </c>
      <c r="AG436">
        <v>50</v>
      </c>
      <c r="AH436">
        <v>250</v>
      </c>
      <c r="AI436">
        <v>1</v>
      </c>
      <c r="AJ436">
        <v>2.4220000000000002</v>
      </c>
      <c r="AK436">
        <v>2029</v>
      </c>
      <c r="AL436" s="61">
        <v>2.4209999999999998</v>
      </c>
      <c r="AM436" s="61">
        <v>2.4220000000000002</v>
      </c>
      <c r="AN436" s="61">
        <v>2.4209999999999998</v>
      </c>
      <c r="AO436">
        <v>1.0242199999999999</v>
      </c>
      <c r="AP436">
        <v>1.0242103835598433</v>
      </c>
      <c r="AQ436">
        <v>1.0490167590496626</v>
      </c>
      <c r="AR436" t="b">
        <v>0</v>
      </c>
      <c r="AS436">
        <v>47.66368084080618</v>
      </c>
      <c r="AT436">
        <v>238.31840420403091</v>
      </c>
      <c r="AU436">
        <v>142.99104252241855</v>
      </c>
    </row>
    <row r="437" spans="1:47" x14ac:dyDescent="0.25">
      <c r="A437" t="s">
        <v>337</v>
      </c>
      <c r="B437" t="s">
        <v>476</v>
      </c>
      <c r="C437" t="s">
        <v>319</v>
      </c>
      <c r="D437">
        <v>2026</v>
      </c>
      <c r="E437">
        <v>0</v>
      </c>
      <c r="F437">
        <v>10</v>
      </c>
      <c r="G437">
        <v>0</v>
      </c>
      <c r="H437">
        <v>0</v>
      </c>
      <c r="I437">
        <v>50</v>
      </c>
      <c r="J437">
        <v>250</v>
      </c>
      <c r="K437">
        <v>1</v>
      </c>
      <c r="L437">
        <v>1</v>
      </c>
      <c r="M437">
        <v>33</v>
      </c>
      <c r="N437">
        <v>0</v>
      </c>
      <c r="O437" t="s">
        <v>27</v>
      </c>
      <c r="P437" t="s">
        <v>443</v>
      </c>
      <c r="Q437">
        <v>2026</v>
      </c>
      <c r="R437">
        <v>2036</v>
      </c>
      <c r="S437" t="s">
        <v>444</v>
      </c>
      <c r="T437">
        <v>2029</v>
      </c>
      <c r="U437">
        <v>36.75</v>
      </c>
      <c r="V437">
        <v>1</v>
      </c>
      <c r="W437">
        <v>2029</v>
      </c>
      <c r="X437">
        <v>3</v>
      </c>
      <c r="Y437">
        <v>2029</v>
      </c>
      <c r="Z437">
        <v>1</v>
      </c>
      <c r="AA437">
        <v>50</v>
      </c>
      <c r="AB437">
        <v>250</v>
      </c>
      <c r="AC437">
        <v>50</v>
      </c>
      <c r="AD437">
        <v>250</v>
      </c>
      <c r="AE437">
        <v>0</v>
      </c>
      <c r="AF437">
        <v>0</v>
      </c>
      <c r="AG437">
        <v>50</v>
      </c>
      <c r="AH437">
        <v>250</v>
      </c>
      <c r="AI437">
        <v>1</v>
      </c>
      <c r="AJ437">
        <v>2.4209999999999998</v>
      </c>
      <c r="AK437">
        <v>2030</v>
      </c>
      <c r="AL437" s="61">
        <v>2.4670000000000001</v>
      </c>
      <c r="AM437" s="61">
        <v>2.4209999999999998</v>
      </c>
      <c r="AN437" s="61">
        <v>2.4670000000000001</v>
      </c>
      <c r="AO437">
        <v>1.0490061241000002</v>
      </c>
      <c r="AP437">
        <v>1.0246523523547908</v>
      </c>
      <c r="AQ437">
        <v>1.0748665926936467</v>
      </c>
      <c r="AR437" t="b">
        <v>0</v>
      </c>
      <c r="AS437">
        <v>46.517400708025129</v>
      </c>
      <c r="AT437">
        <v>232.58700354012564</v>
      </c>
      <c r="AU437">
        <v>139.55220212407539</v>
      </c>
    </row>
    <row r="438" spans="1:47" x14ac:dyDescent="0.25">
      <c r="A438" t="s">
        <v>337</v>
      </c>
      <c r="B438" t="s">
        <v>476</v>
      </c>
      <c r="C438" t="s">
        <v>319</v>
      </c>
      <c r="D438">
        <v>2026</v>
      </c>
      <c r="E438">
        <v>0</v>
      </c>
      <c r="F438">
        <v>10</v>
      </c>
      <c r="G438">
        <v>0</v>
      </c>
      <c r="H438">
        <v>0</v>
      </c>
      <c r="I438">
        <v>50</v>
      </c>
      <c r="J438">
        <v>250</v>
      </c>
      <c r="K438">
        <v>1</v>
      </c>
      <c r="L438">
        <v>1</v>
      </c>
      <c r="M438">
        <v>33</v>
      </c>
      <c r="N438">
        <v>0</v>
      </c>
      <c r="O438" t="s">
        <v>27</v>
      </c>
      <c r="P438" t="s">
        <v>443</v>
      </c>
      <c r="Q438">
        <v>2026</v>
      </c>
      <c r="R438">
        <v>2036</v>
      </c>
      <c r="S438" t="s">
        <v>444</v>
      </c>
      <c r="T438">
        <v>2030</v>
      </c>
      <c r="U438">
        <v>37.75</v>
      </c>
      <c r="V438">
        <v>1</v>
      </c>
      <c r="W438">
        <v>2030</v>
      </c>
      <c r="X438">
        <v>4</v>
      </c>
      <c r="Y438">
        <v>2030</v>
      </c>
      <c r="Z438">
        <v>1</v>
      </c>
      <c r="AA438">
        <v>50</v>
      </c>
      <c r="AB438">
        <v>250</v>
      </c>
      <c r="AC438">
        <v>50</v>
      </c>
      <c r="AD438">
        <v>250</v>
      </c>
      <c r="AE438">
        <v>0</v>
      </c>
      <c r="AF438">
        <v>0</v>
      </c>
      <c r="AG438">
        <v>50</v>
      </c>
      <c r="AH438">
        <v>250</v>
      </c>
      <c r="AI438">
        <v>1</v>
      </c>
      <c r="AJ438">
        <v>2.4670000000000001</v>
      </c>
      <c r="AK438">
        <v>2031</v>
      </c>
      <c r="AL438" s="61">
        <v>2.5169999999999999</v>
      </c>
      <c r="AM438" s="61">
        <v>2.4670000000000001</v>
      </c>
      <c r="AN438" s="61">
        <v>2.5169999999999999</v>
      </c>
      <c r="AO438">
        <v>1.0758508410815628</v>
      </c>
      <c r="AP438">
        <v>1.0251508174189523</v>
      </c>
      <c r="AQ438">
        <v>1.1029093691556315</v>
      </c>
      <c r="AR438" t="b">
        <v>0</v>
      </c>
      <c r="AS438">
        <v>45.334640722364284</v>
      </c>
      <c r="AT438">
        <v>226.67320361182144</v>
      </c>
      <c r="AU438">
        <v>136.00392216709287</v>
      </c>
    </row>
    <row r="439" spans="1:47" x14ac:dyDescent="0.25">
      <c r="A439" t="s">
        <v>337</v>
      </c>
      <c r="B439" t="s">
        <v>476</v>
      </c>
      <c r="C439" t="s">
        <v>319</v>
      </c>
      <c r="D439">
        <v>2026</v>
      </c>
      <c r="E439">
        <v>0</v>
      </c>
      <c r="F439">
        <v>10</v>
      </c>
      <c r="G439">
        <v>0</v>
      </c>
      <c r="H439">
        <v>0</v>
      </c>
      <c r="I439">
        <v>50</v>
      </c>
      <c r="J439">
        <v>250</v>
      </c>
      <c r="K439">
        <v>1</v>
      </c>
      <c r="L439">
        <v>1</v>
      </c>
      <c r="M439">
        <v>33</v>
      </c>
      <c r="N439">
        <v>0</v>
      </c>
      <c r="O439" t="s">
        <v>27</v>
      </c>
      <c r="P439" t="s">
        <v>443</v>
      </c>
      <c r="Q439">
        <v>2026</v>
      </c>
      <c r="R439">
        <v>2036</v>
      </c>
      <c r="S439" t="s">
        <v>444</v>
      </c>
      <c r="T439">
        <v>2031</v>
      </c>
      <c r="U439">
        <v>38.75</v>
      </c>
      <c r="V439">
        <v>1</v>
      </c>
      <c r="W439">
        <v>2031</v>
      </c>
      <c r="X439">
        <v>5</v>
      </c>
      <c r="Y439">
        <v>2031</v>
      </c>
      <c r="Z439">
        <v>1</v>
      </c>
      <c r="AA439">
        <v>50</v>
      </c>
      <c r="AB439">
        <v>250</v>
      </c>
      <c r="AC439">
        <v>50</v>
      </c>
      <c r="AD439">
        <v>250</v>
      </c>
      <c r="AE439">
        <v>0</v>
      </c>
      <c r="AF439">
        <v>0</v>
      </c>
      <c r="AG439">
        <v>50</v>
      </c>
      <c r="AH439">
        <v>250</v>
      </c>
      <c r="AI439">
        <v>1</v>
      </c>
      <c r="AJ439">
        <v>2.5169999999999999</v>
      </c>
      <c r="AK439">
        <v>2032</v>
      </c>
      <c r="AL439" s="61">
        <v>2.59</v>
      </c>
      <c r="AM439" s="61">
        <v>2.5169999999999999</v>
      </c>
      <c r="AN439" s="61">
        <v>2.59</v>
      </c>
      <c r="AO439">
        <v>1.1045453584485188</v>
      </c>
      <c r="AP439">
        <v>1.0258719904156592</v>
      </c>
      <c r="AQ439">
        <v>1.1331221453759597</v>
      </c>
      <c r="AR439" t="b">
        <v>0</v>
      </c>
      <c r="AS439">
        <v>44.125869575526167</v>
      </c>
      <c r="AT439">
        <v>220.62934787763083</v>
      </c>
      <c r="AU439">
        <v>132.3776087265785</v>
      </c>
    </row>
    <row r="440" spans="1:47" x14ac:dyDescent="0.25">
      <c r="A440" t="s">
        <v>337</v>
      </c>
      <c r="B440" t="s">
        <v>476</v>
      </c>
      <c r="C440" t="s">
        <v>319</v>
      </c>
      <c r="D440">
        <v>2026</v>
      </c>
      <c r="E440">
        <v>0</v>
      </c>
      <c r="F440">
        <v>10</v>
      </c>
      <c r="G440">
        <v>0</v>
      </c>
      <c r="H440">
        <v>0</v>
      </c>
      <c r="I440">
        <v>50</v>
      </c>
      <c r="J440">
        <v>250</v>
      </c>
      <c r="K440">
        <v>1</v>
      </c>
      <c r="L440">
        <v>1</v>
      </c>
      <c r="M440">
        <v>33</v>
      </c>
      <c r="N440">
        <v>0</v>
      </c>
      <c r="O440" t="s">
        <v>27</v>
      </c>
      <c r="P440" t="s">
        <v>443</v>
      </c>
      <c r="Q440">
        <v>2026</v>
      </c>
      <c r="R440">
        <v>2036</v>
      </c>
      <c r="S440" t="s">
        <v>444</v>
      </c>
      <c r="T440">
        <v>2032</v>
      </c>
      <c r="U440">
        <v>39.75</v>
      </c>
      <c r="V440">
        <v>1</v>
      </c>
      <c r="W440">
        <v>2032</v>
      </c>
      <c r="X440">
        <v>6</v>
      </c>
      <c r="Y440">
        <v>2032</v>
      </c>
      <c r="Z440">
        <v>1</v>
      </c>
      <c r="AA440">
        <v>50</v>
      </c>
      <c r="AB440">
        <v>250</v>
      </c>
      <c r="AC440">
        <v>50</v>
      </c>
      <c r="AD440">
        <v>250</v>
      </c>
      <c r="AE440">
        <v>0</v>
      </c>
      <c r="AF440">
        <v>0</v>
      </c>
      <c r="AG440">
        <v>50</v>
      </c>
      <c r="AH440">
        <v>250</v>
      </c>
      <c r="AI440">
        <v>1</v>
      </c>
      <c r="AJ440">
        <v>2.59</v>
      </c>
      <c r="AK440">
        <v>2033</v>
      </c>
      <c r="AL440" s="61">
        <v>2.6880000000000002</v>
      </c>
      <c r="AM440" s="61">
        <v>2.59</v>
      </c>
      <c r="AN440" s="61">
        <v>2.6880000000000002</v>
      </c>
      <c r="AO440">
        <v>1.1363841013749196</v>
      </c>
      <c r="AP440">
        <v>1.0268423936996114</v>
      </c>
      <c r="AQ440">
        <v>1.1668873708180043</v>
      </c>
      <c r="AR440" t="b">
        <v>0</v>
      </c>
      <c r="AS440">
        <v>42.849036891151975</v>
      </c>
      <c r="AT440">
        <v>214.24518445575987</v>
      </c>
      <c r="AU440">
        <v>128.54711067345593</v>
      </c>
    </row>
    <row r="441" spans="1:47" x14ac:dyDescent="0.25">
      <c r="A441" t="s">
        <v>337</v>
      </c>
      <c r="B441" t="s">
        <v>476</v>
      </c>
      <c r="C441" t="s">
        <v>319</v>
      </c>
      <c r="D441">
        <v>2026</v>
      </c>
      <c r="E441">
        <v>0</v>
      </c>
      <c r="F441">
        <v>10</v>
      </c>
      <c r="G441">
        <v>0</v>
      </c>
      <c r="H441">
        <v>0</v>
      </c>
      <c r="I441">
        <v>50</v>
      </c>
      <c r="J441">
        <v>250</v>
      </c>
      <c r="K441">
        <v>1</v>
      </c>
      <c r="L441">
        <v>1</v>
      </c>
      <c r="M441">
        <v>33</v>
      </c>
      <c r="N441">
        <v>0</v>
      </c>
      <c r="O441" t="s">
        <v>27</v>
      </c>
      <c r="P441" t="s">
        <v>443</v>
      </c>
      <c r="Q441">
        <v>2026</v>
      </c>
      <c r="R441">
        <v>2036</v>
      </c>
      <c r="S441" t="s">
        <v>444</v>
      </c>
      <c r="T441">
        <v>2033</v>
      </c>
      <c r="U441">
        <v>40.75</v>
      </c>
      <c r="V441">
        <v>1</v>
      </c>
      <c r="W441">
        <v>2033</v>
      </c>
      <c r="X441">
        <v>7</v>
      </c>
      <c r="Y441">
        <v>2033</v>
      </c>
      <c r="Z441">
        <v>1</v>
      </c>
      <c r="AA441">
        <v>50</v>
      </c>
      <c r="AB441">
        <v>250</v>
      </c>
      <c r="AC441">
        <v>50</v>
      </c>
      <c r="AD441">
        <v>250</v>
      </c>
      <c r="AE441">
        <v>0</v>
      </c>
      <c r="AF441">
        <v>0</v>
      </c>
      <c r="AG441">
        <v>50</v>
      </c>
      <c r="AH441">
        <v>250</v>
      </c>
      <c r="AI441">
        <v>1</v>
      </c>
      <c r="AJ441">
        <v>2.6880000000000002</v>
      </c>
      <c r="AK441">
        <v>2034</v>
      </c>
      <c r="AL441" s="61">
        <v>2.7519999999999998</v>
      </c>
      <c r="AM441" s="61">
        <v>2.6880000000000002</v>
      </c>
      <c r="AN441" s="61">
        <v>2.7519999999999998</v>
      </c>
      <c r="AO441">
        <v>1.1725143659072164</v>
      </c>
      <c r="AP441">
        <v>1.0274954447000768</v>
      </c>
      <c r="AQ441">
        <v>1.2047531698150638</v>
      </c>
      <c r="AR441" t="b">
        <v>0</v>
      </c>
      <c r="AS441">
        <v>41.502277190667428</v>
      </c>
      <c r="AT441">
        <v>207.51138595333714</v>
      </c>
      <c r="AU441">
        <v>124.50683157200228</v>
      </c>
    </row>
    <row r="442" spans="1:47" x14ac:dyDescent="0.25">
      <c r="A442" t="s">
        <v>337</v>
      </c>
      <c r="B442" t="s">
        <v>476</v>
      </c>
      <c r="C442" t="s">
        <v>319</v>
      </c>
      <c r="D442">
        <v>2026</v>
      </c>
      <c r="E442">
        <v>0</v>
      </c>
      <c r="F442">
        <v>10</v>
      </c>
      <c r="G442">
        <v>0</v>
      </c>
      <c r="H442">
        <v>0</v>
      </c>
      <c r="I442">
        <v>50</v>
      </c>
      <c r="J442">
        <v>250</v>
      </c>
      <c r="K442">
        <v>1</v>
      </c>
      <c r="L442">
        <v>1</v>
      </c>
      <c r="M442">
        <v>33</v>
      </c>
      <c r="N442">
        <v>0</v>
      </c>
      <c r="O442" t="s">
        <v>27</v>
      </c>
      <c r="P442" t="s">
        <v>443</v>
      </c>
      <c r="Q442">
        <v>2026</v>
      </c>
      <c r="R442">
        <v>2036</v>
      </c>
      <c r="S442" t="s">
        <v>444</v>
      </c>
      <c r="T442">
        <v>2034</v>
      </c>
      <c r="U442">
        <v>41.75</v>
      </c>
      <c r="V442">
        <v>1</v>
      </c>
      <c r="W442">
        <v>2034</v>
      </c>
      <c r="X442">
        <v>8</v>
      </c>
      <c r="Y442">
        <v>2034</v>
      </c>
      <c r="Z442">
        <v>1</v>
      </c>
      <c r="AA442">
        <v>50</v>
      </c>
      <c r="AB442">
        <v>250</v>
      </c>
      <c r="AC442">
        <v>50</v>
      </c>
      <c r="AD442">
        <v>250</v>
      </c>
      <c r="AE442">
        <v>0</v>
      </c>
      <c r="AF442">
        <v>0</v>
      </c>
      <c r="AG442">
        <v>50</v>
      </c>
      <c r="AH442">
        <v>250</v>
      </c>
      <c r="AI442">
        <v>1</v>
      </c>
      <c r="AJ442">
        <v>2.7519999999999998</v>
      </c>
      <c r="AK442">
        <v>2035</v>
      </c>
      <c r="AL442" s="61">
        <v>2.8420000000000001</v>
      </c>
      <c r="AM442" s="61">
        <v>2.7519999999999998</v>
      </c>
      <c r="AN442" s="61">
        <v>2.8420000000000001</v>
      </c>
      <c r="AO442">
        <v>1.2092942481281721</v>
      </c>
      <c r="AP442">
        <v>1.0283854649181425</v>
      </c>
      <c r="AQ442">
        <v>1.2436206275841259</v>
      </c>
      <c r="AR442" t="b">
        <v>0</v>
      </c>
      <c r="AS442">
        <v>40.205187089193487</v>
      </c>
      <c r="AT442">
        <v>201.02593544596743</v>
      </c>
      <c r="AU442">
        <v>120.61556126758046</v>
      </c>
    </row>
    <row r="443" spans="1:47" x14ac:dyDescent="0.25">
      <c r="A443" t="s">
        <v>337</v>
      </c>
      <c r="B443" t="s">
        <v>476</v>
      </c>
      <c r="C443" t="s">
        <v>319</v>
      </c>
      <c r="D443">
        <v>2026</v>
      </c>
      <c r="E443">
        <v>0</v>
      </c>
      <c r="F443">
        <v>10</v>
      </c>
      <c r="G443">
        <v>0</v>
      </c>
      <c r="H443">
        <v>0</v>
      </c>
      <c r="I443">
        <v>50</v>
      </c>
      <c r="J443">
        <v>250</v>
      </c>
      <c r="K443">
        <v>1</v>
      </c>
      <c r="L443">
        <v>1</v>
      </c>
      <c r="M443">
        <v>33</v>
      </c>
      <c r="N443">
        <v>0</v>
      </c>
      <c r="O443" t="s">
        <v>27</v>
      </c>
      <c r="P443" t="s">
        <v>443</v>
      </c>
      <c r="Q443">
        <v>2026</v>
      </c>
      <c r="R443">
        <v>2036</v>
      </c>
      <c r="S443" t="s">
        <v>444</v>
      </c>
      <c r="T443">
        <v>2035</v>
      </c>
      <c r="U443">
        <v>42.75</v>
      </c>
      <c r="V443">
        <v>1</v>
      </c>
      <c r="W443">
        <v>2035</v>
      </c>
      <c r="X443">
        <v>9</v>
      </c>
      <c r="Y443">
        <v>2035</v>
      </c>
      <c r="Z443">
        <v>1</v>
      </c>
      <c r="AA443">
        <v>50</v>
      </c>
      <c r="AB443">
        <v>250</v>
      </c>
      <c r="AC443">
        <v>50</v>
      </c>
      <c r="AD443">
        <v>250</v>
      </c>
      <c r="AE443">
        <v>0</v>
      </c>
      <c r="AF443">
        <v>0</v>
      </c>
      <c r="AG443">
        <v>50</v>
      </c>
      <c r="AH443">
        <v>250</v>
      </c>
      <c r="AI443">
        <v>1</v>
      </c>
      <c r="AJ443">
        <v>2.8420000000000001</v>
      </c>
      <c r="AK443">
        <v>2036</v>
      </c>
      <c r="AL443" s="61">
        <v>2.944</v>
      </c>
      <c r="AM443" s="61">
        <v>2.8420000000000001</v>
      </c>
      <c r="AN443" s="61">
        <v>2.944</v>
      </c>
      <c r="AO443">
        <v>1.2513076834571593</v>
      </c>
      <c r="AP443">
        <v>1.0294008580614105</v>
      </c>
      <c r="AQ443">
        <v>1.2880972030496356</v>
      </c>
      <c r="AR443" t="b">
        <v>0</v>
      </c>
      <c r="AS443">
        <v>38.816946331086243</v>
      </c>
      <c r="AT443">
        <v>194.0847316554312</v>
      </c>
      <c r="AU443">
        <v>116.45083899325871</v>
      </c>
    </row>
    <row r="444" spans="1:47" x14ac:dyDescent="0.25">
      <c r="A444" t="s">
        <v>337</v>
      </c>
      <c r="B444" t="s">
        <v>476</v>
      </c>
      <c r="C444" t="s">
        <v>319</v>
      </c>
      <c r="D444">
        <v>2026</v>
      </c>
      <c r="E444">
        <v>0</v>
      </c>
      <c r="M444">
        <v>33</v>
      </c>
      <c r="Q444">
        <v>2026</v>
      </c>
      <c r="R444">
        <v>2036</v>
      </c>
      <c r="T444">
        <v>2036</v>
      </c>
      <c r="U444">
        <v>43.75</v>
      </c>
      <c r="W444">
        <v>2036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L444" s="61"/>
      <c r="AS444">
        <v>0</v>
      </c>
      <c r="AT444">
        <v>0</v>
      </c>
      <c r="AU444">
        <v>0</v>
      </c>
    </row>
    <row r="445" spans="1:47" x14ac:dyDescent="0.25">
      <c r="A445" t="s">
        <v>364</v>
      </c>
      <c r="B445" t="s">
        <v>477</v>
      </c>
      <c r="C445" t="s">
        <v>320</v>
      </c>
      <c r="D445">
        <v>2026</v>
      </c>
      <c r="E445">
        <v>0</v>
      </c>
      <c r="F445">
        <v>15</v>
      </c>
      <c r="G445">
        <v>0</v>
      </c>
      <c r="H445">
        <v>0</v>
      </c>
      <c r="I445">
        <v>30</v>
      </c>
      <c r="J445">
        <v>45</v>
      </c>
      <c r="K445">
        <v>4</v>
      </c>
      <c r="L445">
        <v>2</v>
      </c>
      <c r="M445">
        <v>34</v>
      </c>
      <c r="N445">
        <v>0</v>
      </c>
      <c r="O445" t="s">
        <v>27</v>
      </c>
      <c r="P445" t="s">
        <v>443</v>
      </c>
      <c r="Q445">
        <v>2026</v>
      </c>
      <c r="R445">
        <v>2041</v>
      </c>
      <c r="S445" t="s">
        <v>444</v>
      </c>
      <c r="T445">
        <v>2026</v>
      </c>
      <c r="U445">
        <v>33.75</v>
      </c>
      <c r="V445">
        <v>1</v>
      </c>
      <c r="W445">
        <v>2026</v>
      </c>
      <c r="X445">
        <v>0</v>
      </c>
      <c r="Y445">
        <v>2026</v>
      </c>
      <c r="Z445">
        <v>1</v>
      </c>
      <c r="AA445">
        <v>120</v>
      </c>
      <c r="AB445">
        <v>180</v>
      </c>
      <c r="AC445">
        <v>120</v>
      </c>
      <c r="AD445">
        <v>180</v>
      </c>
      <c r="AE445">
        <v>0</v>
      </c>
      <c r="AF445">
        <v>0</v>
      </c>
      <c r="AG445">
        <v>120</v>
      </c>
      <c r="AH445">
        <v>180</v>
      </c>
      <c r="AI445">
        <v>1</v>
      </c>
      <c r="AK445">
        <v>2027</v>
      </c>
      <c r="AL445" s="61">
        <v>2.4329999999999998</v>
      </c>
      <c r="AM445" s="61">
        <v>0</v>
      </c>
      <c r="AN445" s="61">
        <v>2.4329999999999998</v>
      </c>
      <c r="AO445">
        <v>1</v>
      </c>
      <c r="AP445">
        <v>1.023385968321771</v>
      </c>
      <c r="AQ445">
        <v>1.023385968321771</v>
      </c>
      <c r="AR445" t="b">
        <v>1</v>
      </c>
      <c r="AS445">
        <v>120</v>
      </c>
      <c r="AT445">
        <v>180</v>
      </c>
      <c r="AU445">
        <v>150</v>
      </c>
    </row>
    <row r="446" spans="1:47" x14ac:dyDescent="0.25">
      <c r="A446" t="s">
        <v>364</v>
      </c>
      <c r="B446" t="s">
        <v>477</v>
      </c>
      <c r="C446" t="s">
        <v>320</v>
      </c>
      <c r="D446">
        <v>2026</v>
      </c>
      <c r="E446">
        <v>0</v>
      </c>
      <c r="F446">
        <v>15</v>
      </c>
      <c r="G446">
        <v>0</v>
      </c>
      <c r="H446">
        <v>0</v>
      </c>
      <c r="I446">
        <v>30</v>
      </c>
      <c r="J446">
        <v>45</v>
      </c>
      <c r="K446">
        <v>4</v>
      </c>
      <c r="L446">
        <v>2</v>
      </c>
      <c r="M446">
        <v>34</v>
      </c>
      <c r="N446">
        <v>0</v>
      </c>
      <c r="O446" t="s">
        <v>27</v>
      </c>
      <c r="P446" t="s">
        <v>443</v>
      </c>
      <c r="Q446">
        <v>2026</v>
      </c>
      <c r="R446">
        <v>2041</v>
      </c>
      <c r="S446" t="s">
        <v>444</v>
      </c>
      <c r="T446">
        <v>2027</v>
      </c>
      <c r="U446">
        <v>34.75</v>
      </c>
      <c r="V446">
        <v>1</v>
      </c>
      <c r="W446">
        <v>2027</v>
      </c>
      <c r="X446">
        <v>1</v>
      </c>
      <c r="Y446">
        <v>2027</v>
      </c>
      <c r="Z446">
        <v>1</v>
      </c>
      <c r="AA446">
        <v>120</v>
      </c>
      <c r="AB446">
        <v>180</v>
      </c>
      <c r="AC446">
        <v>120</v>
      </c>
      <c r="AD446">
        <v>180</v>
      </c>
      <c r="AE446">
        <v>0</v>
      </c>
      <c r="AF446">
        <v>0</v>
      </c>
      <c r="AG446">
        <v>120</v>
      </c>
      <c r="AH446">
        <v>180</v>
      </c>
      <c r="AI446">
        <v>1</v>
      </c>
      <c r="AJ446">
        <v>2.4329999999999998</v>
      </c>
      <c r="AK446">
        <v>2028</v>
      </c>
      <c r="AL446" s="61">
        <v>2.4220000000000002</v>
      </c>
      <c r="AM446" s="61">
        <v>2.4329999999999998</v>
      </c>
      <c r="AN446" s="61">
        <v>2.4220000000000002</v>
      </c>
      <c r="AO446">
        <v>1</v>
      </c>
      <c r="AP446">
        <v>1.0242242189602202</v>
      </c>
      <c r="AQ446">
        <v>1.0242242189602202</v>
      </c>
      <c r="AR446" t="b">
        <v>0</v>
      </c>
      <c r="AS446">
        <v>117.16184579370963</v>
      </c>
      <c r="AT446">
        <v>175.74276869056445</v>
      </c>
      <c r="AU446">
        <v>146.45230724213704</v>
      </c>
    </row>
    <row r="447" spans="1:47" x14ac:dyDescent="0.25">
      <c r="A447" t="s">
        <v>364</v>
      </c>
      <c r="B447" t="s">
        <v>477</v>
      </c>
      <c r="C447" t="s">
        <v>320</v>
      </c>
      <c r="D447">
        <v>2026</v>
      </c>
      <c r="E447">
        <v>0</v>
      </c>
      <c r="F447">
        <v>15</v>
      </c>
      <c r="G447">
        <v>0</v>
      </c>
      <c r="H447">
        <v>0</v>
      </c>
      <c r="I447">
        <v>30</v>
      </c>
      <c r="J447">
        <v>45</v>
      </c>
      <c r="K447">
        <v>4</v>
      </c>
      <c r="L447">
        <v>2</v>
      </c>
      <c r="M447">
        <v>34</v>
      </c>
      <c r="N447">
        <v>0</v>
      </c>
      <c r="O447" t="s">
        <v>27</v>
      </c>
      <c r="P447" t="s">
        <v>443</v>
      </c>
      <c r="Q447">
        <v>2026</v>
      </c>
      <c r="R447">
        <v>2041</v>
      </c>
      <c r="S447" t="s">
        <v>444</v>
      </c>
      <c r="T447">
        <v>2028</v>
      </c>
      <c r="U447">
        <v>35.75</v>
      </c>
      <c r="V447">
        <v>1</v>
      </c>
      <c r="W447">
        <v>2028</v>
      </c>
      <c r="X447">
        <v>2</v>
      </c>
      <c r="Y447">
        <v>2028</v>
      </c>
      <c r="Z447">
        <v>1</v>
      </c>
      <c r="AA447">
        <v>120</v>
      </c>
      <c r="AB447">
        <v>180</v>
      </c>
      <c r="AC447">
        <v>120</v>
      </c>
      <c r="AD447">
        <v>180</v>
      </c>
      <c r="AE447">
        <v>0</v>
      </c>
      <c r="AF447">
        <v>0</v>
      </c>
      <c r="AG447">
        <v>120</v>
      </c>
      <c r="AH447">
        <v>180</v>
      </c>
      <c r="AI447">
        <v>1</v>
      </c>
      <c r="AJ447">
        <v>2.4220000000000002</v>
      </c>
      <c r="AK447">
        <v>2029</v>
      </c>
      <c r="AL447" s="61">
        <v>2.4209999999999998</v>
      </c>
      <c r="AM447" s="61">
        <v>2.4220000000000002</v>
      </c>
      <c r="AN447" s="61">
        <v>2.4209999999999998</v>
      </c>
      <c r="AO447">
        <v>1.0242199999999999</v>
      </c>
      <c r="AP447">
        <v>1.0242103835598433</v>
      </c>
      <c r="AQ447">
        <v>1.0490167590496626</v>
      </c>
      <c r="AR447" t="b">
        <v>0</v>
      </c>
      <c r="AS447">
        <v>114.39283401793483</v>
      </c>
      <c r="AT447">
        <v>171.58925102690225</v>
      </c>
      <c r="AU447">
        <v>142.99104252241852</v>
      </c>
    </row>
    <row r="448" spans="1:47" x14ac:dyDescent="0.25">
      <c r="A448" t="s">
        <v>364</v>
      </c>
      <c r="B448" t="s">
        <v>477</v>
      </c>
      <c r="C448" t="s">
        <v>320</v>
      </c>
      <c r="D448">
        <v>2026</v>
      </c>
      <c r="E448">
        <v>0</v>
      </c>
      <c r="F448">
        <v>15</v>
      </c>
      <c r="G448">
        <v>0</v>
      </c>
      <c r="H448">
        <v>0</v>
      </c>
      <c r="I448">
        <v>30</v>
      </c>
      <c r="J448">
        <v>45</v>
      </c>
      <c r="K448">
        <v>4</v>
      </c>
      <c r="L448">
        <v>2</v>
      </c>
      <c r="M448">
        <v>34</v>
      </c>
      <c r="N448">
        <v>0</v>
      </c>
      <c r="O448" t="s">
        <v>27</v>
      </c>
      <c r="P448" t="s">
        <v>443</v>
      </c>
      <c r="Q448">
        <v>2026</v>
      </c>
      <c r="R448">
        <v>2041</v>
      </c>
      <c r="S448" t="s">
        <v>444</v>
      </c>
      <c r="T448">
        <v>2029</v>
      </c>
      <c r="U448">
        <v>36.75</v>
      </c>
      <c r="V448">
        <v>1</v>
      </c>
      <c r="W448">
        <v>2029</v>
      </c>
      <c r="X448">
        <v>3</v>
      </c>
      <c r="Y448">
        <v>2029</v>
      </c>
      <c r="Z448">
        <v>1</v>
      </c>
      <c r="AA448">
        <v>120</v>
      </c>
      <c r="AB448">
        <v>180</v>
      </c>
      <c r="AC448">
        <v>120</v>
      </c>
      <c r="AD448">
        <v>180</v>
      </c>
      <c r="AE448">
        <v>0</v>
      </c>
      <c r="AF448">
        <v>0</v>
      </c>
      <c r="AG448">
        <v>120</v>
      </c>
      <c r="AH448">
        <v>180</v>
      </c>
      <c r="AI448">
        <v>1</v>
      </c>
      <c r="AJ448">
        <v>2.4209999999999998</v>
      </c>
      <c r="AK448">
        <v>2030</v>
      </c>
      <c r="AL448" s="61">
        <v>2.4670000000000001</v>
      </c>
      <c r="AM448" s="61">
        <v>2.4209999999999998</v>
      </c>
      <c r="AN448" s="61">
        <v>2.4670000000000001</v>
      </c>
      <c r="AO448">
        <v>1.0490061241000002</v>
      </c>
      <c r="AP448">
        <v>1.0246523523547908</v>
      </c>
      <c r="AQ448">
        <v>1.0748665926936467</v>
      </c>
      <c r="AR448" t="b">
        <v>0</v>
      </c>
      <c r="AS448">
        <v>111.64176169926031</v>
      </c>
      <c r="AT448">
        <v>167.46264254889047</v>
      </c>
      <c r="AU448">
        <v>139.55220212407539</v>
      </c>
    </row>
    <row r="449" spans="1:47" x14ac:dyDescent="0.25">
      <c r="A449" t="s">
        <v>364</v>
      </c>
      <c r="B449" t="s">
        <v>477</v>
      </c>
      <c r="C449" t="s">
        <v>320</v>
      </c>
      <c r="D449">
        <v>2026</v>
      </c>
      <c r="E449">
        <v>0</v>
      </c>
      <c r="F449">
        <v>15</v>
      </c>
      <c r="G449">
        <v>0</v>
      </c>
      <c r="H449">
        <v>0</v>
      </c>
      <c r="I449">
        <v>30</v>
      </c>
      <c r="J449">
        <v>45</v>
      </c>
      <c r="K449">
        <v>4</v>
      </c>
      <c r="L449">
        <v>2</v>
      </c>
      <c r="M449">
        <v>34</v>
      </c>
      <c r="N449">
        <v>0</v>
      </c>
      <c r="O449" t="s">
        <v>27</v>
      </c>
      <c r="P449" t="s">
        <v>443</v>
      </c>
      <c r="Q449">
        <v>2026</v>
      </c>
      <c r="R449">
        <v>2041</v>
      </c>
      <c r="S449" t="s">
        <v>444</v>
      </c>
      <c r="T449">
        <v>2030</v>
      </c>
      <c r="U449">
        <v>37.75</v>
      </c>
      <c r="V449">
        <v>1</v>
      </c>
      <c r="W449">
        <v>2030</v>
      </c>
      <c r="X449">
        <v>4</v>
      </c>
      <c r="Y449">
        <v>2030</v>
      </c>
      <c r="Z449">
        <v>1</v>
      </c>
      <c r="AA449">
        <v>120</v>
      </c>
      <c r="AB449">
        <v>180</v>
      </c>
      <c r="AC449">
        <v>120</v>
      </c>
      <c r="AD449">
        <v>180</v>
      </c>
      <c r="AE449">
        <v>0</v>
      </c>
      <c r="AF449">
        <v>0</v>
      </c>
      <c r="AG449">
        <v>120</v>
      </c>
      <c r="AH449">
        <v>180</v>
      </c>
      <c r="AI449">
        <v>1</v>
      </c>
      <c r="AJ449">
        <v>2.4670000000000001</v>
      </c>
      <c r="AK449">
        <v>2031</v>
      </c>
      <c r="AL449" s="61">
        <v>2.5169999999999999</v>
      </c>
      <c r="AM449" s="61">
        <v>2.4670000000000001</v>
      </c>
      <c r="AN449" s="61">
        <v>2.5169999999999999</v>
      </c>
      <c r="AO449">
        <v>1.0758508410815628</v>
      </c>
      <c r="AP449">
        <v>1.0251508174189523</v>
      </c>
      <c r="AQ449">
        <v>1.1029093691556315</v>
      </c>
      <c r="AR449" t="b">
        <v>0</v>
      </c>
      <c r="AS449">
        <v>108.80313773367429</v>
      </c>
      <c r="AT449">
        <v>163.20470660051143</v>
      </c>
      <c r="AU449">
        <v>136.00392216709287</v>
      </c>
    </row>
    <row r="450" spans="1:47" x14ac:dyDescent="0.25">
      <c r="A450" t="s">
        <v>364</v>
      </c>
      <c r="B450" t="s">
        <v>477</v>
      </c>
      <c r="C450" t="s">
        <v>320</v>
      </c>
      <c r="D450">
        <v>2026</v>
      </c>
      <c r="E450">
        <v>0</v>
      </c>
      <c r="F450">
        <v>15</v>
      </c>
      <c r="G450">
        <v>0</v>
      </c>
      <c r="H450">
        <v>0</v>
      </c>
      <c r="I450">
        <v>30</v>
      </c>
      <c r="J450">
        <v>45</v>
      </c>
      <c r="K450">
        <v>4</v>
      </c>
      <c r="L450">
        <v>2</v>
      </c>
      <c r="M450">
        <v>34</v>
      </c>
      <c r="N450">
        <v>0</v>
      </c>
      <c r="O450" t="s">
        <v>27</v>
      </c>
      <c r="P450" t="s">
        <v>443</v>
      </c>
      <c r="Q450">
        <v>2026</v>
      </c>
      <c r="R450">
        <v>2041</v>
      </c>
      <c r="S450" t="s">
        <v>444</v>
      </c>
      <c r="T450">
        <v>2031</v>
      </c>
      <c r="U450">
        <v>38.75</v>
      </c>
      <c r="V450">
        <v>1</v>
      </c>
      <c r="W450">
        <v>2031</v>
      </c>
      <c r="X450">
        <v>5</v>
      </c>
      <c r="Y450">
        <v>2031</v>
      </c>
      <c r="Z450">
        <v>1</v>
      </c>
      <c r="AA450">
        <v>120</v>
      </c>
      <c r="AB450">
        <v>180</v>
      </c>
      <c r="AC450">
        <v>120</v>
      </c>
      <c r="AD450">
        <v>180</v>
      </c>
      <c r="AE450">
        <v>0</v>
      </c>
      <c r="AF450">
        <v>0</v>
      </c>
      <c r="AG450">
        <v>120</v>
      </c>
      <c r="AH450">
        <v>180</v>
      </c>
      <c r="AI450">
        <v>1</v>
      </c>
      <c r="AJ450">
        <v>2.5169999999999999</v>
      </c>
      <c r="AK450">
        <v>2032</v>
      </c>
      <c r="AL450" s="61">
        <v>2.59</v>
      </c>
      <c r="AM450" s="61">
        <v>2.5169999999999999</v>
      </c>
      <c r="AN450" s="61">
        <v>2.59</v>
      </c>
      <c r="AO450">
        <v>1.1045453584485188</v>
      </c>
      <c r="AP450">
        <v>1.0258719904156592</v>
      </c>
      <c r="AQ450">
        <v>1.1331221453759597</v>
      </c>
      <c r="AR450" t="b">
        <v>0</v>
      </c>
      <c r="AS450">
        <v>105.90208698126281</v>
      </c>
      <c r="AT450">
        <v>158.85313047189422</v>
      </c>
      <c r="AU450">
        <v>132.3776087265785</v>
      </c>
    </row>
    <row r="451" spans="1:47" x14ac:dyDescent="0.25">
      <c r="A451" t="s">
        <v>364</v>
      </c>
      <c r="B451" t="s">
        <v>477</v>
      </c>
      <c r="C451" t="s">
        <v>320</v>
      </c>
      <c r="D451">
        <v>2026</v>
      </c>
      <c r="E451">
        <v>0</v>
      </c>
      <c r="F451">
        <v>15</v>
      </c>
      <c r="G451">
        <v>0</v>
      </c>
      <c r="H451">
        <v>0</v>
      </c>
      <c r="I451">
        <v>30</v>
      </c>
      <c r="J451">
        <v>45</v>
      </c>
      <c r="K451">
        <v>4</v>
      </c>
      <c r="L451">
        <v>2</v>
      </c>
      <c r="M451">
        <v>34</v>
      </c>
      <c r="N451">
        <v>0</v>
      </c>
      <c r="O451" t="s">
        <v>27</v>
      </c>
      <c r="P451" t="s">
        <v>443</v>
      </c>
      <c r="Q451">
        <v>2026</v>
      </c>
      <c r="R451">
        <v>2041</v>
      </c>
      <c r="S451" t="s">
        <v>444</v>
      </c>
      <c r="T451">
        <v>2032</v>
      </c>
      <c r="U451">
        <v>39.75</v>
      </c>
      <c r="V451">
        <v>1</v>
      </c>
      <c r="W451">
        <v>2032</v>
      </c>
      <c r="X451">
        <v>6</v>
      </c>
      <c r="Y451">
        <v>2032</v>
      </c>
      <c r="Z451">
        <v>1</v>
      </c>
      <c r="AA451">
        <v>120</v>
      </c>
      <c r="AB451">
        <v>180</v>
      </c>
      <c r="AC451">
        <v>120</v>
      </c>
      <c r="AD451">
        <v>180</v>
      </c>
      <c r="AE451">
        <v>0</v>
      </c>
      <c r="AF451">
        <v>0</v>
      </c>
      <c r="AG451">
        <v>120</v>
      </c>
      <c r="AH451">
        <v>180</v>
      </c>
      <c r="AI451">
        <v>1</v>
      </c>
      <c r="AJ451">
        <v>2.59</v>
      </c>
      <c r="AK451">
        <v>2033</v>
      </c>
      <c r="AL451" s="61">
        <v>2.6880000000000002</v>
      </c>
      <c r="AM451" s="61">
        <v>2.59</v>
      </c>
      <c r="AN451" s="61">
        <v>2.6880000000000002</v>
      </c>
      <c r="AO451">
        <v>1.1363841013749196</v>
      </c>
      <c r="AP451">
        <v>1.0268423936996114</v>
      </c>
      <c r="AQ451">
        <v>1.1668873708180043</v>
      </c>
      <c r="AR451" t="b">
        <v>0</v>
      </c>
      <c r="AS451">
        <v>102.83768853876474</v>
      </c>
      <c r="AT451">
        <v>154.25653280814711</v>
      </c>
      <c r="AU451">
        <v>128.54711067345593</v>
      </c>
    </row>
    <row r="452" spans="1:47" x14ac:dyDescent="0.25">
      <c r="A452" t="s">
        <v>364</v>
      </c>
      <c r="B452" t="s">
        <v>477</v>
      </c>
      <c r="C452" t="s">
        <v>320</v>
      </c>
      <c r="D452">
        <v>2026</v>
      </c>
      <c r="E452">
        <v>0</v>
      </c>
      <c r="F452">
        <v>15</v>
      </c>
      <c r="G452">
        <v>0</v>
      </c>
      <c r="H452">
        <v>0</v>
      </c>
      <c r="I452">
        <v>30</v>
      </c>
      <c r="J452">
        <v>45</v>
      </c>
      <c r="K452">
        <v>4</v>
      </c>
      <c r="L452">
        <v>2</v>
      </c>
      <c r="M452">
        <v>34</v>
      </c>
      <c r="N452">
        <v>0</v>
      </c>
      <c r="O452" t="s">
        <v>27</v>
      </c>
      <c r="P452" t="s">
        <v>443</v>
      </c>
      <c r="Q452">
        <v>2026</v>
      </c>
      <c r="R452">
        <v>2041</v>
      </c>
      <c r="S452" t="s">
        <v>444</v>
      </c>
      <c r="T452">
        <v>2033</v>
      </c>
      <c r="U452">
        <v>40.75</v>
      </c>
      <c r="V452">
        <v>1</v>
      </c>
      <c r="W452">
        <v>2033</v>
      </c>
      <c r="X452">
        <v>7</v>
      </c>
      <c r="Y452">
        <v>2033</v>
      </c>
      <c r="Z452">
        <v>1</v>
      </c>
      <c r="AA452">
        <v>120</v>
      </c>
      <c r="AB452">
        <v>180</v>
      </c>
      <c r="AC452">
        <v>120</v>
      </c>
      <c r="AD452">
        <v>180</v>
      </c>
      <c r="AE452">
        <v>0</v>
      </c>
      <c r="AF452">
        <v>0</v>
      </c>
      <c r="AG452">
        <v>120</v>
      </c>
      <c r="AH452">
        <v>180</v>
      </c>
      <c r="AI452">
        <v>1</v>
      </c>
      <c r="AJ452">
        <v>2.6880000000000002</v>
      </c>
      <c r="AK452">
        <v>2034</v>
      </c>
      <c r="AL452" s="61">
        <v>2.7519999999999998</v>
      </c>
      <c r="AM452" s="61">
        <v>2.6880000000000002</v>
      </c>
      <c r="AN452" s="61">
        <v>2.7519999999999998</v>
      </c>
      <c r="AO452">
        <v>1.1725143659072164</v>
      </c>
      <c r="AP452">
        <v>1.0274954447000768</v>
      </c>
      <c r="AQ452">
        <v>1.2047531698150638</v>
      </c>
      <c r="AR452" t="b">
        <v>0</v>
      </c>
      <c r="AS452">
        <v>99.605465257601821</v>
      </c>
      <c r="AT452">
        <v>149.40819788640275</v>
      </c>
      <c r="AU452">
        <v>124.50683157200228</v>
      </c>
    </row>
    <row r="453" spans="1:47" x14ac:dyDescent="0.25">
      <c r="A453" t="s">
        <v>364</v>
      </c>
      <c r="B453" t="s">
        <v>477</v>
      </c>
      <c r="C453" t="s">
        <v>320</v>
      </c>
      <c r="D453">
        <v>2026</v>
      </c>
      <c r="E453">
        <v>0</v>
      </c>
      <c r="F453">
        <v>15</v>
      </c>
      <c r="G453">
        <v>0</v>
      </c>
      <c r="H453">
        <v>0</v>
      </c>
      <c r="I453">
        <v>30</v>
      </c>
      <c r="J453">
        <v>45</v>
      </c>
      <c r="K453">
        <v>4</v>
      </c>
      <c r="L453">
        <v>2</v>
      </c>
      <c r="M453">
        <v>34</v>
      </c>
      <c r="N453">
        <v>0</v>
      </c>
      <c r="O453" t="s">
        <v>27</v>
      </c>
      <c r="P453" t="s">
        <v>443</v>
      </c>
      <c r="Q453">
        <v>2026</v>
      </c>
      <c r="R453">
        <v>2041</v>
      </c>
      <c r="S453" t="s">
        <v>444</v>
      </c>
      <c r="T453">
        <v>2034</v>
      </c>
      <c r="U453">
        <v>41.75</v>
      </c>
      <c r="V453">
        <v>1</v>
      </c>
      <c r="W453">
        <v>2034</v>
      </c>
      <c r="X453">
        <v>8</v>
      </c>
      <c r="Y453">
        <v>2034</v>
      </c>
      <c r="Z453">
        <v>1</v>
      </c>
      <c r="AA453">
        <v>120</v>
      </c>
      <c r="AB453">
        <v>180</v>
      </c>
      <c r="AC453">
        <v>120</v>
      </c>
      <c r="AD453">
        <v>180</v>
      </c>
      <c r="AE453">
        <v>0</v>
      </c>
      <c r="AF453">
        <v>0</v>
      </c>
      <c r="AG453">
        <v>120</v>
      </c>
      <c r="AH453">
        <v>180</v>
      </c>
      <c r="AI453">
        <v>1</v>
      </c>
      <c r="AJ453">
        <v>2.7519999999999998</v>
      </c>
      <c r="AK453">
        <v>2035</v>
      </c>
      <c r="AL453" s="61">
        <v>2.8420000000000001</v>
      </c>
      <c r="AM453" s="61">
        <v>2.7519999999999998</v>
      </c>
      <c r="AN453" s="61">
        <v>2.8420000000000001</v>
      </c>
      <c r="AO453">
        <v>1.2092942481281721</v>
      </c>
      <c r="AP453">
        <v>1.0283854649181425</v>
      </c>
      <c r="AQ453">
        <v>1.2436206275841259</v>
      </c>
      <c r="AR453" t="b">
        <v>0</v>
      </c>
      <c r="AS453">
        <v>96.492449014064363</v>
      </c>
      <c r="AT453">
        <v>144.73867352109656</v>
      </c>
      <c r="AU453">
        <v>120.61556126758046</v>
      </c>
    </row>
    <row r="454" spans="1:47" x14ac:dyDescent="0.25">
      <c r="A454" t="s">
        <v>364</v>
      </c>
      <c r="B454" t="s">
        <v>477</v>
      </c>
      <c r="C454" t="s">
        <v>320</v>
      </c>
      <c r="D454">
        <v>2026</v>
      </c>
      <c r="E454">
        <v>0</v>
      </c>
      <c r="F454">
        <v>15</v>
      </c>
      <c r="G454">
        <v>0</v>
      </c>
      <c r="H454">
        <v>0</v>
      </c>
      <c r="I454">
        <v>30</v>
      </c>
      <c r="J454">
        <v>45</v>
      </c>
      <c r="K454">
        <v>4</v>
      </c>
      <c r="L454">
        <v>2</v>
      </c>
      <c r="M454">
        <v>34</v>
      </c>
      <c r="N454">
        <v>0</v>
      </c>
      <c r="O454" t="s">
        <v>27</v>
      </c>
      <c r="P454" t="s">
        <v>443</v>
      </c>
      <c r="Q454">
        <v>2026</v>
      </c>
      <c r="R454">
        <v>2041</v>
      </c>
      <c r="S454" t="s">
        <v>444</v>
      </c>
      <c r="T454">
        <v>2035</v>
      </c>
      <c r="U454">
        <v>42.75</v>
      </c>
      <c r="V454">
        <v>1</v>
      </c>
      <c r="W454">
        <v>2035</v>
      </c>
      <c r="X454">
        <v>9</v>
      </c>
      <c r="Y454">
        <v>2035</v>
      </c>
      <c r="Z454">
        <v>1</v>
      </c>
      <c r="AA454">
        <v>120</v>
      </c>
      <c r="AB454">
        <v>180</v>
      </c>
      <c r="AC454">
        <v>120</v>
      </c>
      <c r="AD454">
        <v>180</v>
      </c>
      <c r="AE454">
        <v>0</v>
      </c>
      <c r="AF454">
        <v>0</v>
      </c>
      <c r="AG454">
        <v>120</v>
      </c>
      <c r="AH454">
        <v>180</v>
      </c>
      <c r="AI454">
        <v>1</v>
      </c>
      <c r="AJ454">
        <v>2.8420000000000001</v>
      </c>
      <c r="AK454">
        <v>2036</v>
      </c>
      <c r="AL454" s="61">
        <v>2.944</v>
      </c>
      <c r="AM454" s="61">
        <v>2.8420000000000001</v>
      </c>
      <c r="AN454" s="61">
        <v>2.944</v>
      </c>
      <c r="AO454">
        <v>1.2513076834571593</v>
      </c>
      <c r="AP454">
        <v>1.0294008580614105</v>
      </c>
      <c r="AQ454">
        <v>1.2880972030496356</v>
      </c>
      <c r="AR454" t="b">
        <v>0</v>
      </c>
      <c r="AS454">
        <v>93.160671194606977</v>
      </c>
      <c r="AT454">
        <v>139.74100679191045</v>
      </c>
      <c r="AU454">
        <v>116.45083899325871</v>
      </c>
    </row>
    <row r="455" spans="1:47" x14ac:dyDescent="0.25">
      <c r="A455" t="s">
        <v>364</v>
      </c>
      <c r="B455" t="s">
        <v>477</v>
      </c>
      <c r="C455" t="s">
        <v>320</v>
      </c>
      <c r="D455">
        <v>2026</v>
      </c>
      <c r="E455">
        <v>0</v>
      </c>
      <c r="F455">
        <v>15</v>
      </c>
      <c r="G455">
        <v>0</v>
      </c>
      <c r="H455">
        <v>0</v>
      </c>
      <c r="I455">
        <v>30</v>
      </c>
      <c r="J455">
        <v>45</v>
      </c>
      <c r="K455">
        <v>4</v>
      </c>
      <c r="L455">
        <v>2</v>
      </c>
      <c r="M455">
        <v>34</v>
      </c>
      <c r="N455">
        <v>0</v>
      </c>
      <c r="O455" t="s">
        <v>27</v>
      </c>
      <c r="P455" t="s">
        <v>443</v>
      </c>
      <c r="Q455">
        <v>2026</v>
      </c>
      <c r="R455">
        <v>2041</v>
      </c>
      <c r="S455" t="s">
        <v>444</v>
      </c>
      <c r="T455">
        <v>2036</v>
      </c>
      <c r="U455">
        <v>43.75</v>
      </c>
      <c r="V455">
        <v>1</v>
      </c>
      <c r="W455">
        <v>2036</v>
      </c>
      <c r="X455">
        <v>10</v>
      </c>
      <c r="Y455">
        <v>2036</v>
      </c>
      <c r="Z455">
        <v>1</v>
      </c>
      <c r="AA455">
        <v>120</v>
      </c>
      <c r="AB455">
        <v>180</v>
      </c>
      <c r="AC455">
        <v>120</v>
      </c>
      <c r="AD455">
        <v>180</v>
      </c>
      <c r="AE455">
        <v>0</v>
      </c>
      <c r="AF455">
        <v>0</v>
      </c>
      <c r="AG455">
        <v>120</v>
      </c>
      <c r="AH455">
        <v>180</v>
      </c>
      <c r="AI455">
        <v>1</v>
      </c>
      <c r="AJ455">
        <v>2.944</v>
      </c>
      <c r="AK455">
        <v>2037</v>
      </c>
      <c r="AL455" s="61">
        <v>3.036</v>
      </c>
      <c r="AM455" s="61">
        <v>2.944</v>
      </c>
      <c r="AN455" s="61">
        <v>3.036</v>
      </c>
      <c r="AO455">
        <v>1.2984025298030446</v>
      </c>
      <c r="AP455">
        <v>1.0303246971701443</v>
      </c>
      <c r="AQ455">
        <v>1.3377761933242711</v>
      </c>
      <c r="AR455" t="b">
        <v>0</v>
      </c>
      <c r="AS455">
        <v>89.701102919023555</v>
      </c>
      <c r="AT455">
        <v>134.55165437853535</v>
      </c>
      <c r="AU455">
        <v>112.12637864877945</v>
      </c>
    </row>
    <row r="456" spans="1:47" x14ac:dyDescent="0.25">
      <c r="A456" t="s">
        <v>364</v>
      </c>
      <c r="B456" t="s">
        <v>477</v>
      </c>
      <c r="C456" t="s">
        <v>320</v>
      </c>
      <c r="D456">
        <v>2026</v>
      </c>
      <c r="E456">
        <v>0</v>
      </c>
      <c r="F456">
        <v>15</v>
      </c>
      <c r="G456">
        <v>0</v>
      </c>
      <c r="H456">
        <v>0</v>
      </c>
      <c r="I456">
        <v>30</v>
      </c>
      <c r="J456">
        <v>45</v>
      </c>
      <c r="K456">
        <v>4</v>
      </c>
      <c r="L456">
        <v>2</v>
      </c>
      <c r="M456">
        <v>34</v>
      </c>
      <c r="N456">
        <v>0</v>
      </c>
      <c r="O456" t="s">
        <v>27</v>
      </c>
      <c r="P456" t="s">
        <v>443</v>
      </c>
      <c r="Q456">
        <v>2026</v>
      </c>
      <c r="R456">
        <v>2041</v>
      </c>
      <c r="S456" t="s">
        <v>444</v>
      </c>
      <c r="T456">
        <v>2037</v>
      </c>
      <c r="U456">
        <v>44.75</v>
      </c>
      <c r="V456">
        <v>1</v>
      </c>
      <c r="W456">
        <v>2037</v>
      </c>
      <c r="X456">
        <v>11</v>
      </c>
      <c r="Y456">
        <v>2037</v>
      </c>
      <c r="Z456">
        <v>1</v>
      </c>
      <c r="AA456">
        <v>120</v>
      </c>
      <c r="AB456">
        <v>180</v>
      </c>
      <c r="AC456">
        <v>120</v>
      </c>
      <c r="AD456">
        <v>180</v>
      </c>
      <c r="AE456">
        <v>0</v>
      </c>
      <c r="AF456">
        <v>0</v>
      </c>
      <c r="AG456">
        <v>120</v>
      </c>
      <c r="AH456">
        <v>180</v>
      </c>
      <c r="AI456">
        <v>1</v>
      </c>
      <c r="AJ456">
        <v>3.036</v>
      </c>
      <c r="AK456">
        <v>2038</v>
      </c>
      <c r="AL456" s="61">
        <v>3.1339999999999999</v>
      </c>
      <c r="AM456" s="61">
        <v>3.036</v>
      </c>
      <c r="AN456" s="61">
        <v>3.1339999999999999</v>
      </c>
      <c r="AO456">
        <v>1.3486209574989538</v>
      </c>
      <c r="AP456">
        <v>1.0313023937742947</v>
      </c>
      <c r="AQ456">
        <v>1.3908360217628524</v>
      </c>
      <c r="AR456" t="b">
        <v>0</v>
      </c>
      <c r="AS456">
        <v>86.279042333044259</v>
      </c>
      <c r="AT456">
        <v>129.41856349956637</v>
      </c>
      <c r="AU456">
        <v>107.84880291630532</v>
      </c>
    </row>
    <row r="457" spans="1:47" x14ac:dyDescent="0.25">
      <c r="A457" t="s">
        <v>364</v>
      </c>
      <c r="B457" t="s">
        <v>477</v>
      </c>
      <c r="C457" t="s">
        <v>320</v>
      </c>
      <c r="D457">
        <v>2026</v>
      </c>
      <c r="E457">
        <v>0</v>
      </c>
      <c r="F457">
        <v>15</v>
      </c>
      <c r="G457">
        <v>0</v>
      </c>
      <c r="H457">
        <v>0</v>
      </c>
      <c r="I457">
        <v>30</v>
      </c>
      <c r="J457">
        <v>45</v>
      </c>
      <c r="K457">
        <v>4</v>
      </c>
      <c r="L457">
        <v>2</v>
      </c>
      <c r="M457">
        <v>34</v>
      </c>
      <c r="N457">
        <v>0</v>
      </c>
      <c r="O457" t="s">
        <v>27</v>
      </c>
      <c r="P457" t="s">
        <v>443</v>
      </c>
      <c r="Q457">
        <v>2026</v>
      </c>
      <c r="R457">
        <v>2041</v>
      </c>
      <c r="S457" t="s">
        <v>444</v>
      </c>
      <c r="T457">
        <v>2038</v>
      </c>
      <c r="U457">
        <v>45.75</v>
      </c>
      <c r="V457">
        <v>1</v>
      </c>
      <c r="W457">
        <v>2038</v>
      </c>
      <c r="X457">
        <v>12</v>
      </c>
      <c r="Y457">
        <v>2038</v>
      </c>
      <c r="Z457">
        <v>1</v>
      </c>
      <c r="AA457">
        <v>120</v>
      </c>
      <c r="AB457">
        <v>180</v>
      </c>
      <c r="AC457">
        <v>120</v>
      </c>
      <c r="AD457">
        <v>180</v>
      </c>
      <c r="AE457">
        <v>0</v>
      </c>
      <c r="AF457">
        <v>0</v>
      </c>
      <c r="AG457">
        <v>120</v>
      </c>
      <c r="AH457">
        <v>180</v>
      </c>
      <c r="AI457">
        <v>1</v>
      </c>
      <c r="AJ457">
        <v>3.1339999999999999</v>
      </c>
      <c r="AK457">
        <v>2039</v>
      </c>
      <c r="AL457" s="61">
        <v>3.2069999999999999</v>
      </c>
      <c r="AM457" s="61">
        <v>3.1339999999999999</v>
      </c>
      <c r="AN457" s="61">
        <v>3.2069999999999999</v>
      </c>
      <c r="AO457">
        <v>1.4041725591738043</v>
      </c>
      <c r="AP457">
        <v>1.0320419904729838</v>
      </c>
      <c r="AQ457">
        <v>1.4491650429372767</v>
      </c>
      <c r="AR457" t="b">
        <v>0</v>
      </c>
      <c r="AS457">
        <v>82.806303246713</v>
      </c>
      <c r="AT457">
        <v>124.20945487006951</v>
      </c>
      <c r="AU457">
        <v>103.50787905839125</v>
      </c>
    </row>
    <row r="458" spans="1:47" x14ac:dyDescent="0.25">
      <c r="A458" t="s">
        <v>364</v>
      </c>
      <c r="B458" t="s">
        <v>477</v>
      </c>
      <c r="C458" t="s">
        <v>320</v>
      </c>
      <c r="D458">
        <v>2026</v>
      </c>
      <c r="E458">
        <v>0</v>
      </c>
      <c r="F458">
        <v>15</v>
      </c>
      <c r="G458">
        <v>0</v>
      </c>
      <c r="H458">
        <v>0</v>
      </c>
      <c r="I458">
        <v>30</v>
      </c>
      <c r="J458">
        <v>45</v>
      </c>
      <c r="K458">
        <v>4</v>
      </c>
      <c r="L458">
        <v>2</v>
      </c>
      <c r="M458">
        <v>34</v>
      </c>
      <c r="N458">
        <v>0</v>
      </c>
      <c r="O458" t="s">
        <v>27</v>
      </c>
      <c r="P458" t="s">
        <v>443</v>
      </c>
      <c r="Q458">
        <v>2026</v>
      </c>
      <c r="R458">
        <v>2041</v>
      </c>
      <c r="S458" t="s">
        <v>444</v>
      </c>
      <c r="T458">
        <v>2039</v>
      </c>
      <c r="U458">
        <v>46.75</v>
      </c>
      <c r="V458">
        <v>1</v>
      </c>
      <c r="W458">
        <v>2039</v>
      </c>
      <c r="X458">
        <v>13</v>
      </c>
      <c r="Y458">
        <v>2039</v>
      </c>
      <c r="Z458">
        <v>1</v>
      </c>
      <c r="AA458">
        <v>120</v>
      </c>
      <c r="AB458">
        <v>180</v>
      </c>
      <c r="AC458">
        <v>120</v>
      </c>
      <c r="AD458">
        <v>180</v>
      </c>
      <c r="AE458">
        <v>0</v>
      </c>
      <c r="AF458">
        <v>0</v>
      </c>
      <c r="AG458">
        <v>120</v>
      </c>
      <c r="AH458">
        <v>180</v>
      </c>
      <c r="AI458">
        <v>1</v>
      </c>
      <c r="AJ458">
        <v>3.2069999999999999</v>
      </c>
      <c r="AK458">
        <v>2040</v>
      </c>
      <c r="AL458" s="61">
        <v>3.3029999999999999</v>
      </c>
      <c r="AM458" s="61">
        <v>3.2069999999999999</v>
      </c>
      <c r="AN458" s="61">
        <v>3.3029999999999999</v>
      </c>
      <c r="AO458">
        <v>1.4605278779269859</v>
      </c>
      <c r="AP458">
        <v>1.0329931616190409</v>
      </c>
      <c r="AQ458">
        <v>1.5087153102525457</v>
      </c>
      <c r="AR458" t="b">
        <v>0</v>
      </c>
      <c r="AS458">
        <v>79.537868532608087</v>
      </c>
      <c r="AT458">
        <v>119.30680279891213</v>
      </c>
      <c r="AU458">
        <v>99.422335665760102</v>
      </c>
    </row>
    <row r="459" spans="1:47" x14ac:dyDescent="0.25">
      <c r="A459" t="s">
        <v>364</v>
      </c>
      <c r="B459" t="s">
        <v>477</v>
      </c>
      <c r="C459" t="s">
        <v>320</v>
      </c>
      <c r="D459">
        <v>2026</v>
      </c>
      <c r="E459">
        <v>0</v>
      </c>
      <c r="F459">
        <v>15</v>
      </c>
      <c r="G459">
        <v>0</v>
      </c>
      <c r="H459">
        <v>0</v>
      </c>
      <c r="I459">
        <v>30</v>
      </c>
      <c r="J459">
        <v>45</v>
      </c>
      <c r="K459">
        <v>4</v>
      </c>
      <c r="L459">
        <v>2</v>
      </c>
      <c r="M459">
        <v>34</v>
      </c>
      <c r="N459">
        <v>0</v>
      </c>
      <c r="O459" t="s">
        <v>27</v>
      </c>
      <c r="P459" t="s">
        <v>443</v>
      </c>
      <c r="Q459">
        <v>2026</v>
      </c>
      <c r="R459">
        <v>2041</v>
      </c>
      <c r="S459" t="s">
        <v>444</v>
      </c>
      <c r="T459">
        <v>2040</v>
      </c>
      <c r="U459">
        <v>47.75</v>
      </c>
      <c r="V459">
        <v>1</v>
      </c>
      <c r="W459">
        <v>2040</v>
      </c>
      <c r="X459">
        <v>14</v>
      </c>
      <c r="Y459">
        <v>2040</v>
      </c>
      <c r="Z459">
        <v>1</v>
      </c>
      <c r="AA459">
        <v>120</v>
      </c>
      <c r="AB459">
        <v>180</v>
      </c>
      <c r="AC459">
        <v>120</v>
      </c>
      <c r="AD459">
        <v>180</v>
      </c>
      <c r="AE459">
        <v>0</v>
      </c>
      <c r="AF459">
        <v>0</v>
      </c>
      <c r="AG459">
        <v>120</v>
      </c>
      <c r="AH459">
        <v>180</v>
      </c>
      <c r="AI459">
        <v>1</v>
      </c>
      <c r="AJ459">
        <v>3.3029999999999999</v>
      </c>
      <c r="AK459">
        <v>2041</v>
      </c>
      <c r="AL459" s="61">
        <v>3.3559999999999999</v>
      </c>
      <c r="AM459" s="61">
        <v>3.3029999999999999</v>
      </c>
      <c r="AN459" s="61">
        <v>3.3559999999999999</v>
      </c>
      <c r="AO459">
        <v>1.5256964700083253</v>
      </c>
      <c r="AP459">
        <v>1.0335396662189136</v>
      </c>
      <c r="AQ459">
        <v>1.5768678203637791</v>
      </c>
      <c r="AR459" t="b">
        <v>0</v>
      </c>
      <c r="AS459">
        <v>76.100227584272929</v>
      </c>
      <c r="AT459">
        <v>114.1503413764094</v>
      </c>
      <c r="AU459">
        <v>95.125284480341165</v>
      </c>
    </row>
    <row r="460" spans="1:47" x14ac:dyDescent="0.25">
      <c r="A460" t="s">
        <v>364</v>
      </c>
      <c r="B460" t="s">
        <v>477</v>
      </c>
      <c r="C460" t="s">
        <v>320</v>
      </c>
      <c r="D460">
        <v>2026</v>
      </c>
      <c r="E460">
        <v>0</v>
      </c>
      <c r="M460">
        <v>34</v>
      </c>
      <c r="Q460">
        <v>2026</v>
      </c>
      <c r="R460">
        <v>2041</v>
      </c>
      <c r="T460">
        <v>2041</v>
      </c>
      <c r="U460">
        <v>48.75</v>
      </c>
      <c r="W460">
        <v>2041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L460" s="61"/>
      <c r="AS460">
        <v>0</v>
      </c>
      <c r="AT460">
        <v>0</v>
      </c>
      <c r="AU460">
        <v>0</v>
      </c>
    </row>
    <row r="461" spans="1:47" x14ac:dyDescent="0.25">
      <c r="A461" t="s">
        <v>338</v>
      </c>
      <c r="B461" t="s">
        <v>478</v>
      </c>
      <c r="C461" t="s">
        <v>319</v>
      </c>
      <c r="D461">
        <v>2026</v>
      </c>
      <c r="E461">
        <v>0</v>
      </c>
      <c r="F461">
        <v>10</v>
      </c>
      <c r="G461">
        <v>0</v>
      </c>
      <c r="H461">
        <v>0</v>
      </c>
      <c r="I461">
        <v>50</v>
      </c>
      <c r="J461">
        <v>250</v>
      </c>
      <c r="K461">
        <v>1</v>
      </c>
      <c r="L461">
        <v>1</v>
      </c>
      <c r="M461">
        <v>35</v>
      </c>
      <c r="N461">
        <v>0</v>
      </c>
      <c r="O461" t="s">
        <v>27</v>
      </c>
      <c r="P461" t="s">
        <v>443</v>
      </c>
      <c r="Q461">
        <v>2026</v>
      </c>
      <c r="R461">
        <v>2036</v>
      </c>
      <c r="S461" t="s">
        <v>444</v>
      </c>
      <c r="T461">
        <v>2026</v>
      </c>
      <c r="U461">
        <v>33.75</v>
      </c>
      <c r="V461">
        <v>1</v>
      </c>
      <c r="W461">
        <v>2026</v>
      </c>
      <c r="X461">
        <v>0</v>
      </c>
      <c r="Y461">
        <v>2026</v>
      </c>
      <c r="Z461">
        <v>1</v>
      </c>
      <c r="AA461">
        <v>50</v>
      </c>
      <c r="AB461">
        <v>250</v>
      </c>
      <c r="AC461">
        <v>50</v>
      </c>
      <c r="AD461">
        <v>250</v>
      </c>
      <c r="AE461">
        <v>0</v>
      </c>
      <c r="AF461">
        <v>0</v>
      </c>
      <c r="AG461">
        <v>50</v>
      </c>
      <c r="AH461">
        <v>250</v>
      </c>
      <c r="AI461">
        <v>1</v>
      </c>
      <c r="AK461">
        <v>2027</v>
      </c>
      <c r="AL461" s="61">
        <v>2.4329999999999998</v>
      </c>
      <c r="AM461" s="61">
        <v>0</v>
      </c>
      <c r="AN461" s="61">
        <v>2.4329999999999998</v>
      </c>
      <c r="AO461">
        <v>1</v>
      </c>
      <c r="AP461">
        <v>1.023385968321771</v>
      </c>
      <c r="AQ461">
        <v>1.023385968321771</v>
      </c>
      <c r="AR461" t="b">
        <v>1</v>
      </c>
      <c r="AS461">
        <v>50</v>
      </c>
      <c r="AT461">
        <v>250</v>
      </c>
      <c r="AU461">
        <v>150</v>
      </c>
    </row>
    <row r="462" spans="1:47" x14ac:dyDescent="0.25">
      <c r="A462" t="s">
        <v>338</v>
      </c>
      <c r="B462" t="s">
        <v>478</v>
      </c>
      <c r="C462" t="s">
        <v>319</v>
      </c>
      <c r="D462">
        <v>2026</v>
      </c>
      <c r="E462">
        <v>0</v>
      </c>
      <c r="F462">
        <v>10</v>
      </c>
      <c r="G462">
        <v>0</v>
      </c>
      <c r="H462">
        <v>0</v>
      </c>
      <c r="I462">
        <v>50</v>
      </c>
      <c r="J462">
        <v>250</v>
      </c>
      <c r="K462">
        <v>1</v>
      </c>
      <c r="L462">
        <v>1</v>
      </c>
      <c r="M462">
        <v>35</v>
      </c>
      <c r="N462">
        <v>0</v>
      </c>
      <c r="O462" t="s">
        <v>27</v>
      </c>
      <c r="P462" t="s">
        <v>443</v>
      </c>
      <c r="Q462">
        <v>2026</v>
      </c>
      <c r="R462">
        <v>2036</v>
      </c>
      <c r="S462" t="s">
        <v>444</v>
      </c>
      <c r="T462">
        <v>2027</v>
      </c>
      <c r="U462">
        <v>34.75</v>
      </c>
      <c r="V462">
        <v>1</v>
      </c>
      <c r="W462">
        <v>2027</v>
      </c>
      <c r="X462">
        <v>1</v>
      </c>
      <c r="Y462">
        <v>2027</v>
      </c>
      <c r="Z462">
        <v>1</v>
      </c>
      <c r="AA462">
        <v>50</v>
      </c>
      <c r="AB462">
        <v>250</v>
      </c>
      <c r="AC462">
        <v>50</v>
      </c>
      <c r="AD462">
        <v>250</v>
      </c>
      <c r="AE462">
        <v>0</v>
      </c>
      <c r="AF462">
        <v>0</v>
      </c>
      <c r="AG462">
        <v>50</v>
      </c>
      <c r="AH462">
        <v>250</v>
      </c>
      <c r="AI462">
        <v>1</v>
      </c>
      <c r="AJ462">
        <v>2.4329999999999998</v>
      </c>
      <c r="AK462">
        <v>2028</v>
      </c>
      <c r="AL462" s="61">
        <v>2.4220000000000002</v>
      </c>
      <c r="AM462" s="61">
        <v>2.4329999999999998</v>
      </c>
      <c r="AN462" s="61">
        <v>2.4220000000000002</v>
      </c>
      <c r="AO462">
        <v>1</v>
      </c>
      <c r="AP462">
        <v>1.0242242189602202</v>
      </c>
      <c r="AQ462">
        <v>1.0242242189602202</v>
      </c>
      <c r="AR462" t="b">
        <v>0</v>
      </c>
      <c r="AS462">
        <v>48.817435747379008</v>
      </c>
      <c r="AT462">
        <v>244.08717873689505</v>
      </c>
      <c r="AU462">
        <v>146.45230724213704</v>
      </c>
    </row>
    <row r="463" spans="1:47" x14ac:dyDescent="0.25">
      <c r="A463" t="s">
        <v>338</v>
      </c>
      <c r="B463" t="s">
        <v>478</v>
      </c>
      <c r="C463" t="s">
        <v>319</v>
      </c>
      <c r="D463">
        <v>2026</v>
      </c>
      <c r="E463">
        <v>0</v>
      </c>
      <c r="F463">
        <v>10</v>
      </c>
      <c r="G463">
        <v>0</v>
      </c>
      <c r="H463">
        <v>0</v>
      </c>
      <c r="I463">
        <v>50</v>
      </c>
      <c r="J463">
        <v>250</v>
      </c>
      <c r="K463">
        <v>1</v>
      </c>
      <c r="L463">
        <v>1</v>
      </c>
      <c r="M463">
        <v>35</v>
      </c>
      <c r="N463">
        <v>0</v>
      </c>
      <c r="O463" t="s">
        <v>27</v>
      </c>
      <c r="P463" t="s">
        <v>443</v>
      </c>
      <c r="Q463">
        <v>2026</v>
      </c>
      <c r="R463">
        <v>2036</v>
      </c>
      <c r="S463" t="s">
        <v>444</v>
      </c>
      <c r="T463">
        <v>2028</v>
      </c>
      <c r="U463">
        <v>35.75</v>
      </c>
      <c r="V463">
        <v>1</v>
      </c>
      <c r="W463">
        <v>2028</v>
      </c>
      <c r="X463">
        <v>2</v>
      </c>
      <c r="Y463">
        <v>2028</v>
      </c>
      <c r="Z463">
        <v>1</v>
      </c>
      <c r="AA463">
        <v>50</v>
      </c>
      <c r="AB463">
        <v>250</v>
      </c>
      <c r="AC463">
        <v>50</v>
      </c>
      <c r="AD463">
        <v>250</v>
      </c>
      <c r="AE463">
        <v>0</v>
      </c>
      <c r="AF463">
        <v>0</v>
      </c>
      <c r="AG463">
        <v>50</v>
      </c>
      <c r="AH463">
        <v>250</v>
      </c>
      <c r="AI463">
        <v>1</v>
      </c>
      <c r="AJ463">
        <v>2.4220000000000002</v>
      </c>
      <c r="AK463">
        <v>2029</v>
      </c>
      <c r="AL463" s="61">
        <v>2.4209999999999998</v>
      </c>
      <c r="AM463" s="61">
        <v>2.4220000000000002</v>
      </c>
      <c r="AN463" s="61">
        <v>2.4209999999999998</v>
      </c>
      <c r="AO463">
        <v>1.0242199999999999</v>
      </c>
      <c r="AP463">
        <v>1.0242103835598433</v>
      </c>
      <c r="AQ463">
        <v>1.0490167590496626</v>
      </c>
      <c r="AR463" t="b">
        <v>0</v>
      </c>
      <c r="AS463">
        <v>47.66368084080618</v>
      </c>
      <c r="AT463">
        <v>238.31840420403091</v>
      </c>
      <c r="AU463">
        <v>142.99104252241855</v>
      </c>
    </row>
    <row r="464" spans="1:47" x14ac:dyDescent="0.25">
      <c r="A464" t="s">
        <v>338</v>
      </c>
      <c r="B464" t="s">
        <v>478</v>
      </c>
      <c r="C464" t="s">
        <v>319</v>
      </c>
      <c r="D464">
        <v>2026</v>
      </c>
      <c r="E464">
        <v>0</v>
      </c>
      <c r="F464">
        <v>10</v>
      </c>
      <c r="G464">
        <v>0</v>
      </c>
      <c r="H464">
        <v>0</v>
      </c>
      <c r="I464">
        <v>50</v>
      </c>
      <c r="J464">
        <v>250</v>
      </c>
      <c r="K464">
        <v>1</v>
      </c>
      <c r="L464">
        <v>1</v>
      </c>
      <c r="M464">
        <v>35</v>
      </c>
      <c r="N464">
        <v>0</v>
      </c>
      <c r="O464" t="s">
        <v>27</v>
      </c>
      <c r="P464" t="s">
        <v>443</v>
      </c>
      <c r="Q464">
        <v>2026</v>
      </c>
      <c r="R464">
        <v>2036</v>
      </c>
      <c r="S464" t="s">
        <v>444</v>
      </c>
      <c r="T464">
        <v>2029</v>
      </c>
      <c r="U464">
        <v>36.75</v>
      </c>
      <c r="V464">
        <v>1</v>
      </c>
      <c r="W464">
        <v>2029</v>
      </c>
      <c r="X464">
        <v>3</v>
      </c>
      <c r="Y464">
        <v>2029</v>
      </c>
      <c r="Z464">
        <v>1</v>
      </c>
      <c r="AA464">
        <v>50</v>
      </c>
      <c r="AB464">
        <v>250</v>
      </c>
      <c r="AC464">
        <v>50</v>
      </c>
      <c r="AD464">
        <v>250</v>
      </c>
      <c r="AE464">
        <v>0</v>
      </c>
      <c r="AF464">
        <v>0</v>
      </c>
      <c r="AG464">
        <v>50</v>
      </c>
      <c r="AH464">
        <v>250</v>
      </c>
      <c r="AI464">
        <v>1</v>
      </c>
      <c r="AJ464">
        <v>2.4209999999999998</v>
      </c>
      <c r="AK464">
        <v>2030</v>
      </c>
      <c r="AL464" s="61">
        <v>2.4670000000000001</v>
      </c>
      <c r="AM464" s="61">
        <v>2.4209999999999998</v>
      </c>
      <c r="AN464" s="61">
        <v>2.4670000000000001</v>
      </c>
      <c r="AO464">
        <v>1.0490061241000002</v>
      </c>
      <c r="AP464">
        <v>1.0246523523547908</v>
      </c>
      <c r="AQ464">
        <v>1.0748665926936467</v>
      </c>
      <c r="AR464" t="b">
        <v>0</v>
      </c>
      <c r="AS464">
        <v>46.517400708025129</v>
      </c>
      <c r="AT464">
        <v>232.58700354012564</v>
      </c>
      <c r="AU464">
        <v>139.55220212407539</v>
      </c>
    </row>
    <row r="465" spans="1:47" x14ac:dyDescent="0.25">
      <c r="A465" t="s">
        <v>338</v>
      </c>
      <c r="B465" t="s">
        <v>478</v>
      </c>
      <c r="C465" t="s">
        <v>319</v>
      </c>
      <c r="D465">
        <v>2026</v>
      </c>
      <c r="E465">
        <v>0</v>
      </c>
      <c r="F465">
        <v>10</v>
      </c>
      <c r="G465">
        <v>0</v>
      </c>
      <c r="H465">
        <v>0</v>
      </c>
      <c r="I465">
        <v>50</v>
      </c>
      <c r="J465">
        <v>250</v>
      </c>
      <c r="K465">
        <v>1</v>
      </c>
      <c r="L465">
        <v>1</v>
      </c>
      <c r="M465">
        <v>35</v>
      </c>
      <c r="N465">
        <v>0</v>
      </c>
      <c r="O465" t="s">
        <v>27</v>
      </c>
      <c r="P465" t="s">
        <v>443</v>
      </c>
      <c r="Q465">
        <v>2026</v>
      </c>
      <c r="R465">
        <v>2036</v>
      </c>
      <c r="S465" t="s">
        <v>444</v>
      </c>
      <c r="T465">
        <v>2030</v>
      </c>
      <c r="U465">
        <v>37.75</v>
      </c>
      <c r="V465">
        <v>1</v>
      </c>
      <c r="W465">
        <v>2030</v>
      </c>
      <c r="X465">
        <v>4</v>
      </c>
      <c r="Y465">
        <v>2030</v>
      </c>
      <c r="Z465">
        <v>1</v>
      </c>
      <c r="AA465">
        <v>50</v>
      </c>
      <c r="AB465">
        <v>250</v>
      </c>
      <c r="AC465">
        <v>50</v>
      </c>
      <c r="AD465">
        <v>250</v>
      </c>
      <c r="AE465">
        <v>0</v>
      </c>
      <c r="AF465">
        <v>0</v>
      </c>
      <c r="AG465">
        <v>50</v>
      </c>
      <c r="AH465">
        <v>250</v>
      </c>
      <c r="AI465">
        <v>1</v>
      </c>
      <c r="AJ465">
        <v>2.4670000000000001</v>
      </c>
      <c r="AK465">
        <v>2031</v>
      </c>
      <c r="AL465" s="61">
        <v>2.5169999999999999</v>
      </c>
      <c r="AM465" s="61">
        <v>2.4670000000000001</v>
      </c>
      <c r="AN465" s="61">
        <v>2.5169999999999999</v>
      </c>
      <c r="AO465">
        <v>1.0758508410815628</v>
      </c>
      <c r="AP465">
        <v>1.0251508174189523</v>
      </c>
      <c r="AQ465">
        <v>1.1029093691556315</v>
      </c>
      <c r="AR465" t="b">
        <v>0</v>
      </c>
      <c r="AS465">
        <v>45.334640722364284</v>
      </c>
      <c r="AT465">
        <v>226.67320361182144</v>
      </c>
      <c r="AU465">
        <v>136.00392216709287</v>
      </c>
    </row>
    <row r="466" spans="1:47" x14ac:dyDescent="0.25">
      <c r="A466" t="s">
        <v>338</v>
      </c>
      <c r="B466" t="s">
        <v>478</v>
      </c>
      <c r="C466" t="s">
        <v>319</v>
      </c>
      <c r="D466">
        <v>2026</v>
      </c>
      <c r="E466">
        <v>0</v>
      </c>
      <c r="F466">
        <v>10</v>
      </c>
      <c r="G466">
        <v>0</v>
      </c>
      <c r="H466">
        <v>0</v>
      </c>
      <c r="I466">
        <v>50</v>
      </c>
      <c r="J466">
        <v>250</v>
      </c>
      <c r="K466">
        <v>1</v>
      </c>
      <c r="L466">
        <v>1</v>
      </c>
      <c r="M466">
        <v>35</v>
      </c>
      <c r="N466">
        <v>0</v>
      </c>
      <c r="O466" t="s">
        <v>27</v>
      </c>
      <c r="P466" t="s">
        <v>443</v>
      </c>
      <c r="Q466">
        <v>2026</v>
      </c>
      <c r="R466">
        <v>2036</v>
      </c>
      <c r="S466" t="s">
        <v>444</v>
      </c>
      <c r="T466">
        <v>2031</v>
      </c>
      <c r="U466">
        <v>38.75</v>
      </c>
      <c r="V466">
        <v>1</v>
      </c>
      <c r="W466">
        <v>2031</v>
      </c>
      <c r="X466">
        <v>5</v>
      </c>
      <c r="Y466">
        <v>2031</v>
      </c>
      <c r="Z466">
        <v>1</v>
      </c>
      <c r="AA466">
        <v>50</v>
      </c>
      <c r="AB466">
        <v>250</v>
      </c>
      <c r="AC466">
        <v>50</v>
      </c>
      <c r="AD466">
        <v>250</v>
      </c>
      <c r="AE466">
        <v>0</v>
      </c>
      <c r="AF466">
        <v>0</v>
      </c>
      <c r="AG466">
        <v>50</v>
      </c>
      <c r="AH466">
        <v>250</v>
      </c>
      <c r="AI466">
        <v>1</v>
      </c>
      <c r="AJ466">
        <v>2.5169999999999999</v>
      </c>
      <c r="AK466">
        <v>2032</v>
      </c>
      <c r="AL466" s="61">
        <v>2.59</v>
      </c>
      <c r="AM466" s="61">
        <v>2.5169999999999999</v>
      </c>
      <c r="AN466" s="61">
        <v>2.59</v>
      </c>
      <c r="AO466">
        <v>1.1045453584485188</v>
      </c>
      <c r="AP466">
        <v>1.0258719904156592</v>
      </c>
      <c r="AQ466">
        <v>1.1331221453759597</v>
      </c>
      <c r="AR466" t="b">
        <v>0</v>
      </c>
      <c r="AS466">
        <v>44.125869575526167</v>
      </c>
      <c r="AT466">
        <v>220.62934787763083</v>
      </c>
      <c r="AU466">
        <v>132.3776087265785</v>
      </c>
    </row>
    <row r="467" spans="1:47" x14ac:dyDescent="0.25">
      <c r="A467" t="s">
        <v>338</v>
      </c>
      <c r="B467" t="s">
        <v>478</v>
      </c>
      <c r="C467" t="s">
        <v>319</v>
      </c>
      <c r="D467">
        <v>2026</v>
      </c>
      <c r="E467">
        <v>0</v>
      </c>
      <c r="F467">
        <v>10</v>
      </c>
      <c r="G467">
        <v>0</v>
      </c>
      <c r="H467">
        <v>0</v>
      </c>
      <c r="I467">
        <v>50</v>
      </c>
      <c r="J467">
        <v>250</v>
      </c>
      <c r="K467">
        <v>1</v>
      </c>
      <c r="L467">
        <v>1</v>
      </c>
      <c r="M467">
        <v>35</v>
      </c>
      <c r="N467">
        <v>0</v>
      </c>
      <c r="O467" t="s">
        <v>27</v>
      </c>
      <c r="P467" t="s">
        <v>443</v>
      </c>
      <c r="Q467">
        <v>2026</v>
      </c>
      <c r="R467">
        <v>2036</v>
      </c>
      <c r="S467" t="s">
        <v>444</v>
      </c>
      <c r="T467">
        <v>2032</v>
      </c>
      <c r="U467">
        <v>39.75</v>
      </c>
      <c r="V467">
        <v>1</v>
      </c>
      <c r="W467">
        <v>2032</v>
      </c>
      <c r="X467">
        <v>6</v>
      </c>
      <c r="Y467">
        <v>2032</v>
      </c>
      <c r="Z467">
        <v>1</v>
      </c>
      <c r="AA467">
        <v>50</v>
      </c>
      <c r="AB467">
        <v>250</v>
      </c>
      <c r="AC467">
        <v>50</v>
      </c>
      <c r="AD467">
        <v>250</v>
      </c>
      <c r="AE467">
        <v>0</v>
      </c>
      <c r="AF467">
        <v>0</v>
      </c>
      <c r="AG467">
        <v>50</v>
      </c>
      <c r="AH467">
        <v>250</v>
      </c>
      <c r="AI467">
        <v>1</v>
      </c>
      <c r="AJ467">
        <v>2.59</v>
      </c>
      <c r="AK467">
        <v>2033</v>
      </c>
      <c r="AL467" s="61">
        <v>2.6880000000000002</v>
      </c>
      <c r="AM467" s="61">
        <v>2.59</v>
      </c>
      <c r="AN467" s="61">
        <v>2.6880000000000002</v>
      </c>
      <c r="AO467">
        <v>1.1363841013749196</v>
      </c>
      <c r="AP467">
        <v>1.0268423936996114</v>
      </c>
      <c r="AQ467">
        <v>1.1668873708180043</v>
      </c>
      <c r="AR467" t="b">
        <v>0</v>
      </c>
      <c r="AS467">
        <v>42.849036891151975</v>
      </c>
      <c r="AT467">
        <v>214.24518445575987</v>
      </c>
      <c r="AU467">
        <v>128.54711067345593</v>
      </c>
    </row>
    <row r="468" spans="1:47" x14ac:dyDescent="0.25">
      <c r="A468" t="s">
        <v>338</v>
      </c>
      <c r="B468" t="s">
        <v>478</v>
      </c>
      <c r="C468" t="s">
        <v>319</v>
      </c>
      <c r="D468">
        <v>2026</v>
      </c>
      <c r="E468">
        <v>0</v>
      </c>
      <c r="F468">
        <v>10</v>
      </c>
      <c r="G468">
        <v>0</v>
      </c>
      <c r="H468">
        <v>0</v>
      </c>
      <c r="I468">
        <v>50</v>
      </c>
      <c r="J468">
        <v>250</v>
      </c>
      <c r="K468">
        <v>1</v>
      </c>
      <c r="L468">
        <v>1</v>
      </c>
      <c r="M468">
        <v>35</v>
      </c>
      <c r="N468">
        <v>0</v>
      </c>
      <c r="O468" t="s">
        <v>27</v>
      </c>
      <c r="P468" t="s">
        <v>443</v>
      </c>
      <c r="Q468">
        <v>2026</v>
      </c>
      <c r="R468">
        <v>2036</v>
      </c>
      <c r="S468" t="s">
        <v>444</v>
      </c>
      <c r="T468">
        <v>2033</v>
      </c>
      <c r="U468">
        <v>40.75</v>
      </c>
      <c r="V468">
        <v>1</v>
      </c>
      <c r="W468">
        <v>2033</v>
      </c>
      <c r="X468">
        <v>7</v>
      </c>
      <c r="Y468">
        <v>2033</v>
      </c>
      <c r="Z468">
        <v>1</v>
      </c>
      <c r="AA468">
        <v>50</v>
      </c>
      <c r="AB468">
        <v>250</v>
      </c>
      <c r="AC468">
        <v>50</v>
      </c>
      <c r="AD468">
        <v>250</v>
      </c>
      <c r="AE468">
        <v>0</v>
      </c>
      <c r="AF468">
        <v>0</v>
      </c>
      <c r="AG468">
        <v>50</v>
      </c>
      <c r="AH468">
        <v>250</v>
      </c>
      <c r="AI468">
        <v>1</v>
      </c>
      <c r="AJ468">
        <v>2.6880000000000002</v>
      </c>
      <c r="AK468">
        <v>2034</v>
      </c>
      <c r="AL468" s="61">
        <v>2.7519999999999998</v>
      </c>
      <c r="AM468" s="61">
        <v>2.6880000000000002</v>
      </c>
      <c r="AN468" s="61">
        <v>2.7519999999999998</v>
      </c>
      <c r="AO468">
        <v>1.1725143659072164</v>
      </c>
      <c r="AP468">
        <v>1.0274954447000768</v>
      </c>
      <c r="AQ468">
        <v>1.2047531698150638</v>
      </c>
      <c r="AR468" t="b">
        <v>0</v>
      </c>
      <c r="AS468">
        <v>41.502277190667428</v>
      </c>
      <c r="AT468">
        <v>207.51138595333714</v>
      </c>
      <c r="AU468">
        <v>124.50683157200228</v>
      </c>
    </row>
    <row r="469" spans="1:47" x14ac:dyDescent="0.25">
      <c r="A469" t="s">
        <v>338</v>
      </c>
      <c r="B469" t="s">
        <v>478</v>
      </c>
      <c r="C469" t="s">
        <v>319</v>
      </c>
      <c r="D469">
        <v>2026</v>
      </c>
      <c r="E469">
        <v>0</v>
      </c>
      <c r="F469">
        <v>10</v>
      </c>
      <c r="G469">
        <v>0</v>
      </c>
      <c r="H469">
        <v>0</v>
      </c>
      <c r="I469">
        <v>50</v>
      </c>
      <c r="J469">
        <v>250</v>
      </c>
      <c r="K469">
        <v>1</v>
      </c>
      <c r="L469">
        <v>1</v>
      </c>
      <c r="M469">
        <v>35</v>
      </c>
      <c r="N469">
        <v>0</v>
      </c>
      <c r="O469" t="s">
        <v>27</v>
      </c>
      <c r="P469" t="s">
        <v>443</v>
      </c>
      <c r="Q469">
        <v>2026</v>
      </c>
      <c r="R469">
        <v>2036</v>
      </c>
      <c r="S469" t="s">
        <v>444</v>
      </c>
      <c r="T469">
        <v>2034</v>
      </c>
      <c r="U469">
        <v>41.75</v>
      </c>
      <c r="V469">
        <v>1</v>
      </c>
      <c r="W469">
        <v>2034</v>
      </c>
      <c r="X469">
        <v>8</v>
      </c>
      <c r="Y469">
        <v>2034</v>
      </c>
      <c r="Z469">
        <v>1</v>
      </c>
      <c r="AA469">
        <v>50</v>
      </c>
      <c r="AB469">
        <v>250</v>
      </c>
      <c r="AC469">
        <v>50</v>
      </c>
      <c r="AD469">
        <v>250</v>
      </c>
      <c r="AE469">
        <v>0</v>
      </c>
      <c r="AF469">
        <v>0</v>
      </c>
      <c r="AG469">
        <v>50</v>
      </c>
      <c r="AH469">
        <v>250</v>
      </c>
      <c r="AI469">
        <v>1</v>
      </c>
      <c r="AJ469">
        <v>2.7519999999999998</v>
      </c>
      <c r="AK469">
        <v>2035</v>
      </c>
      <c r="AL469" s="61">
        <v>2.8420000000000001</v>
      </c>
      <c r="AM469" s="61">
        <v>2.7519999999999998</v>
      </c>
      <c r="AN469" s="61">
        <v>2.8420000000000001</v>
      </c>
      <c r="AO469">
        <v>1.2092942481281721</v>
      </c>
      <c r="AP469">
        <v>1.0283854649181425</v>
      </c>
      <c r="AQ469">
        <v>1.2436206275841259</v>
      </c>
      <c r="AR469" t="b">
        <v>0</v>
      </c>
      <c r="AS469">
        <v>40.205187089193487</v>
      </c>
      <c r="AT469">
        <v>201.02593544596743</v>
      </c>
      <c r="AU469">
        <v>120.61556126758046</v>
      </c>
    </row>
    <row r="470" spans="1:47" x14ac:dyDescent="0.25">
      <c r="A470" t="s">
        <v>338</v>
      </c>
      <c r="B470" t="s">
        <v>478</v>
      </c>
      <c r="C470" t="s">
        <v>319</v>
      </c>
      <c r="D470">
        <v>2026</v>
      </c>
      <c r="E470">
        <v>0</v>
      </c>
      <c r="F470">
        <v>10</v>
      </c>
      <c r="G470">
        <v>0</v>
      </c>
      <c r="H470">
        <v>0</v>
      </c>
      <c r="I470">
        <v>50</v>
      </c>
      <c r="J470">
        <v>250</v>
      </c>
      <c r="K470">
        <v>1</v>
      </c>
      <c r="L470">
        <v>1</v>
      </c>
      <c r="M470">
        <v>35</v>
      </c>
      <c r="N470">
        <v>0</v>
      </c>
      <c r="O470" t="s">
        <v>27</v>
      </c>
      <c r="P470" t="s">
        <v>443</v>
      </c>
      <c r="Q470">
        <v>2026</v>
      </c>
      <c r="R470">
        <v>2036</v>
      </c>
      <c r="S470" t="s">
        <v>444</v>
      </c>
      <c r="T470">
        <v>2035</v>
      </c>
      <c r="U470">
        <v>42.75</v>
      </c>
      <c r="V470">
        <v>1</v>
      </c>
      <c r="W470">
        <v>2035</v>
      </c>
      <c r="X470">
        <v>9</v>
      </c>
      <c r="Y470">
        <v>2035</v>
      </c>
      <c r="Z470">
        <v>1</v>
      </c>
      <c r="AA470">
        <v>50</v>
      </c>
      <c r="AB470">
        <v>250</v>
      </c>
      <c r="AC470">
        <v>50</v>
      </c>
      <c r="AD470">
        <v>250</v>
      </c>
      <c r="AE470">
        <v>0</v>
      </c>
      <c r="AF470">
        <v>0</v>
      </c>
      <c r="AG470">
        <v>50</v>
      </c>
      <c r="AH470">
        <v>250</v>
      </c>
      <c r="AI470">
        <v>1</v>
      </c>
      <c r="AJ470">
        <v>2.8420000000000001</v>
      </c>
      <c r="AK470">
        <v>2036</v>
      </c>
      <c r="AL470" s="61">
        <v>2.944</v>
      </c>
      <c r="AM470" s="61">
        <v>2.8420000000000001</v>
      </c>
      <c r="AN470" s="61">
        <v>2.944</v>
      </c>
      <c r="AO470">
        <v>1.2513076834571593</v>
      </c>
      <c r="AP470">
        <v>1.0294008580614105</v>
      </c>
      <c r="AQ470">
        <v>1.2880972030496356</v>
      </c>
      <c r="AR470" t="b">
        <v>0</v>
      </c>
      <c r="AS470">
        <v>38.816946331086243</v>
      </c>
      <c r="AT470">
        <v>194.0847316554312</v>
      </c>
      <c r="AU470">
        <v>116.45083899325871</v>
      </c>
    </row>
    <row r="471" spans="1:47" x14ac:dyDescent="0.25">
      <c r="A471" t="s">
        <v>338</v>
      </c>
      <c r="B471" t="s">
        <v>478</v>
      </c>
      <c r="C471" t="s">
        <v>319</v>
      </c>
      <c r="D471">
        <v>2026</v>
      </c>
      <c r="E471">
        <v>0</v>
      </c>
      <c r="M471">
        <v>35</v>
      </c>
      <c r="Q471">
        <v>2026</v>
      </c>
      <c r="R471">
        <v>2036</v>
      </c>
      <c r="T471">
        <v>2036</v>
      </c>
      <c r="U471">
        <v>43.75</v>
      </c>
      <c r="W471">
        <v>2036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L471" s="61"/>
      <c r="AS471">
        <v>0</v>
      </c>
      <c r="AT471">
        <v>0</v>
      </c>
      <c r="AU471">
        <v>0</v>
      </c>
    </row>
    <row r="472" spans="1:47" x14ac:dyDescent="0.25">
      <c r="A472" t="s">
        <v>365</v>
      </c>
      <c r="B472" t="s">
        <v>479</v>
      </c>
      <c r="C472" t="s">
        <v>320</v>
      </c>
      <c r="D472">
        <v>2026</v>
      </c>
      <c r="E472">
        <v>0</v>
      </c>
      <c r="F472">
        <v>15</v>
      </c>
      <c r="G472">
        <v>0</v>
      </c>
      <c r="H472">
        <v>0</v>
      </c>
      <c r="I472">
        <v>30</v>
      </c>
      <c r="J472">
        <v>45</v>
      </c>
      <c r="K472">
        <v>4</v>
      </c>
      <c r="L472">
        <v>2</v>
      </c>
      <c r="M472">
        <v>36</v>
      </c>
      <c r="N472">
        <v>0</v>
      </c>
      <c r="O472" t="s">
        <v>27</v>
      </c>
      <c r="P472" t="s">
        <v>443</v>
      </c>
      <c r="Q472">
        <v>2026</v>
      </c>
      <c r="R472">
        <v>2041</v>
      </c>
      <c r="S472" t="s">
        <v>444</v>
      </c>
      <c r="T472">
        <v>2026</v>
      </c>
      <c r="U472">
        <v>33.75</v>
      </c>
      <c r="V472">
        <v>1</v>
      </c>
      <c r="W472">
        <v>2026</v>
      </c>
      <c r="X472">
        <v>0</v>
      </c>
      <c r="Y472">
        <v>2026</v>
      </c>
      <c r="Z472">
        <v>1</v>
      </c>
      <c r="AA472">
        <v>120</v>
      </c>
      <c r="AB472">
        <v>180</v>
      </c>
      <c r="AC472">
        <v>120</v>
      </c>
      <c r="AD472">
        <v>180</v>
      </c>
      <c r="AE472">
        <v>0</v>
      </c>
      <c r="AF472">
        <v>0</v>
      </c>
      <c r="AG472">
        <v>120</v>
      </c>
      <c r="AH472">
        <v>180</v>
      </c>
      <c r="AI472">
        <v>1</v>
      </c>
      <c r="AK472">
        <v>2027</v>
      </c>
      <c r="AL472" s="61">
        <v>2.4329999999999998</v>
      </c>
      <c r="AM472" s="61">
        <v>0</v>
      </c>
      <c r="AN472" s="61">
        <v>2.4329999999999998</v>
      </c>
      <c r="AO472">
        <v>1</v>
      </c>
      <c r="AP472">
        <v>1.023385968321771</v>
      </c>
      <c r="AQ472">
        <v>1.023385968321771</v>
      </c>
      <c r="AR472" t="b">
        <v>1</v>
      </c>
      <c r="AS472">
        <v>120</v>
      </c>
      <c r="AT472">
        <v>180</v>
      </c>
      <c r="AU472">
        <v>150</v>
      </c>
    </row>
    <row r="473" spans="1:47" x14ac:dyDescent="0.25">
      <c r="A473" t="s">
        <v>365</v>
      </c>
      <c r="B473" t="s">
        <v>479</v>
      </c>
      <c r="C473" t="s">
        <v>320</v>
      </c>
      <c r="D473">
        <v>2026</v>
      </c>
      <c r="E473">
        <v>0</v>
      </c>
      <c r="F473">
        <v>15</v>
      </c>
      <c r="G473">
        <v>0</v>
      </c>
      <c r="H473">
        <v>0</v>
      </c>
      <c r="I473">
        <v>30</v>
      </c>
      <c r="J473">
        <v>45</v>
      </c>
      <c r="K473">
        <v>4</v>
      </c>
      <c r="L473">
        <v>2</v>
      </c>
      <c r="M473">
        <v>36</v>
      </c>
      <c r="N473">
        <v>0</v>
      </c>
      <c r="O473" t="s">
        <v>27</v>
      </c>
      <c r="P473" t="s">
        <v>443</v>
      </c>
      <c r="Q473">
        <v>2026</v>
      </c>
      <c r="R473">
        <v>2041</v>
      </c>
      <c r="S473" t="s">
        <v>444</v>
      </c>
      <c r="T473">
        <v>2027</v>
      </c>
      <c r="U473">
        <v>34.75</v>
      </c>
      <c r="V473">
        <v>1</v>
      </c>
      <c r="W473">
        <v>2027</v>
      </c>
      <c r="X473">
        <v>1</v>
      </c>
      <c r="Y473">
        <v>2027</v>
      </c>
      <c r="Z473">
        <v>1</v>
      </c>
      <c r="AA473">
        <v>120</v>
      </c>
      <c r="AB473">
        <v>180</v>
      </c>
      <c r="AC473">
        <v>120</v>
      </c>
      <c r="AD473">
        <v>180</v>
      </c>
      <c r="AE473">
        <v>0</v>
      </c>
      <c r="AF473">
        <v>0</v>
      </c>
      <c r="AG473">
        <v>120</v>
      </c>
      <c r="AH473">
        <v>180</v>
      </c>
      <c r="AI473">
        <v>1</v>
      </c>
      <c r="AJ473">
        <v>2.4329999999999998</v>
      </c>
      <c r="AK473">
        <v>2028</v>
      </c>
      <c r="AL473" s="61">
        <v>2.4220000000000002</v>
      </c>
      <c r="AM473" s="61">
        <v>2.4329999999999998</v>
      </c>
      <c r="AN473" s="61">
        <v>2.4220000000000002</v>
      </c>
      <c r="AO473">
        <v>1</v>
      </c>
      <c r="AP473">
        <v>1.0242242189602202</v>
      </c>
      <c r="AQ473">
        <v>1.0242242189602202</v>
      </c>
      <c r="AR473" t="b">
        <v>0</v>
      </c>
      <c r="AS473">
        <v>117.16184579370963</v>
      </c>
      <c r="AT473">
        <v>175.74276869056445</v>
      </c>
      <c r="AU473">
        <v>146.45230724213704</v>
      </c>
    </row>
    <row r="474" spans="1:47" x14ac:dyDescent="0.25">
      <c r="A474" t="s">
        <v>365</v>
      </c>
      <c r="B474" t="s">
        <v>479</v>
      </c>
      <c r="C474" t="s">
        <v>320</v>
      </c>
      <c r="D474">
        <v>2026</v>
      </c>
      <c r="E474">
        <v>0</v>
      </c>
      <c r="F474">
        <v>15</v>
      </c>
      <c r="G474">
        <v>0</v>
      </c>
      <c r="H474">
        <v>0</v>
      </c>
      <c r="I474">
        <v>30</v>
      </c>
      <c r="J474">
        <v>45</v>
      </c>
      <c r="K474">
        <v>4</v>
      </c>
      <c r="L474">
        <v>2</v>
      </c>
      <c r="M474">
        <v>36</v>
      </c>
      <c r="N474">
        <v>0</v>
      </c>
      <c r="O474" t="s">
        <v>27</v>
      </c>
      <c r="P474" t="s">
        <v>443</v>
      </c>
      <c r="Q474">
        <v>2026</v>
      </c>
      <c r="R474">
        <v>2041</v>
      </c>
      <c r="S474" t="s">
        <v>444</v>
      </c>
      <c r="T474">
        <v>2028</v>
      </c>
      <c r="U474">
        <v>35.75</v>
      </c>
      <c r="V474">
        <v>1</v>
      </c>
      <c r="W474">
        <v>2028</v>
      </c>
      <c r="X474">
        <v>2</v>
      </c>
      <c r="Y474">
        <v>2028</v>
      </c>
      <c r="Z474">
        <v>1</v>
      </c>
      <c r="AA474">
        <v>120</v>
      </c>
      <c r="AB474">
        <v>180</v>
      </c>
      <c r="AC474">
        <v>120</v>
      </c>
      <c r="AD474">
        <v>180</v>
      </c>
      <c r="AE474">
        <v>0</v>
      </c>
      <c r="AF474">
        <v>0</v>
      </c>
      <c r="AG474">
        <v>120</v>
      </c>
      <c r="AH474">
        <v>180</v>
      </c>
      <c r="AI474">
        <v>1</v>
      </c>
      <c r="AJ474">
        <v>2.4220000000000002</v>
      </c>
      <c r="AK474">
        <v>2029</v>
      </c>
      <c r="AL474" s="61">
        <v>2.4209999999999998</v>
      </c>
      <c r="AM474" s="61">
        <v>2.4220000000000002</v>
      </c>
      <c r="AN474" s="61">
        <v>2.4209999999999998</v>
      </c>
      <c r="AO474">
        <v>1.0242199999999999</v>
      </c>
      <c r="AP474">
        <v>1.0242103835598433</v>
      </c>
      <c r="AQ474">
        <v>1.0490167590496626</v>
      </c>
      <c r="AR474" t="b">
        <v>0</v>
      </c>
      <c r="AS474">
        <v>114.39283401793483</v>
      </c>
      <c r="AT474">
        <v>171.58925102690225</v>
      </c>
      <c r="AU474">
        <v>142.99104252241852</v>
      </c>
    </row>
    <row r="475" spans="1:47" x14ac:dyDescent="0.25">
      <c r="A475" t="s">
        <v>365</v>
      </c>
      <c r="B475" t="s">
        <v>479</v>
      </c>
      <c r="C475" t="s">
        <v>320</v>
      </c>
      <c r="D475">
        <v>2026</v>
      </c>
      <c r="E475">
        <v>0</v>
      </c>
      <c r="F475">
        <v>15</v>
      </c>
      <c r="G475">
        <v>0</v>
      </c>
      <c r="H475">
        <v>0</v>
      </c>
      <c r="I475">
        <v>30</v>
      </c>
      <c r="J475">
        <v>45</v>
      </c>
      <c r="K475">
        <v>4</v>
      </c>
      <c r="L475">
        <v>2</v>
      </c>
      <c r="M475">
        <v>36</v>
      </c>
      <c r="N475">
        <v>0</v>
      </c>
      <c r="O475" t="s">
        <v>27</v>
      </c>
      <c r="P475" t="s">
        <v>443</v>
      </c>
      <c r="Q475">
        <v>2026</v>
      </c>
      <c r="R475">
        <v>2041</v>
      </c>
      <c r="S475" t="s">
        <v>444</v>
      </c>
      <c r="T475">
        <v>2029</v>
      </c>
      <c r="U475">
        <v>36.75</v>
      </c>
      <c r="V475">
        <v>1</v>
      </c>
      <c r="W475">
        <v>2029</v>
      </c>
      <c r="X475">
        <v>3</v>
      </c>
      <c r="Y475">
        <v>2029</v>
      </c>
      <c r="Z475">
        <v>1</v>
      </c>
      <c r="AA475">
        <v>120</v>
      </c>
      <c r="AB475">
        <v>180</v>
      </c>
      <c r="AC475">
        <v>120</v>
      </c>
      <c r="AD475">
        <v>180</v>
      </c>
      <c r="AE475">
        <v>0</v>
      </c>
      <c r="AF475">
        <v>0</v>
      </c>
      <c r="AG475">
        <v>120</v>
      </c>
      <c r="AH475">
        <v>180</v>
      </c>
      <c r="AI475">
        <v>1</v>
      </c>
      <c r="AJ475">
        <v>2.4209999999999998</v>
      </c>
      <c r="AK475">
        <v>2030</v>
      </c>
      <c r="AL475" s="61">
        <v>2.4670000000000001</v>
      </c>
      <c r="AM475" s="61">
        <v>2.4209999999999998</v>
      </c>
      <c r="AN475" s="61">
        <v>2.4670000000000001</v>
      </c>
      <c r="AO475">
        <v>1.0490061241000002</v>
      </c>
      <c r="AP475">
        <v>1.0246523523547908</v>
      </c>
      <c r="AQ475">
        <v>1.0748665926936467</v>
      </c>
      <c r="AR475" t="b">
        <v>0</v>
      </c>
      <c r="AS475">
        <v>111.64176169926031</v>
      </c>
      <c r="AT475">
        <v>167.46264254889047</v>
      </c>
      <c r="AU475">
        <v>139.55220212407539</v>
      </c>
    </row>
    <row r="476" spans="1:47" x14ac:dyDescent="0.25">
      <c r="A476" t="s">
        <v>365</v>
      </c>
      <c r="B476" t="s">
        <v>479</v>
      </c>
      <c r="C476" t="s">
        <v>320</v>
      </c>
      <c r="D476">
        <v>2026</v>
      </c>
      <c r="E476">
        <v>0</v>
      </c>
      <c r="F476">
        <v>15</v>
      </c>
      <c r="G476">
        <v>0</v>
      </c>
      <c r="H476">
        <v>0</v>
      </c>
      <c r="I476">
        <v>30</v>
      </c>
      <c r="J476">
        <v>45</v>
      </c>
      <c r="K476">
        <v>4</v>
      </c>
      <c r="L476">
        <v>2</v>
      </c>
      <c r="M476">
        <v>36</v>
      </c>
      <c r="N476">
        <v>0</v>
      </c>
      <c r="O476" t="s">
        <v>27</v>
      </c>
      <c r="P476" t="s">
        <v>443</v>
      </c>
      <c r="Q476">
        <v>2026</v>
      </c>
      <c r="R476">
        <v>2041</v>
      </c>
      <c r="S476" t="s">
        <v>444</v>
      </c>
      <c r="T476">
        <v>2030</v>
      </c>
      <c r="U476">
        <v>37.75</v>
      </c>
      <c r="V476">
        <v>1</v>
      </c>
      <c r="W476">
        <v>2030</v>
      </c>
      <c r="X476">
        <v>4</v>
      </c>
      <c r="Y476">
        <v>2030</v>
      </c>
      <c r="Z476">
        <v>1</v>
      </c>
      <c r="AA476">
        <v>120</v>
      </c>
      <c r="AB476">
        <v>180</v>
      </c>
      <c r="AC476">
        <v>120</v>
      </c>
      <c r="AD476">
        <v>180</v>
      </c>
      <c r="AE476">
        <v>0</v>
      </c>
      <c r="AF476">
        <v>0</v>
      </c>
      <c r="AG476">
        <v>120</v>
      </c>
      <c r="AH476">
        <v>180</v>
      </c>
      <c r="AI476">
        <v>1</v>
      </c>
      <c r="AJ476">
        <v>2.4670000000000001</v>
      </c>
      <c r="AK476">
        <v>2031</v>
      </c>
      <c r="AL476" s="61">
        <v>2.5169999999999999</v>
      </c>
      <c r="AM476" s="61">
        <v>2.4670000000000001</v>
      </c>
      <c r="AN476" s="61">
        <v>2.5169999999999999</v>
      </c>
      <c r="AO476">
        <v>1.0758508410815628</v>
      </c>
      <c r="AP476">
        <v>1.0251508174189523</v>
      </c>
      <c r="AQ476">
        <v>1.1029093691556315</v>
      </c>
      <c r="AR476" t="b">
        <v>0</v>
      </c>
      <c r="AS476">
        <v>108.80313773367429</v>
      </c>
      <c r="AT476">
        <v>163.20470660051143</v>
      </c>
      <c r="AU476">
        <v>136.00392216709287</v>
      </c>
    </row>
    <row r="477" spans="1:47" x14ac:dyDescent="0.25">
      <c r="A477" t="s">
        <v>365</v>
      </c>
      <c r="B477" t="s">
        <v>479</v>
      </c>
      <c r="C477" t="s">
        <v>320</v>
      </c>
      <c r="D477">
        <v>2026</v>
      </c>
      <c r="E477">
        <v>0</v>
      </c>
      <c r="F477">
        <v>15</v>
      </c>
      <c r="G477">
        <v>0</v>
      </c>
      <c r="H477">
        <v>0</v>
      </c>
      <c r="I477">
        <v>30</v>
      </c>
      <c r="J477">
        <v>45</v>
      </c>
      <c r="K477">
        <v>4</v>
      </c>
      <c r="L477">
        <v>2</v>
      </c>
      <c r="M477">
        <v>36</v>
      </c>
      <c r="N477">
        <v>0</v>
      </c>
      <c r="O477" t="s">
        <v>27</v>
      </c>
      <c r="P477" t="s">
        <v>443</v>
      </c>
      <c r="Q477">
        <v>2026</v>
      </c>
      <c r="R477">
        <v>2041</v>
      </c>
      <c r="S477" t="s">
        <v>444</v>
      </c>
      <c r="T477">
        <v>2031</v>
      </c>
      <c r="U477">
        <v>38.75</v>
      </c>
      <c r="V477">
        <v>1</v>
      </c>
      <c r="W477">
        <v>2031</v>
      </c>
      <c r="X477">
        <v>5</v>
      </c>
      <c r="Y477">
        <v>2031</v>
      </c>
      <c r="Z477">
        <v>1</v>
      </c>
      <c r="AA477">
        <v>120</v>
      </c>
      <c r="AB477">
        <v>180</v>
      </c>
      <c r="AC477">
        <v>120</v>
      </c>
      <c r="AD477">
        <v>180</v>
      </c>
      <c r="AE477">
        <v>0</v>
      </c>
      <c r="AF477">
        <v>0</v>
      </c>
      <c r="AG477">
        <v>120</v>
      </c>
      <c r="AH477">
        <v>180</v>
      </c>
      <c r="AI477">
        <v>1</v>
      </c>
      <c r="AJ477">
        <v>2.5169999999999999</v>
      </c>
      <c r="AK477">
        <v>2032</v>
      </c>
      <c r="AL477" s="61">
        <v>2.59</v>
      </c>
      <c r="AM477" s="61">
        <v>2.5169999999999999</v>
      </c>
      <c r="AN477" s="61">
        <v>2.59</v>
      </c>
      <c r="AO477">
        <v>1.1045453584485188</v>
      </c>
      <c r="AP477">
        <v>1.0258719904156592</v>
      </c>
      <c r="AQ477">
        <v>1.1331221453759597</v>
      </c>
      <c r="AR477" t="b">
        <v>0</v>
      </c>
      <c r="AS477">
        <v>105.90208698126281</v>
      </c>
      <c r="AT477">
        <v>158.85313047189422</v>
      </c>
      <c r="AU477">
        <v>132.3776087265785</v>
      </c>
    </row>
    <row r="478" spans="1:47" x14ac:dyDescent="0.25">
      <c r="A478" t="s">
        <v>365</v>
      </c>
      <c r="B478" t="s">
        <v>479</v>
      </c>
      <c r="C478" t="s">
        <v>320</v>
      </c>
      <c r="D478">
        <v>2026</v>
      </c>
      <c r="E478">
        <v>0</v>
      </c>
      <c r="F478">
        <v>15</v>
      </c>
      <c r="G478">
        <v>0</v>
      </c>
      <c r="H478">
        <v>0</v>
      </c>
      <c r="I478">
        <v>30</v>
      </c>
      <c r="J478">
        <v>45</v>
      </c>
      <c r="K478">
        <v>4</v>
      </c>
      <c r="L478">
        <v>2</v>
      </c>
      <c r="M478">
        <v>36</v>
      </c>
      <c r="N478">
        <v>0</v>
      </c>
      <c r="O478" t="s">
        <v>27</v>
      </c>
      <c r="P478" t="s">
        <v>443</v>
      </c>
      <c r="Q478">
        <v>2026</v>
      </c>
      <c r="R478">
        <v>2041</v>
      </c>
      <c r="S478" t="s">
        <v>444</v>
      </c>
      <c r="T478">
        <v>2032</v>
      </c>
      <c r="U478">
        <v>39.75</v>
      </c>
      <c r="V478">
        <v>1</v>
      </c>
      <c r="W478">
        <v>2032</v>
      </c>
      <c r="X478">
        <v>6</v>
      </c>
      <c r="Y478">
        <v>2032</v>
      </c>
      <c r="Z478">
        <v>1</v>
      </c>
      <c r="AA478">
        <v>120</v>
      </c>
      <c r="AB478">
        <v>180</v>
      </c>
      <c r="AC478">
        <v>120</v>
      </c>
      <c r="AD478">
        <v>180</v>
      </c>
      <c r="AE478">
        <v>0</v>
      </c>
      <c r="AF478">
        <v>0</v>
      </c>
      <c r="AG478">
        <v>120</v>
      </c>
      <c r="AH478">
        <v>180</v>
      </c>
      <c r="AI478">
        <v>1</v>
      </c>
      <c r="AJ478">
        <v>2.59</v>
      </c>
      <c r="AK478">
        <v>2033</v>
      </c>
      <c r="AL478" s="61">
        <v>2.6880000000000002</v>
      </c>
      <c r="AM478" s="61">
        <v>2.59</v>
      </c>
      <c r="AN478" s="61">
        <v>2.6880000000000002</v>
      </c>
      <c r="AO478">
        <v>1.1363841013749196</v>
      </c>
      <c r="AP478">
        <v>1.0268423936996114</v>
      </c>
      <c r="AQ478">
        <v>1.1668873708180043</v>
      </c>
      <c r="AR478" t="b">
        <v>0</v>
      </c>
      <c r="AS478">
        <v>102.83768853876474</v>
      </c>
      <c r="AT478">
        <v>154.25653280814711</v>
      </c>
      <c r="AU478">
        <v>128.54711067345593</v>
      </c>
    </row>
    <row r="479" spans="1:47" x14ac:dyDescent="0.25">
      <c r="A479" t="s">
        <v>365</v>
      </c>
      <c r="B479" t="s">
        <v>479</v>
      </c>
      <c r="C479" t="s">
        <v>320</v>
      </c>
      <c r="D479">
        <v>2026</v>
      </c>
      <c r="E479">
        <v>0</v>
      </c>
      <c r="F479">
        <v>15</v>
      </c>
      <c r="G479">
        <v>0</v>
      </c>
      <c r="H479">
        <v>0</v>
      </c>
      <c r="I479">
        <v>30</v>
      </c>
      <c r="J479">
        <v>45</v>
      </c>
      <c r="K479">
        <v>4</v>
      </c>
      <c r="L479">
        <v>2</v>
      </c>
      <c r="M479">
        <v>36</v>
      </c>
      <c r="N479">
        <v>0</v>
      </c>
      <c r="O479" t="s">
        <v>27</v>
      </c>
      <c r="P479" t="s">
        <v>443</v>
      </c>
      <c r="Q479">
        <v>2026</v>
      </c>
      <c r="R479">
        <v>2041</v>
      </c>
      <c r="S479" t="s">
        <v>444</v>
      </c>
      <c r="T479">
        <v>2033</v>
      </c>
      <c r="U479">
        <v>40.75</v>
      </c>
      <c r="V479">
        <v>1</v>
      </c>
      <c r="W479">
        <v>2033</v>
      </c>
      <c r="X479">
        <v>7</v>
      </c>
      <c r="Y479">
        <v>2033</v>
      </c>
      <c r="Z479">
        <v>1</v>
      </c>
      <c r="AA479">
        <v>120</v>
      </c>
      <c r="AB479">
        <v>180</v>
      </c>
      <c r="AC479">
        <v>120</v>
      </c>
      <c r="AD479">
        <v>180</v>
      </c>
      <c r="AE479">
        <v>0</v>
      </c>
      <c r="AF479">
        <v>0</v>
      </c>
      <c r="AG479">
        <v>120</v>
      </c>
      <c r="AH479">
        <v>180</v>
      </c>
      <c r="AI479">
        <v>1</v>
      </c>
      <c r="AJ479">
        <v>2.6880000000000002</v>
      </c>
      <c r="AK479">
        <v>2034</v>
      </c>
      <c r="AL479" s="61">
        <v>2.7519999999999998</v>
      </c>
      <c r="AM479" s="61">
        <v>2.6880000000000002</v>
      </c>
      <c r="AN479" s="61">
        <v>2.7519999999999998</v>
      </c>
      <c r="AO479">
        <v>1.1725143659072164</v>
      </c>
      <c r="AP479">
        <v>1.0274954447000768</v>
      </c>
      <c r="AQ479">
        <v>1.2047531698150638</v>
      </c>
      <c r="AR479" t="b">
        <v>0</v>
      </c>
      <c r="AS479">
        <v>99.605465257601821</v>
      </c>
      <c r="AT479">
        <v>149.40819788640275</v>
      </c>
      <c r="AU479">
        <v>124.50683157200228</v>
      </c>
    </row>
    <row r="480" spans="1:47" x14ac:dyDescent="0.25">
      <c r="A480" t="s">
        <v>365</v>
      </c>
      <c r="B480" t="s">
        <v>479</v>
      </c>
      <c r="C480" t="s">
        <v>320</v>
      </c>
      <c r="D480">
        <v>2026</v>
      </c>
      <c r="E480">
        <v>0</v>
      </c>
      <c r="F480">
        <v>15</v>
      </c>
      <c r="G480">
        <v>0</v>
      </c>
      <c r="H480">
        <v>0</v>
      </c>
      <c r="I480">
        <v>30</v>
      </c>
      <c r="J480">
        <v>45</v>
      </c>
      <c r="K480">
        <v>4</v>
      </c>
      <c r="L480">
        <v>2</v>
      </c>
      <c r="M480">
        <v>36</v>
      </c>
      <c r="N480">
        <v>0</v>
      </c>
      <c r="O480" t="s">
        <v>27</v>
      </c>
      <c r="P480" t="s">
        <v>443</v>
      </c>
      <c r="Q480">
        <v>2026</v>
      </c>
      <c r="R480">
        <v>2041</v>
      </c>
      <c r="S480" t="s">
        <v>444</v>
      </c>
      <c r="T480">
        <v>2034</v>
      </c>
      <c r="U480">
        <v>41.75</v>
      </c>
      <c r="V480">
        <v>1</v>
      </c>
      <c r="W480">
        <v>2034</v>
      </c>
      <c r="X480">
        <v>8</v>
      </c>
      <c r="Y480">
        <v>2034</v>
      </c>
      <c r="Z480">
        <v>1</v>
      </c>
      <c r="AA480">
        <v>120</v>
      </c>
      <c r="AB480">
        <v>180</v>
      </c>
      <c r="AC480">
        <v>120</v>
      </c>
      <c r="AD480">
        <v>180</v>
      </c>
      <c r="AE480">
        <v>0</v>
      </c>
      <c r="AF480">
        <v>0</v>
      </c>
      <c r="AG480">
        <v>120</v>
      </c>
      <c r="AH480">
        <v>180</v>
      </c>
      <c r="AI480">
        <v>1</v>
      </c>
      <c r="AJ480">
        <v>2.7519999999999998</v>
      </c>
      <c r="AK480">
        <v>2035</v>
      </c>
      <c r="AL480" s="61">
        <v>2.8420000000000001</v>
      </c>
      <c r="AM480" s="61">
        <v>2.7519999999999998</v>
      </c>
      <c r="AN480" s="61">
        <v>2.8420000000000001</v>
      </c>
      <c r="AO480">
        <v>1.2092942481281721</v>
      </c>
      <c r="AP480">
        <v>1.0283854649181425</v>
      </c>
      <c r="AQ480">
        <v>1.2436206275841259</v>
      </c>
      <c r="AR480" t="b">
        <v>0</v>
      </c>
      <c r="AS480">
        <v>96.492449014064363</v>
      </c>
      <c r="AT480">
        <v>144.73867352109656</v>
      </c>
      <c r="AU480">
        <v>120.61556126758046</v>
      </c>
    </row>
    <row r="481" spans="1:47" x14ac:dyDescent="0.25">
      <c r="A481" t="s">
        <v>365</v>
      </c>
      <c r="B481" t="s">
        <v>479</v>
      </c>
      <c r="C481" t="s">
        <v>320</v>
      </c>
      <c r="D481">
        <v>2026</v>
      </c>
      <c r="E481">
        <v>0</v>
      </c>
      <c r="F481">
        <v>15</v>
      </c>
      <c r="G481">
        <v>0</v>
      </c>
      <c r="H481">
        <v>0</v>
      </c>
      <c r="I481">
        <v>30</v>
      </c>
      <c r="J481">
        <v>45</v>
      </c>
      <c r="K481">
        <v>4</v>
      </c>
      <c r="L481">
        <v>2</v>
      </c>
      <c r="M481">
        <v>36</v>
      </c>
      <c r="N481">
        <v>0</v>
      </c>
      <c r="O481" t="s">
        <v>27</v>
      </c>
      <c r="P481" t="s">
        <v>443</v>
      </c>
      <c r="Q481">
        <v>2026</v>
      </c>
      <c r="R481">
        <v>2041</v>
      </c>
      <c r="S481" t="s">
        <v>444</v>
      </c>
      <c r="T481">
        <v>2035</v>
      </c>
      <c r="U481">
        <v>42.75</v>
      </c>
      <c r="V481">
        <v>1</v>
      </c>
      <c r="W481">
        <v>2035</v>
      </c>
      <c r="X481">
        <v>9</v>
      </c>
      <c r="Y481">
        <v>2035</v>
      </c>
      <c r="Z481">
        <v>1</v>
      </c>
      <c r="AA481">
        <v>120</v>
      </c>
      <c r="AB481">
        <v>180</v>
      </c>
      <c r="AC481">
        <v>120</v>
      </c>
      <c r="AD481">
        <v>180</v>
      </c>
      <c r="AE481">
        <v>0</v>
      </c>
      <c r="AF481">
        <v>0</v>
      </c>
      <c r="AG481">
        <v>120</v>
      </c>
      <c r="AH481">
        <v>180</v>
      </c>
      <c r="AI481">
        <v>1</v>
      </c>
      <c r="AJ481">
        <v>2.8420000000000001</v>
      </c>
      <c r="AK481">
        <v>2036</v>
      </c>
      <c r="AL481" s="61">
        <v>2.944</v>
      </c>
      <c r="AM481" s="61">
        <v>2.8420000000000001</v>
      </c>
      <c r="AN481" s="61">
        <v>2.944</v>
      </c>
      <c r="AO481">
        <v>1.2513076834571593</v>
      </c>
      <c r="AP481">
        <v>1.0294008580614105</v>
      </c>
      <c r="AQ481">
        <v>1.2880972030496356</v>
      </c>
      <c r="AR481" t="b">
        <v>0</v>
      </c>
      <c r="AS481">
        <v>93.160671194606977</v>
      </c>
      <c r="AT481">
        <v>139.74100679191045</v>
      </c>
      <c r="AU481">
        <v>116.45083899325871</v>
      </c>
    </row>
    <row r="482" spans="1:47" x14ac:dyDescent="0.25">
      <c r="A482" t="s">
        <v>365</v>
      </c>
      <c r="B482" t="s">
        <v>479</v>
      </c>
      <c r="C482" t="s">
        <v>320</v>
      </c>
      <c r="D482">
        <v>2026</v>
      </c>
      <c r="E482">
        <v>0</v>
      </c>
      <c r="F482">
        <v>15</v>
      </c>
      <c r="G482">
        <v>0</v>
      </c>
      <c r="H482">
        <v>0</v>
      </c>
      <c r="I482">
        <v>30</v>
      </c>
      <c r="J482">
        <v>45</v>
      </c>
      <c r="K482">
        <v>4</v>
      </c>
      <c r="L482">
        <v>2</v>
      </c>
      <c r="M482">
        <v>36</v>
      </c>
      <c r="N482">
        <v>0</v>
      </c>
      <c r="O482" t="s">
        <v>27</v>
      </c>
      <c r="P482" t="s">
        <v>443</v>
      </c>
      <c r="Q482">
        <v>2026</v>
      </c>
      <c r="R482">
        <v>2041</v>
      </c>
      <c r="S482" t="s">
        <v>444</v>
      </c>
      <c r="T482">
        <v>2036</v>
      </c>
      <c r="U482">
        <v>43.75</v>
      </c>
      <c r="V482">
        <v>1</v>
      </c>
      <c r="W482">
        <v>2036</v>
      </c>
      <c r="X482">
        <v>10</v>
      </c>
      <c r="Y482">
        <v>2036</v>
      </c>
      <c r="Z482">
        <v>1</v>
      </c>
      <c r="AA482">
        <v>120</v>
      </c>
      <c r="AB482">
        <v>180</v>
      </c>
      <c r="AC482">
        <v>120</v>
      </c>
      <c r="AD482">
        <v>180</v>
      </c>
      <c r="AE482">
        <v>0</v>
      </c>
      <c r="AF482">
        <v>0</v>
      </c>
      <c r="AG482">
        <v>120</v>
      </c>
      <c r="AH482">
        <v>180</v>
      </c>
      <c r="AI482">
        <v>1</v>
      </c>
      <c r="AJ482">
        <v>2.944</v>
      </c>
      <c r="AK482">
        <v>2037</v>
      </c>
      <c r="AL482" s="61">
        <v>3.036</v>
      </c>
      <c r="AM482" s="61">
        <v>2.944</v>
      </c>
      <c r="AN482" s="61">
        <v>3.036</v>
      </c>
      <c r="AO482">
        <v>1.2984025298030446</v>
      </c>
      <c r="AP482">
        <v>1.0303246971701443</v>
      </c>
      <c r="AQ482">
        <v>1.3377761933242711</v>
      </c>
      <c r="AR482" t="b">
        <v>0</v>
      </c>
      <c r="AS482">
        <v>89.701102919023555</v>
      </c>
      <c r="AT482">
        <v>134.55165437853535</v>
      </c>
      <c r="AU482">
        <v>112.12637864877945</v>
      </c>
    </row>
    <row r="483" spans="1:47" x14ac:dyDescent="0.25">
      <c r="A483" t="s">
        <v>365</v>
      </c>
      <c r="B483" t="s">
        <v>479</v>
      </c>
      <c r="C483" t="s">
        <v>320</v>
      </c>
      <c r="D483">
        <v>2026</v>
      </c>
      <c r="E483">
        <v>0</v>
      </c>
      <c r="F483">
        <v>15</v>
      </c>
      <c r="G483">
        <v>0</v>
      </c>
      <c r="H483">
        <v>0</v>
      </c>
      <c r="I483">
        <v>30</v>
      </c>
      <c r="J483">
        <v>45</v>
      </c>
      <c r="K483">
        <v>4</v>
      </c>
      <c r="L483">
        <v>2</v>
      </c>
      <c r="M483">
        <v>36</v>
      </c>
      <c r="N483">
        <v>0</v>
      </c>
      <c r="O483" t="s">
        <v>27</v>
      </c>
      <c r="P483" t="s">
        <v>443</v>
      </c>
      <c r="Q483">
        <v>2026</v>
      </c>
      <c r="R483">
        <v>2041</v>
      </c>
      <c r="S483" t="s">
        <v>444</v>
      </c>
      <c r="T483">
        <v>2037</v>
      </c>
      <c r="U483">
        <v>44.75</v>
      </c>
      <c r="V483">
        <v>1</v>
      </c>
      <c r="W483">
        <v>2037</v>
      </c>
      <c r="X483">
        <v>11</v>
      </c>
      <c r="Y483">
        <v>2037</v>
      </c>
      <c r="Z483">
        <v>1</v>
      </c>
      <c r="AA483">
        <v>120</v>
      </c>
      <c r="AB483">
        <v>180</v>
      </c>
      <c r="AC483">
        <v>120</v>
      </c>
      <c r="AD483">
        <v>180</v>
      </c>
      <c r="AE483">
        <v>0</v>
      </c>
      <c r="AF483">
        <v>0</v>
      </c>
      <c r="AG483">
        <v>120</v>
      </c>
      <c r="AH483">
        <v>180</v>
      </c>
      <c r="AI483">
        <v>1</v>
      </c>
      <c r="AJ483">
        <v>3.036</v>
      </c>
      <c r="AK483">
        <v>2038</v>
      </c>
      <c r="AL483" s="61">
        <v>3.1339999999999999</v>
      </c>
      <c r="AM483" s="61">
        <v>3.036</v>
      </c>
      <c r="AN483" s="61">
        <v>3.1339999999999999</v>
      </c>
      <c r="AO483">
        <v>1.3486209574989538</v>
      </c>
      <c r="AP483">
        <v>1.0313023937742947</v>
      </c>
      <c r="AQ483">
        <v>1.3908360217628524</v>
      </c>
      <c r="AR483" t="b">
        <v>0</v>
      </c>
      <c r="AS483">
        <v>86.279042333044259</v>
      </c>
      <c r="AT483">
        <v>129.41856349956637</v>
      </c>
      <c r="AU483">
        <v>107.84880291630532</v>
      </c>
    </row>
    <row r="484" spans="1:47" x14ac:dyDescent="0.25">
      <c r="A484" t="s">
        <v>365</v>
      </c>
      <c r="B484" t="s">
        <v>479</v>
      </c>
      <c r="C484" t="s">
        <v>320</v>
      </c>
      <c r="D484">
        <v>2026</v>
      </c>
      <c r="E484">
        <v>0</v>
      </c>
      <c r="F484">
        <v>15</v>
      </c>
      <c r="G484">
        <v>0</v>
      </c>
      <c r="H484">
        <v>0</v>
      </c>
      <c r="I484">
        <v>30</v>
      </c>
      <c r="J484">
        <v>45</v>
      </c>
      <c r="K484">
        <v>4</v>
      </c>
      <c r="L484">
        <v>2</v>
      </c>
      <c r="M484">
        <v>36</v>
      </c>
      <c r="N484">
        <v>0</v>
      </c>
      <c r="O484" t="s">
        <v>27</v>
      </c>
      <c r="P484" t="s">
        <v>443</v>
      </c>
      <c r="Q484">
        <v>2026</v>
      </c>
      <c r="R484">
        <v>2041</v>
      </c>
      <c r="S484" t="s">
        <v>444</v>
      </c>
      <c r="T484">
        <v>2038</v>
      </c>
      <c r="U484">
        <v>45.75</v>
      </c>
      <c r="V484">
        <v>1</v>
      </c>
      <c r="W484">
        <v>2038</v>
      </c>
      <c r="X484">
        <v>12</v>
      </c>
      <c r="Y484">
        <v>2038</v>
      </c>
      <c r="Z484">
        <v>1</v>
      </c>
      <c r="AA484">
        <v>120</v>
      </c>
      <c r="AB484">
        <v>180</v>
      </c>
      <c r="AC484">
        <v>120</v>
      </c>
      <c r="AD484">
        <v>180</v>
      </c>
      <c r="AE484">
        <v>0</v>
      </c>
      <c r="AF484">
        <v>0</v>
      </c>
      <c r="AG484">
        <v>120</v>
      </c>
      <c r="AH484">
        <v>180</v>
      </c>
      <c r="AI484">
        <v>1</v>
      </c>
      <c r="AJ484">
        <v>3.1339999999999999</v>
      </c>
      <c r="AK484">
        <v>2039</v>
      </c>
      <c r="AL484" s="61">
        <v>3.2069999999999999</v>
      </c>
      <c r="AM484" s="61">
        <v>3.1339999999999999</v>
      </c>
      <c r="AN484" s="61">
        <v>3.2069999999999999</v>
      </c>
      <c r="AO484">
        <v>1.4041725591738043</v>
      </c>
      <c r="AP484">
        <v>1.0320419904729838</v>
      </c>
      <c r="AQ484">
        <v>1.4491650429372767</v>
      </c>
      <c r="AR484" t="b">
        <v>0</v>
      </c>
      <c r="AS484">
        <v>82.806303246713</v>
      </c>
      <c r="AT484">
        <v>124.20945487006951</v>
      </c>
      <c r="AU484">
        <v>103.50787905839125</v>
      </c>
    </row>
    <row r="485" spans="1:47" x14ac:dyDescent="0.25">
      <c r="A485" t="s">
        <v>365</v>
      </c>
      <c r="B485" t="s">
        <v>479</v>
      </c>
      <c r="C485" t="s">
        <v>320</v>
      </c>
      <c r="D485">
        <v>2026</v>
      </c>
      <c r="E485">
        <v>0</v>
      </c>
      <c r="F485">
        <v>15</v>
      </c>
      <c r="G485">
        <v>0</v>
      </c>
      <c r="H485">
        <v>0</v>
      </c>
      <c r="I485">
        <v>30</v>
      </c>
      <c r="J485">
        <v>45</v>
      </c>
      <c r="K485">
        <v>4</v>
      </c>
      <c r="L485">
        <v>2</v>
      </c>
      <c r="M485">
        <v>36</v>
      </c>
      <c r="N485">
        <v>0</v>
      </c>
      <c r="O485" t="s">
        <v>27</v>
      </c>
      <c r="P485" t="s">
        <v>443</v>
      </c>
      <c r="Q485">
        <v>2026</v>
      </c>
      <c r="R485">
        <v>2041</v>
      </c>
      <c r="S485" t="s">
        <v>444</v>
      </c>
      <c r="T485">
        <v>2039</v>
      </c>
      <c r="U485">
        <v>46.75</v>
      </c>
      <c r="V485">
        <v>1</v>
      </c>
      <c r="W485">
        <v>2039</v>
      </c>
      <c r="X485">
        <v>13</v>
      </c>
      <c r="Y485">
        <v>2039</v>
      </c>
      <c r="Z485">
        <v>1</v>
      </c>
      <c r="AA485">
        <v>120</v>
      </c>
      <c r="AB485">
        <v>180</v>
      </c>
      <c r="AC485">
        <v>120</v>
      </c>
      <c r="AD485">
        <v>180</v>
      </c>
      <c r="AE485">
        <v>0</v>
      </c>
      <c r="AF485">
        <v>0</v>
      </c>
      <c r="AG485">
        <v>120</v>
      </c>
      <c r="AH485">
        <v>180</v>
      </c>
      <c r="AI485">
        <v>1</v>
      </c>
      <c r="AJ485">
        <v>3.2069999999999999</v>
      </c>
      <c r="AK485">
        <v>2040</v>
      </c>
      <c r="AL485" s="61">
        <v>3.3029999999999999</v>
      </c>
      <c r="AM485" s="61">
        <v>3.2069999999999999</v>
      </c>
      <c r="AN485" s="61">
        <v>3.3029999999999999</v>
      </c>
      <c r="AO485">
        <v>1.4605278779269859</v>
      </c>
      <c r="AP485">
        <v>1.0329931616190409</v>
      </c>
      <c r="AQ485">
        <v>1.5087153102525457</v>
      </c>
      <c r="AR485" t="b">
        <v>0</v>
      </c>
      <c r="AS485">
        <v>79.537868532608087</v>
      </c>
      <c r="AT485">
        <v>119.30680279891213</v>
      </c>
      <c r="AU485">
        <v>99.422335665760102</v>
      </c>
    </row>
    <row r="486" spans="1:47" x14ac:dyDescent="0.25">
      <c r="A486" t="s">
        <v>365</v>
      </c>
      <c r="B486" t="s">
        <v>479</v>
      </c>
      <c r="C486" t="s">
        <v>320</v>
      </c>
      <c r="D486">
        <v>2026</v>
      </c>
      <c r="E486">
        <v>0</v>
      </c>
      <c r="F486">
        <v>15</v>
      </c>
      <c r="G486">
        <v>0</v>
      </c>
      <c r="H486">
        <v>0</v>
      </c>
      <c r="I486">
        <v>30</v>
      </c>
      <c r="J486">
        <v>45</v>
      </c>
      <c r="K486">
        <v>4</v>
      </c>
      <c r="L486">
        <v>2</v>
      </c>
      <c r="M486">
        <v>36</v>
      </c>
      <c r="N486">
        <v>0</v>
      </c>
      <c r="O486" t="s">
        <v>27</v>
      </c>
      <c r="P486" t="s">
        <v>443</v>
      </c>
      <c r="Q486">
        <v>2026</v>
      </c>
      <c r="R486">
        <v>2041</v>
      </c>
      <c r="S486" t="s">
        <v>444</v>
      </c>
      <c r="T486">
        <v>2040</v>
      </c>
      <c r="U486">
        <v>47.75</v>
      </c>
      <c r="V486">
        <v>1</v>
      </c>
      <c r="W486">
        <v>2040</v>
      </c>
      <c r="X486">
        <v>14</v>
      </c>
      <c r="Y486">
        <v>2040</v>
      </c>
      <c r="Z486">
        <v>1</v>
      </c>
      <c r="AA486">
        <v>120</v>
      </c>
      <c r="AB486">
        <v>180</v>
      </c>
      <c r="AC486">
        <v>120</v>
      </c>
      <c r="AD486">
        <v>180</v>
      </c>
      <c r="AE486">
        <v>0</v>
      </c>
      <c r="AF486">
        <v>0</v>
      </c>
      <c r="AG486">
        <v>120</v>
      </c>
      <c r="AH486">
        <v>180</v>
      </c>
      <c r="AI486">
        <v>1</v>
      </c>
      <c r="AJ486">
        <v>3.3029999999999999</v>
      </c>
      <c r="AK486">
        <v>2041</v>
      </c>
      <c r="AL486" s="61">
        <v>3.3559999999999999</v>
      </c>
      <c r="AM486" s="61">
        <v>3.3029999999999999</v>
      </c>
      <c r="AN486" s="61">
        <v>3.3559999999999999</v>
      </c>
      <c r="AO486">
        <v>1.5256964700083253</v>
      </c>
      <c r="AP486">
        <v>1.0335396662189136</v>
      </c>
      <c r="AQ486">
        <v>1.5768678203637791</v>
      </c>
      <c r="AR486" t="b">
        <v>0</v>
      </c>
      <c r="AS486">
        <v>76.100227584272929</v>
      </c>
      <c r="AT486">
        <v>114.1503413764094</v>
      </c>
      <c r="AU486">
        <v>95.125284480341165</v>
      </c>
    </row>
    <row r="487" spans="1:47" x14ac:dyDescent="0.25">
      <c r="A487" t="s">
        <v>365</v>
      </c>
      <c r="B487" t="s">
        <v>479</v>
      </c>
      <c r="C487" t="s">
        <v>320</v>
      </c>
      <c r="D487">
        <v>2026</v>
      </c>
      <c r="E487">
        <v>0</v>
      </c>
      <c r="M487">
        <v>36</v>
      </c>
      <c r="Q487">
        <v>2026</v>
      </c>
      <c r="R487">
        <v>2041</v>
      </c>
      <c r="T487">
        <v>2041</v>
      </c>
      <c r="U487">
        <v>48.75</v>
      </c>
      <c r="W487">
        <v>2041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L487" s="61"/>
      <c r="AS487">
        <v>0</v>
      </c>
      <c r="AT487">
        <v>0</v>
      </c>
      <c r="AU487">
        <v>0</v>
      </c>
    </row>
    <row r="488" spans="1:47" x14ac:dyDescent="0.25">
      <c r="A488" t="s">
        <v>339</v>
      </c>
      <c r="B488" t="s">
        <v>480</v>
      </c>
      <c r="C488" t="s">
        <v>319</v>
      </c>
      <c r="D488">
        <v>2026</v>
      </c>
      <c r="E488">
        <v>0</v>
      </c>
      <c r="F488">
        <v>10</v>
      </c>
      <c r="G488">
        <v>0</v>
      </c>
      <c r="H488">
        <v>0</v>
      </c>
      <c r="I488">
        <v>50</v>
      </c>
      <c r="J488">
        <v>250</v>
      </c>
      <c r="K488">
        <v>1</v>
      </c>
      <c r="L488">
        <v>1</v>
      </c>
      <c r="M488">
        <v>37</v>
      </c>
      <c r="N488">
        <v>0</v>
      </c>
      <c r="O488" t="s">
        <v>27</v>
      </c>
      <c r="P488" t="s">
        <v>443</v>
      </c>
      <c r="Q488">
        <v>2026</v>
      </c>
      <c r="R488">
        <v>2036</v>
      </c>
      <c r="S488" t="s">
        <v>444</v>
      </c>
      <c r="T488">
        <v>2026</v>
      </c>
      <c r="U488">
        <v>33.75</v>
      </c>
      <c r="V488">
        <v>1</v>
      </c>
      <c r="W488">
        <v>2026</v>
      </c>
      <c r="X488">
        <v>0</v>
      </c>
      <c r="Y488">
        <v>2026</v>
      </c>
      <c r="Z488">
        <v>1</v>
      </c>
      <c r="AA488">
        <v>50</v>
      </c>
      <c r="AB488">
        <v>250</v>
      </c>
      <c r="AC488">
        <v>50</v>
      </c>
      <c r="AD488">
        <v>250</v>
      </c>
      <c r="AE488">
        <v>0</v>
      </c>
      <c r="AF488">
        <v>0</v>
      </c>
      <c r="AG488">
        <v>50</v>
      </c>
      <c r="AH488">
        <v>250</v>
      </c>
      <c r="AI488">
        <v>1</v>
      </c>
      <c r="AK488">
        <v>2027</v>
      </c>
      <c r="AL488" s="61">
        <v>2.4329999999999998</v>
      </c>
      <c r="AM488" s="61">
        <v>0</v>
      </c>
      <c r="AN488" s="61">
        <v>2.4329999999999998</v>
      </c>
      <c r="AO488">
        <v>1</v>
      </c>
      <c r="AP488">
        <v>1.023385968321771</v>
      </c>
      <c r="AQ488">
        <v>1.023385968321771</v>
      </c>
      <c r="AR488" t="b">
        <v>1</v>
      </c>
      <c r="AS488">
        <v>50</v>
      </c>
      <c r="AT488">
        <v>250</v>
      </c>
      <c r="AU488">
        <v>150</v>
      </c>
    </row>
    <row r="489" spans="1:47" x14ac:dyDescent="0.25">
      <c r="A489" t="s">
        <v>339</v>
      </c>
      <c r="B489" t="s">
        <v>480</v>
      </c>
      <c r="C489" t="s">
        <v>319</v>
      </c>
      <c r="D489">
        <v>2026</v>
      </c>
      <c r="E489">
        <v>0</v>
      </c>
      <c r="F489">
        <v>10</v>
      </c>
      <c r="G489">
        <v>0</v>
      </c>
      <c r="H489">
        <v>0</v>
      </c>
      <c r="I489">
        <v>50</v>
      </c>
      <c r="J489">
        <v>250</v>
      </c>
      <c r="K489">
        <v>1</v>
      </c>
      <c r="L489">
        <v>1</v>
      </c>
      <c r="M489">
        <v>37</v>
      </c>
      <c r="N489">
        <v>0</v>
      </c>
      <c r="O489" t="s">
        <v>27</v>
      </c>
      <c r="P489" t="s">
        <v>443</v>
      </c>
      <c r="Q489">
        <v>2026</v>
      </c>
      <c r="R489">
        <v>2036</v>
      </c>
      <c r="S489" t="s">
        <v>444</v>
      </c>
      <c r="T489">
        <v>2027</v>
      </c>
      <c r="U489">
        <v>34.75</v>
      </c>
      <c r="V489">
        <v>1</v>
      </c>
      <c r="W489">
        <v>2027</v>
      </c>
      <c r="X489">
        <v>1</v>
      </c>
      <c r="Y489">
        <v>2027</v>
      </c>
      <c r="Z489">
        <v>1</v>
      </c>
      <c r="AA489">
        <v>50</v>
      </c>
      <c r="AB489">
        <v>250</v>
      </c>
      <c r="AC489">
        <v>50</v>
      </c>
      <c r="AD489">
        <v>250</v>
      </c>
      <c r="AE489">
        <v>0</v>
      </c>
      <c r="AF489">
        <v>0</v>
      </c>
      <c r="AG489">
        <v>50</v>
      </c>
      <c r="AH489">
        <v>250</v>
      </c>
      <c r="AI489">
        <v>1</v>
      </c>
      <c r="AJ489">
        <v>2.4329999999999998</v>
      </c>
      <c r="AK489">
        <v>2028</v>
      </c>
      <c r="AL489" s="61">
        <v>2.4220000000000002</v>
      </c>
      <c r="AM489" s="61">
        <v>2.4329999999999998</v>
      </c>
      <c r="AN489" s="61">
        <v>2.4220000000000002</v>
      </c>
      <c r="AO489">
        <v>1</v>
      </c>
      <c r="AP489">
        <v>1.0242242189602202</v>
      </c>
      <c r="AQ489">
        <v>1.0242242189602202</v>
      </c>
      <c r="AR489" t="b">
        <v>0</v>
      </c>
      <c r="AS489">
        <v>48.817435747379008</v>
      </c>
      <c r="AT489">
        <v>244.08717873689505</v>
      </c>
      <c r="AU489">
        <v>146.45230724213704</v>
      </c>
    </row>
    <row r="490" spans="1:47" x14ac:dyDescent="0.25">
      <c r="A490" t="s">
        <v>339</v>
      </c>
      <c r="B490" t="s">
        <v>480</v>
      </c>
      <c r="C490" t="s">
        <v>319</v>
      </c>
      <c r="D490">
        <v>2026</v>
      </c>
      <c r="E490">
        <v>0</v>
      </c>
      <c r="F490">
        <v>10</v>
      </c>
      <c r="G490">
        <v>0</v>
      </c>
      <c r="H490">
        <v>0</v>
      </c>
      <c r="I490">
        <v>50</v>
      </c>
      <c r="J490">
        <v>250</v>
      </c>
      <c r="K490">
        <v>1</v>
      </c>
      <c r="L490">
        <v>1</v>
      </c>
      <c r="M490">
        <v>37</v>
      </c>
      <c r="N490">
        <v>0</v>
      </c>
      <c r="O490" t="s">
        <v>27</v>
      </c>
      <c r="P490" t="s">
        <v>443</v>
      </c>
      <c r="Q490">
        <v>2026</v>
      </c>
      <c r="R490">
        <v>2036</v>
      </c>
      <c r="S490" t="s">
        <v>444</v>
      </c>
      <c r="T490">
        <v>2028</v>
      </c>
      <c r="U490">
        <v>35.75</v>
      </c>
      <c r="V490">
        <v>1</v>
      </c>
      <c r="W490">
        <v>2028</v>
      </c>
      <c r="X490">
        <v>2</v>
      </c>
      <c r="Y490">
        <v>2028</v>
      </c>
      <c r="Z490">
        <v>1</v>
      </c>
      <c r="AA490">
        <v>50</v>
      </c>
      <c r="AB490">
        <v>250</v>
      </c>
      <c r="AC490">
        <v>50</v>
      </c>
      <c r="AD490">
        <v>250</v>
      </c>
      <c r="AE490">
        <v>0</v>
      </c>
      <c r="AF490">
        <v>0</v>
      </c>
      <c r="AG490">
        <v>50</v>
      </c>
      <c r="AH490">
        <v>250</v>
      </c>
      <c r="AI490">
        <v>1</v>
      </c>
      <c r="AJ490">
        <v>2.4220000000000002</v>
      </c>
      <c r="AK490">
        <v>2029</v>
      </c>
      <c r="AL490" s="61">
        <v>2.4209999999999998</v>
      </c>
      <c r="AM490" s="61">
        <v>2.4220000000000002</v>
      </c>
      <c r="AN490" s="61">
        <v>2.4209999999999998</v>
      </c>
      <c r="AO490">
        <v>1.0242199999999999</v>
      </c>
      <c r="AP490">
        <v>1.0242103835598433</v>
      </c>
      <c r="AQ490">
        <v>1.0490167590496626</v>
      </c>
      <c r="AR490" t="b">
        <v>0</v>
      </c>
      <c r="AS490">
        <v>47.66368084080618</v>
      </c>
      <c r="AT490">
        <v>238.31840420403091</v>
      </c>
      <c r="AU490">
        <v>142.99104252241855</v>
      </c>
    </row>
    <row r="491" spans="1:47" x14ac:dyDescent="0.25">
      <c r="A491" t="s">
        <v>339</v>
      </c>
      <c r="B491" t="s">
        <v>480</v>
      </c>
      <c r="C491" t="s">
        <v>319</v>
      </c>
      <c r="D491">
        <v>2026</v>
      </c>
      <c r="E491">
        <v>0</v>
      </c>
      <c r="F491">
        <v>10</v>
      </c>
      <c r="G491">
        <v>0</v>
      </c>
      <c r="H491">
        <v>0</v>
      </c>
      <c r="I491">
        <v>50</v>
      </c>
      <c r="J491">
        <v>250</v>
      </c>
      <c r="K491">
        <v>1</v>
      </c>
      <c r="L491">
        <v>1</v>
      </c>
      <c r="M491">
        <v>37</v>
      </c>
      <c r="N491">
        <v>0</v>
      </c>
      <c r="O491" t="s">
        <v>27</v>
      </c>
      <c r="P491" t="s">
        <v>443</v>
      </c>
      <c r="Q491">
        <v>2026</v>
      </c>
      <c r="R491">
        <v>2036</v>
      </c>
      <c r="S491" t="s">
        <v>444</v>
      </c>
      <c r="T491">
        <v>2029</v>
      </c>
      <c r="U491">
        <v>36.75</v>
      </c>
      <c r="V491">
        <v>1</v>
      </c>
      <c r="W491">
        <v>2029</v>
      </c>
      <c r="X491">
        <v>3</v>
      </c>
      <c r="Y491">
        <v>2029</v>
      </c>
      <c r="Z491">
        <v>1</v>
      </c>
      <c r="AA491">
        <v>50</v>
      </c>
      <c r="AB491">
        <v>250</v>
      </c>
      <c r="AC491">
        <v>50</v>
      </c>
      <c r="AD491">
        <v>250</v>
      </c>
      <c r="AE491">
        <v>0</v>
      </c>
      <c r="AF491">
        <v>0</v>
      </c>
      <c r="AG491">
        <v>50</v>
      </c>
      <c r="AH491">
        <v>250</v>
      </c>
      <c r="AI491">
        <v>1</v>
      </c>
      <c r="AJ491">
        <v>2.4209999999999998</v>
      </c>
      <c r="AK491">
        <v>2030</v>
      </c>
      <c r="AL491" s="61">
        <v>2.4670000000000001</v>
      </c>
      <c r="AM491" s="61">
        <v>2.4209999999999998</v>
      </c>
      <c r="AN491" s="61">
        <v>2.4670000000000001</v>
      </c>
      <c r="AO491">
        <v>1.0490061241000002</v>
      </c>
      <c r="AP491">
        <v>1.0246523523547908</v>
      </c>
      <c r="AQ491">
        <v>1.0748665926936467</v>
      </c>
      <c r="AR491" t="b">
        <v>0</v>
      </c>
      <c r="AS491">
        <v>46.517400708025129</v>
      </c>
      <c r="AT491">
        <v>232.58700354012564</v>
      </c>
      <c r="AU491">
        <v>139.55220212407539</v>
      </c>
    </row>
    <row r="492" spans="1:47" x14ac:dyDescent="0.25">
      <c r="A492" t="s">
        <v>339</v>
      </c>
      <c r="B492" t="s">
        <v>480</v>
      </c>
      <c r="C492" t="s">
        <v>319</v>
      </c>
      <c r="D492">
        <v>2026</v>
      </c>
      <c r="E492">
        <v>0</v>
      </c>
      <c r="F492">
        <v>10</v>
      </c>
      <c r="G492">
        <v>0</v>
      </c>
      <c r="H492">
        <v>0</v>
      </c>
      <c r="I492">
        <v>50</v>
      </c>
      <c r="J492">
        <v>250</v>
      </c>
      <c r="K492">
        <v>1</v>
      </c>
      <c r="L492">
        <v>1</v>
      </c>
      <c r="M492">
        <v>37</v>
      </c>
      <c r="N492">
        <v>0</v>
      </c>
      <c r="O492" t="s">
        <v>27</v>
      </c>
      <c r="P492" t="s">
        <v>443</v>
      </c>
      <c r="Q492">
        <v>2026</v>
      </c>
      <c r="R492">
        <v>2036</v>
      </c>
      <c r="S492" t="s">
        <v>444</v>
      </c>
      <c r="T492">
        <v>2030</v>
      </c>
      <c r="U492">
        <v>37.75</v>
      </c>
      <c r="V492">
        <v>1</v>
      </c>
      <c r="W492">
        <v>2030</v>
      </c>
      <c r="X492">
        <v>4</v>
      </c>
      <c r="Y492">
        <v>2030</v>
      </c>
      <c r="Z492">
        <v>1</v>
      </c>
      <c r="AA492">
        <v>50</v>
      </c>
      <c r="AB492">
        <v>250</v>
      </c>
      <c r="AC492">
        <v>50</v>
      </c>
      <c r="AD492">
        <v>250</v>
      </c>
      <c r="AE492">
        <v>0</v>
      </c>
      <c r="AF492">
        <v>0</v>
      </c>
      <c r="AG492">
        <v>50</v>
      </c>
      <c r="AH492">
        <v>250</v>
      </c>
      <c r="AI492">
        <v>1</v>
      </c>
      <c r="AJ492">
        <v>2.4670000000000001</v>
      </c>
      <c r="AK492">
        <v>2031</v>
      </c>
      <c r="AL492" s="61">
        <v>2.5169999999999999</v>
      </c>
      <c r="AM492" s="61">
        <v>2.4670000000000001</v>
      </c>
      <c r="AN492" s="61">
        <v>2.5169999999999999</v>
      </c>
      <c r="AO492">
        <v>1.0758508410815628</v>
      </c>
      <c r="AP492">
        <v>1.0251508174189523</v>
      </c>
      <c r="AQ492">
        <v>1.1029093691556315</v>
      </c>
      <c r="AR492" t="b">
        <v>0</v>
      </c>
      <c r="AS492">
        <v>45.334640722364284</v>
      </c>
      <c r="AT492">
        <v>226.67320361182144</v>
      </c>
      <c r="AU492">
        <v>136.00392216709287</v>
      </c>
    </row>
    <row r="493" spans="1:47" x14ac:dyDescent="0.25">
      <c r="A493" t="s">
        <v>339</v>
      </c>
      <c r="B493" t="s">
        <v>480</v>
      </c>
      <c r="C493" t="s">
        <v>319</v>
      </c>
      <c r="D493">
        <v>2026</v>
      </c>
      <c r="E493">
        <v>0</v>
      </c>
      <c r="F493">
        <v>10</v>
      </c>
      <c r="G493">
        <v>0</v>
      </c>
      <c r="H493">
        <v>0</v>
      </c>
      <c r="I493">
        <v>50</v>
      </c>
      <c r="J493">
        <v>250</v>
      </c>
      <c r="K493">
        <v>1</v>
      </c>
      <c r="L493">
        <v>1</v>
      </c>
      <c r="M493">
        <v>37</v>
      </c>
      <c r="N493">
        <v>0</v>
      </c>
      <c r="O493" t="s">
        <v>27</v>
      </c>
      <c r="P493" t="s">
        <v>443</v>
      </c>
      <c r="Q493">
        <v>2026</v>
      </c>
      <c r="R493">
        <v>2036</v>
      </c>
      <c r="S493" t="s">
        <v>444</v>
      </c>
      <c r="T493">
        <v>2031</v>
      </c>
      <c r="U493">
        <v>38.75</v>
      </c>
      <c r="V493">
        <v>1</v>
      </c>
      <c r="W493">
        <v>2031</v>
      </c>
      <c r="X493">
        <v>5</v>
      </c>
      <c r="Y493">
        <v>2031</v>
      </c>
      <c r="Z493">
        <v>1</v>
      </c>
      <c r="AA493">
        <v>50</v>
      </c>
      <c r="AB493">
        <v>250</v>
      </c>
      <c r="AC493">
        <v>50</v>
      </c>
      <c r="AD493">
        <v>250</v>
      </c>
      <c r="AE493">
        <v>0</v>
      </c>
      <c r="AF493">
        <v>0</v>
      </c>
      <c r="AG493">
        <v>50</v>
      </c>
      <c r="AH493">
        <v>250</v>
      </c>
      <c r="AI493">
        <v>1</v>
      </c>
      <c r="AJ493">
        <v>2.5169999999999999</v>
      </c>
      <c r="AK493">
        <v>2032</v>
      </c>
      <c r="AL493" s="61">
        <v>2.59</v>
      </c>
      <c r="AM493" s="61">
        <v>2.5169999999999999</v>
      </c>
      <c r="AN493" s="61">
        <v>2.59</v>
      </c>
      <c r="AO493">
        <v>1.1045453584485188</v>
      </c>
      <c r="AP493">
        <v>1.0258719904156592</v>
      </c>
      <c r="AQ493">
        <v>1.1331221453759597</v>
      </c>
      <c r="AR493" t="b">
        <v>0</v>
      </c>
      <c r="AS493">
        <v>44.125869575526167</v>
      </c>
      <c r="AT493">
        <v>220.62934787763083</v>
      </c>
      <c r="AU493">
        <v>132.3776087265785</v>
      </c>
    </row>
    <row r="494" spans="1:47" x14ac:dyDescent="0.25">
      <c r="A494" t="s">
        <v>339</v>
      </c>
      <c r="B494" t="s">
        <v>480</v>
      </c>
      <c r="C494" t="s">
        <v>319</v>
      </c>
      <c r="D494">
        <v>2026</v>
      </c>
      <c r="E494">
        <v>0</v>
      </c>
      <c r="F494">
        <v>10</v>
      </c>
      <c r="G494">
        <v>0</v>
      </c>
      <c r="H494">
        <v>0</v>
      </c>
      <c r="I494">
        <v>50</v>
      </c>
      <c r="J494">
        <v>250</v>
      </c>
      <c r="K494">
        <v>1</v>
      </c>
      <c r="L494">
        <v>1</v>
      </c>
      <c r="M494">
        <v>37</v>
      </c>
      <c r="N494">
        <v>0</v>
      </c>
      <c r="O494" t="s">
        <v>27</v>
      </c>
      <c r="P494" t="s">
        <v>443</v>
      </c>
      <c r="Q494">
        <v>2026</v>
      </c>
      <c r="R494">
        <v>2036</v>
      </c>
      <c r="S494" t="s">
        <v>444</v>
      </c>
      <c r="T494">
        <v>2032</v>
      </c>
      <c r="U494">
        <v>39.75</v>
      </c>
      <c r="V494">
        <v>1</v>
      </c>
      <c r="W494">
        <v>2032</v>
      </c>
      <c r="X494">
        <v>6</v>
      </c>
      <c r="Y494">
        <v>2032</v>
      </c>
      <c r="Z494">
        <v>1</v>
      </c>
      <c r="AA494">
        <v>50</v>
      </c>
      <c r="AB494">
        <v>250</v>
      </c>
      <c r="AC494">
        <v>50</v>
      </c>
      <c r="AD494">
        <v>250</v>
      </c>
      <c r="AE494">
        <v>0</v>
      </c>
      <c r="AF494">
        <v>0</v>
      </c>
      <c r="AG494">
        <v>50</v>
      </c>
      <c r="AH494">
        <v>250</v>
      </c>
      <c r="AI494">
        <v>1</v>
      </c>
      <c r="AJ494">
        <v>2.59</v>
      </c>
      <c r="AK494">
        <v>2033</v>
      </c>
      <c r="AL494" s="61">
        <v>2.6880000000000002</v>
      </c>
      <c r="AM494" s="61">
        <v>2.59</v>
      </c>
      <c r="AN494" s="61">
        <v>2.6880000000000002</v>
      </c>
      <c r="AO494">
        <v>1.1363841013749196</v>
      </c>
      <c r="AP494">
        <v>1.0268423936996114</v>
      </c>
      <c r="AQ494">
        <v>1.1668873708180043</v>
      </c>
      <c r="AR494" t="b">
        <v>0</v>
      </c>
      <c r="AS494">
        <v>42.849036891151975</v>
      </c>
      <c r="AT494">
        <v>214.24518445575987</v>
      </c>
      <c r="AU494">
        <v>128.54711067345593</v>
      </c>
    </row>
    <row r="495" spans="1:47" x14ac:dyDescent="0.25">
      <c r="A495" t="s">
        <v>339</v>
      </c>
      <c r="B495" t="s">
        <v>480</v>
      </c>
      <c r="C495" t="s">
        <v>319</v>
      </c>
      <c r="D495">
        <v>2026</v>
      </c>
      <c r="E495">
        <v>0</v>
      </c>
      <c r="F495">
        <v>10</v>
      </c>
      <c r="G495">
        <v>0</v>
      </c>
      <c r="H495">
        <v>0</v>
      </c>
      <c r="I495">
        <v>50</v>
      </c>
      <c r="J495">
        <v>250</v>
      </c>
      <c r="K495">
        <v>1</v>
      </c>
      <c r="L495">
        <v>1</v>
      </c>
      <c r="M495">
        <v>37</v>
      </c>
      <c r="N495">
        <v>0</v>
      </c>
      <c r="O495" t="s">
        <v>27</v>
      </c>
      <c r="P495" t="s">
        <v>443</v>
      </c>
      <c r="Q495">
        <v>2026</v>
      </c>
      <c r="R495">
        <v>2036</v>
      </c>
      <c r="S495" t="s">
        <v>444</v>
      </c>
      <c r="T495">
        <v>2033</v>
      </c>
      <c r="U495">
        <v>40.75</v>
      </c>
      <c r="V495">
        <v>1</v>
      </c>
      <c r="W495">
        <v>2033</v>
      </c>
      <c r="X495">
        <v>7</v>
      </c>
      <c r="Y495">
        <v>2033</v>
      </c>
      <c r="Z495">
        <v>1</v>
      </c>
      <c r="AA495">
        <v>50</v>
      </c>
      <c r="AB495">
        <v>250</v>
      </c>
      <c r="AC495">
        <v>50</v>
      </c>
      <c r="AD495">
        <v>250</v>
      </c>
      <c r="AE495">
        <v>0</v>
      </c>
      <c r="AF495">
        <v>0</v>
      </c>
      <c r="AG495">
        <v>50</v>
      </c>
      <c r="AH495">
        <v>250</v>
      </c>
      <c r="AI495">
        <v>1</v>
      </c>
      <c r="AJ495">
        <v>2.6880000000000002</v>
      </c>
      <c r="AK495">
        <v>2034</v>
      </c>
      <c r="AL495" s="61">
        <v>2.7519999999999998</v>
      </c>
      <c r="AM495" s="61">
        <v>2.6880000000000002</v>
      </c>
      <c r="AN495" s="61">
        <v>2.7519999999999998</v>
      </c>
      <c r="AO495">
        <v>1.1725143659072164</v>
      </c>
      <c r="AP495">
        <v>1.0274954447000768</v>
      </c>
      <c r="AQ495">
        <v>1.2047531698150638</v>
      </c>
      <c r="AR495" t="b">
        <v>0</v>
      </c>
      <c r="AS495">
        <v>41.502277190667428</v>
      </c>
      <c r="AT495">
        <v>207.51138595333714</v>
      </c>
      <c r="AU495">
        <v>124.50683157200228</v>
      </c>
    </row>
    <row r="496" spans="1:47" x14ac:dyDescent="0.25">
      <c r="A496" t="s">
        <v>339</v>
      </c>
      <c r="B496" t="s">
        <v>480</v>
      </c>
      <c r="C496" t="s">
        <v>319</v>
      </c>
      <c r="D496">
        <v>2026</v>
      </c>
      <c r="E496">
        <v>0</v>
      </c>
      <c r="F496">
        <v>10</v>
      </c>
      <c r="G496">
        <v>0</v>
      </c>
      <c r="H496">
        <v>0</v>
      </c>
      <c r="I496">
        <v>50</v>
      </c>
      <c r="J496">
        <v>250</v>
      </c>
      <c r="K496">
        <v>1</v>
      </c>
      <c r="L496">
        <v>1</v>
      </c>
      <c r="M496">
        <v>37</v>
      </c>
      <c r="N496">
        <v>0</v>
      </c>
      <c r="O496" t="s">
        <v>27</v>
      </c>
      <c r="P496" t="s">
        <v>443</v>
      </c>
      <c r="Q496">
        <v>2026</v>
      </c>
      <c r="R496">
        <v>2036</v>
      </c>
      <c r="S496" t="s">
        <v>444</v>
      </c>
      <c r="T496">
        <v>2034</v>
      </c>
      <c r="U496">
        <v>41.75</v>
      </c>
      <c r="V496">
        <v>1</v>
      </c>
      <c r="W496">
        <v>2034</v>
      </c>
      <c r="X496">
        <v>8</v>
      </c>
      <c r="Y496">
        <v>2034</v>
      </c>
      <c r="Z496">
        <v>1</v>
      </c>
      <c r="AA496">
        <v>50</v>
      </c>
      <c r="AB496">
        <v>250</v>
      </c>
      <c r="AC496">
        <v>50</v>
      </c>
      <c r="AD496">
        <v>250</v>
      </c>
      <c r="AE496">
        <v>0</v>
      </c>
      <c r="AF496">
        <v>0</v>
      </c>
      <c r="AG496">
        <v>50</v>
      </c>
      <c r="AH496">
        <v>250</v>
      </c>
      <c r="AI496">
        <v>1</v>
      </c>
      <c r="AJ496">
        <v>2.7519999999999998</v>
      </c>
      <c r="AK496">
        <v>2035</v>
      </c>
      <c r="AL496" s="61">
        <v>2.8420000000000001</v>
      </c>
      <c r="AM496" s="61">
        <v>2.7519999999999998</v>
      </c>
      <c r="AN496" s="61">
        <v>2.8420000000000001</v>
      </c>
      <c r="AO496">
        <v>1.2092942481281721</v>
      </c>
      <c r="AP496">
        <v>1.0283854649181425</v>
      </c>
      <c r="AQ496">
        <v>1.2436206275841259</v>
      </c>
      <c r="AR496" t="b">
        <v>0</v>
      </c>
      <c r="AS496">
        <v>40.205187089193487</v>
      </c>
      <c r="AT496">
        <v>201.02593544596743</v>
      </c>
      <c r="AU496">
        <v>120.61556126758046</v>
      </c>
    </row>
    <row r="497" spans="1:47" x14ac:dyDescent="0.25">
      <c r="A497" t="s">
        <v>339</v>
      </c>
      <c r="B497" t="s">
        <v>480</v>
      </c>
      <c r="C497" t="s">
        <v>319</v>
      </c>
      <c r="D497">
        <v>2026</v>
      </c>
      <c r="E497">
        <v>0</v>
      </c>
      <c r="F497">
        <v>10</v>
      </c>
      <c r="G497">
        <v>0</v>
      </c>
      <c r="H497">
        <v>0</v>
      </c>
      <c r="I497">
        <v>50</v>
      </c>
      <c r="J497">
        <v>250</v>
      </c>
      <c r="K497">
        <v>1</v>
      </c>
      <c r="L497">
        <v>1</v>
      </c>
      <c r="M497">
        <v>37</v>
      </c>
      <c r="N497">
        <v>0</v>
      </c>
      <c r="O497" t="s">
        <v>27</v>
      </c>
      <c r="P497" t="s">
        <v>443</v>
      </c>
      <c r="Q497">
        <v>2026</v>
      </c>
      <c r="R497">
        <v>2036</v>
      </c>
      <c r="S497" t="s">
        <v>444</v>
      </c>
      <c r="T497">
        <v>2035</v>
      </c>
      <c r="U497">
        <v>42.75</v>
      </c>
      <c r="V497">
        <v>1</v>
      </c>
      <c r="W497">
        <v>2035</v>
      </c>
      <c r="X497">
        <v>9</v>
      </c>
      <c r="Y497">
        <v>2035</v>
      </c>
      <c r="Z497">
        <v>1</v>
      </c>
      <c r="AA497">
        <v>50</v>
      </c>
      <c r="AB497">
        <v>250</v>
      </c>
      <c r="AC497">
        <v>50</v>
      </c>
      <c r="AD497">
        <v>250</v>
      </c>
      <c r="AE497">
        <v>0</v>
      </c>
      <c r="AF497">
        <v>0</v>
      </c>
      <c r="AG497">
        <v>50</v>
      </c>
      <c r="AH497">
        <v>250</v>
      </c>
      <c r="AI497">
        <v>1</v>
      </c>
      <c r="AJ497">
        <v>2.8420000000000001</v>
      </c>
      <c r="AK497">
        <v>2036</v>
      </c>
      <c r="AL497" s="61">
        <v>2.944</v>
      </c>
      <c r="AM497" s="61">
        <v>2.8420000000000001</v>
      </c>
      <c r="AN497" s="61">
        <v>2.944</v>
      </c>
      <c r="AO497">
        <v>1.2513076834571593</v>
      </c>
      <c r="AP497">
        <v>1.0294008580614105</v>
      </c>
      <c r="AQ497">
        <v>1.2880972030496356</v>
      </c>
      <c r="AR497" t="b">
        <v>0</v>
      </c>
      <c r="AS497">
        <v>38.816946331086243</v>
      </c>
      <c r="AT497">
        <v>194.0847316554312</v>
      </c>
      <c r="AU497">
        <v>116.45083899325871</v>
      </c>
    </row>
    <row r="498" spans="1:47" x14ac:dyDescent="0.25">
      <c r="A498" t="s">
        <v>339</v>
      </c>
      <c r="B498" t="s">
        <v>480</v>
      </c>
      <c r="C498" t="s">
        <v>319</v>
      </c>
      <c r="D498">
        <v>2026</v>
      </c>
      <c r="E498">
        <v>0</v>
      </c>
      <c r="M498">
        <v>37</v>
      </c>
      <c r="Q498">
        <v>2026</v>
      </c>
      <c r="R498">
        <v>2036</v>
      </c>
      <c r="T498">
        <v>2036</v>
      </c>
      <c r="U498">
        <v>43.75</v>
      </c>
      <c r="W498">
        <v>2036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L498" s="61"/>
      <c r="AS498">
        <v>0</v>
      </c>
      <c r="AT498">
        <v>0</v>
      </c>
      <c r="AU498">
        <v>0</v>
      </c>
    </row>
    <row r="499" spans="1:47" x14ac:dyDescent="0.25">
      <c r="A499" t="s">
        <v>366</v>
      </c>
      <c r="B499" t="s">
        <v>481</v>
      </c>
      <c r="C499" t="s">
        <v>320</v>
      </c>
      <c r="D499">
        <v>2026</v>
      </c>
      <c r="E499">
        <v>0</v>
      </c>
      <c r="F499">
        <v>15</v>
      </c>
      <c r="G499">
        <v>0</v>
      </c>
      <c r="H499">
        <v>0</v>
      </c>
      <c r="I499">
        <v>30</v>
      </c>
      <c r="J499">
        <v>45</v>
      </c>
      <c r="K499">
        <v>4</v>
      </c>
      <c r="L499">
        <v>2</v>
      </c>
      <c r="M499">
        <v>38</v>
      </c>
      <c r="N499">
        <v>0</v>
      </c>
      <c r="O499" t="s">
        <v>27</v>
      </c>
      <c r="P499" t="s">
        <v>443</v>
      </c>
      <c r="Q499">
        <v>2026</v>
      </c>
      <c r="R499">
        <v>2041</v>
      </c>
      <c r="S499" t="s">
        <v>444</v>
      </c>
      <c r="T499">
        <v>2026</v>
      </c>
      <c r="U499">
        <v>33.75</v>
      </c>
      <c r="V499">
        <v>1</v>
      </c>
      <c r="W499">
        <v>2026</v>
      </c>
      <c r="X499">
        <v>0</v>
      </c>
      <c r="Y499">
        <v>2026</v>
      </c>
      <c r="Z499">
        <v>1</v>
      </c>
      <c r="AA499">
        <v>120</v>
      </c>
      <c r="AB499">
        <v>180</v>
      </c>
      <c r="AC499">
        <v>120</v>
      </c>
      <c r="AD499">
        <v>180</v>
      </c>
      <c r="AE499">
        <v>0</v>
      </c>
      <c r="AF499">
        <v>0</v>
      </c>
      <c r="AG499">
        <v>120</v>
      </c>
      <c r="AH499">
        <v>180</v>
      </c>
      <c r="AI499">
        <v>1</v>
      </c>
      <c r="AK499">
        <v>2027</v>
      </c>
      <c r="AL499" s="61">
        <v>2.4329999999999998</v>
      </c>
      <c r="AM499" s="61">
        <v>0</v>
      </c>
      <c r="AN499" s="61">
        <v>2.4329999999999998</v>
      </c>
      <c r="AO499">
        <v>1</v>
      </c>
      <c r="AP499">
        <v>1.023385968321771</v>
      </c>
      <c r="AQ499">
        <v>1.023385968321771</v>
      </c>
      <c r="AR499" t="b">
        <v>1</v>
      </c>
      <c r="AS499">
        <v>120</v>
      </c>
      <c r="AT499">
        <v>180</v>
      </c>
      <c r="AU499">
        <v>150</v>
      </c>
    </row>
    <row r="500" spans="1:47" x14ac:dyDescent="0.25">
      <c r="A500" t="s">
        <v>366</v>
      </c>
      <c r="B500" t="s">
        <v>481</v>
      </c>
      <c r="C500" t="s">
        <v>320</v>
      </c>
      <c r="D500">
        <v>2026</v>
      </c>
      <c r="E500">
        <v>0</v>
      </c>
      <c r="F500">
        <v>15</v>
      </c>
      <c r="G500">
        <v>0</v>
      </c>
      <c r="H500">
        <v>0</v>
      </c>
      <c r="I500">
        <v>30</v>
      </c>
      <c r="J500">
        <v>45</v>
      </c>
      <c r="K500">
        <v>4</v>
      </c>
      <c r="L500">
        <v>2</v>
      </c>
      <c r="M500">
        <v>38</v>
      </c>
      <c r="N500">
        <v>0</v>
      </c>
      <c r="O500" t="s">
        <v>27</v>
      </c>
      <c r="P500" t="s">
        <v>443</v>
      </c>
      <c r="Q500">
        <v>2026</v>
      </c>
      <c r="R500">
        <v>2041</v>
      </c>
      <c r="S500" t="s">
        <v>444</v>
      </c>
      <c r="T500">
        <v>2027</v>
      </c>
      <c r="U500">
        <v>34.75</v>
      </c>
      <c r="V500">
        <v>1</v>
      </c>
      <c r="W500">
        <v>2027</v>
      </c>
      <c r="X500">
        <v>1</v>
      </c>
      <c r="Y500">
        <v>2027</v>
      </c>
      <c r="Z500">
        <v>1</v>
      </c>
      <c r="AA500">
        <v>120</v>
      </c>
      <c r="AB500">
        <v>180</v>
      </c>
      <c r="AC500">
        <v>120</v>
      </c>
      <c r="AD500">
        <v>180</v>
      </c>
      <c r="AE500">
        <v>0</v>
      </c>
      <c r="AF500">
        <v>0</v>
      </c>
      <c r="AG500">
        <v>120</v>
      </c>
      <c r="AH500">
        <v>180</v>
      </c>
      <c r="AI500">
        <v>1</v>
      </c>
      <c r="AJ500">
        <v>2.4329999999999998</v>
      </c>
      <c r="AK500">
        <v>2028</v>
      </c>
      <c r="AL500" s="61">
        <v>2.4220000000000002</v>
      </c>
      <c r="AM500" s="61">
        <v>2.4329999999999998</v>
      </c>
      <c r="AN500" s="61">
        <v>2.4220000000000002</v>
      </c>
      <c r="AO500">
        <v>1</v>
      </c>
      <c r="AP500">
        <v>1.0242242189602202</v>
      </c>
      <c r="AQ500">
        <v>1.0242242189602202</v>
      </c>
      <c r="AR500" t="b">
        <v>0</v>
      </c>
      <c r="AS500">
        <v>117.16184579370963</v>
      </c>
      <c r="AT500">
        <v>175.74276869056445</v>
      </c>
      <c r="AU500">
        <v>146.45230724213704</v>
      </c>
    </row>
    <row r="501" spans="1:47" x14ac:dyDescent="0.25">
      <c r="A501" t="s">
        <v>366</v>
      </c>
      <c r="B501" t="s">
        <v>481</v>
      </c>
      <c r="C501" t="s">
        <v>320</v>
      </c>
      <c r="D501">
        <v>2026</v>
      </c>
      <c r="E501">
        <v>0</v>
      </c>
      <c r="F501">
        <v>15</v>
      </c>
      <c r="G501">
        <v>0</v>
      </c>
      <c r="H501">
        <v>0</v>
      </c>
      <c r="I501">
        <v>30</v>
      </c>
      <c r="J501">
        <v>45</v>
      </c>
      <c r="K501">
        <v>4</v>
      </c>
      <c r="L501">
        <v>2</v>
      </c>
      <c r="M501">
        <v>38</v>
      </c>
      <c r="N501">
        <v>0</v>
      </c>
      <c r="O501" t="s">
        <v>27</v>
      </c>
      <c r="P501" t="s">
        <v>443</v>
      </c>
      <c r="Q501">
        <v>2026</v>
      </c>
      <c r="R501">
        <v>2041</v>
      </c>
      <c r="S501" t="s">
        <v>444</v>
      </c>
      <c r="T501">
        <v>2028</v>
      </c>
      <c r="U501">
        <v>35.75</v>
      </c>
      <c r="V501">
        <v>1</v>
      </c>
      <c r="W501">
        <v>2028</v>
      </c>
      <c r="X501">
        <v>2</v>
      </c>
      <c r="Y501">
        <v>2028</v>
      </c>
      <c r="Z501">
        <v>1</v>
      </c>
      <c r="AA501">
        <v>120</v>
      </c>
      <c r="AB501">
        <v>180</v>
      </c>
      <c r="AC501">
        <v>120</v>
      </c>
      <c r="AD501">
        <v>180</v>
      </c>
      <c r="AE501">
        <v>0</v>
      </c>
      <c r="AF501">
        <v>0</v>
      </c>
      <c r="AG501">
        <v>120</v>
      </c>
      <c r="AH501">
        <v>180</v>
      </c>
      <c r="AI501">
        <v>1</v>
      </c>
      <c r="AJ501">
        <v>2.4220000000000002</v>
      </c>
      <c r="AK501">
        <v>2029</v>
      </c>
      <c r="AL501" s="61">
        <v>2.4209999999999998</v>
      </c>
      <c r="AM501" s="61">
        <v>2.4220000000000002</v>
      </c>
      <c r="AN501" s="61">
        <v>2.4209999999999998</v>
      </c>
      <c r="AO501">
        <v>1.0242199999999999</v>
      </c>
      <c r="AP501">
        <v>1.0242103835598433</v>
      </c>
      <c r="AQ501">
        <v>1.0490167590496626</v>
      </c>
      <c r="AR501" t="b">
        <v>0</v>
      </c>
      <c r="AS501">
        <v>114.39283401793483</v>
      </c>
      <c r="AT501">
        <v>171.58925102690225</v>
      </c>
      <c r="AU501">
        <v>142.99104252241852</v>
      </c>
    </row>
    <row r="502" spans="1:47" x14ac:dyDescent="0.25">
      <c r="A502" t="s">
        <v>366</v>
      </c>
      <c r="B502" t="s">
        <v>481</v>
      </c>
      <c r="C502" t="s">
        <v>320</v>
      </c>
      <c r="D502">
        <v>2026</v>
      </c>
      <c r="E502">
        <v>0</v>
      </c>
      <c r="F502">
        <v>15</v>
      </c>
      <c r="G502">
        <v>0</v>
      </c>
      <c r="H502">
        <v>0</v>
      </c>
      <c r="I502">
        <v>30</v>
      </c>
      <c r="J502">
        <v>45</v>
      </c>
      <c r="K502">
        <v>4</v>
      </c>
      <c r="L502">
        <v>2</v>
      </c>
      <c r="M502">
        <v>38</v>
      </c>
      <c r="N502">
        <v>0</v>
      </c>
      <c r="O502" t="s">
        <v>27</v>
      </c>
      <c r="P502" t="s">
        <v>443</v>
      </c>
      <c r="Q502">
        <v>2026</v>
      </c>
      <c r="R502">
        <v>2041</v>
      </c>
      <c r="S502" t="s">
        <v>444</v>
      </c>
      <c r="T502">
        <v>2029</v>
      </c>
      <c r="U502">
        <v>36.75</v>
      </c>
      <c r="V502">
        <v>1</v>
      </c>
      <c r="W502">
        <v>2029</v>
      </c>
      <c r="X502">
        <v>3</v>
      </c>
      <c r="Y502">
        <v>2029</v>
      </c>
      <c r="Z502">
        <v>1</v>
      </c>
      <c r="AA502">
        <v>120</v>
      </c>
      <c r="AB502">
        <v>180</v>
      </c>
      <c r="AC502">
        <v>120</v>
      </c>
      <c r="AD502">
        <v>180</v>
      </c>
      <c r="AE502">
        <v>0</v>
      </c>
      <c r="AF502">
        <v>0</v>
      </c>
      <c r="AG502">
        <v>120</v>
      </c>
      <c r="AH502">
        <v>180</v>
      </c>
      <c r="AI502">
        <v>1</v>
      </c>
      <c r="AJ502">
        <v>2.4209999999999998</v>
      </c>
      <c r="AK502">
        <v>2030</v>
      </c>
      <c r="AL502" s="61">
        <v>2.4670000000000001</v>
      </c>
      <c r="AM502" s="61">
        <v>2.4209999999999998</v>
      </c>
      <c r="AN502" s="61">
        <v>2.4670000000000001</v>
      </c>
      <c r="AO502">
        <v>1.0490061241000002</v>
      </c>
      <c r="AP502">
        <v>1.0246523523547908</v>
      </c>
      <c r="AQ502">
        <v>1.0748665926936467</v>
      </c>
      <c r="AR502" t="b">
        <v>0</v>
      </c>
      <c r="AS502">
        <v>111.64176169926031</v>
      </c>
      <c r="AT502">
        <v>167.46264254889047</v>
      </c>
      <c r="AU502">
        <v>139.55220212407539</v>
      </c>
    </row>
    <row r="503" spans="1:47" x14ac:dyDescent="0.25">
      <c r="A503" t="s">
        <v>366</v>
      </c>
      <c r="B503" t="s">
        <v>481</v>
      </c>
      <c r="C503" t="s">
        <v>320</v>
      </c>
      <c r="D503">
        <v>2026</v>
      </c>
      <c r="E503">
        <v>0</v>
      </c>
      <c r="F503">
        <v>15</v>
      </c>
      <c r="G503">
        <v>0</v>
      </c>
      <c r="H503">
        <v>0</v>
      </c>
      <c r="I503">
        <v>30</v>
      </c>
      <c r="J503">
        <v>45</v>
      </c>
      <c r="K503">
        <v>4</v>
      </c>
      <c r="L503">
        <v>2</v>
      </c>
      <c r="M503">
        <v>38</v>
      </c>
      <c r="N503">
        <v>0</v>
      </c>
      <c r="O503" t="s">
        <v>27</v>
      </c>
      <c r="P503" t="s">
        <v>443</v>
      </c>
      <c r="Q503">
        <v>2026</v>
      </c>
      <c r="R503">
        <v>2041</v>
      </c>
      <c r="S503" t="s">
        <v>444</v>
      </c>
      <c r="T503">
        <v>2030</v>
      </c>
      <c r="U503">
        <v>37.75</v>
      </c>
      <c r="V503">
        <v>1</v>
      </c>
      <c r="W503">
        <v>2030</v>
      </c>
      <c r="X503">
        <v>4</v>
      </c>
      <c r="Y503">
        <v>2030</v>
      </c>
      <c r="Z503">
        <v>1</v>
      </c>
      <c r="AA503">
        <v>120</v>
      </c>
      <c r="AB503">
        <v>180</v>
      </c>
      <c r="AC503">
        <v>120</v>
      </c>
      <c r="AD503">
        <v>180</v>
      </c>
      <c r="AE503">
        <v>0</v>
      </c>
      <c r="AF503">
        <v>0</v>
      </c>
      <c r="AG503">
        <v>120</v>
      </c>
      <c r="AH503">
        <v>180</v>
      </c>
      <c r="AI503">
        <v>1</v>
      </c>
      <c r="AJ503">
        <v>2.4670000000000001</v>
      </c>
      <c r="AK503">
        <v>2031</v>
      </c>
      <c r="AL503" s="61">
        <v>2.5169999999999999</v>
      </c>
      <c r="AM503" s="61">
        <v>2.4670000000000001</v>
      </c>
      <c r="AN503" s="61">
        <v>2.5169999999999999</v>
      </c>
      <c r="AO503">
        <v>1.0758508410815628</v>
      </c>
      <c r="AP503">
        <v>1.0251508174189523</v>
      </c>
      <c r="AQ503">
        <v>1.1029093691556315</v>
      </c>
      <c r="AR503" t="b">
        <v>0</v>
      </c>
      <c r="AS503">
        <v>108.80313773367429</v>
      </c>
      <c r="AT503">
        <v>163.20470660051143</v>
      </c>
      <c r="AU503">
        <v>136.00392216709287</v>
      </c>
    </row>
    <row r="504" spans="1:47" x14ac:dyDescent="0.25">
      <c r="A504" t="s">
        <v>366</v>
      </c>
      <c r="B504" t="s">
        <v>481</v>
      </c>
      <c r="C504" t="s">
        <v>320</v>
      </c>
      <c r="D504">
        <v>2026</v>
      </c>
      <c r="E504">
        <v>0</v>
      </c>
      <c r="F504">
        <v>15</v>
      </c>
      <c r="G504">
        <v>0</v>
      </c>
      <c r="H504">
        <v>0</v>
      </c>
      <c r="I504">
        <v>30</v>
      </c>
      <c r="J504">
        <v>45</v>
      </c>
      <c r="K504">
        <v>4</v>
      </c>
      <c r="L504">
        <v>2</v>
      </c>
      <c r="M504">
        <v>38</v>
      </c>
      <c r="N504">
        <v>0</v>
      </c>
      <c r="O504" t="s">
        <v>27</v>
      </c>
      <c r="P504" t="s">
        <v>443</v>
      </c>
      <c r="Q504">
        <v>2026</v>
      </c>
      <c r="R504">
        <v>2041</v>
      </c>
      <c r="S504" t="s">
        <v>444</v>
      </c>
      <c r="T504">
        <v>2031</v>
      </c>
      <c r="U504">
        <v>38.75</v>
      </c>
      <c r="V504">
        <v>1</v>
      </c>
      <c r="W504">
        <v>2031</v>
      </c>
      <c r="X504">
        <v>5</v>
      </c>
      <c r="Y504">
        <v>2031</v>
      </c>
      <c r="Z504">
        <v>1</v>
      </c>
      <c r="AA504">
        <v>120</v>
      </c>
      <c r="AB504">
        <v>180</v>
      </c>
      <c r="AC504">
        <v>120</v>
      </c>
      <c r="AD504">
        <v>180</v>
      </c>
      <c r="AE504">
        <v>0</v>
      </c>
      <c r="AF504">
        <v>0</v>
      </c>
      <c r="AG504">
        <v>120</v>
      </c>
      <c r="AH504">
        <v>180</v>
      </c>
      <c r="AI504">
        <v>1</v>
      </c>
      <c r="AJ504">
        <v>2.5169999999999999</v>
      </c>
      <c r="AK504">
        <v>2032</v>
      </c>
      <c r="AL504" s="61">
        <v>2.59</v>
      </c>
      <c r="AM504" s="61">
        <v>2.5169999999999999</v>
      </c>
      <c r="AN504" s="61">
        <v>2.59</v>
      </c>
      <c r="AO504">
        <v>1.1045453584485188</v>
      </c>
      <c r="AP504">
        <v>1.0258719904156592</v>
      </c>
      <c r="AQ504">
        <v>1.1331221453759597</v>
      </c>
      <c r="AR504" t="b">
        <v>0</v>
      </c>
      <c r="AS504">
        <v>105.90208698126281</v>
      </c>
      <c r="AT504">
        <v>158.85313047189422</v>
      </c>
      <c r="AU504">
        <v>132.3776087265785</v>
      </c>
    </row>
    <row r="505" spans="1:47" x14ac:dyDescent="0.25">
      <c r="A505" t="s">
        <v>366</v>
      </c>
      <c r="B505" t="s">
        <v>481</v>
      </c>
      <c r="C505" t="s">
        <v>320</v>
      </c>
      <c r="D505">
        <v>2026</v>
      </c>
      <c r="E505">
        <v>0</v>
      </c>
      <c r="F505">
        <v>15</v>
      </c>
      <c r="G505">
        <v>0</v>
      </c>
      <c r="H505">
        <v>0</v>
      </c>
      <c r="I505">
        <v>30</v>
      </c>
      <c r="J505">
        <v>45</v>
      </c>
      <c r="K505">
        <v>4</v>
      </c>
      <c r="L505">
        <v>2</v>
      </c>
      <c r="M505">
        <v>38</v>
      </c>
      <c r="N505">
        <v>0</v>
      </c>
      <c r="O505" t="s">
        <v>27</v>
      </c>
      <c r="P505" t="s">
        <v>443</v>
      </c>
      <c r="Q505">
        <v>2026</v>
      </c>
      <c r="R505">
        <v>2041</v>
      </c>
      <c r="S505" t="s">
        <v>444</v>
      </c>
      <c r="T505">
        <v>2032</v>
      </c>
      <c r="U505">
        <v>39.75</v>
      </c>
      <c r="V505">
        <v>1</v>
      </c>
      <c r="W505">
        <v>2032</v>
      </c>
      <c r="X505">
        <v>6</v>
      </c>
      <c r="Y505">
        <v>2032</v>
      </c>
      <c r="Z505">
        <v>1</v>
      </c>
      <c r="AA505">
        <v>120</v>
      </c>
      <c r="AB505">
        <v>180</v>
      </c>
      <c r="AC505">
        <v>120</v>
      </c>
      <c r="AD505">
        <v>180</v>
      </c>
      <c r="AE505">
        <v>0</v>
      </c>
      <c r="AF505">
        <v>0</v>
      </c>
      <c r="AG505">
        <v>120</v>
      </c>
      <c r="AH505">
        <v>180</v>
      </c>
      <c r="AI505">
        <v>1</v>
      </c>
      <c r="AJ505">
        <v>2.59</v>
      </c>
      <c r="AK505">
        <v>2033</v>
      </c>
      <c r="AL505" s="61">
        <v>2.6880000000000002</v>
      </c>
      <c r="AM505" s="61">
        <v>2.59</v>
      </c>
      <c r="AN505" s="61">
        <v>2.6880000000000002</v>
      </c>
      <c r="AO505">
        <v>1.1363841013749196</v>
      </c>
      <c r="AP505">
        <v>1.0268423936996114</v>
      </c>
      <c r="AQ505">
        <v>1.1668873708180043</v>
      </c>
      <c r="AR505" t="b">
        <v>0</v>
      </c>
      <c r="AS505">
        <v>102.83768853876474</v>
      </c>
      <c r="AT505">
        <v>154.25653280814711</v>
      </c>
      <c r="AU505">
        <v>128.54711067345593</v>
      </c>
    </row>
    <row r="506" spans="1:47" x14ac:dyDescent="0.25">
      <c r="A506" t="s">
        <v>366</v>
      </c>
      <c r="B506" t="s">
        <v>481</v>
      </c>
      <c r="C506" t="s">
        <v>320</v>
      </c>
      <c r="D506">
        <v>2026</v>
      </c>
      <c r="E506">
        <v>0</v>
      </c>
      <c r="F506">
        <v>15</v>
      </c>
      <c r="G506">
        <v>0</v>
      </c>
      <c r="H506">
        <v>0</v>
      </c>
      <c r="I506">
        <v>30</v>
      </c>
      <c r="J506">
        <v>45</v>
      </c>
      <c r="K506">
        <v>4</v>
      </c>
      <c r="L506">
        <v>2</v>
      </c>
      <c r="M506">
        <v>38</v>
      </c>
      <c r="N506">
        <v>0</v>
      </c>
      <c r="O506" t="s">
        <v>27</v>
      </c>
      <c r="P506" t="s">
        <v>443</v>
      </c>
      <c r="Q506">
        <v>2026</v>
      </c>
      <c r="R506">
        <v>2041</v>
      </c>
      <c r="S506" t="s">
        <v>444</v>
      </c>
      <c r="T506">
        <v>2033</v>
      </c>
      <c r="U506">
        <v>40.75</v>
      </c>
      <c r="V506">
        <v>1</v>
      </c>
      <c r="W506">
        <v>2033</v>
      </c>
      <c r="X506">
        <v>7</v>
      </c>
      <c r="Y506">
        <v>2033</v>
      </c>
      <c r="Z506">
        <v>1</v>
      </c>
      <c r="AA506">
        <v>120</v>
      </c>
      <c r="AB506">
        <v>180</v>
      </c>
      <c r="AC506">
        <v>120</v>
      </c>
      <c r="AD506">
        <v>180</v>
      </c>
      <c r="AE506">
        <v>0</v>
      </c>
      <c r="AF506">
        <v>0</v>
      </c>
      <c r="AG506">
        <v>120</v>
      </c>
      <c r="AH506">
        <v>180</v>
      </c>
      <c r="AI506">
        <v>1</v>
      </c>
      <c r="AJ506">
        <v>2.6880000000000002</v>
      </c>
      <c r="AK506">
        <v>2034</v>
      </c>
      <c r="AL506" s="61">
        <v>2.7519999999999998</v>
      </c>
      <c r="AM506" s="61">
        <v>2.6880000000000002</v>
      </c>
      <c r="AN506" s="61">
        <v>2.7519999999999998</v>
      </c>
      <c r="AO506">
        <v>1.1725143659072164</v>
      </c>
      <c r="AP506">
        <v>1.0274954447000768</v>
      </c>
      <c r="AQ506">
        <v>1.2047531698150638</v>
      </c>
      <c r="AR506" t="b">
        <v>0</v>
      </c>
      <c r="AS506">
        <v>99.605465257601821</v>
      </c>
      <c r="AT506">
        <v>149.40819788640275</v>
      </c>
      <c r="AU506">
        <v>124.50683157200228</v>
      </c>
    </row>
    <row r="507" spans="1:47" x14ac:dyDescent="0.25">
      <c r="A507" t="s">
        <v>366</v>
      </c>
      <c r="B507" t="s">
        <v>481</v>
      </c>
      <c r="C507" t="s">
        <v>320</v>
      </c>
      <c r="D507">
        <v>2026</v>
      </c>
      <c r="E507">
        <v>0</v>
      </c>
      <c r="F507">
        <v>15</v>
      </c>
      <c r="G507">
        <v>0</v>
      </c>
      <c r="H507">
        <v>0</v>
      </c>
      <c r="I507">
        <v>30</v>
      </c>
      <c r="J507">
        <v>45</v>
      </c>
      <c r="K507">
        <v>4</v>
      </c>
      <c r="L507">
        <v>2</v>
      </c>
      <c r="M507">
        <v>38</v>
      </c>
      <c r="N507">
        <v>0</v>
      </c>
      <c r="O507" t="s">
        <v>27</v>
      </c>
      <c r="P507" t="s">
        <v>443</v>
      </c>
      <c r="Q507">
        <v>2026</v>
      </c>
      <c r="R507">
        <v>2041</v>
      </c>
      <c r="S507" t="s">
        <v>444</v>
      </c>
      <c r="T507">
        <v>2034</v>
      </c>
      <c r="U507">
        <v>41.75</v>
      </c>
      <c r="V507">
        <v>1</v>
      </c>
      <c r="W507">
        <v>2034</v>
      </c>
      <c r="X507">
        <v>8</v>
      </c>
      <c r="Y507">
        <v>2034</v>
      </c>
      <c r="Z507">
        <v>1</v>
      </c>
      <c r="AA507">
        <v>120</v>
      </c>
      <c r="AB507">
        <v>180</v>
      </c>
      <c r="AC507">
        <v>120</v>
      </c>
      <c r="AD507">
        <v>180</v>
      </c>
      <c r="AE507">
        <v>0</v>
      </c>
      <c r="AF507">
        <v>0</v>
      </c>
      <c r="AG507">
        <v>120</v>
      </c>
      <c r="AH507">
        <v>180</v>
      </c>
      <c r="AI507">
        <v>1</v>
      </c>
      <c r="AJ507">
        <v>2.7519999999999998</v>
      </c>
      <c r="AK507">
        <v>2035</v>
      </c>
      <c r="AL507" s="61">
        <v>2.8420000000000001</v>
      </c>
      <c r="AM507" s="61">
        <v>2.7519999999999998</v>
      </c>
      <c r="AN507" s="61">
        <v>2.8420000000000001</v>
      </c>
      <c r="AO507">
        <v>1.2092942481281721</v>
      </c>
      <c r="AP507">
        <v>1.0283854649181425</v>
      </c>
      <c r="AQ507">
        <v>1.2436206275841259</v>
      </c>
      <c r="AR507" t="b">
        <v>0</v>
      </c>
      <c r="AS507">
        <v>96.492449014064363</v>
      </c>
      <c r="AT507">
        <v>144.73867352109656</v>
      </c>
      <c r="AU507">
        <v>120.61556126758046</v>
      </c>
    </row>
    <row r="508" spans="1:47" x14ac:dyDescent="0.25">
      <c r="A508" t="s">
        <v>366</v>
      </c>
      <c r="B508" t="s">
        <v>481</v>
      </c>
      <c r="C508" t="s">
        <v>320</v>
      </c>
      <c r="D508">
        <v>2026</v>
      </c>
      <c r="E508">
        <v>0</v>
      </c>
      <c r="F508">
        <v>15</v>
      </c>
      <c r="G508">
        <v>0</v>
      </c>
      <c r="H508">
        <v>0</v>
      </c>
      <c r="I508">
        <v>30</v>
      </c>
      <c r="J508">
        <v>45</v>
      </c>
      <c r="K508">
        <v>4</v>
      </c>
      <c r="L508">
        <v>2</v>
      </c>
      <c r="M508">
        <v>38</v>
      </c>
      <c r="N508">
        <v>0</v>
      </c>
      <c r="O508" t="s">
        <v>27</v>
      </c>
      <c r="P508" t="s">
        <v>443</v>
      </c>
      <c r="Q508">
        <v>2026</v>
      </c>
      <c r="R508">
        <v>2041</v>
      </c>
      <c r="S508" t="s">
        <v>444</v>
      </c>
      <c r="T508">
        <v>2035</v>
      </c>
      <c r="U508">
        <v>42.75</v>
      </c>
      <c r="V508">
        <v>1</v>
      </c>
      <c r="W508">
        <v>2035</v>
      </c>
      <c r="X508">
        <v>9</v>
      </c>
      <c r="Y508">
        <v>2035</v>
      </c>
      <c r="Z508">
        <v>1</v>
      </c>
      <c r="AA508">
        <v>120</v>
      </c>
      <c r="AB508">
        <v>180</v>
      </c>
      <c r="AC508">
        <v>120</v>
      </c>
      <c r="AD508">
        <v>180</v>
      </c>
      <c r="AE508">
        <v>0</v>
      </c>
      <c r="AF508">
        <v>0</v>
      </c>
      <c r="AG508">
        <v>120</v>
      </c>
      <c r="AH508">
        <v>180</v>
      </c>
      <c r="AI508">
        <v>1</v>
      </c>
      <c r="AJ508">
        <v>2.8420000000000001</v>
      </c>
      <c r="AK508">
        <v>2036</v>
      </c>
      <c r="AL508" s="61">
        <v>2.944</v>
      </c>
      <c r="AM508" s="61">
        <v>2.8420000000000001</v>
      </c>
      <c r="AN508" s="61">
        <v>2.944</v>
      </c>
      <c r="AO508">
        <v>1.2513076834571593</v>
      </c>
      <c r="AP508">
        <v>1.0294008580614105</v>
      </c>
      <c r="AQ508">
        <v>1.2880972030496356</v>
      </c>
      <c r="AR508" t="b">
        <v>0</v>
      </c>
      <c r="AS508">
        <v>93.160671194606977</v>
      </c>
      <c r="AT508">
        <v>139.74100679191045</v>
      </c>
      <c r="AU508">
        <v>116.45083899325871</v>
      </c>
    </row>
    <row r="509" spans="1:47" x14ac:dyDescent="0.25">
      <c r="A509" t="s">
        <v>366</v>
      </c>
      <c r="B509" t="s">
        <v>481</v>
      </c>
      <c r="C509" t="s">
        <v>320</v>
      </c>
      <c r="D509">
        <v>2026</v>
      </c>
      <c r="E509">
        <v>0</v>
      </c>
      <c r="F509">
        <v>15</v>
      </c>
      <c r="G509">
        <v>0</v>
      </c>
      <c r="H509">
        <v>0</v>
      </c>
      <c r="I509">
        <v>30</v>
      </c>
      <c r="J509">
        <v>45</v>
      </c>
      <c r="K509">
        <v>4</v>
      </c>
      <c r="L509">
        <v>2</v>
      </c>
      <c r="M509">
        <v>38</v>
      </c>
      <c r="N509">
        <v>0</v>
      </c>
      <c r="O509" t="s">
        <v>27</v>
      </c>
      <c r="P509" t="s">
        <v>443</v>
      </c>
      <c r="Q509">
        <v>2026</v>
      </c>
      <c r="R509">
        <v>2041</v>
      </c>
      <c r="S509" t="s">
        <v>444</v>
      </c>
      <c r="T509">
        <v>2036</v>
      </c>
      <c r="U509">
        <v>43.75</v>
      </c>
      <c r="V509">
        <v>1</v>
      </c>
      <c r="W509">
        <v>2036</v>
      </c>
      <c r="X509">
        <v>10</v>
      </c>
      <c r="Y509">
        <v>2036</v>
      </c>
      <c r="Z509">
        <v>1</v>
      </c>
      <c r="AA509">
        <v>120</v>
      </c>
      <c r="AB509">
        <v>180</v>
      </c>
      <c r="AC509">
        <v>120</v>
      </c>
      <c r="AD509">
        <v>180</v>
      </c>
      <c r="AE509">
        <v>0</v>
      </c>
      <c r="AF509">
        <v>0</v>
      </c>
      <c r="AG509">
        <v>120</v>
      </c>
      <c r="AH509">
        <v>180</v>
      </c>
      <c r="AI509">
        <v>1</v>
      </c>
      <c r="AJ509">
        <v>2.944</v>
      </c>
      <c r="AK509">
        <v>2037</v>
      </c>
      <c r="AL509" s="61">
        <v>3.036</v>
      </c>
      <c r="AM509" s="61">
        <v>2.944</v>
      </c>
      <c r="AN509" s="61">
        <v>3.036</v>
      </c>
      <c r="AO509">
        <v>1.2984025298030446</v>
      </c>
      <c r="AP509">
        <v>1.0303246971701443</v>
      </c>
      <c r="AQ509">
        <v>1.3377761933242711</v>
      </c>
      <c r="AR509" t="b">
        <v>0</v>
      </c>
      <c r="AS509">
        <v>89.701102919023555</v>
      </c>
      <c r="AT509">
        <v>134.55165437853535</v>
      </c>
      <c r="AU509">
        <v>112.12637864877945</v>
      </c>
    </row>
    <row r="510" spans="1:47" x14ac:dyDescent="0.25">
      <c r="A510" t="s">
        <v>366</v>
      </c>
      <c r="B510" t="s">
        <v>481</v>
      </c>
      <c r="C510" t="s">
        <v>320</v>
      </c>
      <c r="D510">
        <v>2026</v>
      </c>
      <c r="E510">
        <v>0</v>
      </c>
      <c r="F510">
        <v>15</v>
      </c>
      <c r="G510">
        <v>0</v>
      </c>
      <c r="H510">
        <v>0</v>
      </c>
      <c r="I510">
        <v>30</v>
      </c>
      <c r="J510">
        <v>45</v>
      </c>
      <c r="K510">
        <v>4</v>
      </c>
      <c r="L510">
        <v>2</v>
      </c>
      <c r="M510">
        <v>38</v>
      </c>
      <c r="N510">
        <v>0</v>
      </c>
      <c r="O510" t="s">
        <v>27</v>
      </c>
      <c r="P510" t="s">
        <v>443</v>
      </c>
      <c r="Q510">
        <v>2026</v>
      </c>
      <c r="R510">
        <v>2041</v>
      </c>
      <c r="S510" t="s">
        <v>444</v>
      </c>
      <c r="T510">
        <v>2037</v>
      </c>
      <c r="U510">
        <v>44.75</v>
      </c>
      <c r="V510">
        <v>1</v>
      </c>
      <c r="W510">
        <v>2037</v>
      </c>
      <c r="X510">
        <v>11</v>
      </c>
      <c r="Y510">
        <v>2037</v>
      </c>
      <c r="Z510">
        <v>1</v>
      </c>
      <c r="AA510">
        <v>120</v>
      </c>
      <c r="AB510">
        <v>180</v>
      </c>
      <c r="AC510">
        <v>120</v>
      </c>
      <c r="AD510">
        <v>180</v>
      </c>
      <c r="AE510">
        <v>0</v>
      </c>
      <c r="AF510">
        <v>0</v>
      </c>
      <c r="AG510">
        <v>120</v>
      </c>
      <c r="AH510">
        <v>180</v>
      </c>
      <c r="AI510">
        <v>1</v>
      </c>
      <c r="AJ510">
        <v>3.036</v>
      </c>
      <c r="AK510">
        <v>2038</v>
      </c>
      <c r="AL510" s="61">
        <v>3.1339999999999999</v>
      </c>
      <c r="AM510" s="61">
        <v>3.036</v>
      </c>
      <c r="AN510" s="61">
        <v>3.1339999999999999</v>
      </c>
      <c r="AO510">
        <v>1.3486209574989538</v>
      </c>
      <c r="AP510">
        <v>1.0313023937742947</v>
      </c>
      <c r="AQ510">
        <v>1.3908360217628524</v>
      </c>
      <c r="AR510" t="b">
        <v>0</v>
      </c>
      <c r="AS510">
        <v>86.279042333044259</v>
      </c>
      <c r="AT510">
        <v>129.41856349956637</v>
      </c>
      <c r="AU510">
        <v>107.84880291630532</v>
      </c>
    </row>
    <row r="511" spans="1:47" x14ac:dyDescent="0.25">
      <c r="A511" t="s">
        <v>366</v>
      </c>
      <c r="B511" t="s">
        <v>481</v>
      </c>
      <c r="C511" t="s">
        <v>320</v>
      </c>
      <c r="D511">
        <v>2026</v>
      </c>
      <c r="E511">
        <v>0</v>
      </c>
      <c r="F511">
        <v>15</v>
      </c>
      <c r="G511">
        <v>0</v>
      </c>
      <c r="H511">
        <v>0</v>
      </c>
      <c r="I511">
        <v>30</v>
      </c>
      <c r="J511">
        <v>45</v>
      </c>
      <c r="K511">
        <v>4</v>
      </c>
      <c r="L511">
        <v>2</v>
      </c>
      <c r="M511">
        <v>38</v>
      </c>
      <c r="N511">
        <v>0</v>
      </c>
      <c r="O511" t="s">
        <v>27</v>
      </c>
      <c r="P511" t="s">
        <v>443</v>
      </c>
      <c r="Q511">
        <v>2026</v>
      </c>
      <c r="R511">
        <v>2041</v>
      </c>
      <c r="S511" t="s">
        <v>444</v>
      </c>
      <c r="T511">
        <v>2038</v>
      </c>
      <c r="U511">
        <v>45.75</v>
      </c>
      <c r="V511">
        <v>1</v>
      </c>
      <c r="W511">
        <v>2038</v>
      </c>
      <c r="X511">
        <v>12</v>
      </c>
      <c r="Y511">
        <v>2038</v>
      </c>
      <c r="Z511">
        <v>1</v>
      </c>
      <c r="AA511">
        <v>120</v>
      </c>
      <c r="AB511">
        <v>180</v>
      </c>
      <c r="AC511">
        <v>120</v>
      </c>
      <c r="AD511">
        <v>180</v>
      </c>
      <c r="AE511">
        <v>0</v>
      </c>
      <c r="AF511">
        <v>0</v>
      </c>
      <c r="AG511">
        <v>120</v>
      </c>
      <c r="AH511">
        <v>180</v>
      </c>
      <c r="AI511">
        <v>1</v>
      </c>
      <c r="AJ511">
        <v>3.1339999999999999</v>
      </c>
      <c r="AK511">
        <v>2039</v>
      </c>
      <c r="AL511" s="61">
        <v>3.2069999999999999</v>
      </c>
      <c r="AM511" s="61">
        <v>3.1339999999999999</v>
      </c>
      <c r="AN511" s="61">
        <v>3.2069999999999999</v>
      </c>
      <c r="AO511">
        <v>1.4041725591738043</v>
      </c>
      <c r="AP511">
        <v>1.0320419904729838</v>
      </c>
      <c r="AQ511">
        <v>1.4491650429372767</v>
      </c>
      <c r="AR511" t="b">
        <v>0</v>
      </c>
      <c r="AS511">
        <v>82.806303246713</v>
      </c>
      <c r="AT511">
        <v>124.20945487006951</v>
      </c>
      <c r="AU511">
        <v>103.50787905839125</v>
      </c>
    </row>
    <row r="512" spans="1:47" x14ac:dyDescent="0.25">
      <c r="A512" t="s">
        <v>366</v>
      </c>
      <c r="B512" t="s">
        <v>481</v>
      </c>
      <c r="C512" t="s">
        <v>320</v>
      </c>
      <c r="D512">
        <v>2026</v>
      </c>
      <c r="E512">
        <v>0</v>
      </c>
      <c r="F512">
        <v>15</v>
      </c>
      <c r="G512">
        <v>0</v>
      </c>
      <c r="H512">
        <v>0</v>
      </c>
      <c r="I512">
        <v>30</v>
      </c>
      <c r="J512">
        <v>45</v>
      </c>
      <c r="K512">
        <v>4</v>
      </c>
      <c r="L512">
        <v>2</v>
      </c>
      <c r="M512">
        <v>38</v>
      </c>
      <c r="N512">
        <v>0</v>
      </c>
      <c r="O512" t="s">
        <v>27</v>
      </c>
      <c r="P512" t="s">
        <v>443</v>
      </c>
      <c r="Q512">
        <v>2026</v>
      </c>
      <c r="R512">
        <v>2041</v>
      </c>
      <c r="S512" t="s">
        <v>444</v>
      </c>
      <c r="T512">
        <v>2039</v>
      </c>
      <c r="U512">
        <v>46.75</v>
      </c>
      <c r="V512">
        <v>1</v>
      </c>
      <c r="W512">
        <v>2039</v>
      </c>
      <c r="X512">
        <v>13</v>
      </c>
      <c r="Y512">
        <v>2039</v>
      </c>
      <c r="Z512">
        <v>1</v>
      </c>
      <c r="AA512">
        <v>120</v>
      </c>
      <c r="AB512">
        <v>180</v>
      </c>
      <c r="AC512">
        <v>120</v>
      </c>
      <c r="AD512">
        <v>180</v>
      </c>
      <c r="AE512">
        <v>0</v>
      </c>
      <c r="AF512">
        <v>0</v>
      </c>
      <c r="AG512">
        <v>120</v>
      </c>
      <c r="AH512">
        <v>180</v>
      </c>
      <c r="AI512">
        <v>1</v>
      </c>
      <c r="AJ512">
        <v>3.2069999999999999</v>
      </c>
      <c r="AK512">
        <v>2040</v>
      </c>
      <c r="AL512" s="61">
        <v>3.3029999999999999</v>
      </c>
      <c r="AM512" s="61">
        <v>3.2069999999999999</v>
      </c>
      <c r="AN512" s="61">
        <v>3.3029999999999999</v>
      </c>
      <c r="AO512">
        <v>1.4605278779269859</v>
      </c>
      <c r="AP512">
        <v>1.0329931616190409</v>
      </c>
      <c r="AQ512">
        <v>1.5087153102525457</v>
      </c>
      <c r="AR512" t="b">
        <v>0</v>
      </c>
      <c r="AS512">
        <v>79.537868532608087</v>
      </c>
      <c r="AT512">
        <v>119.30680279891213</v>
      </c>
      <c r="AU512">
        <v>99.422335665760102</v>
      </c>
    </row>
    <row r="513" spans="1:47" x14ac:dyDescent="0.25">
      <c r="A513" t="s">
        <v>366</v>
      </c>
      <c r="B513" t="s">
        <v>481</v>
      </c>
      <c r="C513" t="s">
        <v>320</v>
      </c>
      <c r="D513">
        <v>2026</v>
      </c>
      <c r="E513">
        <v>0</v>
      </c>
      <c r="F513">
        <v>15</v>
      </c>
      <c r="G513">
        <v>0</v>
      </c>
      <c r="H513">
        <v>0</v>
      </c>
      <c r="I513">
        <v>30</v>
      </c>
      <c r="J513">
        <v>45</v>
      </c>
      <c r="K513">
        <v>4</v>
      </c>
      <c r="L513">
        <v>2</v>
      </c>
      <c r="M513">
        <v>38</v>
      </c>
      <c r="N513">
        <v>0</v>
      </c>
      <c r="O513" t="s">
        <v>27</v>
      </c>
      <c r="P513" t="s">
        <v>443</v>
      </c>
      <c r="Q513">
        <v>2026</v>
      </c>
      <c r="R513">
        <v>2041</v>
      </c>
      <c r="S513" t="s">
        <v>444</v>
      </c>
      <c r="T513">
        <v>2040</v>
      </c>
      <c r="U513">
        <v>47.75</v>
      </c>
      <c r="V513">
        <v>1</v>
      </c>
      <c r="W513">
        <v>2040</v>
      </c>
      <c r="X513">
        <v>14</v>
      </c>
      <c r="Y513">
        <v>2040</v>
      </c>
      <c r="Z513">
        <v>1</v>
      </c>
      <c r="AA513">
        <v>120</v>
      </c>
      <c r="AB513">
        <v>180</v>
      </c>
      <c r="AC513">
        <v>120</v>
      </c>
      <c r="AD513">
        <v>180</v>
      </c>
      <c r="AE513">
        <v>0</v>
      </c>
      <c r="AF513">
        <v>0</v>
      </c>
      <c r="AG513">
        <v>120</v>
      </c>
      <c r="AH513">
        <v>180</v>
      </c>
      <c r="AI513">
        <v>1</v>
      </c>
      <c r="AJ513">
        <v>3.3029999999999999</v>
      </c>
      <c r="AK513">
        <v>2041</v>
      </c>
      <c r="AL513" s="61">
        <v>3.3559999999999999</v>
      </c>
      <c r="AM513" s="61">
        <v>3.3029999999999999</v>
      </c>
      <c r="AN513" s="61">
        <v>3.3559999999999999</v>
      </c>
      <c r="AO513">
        <v>1.5256964700083253</v>
      </c>
      <c r="AP513">
        <v>1.0335396662189136</v>
      </c>
      <c r="AQ513">
        <v>1.5768678203637791</v>
      </c>
      <c r="AR513" t="b">
        <v>0</v>
      </c>
      <c r="AS513">
        <v>76.100227584272929</v>
      </c>
      <c r="AT513">
        <v>114.1503413764094</v>
      </c>
      <c r="AU513">
        <v>95.125284480341165</v>
      </c>
    </row>
    <row r="514" spans="1:47" x14ac:dyDescent="0.25">
      <c r="A514" t="s">
        <v>366</v>
      </c>
      <c r="B514" t="s">
        <v>481</v>
      </c>
      <c r="C514" t="s">
        <v>320</v>
      </c>
      <c r="D514">
        <v>2026</v>
      </c>
      <c r="E514">
        <v>0</v>
      </c>
      <c r="M514">
        <v>38</v>
      </c>
      <c r="Q514">
        <v>2026</v>
      </c>
      <c r="R514">
        <v>2041</v>
      </c>
      <c r="T514">
        <v>2041</v>
      </c>
      <c r="U514">
        <v>48.75</v>
      </c>
      <c r="W514">
        <v>2041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L514" s="61"/>
      <c r="AS514">
        <v>0</v>
      </c>
      <c r="AT514">
        <v>0</v>
      </c>
      <c r="AU514">
        <v>0</v>
      </c>
    </row>
    <row r="515" spans="1:47" x14ac:dyDescent="0.25">
      <c r="A515" t="s">
        <v>340</v>
      </c>
      <c r="B515" t="s">
        <v>482</v>
      </c>
      <c r="C515" t="s">
        <v>319</v>
      </c>
      <c r="D515">
        <v>2026</v>
      </c>
      <c r="E515">
        <v>0</v>
      </c>
      <c r="F515">
        <v>10</v>
      </c>
      <c r="G515">
        <v>0</v>
      </c>
      <c r="H515">
        <v>0</v>
      </c>
      <c r="I515">
        <v>50</v>
      </c>
      <c r="J515">
        <v>250</v>
      </c>
      <c r="K515">
        <v>1</v>
      </c>
      <c r="L515">
        <v>1</v>
      </c>
      <c r="M515">
        <v>39</v>
      </c>
      <c r="N515">
        <v>0</v>
      </c>
      <c r="O515" t="s">
        <v>27</v>
      </c>
      <c r="P515" t="s">
        <v>443</v>
      </c>
      <c r="Q515">
        <v>2026</v>
      </c>
      <c r="R515">
        <v>2036</v>
      </c>
      <c r="S515" t="s">
        <v>444</v>
      </c>
      <c r="T515">
        <v>2026</v>
      </c>
      <c r="U515">
        <v>33.75</v>
      </c>
      <c r="V515">
        <v>1</v>
      </c>
      <c r="W515">
        <v>2026</v>
      </c>
      <c r="X515">
        <v>0</v>
      </c>
      <c r="Y515">
        <v>2026</v>
      </c>
      <c r="Z515">
        <v>1</v>
      </c>
      <c r="AA515">
        <v>50</v>
      </c>
      <c r="AB515">
        <v>250</v>
      </c>
      <c r="AC515">
        <v>50</v>
      </c>
      <c r="AD515">
        <v>250</v>
      </c>
      <c r="AE515">
        <v>0</v>
      </c>
      <c r="AF515">
        <v>0</v>
      </c>
      <c r="AG515">
        <v>50</v>
      </c>
      <c r="AH515">
        <v>250</v>
      </c>
      <c r="AI515">
        <v>1</v>
      </c>
      <c r="AK515">
        <v>2027</v>
      </c>
      <c r="AL515" s="61">
        <v>2.4329999999999998</v>
      </c>
      <c r="AM515" s="61">
        <v>0</v>
      </c>
      <c r="AN515" s="61">
        <v>2.4329999999999998</v>
      </c>
      <c r="AO515">
        <v>1</v>
      </c>
      <c r="AP515">
        <v>1.023385968321771</v>
      </c>
      <c r="AQ515">
        <v>1.023385968321771</v>
      </c>
      <c r="AR515" t="b">
        <v>1</v>
      </c>
      <c r="AS515">
        <v>50</v>
      </c>
      <c r="AT515">
        <v>250</v>
      </c>
      <c r="AU515">
        <v>150</v>
      </c>
    </row>
    <row r="516" spans="1:47" x14ac:dyDescent="0.25">
      <c r="A516" t="s">
        <v>340</v>
      </c>
      <c r="B516" t="s">
        <v>482</v>
      </c>
      <c r="C516" t="s">
        <v>319</v>
      </c>
      <c r="D516">
        <v>2026</v>
      </c>
      <c r="E516">
        <v>0</v>
      </c>
      <c r="F516">
        <v>10</v>
      </c>
      <c r="G516">
        <v>0</v>
      </c>
      <c r="H516">
        <v>0</v>
      </c>
      <c r="I516">
        <v>50</v>
      </c>
      <c r="J516">
        <v>250</v>
      </c>
      <c r="K516">
        <v>1</v>
      </c>
      <c r="L516">
        <v>1</v>
      </c>
      <c r="M516">
        <v>39</v>
      </c>
      <c r="N516">
        <v>0</v>
      </c>
      <c r="O516" t="s">
        <v>27</v>
      </c>
      <c r="P516" t="s">
        <v>443</v>
      </c>
      <c r="Q516">
        <v>2026</v>
      </c>
      <c r="R516">
        <v>2036</v>
      </c>
      <c r="S516" t="s">
        <v>444</v>
      </c>
      <c r="T516">
        <v>2027</v>
      </c>
      <c r="U516">
        <v>34.75</v>
      </c>
      <c r="V516">
        <v>1</v>
      </c>
      <c r="W516">
        <v>2027</v>
      </c>
      <c r="X516">
        <v>1</v>
      </c>
      <c r="Y516">
        <v>2027</v>
      </c>
      <c r="Z516">
        <v>1</v>
      </c>
      <c r="AA516">
        <v>50</v>
      </c>
      <c r="AB516">
        <v>250</v>
      </c>
      <c r="AC516">
        <v>50</v>
      </c>
      <c r="AD516">
        <v>250</v>
      </c>
      <c r="AE516">
        <v>0</v>
      </c>
      <c r="AF516">
        <v>0</v>
      </c>
      <c r="AG516">
        <v>50</v>
      </c>
      <c r="AH516">
        <v>250</v>
      </c>
      <c r="AI516">
        <v>1</v>
      </c>
      <c r="AJ516">
        <v>2.4329999999999998</v>
      </c>
      <c r="AK516">
        <v>2028</v>
      </c>
      <c r="AL516" s="61">
        <v>2.4220000000000002</v>
      </c>
      <c r="AM516" s="61">
        <v>2.4329999999999998</v>
      </c>
      <c r="AN516" s="61">
        <v>2.4220000000000002</v>
      </c>
      <c r="AO516">
        <v>1</v>
      </c>
      <c r="AP516">
        <v>1.0242242189602202</v>
      </c>
      <c r="AQ516">
        <v>1.0242242189602202</v>
      </c>
      <c r="AR516" t="b">
        <v>0</v>
      </c>
      <c r="AS516">
        <v>48.817435747379008</v>
      </c>
      <c r="AT516">
        <v>244.08717873689505</v>
      </c>
      <c r="AU516">
        <v>146.45230724213704</v>
      </c>
    </row>
    <row r="517" spans="1:47" x14ac:dyDescent="0.25">
      <c r="A517" t="s">
        <v>340</v>
      </c>
      <c r="B517" t="s">
        <v>482</v>
      </c>
      <c r="C517" t="s">
        <v>319</v>
      </c>
      <c r="D517">
        <v>2026</v>
      </c>
      <c r="E517">
        <v>0</v>
      </c>
      <c r="F517">
        <v>10</v>
      </c>
      <c r="G517">
        <v>0</v>
      </c>
      <c r="H517">
        <v>0</v>
      </c>
      <c r="I517">
        <v>50</v>
      </c>
      <c r="J517">
        <v>250</v>
      </c>
      <c r="K517">
        <v>1</v>
      </c>
      <c r="L517">
        <v>1</v>
      </c>
      <c r="M517">
        <v>39</v>
      </c>
      <c r="N517">
        <v>0</v>
      </c>
      <c r="O517" t="s">
        <v>27</v>
      </c>
      <c r="P517" t="s">
        <v>443</v>
      </c>
      <c r="Q517">
        <v>2026</v>
      </c>
      <c r="R517">
        <v>2036</v>
      </c>
      <c r="S517" t="s">
        <v>444</v>
      </c>
      <c r="T517">
        <v>2028</v>
      </c>
      <c r="U517">
        <v>35.75</v>
      </c>
      <c r="V517">
        <v>1</v>
      </c>
      <c r="W517">
        <v>2028</v>
      </c>
      <c r="X517">
        <v>2</v>
      </c>
      <c r="Y517">
        <v>2028</v>
      </c>
      <c r="Z517">
        <v>1</v>
      </c>
      <c r="AA517">
        <v>50</v>
      </c>
      <c r="AB517">
        <v>250</v>
      </c>
      <c r="AC517">
        <v>50</v>
      </c>
      <c r="AD517">
        <v>250</v>
      </c>
      <c r="AE517">
        <v>0</v>
      </c>
      <c r="AF517">
        <v>0</v>
      </c>
      <c r="AG517">
        <v>50</v>
      </c>
      <c r="AH517">
        <v>250</v>
      </c>
      <c r="AI517">
        <v>1</v>
      </c>
      <c r="AJ517">
        <v>2.4220000000000002</v>
      </c>
      <c r="AK517">
        <v>2029</v>
      </c>
      <c r="AL517" s="61">
        <v>2.4209999999999998</v>
      </c>
      <c r="AM517" s="61">
        <v>2.4220000000000002</v>
      </c>
      <c r="AN517" s="61">
        <v>2.4209999999999998</v>
      </c>
      <c r="AO517">
        <v>1.0242199999999999</v>
      </c>
      <c r="AP517">
        <v>1.0242103835598433</v>
      </c>
      <c r="AQ517">
        <v>1.0490167590496626</v>
      </c>
      <c r="AR517" t="b">
        <v>0</v>
      </c>
      <c r="AS517">
        <v>47.66368084080618</v>
      </c>
      <c r="AT517">
        <v>238.31840420403091</v>
      </c>
      <c r="AU517">
        <v>142.99104252241855</v>
      </c>
    </row>
    <row r="518" spans="1:47" x14ac:dyDescent="0.25">
      <c r="A518" t="s">
        <v>340</v>
      </c>
      <c r="B518" t="s">
        <v>482</v>
      </c>
      <c r="C518" t="s">
        <v>319</v>
      </c>
      <c r="D518">
        <v>2026</v>
      </c>
      <c r="E518">
        <v>0</v>
      </c>
      <c r="F518">
        <v>10</v>
      </c>
      <c r="G518">
        <v>0</v>
      </c>
      <c r="H518">
        <v>0</v>
      </c>
      <c r="I518">
        <v>50</v>
      </c>
      <c r="J518">
        <v>250</v>
      </c>
      <c r="K518">
        <v>1</v>
      </c>
      <c r="L518">
        <v>1</v>
      </c>
      <c r="M518">
        <v>39</v>
      </c>
      <c r="N518">
        <v>0</v>
      </c>
      <c r="O518" t="s">
        <v>27</v>
      </c>
      <c r="P518" t="s">
        <v>443</v>
      </c>
      <c r="Q518">
        <v>2026</v>
      </c>
      <c r="R518">
        <v>2036</v>
      </c>
      <c r="S518" t="s">
        <v>444</v>
      </c>
      <c r="T518">
        <v>2029</v>
      </c>
      <c r="U518">
        <v>36.75</v>
      </c>
      <c r="V518">
        <v>1</v>
      </c>
      <c r="W518">
        <v>2029</v>
      </c>
      <c r="X518">
        <v>3</v>
      </c>
      <c r="Y518">
        <v>2029</v>
      </c>
      <c r="Z518">
        <v>1</v>
      </c>
      <c r="AA518">
        <v>50</v>
      </c>
      <c r="AB518">
        <v>250</v>
      </c>
      <c r="AC518">
        <v>50</v>
      </c>
      <c r="AD518">
        <v>250</v>
      </c>
      <c r="AE518">
        <v>0</v>
      </c>
      <c r="AF518">
        <v>0</v>
      </c>
      <c r="AG518">
        <v>50</v>
      </c>
      <c r="AH518">
        <v>250</v>
      </c>
      <c r="AI518">
        <v>1</v>
      </c>
      <c r="AJ518">
        <v>2.4209999999999998</v>
      </c>
      <c r="AK518">
        <v>2030</v>
      </c>
      <c r="AL518" s="61">
        <v>2.4670000000000001</v>
      </c>
      <c r="AM518" s="61">
        <v>2.4209999999999998</v>
      </c>
      <c r="AN518" s="61">
        <v>2.4670000000000001</v>
      </c>
      <c r="AO518">
        <v>1.0490061241000002</v>
      </c>
      <c r="AP518">
        <v>1.0246523523547908</v>
      </c>
      <c r="AQ518">
        <v>1.0748665926936467</v>
      </c>
      <c r="AR518" t="b">
        <v>0</v>
      </c>
      <c r="AS518">
        <v>46.517400708025129</v>
      </c>
      <c r="AT518">
        <v>232.58700354012564</v>
      </c>
      <c r="AU518">
        <v>139.55220212407539</v>
      </c>
    </row>
    <row r="519" spans="1:47" x14ac:dyDescent="0.25">
      <c r="A519" t="s">
        <v>340</v>
      </c>
      <c r="B519" t="s">
        <v>482</v>
      </c>
      <c r="C519" t="s">
        <v>319</v>
      </c>
      <c r="D519">
        <v>2026</v>
      </c>
      <c r="E519">
        <v>0</v>
      </c>
      <c r="F519">
        <v>10</v>
      </c>
      <c r="G519">
        <v>0</v>
      </c>
      <c r="H519">
        <v>0</v>
      </c>
      <c r="I519">
        <v>50</v>
      </c>
      <c r="J519">
        <v>250</v>
      </c>
      <c r="K519">
        <v>1</v>
      </c>
      <c r="L519">
        <v>1</v>
      </c>
      <c r="M519">
        <v>39</v>
      </c>
      <c r="N519">
        <v>0</v>
      </c>
      <c r="O519" t="s">
        <v>27</v>
      </c>
      <c r="P519" t="s">
        <v>443</v>
      </c>
      <c r="Q519">
        <v>2026</v>
      </c>
      <c r="R519">
        <v>2036</v>
      </c>
      <c r="S519" t="s">
        <v>444</v>
      </c>
      <c r="T519">
        <v>2030</v>
      </c>
      <c r="U519">
        <v>37.75</v>
      </c>
      <c r="V519">
        <v>1</v>
      </c>
      <c r="W519">
        <v>2030</v>
      </c>
      <c r="X519">
        <v>4</v>
      </c>
      <c r="Y519">
        <v>2030</v>
      </c>
      <c r="Z519">
        <v>1</v>
      </c>
      <c r="AA519">
        <v>50</v>
      </c>
      <c r="AB519">
        <v>250</v>
      </c>
      <c r="AC519">
        <v>50</v>
      </c>
      <c r="AD519">
        <v>250</v>
      </c>
      <c r="AE519">
        <v>0</v>
      </c>
      <c r="AF519">
        <v>0</v>
      </c>
      <c r="AG519">
        <v>50</v>
      </c>
      <c r="AH519">
        <v>250</v>
      </c>
      <c r="AI519">
        <v>1</v>
      </c>
      <c r="AJ519">
        <v>2.4670000000000001</v>
      </c>
      <c r="AK519">
        <v>2031</v>
      </c>
      <c r="AL519" s="61">
        <v>2.5169999999999999</v>
      </c>
      <c r="AM519" s="61">
        <v>2.4670000000000001</v>
      </c>
      <c r="AN519" s="61">
        <v>2.5169999999999999</v>
      </c>
      <c r="AO519">
        <v>1.0758508410815628</v>
      </c>
      <c r="AP519">
        <v>1.0251508174189523</v>
      </c>
      <c r="AQ519">
        <v>1.1029093691556315</v>
      </c>
      <c r="AR519" t="b">
        <v>0</v>
      </c>
      <c r="AS519">
        <v>45.334640722364284</v>
      </c>
      <c r="AT519">
        <v>226.67320361182144</v>
      </c>
      <c r="AU519">
        <v>136.00392216709287</v>
      </c>
    </row>
    <row r="520" spans="1:47" x14ac:dyDescent="0.25">
      <c r="A520" t="s">
        <v>340</v>
      </c>
      <c r="B520" t="s">
        <v>482</v>
      </c>
      <c r="C520" t="s">
        <v>319</v>
      </c>
      <c r="D520">
        <v>2026</v>
      </c>
      <c r="E520">
        <v>0</v>
      </c>
      <c r="F520">
        <v>10</v>
      </c>
      <c r="G520">
        <v>0</v>
      </c>
      <c r="H520">
        <v>0</v>
      </c>
      <c r="I520">
        <v>50</v>
      </c>
      <c r="J520">
        <v>250</v>
      </c>
      <c r="K520">
        <v>1</v>
      </c>
      <c r="L520">
        <v>1</v>
      </c>
      <c r="M520">
        <v>39</v>
      </c>
      <c r="N520">
        <v>0</v>
      </c>
      <c r="O520" t="s">
        <v>27</v>
      </c>
      <c r="P520" t="s">
        <v>443</v>
      </c>
      <c r="Q520">
        <v>2026</v>
      </c>
      <c r="R520">
        <v>2036</v>
      </c>
      <c r="S520" t="s">
        <v>444</v>
      </c>
      <c r="T520">
        <v>2031</v>
      </c>
      <c r="U520">
        <v>38.75</v>
      </c>
      <c r="V520">
        <v>1</v>
      </c>
      <c r="W520">
        <v>2031</v>
      </c>
      <c r="X520">
        <v>5</v>
      </c>
      <c r="Y520">
        <v>2031</v>
      </c>
      <c r="Z520">
        <v>1</v>
      </c>
      <c r="AA520">
        <v>50</v>
      </c>
      <c r="AB520">
        <v>250</v>
      </c>
      <c r="AC520">
        <v>50</v>
      </c>
      <c r="AD520">
        <v>250</v>
      </c>
      <c r="AE520">
        <v>0</v>
      </c>
      <c r="AF520">
        <v>0</v>
      </c>
      <c r="AG520">
        <v>50</v>
      </c>
      <c r="AH520">
        <v>250</v>
      </c>
      <c r="AI520">
        <v>1</v>
      </c>
      <c r="AJ520">
        <v>2.5169999999999999</v>
      </c>
      <c r="AK520">
        <v>2032</v>
      </c>
      <c r="AL520" s="61">
        <v>2.59</v>
      </c>
      <c r="AM520" s="61">
        <v>2.5169999999999999</v>
      </c>
      <c r="AN520" s="61">
        <v>2.59</v>
      </c>
      <c r="AO520">
        <v>1.1045453584485188</v>
      </c>
      <c r="AP520">
        <v>1.0258719904156592</v>
      </c>
      <c r="AQ520">
        <v>1.1331221453759597</v>
      </c>
      <c r="AR520" t="b">
        <v>0</v>
      </c>
      <c r="AS520">
        <v>44.125869575526167</v>
      </c>
      <c r="AT520">
        <v>220.62934787763083</v>
      </c>
      <c r="AU520">
        <v>132.3776087265785</v>
      </c>
    </row>
    <row r="521" spans="1:47" x14ac:dyDescent="0.25">
      <c r="A521" t="s">
        <v>340</v>
      </c>
      <c r="B521" t="s">
        <v>482</v>
      </c>
      <c r="C521" t="s">
        <v>319</v>
      </c>
      <c r="D521">
        <v>2026</v>
      </c>
      <c r="E521">
        <v>0</v>
      </c>
      <c r="F521">
        <v>10</v>
      </c>
      <c r="G521">
        <v>0</v>
      </c>
      <c r="H521">
        <v>0</v>
      </c>
      <c r="I521">
        <v>50</v>
      </c>
      <c r="J521">
        <v>250</v>
      </c>
      <c r="K521">
        <v>1</v>
      </c>
      <c r="L521">
        <v>1</v>
      </c>
      <c r="M521">
        <v>39</v>
      </c>
      <c r="N521">
        <v>0</v>
      </c>
      <c r="O521" t="s">
        <v>27</v>
      </c>
      <c r="P521" t="s">
        <v>443</v>
      </c>
      <c r="Q521">
        <v>2026</v>
      </c>
      <c r="R521">
        <v>2036</v>
      </c>
      <c r="S521" t="s">
        <v>444</v>
      </c>
      <c r="T521">
        <v>2032</v>
      </c>
      <c r="U521">
        <v>39.75</v>
      </c>
      <c r="V521">
        <v>1</v>
      </c>
      <c r="W521">
        <v>2032</v>
      </c>
      <c r="X521">
        <v>6</v>
      </c>
      <c r="Y521">
        <v>2032</v>
      </c>
      <c r="Z521">
        <v>1</v>
      </c>
      <c r="AA521">
        <v>50</v>
      </c>
      <c r="AB521">
        <v>250</v>
      </c>
      <c r="AC521">
        <v>50</v>
      </c>
      <c r="AD521">
        <v>250</v>
      </c>
      <c r="AE521">
        <v>0</v>
      </c>
      <c r="AF521">
        <v>0</v>
      </c>
      <c r="AG521">
        <v>50</v>
      </c>
      <c r="AH521">
        <v>250</v>
      </c>
      <c r="AI521">
        <v>1</v>
      </c>
      <c r="AJ521">
        <v>2.59</v>
      </c>
      <c r="AK521">
        <v>2033</v>
      </c>
      <c r="AL521" s="61">
        <v>2.6880000000000002</v>
      </c>
      <c r="AM521" s="61">
        <v>2.59</v>
      </c>
      <c r="AN521" s="61">
        <v>2.6880000000000002</v>
      </c>
      <c r="AO521">
        <v>1.1363841013749196</v>
      </c>
      <c r="AP521">
        <v>1.0268423936996114</v>
      </c>
      <c r="AQ521">
        <v>1.1668873708180043</v>
      </c>
      <c r="AR521" t="b">
        <v>0</v>
      </c>
      <c r="AS521">
        <v>42.849036891151975</v>
      </c>
      <c r="AT521">
        <v>214.24518445575987</v>
      </c>
      <c r="AU521">
        <v>128.54711067345593</v>
      </c>
    </row>
    <row r="522" spans="1:47" x14ac:dyDescent="0.25">
      <c r="A522" t="s">
        <v>340</v>
      </c>
      <c r="B522" t="s">
        <v>482</v>
      </c>
      <c r="C522" t="s">
        <v>319</v>
      </c>
      <c r="D522">
        <v>2026</v>
      </c>
      <c r="E522">
        <v>0</v>
      </c>
      <c r="F522">
        <v>10</v>
      </c>
      <c r="G522">
        <v>0</v>
      </c>
      <c r="H522">
        <v>0</v>
      </c>
      <c r="I522">
        <v>50</v>
      </c>
      <c r="J522">
        <v>250</v>
      </c>
      <c r="K522">
        <v>1</v>
      </c>
      <c r="L522">
        <v>1</v>
      </c>
      <c r="M522">
        <v>39</v>
      </c>
      <c r="N522">
        <v>0</v>
      </c>
      <c r="O522" t="s">
        <v>27</v>
      </c>
      <c r="P522" t="s">
        <v>443</v>
      </c>
      <c r="Q522">
        <v>2026</v>
      </c>
      <c r="R522">
        <v>2036</v>
      </c>
      <c r="S522" t="s">
        <v>444</v>
      </c>
      <c r="T522">
        <v>2033</v>
      </c>
      <c r="U522">
        <v>40.75</v>
      </c>
      <c r="V522">
        <v>1</v>
      </c>
      <c r="W522">
        <v>2033</v>
      </c>
      <c r="X522">
        <v>7</v>
      </c>
      <c r="Y522">
        <v>2033</v>
      </c>
      <c r="Z522">
        <v>1</v>
      </c>
      <c r="AA522">
        <v>50</v>
      </c>
      <c r="AB522">
        <v>250</v>
      </c>
      <c r="AC522">
        <v>50</v>
      </c>
      <c r="AD522">
        <v>250</v>
      </c>
      <c r="AE522">
        <v>0</v>
      </c>
      <c r="AF522">
        <v>0</v>
      </c>
      <c r="AG522">
        <v>50</v>
      </c>
      <c r="AH522">
        <v>250</v>
      </c>
      <c r="AI522">
        <v>1</v>
      </c>
      <c r="AJ522">
        <v>2.6880000000000002</v>
      </c>
      <c r="AK522">
        <v>2034</v>
      </c>
      <c r="AL522" s="61">
        <v>2.7519999999999998</v>
      </c>
      <c r="AM522" s="61">
        <v>2.6880000000000002</v>
      </c>
      <c r="AN522" s="61">
        <v>2.7519999999999998</v>
      </c>
      <c r="AO522">
        <v>1.1725143659072164</v>
      </c>
      <c r="AP522">
        <v>1.0274954447000768</v>
      </c>
      <c r="AQ522">
        <v>1.2047531698150638</v>
      </c>
      <c r="AR522" t="b">
        <v>0</v>
      </c>
      <c r="AS522">
        <v>41.502277190667428</v>
      </c>
      <c r="AT522">
        <v>207.51138595333714</v>
      </c>
      <c r="AU522">
        <v>124.50683157200228</v>
      </c>
    </row>
    <row r="523" spans="1:47" x14ac:dyDescent="0.25">
      <c r="A523" t="s">
        <v>340</v>
      </c>
      <c r="B523" t="s">
        <v>482</v>
      </c>
      <c r="C523" t="s">
        <v>319</v>
      </c>
      <c r="D523">
        <v>2026</v>
      </c>
      <c r="E523">
        <v>0</v>
      </c>
      <c r="F523">
        <v>10</v>
      </c>
      <c r="G523">
        <v>0</v>
      </c>
      <c r="H523">
        <v>0</v>
      </c>
      <c r="I523">
        <v>50</v>
      </c>
      <c r="J523">
        <v>250</v>
      </c>
      <c r="K523">
        <v>1</v>
      </c>
      <c r="L523">
        <v>1</v>
      </c>
      <c r="M523">
        <v>39</v>
      </c>
      <c r="N523">
        <v>0</v>
      </c>
      <c r="O523" t="s">
        <v>27</v>
      </c>
      <c r="P523" t="s">
        <v>443</v>
      </c>
      <c r="Q523">
        <v>2026</v>
      </c>
      <c r="R523">
        <v>2036</v>
      </c>
      <c r="S523" t="s">
        <v>444</v>
      </c>
      <c r="T523">
        <v>2034</v>
      </c>
      <c r="U523">
        <v>41.75</v>
      </c>
      <c r="V523">
        <v>1</v>
      </c>
      <c r="W523">
        <v>2034</v>
      </c>
      <c r="X523">
        <v>8</v>
      </c>
      <c r="Y523">
        <v>2034</v>
      </c>
      <c r="Z523">
        <v>1</v>
      </c>
      <c r="AA523">
        <v>50</v>
      </c>
      <c r="AB523">
        <v>250</v>
      </c>
      <c r="AC523">
        <v>50</v>
      </c>
      <c r="AD523">
        <v>250</v>
      </c>
      <c r="AE523">
        <v>0</v>
      </c>
      <c r="AF523">
        <v>0</v>
      </c>
      <c r="AG523">
        <v>50</v>
      </c>
      <c r="AH523">
        <v>250</v>
      </c>
      <c r="AI523">
        <v>1</v>
      </c>
      <c r="AJ523">
        <v>2.7519999999999998</v>
      </c>
      <c r="AK523">
        <v>2035</v>
      </c>
      <c r="AL523" s="61">
        <v>2.8420000000000001</v>
      </c>
      <c r="AM523" s="61">
        <v>2.7519999999999998</v>
      </c>
      <c r="AN523" s="61">
        <v>2.8420000000000001</v>
      </c>
      <c r="AO523">
        <v>1.2092942481281721</v>
      </c>
      <c r="AP523">
        <v>1.0283854649181425</v>
      </c>
      <c r="AQ523">
        <v>1.2436206275841259</v>
      </c>
      <c r="AR523" t="b">
        <v>0</v>
      </c>
      <c r="AS523">
        <v>40.205187089193487</v>
      </c>
      <c r="AT523">
        <v>201.02593544596743</v>
      </c>
      <c r="AU523">
        <v>120.61556126758046</v>
      </c>
    </row>
    <row r="524" spans="1:47" x14ac:dyDescent="0.25">
      <c r="A524" t="s">
        <v>340</v>
      </c>
      <c r="B524" t="s">
        <v>482</v>
      </c>
      <c r="C524" t="s">
        <v>319</v>
      </c>
      <c r="D524">
        <v>2026</v>
      </c>
      <c r="E524">
        <v>0</v>
      </c>
      <c r="F524">
        <v>10</v>
      </c>
      <c r="G524">
        <v>0</v>
      </c>
      <c r="H524">
        <v>0</v>
      </c>
      <c r="I524">
        <v>50</v>
      </c>
      <c r="J524">
        <v>250</v>
      </c>
      <c r="K524">
        <v>1</v>
      </c>
      <c r="L524">
        <v>1</v>
      </c>
      <c r="M524">
        <v>39</v>
      </c>
      <c r="N524">
        <v>0</v>
      </c>
      <c r="O524" t="s">
        <v>27</v>
      </c>
      <c r="P524" t="s">
        <v>443</v>
      </c>
      <c r="Q524">
        <v>2026</v>
      </c>
      <c r="R524">
        <v>2036</v>
      </c>
      <c r="S524" t="s">
        <v>444</v>
      </c>
      <c r="T524">
        <v>2035</v>
      </c>
      <c r="U524">
        <v>42.75</v>
      </c>
      <c r="V524">
        <v>1</v>
      </c>
      <c r="W524">
        <v>2035</v>
      </c>
      <c r="X524">
        <v>9</v>
      </c>
      <c r="Y524">
        <v>2035</v>
      </c>
      <c r="Z524">
        <v>1</v>
      </c>
      <c r="AA524">
        <v>50</v>
      </c>
      <c r="AB524">
        <v>250</v>
      </c>
      <c r="AC524">
        <v>50</v>
      </c>
      <c r="AD524">
        <v>250</v>
      </c>
      <c r="AE524">
        <v>0</v>
      </c>
      <c r="AF524">
        <v>0</v>
      </c>
      <c r="AG524">
        <v>50</v>
      </c>
      <c r="AH524">
        <v>250</v>
      </c>
      <c r="AI524">
        <v>1</v>
      </c>
      <c r="AJ524">
        <v>2.8420000000000001</v>
      </c>
      <c r="AK524">
        <v>2036</v>
      </c>
      <c r="AL524" s="61">
        <v>2.944</v>
      </c>
      <c r="AM524" s="61">
        <v>2.8420000000000001</v>
      </c>
      <c r="AN524" s="61">
        <v>2.944</v>
      </c>
      <c r="AO524">
        <v>1.2513076834571593</v>
      </c>
      <c r="AP524">
        <v>1.0294008580614105</v>
      </c>
      <c r="AQ524">
        <v>1.2880972030496356</v>
      </c>
      <c r="AR524" t="b">
        <v>0</v>
      </c>
      <c r="AS524">
        <v>38.816946331086243</v>
      </c>
      <c r="AT524">
        <v>194.0847316554312</v>
      </c>
      <c r="AU524">
        <v>116.45083899325871</v>
      </c>
    </row>
    <row r="525" spans="1:47" x14ac:dyDescent="0.25">
      <c r="A525" t="s">
        <v>340</v>
      </c>
      <c r="B525" t="s">
        <v>482</v>
      </c>
      <c r="C525" t="s">
        <v>319</v>
      </c>
      <c r="D525">
        <v>2026</v>
      </c>
      <c r="E525">
        <v>0</v>
      </c>
      <c r="M525">
        <v>39</v>
      </c>
      <c r="Q525">
        <v>2026</v>
      </c>
      <c r="R525">
        <v>2036</v>
      </c>
      <c r="T525">
        <v>2036</v>
      </c>
      <c r="U525">
        <v>43.75</v>
      </c>
      <c r="W525">
        <v>2036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L525" s="61"/>
      <c r="AS525">
        <v>0</v>
      </c>
      <c r="AT525">
        <v>0</v>
      </c>
      <c r="AU525">
        <v>0</v>
      </c>
    </row>
    <row r="526" spans="1:47" x14ac:dyDescent="0.25">
      <c r="A526" t="s">
        <v>367</v>
      </c>
      <c r="B526" t="s">
        <v>483</v>
      </c>
      <c r="C526" t="s">
        <v>320</v>
      </c>
      <c r="D526">
        <v>2026</v>
      </c>
      <c r="E526">
        <v>0</v>
      </c>
      <c r="F526">
        <v>15</v>
      </c>
      <c r="G526">
        <v>0</v>
      </c>
      <c r="H526">
        <v>0</v>
      </c>
      <c r="I526">
        <v>30</v>
      </c>
      <c r="J526">
        <v>45</v>
      </c>
      <c r="K526">
        <v>4</v>
      </c>
      <c r="L526">
        <v>2</v>
      </c>
      <c r="M526">
        <v>40</v>
      </c>
      <c r="N526">
        <v>0</v>
      </c>
      <c r="O526" t="s">
        <v>27</v>
      </c>
      <c r="P526" t="s">
        <v>443</v>
      </c>
      <c r="Q526">
        <v>2026</v>
      </c>
      <c r="R526">
        <v>2041</v>
      </c>
      <c r="S526" t="s">
        <v>444</v>
      </c>
      <c r="T526">
        <v>2026</v>
      </c>
      <c r="U526">
        <v>33.75</v>
      </c>
      <c r="V526">
        <v>1</v>
      </c>
      <c r="W526">
        <v>2026</v>
      </c>
      <c r="X526">
        <v>0</v>
      </c>
      <c r="Y526">
        <v>2026</v>
      </c>
      <c r="Z526">
        <v>1</v>
      </c>
      <c r="AA526">
        <v>120</v>
      </c>
      <c r="AB526">
        <v>180</v>
      </c>
      <c r="AC526">
        <v>120</v>
      </c>
      <c r="AD526">
        <v>180</v>
      </c>
      <c r="AE526">
        <v>0</v>
      </c>
      <c r="AF526">
        <v>0</v>
      </c>
      <c r="AG526">
        <v>120</v>
      </c>
      <c r="AH526">
        <v>180</v>
      </c>
      <c r="AI526">
        <v>1</v>
      </c>
      <c r="AK526">
        <v>2027</v>
      </c>
      <c r="AL526" s="61">
        <v>2.4329999999999998</v>
      </c>
      <c r="AM526" s="61">
        <v>0</v>
      </c>
      <c r="AN526" s="61">
        <v>2.4329999999999998</v>
      </c>
      <c r="AO526">
        <v>1</v>
      </c>
      <c r="AP526">
        <v>1.023385968321771</v>
      </c>
      <c r="AQ526">
        <v>1.023385968321771</v>
      </c>
      <c r="AR526" t="b">
        <v>1</v>
      </c>
      <c r="AS526">
        <v>120</v>
      </c>
      <c r="AT526">
        <v>180</v>
      </c>
      <c r="AU526">
        <v>150</v>
      </c>
    </row>
    <row r="527" spans="1:47" x14ac:dyDescent="0.25">
      <c r="A527" t="s">
        <v>367</v>
      </c>
      <c r="B527" t="s">
        <v>483</v>
      </c>
      <c r="C527" t="s">
        <v>320</v>
      </c>
      <c r="D527">
        <v>2026</v>
      </c>
      <c r="E527">
        <v>0</v>
      </c>
      <c r="F527">
        <v>15</v>
      </c>
      <c r="G527">
        <v>0</v>
      </c>
      <c r="H527">
        <v>0</v>
      </c>
      <c r="I527">
        <v>30</v>
      </c>
      <c r="J527">
        <v>45</v>
      </c>
      <c r="K527">
        <v>4</v>
      </c>
      <c r="L527">
        <v>2</v>
      </c>
      <c r="M527">
        <v>40</v>
      </c>
      <c r="N527">
        <v>0</v>
      </c>
      <c r="O527" t="s">
        <v>27</v>
      </c>
      <c r="P527" t="s">
        <v>443</v>
      </c>
      <c r="Q527">
        <v>2026</v>
      </c>
      <c r="R527">
        <v>2041</v>
      </c>
      <c r="S527" t="s">
        <v>444</v>
      </c>
      <c r="T527">
        <v>2027</v>
      </c>
      <c r="U527">
        <v>34.75</v>
      </c>
      <c r="V527">
        <v>1</v>
      </c>
      <c r="W527">
        <v>2027</v>
      </c>
      <c r="X527">
        <v>1</v>
      </c>
      <c r="Y527">
        <v>2027</v>
      </c>
      <c r="Z527">
        <v>1</v>
      </c>
      <c r="AA527">
        <v>120</v>
      </c>
      <c r="AB527">
        <v>180</v>
      </c>
      <c r="AC527">
        <v>120</v>
      </c>
      <c r="AD527">
        <v>180</v>
      </c>
      <c r="AE527">
        <v>0</v>
      </c>
      <c r="AF527">
        <v>0</v>
      </c>
      <c r="AG527">
        <v>120</v>
      </c>
      <c r="AH527">
        <v>180</v>
      </c>
      <c r="AI527">
        <v>1</v>
      </c>
      <c r="AJ527">
        <v>2.4329999999999998</v>
      </c>
      <c r="AK527">
        <v>2028</v>
      </c>
      <c r="AL527" s="61">
        <v>2.4220000000000002</v>
      </c>
      <c r="AM527" s="61">
        <v>2.4329999999999998</v>
      </c>
      <c r="AN527" s="61">
        <v>2.4220000000000002</v>
      </c>
      <c r="AO527">
        <v>1</v>
      </c>
      <c r="AP527">
        <v>1.0242242189602202</v>
      </c>
      <c r="AQ527">
        <v>1.0242242189602202</v>
      </c>
      <c r="AR527" t="b">
        <v>0</v>
      </c>
      <c r="AS527">
        <v>117.16184579370963</v>
      </c>
      <c r="AT527">
        <v>175.74276869056445</v>
      </c>
      <c r="AU527">
        <v>146.45230724213704</v>
      </c>
    </row>
    <row r="528" spans="1:47" x14ac:dyDescent="0.25">
      <c r="A528" t="s">
        <v>367</v>
      </c>
      <c r="B528" t="s">
        <v>483</v>
      </c>
      <c r="C528" t="s">
        <v>320</v>
      </c>
      <c r="D528">
        <v>2026</v>
      </c>
      <c r="E528">
        <v>0</v>
      </c>
      <c r="F528">
        <v>15</v>
      </c>
      <c r="G528">
        <v>0</v>
      </c>
      <c r="H528">
        <v>0</v>
      </c>
      <c r="I528">
        <v>30</v>
      </c>
      <c r="J528">
        <v>45</v>
      </c>
      <c r="K528">
        <v>4</v>
      </c>
      <c r="L528">
        <v>2</v>
      </c>
      <c r="M528">
        <v>40</v>
      </c>
      <c r="N528">
        <v>0</v>
      </c>
      <c r="O528" t="s">
        <v>27</v>
      </c>
      <c r="P528" t="s">
        <v>443</v>
      </c>
      <c r="Q528">
        <v>2026</v>
      </c>
      <c r="R528">
        <v>2041</v>
      </c>
      <c r="S528" t="s">
        <v>444</v>
      </c>
      <c r="T528">
        <v>2028</v>
      </c>
      <c r="U528">
        <v>35.75</v>
      </c>
      <c r="V528">
        <v>1</v>
      </c>
      <c r="W528">
        <v>2028</v>
      </c>
      <c r="X528">
        <v>2</v>
      </c>
      <c r="Y528">
        <v>2028</v>
      </c>
      <c r="Z528">
        <v>1</v>
      </c>
      <c r="AA528">
        <v>120</v>
      </c>
      <c r="AB528">
        <v>180</v>
      </c>
      <c r="AC528">
        <v>120</v>
      </c>
      <c r="AD528">
        <v>180</v>
      </c>
      <c r="AE528">
        <v>0</v>
      </c>
      <c r="AF528">
        <v>0</v>
      </c>
      <c r="AG528">
        <v>120</v>
      </c>
      <c r="AH528">
        <v>180</v>
      </c>
      <c r="AI528">
        <v>1</v>
      </c>
      <c r="AJ528">
        <v>2.4220000000000002</v>
      </c>
      <c r="AK528">
        <v>2029</v>
      </c>
      <c r="AL528" s="61">
        <v>2.4209999999999998</v>
      </c>
      <c r="AM528" s="61">
        <v>2.4220000000000002</v>
      </c>
      <c r="AN528" s="61">
        <v>2.4209999999999998</v>
      </c>
      <c r="AO528">
        <v>1.0242199999999999</v>
      </c>
      <c r="AP528">
        <v>1.0242103835598433</v>
      </c>
      <c r="AQ528">
        <v>1.0490167590496626</v>
      </c>
      <c r="AR528" t="b">
        <v>0</v>
      </c>
      <c r="AS528">
        <v>114.39283401793483</v>
      </c>
      <c r="AT528">
        <v>171.58925102690225</v>
      </c>
      <c r="AU528">
        <v>142.99104252241852</v>
      </c>
    </row>
    <row r="529" spans="1:47" x14ac:dyDescent="0.25">
      <c r="A529" t="s">
        <v>367</v>
      </c>
      <c r="B529" t="s">
        <v>483</v>
      </c>
      <c r="C529" t="s">
        <v>320</v>
      </c>
      <c r="D529">
        <v>2026</v>
      </c>
      <c r="E529">
        <v>0</v>
      </c>
      <c r="F529">
        <v>15</v>
      </c>
      <c r="G529">
        <v>0</v>
      </c>
      <c r="H529">
        <v>0</v>
      </c>
      <c r="I529">
        <v>30</v>
      </c>
      <c r="J529">
        <v>45</v>
      </c>
      <c r="K529">
        <v>4</v>
      </c>
      <c r="L529">
        <v>2</v>
      </c>
      <c r="M529">
        <v>40</v>
      </c>
      <c r="N529">
        <v>0</v>
      </c>
      <c r="O529" t="s">
        <v>27</v>
      </c>
      <c r="P529" t="s">
        <v>443</v>
      </c>
      <c r="Q529">
        <v>2026</v>
      </c>
      <c r="R529">
        <v>2041</v>
      </c>
      <c r="S529" t="s">
        <v>444</v>
      </c>
      <c r="T529">
        <v>2029</v>
      </c>
      <c r="U529">
        <v>36.75</v>
      </c>
      <c r="V529">
        <v>1</v>
      </c>
      <c r="W529">
        <v>2029</v>
      </c>
      <c r="X529">
        <v>3</v>
      </c>
      <c r="Y529">
        <v>2029</v>
      </c>
      <c r="Z529">
        <v>1</v>
      </c>
      <c r="AA529">
        <v>120</v>
      </c>
      <c r="AB529">
        <v>180</v>
      </c>
      <c r="AC529">
        <v>120</v>
      </c>
      <c r="AD529">
        <v>180</v>
      </c>
      <c r="AE529">
        <v>0</v>
      </c>
      <c r="AF529">
        <v>0</v>
      </c>
      <c r="AG529">
        <v>120</v>
      </c>
      <c r="AH529">
        <v>180</v>
      </c>
      <c r="AI529">
        <v>1</v>
      </c>
      <c r="AJ529">
        <v>2.4209999999999998</v>
      </c>
      <c r="AK529">
        <v>2030</v>
      </c>
      <c r="AL529" s="61">
        <v>2.4670000000000001</v>
      </c>
      <c r="AM529" s="61">
        <v>2.4209999999999998</v>
      </c>
      <c r="AN529" s="61">
        <v>2.4670000000000001</v>
      </c>
      <c r="AO529">
        <v>1.0490061241000002</v>
      </c>
      <c r="AP529">
        <v>1.0246523523547908</v>
      </c>
      <c r="AQ529">
        <v>1.0748665926936467</v>
      </c>
      <c r="AR529" t="b">
        <v>0</v>
      </c>
      <c r="AS529">
        <v>111.64176169926031</v>
      </c>
      <c r="AT529">
        <v>167.46264254889047</v>
      </c>
      <c r="AU529">
        <v>139.55220212407539</v>
      </c>
    </row>
    <row r="530" spans="1:47" x14ac:dyDescent="0.25">
      <c r="A530" t="s">
        <v>367</v>
      </c>
      <c r="B530" t="s">
        <v>483</v>
      </c>
      <c r="C530" t="s">
        <v>320</v>
      </c>
      <c r="D530">
        <v>2026</v>
      </c>
      <c r="E530">
        <v>0</v>
      </c>
      <c r="F530">
        <v>15</v>
      </c>
      <c r="G530">
        <v>0</v>
      </c>
      <c r="H530">
        <v>0</v>
      </c>
      <c r="I530">
        <v>30</v>
      </c>
      <c r="J530">
        <v>45</v>
      </c>
      <c r="K530">
        <v>4</v>
      </c>
      <c r="L530">
        <v>2</v>
      </c>
      <c r="M530">
        <v>40</v>
      </c>
      <c r="N530">
        <v>0</v>
      </c>
      <c r="O530" t="s">
        <v>27</v>
      </c>
      <c r="P530" t="s">
        <v>443</v>
      </c>
      <c r="Q530">
        <v>2026</v>
      </c>
      <c r="R530">
        <v>2041</v>
      </c>
      <c r="S530" t="s">
        <v>444</v>
      </c>
      <c r="T530">
        <v>2030</v>
      </c>
      <c r="U530">
        <v>37.75</v>
      </c>
      <c r="V530">
        <v>1</v>
      </c>
      <c r="W530">
        <v>2030</v>
      </c>
      <c r="X530">
        <v>4</v>
      </c>
      <c r="Y530">
        <v>2030</v>
      </c>
      <c r="Z530">
        <v>1</v>
      </c>
      <c r="AA530">
        <v>120</v>
      </c>
      <c r="AB530">
        <v>180</v>
      </c>
      <c r="AC530">
        <v>120</v>
      </c>
      <c r="AD530">
        <v>180</v>
      </c>
      <c r="AE530">
        <v>0</v>
      </c>
      <c r="AF530">
        <v>0</v>
      </c>
      <c r="AG530">
        <v>120</v>
      </c>
      <c r="AH530">
        <v>180</v>
      </c>
      <c r="AI530">
        <v>1</v>
      </c>
      <c r="AJ530">
        <v>2.4670000000000001</v>
      </c>
      <c r="AK530">
        <v>2031</v>
      </c>
      <c r="AL530" s="61">
        <v>2.5169999999999999</v>
      </c>
      <c r="AM530" s="61">
        <v>2.4670000000000001</v>
      </c>
      <c r="AN530" s="61">
        <v>2.5169999999999999</v>
      </c>
      <c r="AO530">
        <v>1.0758508410815628</v>
      </c>
      <c r="AP530">
        <v>1.0251508174189523</v>
      </c>
      <c r="AQ530">
        <v>1.1029093691556315</v>
      </c>
      <c r="AR530" t="b">
        <v>0</v>
      </c>
      <c r="AS530">
        <v>108.80313773367429</v>
      </c>
      <c r="AT530">
        <v>163.20470660051143</v>
      </c>
      <c r="AU530">
        <v>136.00392216709287</v>
      </c>
    </row>
    <row r="531" spans="1:47" x14ac:dyDescent="0.25">
      <c r="A531" t="s">
        <v>367</v>
      </c>
      <c r="B531" t="s">
        <v>483</v>
      </c>
      <c r="C531" t="s">
        <v>320</v>
      </c>
      <c r="D531">
        <v>2026</v>
      </c>
      <c r="E531">
        <v>0</v>
      </c>
      <c r="F531">
        <v>15</v>
      </c>
      <c r="G531">
        <v>0</v>
      </c>
      <c r="H531">
        <v>0</v>
      </c>
      <c r="I531">
        <v>30</v>
      </c>
      <c r="J531">
        <v>45</v>
      </c>
      <c r="K531">
        <v>4</v>
      </c>
      <c r="L531">
        <v>2</v>
      </c>
      <c r="M531">
        <v>40</v>
      </c>
      <c r="N531">
        <v>0</v>
      </c>
      <c r="O531" t="s">
        <v>27</v>
      </c>
      <c r="P531" t="s">
        <v>443</v>
      </c>
      <c r="Q531">
        <v>2026</v>
      </c>
      <c r="R531">
        <v>2041</v>
      </c>
      <c r="S531" t="s">
        <v>444</v>
      </c>
      <c r="T531">
        <v>2031</v>
      </c>
      <c r="U531">
        <v>38.75</v>
      </c>
      <c r="V531">
        <v>1</v>
      </c>
      <c r="W531">
        <v>2031</v>
      </c>
      <c r="X531">
        <v>5</v>
      </c>
      <c r="Y531">
        <v>2031</v>
      </c>
      <c r="Z531">
        <v>1</v>
      </c>
      <c r="AA531">
        <v>120</v>
      </c>
      <c r="AB531">
        <v>180</v>
      </c>
      <c r="AC531">
        <v>120</v>
      </c>
      <c r="AD531">
        <v>180</v>
      </c>
      <c r="AE531">
        <v>0</v>
      </c>
      <c r="AF531">
        <v>0</v>
      </c>
      <c r="AG531">
        <v>120</v>
      </c>
      <c r="AH531">
        <v>180</v>
      </c>
      <c r="AI531">
        <v>1</v>
      </c>
      <c r="AJ531">
        <v>2.5169999999999999</v>
      </c>
      <c r="AK531">
        <v>2032</v>
      </c>
      <c r="AL531" s="61">
        <v>2.59</v>
      </c>
      <c r="AM531" s="61">
        <v>2.5169999999999999</v>
      </c>
      <c r="AN531" s="61">
        <v>2.59</v>
      </c>
      <c r="AO531">
        <v>1.1045453584485188</v>
      </c>
      <c r="AP531">
        <v>1.0258719904156592</v>
      </c>
      <c r="AQ531">
        <v>1.1331221453759597</v>
      </c>
      <c r="AR531" t="b">
        <v>0</v>
      </c>
      <c r="AS531">
        <v>105.90208698126281</v>
      </c>
      <c r="AT531">
        <v>158.85313047189422</v>
      </c>
      <c r="AU531">
        <v>132.3776087265785</v>
      </c>
    </row>
    <row r="532" spans="1:47" x14ac:dyDescent="0.25">
      <c r="A532" t="s">
        <v>367</v>
      </c>
      <c r="B532" t="s">
        <v>483</v>
      </c>
      <c r="C532" t="s">
        <v>320</v>
      </c>
      <c r="D532">
        <v>2026</v>
      </c>
      <c r="E532">
        <v>0</v>
      </c>
      <c r="F532">
        <v>15</v>
      </c>
      <c r="G532">
        <v>0</v>
      </c>
      <c r="H532">
        <v>0</v>
      </c>
      <c r="I532">
        <v>30</v>
      </c>
      <c r="J532">
        <v>45</v>
      </c>
      <c r="K532">
        <v>4</v>
      </c>
      <c r="L532">
        <v>2</v>
      </c>
      <c r="M532">
        <v>40</v>
      </c>
      <c r="N532">
        <v>0</v>
      </c>
      <c r="O532" t="s">
        <v>27</v>
      </c>
      <c r="P532" t="s">
        <v>443</v>
      </c>
      <c r="Q532">
        <v>2026</v>
      </c>
      <c r="R532">
        <v>2041</v>
      </c>
      <c r="S532" t="s">
        <v>444</v>
      </c>
      <c r="T532">
        <v>2032</v>
      </c>
      <c r="U532">
        <v>39.75</v>
      </c>
      <c r="V532">
        <v>1</v>
      </c>
      <c r="W532">
        <v>2032</v>
      </c>
      <c r="X532">
        <v>6</v>
      </c>
      <c r="Y532">
        <v>2032</v>
      </c>
      <c r="Z532">
        <v>1</v>
      </c>
      <c r="AA532">
        <v>120</v>
      </c>
      <c r="AB532">
        <v>180</v>
      </c>
      <c r="AC532">
        <v>120</v>
      </c>
      <c r="AD532">
        <v>180</v>
      </c>
      <c r="AE532">
        <v>0</v>
      </c>
      <c r="AF532">
        <v>0</v>
      </c>
      <c r="AG532">
        <v>120</v>
      </c>
      <c r="AH532">
        <v>180</v>
      </c>
      <c r="AI532">
        <v>1</v>
      </c>
      <c r="AJ532">
        <v>2.59</v>
      </c>
      <c r="AK532">
        <v>2033</v>
      </c>
      <c r="AL532" s="61">
        <v>2.6880000000000002</v>
      </c>
      <c r="AM532" s="61">
        <v>2.59</v>
      </c>
      <c r="AN532" s="61">
        <v>2.6880000000000002</v>
      </c>
      <c r="AO532">
        <v>1.1363841013749196</v>
      </c>
      <c r="AP532">
        <v>1.0268423936996114</v>
      </c>
      <c r="AQ532">
        <v>1.1668873708180043</v>
      </c>
      <c r="AR532" t="b">
        <v>0</v>
      </c>
      <c r="AS532">
        <v>102.83768853876474</v>
      </c>
      <c r="AT532">
        <v>154.25653280814711</v>
      </c>
      <c r="AU532">
        <v>128.54711067345593</v>
      </c>
    </row>
    <row r="533" spans="1:47" x14ac:dyDescent="0.25">
      <c r="A533" t="s">
        <v>367</v>
      </c>
      <c r="B533" t="s">
        <v>483</v>
      </c>
      <c r="C533" t="s">
        <v>320</v>
      </c>
      <c r="D533">
        <v>2026</v>
      </c>
      <c r="E533">
        <v>0</v>
      </c>
      <c r="F533">
        <v>15</v>
      </c>
      <c r="G533">
        <v>0</v>
      </c>
      <c r="H533">
        <v>0</v>
      </c>
      <c r="I533">
        <v>30</v>
      </c>
      <c r="J533">
        <v>45</v>
      </c>
      <c r="K533">
        <v>4</v>
      </c>
      <c r="L533">
        <v>2</v>
      </c>
      <c r="M533">
        <v>40</v>
      </c>
      <c r="N533">
        <v>0</v>
      </c>
      <c r="O533" t="s">
        <v>27</v>
      </c>
      <c r="P533" t="s">
        <v>443</v>
      </c>
      <c r="Q533">
        <v>2026</v>
      </c>
      <c r="R533">
        <v>2041</v>
      </c>
      <c r="S533" t="s">
        <v>444</v>
      </c>
      <c r="T533">
        <v>2033</v>
      </c>
      <c r="U533">
        <v>40.75</v>
      </c>
      <c r="V533">
        <v>1</v>
      </c>
      <c r="W533">
        <v>2033</v>
      </c>
      <c r="X533">
        <v>7</v>
      </c>
      <c r="Y533">
        <v>2033</v>
      </c>
      <c r="Z533">
        <v>1</v>
      </c>
      <c r="AA533">
        <v>120</v>
      </c>
      <c r="AB533">
        <v>180</v>
      </c>
      <c r="AC533">
        <v>120</v>
      </c>
      <c r="AD533">
        <v>180</v>
      </c>
      <c r="AE533">
        <v>0</v>
      </c>
      <c r="AF533">
        <v>0</v>
      </c>
      <c r="AG533">
        <v>120</v>
      </c>
      <c r="AH533">
        <v>180</v>
      </c>
      <c r="AI533">
        <v>1</v>
      </c>
      <c r="AJ533">
        <v>2.6880000000000002</v>
      </c>
      <c r="AK533">
        <v>2034</v>
      </c>
      <c r="AL533" s="61">
        <v>2.7519999999999998</v>
      </c>
      <c r="AM533" s="61">
        <v>2.6880000000000002</v>
      </c>
      <c r="AN533" s="61">
        <v>2.7519999999999998</v>
      </c>
      <c r="AO533">
        <v>1.1725143659072164</v>
      </c>
      <c r="AP533">
        <v>1.0274954447000768</v>
      </c>
      <c r="AQ533">
        <v>1.2047531698150638</v>
      </c>
      <c r="AR533" t="b">
        <v>0</v>
      </c>
      <c r="AS533">
        <v>99.605465257601821</v>
      </c>
      <c r="AT533">
        <v>149.40819788640275</v>
      </c>
      <c r="AU533">
        <v>124.50683157200228</v>
      </c>
    </row>
    <row r="534" spans="1:47" x14ac:dyDescent="0.25">
      <c r="A534" t="s">
        <v>367</v>
      </c>
      <c r="B534" t="s">
        <v>483</v>
      </c>
      <c r="C534" t="s">
        <v>320</v>
      </c>
      <c r="D534">
        <v>2026</v>
      </c>
      <c r="E534">
        <v>0</v>
      </c>
      <c r="F534">
        <v>15</v>
      </c>
      <c r="G534">
        <v>0</v>
      </c>
      <c r="H534">
        <v>0</v>
      </c>
      <c r="I534">
        <v>30</v>
      </c>
      <c r="J534">
        <v>45</v>
      </c>
      <c r="K534">
        <v>4</v>
      </c>
      <c r="L534">
        <v>2</v>
      </c>
      <c r="M534">
        <v>40</v>
      </c>
      <c r="N534">
        <v>0</v>
      </c>
      <c r="O534" t="s">
        <v>27</v>
      </c>
      <c r="P534" t="s">
        <v>443</v>
      </c>
      <c r="Q534">
        <v>2026</v>
      </c>
      <c r="R534">
        <v>2041</v>
      </c>
      <c r="S534" t="s">
        <v>444</v>
      </c>
      <c r="T534">
        <v>2034</v>
      </c>
      <c r="U534">
        <v>41.75</v>
      </c>
      <c r="V534">
        <v>1</v>
      </c>
      <c r="W534">
        <v>2034</v>
      </c>
      <c r="X534">
        <v>8</v>
      </c>
      <c r="Y534">
        <v>2034</v>
      </c>
      <c r="Z534">
        <v>1</v>
      </c>
      <c r="AA534">
        <v>120</v>
      </c>
      <c r="AB534">
        <v>180</v>
      </c>
      <c r="AC534">
        <v>120</v>
      </c>
      <c r="AD534">
        <v>180</v>
      </c>
      <c r="AE534">
        <v>0</v>
      </c>
      <c r="AF534">
        <v>0</v>
      </c>
      <c r="AG534">
        <v>120</v>
      </c>
      <c r="AH534">
        <v>180</v>
      </c>
      <c r="AI534">
        <v>1</v>
      </c>
      <c r="AJ534">
        <v>2.7519999999999998</v>
      </c>
      <c r="AK534">
        <v>2035</v>
      </c>
      <c r="AL534" s="61">
        <v>2.8420000000000001</v>
      </c>
      <c r="AM534" s="61">
        <v>2.7519999999999998</v>
      </c>
      <c r="AN534" s="61">
        <v>2.8420000000000001</v>
      </c>
      <c r="AO534">
        <v>1.2092942481281721</v>
      </c>
      <c r="AP534">
        <v>1.0283854649181425</v>
      </c>
      <c r="AQ534">
        <v>1.2436206275841259</v>
      </c>
      <c r="AR534" t="b">
        <v>0</v>
      </c>
      <c r="AS534">
        <v>96.492449014064363</v>
      </c>
      <c r="AT534">
        <v>144.73867352109656</v>
      </c>
      <c r="AU534">
        <v>120.61556126758046</v>
      </c>
    </row>
    <row r="535" spans="1:47" x14ac:dyDescent="0.25">
      <c r="A535" t="s">
        <v>367</v>
      </c>
      <c r="B535" t="s">
        <v>483</v>
      </c>
      <c r="C535" t="s">
        <v>320</v>
      </c>
      <c r="D535">
        <v>2026</v>
      </c>
      <c r="E535">
        <v>0</v>
      </c>
      <c r="F535">
        <v>15</v>
      </c>
      <c r="G535">
        <v>0</v>
      </c>
      <c r="H535">
        <v>0</v>
      </c>
      <c r="I535">
        <v>30</v>
      </c>
      <c r="J535">
        <v>45</v>
      </c>
      <c r="K535">
        <v>4</v>
      </c>
      <c r="L535">
        <v>2</v>
      </c>
      <c r="M535">
        <v>40</v>
      </c>
      <c r="N535">
        <v>0</v>
      </c>
      <c r="O535" t="s">
        <v>27</v>
      </c>
      <c r="P535" t="s">
        <v>443</v>
      </c>
      <c r="Q535">
        <v>2026</v>
      </c>
      <c r="R535">
        <v>2041</v>
      </c>
      <c r="S535" t="s">
        <v>444</v>
      </c>
      <c r="T535">
        <v>2035</v>
      </c>
      <c r="U535">
        <v>42.75</v>
      </c>
      <c r="V535">
        <v>1</v>
      </c>
      <c r="W535">
        <v>2035</v>
      </c>
      <c r="X535">
        <v>9</v>
      </c>
      <c r="Y535">
        <v>2035</v>
      </c>
      <c r="Z535">
        <v>1</v>
      </c>
      <c r="AA535">
        <v>120</v>
      </c>
      <c r="AB535">
        <v>180</v>
      </c>
      <c r="AC535">
        <v>120</v>
      </c>
      <c r="AD535">
        <v>180</v>
      </c>
      <c r="AE535">
        <v>0</v>
      </c>
      <c r="AF535">
        <v>0</v>
      </c>
      <c r="AG535">
        <v>120</v>
      </c>
      <c r="AH535">
        <v>180</v>
      </c>
      <c r="AI535">
        <v>1</v>
      </c>
      <c r="AJ535">
        <v>2.8420000000000001</v>
      </c>
      <c r="AK535">
        <v>2036</v>
      </c>
      <c r="AL535" s="61">
        <v>2.944</v>
      </c>
      <c r="AM535" s="61">
        <v>2.8420000000000001</v>
      </c>
      <c r="AN535" s="61">
        <v>2.944</v>
      </c>
      <c r="AO535">
        <v>1.2513076834571593</v>
      </c>
      <c r="AP535">
        <v>1.0294008580614105</v>
      </c>
      <c r="AQ535">
        <v>1.2880972030496356</v>
      </c>
      <c r="AR535" t="b">
        <v>0</v>
      </c>
      <c r="AS535">
        <v>93.160671194606977</v>
      </c>
      <c r="AT535">
        <v>139.74100679191045</v>
      </c>
      <c r="AU535">
        <v>116.45083899325871</v>
      </c>
    </row>
    <row r="536" spans="1:47" x14ac:dyDescent="0.25">
      <c r="A536" t="s">
        <v>367</v>
      </c>
      <c r="B536" t="s">
        <v>483</v>
      </c>
      <c r="C536" t="s">
        <v>320</v>
      </c>
      <c r="D536">
        <v>2026</v>
      </c>
      <c r="E536">
        <v>0</v>
      </c>
      <c r="F536">
        <v>15</v>
      </c>
      <c r="G536">
        <v>0</v>
      </c>
      <c r="H536">
        <v>0</v>
      </c>
      <c r="I536">
        <v>30</v>
      </c>
      <c r="J536">
        <v>45</v>
      </c>
      <c r="K536">
        <v>4</v>
      </c>
      <c r="L536">
        <v>2</v>
      </c>
      <c r="M536">
        <v>40</v>
      </c>
      <c r="N536">
        <v>0</v>
      </c>
      <c r="O536" t="s">
        <v>27</v>
      </c>
      <c r="P536" t="s">
        <v>443</v>
      </c>
      <c r="Q536">
        <v>2026</v>
      </c>
      <c r="R536">
        <v>2041</v>
      </c>
      <c r="S536" t="s">
        <v>444</v>
      </c>
      <c r="T536">
        <v>2036</v>
      </c>
      <c r="U536">
        <v>43.75</v>
      </c>
      <c r="V536">
        <v>1</v>
      </c>
      <c r="W536">
        <v>2036</v>
      </c>
      <c r="X536">
        <v>10</v>
      </c>
      <c r="Y536">
        <v>2036</v>
      </c>
      <c r="Z536">
        <v>1</v>
      </c>
      <c r="AA536">
        <v>120</v>
      </c>
      <c r="AB536">
        <v>180</v>
      </c>
      <c r="AC536">
        <v>120</v>
      </c>
      <c r="AD536">
        <v>180</v>
      </c>
      <c r="AE536">
        <v>0</v>
      </c>
      <c r="AF536">
        <v>0</v>
      </c>
      <c r="AG536">
        <v>120</v>
      </c>
      <c r="AH536">
        <v>180</v>
      </c>
      <c r="AI536">
        <v>1</v>
      </c>
      <c r="AJ536">
        <v>2.944</v>
      </c>
      <c r="AK536">
        <v>2037</v>
      </c>
      <c r="AL536" s="61">
        <v>3.036</v>
      </c>
      <c r="AM536" s="61">
        <v>2.944</v>
      </c>
      <c r="AN536" s="61">
        <v>3.036</v>
      </c>
      <c r="AO536">
        <v>1.2984025298030446</v>
      </c>
      <c r="AP536">
        <v>1.0303246971701443</v>
      </c>
      <c r="AQ536">
        <v>1.3377761933242711</v>
      </c>
      <c r="AR536" t="b">
        <v>0</v>
      </c>
      <c r="AS536">
        <v>89.701102919023555</v>
      </c>
      <c r="AT536">
        <v>134.55165437853535</v>
      </c>
      <c r="AU536">
        <v>112.12637864877945</v>
      </c>
    </row>
    <row r="537" spans="1:47" x14ac:dyDescent="0.25">
      <c r="A537" t="s">
        <v>367</v>
      </c>
      <c r="B537" t="s">
        <v>483</v>
      </c>
      <c r="C537" t="s">
        <v>320</v>
      </c>
      <c r="D537">
        <v>2026</v>
      </c>
      <c r="E537">
        <v>0</v>
      </c>
      <c r="F537">
        <v>15</v>
      </c>
      <c r="G537">
        <v>0</v>
      </c>
      <c r="H537">
        <v>0</v>
      </c>
      <c r="I537">
        <v>30</v>
      </c>
      <c r="J537">
        <v>45</v>
      </c>
      <c r="K537">
        <v>4</v>
      </c>
      <c r="L537">
        <v>2</v>
      </c>
      <c r="M537">
        <v>40</v>
      </c>
      <c r="N537">
        <v>0</v>
      </c>
      <c r="O537" t="s">
        <v>27</v>
      </c>
      <c r="P537" t="s">
        <v>443</v>
      </c>
      <c r="Q537">
        <v>2026</v>
      </c>
      <c r="R537">
        <v>2041</v>
      </c>
      <c r="S537" t="s">
        <v>444</v>
      </c>
      <c r="T537">
        <v>2037</v>
      </c>
      <c r="U537">
        <v>44.75</v>
      </c>
      <c r="V537">
        <v>1</v>
      </c>
      <c r="W537">
        <v>2037</v>
      </c>
      <c r="X537">
        <v>11</v>
      </c>
      <c r="Y537">
        <v>2037</v>
      </c>
      <c r="Z537">
        <v>1</v>
      </c>
      <c r="AA537">
        <v>120</v>
      </c>
      <c r="AB537">
        <v>180</v>
      </c>
      <c r="AC537">
        <v>120</v>
      </c>
      <c r="AD537">
        <v>180</v>
      </c>
      <c r="AE537">
        <v>0</v>
      </c>
      <c r="AF537">
        <v>0</v>
      </c>
      <c r="AG537">
        <v>120</v>
      </c>
      <c r="AH537">
        <v>180</v>
      </c>
      <c r="AI537">
        <v>1</v>
      </c>
      <c r="AJ537">
        <v>3.036</v>
      </c>
      <c r="AK537">
        <v>2038</v>
      </c>
      <c r="AL537" s="61">
        <v>3.1339999999999999</v>
      </c>
      <c r="AM537" s="61">
        <v>3.036</v>
      </c>
      <c r="AN537" s="61">
        <v>3.1339999999999999</v>
      </c>
      <c r="AO537">
        <v>1.3486209574989538</v>
      </c>
      <c r="AP537">
        <v>1.0313023937742947</v>
      </c>
      <c r="AQ537">
        <v>1.3908360217628524</v>
      </c>
      <c r="AR537" t="b">
        <v>0</v>
      </c>
      <c r="AS537">
        <v>86.279042333044259</v>
      </c>
      <c r="AT537">
        <v>129.41856349956637</v>
      </c>
      <c r="AU537">
        <v>107.84880291630532</v>
      </c>
    </row>
    <row r="538" spans="1:47" x14ac:dyDescent="0.25">
      <c r="A538" t="s">
        <v>367</v>
      </c>
      <c r="B538" t="s">
        <v>483</v>
      </c>
      <c r="C538" t="s">
        <v>320</v>
      </c>
      <c r="D538">
        <v>2026</v>
      </c>
      <c r="E538">
        <v>0</v>
      </c>
      <c r="F538">
        <v>15</v>
      </c>
      <c r="G538">
        <v>0</v>
      </c>
      <c r="H538">
        <v>0</v>
      </c>
      <c r="I538">
        <v>30</v>
      </c>
      <c r="J538">
        <v>45</v>
      </c>
      <c r="K538">
        <v>4</v>
      </c>
      <c r="L538">
        <v>2</v>
      </c>
      <c r="M538">
        <v>40</v>
      </c>
      <c r="N538">
        <v>0</v>
      </c>
      <c r="O538" t="s">
        <v>27</v>
      </c>
      <c r="P538" t="s">
        <v>443</v>
      </c>
      <c r="Q538">
        <v>2026</v>
      </c>
      <c r="R538">
        <v>2041</v>
      </c>
      <c r="S538" t="s">
        <v>444</v>
      </c>
      <c r="T538">
        <v>2038</v>
      </c>
      <c r="U538">
        <v>45.75</v>
      </c>
      <c r="V538">
        <v>1</v>
      </c>
      <c r="W538">
        <v>2038</v>
      </c>
      <c r="X538">
        <v>12</v>
      </c>
      <c r="Y538">
        <v>2038</v>
      </c>
      <c r="Z538">
        <v>1</v>
      </c>
      <c r="AA538">
        <v>120</v>
      </c>
      <c r="AB538">
        <v>180</v>
      </c>
      <c r="AC538">
        <v>120</v>
      </c>
      <c r="AD538">
        <v>180</v>
      </c>
      <c r="AE538">
        <v>0</v>
      </c>
      <c r="AF538">
        <v>0</v>
      </c>
      <c r="AG538">
        <v>120</v>
      </c>
      <c r="AH538">
        <v>180</v>
      </c>
      <c r="AI538">
        <v>1</v>
      </c>
      <c r="AJ538">
        <v>3.1339999999999999</v>
      </c>
      <c r="AK538">
        <v>2039</v>
      </c>
      <c r="AL538" s="61">
        <v>3.2069999999999999</v>
      </c>
      <c r="AM538" s="61">
        <v>3.1339999999999999</v>
      </c>
      <c r="AN538" s="61">
        <v>3.2069999999999999</v>
      </c>
      <c r="AO538">
        <v>1.4041725591738043</v>
      </c>
      <c r="AP538">
        <v>1.0320419904729838</v>
      </c>
      <c r="AQ538">
        <v>1.4491650429372767</v>
      </c>
      <c r="AR538" t="b">
        <v>0</v>
      </c>
      <c r="AS538">
        <v>82.806303246713</v>
      </c>
      <c r="AT538">
        <v>124.20945487006951</v>
      </c>
      <c r="AU538">
        <v>103.50787905839125</v>
      </c>
    </row>
    <row r="539" spans="1:47" x14ac:dyDescent="0.25">
      <c r="A539" t="s">
        <v>367</v>
      </c>
      <c r="B539" t="s">
        <v>483</v>
      </c>
      <c r="C539" t="s">
        <v>320</v>
      </c>
      <c r="D539">
        <v>2026</v>
      </c>
      <c r="E539">
        <v>0</v>
      </c>
      <c r="F539">
        <v>15</v>
      </c>
      <c r="G539">
        <v>0</v>
      </c>
      <c r="H539">
        <v>0</v>
      </c>
      <c r="I539">
        <v>30</v>
      </c>
      <c r="J539">
        <v>45</v>
      </c>
      <c r="K539">
        <v>4</v>
      </c>
      <c r="L539">
        <v>2</v>
      </c>
      <c r="M539">
        <v>40</v>
      </c>
      <c r="N539">
        <v>0</v>
      </c>
      <c r="O539" t="s">
        <v>27</v>
      </c>
      <c r="P539" t="s">
        <v>443</v>
      </c>
      <c r="Q539">
        <v>2026</v>
      </c>
      <c r="R539">
        <v>2041</v>
      </c>
      <c r="S539" t="s">
        <v>444</v>
      </c>
      <c r="T539">
        <v>2039</v>
      </c>
      <c r="U539">
        <v>46.75</v>
      </c>
      <c r="V539">
        <v>1</v>
      </c>
      <c r="W539">
        <v>2039</v>
      </c>
      <c r="X539">
        <v>13</v>
      </c>
      <c r="Y539">
        <v>2039</v>
      </c>
      <c r="Z539">
        <v>1</v>
      </c>
      <c r="AA539">
        <v>120</v>
      </c>
      <c r="AB539">
        <v>180</v>
      </c>
      <c r="AC539">
        <v>120</v>
      </c>
      <c r="AD539">
        <v>180</v>
      </c>
      <c r="AE539">
        <v>0</v>
      </c>
      <c r="AF539">
        <v>0</v>
      </c>
      <c r="AG539">
        <v>120</v>
      </c>
      <c r="AH539">
        <v>180</v>
      </c>
      <c r="AI539">
        <v>1</v>
      </c>
      <c r="AJ539">
        <v>3.2069999999999999</v>
      </c>
      <c r="AK539">
        <v>2040</v>
      </c>
      <c r="AL539" s="61">
        <v>3.3029999999999999</v>
      </c>
      <c r="AM539" s="61">
        <v>3.2069999999999999</v>
      </c>
      <c r="AN539" s="61">
        <v>3.3029999999999999</v>
      </c>
      <c r="AO539">
        <v>1.4605278779269859</v>
      </c>
      <c r="AP539">
        <v>1.0329931616190409</v>
      </c>
      <c r="AQ539">
        <v>1.5087153102525457</v>
      </c>
      <c r="AR539" t="b">
        <v>0</v>
      </c>
      <c r="AS539">
        <v>79.537868532608087</v>
      </c>
      <c r="AT539">
        <v>119.30680279891213</v>
      </c>
      <c r="AU539">
        <v>99.422335665760102</v>
      </c>
    </row>
    <row r="540" spans="1:47" x14ac:dyDescent="0.25">
      <c r="A540" t="s">
        <v>367</v>
      </c>
      <c r="B540" t="s">
        <v>483</v>
      </c>
      <c r="C540" t="s">
        <v>320</v>
      </c>
      <c r="D540">
        <v>2026</v>
      </c>
      <c r="E540">
        <v>0</v>
      </c>
      <c r="F540">
        <v>15</v>
      </c>
      <c r="G540">
        <v>0</v>
      </c>
      <c r="H540">
        <v>0</v>
      </c>
      <c r="I540">
        <v>30</v>
      </c>
      <c r="J540">
        <v>45</v>
      </c>
      <c r="K540">
        <v>4</v>
      </c>
      <c r="L540">
        <v>2</v>
      </c>
      <c r="M540">
        <v>40</v>
      </c>
      <c r="N540">
        <v>0</v>
      </c>
      <c r="O540" t="s">
        <v>27</v>
      </c>
      <c r="P540" t="s">
        <v>443</v>
      </c>
      <c r="Q540">
        <v>2026</v>
      </c>
      <c r="R540">
        <v>2041</v>
      </c>
      <c r="S540" t="s">
        <v>444</v>
      </c>
      <c r="T540">
        <v>2040</v>
      </c>
      <c r="U540">
        <v>47.75</v>
      </c>
      <c r="V540">
        <v>1</v>
      </c>
      <c r="W540">
        <v>2040</v>
      </c>
      <c r="X540">
        <v>14</v>
      </c>
      <c r="Y540">
        <v>2040</v>
      </c>
      <c r="Z540">
        <v>1</v>
      </c>
      <c r="AA540">
        <v>120</v>
      </c>
      <c r="AB540">
        <v>180</v>
      </c>
      <c r="AC540">
        <v>120</v>
      </c>
      <c r="AD540">
        <v>180</v>
      </c>
      <c r="AE540">
        <v>0</v>
      </c>
      <c r="AF540">
        <v>0</v>
      </c>
      <c r="AG540">
        <v>120</v>
      </c>
      <c r="AH540">
        <v>180</v>
      </c>
      <c r="AI540">
        <v>1</v>
      </c>
      <c r="AJ540">
        <v>3.3029999999999999</v>
      </c>
      <c r="AK540">
        <v>2041</v>
      </c>
      <c r="AL540" s="61">
        <v>3.3559999999999999</v>
      </c>
      <c r="AM540" s="61">
        <v>3.3029999999999999</v>
      </c>
      <c r="AN540" s="61">
        <v>3.3559999999999999</v>
      </c>
      <c r="AO540">
        <v>1.5256964700083253</v>
      </c>
      <c r="AP540">
        <v>1.0335396662189136</v>
      </c>
      <c r="AQ540">
        <v>1.5768678203637791</v>
      </c>
      <c r="AR540" t="b">
        <v>0</v>
      </c>
      <c r="AS540">
        <v>76.100227584272929</v>
      </c>
      <c r="AT540">
        <v>114.1503413764094</v>
      </c>
      <c r="AU540">
        <v>95.125284480341165</v>
      </c>
    </row>
    <row r="541" spans="1:47" x14ac:dyDescent="0.25">
      <c r="A541" t="s">
        <v>367</v>
      </c>
      <c r="B541" t="s">
        <v>483</v>
      </c>
      <c r="C541" t="s">
        <v>320</v>
      </c>
      <c r="D541">
        <v>2026</v>
      </c>
      <c r="E541">
        <v>0</v>
      </c>
      <c r="M541">
        <v>40</v>
      </c>
      <c r="Q541">
        <v>2026</v>
      </c>
      <c r="R541">
        <v>2041</v>
      </c>
      <c r="T541">
        <v>2041</v>
      </c>
      <c r="U541">
        <v>48.75</v>
      </c>
      <c r="W541">
        <v>2041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L541" s="61"/>
      <c r="AS541">
        <v>0</v>
      </c>
      <c r="AT541">
        <v>0</v>
      </c>
      <c r="AU541">
        <v>0</v>
      </c>
    </row>
    <row r="542" spans="1:47" x14ac:dyDescent="0.25">
      <c r="A542" t="s">
        <v>341</v>
      </c>
      <c r="B542" t="s">
        <v>484</v>
      </c>
      <c r="C542" t="s">
        <v>319</v>
      </c>
      <c r="D542">
        <v>2026</v>
      </c>
      <c r="E542">
        <v>0</v>
      </c>
      <c r="F542">
        <v>10</v>
      </c>
      <c r="G542">
        <v>0</v>
      </c>
      <c r="H542">
        <v>0</v>
      </c>
      <c r="I542">
        <v>50</v>
      </c>
      <c r="J542">
        <v>250</v>
      </c>
      <c r="K542">
        <v>1</v>
      </c>
      <c r="L542">
        <v>1</v>
      </c>
      <c r="M542">
        <v>41</v>
      </c>
      <c r="N542">
        <v>0</v>
      </c>
      <c r="O542" t="s">
        <v>27</v>
      </c>
      <c r="P542" t="s">
        <v>443</v>
      </c>
      <c r="Q542">
        <v>2026</v>
      </c>
      <c r="R542">
        <v>2036</v>
      </c>
      <c r="S542" t="s">
        <v>444</v>
      </c>
      <c r="T542">
        <v>2026</v>
      </c>
      <c r="U542">
        <v>33.75</v>
      </c>
      <c r="V542">
        <v>1</v>
      </c>
      <c r="W542">
        <v>2026</v>
      </c>
      <c r="X542">
        <v>0</v>
      </c>
      <c r="Y542">
        <v>2026</v>
      </c>
      <c r="Z542">
        <v>1</v>
      </c>
      <c r="AA542">
        <v>50</v>
      </c>
      <c r="AB542">
        <v>250</v>
      </c>
      <c r="AC542">
        <v>50</v>
      </c>
      <c r="AD542">
        <v>250</v>
      </c>
      <c r="AE542">
        <v>0</v>
      </c>
      <c r="AF542">
        <v>0</v>
      </c>
      <c r="AG542">
        <v>50</v>
      </c>
      <c r="AH542">
        <v>250</v>
      </c>
      <c r="AI542">
        <v>1</v>
      </c>
      <c r="AK542">
        <v>2027</v>
      </c>
      <c r="AL542" s="61">
        <v>2.4329999999999998</v>
      </c>
      <c r="AM542" s="61">
        <v>0</v>
      </c>
      <c r="AN542" s="61">
        <v>2.4329999999999998</v>
      </c>
      <c r="AO542">
        <v>1</v>
      </c>
      <c r="AP542">
        <v>1.023385968321771</v>
      </c>
      <c r="AQ542">
        <v>1.023385968321771</v>
      </c>
      <c r="AR542" t="b">
        <v>1</v>
      </c>
      <c r="AS542">
        <v>50</v>
      </c>
      <c r="AT542">
        <v>250</v>
      </c>
      <c r="AU542">
        <v>150</v>
      </c>
    </row>
    <row r="543" spans="1:47" x14ac:dyDescent="0.25">
      <c r="A543" t="s">
        <v>341</v>
      </c>
      <c r="B543" t="s">
        <v>484</v>
      </c>
      <c r="C543" t="s">
        <v>319</v>
      </c>
      <c r="D543">
        <v>2026</v>
      </c>
      <c r="E543">
        <v>0</v>
      </c>
      <c r="F543">
        <v>10</v>
      </c>
      <c r="G543">
        <v>0</v>
      </c>
      <c r="H543">
        <v>0</v>
      </c>
      <c r="I543">
        <v>50</v>
      </c>
      <c r="J543">
        <v>250</v>
      </c>
      <c r="K543">
        <v>1</v>
      </c>
      <c r="L543">
        <v>1</v>
      </c>
      <c r="M543">
        <v>41</v>
      </c>
      <c r="N543">
        <v>0</v>
      </c>
      <c r="O543" t="s">
        <v>27</v>
      </c>
      <c r="P543" t="s">
        <v>443</v>
      </c>
      <c r="Q543">
        <v>2026</v>
      </c>
      <c r="R543">
        <v>2036</v>
      </c>
      <c r="S543" t="s">
        <v>444</v>
      </c>
      <c r="T543">
        <v>2027</v>
      </c>
      <c r="U543">
        <v>34.75</v>
      </c>
      <c r="V543">
        <v>1</v>
      </c>
      <c r="W543">
        <v>2027</v>
      </c>
      <c r="X543">
        <v>1</v>
      </c>
      <c r="Y543">
        <v>2027</v>
      </c>
      <c r="Z543">
        <v>1</v>
      </c>
      <c r="AA543">
        <v>50</v>
      </c>
      <c r="AB543">
        <v>250</v>
      </c>
      <c r="AC543">
        <v>50</v>
      </c>
      <c r="AD543">
        <v>250</v>
      </c>
      <c r="AE543">
        <v>0</v>
      </c>
      <c r="AF543">
        <v>0</v>
      </c>
      <c r="AG543">
        <v>50</v>
      </c>
      <c r="AH543">
        <v>250</v>
      </c>
      <c r="AI543">
        <v>1</v>
      </c>
      <c r="AJ543">
        <v>2.4329999999999998</v>
      </c>
      <c r="AK543">
        <v>2028</v>
      </c>
      <c r="AL543" s="61">
        <v>2.4220000000000002</v>
      </c>
      <c r="AM543" s="61">
        <v>2.4329999999999998</v>
      </c>
      <c r="AN543" s="61">
        <v>2.4220000000000002</v>
      </c>
      <c r="AO543">
        <v>1</v>
      </c>
      <c r="AP543">
        <v>1.0242242189602202</v>
      </c>
      <c r="AQ543">
        <v>1.0242242189602202</v>
      </c>
      <c r="AR543" t="b">
        <v>0</v>
      </c>
      <c r="AS543">
        <v>48.817435747379008</v>
      </c>
      <c r="AT543">
        <v>244.08717873689505</v>
      </c>
      <c r="AU543">
        <v>146.45230724213704</v>
      </c>
    </row>
    <row r="544" spans="1:47" x14ac:dyDescent="0.25">
      <c r="A544" t="s">
        <v>341</v>
      </c>
      <c r="B544" t="s">
        <v>484</v>
      </c>
      <c r="C544" t="s">
        <v>319</v>
      </c>
      <c r="D544">
        <v>2026</v>
      </c>
      <c r="E544">
        <v>0</v>
      </c>
      <c r="F544">
        <v>10</v>
      </c>
      <c r="G544">
        <v>0</v>
      </c>
      <c r="H544">
        <v>0</v>
      </c>
      <c r="I544">
        <v>50</v>
      </c>
      <c r="J544">
        <v>250</v>
      </c>
      <c r="K544">
        <v>1</v>
      </c>
      <c r="L544">
        <v>1</v>
      </c>
      <c r="M544">
        <v>41</v>
      </c>
      <c r="N544">
        <v>0</v>
      </c>
      <c r="O544" t="s">
        <v>27</v>
      </c>
      <c r="P544" t="s">
        <v>443</v>
      </c>
      <c r="Q544">
        <v>2026</v>
      </c>
      <c r="R544">
        <v>2036</v>
      </c>
      <c r="S544" t="s">
        <v>444</v>
      </c>
      <c r="T544">
        <v>2028</v>
      </c>
      <c r="U544">
        <v>35.75</v>
      </c>
      <c r="V544">
        <v>1</v>
      </c>
      <c r="W544">
        <v>2028</v>
      </c>
      <c r="X544">
        <v>2</v>
      </c>
      <c r="Y544">
        <v>2028</v>
      </c>
      <c r="Z544">
        <v>1</v>
      </c>
      <c r="AA544">
        <v>50</v>
      </c>
      <c r="AB544">
        <v>250</v>
      </c>
      <c r="AC544">
        <v>50</v>
      </c>
      <c r="AD544">
        <v>250</v>
      </c>
      <c r="AE544">
        <v>0</v>
      </c>
      <c r="AF544">
        <v>0</v>
      </c>
      <c r="AG544">
        <v>50</v>
      </c>
      <c r="AH544">
        <v>250</v>
      </c>
      <c r="AI544">
        <v>1</v>
      </c>
      <c r="AJ544">
        <v>2.4220000000000002</v>
      </c>
      <c r="AK544">
        <v>2029</v>
      </c>
      <c r="AL544" s="61">
        <v>2.4209999999999998</v>
      </c>
      <c r="AM544" s="61">
        <v>2.4220000000000002</v>
      </c>
      <c r="AN544" s="61">
        <v>2.4209999999999998</v>
      </c>
      <c r="AO544">
        <v>1.0242199999999999</v>
      </c>
      <c r="AP544">
        <v>1.0242103835598433</v>
      </c>
      <c r="AQ544">
        <v>1.0490167590496626</v>
      </c>
      <c r="AR544" t="b">
        <v>0</v>
      </c>
      <c r="AS544">
        <v>47.66368084080618</v>
      </c>
      <c r="AT544">
        <v>238.31840420403091</v>
      </c>
      <c r="AU544">
        <v>142.99104252241855</v>
      </c>
    </row>
    <row r="545" spans="1:47" x14ac:dyDescent="0.25">
      <c r="A545" t="s">
        <v>341</v>
      </c>
      <c r="B545" t="s">
        <v>484</v>
      </c>
      <c r="C545" t="s">
        <v>319</v>
      </c>
      <c r="D545">
        <v>2026</v>
      </c>
      <c r="E545">
        <v>0</v>
      </c>
      <c r="F545">
        <v>10</v>
      </c>
      <c r="G545">
        <v>0</v>
      </c>
      <c r="H545">
        <v>0</v>
      </c>
      <c r="I545">
        <v>50</v>
      </c>
      <c r="J545">
        <v>250</v>
      </c>
      <c r="K545">
        <v>1</v>
      </c>
      <c r="L545">
        <v>1</v>
      </c>
      <c r="M545">
        <v>41</v>
      </c>
      <c r="N545">
        <v>0</v>
      </c>
      <c r="O545" t="s">
        <v>27</v>
      </c>
      <c r="P545" t="s">
        <v>443</v>
      </c>
      <c r="Q545">
        <v>2026</v>
      </c>
      <c r="R545">
        <v>2036</v>
      </c>
      <c r="S545" t="s">
        <v>444</v>
      </c>
      <c r="T545">
        <v>2029</v>
      </c>
      <c r="U545">
        <v>36.75</v>
      </c>
      <c r="V545">
        <v>1</v>
      </c>
      <c r="W545">
        <v>2029</v>
      </c>
      <c r="X545">
        <v>3</v>
      </c>
      <c r="Y545">
        <v>2029</v>
      </c>
      <c r="Z545">
        <v>1</v>
      </c>
      <c r="AA545">
        <v>50</v>
      </c>
      <c r="AB545">
        <v>250</v>
      </c>
      <c r="AC545">
        <v>50</v>
      </c>
      <c r="AD545">
        <v>250</v>
      </c>
      <c r="AE545">
        <v>0</v>
      </c>
      <c r="AF545">
        <v>0</v>
      </c>
      <c r="AG545">
        <v>50</v>
      </c>
      <c r="AH545">
        <v>250</v>
      </c>
      <c r="AI545">
        <v>1</v>
      </c>
      <c r="AJ545">
        <v>2.4209999999999998</v>
      </c>
      <c r="AK545">
        <v>2030</v>
      </c>
      <c r="AL545" s="61">
        <v>2.4670000000000001</v>
      </c>
      <c r="AM545" s="61">
        <v>2.4209999999999998</v>
      </c>
      <c r="AN545" s="61">
        <v>2.4670000000000001</v>
      </c>
      <c r="AO545">
        <v>1.0490061241000002</v>
      </c>
      <c r="AP545">
        <v>1.0246523523547908</v>
      </c>
      <c r="AQ545">
        <v>1.0748665926936467</v>
      </c>
      <c r="AR545" t="b">
        <v>0</v>
      </c>
      <c r="AS545">
        <v>46.517400708025129</v>
      </c>
      <c r="AT545">
        <v>232.58700354012564</v>
      </c>
      <c r="AU545">
        <v>139.55220212407539</v>
      </c>
    </row>
    <row r="546" spans="1:47" x14ac:dyDescent="0.25">
      <c r="A546" t="s">
        <v>341</v>
      </c>
      <c r="B546" t="s">
        <v>484</v>
      </c>
      <c r="C546" t="s">
        <v>319</v>
      </c>
      <c r="D546">
        <v>2026</v>
      </c>
      <c r="E546">
        <v>0</v>
      </c>
      <c r="F546">
        <v>10</v>
      </c>
      <c r="G546">
        <v>0</v>
      </c>
      <c r="H546">
        <v>0</v>
      </c>
      <c r="I546">
        <v>50</v>
      </c>
      <c r="J546">
        <v>250</v>
      </c>
      <c r="K546">
        <v>1</v>
      </c>
      <c r="L546">
        <v>1</v>
      </c>
      <c r="M546">
        <v>41</v>
      </c>
      <c r="N546">
        <v>0</v>
      </c>
      <c r="O546" t="s">
        <v>27</v>
      </c>
      <c r="P546" t="s">
        <v>443</v>
      </c>
      <c r="Q546">
        <v>2026</v>
      </c>
      <c r="R546">
        <v>2036</v>
      </c>
      <c r="S546" t="s">
        <v>444</v>
      </c>
      <c r="T546">
        <v>2030</v>
      </c>
      <c r="U546">
        <v>37.75</v>
      </c>
      <c r="V546">
        <v>1</v>
      </c>
      <c r="W546">
        <v>2030</v>
      </c>
      <c r="X546">
        <v>4</v>
      </c>
      <c r="Y546">
        <v>2030</v>
      </c>
      <c r="Z546">
        <v>1</v>
      </c>
      <c r="AA546">
        <v>50</v>
      </c>
      <c r="AB546">
        <v>250</v>
      </c>
      <c r="AC546">
        <v>50</v>
      </c>
      <c r="AD546">
        <v>250</v>
      </c>
      <c r="AE546">
        <v>0</v>
      </c>
      <c r="AF546">
        <v>0</v>
      </c>
      <c r="AG546">
        <v>50</v>
      </c>
      <c r="AH546">
        <v>250</v>
      </c>
      <c r="AI546">
        <v>1</v>
      </c>
      <c r="AJ546">
        <v>2.4670000000000001</v>
      </c>
      <c r="AK546">
        <v>2031</v>
      </c>
      <c r="AL546" s="61">
        <v>2.5169999999999999</v>
      </c>
      <c r="AM546" s="61">
        <v>2.4670000000000001</v>
      </c>
      <c r="AN546" s="61">
        <v>2.5169999999999999</v>
      </c>
      <c r="AO546">
        <v>1.0758508410815628</v>
      </c>
      <c r="AP546">
        <v>1.0251508174189523</v>
      </c>
      <c r="AQ546">
        <v>1.1029093691556315</v>
      </c>
      <c r="AR546" t="b">
        <v>0</v>
      </c>
      <c r="AS546">
        <v>45.334640722364284</v>
      </c>
      <c r="AT546">
        <v>226.67320361182144</v>
      </c>
      <c r="AU546">
        <v>136.00392216709287</v>
      </c>
    </row>
    <row r="547" spans="1:47" x14ac:dyDescent="0.25">
      <c r="A547" t="s">
        <v>341</v>
      </c>
      <c r="B547" t="s">
        <v>484</v>
      </c>
      <c r="C547" t="s">
        <v>319</v>
      </c>
      <c r="D547">
        <v>2026</v>
      </c>
      <c r="E547">
        <v>0</v>
      </c>
      <c r="F547">
        <v>10</v>
      </c>
      <c r="G547">
        <v>0</v>
      </c>
      <c r="H547">
        <v>0</v>
      </c>
      <c r="I547">
        <v>50</v>
      </c>
      <c r="J547">
        <v>250</v>
      </c>
      <c r="K547">
        <v>1</v>
      </c>
      <c r="L547">
        <v>1</v>
      </c>
      <c r="M547">
        <v>41</v>
      </c>
      <c r="N547">
        <v>0</v>
      </c>
      <c r="O547" t="s">
        <v>27</v>
      </c>
      <c r="P547" t="s">
        <v>443</v>
      </c>
      <c r="Q547">
        <v>2026</v>
      </c>
      <c r="R547">
        <v>2036</v>
      </c>
      <c r="S547" t="s">
        <v>444</v>
      </c>
      <c r="T547">
        <v>2031</v>
      </c>
      <c r="U547">
        <v>38.75</v>
      </c>
      <c r="V547">
        <v>1</v>
      </c>
      <c r="W547">
        <v>2031</v>
      </c>
      <c r="X547">
        <v>5</v>
      </c>
      <c r="Y547">
        <v>2031</v>
      </c>
      <c r="Z547">
        <v>1</v>
      </c>
      <c r="AA547">
        <v>50</v>
      </c>
      <c r="AB547">
        <v>250</v>
      </c>
      <c r="AC547">
        <v>50</v>
      </c>
      <c r="AD547">
        <v>250</v>
      </c>
      <c r="AE547">
        <v>0</v>
      </c>
      <c r="AF547">
        <v>0</v>
      </c>
      <c r="AG547">
        <v>50</v>
      </c>
      <c r="AH547">
        <v>250</v>
      </c>
      <c r="AI547">
        <v>1</v>
      </c>
      <c r="AJ547">
        <v>2.5169999999999999</v>
      </c>
      <c r="AK547">
        <v>2032</v>
      </c>
      <c r="AL547" s="61">
        <v>2.59</v>
      </c>
      <c r="AM547" s="61">
        <v>2.5169999999999999</v>
      </c>
      <c r="AN547" s="61">
        <v>2.59</v>
      </c>
      <c r="AO547">
        <v>1.1045453584485188</v>
      </c>
      <c r="AP547">
        <v>1.0258719904156592</v>
      </c>
      <c r="AQ547">
        <v>1.1331221453759597</v>
      </c>
      <c r="AR547" t="b">
        <v>0</v>
      </c>
      <c r="AS547">
        <v>44.125869575526167</v>
      </c>
      <c r="AT547">
        <v>220.62934787763083</v>
      </c>
      <c r="AU547">
        <v>132.3776087265785</v>
      </c>
    </row>
    <row r="548" spans="1:47" x14ac:dyDescent="0.25">
      <c r="A548" t="s">
        <v>341</v>
      </c>
      <c r="B548" t="s">
        <v>484</v>
      </c>
      <c r="C548" t="s">
        <v>319</v>
      </c>
      <c r="D548">
        <v>2026</v>
      </c>
      <c r="E548">
        <v>0</v>
      </c>
      <c r="F548">
        <v>10</v>
      </c>
      <c r="G548">
        <v>0</v>
      </c>
      <c r="H548">
        <v>0</v>
      </c>
      <c r="I548">
        <v>50</v>
      </c>
      <c r="J548">
        <v>250</v>
      </c>
      <c r="K548">
        <v>1</v>
      </c>
      <c r="L548">
        <v>1</v>
      </c>
      <c r="M548">
        <v>41</v>
      </c>
      <c r="N548">
        <v>0</v>
      </c>
      <c r="O548" t="s">
        <v>27</v>
      </c>
      <c r="P548" t="s">
        <v>443</v>
      </c>
      <c r="Q548">
        <v>2026</v>
      </c>
      <c r="R548">
        <v>2036</v>
      </c>
      <c r="S548" t="s">
        <v>444</v>
      </c>
      <c r="T548">
        <v>2032</v>
      </c>
      <c r="U548">
        <v>39.75</v>
      </c>
      <c r="V548">
        <v>1</v>
      </c>
      <c r="W548">
        <v>2032</v>
      </c>
      <c r="X548">
        <v>6</v>
      </c>
      <c r="Y548">
        <v>2032</v>
      </c>
      <c r="Z548">
        <v>1</v>
      </c>
      <c r="AA548">
        <v>50</v>
      </c>
      <c r="AB548">
        <v>250</v>
      </c>
      <c r="AC548">
        <v>50</v>
      </c>
      <c r="AD548">
        <v>250</v>
      </c>
      <c r="AE548">
        <v>0</v>
      </c>
      <c r="AF548">
        <v>0</v>
      </c>
      <c r="AG548">
        <v>50</v>
      </c>
      <c r="AH548">
        <v>250</v>
      </c>
      <c r="AI548">
        <v>1</v>
      </c>
      <c r="AJ548">
        <v>2.59</v>
      </c>
      <c r="AK548">
        <v>2033</v>
      </c>
      <c r="AL548" s="61">
        <v>2.6880000000000002</v>
      </c>
      <c r="AM548" s="61">
        <v>2.59</v>
      </c>
      <c r="AN548" s="61">
        <v>2.6880000000000002</v>
      </c>
      <c r="AO548">
        <v>1.1363841013749196</v>
      </c>
      <c r="AP548">
        <v>1.0268423936996114</v>
      </c>
      <c r="AQ548">
        <v>1.1668873708180043</v>
      </c>
      <c r="AR548" t="b">
        <v>0</v>
      </c>
      <c r="AS548">
        <v>42.849036891151975</v>
      </c>
      <c r="AT548">
        <v>214.24518445575987</v>
      </c>
      <c r="AU548">
        <v>128.54711067345593</v>
      </c>
    </row>
    <row r="549" spans="1:47" x14ac:dyDescent="0.25">
      <c r="A549" t="s">
        <v>341</v>
      </c>
      <c r="B549" t="s">
        <v>484</v>
      </c>
      <c r="C549" t="s">
        <v>319</v>
      </c>
      <c r="D549">
        <v>2026</v>
      </c>
      <c r="E549">
        <v>0</v>
      </c>
      <c r="F549">
        <v>10</v>
      </c>
      <c r="G549">
        <v>0</v>
      </c>
      <c r="H549">
        <v>0</v>
      </c>
      <c r="I549">
        <v>50</v>
      </c>
      <c r="J549">
        <v>250</v>
      </c>
      <c r="K549">
        <v>1</v>
      </c>
      <c r="L549">
        <v>1</v>
      </c>
      <c r="M549">
        <v>41</v>
      </c>
      <c r="N549">
        <v>0</v>
      </c>
      <c r="O549" t="s">
        <v>27</v>
      </c>
      <c r="P549" t="s">
        <v>443</v>
      </c>
      <c r="Q549">
        <v>2026</v>
      </c>
      <c r="R549">
        <v>2036</v>
      </c>
      <c r="S549" t="s">
        <v>444</v>
      </c>
      <c r="T549">
        <v>2033</v>
      </c>
      <c r="U549">
        <v>40.75</v>
      </c>
      <c r="V549">
        <v>1</v>
      </c>
      <c r="W549">
        <v>2033</v>
      </c>
      <c r="X549">
        <v>7</v>
      </c>
      <c r="Y549">
        <v>2033</v>
      </c>
      <c r="Z549">
        <v>1</v>
      </c>
      <c r="AA549">
        <v>50</v>
      </c>
      <c r="AB549">
        <v>250</v>
      </c>
      <c r="AC549">
        <v>50</v>
      </c>
      <c r="AD549">
        <v>250</v>
      </c>
      <c r="AE549">
        <v>0</v>
      </c>
      <c r="AF549">
        <v>0</v>
      </c>
      <c r="AG549">
        <v>50</v>
      </c>
      <c r="AH549">
        <v>250</v>
      </c>
      <c r="AI549">
        <v>1</v>
      </c>
      <c r="AJ549">
        <v>2.6880000000000002</v>
      </c>
      <c r="AK549">
        <v>2034</v>
      </c>
      <c r="AL549" s="61">
        <v>2.7519999999999998</v>
      </c>
      <c r="AM549" s="61">
        <v>2.6880000000000002</v>
      </c>
      <c r="AN549" s="61">
        <v>2.7519999999999998</v>
      </c>
      <c r="AO549">
        <v>1.1725143659072164</v>
      </c>
      <c r="AP549">
        <v>1.0274954447000768</v>
      </c>
      <c r="AQ549">
        <v>1.2047531698150638</v>
      </c>
      <c r="AR549" t="b">
        <v>0</v>
      </c>
      <c r="AS549">
        <v>41.502277190667428</v>
      </c>
      <c r="AT549">
        <v>207.51138595333714</v>
      </c>
      <c r="AU549">
        <v>124.50683157200228</v>
      </c>
    </row>
    <row r="550" spans="1:47" x14ac:dyDescent="0.25">
      <c r="A550" t="s">
        <v>341</v>
      </c>
      <c r="B550" t="s">
        <v>484</v>
      </c>
      <c r="C550" t="s">
        <v>319</v>
      </c>
      <c r="D550">
        <v>2026</v>
      </c>
      <c r="E550">
        <v>0</v>
      </c>
      <c r="F550">
        <v>10</v>
      </c>
      <c r="G550">
        <v>0</v>
      </c>
      <c r="H550">
        <v>0</v>
      </c>
      <c r="I550">
        <v>50</v>
      </c>
      <c r="J550">
        <v>250</v>
      </c>
      <c r="K550">
        <v>1</v>
      </c>
      <c r="L550">
        <v>1</v>
      </c>
      <c r="M550">
        <v>41</v>
      </c>
      <c r="N550">
        <v>0</v>
      </c>
      <c r="O550" t="s">
        <v>27</v>
      </c>
      <c r="P550" t="s">
        <v>443</v>
      </c>
      <c r="Q550">
        <v>2026</v>
      </c>
      <c r="R550">
        <v>2036</v>
      </c>
      <c r="S550" t="s">
        <v>444</v>
      </c>
      <c r="T550">
        <v>2034</v>
      </c>
      <c r="U550">
        <v>41.75</v>
      </c>
      <c r="V550">
        <v>1</v>
      </c>
      <c r="W550">
        <v>2034</v>
      </c>
      <c r="X550">
        <v>8</v>
      </c>
      <c r="Y550">
        <v>2034</v>
      </c>
      <c r="Z550">
        <v>1</v>
      </c>
      <c r="AA550">
        <v>50</v>
      </c>
      <c r="AB550">
        <v>250</v>
      </c>
      <c r="AC550">
        <v>50</v>
      </c>
      <c r="AD550">
        <v>250</v>
      </c>
      <c r="AE550">
        <v>0</v>
      </c>
      <c r="AF550">
        <v>0</v>
      </c>
      <c r="AG550">
        <v>50</v>
      </c>
      <c r="AH550">
        <v>250</v>
      </c>
      <c r="AI550">
        <v>1</v>
      </c>
      <c r="AJ550">
        <v>2.7519999999999998</v>
      </c>
      <c r="AK550">
        <v>2035</v>
      </c>
      <c r="AL550" s="61">
        <v>2.8420000000000001</v>
      </c>
      <c r="AM550" s="61">
        <v>2.7519999999999998</v>
      </c>
      <c r="AN550" s="61">
        <v>2.8420000000000001</v>
      </c>
      <c r="AO550">
        <v>1.2092942481281721</v>
      </c>
      <c r="AP550">
        <v>1.0283854649181425</v>
      </c>
      <c r="AQ550">
        <v>1.2436206275841259</v>
      </c>
      <c r="AR550" t="b">
        <v>0</v>
      </c>
      <c r="AS550">
        <v>40.205187089193487</v>
      </c>
      <c r="AT550">
        <v>201.02593544596743</v>
      </c>
      <c r="AU550">
        <v>120.61556126758046</v>
      </c>
    </row>
    <row r="551" spans="1:47" x14ac:dyDescent="0.25">
      <c r="A551" t="s">
        <v>341</v>
      </c>
      <c r="B551" t="s">
        <v>484</v>
      </c>
      <c r="C551" t="s">
        <v>319</v>
      </c>
      <c r="D551">
        <v>2026</v>
      </c>
      <c r="E551">
        <v>0</v>
      </c>
      <c r="F551">
        <v>10</v>
      </c>
      <c r="G551">
        <v>0</v>
      </c>
      <c r="H551">
        <v>0</v>
      </c>
      <c r="I551">
        <v>50</v>
      </c>
      <c r="J551">
        <v>250</v>
      </c>
      <c r="K551">
        <v>1</v>
      </c>
      <c r="L551">
        <v>1</v>
      </c>
      <c r="M551">
        <v>41</v>
      </c>
      <c r="N551">
        <v>0</v>
      </c>
      <c r="O551" t="s">
        <v>27</v>
      </c>
      <c r="P551" t="s">
        <v>443</v>
      </c>
      <c r="Q551">
        <v>2026</v>
      </c>
      <c r="R551">
        <v>2036</v>
      </c>
      <c r="S551" t="s">
        <v>444</v>
      </c>
      <c r="T551">
        <v>2035</v>
      </c>
      <c r="U551">
        <v>42.75</v>
      </c>
      <c r="V551">
        <v>1</v>
      </c>
      <c r="W551">
        <v>2035</v>
      </c>
      <c r="X551">
        <v>9</v>
      </c>
      <c r="Y551">
        <v>2035</v>
      </c>
      <c r="Z551">
        <v>1</v>
      </c>
      <c r="AA551">
        <v>50</v>
      </c>
      <c r="AB551">
        <v>250</v>
      </c>
      <c r="AC551">
        <v>50</v>
      </c>
      <c r="AD551">
        <v>250</v>
      </c>
      <c r="AE551">
        <v>0</v>
      </c>
      <c r="AF551">
        <v>0</v>
      </c>
      <c r="AG551">
        <v>50</v>
      </c>
      <c r="AH551">
        <v>250</v>
      </c>
      <c r="AI551">
        <v>1</v>
      </c>
      <c r="AJ551">
        <v>2.8420000000000001</v>
      </c>
      <c r="AK551">
        <v>2036</v>
      </c>
      <c r="AL551" s="61">
        <v>2.944</v>
      </c>
      <c r="AM551" s="61">
        <v>2.8420000000000001</v>
      </c>
      <c r="AN551" s="61">
        <v>2.944</v>
      </c>
      <c r="AO551">
        <v>1.2513076834571593</v>
      </c>
      <c r="AP551">
        <v>1.0294008580614105</v>
      </c>
      <c r="AQ551">
        <v>1.2880972030496356</v>
      </c>
      <c r="AR551" t="b">
        <v>0</v>
      </c>
      <c r="AS551">
        <v>38.816946331086243</v>
      </c>
      <c r="AT551">
        <v>194.0847316554312</v>
      </c>
      <c r="AU551">
        <v>116.45083899325871</v>
      </c>
    </row>
    <row r="552" spans="1:47" x14ac:dyDescent="0.25">
      <c r="A552" t="s">
        <v>341</v>
      </c>
      <c r="B552" t="s">
        <v>484</v>
      </c>
      <c r="C552" t="s">
        <v>319</v>
      </c>
      <c r="D552">
        <v>2026</v>
      </c>
      <c r="E552">
        <v>0</v>
      </c>
      <c r="M552">
        <v>41</v>
      </c>
      <c r="Q552">
        <v>2026</v>
      </c>
      <c r="R552">
        <v>2036</v>
      </c>
      <c r="T552">
        <v>2036</v>
      </c>
      <c r="U552">
        <v>43.75</v>
      </c>
      <c r="W552">
        <v>2036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L552" s="61"/>
      <c r="AS552">
        <v>0</v>
      </c>
      <c r="AT552">
        <v>0</v>
      </c>
      <c r="AU552">
        <v>0</v>
      </c>
    </row>
    <row r="553" spans="1:47" x14ac:dyDescent="0.25">
      <c r="A553" t="s">
        <v>368</v>
      </c>
      <c r="B553" t="s">
        <v>485</v>
      </c>
      <c r="C553" t="s">
        <v>320</v>
      </c>
      <c r="D553">
        <v>2026</v>
      </c>
      <c r="E553">
        <v>0</v>
      </c>
      <c r="F553">
        <v>15</v>
      </c>
      <c r="G553">
        <v>0</v>
      </c>
      <c r="H553">
        <v>0</v>
      </c>
      <c r="I553">
        <v>30</v>
      </c>
      <c r="J553">
        <v>45</v>
      </c>
      <c r="K553">
        <v>4</v>
      </c>
      <c r="L553">
        <v>2</v>
      </c>
      <c r="M553">
        <v>42</v>
      </c>
      <c r="N553">
        <v>0</v>
      </c>
      <c r="O553" t="s">
        <v>27</v>
      </c>
      <c r="P553" t="s">
        <v>443</v>
      </c>
      <c r="Q553">
        <v>2026</v>
      </c>
      <c r="R553">
        <v>2041</v>
      </c>
      <c r="S553" t="s">
        <v>444</v>
      </c>
      <c r="T553">
        <v>2026</v>
      </c>
      <c r="U553">
        <v>33.75</v>
      </c>
      <c r="V553">
        <v>1</v>
      </c>
      <c r="W553">
        <v>2026</v>
      </c>
      <c r="X553">
        <v>0</v>
      </c>
      <c r="Y553">
        <v>2026</v>
      </c>
      <c r="Z553">
        <v>1</v>
      </c>
      <c r="AA553">
        <v>120</v>
      </c>
      <c r="AB553">
        <v>180</v>
      </c>
      <c r="AC553">
        <v>120</v>
      </c>
      <c r="AD553">
        <v>180</v>
      </c>
      <c r="AE553">
        <v>0</v>
      </c>
      <c r="AF553">
        <v>0</v>
      </c>
      <c r="AG553">
        <v>120</v>
      </c>
      <c r="AH553">
        <v>180</v>
      </c>
      <c r="AI553">
        <v>1</v>
      </c>
      <c r="AK553">
        <v>2027</v>
      </c>
      <c r="AL553" s="61">
        <v>2.4329999999999998</v>
      </c>
      <c r="AM553" s="61">
        <v>0</v>
      </c>
      <c r="AN553" s="61">
        <v>2.4329999999999998</v>
      </c>
      <c r="AO553">
        <v>1</v>
      </c>
      <c r="AP553">
        <v>1.023385968321771</v>
      </c>
      <c r="AQ553">
        <v>1.023385968321771</v>
      </c>
      <c r="AR553" t="b">
        <v>1</v>
      </c>
      <c r="AS553">
        <v>120</v>
      </c>
      <c r="AT553">
        <v>180</v>
      </c>
      <c r="AU553">
        <v>150</v>
      </c>
    </row>
    <row r="554" spans="1:47" x14ac:dyDescent="0.25">
      <c r="A554" t="s">
        <v>368</v>
      </c>
      <c r="B554" t="s">
        <v>485</v>
      </c>
      <c r="C554" t="s">
        <v>320</v>
      </c>
      <c r="D554">
        <v>2026</v>
      </c>
      <c r="E554">
        <v>0</v>
      </c>
      <c r="F554">
        <v>15</v>
      </c>
      <c r="G554">
        <v>0</v>
      </c>
      <c r="H554">
        <v>0</v>
      </c>
      <c r="I554">
        <v>30</v>
      </c>
      <c r="J554">
        <v>45</v>
      </c>
      <c r="K554">
        <v>4</v>
      </c>
      <c r="L554">
        <v>2</v>
      </c>
      <c r="M554">
        <v>42</v>
      </c>
      <c r="N554">
        <v>0</v>
      </c>
      <c r="O554" t="s">
        <v>27</v>
      </c>
      <c r="P554" t="s">
        <v>443</v>
      </c>
      <c r="Q554">
        <v>2026</v>
      </c>
      <c r="R554">
        <v>2041</v>
      </c>
      <c r="S554" t="s">
        <v>444</v>
      </c>
      <c r="T554">
        <v>2027</v>
      </c>
      <c r="U554">
        <v>34.75</v>
      </c>
      <c r="V554">
        <v>1</v>
      </c>
      <c r="W554">
        <v>2027</v>
      </c>
      <c r="X554">
        <v>1</v>
      </c>
      <c r="Y554">
        <v>2027</v>
      </c>
      <c r="Z554">
        <v>1</v>
      </c>
      <c r="AA554">
        <v>120</v>
      </c>
      <c r="AB554">
        <v>180</v>
      </c>
      <c r="AC554">
        <v>120</v>
      </c>
      <c r="AD554">
        <v>180</v>
      </c>
      <c r="AE554">
        <v>0</v>
      </c>
      <c r="AF554">
        <v>0</v>
      </c>
      <c r="AG554">
        <v>120</v>
      </c>
      <c r="AH554">
        <v>180</v>
      </c>
      <c r="AI554">
        <v>1</v>
      </c>
      <c r="AJ554">
        <v>2.4329999999999998</v>
      </c>
      <c r="AK554">
        <v>2028</v>
      </c>
      <c r="AL554" s="61">
        <v>2.4220000000000002</v>
      </c>
      <c r="AM554" s="61">
        <v>2.4329999999999998</v>
      </c>
      <c r="AN554" s="61">
        <v>2.4220000000000002</v>
      </c>
      <c r="AO554">
        <v>1</v>
      </c>
      <c r="AP554">
        <v>1.0242242189602202</v>
      </c>
      <c r="AQ554">
        <v>1.0242242189602202</v>
      </c>
      <c r="AR554" t="b">
        <v>0</v>
      </c>
      <c r="AS554">
        <v>117.16184579370963</v>
      </c>
      <c r="AT554">
        <v>175.74276869056445</v>
      </c>
      <c r="AU554">
        <v>146.45230724213704</v>
      </c>
    </row>
    <row r="555" spans="1:47" x14ac:dyDescent="0.25">
      <c r="A555" t="s">
        <v>368</v>
      </c>
      <c r="B555" t="s">
        <v>485</v>
      </c>
      <c r="C555" t="s">
        <v>320</v>
      </c>
      <c r="D555">
        <v>2026</v>
      </c>
      <c r="E555">
        <v>0</v>
      </c>
      <c r="F555">
        <v>15</v>
      </c>
      <c r="G555">
        <v>0</v>
      </c>
      <c r="H555">
        <v>0</v>
      </c>
      <c r="I555">
        <v>30</v>
      </c>
      <c r="J555">
        <v>45</v>
      </c>
      <c r="K555">
        <v>4</v>
      </c>
      <c r="L555">
        <v>2</v>
      </c>
      <c r="M555">
        <v>42</v>
      </c>
      <c r="N555">
        <v>0</v>
      </c>
      <c r="O555" t="s">
        <v>27</v>
      </c>
      <c r="P555" t="s">
        <v>443</v>
      </c>
      <c r="Q555">
        <v>2026</v>
      </c>
      <c r="R555">
        <v>2041</v>
      </c>
      <c r="S555" t="s">
        <v>444</v>
      </c>
      <c r="T555">
        <v>2028</v>
      </c>
      <c r="U555">
        <v>35.75</v>
      </c>
      <c r="V555">
        <v>1</v>
      </c>
      <c r="W555">
        <v>2028</v>
      </c>
      <c r="X555">
        <v>2</v>
      </c>
      <c r="Y555">
        <v>2028</v>
      </c>
      <c r="Z555">
        <v>1</v>
      </c>
      <c r="AA555">
        <v>120</v>
      </c>
      <c r="AB555">
        <v>180</v>
      </c>
      <c r="AC555">
        <v>120</v>
      </c>
      <c r="AD555">
        <v>180</v>
      </c>
      <c r="AE555">
        <v>0</v>
      </c>
      <c r="AF555">
        <v>0</v>
      </c>
      <c r="AG555">
        <v>120</v>
      </c>
      <c r="AH555">
        <v>180</v>
      </c>
      <c r="AI555">
        <v>1</v>
      </c>
      <c r="AJ555">
        <v>2.4220000000000002</v>
      </c>
      <c r="AK555">
        <v>2029</v>
      </c>
      <c r="AL555" s="61">
        <v>2.4209999999999998</v>
      </c>
      <c r="AM555" s="61">
        <v>2.4220000000000002</v>
      </c>
      <c r="AN555" s="61">
        <v>2.4209999999999998</v>
      </c>
      <c r="AO555">
        <v>1.0242199999999999</v>
      </c>
      <c r="AP555">
        <v>1.0242103835598433</v>
      </c>
      <c r="AQ555">
        <v>1.0490167590496626</v>
      </c>
      <c r="AR555" t="b">
        <v>0</v>
      </c>
      <c r="AS555">
        <v>114.39283401793483</v>
      </c>
      <c r="AT555">
        <v>171.58925102690225</v>
      </c>
      <c r="AU555">
        <v>142.99104252241852</v>
      </c>
    </row>
    <row r="556" spans="1:47" x14ac:dyDescent="0.25">
      <c r="A556" t="s">
        <v>368</v>
      </c>
      <c r="B556" t="s">
        <v>485</v>
      </c>
      <c r="C556" t="s">
        <v>320</v>
      </c>
      <c r="D556">
        <v>2026</v>
      </c>
      <c r="E556">
        <v>0</v>
      </c>
      <c r="F556">
        <v>15</v>
      </c>
      <c r="G556">
        <v>0</v>
      </c>
      <c r="H556">
        <v>0</v>
      </c>
      <c r="I556">
        <v>30</v>
      </c>
      <c r="J556">
        <v>45</v>
      </c>
      <c r="K556">
        <v>4</v>
      </c>
      <c r="L556">
        <v>2</v>
      </c>
      <c r="M556">
        <v>42</v>
      </c>
      <c r="N556">
        <v>0</v>
      </c>
      <c r="O556" t="s">
        <v>27</v>
      </c>
      <c r="P556" t="s">
        <v>443</v>
      </c>
      <c r="Q556">
        <v>2026</v>
      </c>
      <c r="R556">
        <v>2041</v>
      </c>
      <c r="S556" t="s">
        <v>444</v>
      </c>
      <c r="T556">
        <v>2029</v>
      </c>
      <c r="U556">
        <v>36.75</v>
      </c>
      <c r="V556">
        <v>1</v>
      </c>
      <c r="W556">
        <v>2029</v>
      </c>
      <c r="X556">
        <v>3</v>
      </c>
      <c r="Y556">
        <v>2029</v>
      </c>
      <c r="Z556">
        <v>1</v>
      </c>
      <c r="AA556">
        <v>120</v>
      </c>
      <c r="AB556">
        <v>180</v>
      </c>
      <c r="AC556">
        <v>120</v>
      </c>
      <c r="AD556">
        <v>180</v>
      </c>
      <c r="AE556">
        <v>0</v>
      </c>
      <c r="AF556">
        <v>0</v>
      </c>
      <c r="AG556">
        <v>120</v>
      </c>
      <c r="AH556">
        <v>180</v>
      </c>
      <c r="AI556">
        <v>1</v>
      </c>
      <c r="AJ556">
        <v>2.4209999999999998</v>
      </c>
      <c r="AK556">
        <v>2030</v>
      </c>
      <c r="AL556" s="61">
        <v>2.4670000000000001</v>
      </c>
      <c r="AM556" s="61">
        <v>2.4209999999999998</v>
      </c>
      <c r="AN556" s="61">
        <v>2.4670000000000001</v>
      </c>
      <c r="AO556">
        <v>1.0490061241000002</v>
      </c>
      <c r="AP556">
        <v>1.0246523523547908</v>
      </c>
      <c r="AQ556">
        <v>1.0748665926936467</v>
      </c>
      <c r="AR556" t="b">
        <v>0</v>
      </c>
      <c r="AS556">
        <v>111.64176169926031</v>
      </c>
      <c r="AT556">
        <v>167.46264254889047</v>
      </c>
      <c r="AU556">
        <v>139.55220212407539</v>
      </c>
    </row>
    <row r="557" spans="1:47" x14ac:dyDescent="0.25">
      <c r="A557" t="s">
        <v>368</v>
      </c>
      <c r="B557" t="s">
        <v>485</v>
      </c>
      <c r="C557" t="s">
        <v>320</v>
      </c>
      <c r="D557">
        <v>2026</v>
      </c>
      <c r="E557">
        <v>0</v>
      </c>
      <c r="F557">
        <v>15</v>
      </c>
      <c r="G557">
        <v>0</v>
      </c>
      <c r="H557">
        <v>0</v>
      </c>
      <c r="I557">
        <v>30</v>
      </c>
      <c r="J557">
        <v>45</v>
      </c>
      <c r="K557">
        <v>4</v>
      </c>
      <c r="L557">
        <v>2</v>
      </c>
      <c r="M557">
        <v>42</v>
      </c>
      <c r="N557">
        <v>0</v>
      </c>
      <c r="O557" t="s">
        <v>27</v>
      </c>
      <c r="P557" t="s">
        <v>443</v>
      </c>
      <c r="Q557">
        <v>2026</v>
      </c>
      <c r="R557">
        <v>2041</v>
      </c>
      <c r="S557" t="s">
        <v>444</v>
      </c>
      <c r="T557">
        <v>2030</v>
      </c>
      <c r="U557">
        <v>37.75</v>
      </c>
      <c r="V557">
        <v>1</v>
      </c>
      <c r="W557">
        <v>2030</v>
      </c>
      <c r="X557">
        <v>4</v>
      </c>
      <c r="Y557">
        <v>2030</v>
      </c>
      <c r="Z557">
        <v>1</v>
      </c>
      <c r="AA557">
        <v>120</v>
      </c>
      <c r="AB557">
        <v>180</v>
      </c>
      <c r="AC557">
        <v>120</v>
      </c>
      <c r="AD557">
        <v>180</v>
      </c>
      <c r="AE557">
        <v>0</v>
      </c>
      <c r="AF557">
        <v>0</v>
      </c>
      <c r="AG557">
        <v>120</v>
      </c>
      <c r="AH557">
        <v>180</v>
      </c>
      <c r="AI557">
        <v>1</v>
      </c>
      <c r="AJ557">
        <v>2.4670000000000001</v>
      </c>
      <c r="AK557">
        <v>2031</v>
      </c>
      <c r="AL557" s="61">
        <v>2.5169999999999999</v>
      </c>
      <c r="AM557" s="61">
        <v>2.4670000000000001</v>
      </c>
      <c r="AN557" s="61">
        <v>2.5169999999999999</v>
      </c>
      <c r="AO557">
        <v>1.0758508410815628</v>
      </c>
      <c r="AP557">
        <v>1.0251508174189523</v>
      </c>
      <c r="AQ557">
        <v>1.1029093691556315</v>
      </c>
      <c r="AR557" t="b">
        <v>0</v>
      </c>
      <c r="AS557">
        <v>108.80313773367429</v>
      </c>
      <c r="AT557">
        <v>163.20470660051143</v>
      </c>
      <c r="AU557">
        <v>136.00392216709287</v>
      </c>
    </row>
    <row r="558" spans="1:47" x14ac:dyDescent="0.25">
      <c r="A558" t="s">
        <v>368</v>
      </c>
      <c r="B558" t="s">
        <v>485</v>
      </c>
      <c r="C558" t="s">
        <v>320</v>
      </c>
      <c r="D558">
        <v>2026</v>
      </c>
      <c r="E558">
        <v>0</v>
      </c>
      <c r="F558">
        <v>15</v>
      </c>
      <c r="G558">
        <v>0</v>
      </c>
      <c r="H558">
        <v>0</v>
      </c>
      <c r="I558">
        <v>30</v>
      </c>
      <c r="J558">
        <v>45</v>
      </c>
      <c r="K558">
        <v>4</v>
      </c>
      <c r="L558">
        <v>2</v>
      </c>
      <c r="M558">
        <v>42</v>
      </c>
      <c r="N558">
        <v>0</v>
      </c>
      <c r="O558" t="s">
        <v>27</v>
      </c>
      <c r="P558" t="s">
        <v>443</v>
      </c>
      <c r="Q558">
        <v>2026</v>
      </c>
      <c r="R558">
        <v>2041</v>
      </c>
      <c r="S558" t="s">
        <v>444</v>
      </c>
      <c r="T558">
        <v>2031</v>
      </c>
      <c r="U558">
        <v>38.75</v>
      </c>
      <c r="V558">
        <v>1</v>
      </c>
      <c r="W558">
        <v>2031</v>
      </c>
      <c r="X558">
        <v>5</v>
      </c>
      <c r="Y558">
        <v>2031</v>
      </c>
      <c r="Z558">
        <v>1</v>
      </c>
      <c r="AA558">
        <v>120</v>
      </c>
      <c r="AB558">
        <v>180</v>
      </c>
      <c r="AC558">
        <v>120</v>
      </c>
      <c r="AD558">
        <v>180</v>
      </c>
      <c r="AE558">
        <v>0</v>
      </c>
      <c r="AF558">
        <v>0</v>
      </c>
      <c r="AG558">
        <v>120</v>
      </c>
      <c r="AH558">
        <v>180</v>
      </c>
      <c r="AI558">
        <v>1</v>
      </c>
      <c r="AJ558">
        <v>2.5169999999999999</v>
      </c>
      <c r="AK558">
        <v>2032</v>
      </c>
      <c r="AL558" s="61">
        <v>2.59</v>
      </c>
      <c r="AM558" s="61">
        <v>2.5169999999999999</v>
      </c>
      <c r="AN558" s="61">
        <v>2.59</v>
      </c>
      <c r="AO558">
        <v>1.1045453584485188</v>
      </c>
      <c r="AP558">
        <v>1.0258719904156592</v>
      </c>
      <c r="AQ558">
        <v>1.1331221453759597</v>
      </c>
      <c r="AR558" t="b">
        <v>0</v>
      </c>
      <c r="AS558">
        <v>105.90208698126281</v>
      </c>
      <c r="AT558">
        <v>158.85313047189422</v>
      </c>
      <c r="AU558">
        <v>132.3776087265785</v>
      </c>
    </row>
    <row r="559" spans="1:47" x14ac:dyDescent="0.25">
      <c r="A559" t="s">
        <v>368</v>
      </c>
      <c r="B559" t="s">
        <v>485</v>
      </c>
      <c r="C559" t="s">
        <v>320</v>
      </c>
      <c r="D559">
        <v>2026</v>
      </c>
      <c r="E559">
        <v>0</v>
      </c>
      <c r="F559">
        <v>15</v>
      </c>
      <c r="G559">
        <v>0</v>
      </c>
      <c r="H559">
        <v>0</v>
      </c>
      <c r="I559">
        <v>30</v>
      </c>
      <c r="J559">
        <v>45</v>
      </c>
      <c r="K559">
        <v>4</v>
      </c>
      <c r="L559">
        <v>2</v>
      </c>
      <c r="M559">
        <v>42</v>
      </c>
      <c r="N559">
        <v>0</v>
      </c>
      <c r="O559" t="s">
        <v>27</v>
      </c>
      <c r="P559" t="s">
        <v>443</v>
      </c>
      <c r="Q559">
        <v>2026</v>
      </c>
      <c r="R559">
        <v>2041</v>
      </c>
      <c r="S559" t="s">
        <v>444</v>
      </c>
      <c r="T559">
        <v>2032</v>
      </c>
      <c r="U559">
        <v>39.75</v>
      </c>
      <c r="V559">
        <v>1</v>
      </c>
      <c r="W559">
        <v>2032</v>
      </c>
      <c r="X559">
        <v>6</v>
      </c>
      <c r="Y559">
        <v>2032</v>
      </c>
      <c r="Z559">
        <v>1</v>
      </c>
      <c r="AA559">
        <v>120</v>
      </c>
      <c r="AB559">
        <v>180</v>
      </c>
      <c r="AC559">
        <v>120</v>
      </c>
      <c r="AD559">
        <v>180</v>
      </c>
      <c r="AE559">
        <v>0</v>
      </c>
      <c r="AF559">
        <v>0</v>
      </c>
      <c r="AG559">
        <v>120</v>
      </c>
      <c r="AH559">
        <v>180</v>
      </c>
      <c r="AI559">
        <v>1</v>
      </c>
      <c r="AJ559">
        <v>2.59</v>
      </c>
      <c r="AK559">
        <v>2033</v>
      </c>
      <c r="AL559" s="61">
        <v>2.6880000000000002</v>
      </c>
      <c r="AM559" s="61">
        <v>2.59</v>
      </c>
      <c r="AN559" s="61">
        <v>2.6880000000000002</v>
      </c>
      <c r="AO559">
        <v>1.1363841013749196</v>
      </c>
      <c r="AP559">
        <v>1.0268423936996114</v>
      </c>
      <c r="AQ559">
        <v>1.1668873708180043</v>
      </c>
      <c r="AR559" t="b">
        <v>0</v>
      </c>
      <c r="AS559">
        <v>102.83768853876474</v>
      </c>
      <c r="AT559">
        <v>154.25653280814711</v>
      </c>
      <c r="AU559">
        <v>128.54711067345593</v>
      </c>
    </row>
    <row r="560" spans="1:47" x14ac:dyDescent="0.25">
      <c r="A560" t="s">
        <v>368</v>
      </c>
      <c r="B560" t="s">
        <v>485</v>
      </c>
      <c r="C560" t="s">
        <v>320</v>
      </c>
      <c r="D560">
        <v>2026</v>
      </c>
      <c r="E560">
        <v>0</v>
      </c>
      <c r="F560">
        <v>15</v>
      </c>
      <c r="G560">
        <v>0</v>
      </c>
      <c r="H560">
        <v>0</v>
      </c>
      <c r="I560">
        <v>30</v>
      </c>
      <c r="J560">
        <v>45</v>
      </c>
      <c r="K560">
        <v>4</v>
      </c>
      <c r="L560">
        <v>2</v>
      </c>
      <c r="M560">
        <v>42</v>
      </c>
      <c r="N560">
        <v>0</v>
      </c>
      <c r="O560" t="s">
        <v>27</v>
      </c>
      <c r="P560" t="s">
        <v>443</v>
      </c>
      <c r="Q560">
        <v>2026</v>
      </c>
      <c r="R560">
        <v>2041</v>
      </c>
      <c r="S560" t="s">
        <v>444</v>
      </c>
      <c r="T560">
        <v>2033</v>
      </c>
      <c r="U560">
        <v>40.75</v>
      </c>
      <c r="V560">
        <v>1</v>
      </c>
      <c r="W560">
        <v>2033</v>
      </c>
      <c r="X560">
        <v>7</v>
      </c>
      <c r="Y560">
        <v>2033</v>
      </c>
      <c r="Z560">
        <v>1</v>
      </c>
      <c r="AA560">
        <v>120</v>
      </c>
      <c r="AB560">
        <v>180</v>
      </c>
      <c r="AC560">
        <v>120</v>
      </c>
      <c r="AD560">
        <v>180</v>
      </c>
      <c r="AE560">
        <v>0</v>
      </c>
      <c r="AF560">
        <v>0</v>
      </c>
      <c r="AG560">
        <v>120</v>
      </c>
      <c r="AH560">
        <v>180</v>
      </c>
      <c r="AI560">
        <v>1</v>
      </c>
      <c r="AJ560">
        <v>2.6880000000000002</v>
      </c>
      <c r="AK560">
        <v>2034</v>
      </c>
      <c r="AL560" s="61">
        <v>2.7519999999999998</v>
      </c>
      <c r="AM560" s="61">
        <v>2.6880000000000002</v>
      </c>
      <c r="AN560" s="61">
        <v>2.7519999999999998</v>
      </c>
      <c r="AO560">
        <v>1.1725143659072164</v>
      </c>
      <c r="AP560">
        <v>1.0274954447000768</v>
      </c>
      <c r="AQ560">
        <v>1.2047531698150638</v>
      </c>
      <c r="AR560" t="b">
        <v>0</v>
      </c>
      <c r="AS560">
        <v>99.605465257601821</v>
      </c>
      <c r="AT560">
        <v>149.40819788640275</v>
      </c>
      <c r="AU560">
        <v>124.50683157200228</v>
      </c>
    </row>
    <row r="561" spans="1:47" x14ac:dyDescent="0.25">
      <c r="A561" t="s">
        <v>368</v>
      </c>
      <c r="B561" t="s">
        <v>485</v>
      </c>
      <c r="C561" t="s">
        <v>320</v>
      </c>
      <c r="D561">
        <v>2026</v>
      </c>
      <c r="E561">
        <v>0</v>
      </c>
      <c r="F561">
        <v>15</v>
      </c>
      <c r="G561">
        <v>0</v>
      </c>
      <c r="H561">
        <v>0</v>
      </c>
      <c r="I561">
        <v>30</v>
      </c>
      <c r="J561">
        <v>45</v>
      </c>
      <c r="K561">
        <v>4</v>
      </c>
      <c r="L561">
        <v>2</v>
      </c>
      <c r="M561">
        <v>42</v>
      </c>
      <c r="N561">
        <v>0</v>
      </c>
      <c r="O561" t="s">
        <v>27</v>
      </c>
      <c r="P561" t="s">
        <v>443</v>
      </c>
      <c r="Q561">
        <v>2026</v>
      </c>
      <c r="R561">
        <v>2041</v>
      </c>
      <c r="S561" t="s">
        <v>444</v>
      </c>
      <c r="T561">
        <v>2034</v>
      </c>
      <c r="U561">
        <v>41.75</v>
      </c>
      <c r="V561">
        <v>1</v>
      </c>
      <c r="W561">
        <v>2034</v>
      </c>
      <c r="X561">
        <v>8</v>
      </c>
      <c r="Y561">
        <v>2034</v>
      </c>
      <c r="Z561">
        <v>1</v>
      </c>
      <c r="AA561">
        <v>120</v>
      </c>
      <c r="AB561">
        <v>180</v>
      </c>
      <c r="AC561">
        <v>120</v>
      </c>
      <c r="AD561">
        <v>180</v>
      </c>
      <c r="AE561">
        <v>0</v>
      </c>
      <c r="AF561">
        <v>0</v>
      </c>
      <c r="AG561">
        <v>120</v>
      </c>
      <c r="AH561">
        <v>180</v>
      </c>
      <c r="AI561">
        <v>1</v>
      </c>
      <c r="AJ561">
        <v>2.7519999999999998</v>
      </c>
      <c r="AK561">
        <v>2035</v>
      </c>
      <c r="AL561" s="61">
        <v>2.8420000000000001</v>
      </c>
      <c r="AM561" s="61">
        <v>2.7519999999999998</v>
      </c>
      <c r="AN561" s="61">
        <v>2.8420000000000001</v>
      </c>
      <c r="AO561">
        <v>1.2092942481281721</v>
      </c>
      <c r="AP561">
        <v>1.0283854649181425</v>
      </c>
      <c r="AQ561">
        <v>1.2436206275841259</v>
      </c>
      <c r="AR561" t="b">
        <v>0</v>
      </c>
      <c r="AS561">
        <v>96.492449014064363</v>
      </c>
      <c r="AT561">
        <v>144.73867352109656</v>
      </c>
      <c r="AU561">
        <v>120.61556126758046</v>
      </c>
    </row>
    <row r="562" spans="1:47" x14ac:dyDescent="0.25">
      <c r="A562" t="s">
        <v>368</v>
      </c>
      <c r="B562" t="s">
        <v>485</v>
      </c>
      <c r="C562" t="s">
        <v>320</v>
      </c>
      <c r="D562">
        <v>2026</v>
      </c>
      <c r="E562">
        <v>0</v>
      </c>
      <c r="F562">
        <v>15</v>
      </c>
      <c r="G562">
        <v>0</v>
      </c>
      <c r="H562">
        <v>0</v>
      </c>
      <c r="I562">
        <v>30</v>
      </c>
      <c r="J562">
        <v>45</v>
      </c>
      <c r="K562">
        <v>4</v>
      </c>
      <c r="L562">
        <v>2</v>
      </c>
      <c r="M562">
        <v>42</v>
      </c>
      <c r="N562">
        <v>0</v>
      </c>
      <c r="O562" t="s">
        <v>27</v>
      </c>
      <c r="P562" t="s">
        <v>443</v>
      </c>
      <c r="Q562">
        <v>2026</v>
      </c>
      <c r="R562">
        <v>2041</v>
      </c>
      <c r="S562" t="s">
        <v>444</v>
      </c>
      <c r="T562">
        <v>2035</v>
      </c>
      <c r="U562">
        <v>42.75</v>
      </c>
      <c r="V562">
        <v>1</v>
      </c>
      <c r="W562">
        <v>2035</v>
      </c>
      <c r="X562">
        <v>9</v>
      </c>
      <c r="Y562">
        <v>2035</v>
      </c>
      <c r="Z562">
        <v>1</v>
      </c>
      <c r="AA562">
        <v>120</v>
      </c>
      <c r="AB562">
        <v>180</v>
      </c>
      <c r="AC562">
        <v>120</v>
      </c>
      <c r="AD562">
        <v>180</v>
      </c>
      <c r="AE562">
        <v>0</v>
      </c>
      <c r="AF562">
        <v>0</v>
      </c>
      <c r="AG562">
        <v>120</v>
      </c>
      <c r="AH562">
        <v>180</v>
      </c>
      <c r="AI562">
        <v>1</v>
      </c>
      <c r="AJ562">
        <v>2.8420000000000001</v>
      </c>
      <c r="AK562">
        <v>2036</v>
      </c>
      <c r="AL562" s="61">
        <v>2.944</v>
      </c>
      <c r="AM562" s="61">
        <v>2.8420000000000001</v>
      </c>
      <c r="AN562" s="61">
        <v>2.944</v>
      </c>
      <c r="AO562">
        <v>1.2513076834571593</v>
      </c>
      <c r="AP562">
        <v>1.0294008580614105</v>
      </c>
      <c r="AQ562">
        <v>1.2880972030496356</v>
      </c>
      <c r="AR562" t="b">
        <v>0</v>
      </c>
      <c r="AS562">
        <v>93.160671194606977</v>
      </c>
      <c r="AT562">
        <v>139.74100679191045</v>
      </c>
      <c r="AU562">
        <v>116.45083899325871</v>
      </c>
    </row>
    <row r="563" spans="1:47" x14ac:dyDescent="0.25">
      <c r="A563" t="s">
        <v>368</v>
      </c>
      <c r="B563" t="s">
        <v>485</v>
      </c>
      <c r="C563" t="s">
        <v>320</v>
      </c>
      <c r="D563">
        <v>2026</v>
      </c>
      <c r="E563">
        <v>0</v>
      </c>
      <c r="F563">
        <v>15</v>
      </c>
      <c r="G563">
        <v>0</v>
      </c>
      <c r="H563">
        <v>0</v>
      </c>
      <c r="I563">
        <v>30</v>
      </c>
      <c r="J563">
        <v>45</v>
      </c>
      <c r="K563">
        <v>4</v>
      </c>
      <c r="L563">
        <v>2</v>
      </c>
      <c r="M563">
        <v>42</v>
      </c>
      <c r="N563">
        <v>0</v>
      </c>
      <c r="O563" t="s">
        <v>27</v>
      </c>
      <c r="P563" t="s">
        <v>443</v>
      </c>
      <c r="Q563">
        <v>2026</v>
      </c>
      <c r="R563">
        <v>2041</v>
      </c>
      <c r="S563" t="s">
        <v>444</v>
      </c>
      <c r="T563">
        <v>2036</v>
      </c>
      <c r="U563">
        <v>43.75</v>
      </c>
      <c r="V563">
        <v>1</v>
      </c>
      <c r="W563">
        <v>2036</v>
      </c>
      <c r="X563">
        <v>10</v>
      </c>
      <c r="Y563">
        <v>2036</v>
      </c>
      <c r="Z563">
        <v>1</v>
      </c>
      <c r="AA563">
        <v>120</v>
      </c>
      <c r="AB563">
        <v>180</v>
      </c>
      <c r="AC563">
        <v>120</v>
      </c>
      <c r="AD563">
        <v>180</v>
      </c>
      <c r="AE563">
        <v>0</v>
      </c>
      <c r="AF563">
        <v>0</v>
      </c>
      <c r="AG563">
        <v>120</v>
      </c>
      <c r="AH563">
        <v>180</v>
      </c>
      <c r="AI563">
        <v>1</v>
      </c>
      <c r="AJ563">
        <v>2.944</v>
      </c>
      <c r="AK563">
        <v>2037</v>
      </c>
      <c r="AL563" s="61">
        <v>3.036</v>
      </c>
      <c r="AM563" s="61">
        <v>2.944</v>
      </c>
      <c r="AN563" s="61">
        <v>3.036</v>
      </c>
      <c r="AO563">
        <v>1.2984025298030446</v>
      </c>
      <c r="AP563">
        <v>1.0303246971701443</v>
      </c>
      <c r="AQ563">
        <v>1.3377761933242711</v>
      </c>
      <c r="AR563" t="b">
        <v>0</v>
      </c>
      <c r="AS563">
        <v>89.701102919023555</v>
      </c>
      <c r="AT563">
        <v>134.55165437853535</v>
      </c>
      <c r="AU563">
        <v>112.12637864877945</v>
      </c>
    </row>
    <row r="564" spans="1:47" x14ac:dyDescent="0.25">
      <c r="A564" t="s">
        <v>368</v>
      </c>
      <c r="B564" t="s">
        <v>485</v>
      </c>
      <c r="C564" t="s">
        <v>320</v>
      </c>
      <c r="D564">
        <v>2026</v>
      </c>
      <c r="E564">
        <v>0</v>
      </c>
      <c r="F564">
        <v>15</v>
      </c>
      <c r="G564">
        <v>0</v>
      </c>
      <c r="H564">
        <v>0</v>
      </c>
      <c r="I564">
        <v>30</v>
      </c>
      <c r="J564">
        <v>45</v>
      </c>
      <c r="K564">
        <v>4</v>
      </c>
      <c r="L564">
        <v>2</v>
      </c>
      <c r="M564">
        <v>42</v>
      </c>
      <c r="N564">
        <v>0</v>
      </c>
      <c r="O564" t="s">
        <v>27</v>
      </c>
      <c r="P564" t="s">
        <v>443</v>
      </c>
      <c r="Q564">
        <v>2026</v>
      </c>
      <c r="R564">
        <v>2041</v>
      </c>
      <c r="S564" t="s">
        <v>444</v>
      </c>
      <c r="T564">
        <v>2037</v>
      </c>
      <c r="U564">
        <v>44.75</v>
      </c>
      <c r="V564">
        <v>1</v>
      </c>
      <c r="W564">
        <v>2037</v>
      </c>
      <c r="X564">
        <v>11</v>
      </c>
      <c r="Y564">
        <v>2037</v>
      </c>
      <c r="Z564">
        <v>1</v>
      </c>
      <c r="AA564">
        <v>120</v>
      </c>
      <c r="AB564">
        <v>180</v>
      </c>
      <c r="AC564">
        <v>120</v>
      </c>
      <c r="AD564">
        <v>180</v>
      </c>
      <c r="AE564">
        <v>0</v>
      </c>
      <c r="AF564">
        <v>0</v>
      </c>
      <c r="AG564">
        <v>120</v>
      </c>
      <c r="AH564">
        <v>180</v>
      </c>
      <c r="AI564">
        <v>1</v>
      </c>
      <c r="AJ564">
        <v>3.036</v>
      </c>
      <c r="AK564">
        <v>2038</v>
      </c>
      <c r="AL564" s="61">
        <v>3.1339999999999999</v>
      </c>
      <c r="AM564" s="61">
        <v>3.036</v>
      </c>
      <c r="AN564" s="61">
        <v>3.1339999999999999</v>
      </c>
      <c r="AO564">
        <v>1.3486209574989538</v>
      </c>
      <c r="AP564">
        <v>1.0313023937742947</v>
      </c>
      <c r="AQ564">
        <v>1.3908360217628524</v>
      </c>
      <c r="AR564" t="b">
        <v>0</v>
      </c>
      <c r="AS564">
        <v>86.279042333044259</v>
      </c>
      <c r="AT564">
        <v>129.41856349956637</v>
      </c>
      <c r="AU564">
        <v>107.84880291630532</v>
      </c>
    </row>
    <row r="565" spans="1:47" x14ac:dyDescent="0.25">
      <c r="A565" t="s">
        <v>368</v>
      </c>
      <c r="B565" t="s">
        <v>485</v>
      </c>
      <c r="C565" t="s">
        <v>320</v>
      </c>
      <c r="D565">
        <v>2026</v>
      </c>
      <c r="E565">
        <v>0</v>
      </c>
      <c r="F565">
        <v>15</v>
      </c>
      <c r="G565">
        <v>0</v>
      </c>
      <c r="H565">
        <v>0</v>
      </c>
      <c r="I565">
        <v>30</v>
      </c>
      <c r="J565">
        <v>45</v>
      </c>
      <c r="K565">
        <v>4</v>
      </c>
      <c r="L565">
        <v>2</v>
      </c>
      <c r="M565">
        <v>42</v>
      </c>
      <c r="N565">
        <v>0</v>
      </c>
      <c r="O565" t="s">
        <v>27</v>
      </c>
      <c r="P565" t="s">
        <v>443</v>
      </c>
      <c r="Q565">
        <v>2026</v>
      </c>
      <c r="R565">
        <v>2041</v>
      </c>
      <c r="S565" t="s">
        <v>444</v>
      </c>
      <c r="T565">
        <v>2038</v>
      </c>
      <c r="U565">
        <v>45.75</v>
      </c>
      <c r="V565">
        <v>1</v>
      </c>
      <c r="W565">
        <v>2038</v>
      </c>
      <c r="X565">
        <v>12</v>
      </c>
      <c r="Y565">
        <v>2038</v>
      </c>
      <c r="Z565">
        <v>1</v>
      </c>
      <c r="AA565">
        <v>120</v>
      </c>
      <c r="AB565">
        <v>180</v>
      </c>
      <c r="AC565">
        <v>120</v>
      </c>
      <c r="AD565">
        <v>180</v>
      </c>
      <c r="AE565">
        <v>0</v>
      </c>
      <c r="AF565">
        <v>0</v>
      </c>
      <c r="AG565">
        <v>120</v>
      </c>
      <c r="AH565">
        <v>180</v>
      </c>
      <c r="AI565">
        <v>1</v>
      </c>
      <c r="AJ565">
        <v>3.1339999999999999</v>
      </c>
      <c r="AK565">
        <v>2039</v>
      </c>
      <c r="AL565" s="61">
        <v>3.2069999999999999</v>
      </c>
      <c r="AM565" s="61">
        <v>3.1339999999999999</v>
      </c>
      <c r="AN565" s="61">
        <v>3.2069999999999999</v>
      </c>
      <c r="AO565">
        <v>1.4041725591738043</v>
      </c>
      <c r="AP565">
        <v>1.0320419904729838</v>
      </c>
      <c r="AQ565">
        <v>1.4491650429372767</v>
      </c>
      <c r="AR565" t="b">
        <v>0</v>
      </c>
      <c r="AS565">
        <v>82.806303246713</v>
      </c>
      <c r="AT565">
        <v>124.20945487006951</v>
      </c>
      <c r="AU565">
        <v>103.50787905839125</v>
      </c>
    </row>
    <row r="566" spans="1:47" x14ac:dyDescent="0.25">
      <c r="A566" t="s">
        <v>368</v>
      </c>
      <c r="B566" t="s">
        <v>485</v>
      </c>
      <c r="C566" t="s">
        <v>320</v>
      </c>
      <c r="D566">
        <v>2026</v>
      </c>
      <c r="E566">
        <v>0</v>
      </c>
      <c r="F566">
        <v>15</v>
      </c>
      <c r="G566">
        <v>0</v>
      </c>
      <c r="H566">
        <v>0</v>
      </c>
      <c r="I566">
        <v>30</v>
      </c>
      <c r="J566">
        <v>45</v>
      </c>
      <c r="K566">
        <v>4</v>
      </c>
      <c r="L566">
        <v>2</v>
      </c>
      <c r="M566">
        <v>42</v>
      </c>
      <c r="N566">
        <v>0</v>
      </c>
      <c r="O566" t="s">
        <v>27</v>
      </c>
      <c r="P566" t="s">
        <v>443</v>
      </c>
      <c r="Q566">
        <v>2026</v>
      </c>
      <c r="R566">
        <v>2041</v>
      </c>
      <c r="S566" t="s">
        <v>444</v>
      </c>
      <c r="T566">
        <v>2039</v>
      </c>
      <c r="U566">
        <v>46.75</v>
      </c>
      <c r="V566">
        <v>1</v>
      </c>
      <c r="W566">
        <v>2039</v>
      </c>
      <c r="X566">
        <v>13</v>
      </c>
      <c r="Y566">
        <v>2039</v>
      </c>
      <c r="Z566">
        <v>1</v>
      </c>
      <c r="AA566">
        <v>120</v>
      </c>
      <c r="AB566">
        <v>180</v>
      </c>
      <c r="AC566">
        <v>120</v>
      </c>
      <c r="AD566">
        <v>180</v>
      </c>
      <c r="AE566">
        <v>0</v>
      </c>
      <c r="AF566">
        <v>0</v>
      </c>
      <c r="AG566">
        <v>120</v>
      </c>
      <c r="AH566">
        <v>180</v>
      </c>
      <c r="AI566">
        <v>1</v>
      </c>
      <c r="AJ566">
        <v>3.2069999999999999</v>
      </c>
      <c r="AK566">
        <v>2040</v>
      </c>
      <c r="AL566" s="61">
        <v>3.3029999999999999</v>
      </c>
      <c r="AM566" s="61">
        <v>3.2069999999999999</v>
      </c>
      <c r="AN566" s="61">
        <v>3.3029999999999999</v>
      </c>
      <c r="AO566">
        <v>1.4605278779269859</v>
      </c>
      <c r="AP566">
        <v>1.0329931616190409</v>
      </c>
      <c r="AQ566">
        <v>1.5087153102525457</v>
      </c>
      <c r="AR566" t="b">
        <v>0</v>
      </c>
      <c r="AS566">
        <v>79.537868532608087</v>
      </c>
      <c r="AT566">
        <v>119.30680279891213</v>
      </c>
      <c r="AU566">
        <v>99.422335665760102</v>
      </c>
    </row>
    <row r="567" spans="1:47" x14ac:dyDescent="0.25">
      <c r="A567" t="s">
        <v>368</v>
      </c>
      <c r="B567" t="s">
        <v>485</v>
      </c>
      <c r="C567" t="s">
        <v>320</v>
      </c>
      <c r="D567">
        <v>2026</v>
      </c>
      <c r="E567">
        <v>0</v>
      </c>
      <c r="F567">
        <v>15</v>
      </c>
      <c r="G567">
        <v>0</v>
      </c>
      <c r="H567">
        <v>0</v>
      </c>
      <c r="I567">
        <v>30</v>
      </c>
      <c r="J567">
        <v>45</v>
      </c>
      <c r="K567">
        <v>4</v>
      </c>
      <c r="L567">
        <v>2</v>
      </c>
      <c r="M567">
        <v>42</v>
      </c>
      <c r="N567">
        <v>0</v>
      </c>
      <c r="O567" t="s">
        <v>27</v>
      </c>
      <c r="P567" t="s">
        <v>443</v>
      </c>
      <c r="Q567">
        <v>2026</v>
      </c>
      <c r="R567">
        <v>2041</v>
      </c>
      <c r="S567" t="s">
        <v>444</v>
      </c>
      <c r="T567">
        <v>2040</v>
      </c>
      <c r="U567">
        <v>47.75</v>
      </c>
      <c r="V567">
        <v>1</v>
      </c>
      <c r="W567">
        <v>2040</v>
      </c>
      <c r="X567">
        <v>14</v>
      </c>
      <c r="Y567">
        <v>2040</v>
      </c>
      <c r="Z567">
        <v>1</v>
      </c>
      <c r="AA567">
        <v>120</v>
      </c>
      <c r="AB567">
        <v>180</v>
      </c>
      <c r="AC567">
        <v>120</v>
      </c>
      <c r="AD567">
        <v>180</v>
      </c>
      <c r="AE567">
        <v>0</v>
      </c>
      <c r="AF567">
        <v>0</v>
      </c>
      <c r="AG567">
        <v>120</v>
      </c>
      <c r="AH567">
        <v>180</v>
      </c>
      <c r="AI567">
        <v>1</v>
      </c>
      <c r="AJ567">
        <v>3.3029999999999999</v>
      </c>
      <c r="AK567">
        <v>2041</v>
      </c>
      <c r="AL567" s="61">
        <v>3.3559999999999999</v>
      </c>
      <c r="AM567" s="61">
        <v>3.3029999999999999</v>
      </c>
      <c r="AN567" s="61">
        <v>3.3559999999999999</v>
      </c>
      <c r="AO567">
        <v>1.5256964700083253</v>
      </c>
      <c r="AP567">
        <v>1.0335396662189136</v>
      </c>
      <c r="AQ567">
        <v>1.5768678203637791</v>
      </c>
      <c r="AR567" t="b">
        <v>0</v>
      </c>
      <c r="AS567">
        <v>76.100227584272929</v>
      </c>
      <c r="AT567">
        <v>114.1503413764094</v>
      </c>
      <c r="AU567">
        <v>95.125284480341165</v>
      </c>
    </row>
    <row r="568" spans="1:47" x14ac:dyDescent="0.25">
      <c r="A568" t="s">
        <v>368</v>
      </c>
      <c r="B568" t="s">
        <v>485</v>
      </c>
      <c r="C568" t="s">
        <v>320</v>
      </c>
      <c r="D568">
        <v>2026</v>
      </c>
      <c r="E568">
        <v>0</v>
      </c>
      <c r="M568">
        <v>42</v>
      </c>
      <c r="Q568">
        <v>2026</v>
      </c>
      <c r="R568">
        <v>2041</v>
      </c>
      <c r="T568">
        <v>2041</v>
      </c>
      <c r="U568">
        <v>48.75</v>
      </c>
      <c r="W568">
        <v>2041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L568" s="61"/>
      <c r="AS568">
        <v>0</v>
      </c>
      <c r="AT568">
        <v>0</v>
      </c>
      <c r="AU568">
        <v>0</v>
      </c>
    </row>
    <row r="569" spans="1:47" x14ac:dyDescent="0.25">
      <c r="A569" t="s">
        <v>342</v>
      </c>
      <c r="B569" t="s">
        <v>486</v>
      </c>
      <c r="C569" t="s">
        <v>319</v>
      </c>
      <c r="D569">
        <v>2026</v>
      </c>
      <c r="E569">
        <v>0</v>
      </c>
      <c r="F569">
        <v>10</v>
      </c>
      <c r="G569">
        <v>0</v>
      </c>
      <c r="H569">
        <v>0</v>
      </c>
      <c r="I569">
        <v>50</v>
      </c>
      <c r="J569">
        <v>250</v>
      </c>
      <c r="K569">
        <v>1</v>
      </c>
      <c r="L569">
        <v>1</v>
      </c>
      <c r="M569">
        <v>43</v>
      </c>
      <c r="N569">
        <v>0</v>
      </c>
      <c r="O569" t="s">
        <v>27</v>
      </c>
      <c r="P569" t="s">
        <v>443</v>
      </c>
      <c r="Q569">
        <v>2026</v>
      </c>
      <c r="R569">
        <v>2036</v>
      </c>
      <c r="S569" t="s">
        <v>444</v>
      </c>
      <c r="T569">
        <v>2026</v>
      </c>
      <c r="U569">
        <v>33.75</v>
      </c>
      <c r="V569">
        <v>1</v>
      </c>
      <c r="W569">
        <v>2026</v>
      </c>
      <c r="X569">
        <v>0</v>
      </c>
      <c r="Y569">
        <v>2026</v>
      </c>
      <c r="Z569">
        <v>1</v>
      </c>
      <c r="AA569">
        <v>50</v>
      </c>
      <c r="AB569">
        <v>250</v>
      </c>
      <c r="AC569">
        <v>50</v>
      </c>
      <c r="AD569">
        <v>250</v>
      </c>
      <c r="AE569">
        <v>0</v>
      </c>
      <c r="AF569">
        <v>0</v>
      </c>
      <c r="AG569">
        <v>50</v>
      </c>
      <c r="AH569">
        <v>250</v>
      </c>
      <c r="AI569">
        <v>1</v>
      </c>
      <c r="AK569">
        <v>2027</v>
      </c>
      <c r="AL569" s="61">
        <v>2.4329999999999998</v>
      </c>
      <c r="AM569" s="61">
        <v>0</v>
      </c>
      <c r="AN569" s="61">
        <v>2.4329999999999998</v>
      </c>
      <c r="AO569">
        <v>1</v>
      </c>
      <c r="AP569">
        <v>1.023385968321771</v>
      </c>
      <c r="AQ569">
        <v>1.023385968321771</v>
      </c>
      <c r="AR569" t="b">
        <v>1</v>
      </c>
      <c r="AS569">
        <v>50</v>
      </c>
      <c r="AT569">
        <v>250</v>
      </c>
      <c r="AU569">
        <v>150</v>
      </c>
    </row>
    <row r="570" spans="1:47" x14ac:dyDescent="0.25">
      <c r="A570" t="s">
        <v>342</v>
      </c>
      <c r="B570" t="s">
        <v>486</v>
      </c>
      <c r="C570" t="s">
        <v>319</v>
      </c>
      <c r="D570">
        <v>2026</v>
      </c>
      <c r="E570">
        <v>0</v>
      </c>
      <c r="F570">
        <v>10</v>
      </c>
      <c r="G570">
        <v>0</v>
      </c>
      <c r="H570">
        <v>0</v>
      </c>
      <c r="I570">
        <v>50</v>
      </c>
      <c r="J570">
        <v>250</v>
      </c>
      <c r="K570">
        <v>1</v>
      </c>
      <c r="L570">
        <v>1</v>
      </c>
      <c r="M570">
        <v>43</v>
      </c>
      <c r="N570">
        <v>0</v>
      </c>
      <c r="O570" t="s">
        <v>27</v>
      </c>
      <c r="P570" t="s">
        <v>443</v>
      </c>
      <c r="Q570">
        <v>2026</v>
      </c>
      <c r="R570">
        <v>2036</v>
      </c>
      <c r="S570" t="s">
        <v>444</v>
      </c>
      <c r="T570">
        <v>2027</v>
      </c>
      <c r="U570">
        <v>34.75</v>
      </c>
      <c r="V570">
        <v>1</v>
      </c>
      <c r="W570">
        <v>2027</v>
      </c>
      <c r="X570">
        <v>1</v>
      </c>
      <c r="Y570">
        <v>2027</v>
      </c>
      <c r="Z570">
        <v>1</v>
      </c>
      <c r="AA570">
        <v>50</v>
      </c>
      <c r="AB570">
        <v>250</v>
      </c>
      <c r="AC570">
        <v>50</v>
      </c>
      <c r="AD570">
        <v>250</v>
      </c>
      <c r="AE570">
        <v>0</v>
      </c>
      <c r="AF570">
        <v>0</v>
      </c>
      <c r="AG570">
        <v>50</v>
      </c>
      <c r="AH570">
        <v>250</v>
      </c>
      <c r="AI570">
        <v>1</v>
      </c>
      <c r="AJ570">
        <v>2.4329999999999998</v>
      </c>
      <c r="AK570">
        <v>2028</v>
      </c>
      <c r="AL570" s="61">
        <v>2.4220000000000002</v>
      </c>
      <c r="AM570" s="61">
        <v>2.4329999999999998</v>
      </c>
      <c r="AN570" s="61">
        <v>2.4220000000000002</v>
      </c>
      <c r="AO570">
        <v>1</v>
      </c>
      <c r="AP570">
        <v>1.0242242189602202</v>
      </c>
      <c r="AQ570">
        <v>1.0242242189602202</v>
      </c>
      <c r="AR570" t="b">
        <v>0</v>
      </c>
      <c r="AS570">
        <v>48.817435747379008</v>
      </c>
      <c r="AT570">
        <v>244.08717873689505</v>
      </c>
      <c r="AU570">
        <v>146.45230724213704</v>
      </c>
    </row>
    <row r="571" spans="1:47" x14ac:dyDescent="0.25">
      <c r="A571" t="s">
        <v>342</v>
      </c>
      <c r="B571" t="s">
        <v>486</v>
      </c>
      <c r="C571" t="s">
        <v>319</v>
      </c>
      <c r="D571">
        <v>2026</v>
      </c>
      <c r="E571">
        <v>0</v>
      </c>
      <c r="F571">
        <v>10</v>
      </c>
      <c r="G571">
        <v>0</v>
      </c>
      <c r="H571">
        <v>0</v>
      </c>
      <c r="I571">
        <v>50</v>
      </c>
      <c r="J571">
        <v>250</v>
      </c>
      <c r="K571">
        <v>1</v>
      </c>
      <c r="L571">
        <v>1</v>
      </c>
      <c r="M571">
        <v>43</v>
      </c>
      <c r="N571">
        <v>0</v>
      </c>
      <c r="O571" t="s">
        <v>27</v>
      </c>
      <c r="P571" t="s">
        <v>443</v>
      </c>
      <c r="Q571">
        <v>2026</v>
      </c>
      <c r="R571">
        <v>2036</v>
      </c>
      <c r="S571" t="s">
        <v>444</v>
      </c>
      <c r="T571">
        <v>2028</v>
      </c>
      <c r="U571">
        <v>35.75</v>
      </c>
      <c r="V571">
        <v>1</v>
      </c>
      <c r="W571">
        <v>2028</v>
      </c>
      <c r="X571">
        <v>2</v>
      </c>
      <c r="Y571">
        <v>2028</v>
      </c>
      <c r="Z571">
        <v>1</v>
      </c>
      <c r="AA571">
        <v>50</v>
      </c>
      <c r="AB571">
        <v>250</v>
      </c>
      <c r="AC571">
        <v>50</v>
      </c>
      <c r="AD571">
        <v>250</v>
      </c>
      <c r="AE571">
        <v>0</v>
      </c>
      <c r="AF571">
        <v>0</v>
      </c>
      <c r="AG571">
        <v>50</v>
      </c>
      <c r="AH571">
        <v>250</v>
      </c>
      <c r="AI571">
        <v>1</v>
      </c>
      <c r="AJ571">
        <v>2.4220000000000002</v>
      </c>
      <c r="AK571">
        <v>2029</v>
      </c>
      <c r="AL571" s="61">
        <v>2.4209999999999998</v>
      </c>
      <c r="AM571" s="61">
        <v>2.4220000000000002</v>
      </c>
      <c r="AN571" s="61">
        <v>2.4209999999999998</v>
      </c>
      <c r="AO571">
        <v>1.0242199999999999</v>
      </c>
      <c r="AP571">
        <v>1.0242103835598433</v>
      </c>
      <c r="AQ571">
        <v>1.0490167590496626</v>
      </c>
      <c r="AR571" t="b">
        <v>0</v>
      </c>
      <c r="AS571">
        <v>47.66368084080618</v>
      </c>
      <c r="AT571">
        <v>238.31840420403091</v>
      </c>
      <c r="AU571">
        <v>142.99104252241855</v>
      </c>
    </row>
    <row r="572" spans="1:47" x14ac:dyDescent="0.25">
      <c r="A572" t="s">
        <v>342</v>
      </c>
      <c r="B572" t="s">
        <v>486</v>
      </c>
      <c r="C572" t="s">
        <v>319</v>
      </c>
      <c r="D572">
        <v>2026</v>
      </c>
      <c r="E572">
        <v>0</v>
      </c>
      <c r="F572">
        <v>10</v>
      </c>
      <c r="G572">
        <v>0</v>
      </c>
      <c r="H572">
        <v>0</v>
      </c>
      <c r="I572">
        <v>50</v>
      </c>
      <c r="J572">
        <v>250</v>
      </c>
      <c r="K572">
        <v>1</v>
      </c>
      <c r="L572">
        <v>1</v>
      </c>
      <c r="M572">
        <v>43</v>
      </c>
      <c r="N572">
        <v>0</v>
      </c>
      <c r="O572" t="s">
        <v>27</v>
      </c>
      <c r="P572" t="s">
        <v>443</v>
      </c>
      <c r="Q572">
        <v>2026</v>
      </c>
      <c r="R572">
        <v>2036</v>
      </c>
      <c r="S572" t="s">
        <v>444</v>
      </c>
      <c r="T572">
        <v>2029</v>
      </c>
      <c r="U572">
        <v>36.75</v>
      </c>
      <c r="V572">
        <v>1</v>
      </c>
      <c r="W572">
        <v>2029</v>
      </c>
      <c r="X572">
        <v>3</v>
      </c>
      <c r="Y572">
        <v>2029</v>
      </c>
      <c r="Z572">
        <v>1</v>
      </c>
      <c r="AA572">
        <v>50</v>
      </c>
      <c r="AB572">
        <v>250</v>
      </c>
      <c r="AC572">
        <v>50</v>
      </c>
      <c r="AD572">
        <v>250</v>
      </c>
      <c r="AE572">
        <v>0</v>
      </c>
      <c r="AF572">
        <v>0</v>
      </c>
      <c r="AG572">
        <v>50</v>
      </c>
      <c r="AH572">
        <v>250</v>
      </c>
      <c r="AI572">
        <v>1</v>
      </c>
      <c r="AJ572">
        <v>2.4209999999999998</v>
      </c>
      <c r="AK572">
        <v>2030</v>
      </c>
      <c r="AL572" s="61">
        <v>2.4670000000000001</v>
      </c>
      <c r="AM572" s="61">
        <v>2.4209999999999998</v>
      </c>
      <c r="AN572" s="61">
        <v>2.4670000000000001</v>
      </c>
      <c r="AO572">
        <v>1.0490061241000002</v>
      </c>
      <c r="AP572">
        <v>1.0246523523547908</v>
      </c>
      <c r="AQ572">
        <v>1.0748665926936467</v>
      </c>
      <c r="AR572" t="b">
        <v>0</v>
      </c>
      <c r="AS572">
        <v>46.517400708025129</v>
      </c>
      <c r="AT572">
        <v>232.58700354012564</v>
      </c>
      <c r="AU572">
        <v>139.55220212407539</v>
      </c>
    </row>
    <row r="573" spans="1:47" x14ac:dyDescent="0.25">
      <c r="A573" t="s">
        <v>342</v>
      </c>
      <c r="B573" t="s">
        <v>486</v>
      </c>
      <c r="C573" t="s">
        <v>319</v>
      </c>
      <c r="D573">
        <v>2026</v>
      </c>
      <c r="E573">
        <v>0</v>
      </c>
      <c r="F573">
        <v>10</v>
      </c>
      <c r="G573">
        <v>0</v>
      </c>
      <c r="H573">
        <v>0</v>
      </c>
      <c r="I573">
        <v>50</v>
      </c>
      <c r="J573">
        <v>250</v>
      </c>
      <c r="K573">
        <v>1</v>
      </c>
      <c r="L573">
        <v>1</v>
      </c>
      <c r="M573">
        <v>43</v>
      </c>
      <c r="N573">
        <v>0</v>
      </c>
      <c r="O573" t="s">
        <v>27</v>
      </c>
      <c r="P573" t="s">
        <v>443</v>
      </c>
      <c r="Q573">
        <v>2026</v>
      </c>
      <c r="R573">
        <v>2036</v>
      </c>
      <c r="S573" t="s">
        <v>444</v>
      </c>
      <c r="T573">
        <v>2030</v>
      </c>
      <c r="U573">
        <v>37.75</v>
      </c>
      <c r="V573">
        <v>1</v>
      </c>
      <c r="W573">
        <v>2030</v>
      </c>
      <c r="X573">
        <v>4</v>
      </c>
      <c r="Y573">
        <v>2030</v>
      </c>
      <c r="Z573">
        <v>1</v>
      </c>
      <c r="AA573">
        <v>50</v>
      </c>
      <c r="AB573">
        <v>250</v>
      </c>
      <c r="AC573">
        <v>50</v>
      </c>
      <c r="AD573">
        <v>250</v>
      </c>
      <c r="AE573">
        <v>0</v>
      </c>
      <c r="AF573">
        <v>0</v>
      </c>
      <c r="AG573">
        <v>50</v>
      </c>
      <c r="AH573">
        <v>250</v>
      </c>
      <c r="AI573">
        <v>1</v>
      </c>
      <c r="AJ573">
        <v>2.4670000000000001</v>
      </c>
      <c r="AK573">
        <v>2031</v>
      </c>
      <c r="AL573" s="61">
        <v>2.5169999999999999</v>
      </c>
      <c r="AM573" s="61">
        <v>2.4670000000000001</v>
      </c>
      <c r="AN573" s="61">
        <v>2.5169999999999999</v>
      </c>
      <c r="AO573">
        <v>1.0758508410815628</v>
      </c>
      <c r="AP573">
        <v>1.0251508174189523</v>
      </c>
      <c r="AQ573">
        <v>1.1029093691556315</v>
      </c>
      <c r="AR573" t="b">
        <v>0</v>
      </c>
      <c r="AS573">
        <v>45.334640722364284</v>
      </c>
      <c r="AT573">
        <v>226.67320361182144</v>
      </c>
      <c r="AU573">
        <v>136.00392216709287</v>
      </c>
    </row>
    <row r="574" spans="1:47" x14ac:dyDescent="0.25">
      <c r="A574" t="s">
        <v>342</v>
      </c>
      <c r="B574" t="s">
        <v>486</v>
      </c>
      <c r="C574" t="s">
        <v>319</v>
      </c>
      <c r="D574">
        <v>2026</v>
      </c>
      <c r="E574">
        <v>0</v>
      </c>
      <c r="F574">
        <v>10</v>
      </c>
      <c r="G574">
        <v>0</v>
      </c>
      <c r="H574">
        <v>0</v>
      </c>
      <c r="I574">
        <v>50</v>
      </c>
      <c r="J574">
        <v>250</v>
      </c>
      <c r="K574">
        <v>1</v>
      </c>
      <c r="L574">
        <v>1</v>
      </c>
      <c r="M574">
        <v>43</v>
      </c>
      <c r="N574">
        <v>0</v>
      </c>
      <c r="O574" t="s">
        <v>27</v>
      </c>
      <c r="P574" t="s">
        <v>443</v>
      </c>
      <c r="Q574">
        <v>2026</v>
      </c>
      <c r="R574">
        <v>2036</v>
      </c>
      <c r="S574" t="s">
        <v>444</v>
      </c>
      <c r="T574">
        <v>2031</v>
      </c>
      <c r="U574">
        <v>38.75</v>
      </c>
      <c r="V574">
        <v>1</v>
      </c>
      <c r="W574">
        <v>2031</v>
      </c>
      <c r="X574">
        <v>5</v>
      </c>
      <c r="Y574">
        <v>2031</v>
      </c>
      <c r="Z574">
        <v>1</v>
      </c>
      <c r="AA574">
        <v>50</v>
      </c>
      <c r="AB574">
        <v>250</v>
      </c>
      <c r="AC574">
        <v>50</v>
      </c>
      <c r="AD574">
        <v>250</v>
      </c>
      <c r="AE574">
        <v>0</v>
      </c>
      <c r="AF574">
        <v>0</v>
      </c>
      <c r="AG574">
        <v>50</v>
      </c>
      <c r="AH574">
        <v>250</v>
      </c>
      <c r="AI574">
        <v>1</v>
      </c>
      <c r="AJ574">
        <v>2.5169999999999999</v>
      </c>
      <c r="AK574">
        <v>2032</v>
      </c>
      <c r="AL574" s="61">
        <v>2.59</v>
      </c>
      <c r="AM574" s="61">
        <v>2.5169999999999999</v>
      </c>
      <c r="AN574" s="61">
        <v>2.59</v>
      </c>
      <c r="AO574">
        <v>1.1045453584485188</v>
      </c>
      <c r="AP574">
        <v>1.0258719904156592</v>
      </c>
      <c r="AQ574">
        <v>1.1331221453759597</v>
      </c>
      <c r="AR574" t="b">
        <v>0</v>
      </c>
      <c r="AS574">
        <v>44.125869575526167</v>
      </c>
      <c r="AT574">
        <v>220.62934787763083</v>
      </c>
      <c r="AU574">
        <v>132.3776087265785</v>
      </c>
    </row>
    <row r="575" spans="1:47" x14ac:dyDescent="0.25">
      <c r="A575" t="s">
        <v>342</v>
      </c>
      <c r="B575" t="s">
        <v>486</v>
      </c>
      <c r="C575" t="s">
        <v>319</v>
      </c>
      <c r="D575">
        <v>2026</v>
      </c>
      <c r="E575">
        <v>0</v>
      </c>
      <c r="F575">
        <v>10</v>
      </c>
      <c r="G575">
        <v>0</v>
      </c>
      <c r="H575">
        <v>0</v>
      </c>
      <c r="I575">
        <v>50</v>
      </c>
      <c r="J575">
        <v>250</v>
      </c>
      <c r="K575">
        <v>1</v>
      </c>
      <c r="L575">
        <v>1</v>
      </c>
      <c r="M575">
        <v>43</v>
      </c>
      <c r="N575">
        <v>0</v>
      </c>
      <c r="O575" t="s">
        <v>27</v>
      </c>
      <c r="P575" t="s">
        <v>443</v>
      </c>
      <c r="Q575">
        <v>2026</v>
      </c>
      <c r="R575">
        <v>2036</v>
      </c>
      <c r="S575" t="s">
        <v>444</v>
      </c>
      <c r="T575">
        <v>2032</v>
      </c>
      <c r="U575">
        <v>39.75</v>
      </c>
      <c r="V575">
        <v>1</v>
      </c>
      <c r="W575">
        <v>2032</v>
      </c>
      <c r="X575">
        <v>6</v>
      </c>
      <c r="Y575">
        <v>2032</v>
      </c>
      <c r="Z575">
        <v>1</v>
      </c>
      <c r="AA575">
        <v>50</v>
      </c>
      <c r="AB575">
        <v>250</v>
      </c>
      <c r="AC575">
        <v>50</v>
      </c>
      <c r="AD575">
        <v>250</v>
      </c>
      <c r="AE575">
        <v>0</v>
      </c>
      <c r="AF575">
        <v>0</v>
      </c>
      <c r="AG575">
        <v>50</v>
      </c>
      <c r="AH575">
        <v>250</v>
      </c>
      <c r="AI575">
        <v>1</v>
      </c>
      <c r="AJ575">
        <v>2.59</v>
      </c>
      <c r="AK575">
        <v>2033</v>
      </c>
      <c r="AL575" s="61">
        <v>2.6880000000000002</v>
      </c>
      <c r="AM575" s="61">
        <v>2.59</v>
      </c>
      <c r="AN575" s="61">
        <v>2.6880000000000002</v>
      </c>
      <c r="AO575">
        <v>1.1363841013749196</v>
      </c>
      <c r="AP575">
        <v>1.0268423936996114</v>
      </c>
      <c r="AQ575">
        <v>1.1668873708180043</v>
      </c>
      <c r="AR575" t="b">
        <v>0</v>
      </c>
      <c r="AS575">
        <v>42.849036891151975</v>
      </c>
      <c r="AT575">
        <v>214.24518445575987</v>
      </c>
      <c r="AU575">
        <v>128.54711067345593</v>
      </c>
    </row>
    <row r="576" spans="1:47" x14ac:dyDescent="0.25">
      <c r="A576" t="s">
        <v>342</v>
      </c>
      <c r="B576" t="s">
        <v>486</v>
      </c>
      <c r="C576" t="s">
        <v>319</v>
      </c>
      <c r="D576">
        <v>2026</v>
      </c>
      <c r="E576">
        <v>0</v>
      </c>
      <c r="F576">
        <v>10</v>
      </c>
      <c r="G576">
        <v>0</v>
      </c>
      <c r="H576">
        <v>0</v>
      </c>
      <c r="I576">
        <v>50</v>
      </c>
      <c r="J576">
        <v>250</v>
      </c>
      <c r="K576">
        <v>1</v>
      </c>
      <c r="L576">
        <v>1</v>
      </c>
      <c r="M576">
        <v>43</v>
      </c>
      <c r="N576">
        <v>0</v>
      </c>
      <c r="O576" t="s">
        <v>27</v>
      </c>
      <c r="P576" t="s">
        <v>443</v>
      </c>
      <c r="Q576">
        <v>2026</v>
      </c>
      <c r="R576">
        <v>2036</v>
      </c>
      <c r="S576" t="s">
        <v>444</v>
      </c>
      <c r="T576">
        <v>2033</v>
      </c>
      <c r="U576">
        <v>40.75</v>
      </c>
      <c r="V576">
        <v>1</v>
      </c>
      <c r="W576">
        <v>2033</v>
      </c>
      <c r="X576">
        <v>7</v>
      </c>
      <c r="Y576">
        <v>2033</v>
      </c>
      <c r="Z576">
        <v>1</v>
      </c>
      <c r="AA576">
        <v>50</v>
      </c>
      <c r="AB576">
        <v>250</v>
      </c>
      <c r="AC576">
        <v>50</v>
      </c>
      <c r="AD576">
        <v>250</v>
      </c>
      <c r="AE576">
        <v>0</v>
      </c>
      <c r="AF576">
        <v>0</v>
      </c>
      <c r="AG576">
        <v>50</v>
      </c>
      <c r="AH576">
        <v>250</v>
      </c>
      <c r="AI576">
        <v>1</v>
      </c>
      <c r="AJ576">
        <v>2.6880000000000002</v>
      </c>
      <c r="AK576">
        <v>2034</v>
      </c>
      <c r="AL576" s="61">
        <v>2.7519999999999998</v>
      </c>
      <c r="AM576" s="61">
        <v>2.6880000000000002</v>
      </c>
      <c r="AN576" s="61">
        <v>2.7519999999999998</v>
      </c>
      <c r="AO576">
        <v>1.1725143659072164</v>
      </c>
      <c r="AP576">
        <v>1.0274954447000768</v>
      </c>
      <c r="AQ576">
        <v>1.2047531698150638</v>
      </c>
      <c r="AR576" t="b">
        <v>0</v>
      </c>
      <c r="AS576">
        <v>41.502277190667428</v>
      </c>
      <c r="AT576">
        <v>207.51138595333714</v>
      </c>
      <c r="AU576">
        <v>124.50683157200228</v>
      </c>
    </row>
    <row r="577" spans="1:47" x14ac:dyDescent="0.25">
      <c r="A577" t="s">
        <v>342</v>
      </c>
      <c r="B577" t="s">
        <v>486</v>
      </c>
      <c r="C577" t="s">
        <v>319</v>
      </c>
      <c r="D577">
        <v>2026</v>
      </c>
      <c r="E577">
        <v>0</v>
      </c>
      <c r="F577">
        <v>10</v>
      </c>
      <c r="G577">
        <v>0</v>
      </c>
      <c r="H577">
        <v>0</v>
      </c>
      <c r="I577">
        <v>50</v>
      </c>
      <c r="J577">
        <v>250</v>
      </c>
      <c r="K577">
        <v>1</v>
      </c>
      <c r="L577">
        <v>1</v>
      </c>
      <c r="M577">
        <v>43</v>
      </c>
      <c r="N577">
        <v>0</v>
      </c>
      <c r="O577" t="s">
        <v>27</v>
      </c>
      <c r="P577" t="s">
        <v>443</v>
      </c>
      <c r="Q577">
        <v>2026</v>
      </c>
      <c r="R577">
        <v>2036</v>
      </c>
      <c r="S577" t="s">
        <v>444</v>
      </c>
      <c r="T577">
        <v>2034</v>
      </c>
      <c r="U577">
        <v>41.75</v>
      </c>
      <c r="V577">
        <v>1</v>
      </c>
      <c r="W577">
        <v>2034</v>
      </c>
      <c r="X577">
        <v>8</v>
      </c>
      <c r="Y577">
        <v>2034</v>
      </c>
      <c r="Z577">
        <v>1</v>
      </c>
      <c r="AA577">
        <v>50</v>
      </c>
      <c r="AB577">
        <v>250</v>
      </c>
      <c r="AC577">
        <v>50</v>
      </c>
      <c r="AD577">
        <v>250</v>
      </c>
      <c r="AE577">
        <v>0</v>
      </c>
      <c r="AF577">
        <v>0</v>
      </c>
      <c r="AG577">
        <v>50</v>
      </c>
      <c r="AH577">
        <v>250</v>
      </c>
      <c r="AI577">
        <v>1</v>
      </c>
      <c r="AJ577">
        <v>2.7519999999999998</v>
      </c>
      <c r="AK577">
        <v>2035</v>
      </c>
      <c r="AL577" s="61">
        <v>2.8420000000000001</v>
      </c>
      <c r="AM577" s="61">
        <v>2.7519999999999998</v>
      </c>
      <c r="AN577" s="61">
        <v>2.8420000000000001</v>
      </c>
      <c r="AO577">
        <v>1.2092942481281721</v>
      </c>
      <c r="AP577">
        <v>1.0283854649181425</v>
      </c>
      <c r="AQ577">
        <v>1.2436206275841259</v>
      </c>
      <c r="AR577" t="b">
        <v>0</v>
      </c>
      <c r="AS577">
        <v>40.205187089193487</v>
      </c>
      <c r="AT577">
        <v>201.02593544596743</v>
      </c>
      <c r="AU577">
        <v>120.61556126758046</v>
      </c>
    </row>
    <row r="578" spans="1:47" x14ac:dyDescent="0.25">
      <c r="A578" t="s">
        <v>342</v>
      </c>
      <c r="B578" t="s">
        <v>486</v>
      </c>
      <c r="C578" t="s">
        <v>319</v>
      </c>
      <c r="D578">
        <v>2026</v>
      </c>
      <c r="E578">
        <v>0</v>
      </c>
      <c r="F578">
        <v>10</v>
      </c>
      <c r="G578">
        <v>0</v>
      </c>
      <c r="H578">
        <v>0</v>
      </c>
      <c r="I578">
        <v>50</v>
      </c>
      <c r="J578">
        <v>250</v>
      </c>
      <c r="K578">
        <v>1</v>
      </c>
      <c r="L578">
        <v>1</v>
      </c>
      <c r="M578">
        <v>43</v>
      </c>
      <c r="N578">
        <v>0</v>
      </c>
      <c r="O578" t="s">
        <v>27</v>
      </c>
      <c r="P578" t="s">
        <v>443</v>
      </c>
      <c r="Q578">
        <v>2026</v>
      </c>
      <c r="R578">
        <v>2036</v>
      </c>
      <c r="S578" t="s">
        <v>444</v>
      </c>
      <c r="T578">
        <v>2035</v>
      </c>
      <c r="U578">
        <v>42.75</v>
      </c>
      <c r="V578">
        <v>1</v>
      </c>
      <c r="W578">
        <v>2035</v>
      </c>
      <c r="X578">
        <v>9</v>
      </c>
      <c r="Y578">
        <v>2035</v>
      </c>
      <c r="Z578">
        <v>1</v>
      </c>
      <c r="AA578">
        <v>50</v>
      </c>
      <c r="AB578">
        <v>250</v>
      </c>
      <c r="AC578">
        <v>50</v>
      </c>
      <c r="AD578">
        <v>250</v>
      </c>
      <c r="AE578">
        <v>0</v>
      </c>
      <c r="AF578">
        <v>0</v>
      </c>
      <c r="AG578">
        <v>50</v>
      </c>
      <c r="AH578">
        <v>250</v>
      </c>
      <c r="AI578">
        <v>1</v>
      </c>
      <c r="AJ578">
        <v>2.8420000000000001</v>
      </c>
      <c r="AK578">
        <v>2036</v>
      </c>
      <c r="AL578" s="61">
        <v>2.944</v>
      </c>
      <c r="AM578" s="61">
        <v>2.8420000000000001</v>
      </c>
      <c r="AN578" s="61">
        <v>2.944</v>
      </c>
      <c r="AO578">
        <v>1.2513076834571593</v>
      </c>
      <c r="AP578">
        <v>1.0294008580614105</v>
      </c>
      <c r="AQ578">
        <v>1.2880972030496356</v>
      </c>
      <c r="AR578" t="b">
        <v>0</v>
      </c>
      <c r="AS578">
        <v>38.816946331086243</v>
      </c>
      <c r="AT578">
        <v>194.0847316554312</v>
      </c>
      <c r="AU578">
        <v>116.45083899325871</v>
      </c>
    </row>
    <row r="579" spans="1:47" x14ac:dyDescent="0.25">
      <c r="A579" t="s">
        <v>342</v>
      </c>
      <c r="B579" t="s">
        <v>486</v>
      </c>
      <c r="C579" t="s">
        <v>319</v>
      </c>
      <c r="D579">
        <v>2026</v>
      </c>
      <c r="E579">
        <v>0</v>
      </c>
      <c r="M579">
        <v>43</v>
      </c>
      <c r="Q579">
        <v>2026</v>
      </c>
      <c r="R579">
        <v>2036</v>
      </c>
      <c r="T579">
        <v>2036</v>
      </c>
      <c r="U579">
        <v>43.75</v>
      </c>
      <c r="W579">
        <v>2036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L579" s="61"/>
      <c r="AS579">
        <v>0</v>
      </c>
      <c r="AT579">
        <v>0</v>
      </c>
      <c r="AU579">
        <v>0</v>
      </c>
    </row>
    <row r="580" spans="1:47" x14ac:dyDescent="0.25">
      <c r="A580" t="s">
        <v>369</v>
      </c>
      <c r="B580" t="s">
        <v>487</v>
      </c>
      <c r="C580" t="s">
        <v>320</v>
      </c>
      <c r="D580">
        <v>2026</v>
      </c>
      <c r="E580">
        <v>0</v>
      </c>
      <c r="F580">
        <v>15</v>
      </c>
      <c r="G580">
        <v>0</v>
      </c>
      <c r="H580">
        <v>0</v>
      </c>
      <c r="I580">
        <v>30</v>
      </c>
      <c r="J580">
        <v>45</v>
      </c>
      <c r="K580">
        <v>4</v>
      </c>
      <c r="L580">
        <v>2</v>
      </c>
      <c r="M580">
        <v>44</v>
      </c>
      <c r="N580">
        <v>0</v>
      </c>
      <c r="O580" t="s">
        <v>27</v>
      </c>
      <c r="P580" t="s">
        <v>443</v>
      </c>
      <c r="Q580">
        <v>2026</v>
      </c>
      <c r="R580">
        <v>2041</v>
      </c>
      <c r="S580" t="s">
        <v>444</v>
      </c>
      <c r="T580">
        <v>2026</v>
      </c>
      <c r="U580">
        <v>33.75</v>
      </c>
      <c r="V580">
        <v>1</v>
      </c>
      <c r="W580">
        <v>2026</v>
      </c>
      <c r="X580">
        <v>0</v>
      </c>
      <c r="Y580">
        <v>2026</v>
      </c>
      <c r="Z580">
        <v>1</v>
      </c>
      <c r="AA580">
        <v>120</v>
      </c>
      <c r="AB580">
        <v>180</v>
      </c>
      <c r="AC580">
        <v>120</v>
      </c>
      <c r="AD580">
        <v>180</v>
      </c>
      <c r="AE580">
        <v>0</v>
      </c>
      <c r="AF580">
        <v>0</v>
      </c>
      <c r="AG580">
        <v>120</v>
      </c>
      <c r="AH580">
        <v>180</v>
      </c>
      <c r="AI580">
        <v>1</v>
      </c>
      <c r="AK580">
        <v>2027</v>
      </c>
      <c r="AL580" s="61">
        <v>2.4329999999999998</v>
      </c>
      <c r="AM580" s="61">
        <v>0</v>
      </c>
      <c r="AN580" s="61">
        <v>2.4329999999999998</v>
      </c>
      <c r="AO580">
        <v>1</v>
      </c>
      <c r="AP580">
        <v>1.023385968321771</v>
      </c>
      <c r="AQ580">
        <v>1.023385968321771</v>
      </c>
      <c r="AR580" t="b">
        <v>1</v>
      </c>
      <c r="AS580">
        <v>120</v>
      </c>
      <c r="AT580">
        <v>180</v>
      </c>
      <c r="AU580">
        <v>150</v>
      </c>
    </row>
    <row r="581" spans="1:47" x14ac:dyDescent="0.25">
      <c r="A581" t="s">
        <v>369</v>
      </c>
      <c r="B581" t="s">
        <v>487</v>
      </c>
      <c r="C581" t="s">
        <v>320</v>
      </c>
      <c r="D581">
        <v>2026</v>
      </c>
      <c r="E581">
        <v>0</v>
      </c>
      <c r="F581">
        <v>15</v>
      </c>
      <c r="G581">
        <v>0</v>
      </c>
      <c r="H581">
        <v>0</v>
      </c>
      <c r="I581">
        <v>30</v>
      </c>
      <c r="J581">
        <v>45</v>
      </c>
      <c r="K581">
        <v>4</v>
      </c>
      <c r="L581">
        <v>2</v>
      </c>
      <c r="M581">
        <v>44</v>
      </c>
      <c r="N581">
        <v>0</v>
      </c>
      <c r="O581" t="s">
        <v>27</v>
      </c>
      <c r="P581" t="s">
        <v>443</v>
      </c>
      <c r="Q581">
        <v>2026</v>
      </c>
      <c r="R581">
        <v>2041</v>
      </c>
      <c r="S581" t="s">
        <v>444</v>
      </c>
      <c r="T581">
        <v>2027</v>
      </c>
      <c r="U581">
        <v>34.75</v>
      </c>
      <c r="V581">
        <v>1</v>
      </c>
      <c r="W581">
        <v>2027</v>
      </c>
      <c r="X581">
        <v>1</v>
      </c>
      <c r="Y581">
        <v>2027</v>
      </c>
      <c r="Z581">
        <v>1</v>
      </c>
      <c r="AA581">
        <v>120</v>
      </c>
      <c r="AB581">
        <v>180</v>
      </c>
      <c r="AC581">
        <v>120</v>
      </c>
      <c r="AD581">
        <v>180</v>
      </c>
      <c r="AE581">
        <v>0</v>
      </c>
      <c r="AF581">
        <v>0</v>
      </c>
      <c r="AG581">
        <v>120</v>
      </c>
      <c r="AH581">
        <v>180</v>
      </c>
      <c r="AI581">
        <v>1</v>
      </c>
      <c r="AJ581">
        <v>2.4329999999999998</v>
      </c>
      <c r="AK581">
        <v>2028</v>
      </c>
      <c r="AL581" s="61">
        <v>2.4220000000000002</v>
      </c>
      <c r="AM581" s="61">
        <v>2.4329999999999998</v>
      </c>
      <c r="AN581" s="61">
        <v>2.4220000000000002</v>
      </c>
      <c r="AO581">
        <v>1</v>
      </c>
      <c r="AP581">
        <v>1.0242242189602202</v>
      </c>
      <c r="AQ581">
        <v>1.0242242189602202</v>
      </c>
      <c r="AR581" t="b">
        <v>0</v>
      </c>
      <c r="AS581">
        <v>117.16184579370963</v>
      </c>
      <c r="AT581">
        <v>175.74276869056445</v>
      </c>
      <c r="AU581">
        <v>146.45230724213704</v>
      </c>
    </row>
    <row r="582" spans="1:47" x14ac:dyDescent="0.25">
      <c r="A582" t="s">
        <v>369</v>
      </c>
      <c r="B582" t="s">
        <v>487</v>
      </c>
      <c r="C582" t="s">
        <v>320</v>
      </c>
      <c r="D582">
        <v>2026</v>
      </c>
      <c r="E582">
        <v>0</v>
      </c>
      <c r="F582">
        <v>15</v>
      </c>
      <c r="G582">
        <v>0</v>
      </c>
      <c r="H582">
        <v>0</v>
      </c>
      <c r="I582">
        <v>30</v>
      </c>
      <c r="J582">
        <v>45</v>
      </c>
      <c r="K582">
        <v>4</v>
      </c>
      <c r="L582">
        <v>2</v>
      </c>
      <c r="M582">
        <v>44</v>
      </c>
      <c r="N582">
        <v>0</v>
      </c>
      <c r="O582" t="s">
        <v>27</v>
      </c>
      <c r="P582" t="s">
        <v>443</v>
      </c>
      <c r="Q582">
        <v>2026</v>
      </c>
      <c r="R582">
        <v>2041</v>
      </c>
      <c r="S582" t="s">
        <v>444</v>
      </c>
      <c r="T582">
        <v>2028</v>
      </c>
      <c r="U582">
        <v>35.75</v>
      </c>
      <c r="V582">
        <v>1</v>
      </c>
      <c r="W582">
        <v>2028</v>
      </c>
      <c r="X582">
        <v>2</v>
      </c>
      <c r="Y582">
        <v>2028</v>
      </c>
      <c r="Z582">
        <v>1</v>
      </c>
      <c r="AA582">
        <v>120</v>
      </c>
      <c r="AB582">
        <v>180</v>
      </c>
      <c r="AC582">
        <v>120</v>
      </c>
      <c r="AD582">
        <v>180</v>
      </c>
      <c r="AE582">
        <v>0</v>
      </c>
      <c r="AF582">
        <v>0</v>
      </c>
      <c r="AG582">
        <v>120</v>
      </c>
      <c r="AH582">
        <v>180</v>
      </c>
      <c r="AI582">
        <v>1</v>
      </c>
      <c r="AJ582">
        <v>2.4220000000000002</v>
      </c>
      <c r="AK582">
        <v>2029</v>
      </c>
      <c r="AL582" s="61">
        <v>2.4209999999999998</v>
      </c>
      <c r="AM582" s="61">
        <v>2.4220000000000002</v>
      </c>
      <c r="AN582" s="61">
        <v>2.4209999999999998</v>
      </c>
      <c r="AO582">
        <v>1.0242199999999999</v>
      </c>
      <c r="AP582">
        <v>1.0242103835598433</v>
      </c>
      <c r="AQ582">
        <v>1.0490167590496626</v>
      </c>
      <c r="AR582" t="b">
        <v>0</v>
      </c>
      <c r="AS582">
        <v>114.39283401793483</v>
      </c>
      <c r="AT582">
        <v>171.58925102690225</v>
      </c>
      <c r="AU582">
        <v>142.99104252241852</v>
      </c>
    </row>
    <row r="583" spans="1:47" x14ac:dyDescent="0.25">
      <c r="A583" t="s">
        <v>369</v>
      </c>
      <c r="B583" t="s">
        <v>487</v>
      </c>
      <c r="C583" t="s">
        <v>320</v>
      </c>
      <c r="D583">
        <v>2026</v>
      </c>
      <c r="E583">
        <v>0</v>
      </c>
      <c r="F583">
        <v>15</v>
      </c>
      <c r="G583">
        <v>0</v>
      </c>
      <c r="H583">
        <v>0</v>
      </c>
      <c r="I583">
        <v>30</v>
      </c>
      <c r="J583">
        <v>45</v>
      </c>
      <c r="K583">
        <v>4</v>
      </c>
      <c r="L583">
        <v>2</v>
      </c>
      <c r="M583">
        <v>44</v>
      </c>
      <c r="N583">
        <v>0</v>
      </c>
      <c r="O583" t="s">
        <v>27</v>
      </c>
      <c r="P583" t="s">
        <v>443</v>
      </c>
      <c r="Q583">
        <v>2026</v>
      </c>
      <c r="R583">
        <v>2041</v>
      </c>
      <c r="S583" t="s">
        <v>444</v>
      </c>
      <c r="T583">
        <v>2029</v>
      </c>
      <c r="U583">
        <v>36.75</v>
      </c>
      <c r="V583">
        <v>1</v>
      </c>
      <c r="W583">
        <v>2029</v>
      </c>
      <c r="X583">
        <v>3</v>
      </c>
      <c r="Y583">
        <v>2029</v>
      </c>
      <c r="Z583">
        <v>1</v>
      </c>
      <c r="AA583">
        <v>120</v>
      </c>
      <c r="AB583">
        <v>180</v>
      </c>
      <c r="AC583">
        <v>120</v>
      </c>
      <c r="AD583">
        <v>180</v>
      </c>
      <c r="AE583">
        <v>0</v>
      </c>
      <c r="AF583">
        <v>0</v>
      </c>
      <c r="AG583">
        <v>120</v>
      </c>
      <c r="AH583">
        <v>180</v>
      </c>
      <c r="AI583">
        <v>1</v>
      </c>
      <c r="AJ583">
        <v>2.4209999999999998</v>
      </c>
      <c r="AK583">
        <v>2030</v>
      </c>
      <c r="AL583" s="61">
        <v>2.4670000000000001</v>
      </c>
      <c r="AM583" s="61">
        <v>2.4209999999999998</v>
      </c>
      <c r="AN583" s="61">
        <v>2.4670000000000001</v>
      </c>
      <c r="AO583">
        <v>1.0490061241000002</v>
      </c>
      <c r="AP583">
        <v>1.0246523523547908</v>
      </c>
      <c r="AQ583">
        <v>1.0748665926936467</v>
      </c>
      <c r="AR583" t="b">
        <v>0</v>
      </c>
      <c r="AS583">
        <v>111.64176169926031</v>
      </c>
      <c r="AT583">
        <v>167.46264254889047</v>
      </c>
      <c r="AU583">
        <v>139.55220212407539</v>
      </c>
    </row>
    <row r="584" spans="1:47" x14ac:dyDescent="0.25">
      <c r="A584" t="s">
        <v>369</v>
      </c>
      <c r="B584" t="s">
        <v>487</v>
      </c>
      <c r="C584" t="s">
        <v>320</v>
      </c>
      <c r="D584">
        <v>2026</v>
      </c>
      <c r="E584">
        <v>0</v>
      </c>
      <c r="F584">
        <v>15</v>
      </c>
      <c r="G584">
        <v>0</v>
      </c>
      <c r="H584">
        <v>0</v>
      </c>
      <c r="I584">
        <v>30</v>
      </c>
      <c r="J584">
        <v>45</v>
      </c>
      <c r="K584">
        <v>4</v>
      </c>
      <c r="L584">
        <v>2</v>
      </c>
      <c r="M584">
        <v>44</v>
      </c>
      <c r="N584">
        <v>0</v>
      </c>
      <c r="O584" t="s">
        <v>27</v>
      </c>
      <c r="P584" t="s">
        <v>443</v>
      </c>
      <c r="Q584">
        <v>2026</v>
      </c>
      <c r="R584">
        <v>2041</v>
      </c>
      <c r="S584" t="s">
        <v>444</v>
      </c>
      <c r="T584">
        <v>2030</v>
      </c>
      <c r="U584">
        <v>37.75</v>
      </c>
      <c r="V584">
        <v>1</v>
      </c>
      <c r="W584">
        <v>2030</v>
      </c>
      <c r="X584">
        <v>4</v>
      </c>
      <c r="Y584">
        <v>2030</v>
      </c>
      <c r="Z584">
        <v>1</v>
      </c>
      <c r="AA584">
        <v>120</v>
      </c>
      <c r="AB584">
        <v>180</v>
      </c>
      <c r="AC584">
        <v>120</v>
      </c>
      <c r="AD584">
        <v>180</v>
      </c>
      <c r="AE584">
        <v>0</v>
      </c>
      <c r="AF584">
        <v>0</v>
      </c>
      <c r="AG584">
        <v>120</v>
      </c>
      <c r="AH584">
        <v>180</v>
      </c>
      <c r="AI584">
        <v>1</v>
      </c>
      <c r="AJ584">
        <v>2.4670000000000001</v>
      </c>
      <c r="AK584">
        <v>2031</v>
      </c>
      <c r="AL584" s="61">
        <v>2.5169999999999999</v>
      </c>
      <c r="AM584" s="61">
        <v>2.4670000000000001</v>
      </c>
      <c r="AN584" s="61">
        <v>2.5169999999999999</v>
      </c>
      <c r="AO584">
        <v>1.0758508410815628</v>
      </c>
      <c r="AP584">
        <v>1.0251508174189523</v>
      </c>
      <c r="AQ584">
        <v>1.1029093691556315</v>
      </c>
      <c r="AR584" t="b">
        <v>0</v>
      </c>
      <c r="AS584">
        <v>108.80313773367429</v>
      </c>
      <c r="AT584">
        <v>163.20470660051143</v>
      </c>
      <c r="AU584">
        <v>136.00392216709287</v>
      </c>
    </row>
    <row r="585" spans="1:47" x14ac:dyDescent="0.25">
      <c r="A585" t="s">
        <v>369</v>
      </c>
      <c r="B585" t="s">
        <v>487</v>
      </c>
      <c r="C585" t="s">
        <v>320</v>
      </c>
      <c r="D585">
        <v>2026</v>
      </c>
      <c r="E585">
        <v>0</v>
      </c>
      <c r="F585">
        <v>15</v>
      </c>
      <c r="G585">
        <v>0</v>
      </c>
      <c r="H585">
        <v>0</v>
      </c>
      <c r="I585">
        <v>30</v>
      </c>
      <c r="J585">
        <v>45</v>
      </c>
      <c r="K585">
        <v>4</v>
      </c>
      <c r="L585">
        <v>2</v>
      </c>
      <c r="M585">
        <v>44</v>
      </c>
      <c r="N585">
        <v>0</v>
      </c>
      <c r="O585" t="s">
        <v>27</v>
      </c>
      <c r="P585" t="s">
        <v>443</v>
      </c>
      <c r="Q585">
        <v>2026</v>
      </c>
      <c r="R585">
        <v>2041</v>
      </c>
      <c r="S585" t="s">
        <v>444</v>
      </c>
      <c r="T585">
        <v>2031</v>
      </c>
      <c r="U585">
        <v>38.75</v>
      </c>
      <c r="V585">
        <v>1</v>
      </c>
      <c r="W585">
        <v>2031</v>
      </c>
      <c r="X585">
        <v>5</v>
      </c>
      <c r="Y585">
        <v>2031</v>
      </c>
      <c r="Z585">
        <v>1</v>
      </c>
      <c r="AA585">
        <v>120</v>
      </c>
      <c r="AB585">
        <v>180</v>
      </c>
      <c r="AC585">
        <v>120</v>
      </c>
      <c r="AD585">
        <v>180</v>
      </c>
      <c r="AE585">
        <v>0</v>
      </c>
      <c r="AF585">
        <v>0</v>
      </c>
      <c r="AG585">
        <v>120</v>
      </c>
      <c r="AH585">
        <v>180</v>
      </c>
      <c r="AI585">
        <v>1</v>
      </c>
      <c r="AJ585">
        <v>2.5169999999999999</v>
      </c>
      <c r="AK585">
        <v>2032</v>
      </c>
      <c r="AL585" s="61">
        <v>2.59</v>
      </c>
      <c r="AM585" s="61">
        <v>2.5169999999999999</v>
      </c>
      <c r="AN585" s="61">
        <v>2.59</v>
      </c>
      <c r="AO585">
        <v>1.1045453584485188</v>
      </c>
      <c r="AP585">
        <v>1.0258719904156592</v>
      </c>
      <c r="AQ585">
        <v>1.1331221453759597</v>
      </c>
      <c r="AR585" t="b">
        <v>0</v>
      </c>
      <c r="AS585">
        <v>105.90208698126281</v>
      </c>
      <c r="AT585">
        <v>158.85313047189422</v>
      </c>
      <c r="AU585">
        <v>132.3776087265785</v>
      </c>
    </row>
    <row r="586" spans="1:47" x14ac:dyDescent="0.25">
      <c r="A586" t="s">
        <v>369</v>
      </c>
      <c r="B586" t="s">
        <v>487</v>
      </c>
      <c r="C586" t="s">
        <v>320</v>
      </c>
      <c r="D586">
        <v>2026</v>
      </c>
      <c r="E586">
        <v>0</v>
      </c>
      <c r="F586">
        <v>15</v>
      </c>
      <c r="G586">
        <v>0</v>
      </c>
      <c r="H586">
        <v>0</v>
      </c>
      <c r="I586">
        <v>30</v>
      </c>
      <c r="J586">
        <v>45</v>
      </c>
      <c r="K586">
        <v>4</v>
      </c>
      <c r="L586">
        <v>2</v>
      </c>
      <c r="M586">
        <v>44</v>
      </c>
      <c r="N586">
        <v>0</v>
      </c>
      <c r="O586" t="s">
        <v>27</v>
      </c>
      <c r="P586" t="s">
        <v>443</v>
      </c>
      <c r="Q586">
        <v>2026</v>
      </c>
      <c r="R586">
        <v>2041</v>
      </c>
      <c r="S586" t="s">
        <v>444</v>
      </c>
      <c r="T586">
        <v>2032</v>
      </c>
      <c r="U586">
        <v>39.75</v>
      </c>
      <c r="V586">
        <v>1</v>
      </c>
      <c r="W586">
        <v>2032</v>
      </c>
      <c r="X586">
        <v>6</v>
      </c>
      <c r="Y586">
        <v>2032</v>
      </c>
      <c r="Z586">
        <v>1</v>
      </c>
      <c r="AA586">
        <v>120</v>
      </c>
      <c r="AB586">
        <v>180</v>
      </c>
      <c r="AC586">
        <v>120</v>
      </c>
      <c r="AD586">
        <v>180</v>
      </c>
      <c r="AE586">
        <v>0</v>
      </c>
      <c r="AF586">
        <v>0</v>
      </c>
      <c r="AG586">
        <v>120</v>
      </c>
      <c r="AH586">
        <v>180</v>
      </c>
      <c r="AI586">
        <v>1</v>
      </c>
      <c r="AJ586">
        <v>2.59</v>
      </c>
      <c r="AK586">
        <v>2033</v>
      </c>
      <c r="AL586" s="61">
        <v>2.6880000000000002</v>
      </c>
      <c r="AM586" s="61">
        <v>2.59</v>
      </c>
      <c r="AN586" s="61">
        <v>2.6880000000000002</v>
      </c>
      <c r="AO586">
        <v>1.1363841013749196</v>
      </c>
      <c r="AP586">
        <v>1.0268423936996114</v>
      </c>
      <c r="AQ586">
        <v>1.1668873708180043</v>
      </c>
      <c r="AR586" t="b">
        <v>0</v>
      </c>
      <c r="AS586">
        <v>102.83768853876474</v>
      </c>
      <c r="AT586">
        <v>154.25653280814711</v>
      </c>
      <c r="AU586">
        <v>128.54711067345593</v>
      </c>
    </row>
    <row r="587" spans="1:47" x14ac:dyDescent="0.25">
      <c r="A587" t="s">
        <v>369</v>
      </c>
      <c r="B587" t="s">
        <v>487</v>
      </c>
      <c r="C587" t="s">
        <v>320</v>
      </c>
      <c r="D587">
        <v>2026</v>
      </c>
      <c r="E587">
        <v>0</v>
      </c>
      <c r="F587">
        <v>15</v>
      </c>
      <c r="G587">
        <v>0</v>
      </c>
      <c r="H587">
        <v>0</v>
      </c>
      <c r="I587">
        <v>30</v>
      </c>
      <c r="J587">
        <v>45</v>
      </c>
      <c r="K587">
        <v>4</v>
      </c>
      <c r="L587">
        <v>2</v>
      </c>
      <c r="M587">
        <v>44</v>
      </c>
      <c r="N587">
        <v>0</v>
      </c>
      <c r="O587" t="s">
        <v>27</v>
      </c>
      <c r="P587" t="s">
        <v>443</v>
      </c>
      <c r="Q587">
        <v>2026</v>
      </c>
      <c r="R587">
        <v>2041</v>
      </c>
      <c r="S587" t="s">
        <v>444</v>
      </c>
      <c r="T587">
        <v>2033</v>
      </c>
      <c r="U587">
        <v>40.75</v>
      </c>
      <c r="V587">
        <v>1</v>
      </c>
      <c r="W587">
        <v>2033</v>
      </c>
      <c r="X587">
        <v>7</v>
      </c>
      <c r="Y587">
        <v>2033</v>
      </c>
      <c r="Z587">
        <v>1</v>
      </c>
      <c r="AA587">
        <v>120</v>
      </c>
      <c r="AB587">
        <v>180</v>
      </c>
      <c r="AC587">
        <v>120</v>
      </c>
      <c r="AD587">
        <v>180</v>
      </c>
      <c r="AE587">
        <v>0</v>
      </c>
      <c r="AF587">
        <v>0</v>
      </c>
      <c r="AG587">
        <v>120</v>
      </c>
      <c r="AH587">
        <v>180</v>
      </c>
      <c r="AI587">
        <v>1</v>
      </c>
      <c r="AJ587">
        <v>2.6880000000000002</v>
      </c>
      <c r="AK587">
        <v>2034</v>
      </c>
      <c r="AL587" s="61">
        <v>2.7519999999999998</v>
      </c>
      <c r="AM587" s="61">
        <v>2.6880000000000002</v>
      </c>
      <c r="AN587" s="61">
        <v>2.7519999999999998</v>
      </c>
      <c r="AO587">
        <v>1.1725143659072164</v>
      </c>
      <c r="AP587">
        <v>1.0274954447000768</v>
      </c>
      <c r="AQ587">
        <v>1.2047531698150638</v>
      </c>
      <c r="AR587" t="b">
        <v>0</v>
      </c>
      <c r="AS587">
        <v>99.605465257601821</v>
      </c>
      <c r="AT587">
        <v>149.40819788640275</v>
      </c>
      <c r="AU587">
        <v>124.50683157200228</v>
      </c>
    </row>
    <row r="588" spans="1:47" x14ac:dyDescent="0.25">
      <c r="A588" t="s">
        <v>369</v>
      </c>
      <c r="B588" t="s">
        <v>487</v>
      </c>
      <c r="C588" t="s">
        <v>320</v>
      </c>
      <c r="D588">
        <v>2026</v>
      </c>
      <c r="E588">
        <v>0</v>
      </c>
      <c r="F588">
        <v>15</v>
      </c>
      <c r="G588">
        <v>0</v>
      </c>
      <c r="H588">
        <v>0</v>
      </c>
      <c r="I588">
        <v>30</v>
      </c>
      <c r="J588">
        <v>45</v>
      </c>
      <c r="K588">
        <v>4</v>
      </c>
      <c r="L588">
        <v>2</v>
      </c>
      <c r="M588">
        <v>44</v>
      </c>
      <c r="N588">
        <v>0</v>
      </c>
      <c r="O588" t="s">
        <v>27</v>
      </c>
      <c r="P588" t="s">
        <v>443</v>
      </c>
      <c r="Q588">
        <v>2026</v>
      </c>
      <c r="R588">
        <v>2041</v>
      </c>
      <c r="S588" t="s">
        <v>444</v>
      </c>
      <c r="T588">
        <v>2034</v>
      </c>
      <c r="U588">
        <v>41.75</v>
      </c>
      <c r="V588">
        <v>1</v>
      </c>
      <c r="W588">
        <v>2034</v>
      </c>
      <c r="X588">
        <v>8</v>
      </c>
      <c r="Y588">
        <v>2034</v>
      </c>
      <c r="Z588">
        <v>1</v>
      </c>
      <c r="AA588">
        <v>120</v>
      </c>
      <c r="AB588">
        <v>180</v>
      </c>
      <c r="AC588">
        <v>120</v>
      </c>
      <c r="AD588">
        <v>180</v>
      </c>
      <c r="AE588">
        <v>0</v>
      </c>
      <c r="AF588">
        <v>0</v>
      </c>
      <c r="AG588">
        <v>120</v>
      </c>
      <c r="AH588">
        <v>180</v>
      </c>
      <c r="AI588">
        <v>1</v>
      </c>
      <c r="AJ588">
        <v>2.7519999999999998</v>
      </c>
      <c r="AK588">
        <v>2035</v>
      </c>
      <c r="AL588" s="61">
        <v>2.8420000000000001</v>
      </c>
      <c r="AM588" s="61">
        <v>2.7519999999999998</v>
      </c>
      <c r="AN588" s="61">
        <v>2.8420000000000001</v>
      </c>
      <c r="AO588">
        <v>1.2092942481281721</v>
      </c>
      <c r="AP588">
        <v>1.0283854649181425</v>
      </c>
      <c r="AQ588">
        <v>1.2436206275841259</v>
      </c>
      <c r="AR588" t="b">
        <v>0</v>
      </c>
      <c r="AS588">
        <v>96.492449014064363</v>
      </c>
      <c r="AT588">
        <v>144.73867352109656</v>
      </c>
      <c r="AU588">
        <v>120.61556126758046</v>
      </c>
    </row>
    <row r="589" spans="1:47" x14ac:dyDescent="0.25">
      <c r="A589" t="s">
        <v>369</v>
      </c>
      <c r="B589" t="s">
        <v>487</v>
      </c>
      <c r="C589" t="s">
        <v>320</v>
      </c>
      <c r="D589">
        <v>2026</v>
      </c>
      <c r="E589">
        <v>0</v>
      </c>
      <c r="F589">
        <v>15</v>
      </c>
      <c r="G589">
        <v>0</v>
      </c>
      <c r="H589">
        <v>0</v>
      </c>
      <c r="I589">
        <v>30</v>
      </c>
      <c r="J589">
        <v>45</v>
      </c>
      <c r="K589">
        <v>4</v>
      </c>
      <c r="L589">
        <v>2</v>
      </c>
      <c r="M589">
        <v>44</v>
      </c>
      <c r="N589">
        <v>0</v>
      </c>
      <c r="O589" t="s">
        <v>27</v>
      </c>
      <c r="P589" t="s">
        <v>443</v>
      </c>
      <c r="Q589">
        <v>2026</v>
      </c>
      <c r="R589">
        <v>2041</v>
      </c>
      <c r="S589" t="s">
        <v>444</v>
      </c>
      <c r="T589">
        <v>2035</v>
      </c>
      <c r="U589">
        <v>42.75</v>
      </c>
      <c r="V589">
        <v>1</v>
      </c>
      <c r="W589">
        <v>2035</v>
      </c>
      <c r="X589">
        <v>9</v>
      </c>
      <c r="Y589">
        <v>2035</v>
      </c>
      <c r="Z589">
        <v>1</v>
      </c>
      <c r="AA589">
        <v>120</v>
      </c>
      <c r="AB589">
        <v>180</v>
      </c>
      <c r="AC589">
        <v>120</v>
      </c>
      <c r="AD589">
        <v>180</v>
      </c>
      <c r="AE589">
        <v>0</v>
      </c>
      <c r="AF589">
        <v>0</v>
      </c>
      <c r="AG589">
        <v>120</v>
      </c>
      <c r="AH589">
        <v>180</v>
      </c>
      <c r="AI589">
        <v>1</v>
      </c>
      <c r="AJ589">
        <v>2.8420000000000001</v>
      </c>
      <c r="AK589">
        <v>2036</v>
      </c>
      <c r="AL589" s="61">
        <v>2.944</v>
      </c>
      <c r="AM589" s="61">
        <v>2.8420000000000001</v>
      </c>
      <c r="AN589" s="61">
        <v>2.944</v>
      </c>
      <c r="AO589">
        <v>1.2513076834571593</v>
      </c>
      <c r="AP589">
        <v>1.0294008580614105</v>
      </c>
      <c r="AQ589">
        <v>1.2880972030496356</v>
      </c>
      <c r="AR589" t="b">
        <v>0</v>
      </c>
      <c r="AS589">
        <v>93.160671194606977</v>
      </c>
      <c r="AT589">
        <v>139.74100679191045</v>
      </c>
      <c r="AU589">
        <v>116.45083899325871</v>
      </c>
    </row>
    <row r="590" spans="1:47" x14ac:dyDescent="0.25">
      <c r="A590" t="s">
        <v>369</v>
      </c>
      <c r="B590" t="s">
        <v>487</v>
      </c>
      <c r="C590" t="s">
        <v>320</v>
      </c>
      <c r="D590">
        <v>2026</v>
      </c>
      <c r="E590">
        <v>0</v>
      </c>
      <c r="F590">
        <v>15</v>
      </c>
      <c r="G590">
        <v>0</v>
      </c>
      <c r="H590">
        <v>0</v>
      </c>
      <c r="I590">
        <v>30</v>
      </c>
      <c r="J590">
        <v>45</v>
      </c>
      <c r="K590">
        <v>4</v>
      </c>
      <c r="L590">
        <v>2</v>
      </c>
      <c r="M590">
        <v>44</v>
      </c>
      <c r="N590">
        <v>0</v>
      </c>
      <c r="O590" t="s">
        <v>27</v>
      </c>
      <c r="P590" t="s">
        <v>443</v>
      </c>
      <c r="Q590">
        <v>2026</v>
      </c>
      <c r="R590">
        <v>2041</v>
      </c>
      <c r="S590" t="s">
        <v>444</v>
      </c>
      <c r="T590">
        <v>2036</v>
      </c>
      <c r="U590">
        <v>43.75</v>
      </c>
      <c r="V590">
        <v>1</v>
      </c>
      <c r="W590">
        <v>2036</v>
      </c>
      <c r="X590">
        <v>10</v>
      </c>
      <c r="Y590">
        <v>2036</v>
      </c>
      <c r="Z590">
        <v>1</v>
      </c>
      <c r="AA590">
        <v>120</v>
      </c>
      <c r="AB590">
        <v>180</v>
      </c>
      <c r="AC590">
        <v>120</v>
      </c>
      <c r="AD590">
        <v>180</v>
      </c>
      <c r="AE590">
        <v>0</v>
      </c>
      <c r="AF590">
        <v>0</v>
      </c>
      <c r="AG590">
        <v>120</v>
      </c>
      <c r="AH590">
        <v>180</v>
      </c>
      <c r="AI590">
        <v>1</v>
      </c>
      <c r="AJ590">
        <v>2.944</v>
      </c>
      <c r="AK590">
        <v>2037</v>
      </c>
      <c r="AL590" s="61">
        <v>3.036</v>
      </c>
      <c r="AM590" s="61">
        <v>2.944</v>
      </c>
      <c r="AN590" s="61">
        <v>3.036</v>
      </c>
      <c r="AO590">
        <v>1.2984025298030446</v>
      </c>
      <c r="AP590">
        <v>1.0303246971701443</v>
      </c>
      <c r="AQ590">
        <v>1.3377761933242711</v>
      </c>
      <c r="AR590" t="b">
        <v>0</v>
      </c>
      <c r="AS590">
        <v>89.701102919023555</v>
      </c>
      <c r="AT590">
        <v>134.55165437853535</v>
      </c>
      <c r="AU590">
        <v>112.12637864877945</v>
      </c>
    </row>
    <row r="591" spans="1:47" x14ac:dyDescent="0.25">
      <c r="A591" t="s">
        <v>369</v>
      </c>
      <c r="B591" t="s">
        <v>487</v>
      </c>
      <c r="C591" t="s">
        <v>320</v>
      </c>
      <c r="D591">
        <v>2026</v>
      </c>
      <c r="E591">
        <v>0</v>
      </c>
      <c r="F591">
        <v>15</v>
      </c>
      <c r="G591">
        <v>0</v>
      </c>
      <c r="H591">
        <v>0</v>
      </c>
      <c r="I591">
        <v>30</v>
      </c>
      <c r="J591">
        <v>45</v>
      </c>
      <c r="K591">
        <v>4</v>
      </c>
      <c r="L591">
        <v>2</v>
      </c>
      <c r="M591">
        <v>44</v>
      </c>
      <c r="N591">
        <v>0</v>
      </c>
      <c r="O591" t="s">
        <v>27</v>
      </c>
      <c r="P591" t="s">
        <v>443</v>
      </c>
      <c r="Q591">
        <v>2026</v>
      </c>
      <c r="R591">
        <v>2041</v>
      </c>
      <c r="S591" t="s">
        <v>444</v>
      </c>
      <c r="T591">
        <v>2037</v>
      </c>
      <c r="U591">
        <v>44.75</v>
      </c>
      <c r="V591">
        <v>1</v>
      </c>
      <c r="W591">
        <v>2037</v>
      </c>
      <c r="X591">
        <v>11</v>
      </c>
      <c r="Y591">
        <v>2037</v>
      </c>
      <c r="Z591">
        <v>1</v>
      </c>
      <c r="AA591">
        <v>120</v>
      </c>
      <c r="AB591">
        <v>180</v>
      </c>
      <c r="AC591">
        <v>120</v>
      </c>
      <c r="AD591">
        <v>180</v>
      </c>
      <c r="AE591">
        <v>0</v>
      </c>
      <c r="AF591">
        <v>0</v>
      </c>
      <c r="AG591">
        <v>120</v>
      </c>
      <c r="AH591">
        <v>180</v>
      </c>
      <c r="AI591">
        <v>1</v>
      </c>
      <c r="AJ591">
        <v>3.036</v>
      </c>
      <c r="AK591">
        <v>2038</v>
      </c>
      <c r="AL591" s="61">
        <v>3.1339999999999999</v>
      </c>
      <c r="AM591" s="61">
        <v>3.036</v>
      </c>
      <c r="AN591" s="61">
        <v>3.1339999999999999</v>
      </c>
      <c r="AO591">
        <v>1.3486209574989538</v>
      </c>
      <c r="AP591">
        <v>1.0313023937742947</v>
      </c>
      <c r="AQ591">
        <v>1.3908360217628524</v>
      </c>
      <c r="AR591" t="b">
        <v>0</v>
      </c>
      <c r="AS591">
        <v>86.279042333044259</v>
      </c>
      <c r="AT591">
        <v>129.41856349956637</v>
      </c>
      <c r="AU591">
        <v>107.84880291630532</v>
      </c>
    </row>
    <row r="592" spans="1:47" x14ac:dyDescent="0.25">
      <c r="A592" t="s">
        <v>369</v>
      </c>
      <c r="B592" t="s">
        <v>487</v>
      </c>
      <c r="C592" t="s">
        <v>320</v>
      </c>
      <c r="D592">
        <v>2026</v>
      </c>
      <c r="E592">
        <v>0</v>
      </c>
      <c r="F592">
        <v>15</v>
      </c>
      <c r="G592">
        <v>0</v>
      </c>
      <c r="H592">
        <v>0</v>
      </c>
      <c r="I592">
        <v>30</v>
      </c>
      <c r="J592">
        <v>45</v>
      </c>
      <c r="K592">
        <v>4</v>
      </c>
      <c r="L592">
        <v>2</v>
      </c>
      <c r="M592">
        <v>44</v>
      </c>
      <c r="N592">
        <v>0</v>
      </c>
      <c r="O592" t="s">
        <v>27</v>
      </c>
      <c r="P592" t="s">
        <v>443</v>
      </c>
      <c r="Q592">
        <v>2026</v>
      </c>
      <c r="R592">
        <v>2041</v>
      </c>
      <c r="S592" t="s">
        <v>444</v>
      </c>
      <c r="T592">
        <v>2038</v>
      </c>
      <c r="U592">
        <v>45.75</v>
      </c>
      <c r="V592">
        <v>1</v>
      </c>
      <c r="W592">
        <v>2038</v>
      </c>
      <c r="X592">
        <v>12</v>
      </c>
      <c r="Y592">
        <v>2038</v>
      </c>
      <c r="Z592">
        <v>1</v>
      </c>
      <c r="AA592">
        <v>120</v>
      </c>
      <c r="AB592">
        <v>180</v>
      </c>
      <c r="AC592">
        <v>120</v>
      </c>
      <c r="AD592">
        <v>180</v>
      </c>
      <c r="AE592">
        <v>0</v>
      </c>
      <c r="AF592">
        <v>0</v>
      </c>
      <c r="AG592">
        <v>120</v>
      </c>
      <c r="AH592">
        <v>180</v>
      </c>
      <c r="AI592">
        <v>1</v>
      </c>
      <c r="AJ592">
        <v>3.1339999999999999</v>
      </c>
      <c r="AK592">
        <v>2039</v>
      </c>
      <c r="AL592" s="61">
        <v>3.2069999999999999</v>
      </c>
      <c r="AM592" s="61">
        <v>3.1339999999999999</v>
      </c>
      <c r="AN592" s="61">
        <v>3.2069999999999999</v>
      </c>
      <c r="AO592">
        <v>1.4041725591738043</v>
      </c>
      <c r="AP592">
        <v>1.0320419904729838</v>
      </c>
      <c r="AQ592">
        <v>1.4491650429372767</v>
      </c>
      <c r="AR592" t="b">
        <v>0</v>
      </c>
      <c r="AS592">
        <v>82.806303246713</v>
      </c>
      <c r="AT592">
        <v>124.20945487006951</v>
      </c>
      <c r="AU592">
        <v>103.50787905839125</v>
      </c>
    </row>
    <row r="593" spans="1:47" x14ac:dyDescent="0.25">
      <c r="A593" t="s">
        <v>369</v>
      </c>
      <c r="B593" t="s">
        <v>487</v>
      </c>
      <c r="C593" t="s">
        <v>320</v>
      </c>
      <c r="D593">
        <v>2026</v>
      </c>
      <c r="E593">
        <v>0</v>
      </c>
      <c r="F593">
        <v>15</v>
      </c>
      <c r="G593">
        <v>0</v>
      </c>
      <c r="H593">
        <v>0</v>
      </c>
      <c r="I593">
        <v>30</v>
      </c>
      <c r="J593">
        <v>45</v>
      </c>
      <c r="K593">
        <v>4</v>
      </c>
      <c r="L593">
        <v>2</v>
      </c>
      <c r="M593">
        <v>44</v>
      </c>
      <c r="N593">
        <v>0</v>
      </c>
      <c r="O593" t="s">
        <v>27</v>
      </c>
      <c r="P593" t="s">
        <v>443</v>
      </c>
      <c r="Q593">
        <v>2026</v>
      </c>
      <c r="R593">
        <v>2041</v>
      </c>
      <c r="S593" t="s">
        <v>444</v>
      </c>
      <c r="T593">
        <v>2039</v>
      </c>
      <c r="U593">
        <v>46.75</v>
      </c>
      <c r="V593">
        <v>1</v>
      </c>
      <c r="W593">
        <v>2039</v>
      </c>
      <c r="X593">
        <v>13</v>
      </c>
      <c r="Y593">
        <v>2039</v>
      </c>
      <c r="Z593">
        <v>1</v>
      </c>
      <c r="AA593">
        <v>120</v>
      </c>
      <c r="AB593">
        <v>180</v>
      </c>
      <c r="AC593">
        <v>120</v>
      </c>
      <c r="AD593">
        <v>180</v>
      </c>
      <c r="AE593">
        <v>0</v>
      </c>
      <c r="AF593">
        <v>0</v>
      </c>
      <c r="AG593">
        <v>120</v>
      </c>
      <c r="AH593">
        <v>180</v>
      </c>
      <c r="AI593">
        <v>1</v>
      </c>
      <c r="AJ593">
        <v>3.2069999999999999</v>
      </c>
      <c r="AK593">
        <v>2040</v>
      </c>
      <c r="AL593" s="61">
        <v>3.3029999999999999</v>
      </c>
      <c r="AM593" s="61">
        <v>3.2069999999999999</v>
      </c>
      <c r="AN593" s="61">
        <v>3.3029999999999999</v>
      </c>
      <c r="AO593">
        <v>1.4605278779269859</v>
      </c>
      <c r="AP593">
        <v>1.0329931616190409</v>
      </c>
      <c r="AQ593">
        <v>1.5087153102525457</v>
      </c>
      <c r="AR593" t="b">
        <v>0</v>
      </c>
      <c r="AS593">
        <v>79.537868532608087</v>
      </c>
      <c r="AT593">
        <v>119.30680279891213</v>
      </c>
      <c r="AU593">
        <v>99.422335665760102</v>
      </c>
    </row>
    <row r="594" spans="1:47" x14ac:dyDescent="0.25">
      <c r="A594" t="s">
        <v>369</v>
      </c>
      <c r="B594" t="s">
        <v>487</v>
      </c>
      <c r="C594" t="s">
        <v>320</v>
      </c>
      <c r="D594">
        <v>2026</v>
      </c>
      <c r="E594">
        <v>0</v>
      </c>
      <c r="F594">
        <v>15</v>
      </c>
      <c r="G594">
        <v>0</v>
      </c>
      <c r="H594">
        <v>0</v>
      </c>
      <c r="I594">
        <v>30</v>
      </c>
      <c r="J594">
        <v>45</v>
      </c>
      <c r="K594">
        <v>4</v>
      </c>
      <c r="L594">
        <v>2</v>
      </c>
      <c r="M594">
        <v>44</v>
      </c>
      <c r="N594">
        <v>0</v>
      </c>
      <c r="O594" t="s">
        <v>27</v>
      </c>
      <c r="P594" t="s">
        <v>443</v>
      </c>
      <c r="Q594">
        <v>2026</v>
      </c>
      <c r="R594">
        <v>2041</v>
      </c>
      <c r="S594" t="s">
        <v>444</v>
      </c>
      <c r="T594">
        <v>2040</v>
      </c>
      <c r="U594">
        <v>47.75</v>
      </c>
      <c r="V594">
        <v>1</v>
      </c>
      <c r="W594">
        <v>2040</v>
      </c>
      <c r="X594">
        <v>14</v>
      </c>
      <c r="Y594">
        <v>2040</v>
      </c>
      <c r="Z594">
        <v>1</v>
      </c>
      <c r="AA594">
        <v>120</v>
      </c>
      <c r="AB594">
        <v>180</v>
      </c>
      <c r="AC594">
        <v>120</v>
      </c>
      <c r="AD594">
        <v>180</v>
      </c>
      <c r="AE594">
        <v>0</v>
      </c>
      <c r="AF594">
        <v>0</v>
      </c>
      <c r="AG594">
        <v>120</v>
      </c>
      <c r="AH594">
        <v>180</v>
      </c>
      <c r="AI594">
        <v>1</v>
      </c>
      <c r="AJ594">
        <v>3.3029999999999999</v>
      </c>
      <c r="AK594">
        <v>2041</v>
      </c>
      <c r="AL594" s="61">
        <v>3.3559999999999999</v>
      </c>
      <c r="AM594" s="61">
        <v>3.3029999999999999</v>
      </c>
      <c r="AN594" s="61">
        <v>3.3559999999999999</v>
      </c>
      <c r="AO594">
        <v>1.5256964700083253</v>
      </c>
      <c r="AP594">
        <v>1.0335396662189136</v>
      </c>
      <c r="AQ594">
        <v>1.5768678203637791</v>
      </c>
      <c r="AR594" t="b">
        <v>0</v>
      </c>
      <c r="AS594">
        <v>76.100227584272929</v>
      </c>
      <c r="AT594">
        <v>114.1503413764094</v>
      </c>
      <c r="AU594">
        <v>95.125284480341165</v>
      </c>
    </row>
    <row r="595" spans="1:47" x14ac:dyDescent="0.25">
      <c r="A595" t="s">
        <v>369</v>
      </c>
      <c r="B595" t="s">
        <v>487</v>
      </c>
      <c r="C595" t="s">
        <v>320</v>
      </c>
      <c r="D595">
        <v>2026</v>
      </c>
      <c r="E595">
        <v>0</v>
      </c>
      <c r="M595">
        <v>44</v>
      </c>
      <c r="Q595">
        <v>2026</v>
      </c>
      <c r="R595">
        <v>2041</v>
      </c>
      <c r="T595">
        <v>2041</v>
      </c>
      <c r="U595">
        <v>48.75</v>
      </c>
      <c r="W595">
        <v>2041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L595" s="61"/>
      <c r="AS595">
        <v>0</v>
      </c>
      <c r="AT595">
        <v>0</v>
      </c>
      <c r="AU595">
        <v>0</v>
      </c>
    </row>
    <row r="596" spans="1:47" x14ac:dyDescent="0.25">
      <c r="A596" t="s">
        <v>343</v>
      </c>
      <c r="B596" t="s">
        <v>488</v>
      </c>
      <c r="C596" t="s">
        <v>319</v>
      </c>
      <c r="D596">
        <v>2026</v>
      </c>
      <c r="E596">
        <v>0</v>
      </c>
      <c r="F596">
        <v>10</v>
      </c>
      <c r="G596">
        <v>0</v>
      </c>
      <c r="H596">
        <v>0</v>
      </c>
      <c r="I596">
        <v>50</v>
      </c>
      <c r="J596">
        <v>250</v>
      </c>
      <c r="K596">
        <v>1</v>
      </c>
      <c r="L596">
        <v>1</v>
      </c>
      <c r="M596">
        <v>45</v>
      </c>
      <c r="N596">
        <v>0</v>
      </c>
      <c r="O596" t="s">
        <v>27</v>
      </c>
      <c r="P596" t="s">
        <v>443</v>
      </c>
      <c r="Q596">
        <v>2026</v>
      </c>
      <c r="R596">
        <v>2036</v>
      </c>
      <c r="S596" t="s">
        <v>444</v>
      </c>
      <c r="T596">
        <v>2026</v>
      </c>
      <c r="U596">
        <v>33.75</v>
      </c>
      <c r="V596">
        <v>1</v>
      </c>
      <c r="W596">
        <v>2026</v>
      </c>
      <c r="X596">
        <v>0</v>
      </c>
      <c r="Y596">
        <v>2026</v>
      </c>
      <c r="Z596">
        <v>1</v>
      </c>
      <c r="AA596">
        <v>50</v>
      </c>
      <c r="AB596">
        <v>250</v>
      </c>
      <c r="AC596">
        <v>50</v>
      </c>
      <c r="AD596">
        <v>250</v>
      </c>
      <c r="AE596">
        <v>0</v>
      </c>
      <c r="AF596">
        <v>0</v>
      </c>
      <c r="AG596">
        <v>50</v>
      </c>
      <c r="AH596">
        <v>250</v>
      </c>
      <c r="AI596">
        <v>1</v>
      </c>
      <c r="AK596">
        <v>2027</v>
      </c>
      <c r="AL596" s="61">
        <v>2.4329999999999998</v>
      </c>
      <c r="AM596" s="61">
        <v>0</v>
      </c>
      <c r="AN596" s="61">
        <v>2.4329999999999998</v>
      </c>
      <c r="AO596">
        <v>1</v>
      </c>
      <c r="AP596">
        <v>1.023385968321771</v>
      </c>
      <c r="AQ596">
        <v>1.023385968321771</v>
      </c>
      <c r="AR596" t="b">
        <v>1</v>
      </c>
      <c r="AS596">
        <v>50</v>
      </c>
      <c r="AT596">
        <v>250</v>
      </c>
      <c r="AU596">
        <v>150</v>
      </c>
    </row>
    <row r="597" spans="1:47" x14ac:dyDescent="0.25">
      <c r="A597" t="s">
        <v>343</v>
      </c>
      <c r="B597" t="s">
        <v>488</v>
      </c>
      <c r="C597" t="s">
        <v>319</v>
      </c>
      <c r="D597">
        <v>2026</v>
      </c>
      <c r="E597">
        <v>0</v>
      </c>
      <c r="F597">
        <v>10</v>
      </c>
      <c r="G597">
        <v>0</v>
      </c>
      <c r="H597">
        <v>0</v>
      </c>
      <c r="I597">
        <v>50</v>
      </c>
      <c r="J597">
        <v>250</v>
      </c>
      <c r="K597">
        <v>1</v>
      </c>
      <c r="L597">
        <v>1</v>
      </c>
      <c r="M597">
        <v>45</v>
      </c>
      <c r="N597">
        <v>0</v>
      </c>
      <c r="O597" t="s">
        <v>27</v>
      </c>
      <c r="P597" t="s">
        <v>443</v>
      </c>
      <c r="Q597">
        <v>2026</v>
      </c>
      <c r="R597">
        <v>2036</v>
      </c>
      <c r="S597" t="s">
        <v>444</v>
      </c>
      <c r="T597">
        <v>2027</v>
      </c>
      <c r="U597">
        <v>34.75</v>
      </c>
      <c r="V597">
        <v>1</v>
      </c>
      <c r="W597">
        <v>2027</v>
      </c>
      <c r="X597">
        <v>1</v>
      </c>
      <c r="Y597">
        <v>2027</v>
      </c>
      <c r="Z597">
        <v>1</v>
      </c>
      <c r="AA597">
        <v>50</v>
      </c>
      <c r="AB597">
        <v>250</v>
      </c>
      <c r="AC597">
        <v>50</v>
      </c>
      <c r="AD597">
        <v>250</v>
      </c>
      <c r="AE597">
        <v>0</v>
      </c>
      <c r="AF597">
        <v>0</v>
      </c>
      <c r="AG597">
        <v>50</v>
      </c>
      <c r="AH597">
        <v>250</v>
      </c>
      <c r="AI597">
        <v>1</v>
      </c>
      <c r="AJ597">
        <v>2.4329999999999998</v>
      </c>
      <c r="AK597">
        <v>2028</v>
      </c>
      <c r="AL597" s="61">
        <v>2.4220000000000002</v>
      </c>
      <c r="AM597" s="61">
        <v>2.4329999999999998</v>
      </c>
      <c r="AN597" s="61">
        <v>2.4220000000000002</v>
      </c>
      <c r="AO597">
        <v>1</v>
      </c>
      <c r="AP597">
        <v>1.0242242189602202</v>
      </c>
      <c r="AQ597">
        <v>1.0242242189602202</v>
      </c>
      <c r="AR597" t="b">
        <v>0</v>
      </c>
      <c r="AS597">
        <v>48.817435747379008</v>
      </c>
      <c r="AT597">
        <v>244.08717873689505</v>
      </c>
      <c r="AU597">
        <v>146.45230724213704</v>
      </c>
    </row>
    <row r="598" spans="1:47" x14ac:dyDescent="0.25">
      <c r="A598" t="s">
        <v>343</v>
      </c>
      <c r="B598" t="s">
        <v>488</v>
      </c>
      <c r="C598" t="s">
        <v>319</v>
      </c>
      <c r="D598">
        <v>2026</v>
      </c>
      <c r="E598">
        <v>0</v>
      </c>
      <c r="F598">
        <v>10</v>
      </c>
      <c r="G598">
        <v>0</v>
      </c>
      <c r="H598">
        <v>0</v>
      </c>
      <c r="I598">
        <v>50</v>
      </c>
      <c r="J598">
        <v>250</v>
      </c>
      <c r="K598">
        <v>1</v>
      </c>
      <c r="L598">
        <v>1</v>
      </c>
      <c r="M598">
        <v>45</v>
      </c>
      <c r="N598">
        <v>0</v>
      </c>
      <c r="O598" t="s">
        <v>27</v>
      </c>
      <c r="P598" t="s">
        <v>443</v>
      </c>
      <c r="Q598">
        <v>2026</v>
      </c>
      <c r="R598">
        <v>2036</v>
      </c>
      <c r="S598" t="s">
        <v>444</v>
      </c>
      <c r="T598">
        <v>2028</v>
      </c>
      <c r="U598">
        <v>35.75</v>
      </c>
      <c r="V598">
        <v>1</v>
      </c>
      <c r="W598">
        <v>2028</v>
      </c>
      <c r="X598">
        <v>2</v>
      </c>
      <c r="Y598">
        <v>2028</v>
      </c>
      <c r="Z598">
        <v>1</v>
      </c>
      <c r="AA598">
        <v>50</v>
      </c>
      <c r="AB598">
        <v>250</v>
      </c>
      <c r="AC598">
        <v>50</v>
      </c>
      <c r="AD598">
        <v>250</v>
      </c>
      <c r="AE598">
        <v>0</v>
      </c>
      <c r="AF598">
        <v>0</v>
      </c>
      <c r="AG598">
        <v>50</v>
      </c>
      <c r="AH598">
        <v>250</v>
      </c>
      <c r="AI598">
        <v>1</v>
      </c>
      <c r="AJ598">
        <v>2.4220000000000002</v>
      </c>
      <c r="AK598">
        <v>2029</v>
      </c>
      <c r="AL598" s="61">
        <v>2.4209999999999998</v>
      </c>
      <c r="AM598" s="61">
        <v>2.4220000000000002</v>
      </c>
      <c r="AN598" s="61">
        <v>2.4209999999999998</v>
      </c>
      <c r="AO598">
        <v>1.0242199999999999</v>
      </c>
      <c r="AP598">
        <v>1.0242103835598433</v>
      </c>
      <c r="AQ598">
        <v>1.0490167590496626</v>
      </c>
      <c r="AR598" t="b">
        <v>0</v>
      </c>
      <c r="AS598">
        <v>47.66368084080618</v>
      </c>
      <c r="AT598">
        <v>238.31840420403091</v>
      </c>
      <c r="AU598">
        <v>142.99104252241855</v>
      </c>
    </row>
    <row r="599" spans="1:47" x14ac:dyDescent="0.25">
      <c r="A599" t="s">
        <v>343</v>
      </c>
      <c r="B599" t="s">
        <v>488</v>
      </c>
      <c r="C599" t="s">
        <v>319</v>
      </c>
      <c r="D599">
        <v>2026</v>
      </c>
      <c r="E599">
        <v>0</v>
      </c>
      <c r="F599">
        <v>10</v>
      </c>
      <c r="G599">
        <v>0</v>
      </c>
      <c r="H599">
        <v>0</v>
      </c>
      <c r="I599">
        <v>50</v>
      </c>
      <c r="J599">
        <v>250</v>
      </c>
      <c r="K599">
        <v>1</v>
      </c>
      <c r="L599">
        <v>1</v>
      </c>
      <c r="M599">
        <v>45</v>
      </c>
      <c r="N599">
        <v>0</v>
      </c>
      <c r="O599" t="s">
        <v>27</v>
      </c>
      <c r="P599" t="s">
        <v>443</v>
      </c>
      <c r="Q599">
        <v>2026</v>
      </c>
      <c r="R599">
        <v>2036</v>
      </c>
      <c r="S599" t="s">
        <v>444</v>
      </c>
      <c r="T599">
        <v>2029</v>
      </c>
      <c r="U599">
        <v>36.75</v>
      </c>
      <c r="V599">
        <v>1</v>
      </c>
      <c r="W599">
        <v>2029</v>
      </c>
      <c r="X599">
        <v>3</v>
      </c>
      <c r="Y599">
        <v>2029</v>
      </c>
      <c r="Z599">
        <v>1</v>
      </c>
      <c r="AA599">
        <v>50</v>
      </c>
      <c r="AB599">
        <v>250</v>
      </c>
      <c r="AC599">
        <v>50</v>
      </c>
      <c r="AD599">
        <v>250</v>
      </c>
      <c r="AE599">
        <v>0</v>
      </c>
      <c r="AF599">
        <v>0</v>
      </c>
      <c r="AG599">
        <v>50</v>
      </c>
      <c r="AH599">
        <v>250</v>
      </c>
      <c r="AI599">
        <v>1</v>
      </c>
      <c r="AJ599">
        <v>2.4209999999999998</v>
      </c>
      <c r="AK599">
        <v>2030</v>
      </c>
      <c r="AL599" s="61">
        <v>2.4670000000000001</v>
      </c>
      <c r="AM599" s="61">
        <v>2.4209999999999998</v>
      </c>
      <c r="AN599" s="61">
        <v>2.4670000000000001</v>
      </c>
      <c r="AO599">
        <v>1.0490061241000002</v>
      </c>
      <c r="AP599">
        <v>1.0246523523547908</v>
      </c>
      <c r="AQ599">
        <v>1.0748665926936467</v>
      </c>
      <c r="AR599" t="b">
        <v>0</v>
      </c>
      <c r="AS599">
        <v>46.517400708025129</v>
      </c>
      <c r="AT599">
        <v>232.58700354012564</v>
      </c>
      <c r="AU599">
        <v>139.55220212407539</v>
      </c>
    </row>
    <row r="600" spans="1:47" x14ac:dyDescent="0.25">
      <c r="A600" t="s">
        <v>343</v>
      </c>
      <c r="B600" t="s">
        <v>488</v>
      </c>
      <c r="C600" t="s">
        <v>319</v>
      </c>
      <c r="D600">
        <v>2026</v>
      </c>
      <c r="E600">
        <v>0</v>
      </c>
      <c r="F600">
        <v>10</v>
      </c>
      <c r="G600">
        <v>0</v>
      </c>
      <c r="H600">
        <v>0</v>
      </c>
      <c r="I600">
        <v>50</v>
      </c>
      <c r="J600">
        <v>250</v>
      </c>
      <c r="K600">
        <v>1</v>
      </c>
      <c r="L600">
        <v>1</v>
      </c>
      <c r="M600">
        <v>45</v>
      </c>
      <c r="N600">
        <v>0</v>
      </c>
      <c r="O600" t="s">
        <v>27</v>
      </c>
      <c r="P600" t="s">
        <v>443</v>
      </c>
      <c r="Q600">
        <v>2026</v>
      </c>
      <c r="R600">
        <v>2036</v>
      </c>
      <c r="S600" t="s">
        <v>444</v>
      </c>
      <c r="T600">
        <v>2030</v>
      </c>
      <c r="U600">
        <v>37.75</v>
      </c>
      <c r="V600">
        <v>1</v>
      </c>
      <c r="W600">
        <v>2030</v>
      </c>
      <c r="X600">
        <v>4</v>
      </c>
      <c r="Y600">
        <v>2030</v>
      </c>
      <c r="Z600">
        <v>1</v>
      </c>
      <c r="AA600">
        <v>50</v>
      </c>
      <c r="AB600">
        <v>250</v>
      </c>
      <c r="AC600">
        <v>50</v>
      </c>
      <c r="AD600">
        <v>250</v>
      </c>
      <c r="AE600">
        <v>0</v>
      </c>
      <c r="AF600">
        <v>0</v>
      </c>
      <c r="AG600">
        <v>50</v>
      </c>
      <c r="AH600">
        <v>250</v>
      </c>
      <c r="AI600">
        <v>1</v>
      </c>
      <c r="AJ600">
        <v>2.4670000000000001</v>
      </c>
      <c r="AK600">
        <v>2031</v>
      </c>
      <c r="AL600" s="61">
        <v>2.5169999999999999</v>
      </c>
      <c r="AM600" s="61">
        <v>2.4670000000000001</v>
      </c>
      <c r="AN600" s="61">
        <v>2.5169999999999999</v>
      </c>
      <c r="AO600">
        <v>1.0758508410815628</v>
      </c>
      <c r="AP600">
        <v>1.0251508174189523</v>
      </c>
      <c r="AQ600">
        <v>1.1029093691556315</v>
      </c>
      <c r="AR600" t="b">
        <v>0</v>
      </c>
      <c r="AS600">
        <v>45.334640722364284</v>
      </c>
      <c r="AT600">
        <v>226.67320361182144</v>
      </c>
      <c r="AU600">
        <v>136.00392216709287</v>
      </c>
    </row>
    <row r="601" spans="1:47" x14ac:dyDescent="0.25">
      <c r="A601" t="s">
        <v>343</v>
      </c>
      <c r="B601" t="s">
        <v>488</v>
      </c>
      <c r="C601" t="s">
        <v>319</v>
      </c>
      <c r="D601">
        <v>2026</v>
      </c>
      <c r="E601">
        <v>0</v>
      </c>
      <c r="F601">
        <v>10</v>
      </c>
      <c r="G601">
        <v>0</v>
      </c>
      <c r="H601">
        <v>0</v>
      </c>
      <c r="I601">
        <v>50</v>
      </c>
      <c r="J601">
        <v>250</v>
      </c>
      <c r="K601">
        <v>1</v>
      </c>
      <c r="L601">
        <v>1</v>
      </c>
      <c r="M601">
        <v>45</v>
      </c>
      <c r="N601">
        <v>0</v>
      </c>
      <c r="O601" t="s">
        <v>27</v>
      </c>
      <c r="P601" t="s">
        <v>443</v>
      </c>
      <c r="Q601">
        <v>2026</v>
      </c>
      <c r="R601">
        <v>2036</v>
      </c>
      <c r="S601" t="s">
        <v>444</v>
      </c>
      <c r="T601">
        <v>2031</v>
      </c>
      <c r="U601">
        <v>38.75</v>
      </c>
      <c r="V601">
        <v>1</v>
      </c>
      <c r="W601">
        <v>2031</v>
      </c>
      <c r="X601">
        <v>5</v>
      </c>
      <c r="Y601">
        <v>2031</v>
      </c>
      <c r="Z601">
        <v>1</v>
      </c>
      <c r="AA601">
        <v>50</v>
      </c>
      <c r="AB601">
        <v>250</v>
      </c>
      <c r="AC601">
        <v>50</v>
      </c>
      <c r="AD601">
        <v>250</v>
      </c>
      <c r="AE601">
        <v>0</v>
      </c>
      <c r="AF601">
        <v>0</v>
      </c>
      <c r="AG601">
        <v>50</v>
      </c>
      <c r="AH601">
        <v>250</v>
      </c>
      <c r="AI601">
        <v>1</v>
      </c>
      <c r="AJ601">
        <v>2.5169999999999999</v>
      </c>
      <c r="AK601">
        <v>2032</v>
      </c>
      <c r="AL601" s="61">
        <v>2.59</v>
      </c>
      <c r="AM601" s="61">
        <v>2.5169999999999999</v>
      </c>
      <c r="AN601" s="61">
        <v>2.59</v>
      </c>
      <c r="AO601">
        <v>1.1045453584485188</v>
      </c>
      <c r="AP601">
        <v>1.0258719904156592</v>
      </c>
      <c r="AQ601">
        <v>1.1331221453759597</v>
      </c>
      <c r="AR601" t="b">
        <v>0</v>
      </c>
      <c r="AS601">
        <v>44.125869575526167</v>
      </c>
      <c r="AT601">
        <v>220.62934787763083</v>
      </c>
      <c r="AU601">
        <v>132.3776087265785</v>
      </c>
    </row>
    <row r="602" spans="1:47" x14ac:dyDescent="0.25">
      <c r="A602" t="s">
        <v>343</v>
      </c>
      <c r="B602" t="s">
        <v>488</v>
      </c>
      <c r="C602" t="s">
        <v>319</v>
      </c>
      <c r="D602">
        <v>2026</v>
      </c>
      <c r="E602">
        <v>0</v>
      </c>
      <c r="F602">
        <v>10</v>
      </c>
      <c r="G602">
        <v>0</v>
      </c>
      <c r="H602">
        <v>0</v>
      </c>
      <c r="I602">
        <v>50</v>
      </c>
      <c r="J602">
        <v>250</v>
      </c>
      <c r="K602">
        <v>1</v>
      </c>
      <c r="L602">
        <v>1</v>
      </c>
      <c r="M602">
        <v>45</v>
      </c>
      <c r="N602">
        <v>0</v>
      </c>
      <c r="O602" t="s">
        <v>27</v>
      </c>
      <c r="P602" t="s">
        <v>443</v>
      </c>
      <c r="Q602">
        <v>2026</v>
      </c>
      <c r="R602">
        <v>2036</v>
      </c>
      <c r="S602" t="s">
        <v>444</v>
      </c>
      <c r="T602">
        <v>2032</v>
      </c>
      <c r="U602">
        <v>39.75</v>
      </c>
      <c r="V602">
        <v>1</v>
      </c>
      <c r="W602">
        <v>2032</v>
      </c>
      <c r="X602">
        <v>6</v>
      </c>
      <c r="Y602">
        <v>2032</v>
      </c>
      <c r="Z602">
        <v>1</v>
      </c>
      <c r="AA602">
        <v>50</v>
      </c>
      <c r="AB602">
        <v>250</v>
      </c>
      <c r="AC602">
        <v>50</v>
      </c>
      <c r="AD602">
        <v>250</v>
      </c>
      <c r="AE602">
        <v>0</v>
      </c>
      <c r="AF602">
        <v>0</v>
      </c>
      <c r="AG602">
        <v>50</v>
      </c>
      <c r="AH602">
        <v>250</v>
      </c>
      <c r="AI602">
        <v>1</v>
      </c>
      <c r="AJ602">
        <v>2.59</v>
      </c>
      <c r="AK602">
        <v>2033</v>
      </c>
      <c r="AL602" s="61">
        <v>2.6880000000000002</v>
      </c>
      <c r="AM602" s="61">
        <v>2.59</v>
      </c>
      <c r="AN602" s="61">
        <v>2.6880000000000002</v>
      </c>
      <c r="AO602">
        <v>1.1363841013749196</v>
      </c>
      <c r="AP602">
        <v>1.0268423936996114</v>
      </c>
      <c r="AQ602">
        <v>1.1668873708180043</v>
      </c>
      <c r="AR602" t="b">
        <v>0</v>
      </c>
      <c r="AS602">
        <v>42.849036891151975</v>
      </c>
      <c r="AT602">
        <v>214.24518445575987</v>
      </c>
      <c r="AU602">
        <v>128.54711067345593</v>
      </c>
    </row>
    <row r="603" spans="1:47" x14ac:dyDescent="0.25">
      <c r="A603" t="s">
        <v>343</v>
      </c>
      <c r="B603" t="s">
        <v>488</v>
      </c>
      <c r="C603" t="s">
        <v>319</v>
      </c>
      <c r="D603">
        <v>2026</v>
      </c>
      <c r="E603">
        <v>0</v>
      </c>
      <c r="F603">
        <v>10</v>
      </c>
      <c r="G603">
        <v>0</v>
      </c>
      <c r="H603">
        <v>0</v>
      </c>
      <c r="I603">
        <v>50</v>
      </c>
      <c r="J603">
        <v>250</v>
      </c>
      <c r="K603">
        <v>1</v>
      </c>
      <c r="L603">
        <v>1</v>
      </c>
      <c r="M603">
        <v>45</v>
      </c>
      <c r="N603">
        <v>0</v>
      </c>
      <c r="O603" t="s">
        <v>27</v>
      </c>
      <c r="P603" t="s">
        <v>443</v>
      </c>
      <c r="Q603">
        <v>2026</v>
      </c>
      <c r="R603">
        <v>2036</v>
      </c>
      <c r="S603" t="s">
        <v>444</v>
      </c>
      <c r="T603">
        <v>2033</v>
      </c>
      <c r="U603">
        <v>40.75</v>
      </c>
      <c r="V603">
        <v>1</v>
      </c>
      <c r="W603">
        <v>2033</v>
      </c>
      <c r="X603">
        <v>7</v>
      </c>
      <c r="Y603">
        <v>2033</v>
      </c>
      <c r="Z603">
        <v>1</v>
      </c>
      <c r="AA603">
        <v>50</v>
      </c>
      <c r="AB603">
        <v>250</v>
      </c>
      <c r="AC603">
        <v>50</v>
      </c>
      <c r="AD603">
        <v>250</v>
      </c>
      <c r="AE603">
        <v>0</v>
      </c>
      <c r="AF603">
        <v>0</v>
      </c>
      <c r="AG603">
        <v>50</v>
      </c>
      <c r="AH603">
        <v>250</v>
      </c>
      <c r="AI603">
        <v>1</v>
      </c>
      <c r="AJ603">
        <v>2.6880000000000002</v>
      </c>
      <c r="AK603">
        <v>2034</v>
      </c>
      <c r="AL603" s="61">
        <v>2.7519999999999998</v>
      </c>
      <c r="AM603" s="61">
        <v>2.6880000000000002</v>
      </c>
      <c r="AN603" s="61">
        <v>2.7519999999999998</v>
      </c>
      <c r="AO603">
        <v>1.1725143659072164</v>
      </c>
      <c r="AP603">
        <v>1.0274954447000768</v>
      </c>
      <c r="AQ603">
        <v>1.2047531698150638</v>
      </c>
      <c r="AR603" t="b">
        <v>0</v>
      </c>
      <c r="AS603">
        <v>41.502277190667428</v>
      </c>
      <c r="AT603">
        <v>207.51138595333714</v>
      </c>
      <c r="AU603">
        <v>124.50683157200228</v>
      </c>
    </row>
    <row r="604" spans="1:47" x14ac:dyDescent="0.25">
      <c r="A604" t="s">
        <v>343</v>
      </c>
      <c r="B604" t="s">
        <v>488</v>
      </c>
      <c r="C604" t="s">
        <v>319</v>
      </c>
      <c r="D604">
        <v>2026</v>
      </c>
      <c r="E604">
        <v>0</v>
      </c>
      <c r="F604">
        <v>10</v>
      </c>
      <c r="G604">
        <v>0</v>
      </c>
      <c r="H604">
        <v>0</v>
      </c>
      <c r="I604">
        <v>50</v>
      </c>
      <c r="J604">
        <v>250</v>
      </c>
      <c r="K604">
        <v>1</v>
      </c>
      <c r="L604">
        <v>1</v>
      </c>
      <c r="M604">
        <v>45</v>
      </c>
      <c r="N604">
        <v>0</v>
      </c>
      <c r="O604" t="s">
        <v>27</v>
      </c>
      <c r="P604" t="s">
        <v>443</v>
      </c>
      <c r="Q604">
        <v>2026</v>
      </c>
      <c r="R604">
        <v>2036</v>
      </c>
      <c r="S604" t="s">
        <v>444</v>
      </c>
      <c r="T604">
        <v>2034</v>
      </c>
      <c r="U604">
        <v>41.75</v>
      </c>
      <c r="V604">
        <v>1</v>
      </c>
      <c r="W604">
        <v>2034</v>
      </c>
      <c r="X604">
        <v>8</v>
      </c>
      <c r="Y604">
        <v>2034</v>
      </c>
      <c r="Z604">
        <v>1</v>
      </c>
      <c r="AA604">
        <v>50</v>
      </c>
      <c r="AB604">
        <v>250</v>
      </c>
      <c r="AC604">
        <v>50</v>
      </c>
      <c r="AD604">
        <v>250</v>
      </c>
      <c r="AE604">
        <v>0</v>
      </c>
      <c r="AF604">
        <v>0</v>
      </c>
      <c r="AG604">
        <v>50</v>
      </c>
      <c r="AH604">
        <v>250</v>
      </c>
      <c r="AI604">
        <v>1</v>
      </c>
      <c r="AJ604">
        <v>2.7519999999999998</v>
      </c>
      <c r="AK604">
        <v>2035</v>
      </c>
      <c r="AL604" s="61">
        <v>2.8420000000000001</v>
      </c>
      <c r="AM604" s="61">
        <v>2.7519999999999998</v>
      </c>
      <c r="AN604" s="61">
        <v>2.8420000000000001</v>
      </c>
      <c r="AO604">
        <v>1.2092942481281721</v>
      </c>
      <c r="AP604">
        <v>1.0283854649181425</v>
      </c>
      <c r="AQ604">
        <v>1.2436206275841259</v>
      </c>
      <c r="AR604" t="b">
        <v>0</v>
      </c>
      <c r="AS604">
        <v>40.205187089193487</v>
      </c>
      <c r="AT604">
        <v>201.02593544596743</v>
      </c>
      <c r="AU604">
        <v>120.61556126758046</v>
      </c>
    </row>
    <row r="605" spans="1:47" x14ac:dyDescent="0.25">
      <c r="A605" t="s">
        <v>343</v>
      </c>
      <c r="B605" t="s">
        <v>488</v>
      </c>
      <c r="C605" t="s">
        <v>319</v>
      </c>
      <c r="D605">
        <v>2026</v>
      </c>
      <c r="E605">
        <v>0</v>
      </c>
      <c r="F605">
        <v>10</v>
      </c>
      <c r="G605">
        <v>0</v>
      </c>
      <c r="H605">
        <v>0</v>
      </c>
      <c r="I605">
        <v>50</v>
      </c>
      <c r="J605">
        <v>250</v>
      </c>
      <c r="K605">
        <v>1</v>
      </c>
      <c r="L605">
        <v>1</v>
      </c>
      <c r="M605">
        <v>45</v>
      </c>
      <c r="N605">
        <v>0</v>
      </c>
      <c r="O605" t="s">
        <v>27</v>
      </c>
      <c r="P605" t="s">
        <v>443</v>
      </c>
      <c r="Q605">
        <v>2026</v>
      </c>
      <c r="R605">
        <v>2036</v>
      </c>
      <c r="S605" t="s">
        <v>444</v>
      </c>
      <c r="T605">
        <v>2035</v>
      </c>
      <c r="U605">
        <v>42.75</v>
      </c>
      <c r="V605">
        <v>1</v>
      </c>
      <c r="W605">
        <v>2035</v>
      </c>
      <c r="X605">
        <v>9</v>
      </c>
      <c r="Y605">
        <v>2035</v>
      </c>
      <c r="Z605">
        <v>1</v>
      </c>
      <c r="AA605">
        <v>50</v>
      </c>
      <c r="AB605">
        <v>250</v>
      </c>
      <c r="AC605">
        <v>50</v>
      </c>
      <c r="AD605">
        <v>250</v>
      </c>
      <c r="AE605">
        <v>0</v>
      </c>
      <c r="AF605">
        <v>0</v>
      </c>
      <c r="AG605">
        <v>50</v>
      </c>
      <c r="AH605">
        <v>250</v>
      </c>
      <c r="AI605">
        <v>1</v>
      </c>
      <c r="AJ605">
        <v>2.8420000000000001</v>
      </c>
      <c r="AK605">
        <v>2036</v>
      </c>
      <c r="AL605" s="61">
        <v>2.944</v>
      </c>
      <c r="AM605" s="61">
        <v>2.8420000000000001</v>
      </c>
      <c r="AN605" s="61">
        <v>2.944</v>
      </c>
      <c r="AO605">
        <v>1.2513076834571593</v>
      </c>
      <c r="AP605">
        <v>1.0294008580614105</v>
      </c>
      <c r="AQ605">
        <v>1.2880972030496356</v>
      </c>
      <c r="AR605" t="b">
        <v>0</v>
      </c>
      <c r="AS605">
        <v>38.816946331086243</v>
      </c>
      <c r="AT605">
        <v>194.0847316554312</v>
      </c>
      <c r="AU605">
        <v>116.45083899325871</v>
      </c>
    </row>
    <row r="606" spans="1:47" x14ac:dyDescent="0.25">
      <c r="A606" t="s">
        <v>343</v>
      </c>
      <c r="B606" t="s">
        <v>488</v>
      </c>
      <c r="C606" t="s">
        <v>319</v>
      </c>
      <c r="D606">
        <v>2026</v>
      </c>
      <c r="E606">
        <v>0</v>
      </c>
      <c r="M606">
        <v>45</v>
      </c>
      <c r="Q606">
        <v>2026</v>
      </c>
      <c r="R606">
        <v>2036</v>
      </c>
      <c r="T606">
        <v>2036</v>
      </c>
      <c r="U606">
        <v>43.75</v>
      </c>
      <c r="W606">
        <v>2036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L606" s="61"/>
      <c r="AS606">
        <v>0</v>
      </c>
      <c r="AT606">
        <v>0</v>
      </c>
      <c r="AU606">
        <v>0</v>
      </c>
    </row>
    <row r="607" spans="1:47" x14ac:dyDescent="0.25">
      <c r="A607" t="s">
        <v>370</v>
      </c>
      <c r="B607" t="s">
        <v>489</v>
      </c>
      <c r="C607" t="s">
        <v>320</v>
      </c>
      <c r="D607">
        <v>2026</v>
      </c>
      <c r="E607">
        <v>0</v>
      </c>
      <c r="F607">
        <v>15</v>
      </c>
      <c r="G607">
        <v>0</v>
      </c>
      <c r="H607">
        <v>0</v>
      </c>
      <c r="I607">
        <v>30</v>
      </c>
      <c r="J607">
        <v>45</v>
      </c>
      <c r="K607">
        <v>4</v>
      </c>
      <c r="L607">
        <v>2</v>
      </c>
      <c r="M607">
        <v>46</v>
      </c>
      <c r="N607">
        <v>0</v>
      </c>
      <c r="O607" t="s">
        <v>27</v>
      </c>
      <c r="P607" t="s">
        <v>443</v>
      </c>
      <c r="Q607">
        <v>2026</v>
      </c>
      <c r="R607">
        <v>2041</v>
      </c>
      <c r="S607" t="s">
        <v>444</v>
      </c>
      <c r="T607">
        <v>2026</v>
      </c>
      <c r="U607">
        <v>33.75</v>
      </c>
      <c r="V607">
        <v>1</v>
      </c>
      <c r="W607">
        <v>2026</v>
      </c>
      <c r="X607">
        <v>0</v>
      </c>
      <c r="Y607">
        <v>2026</v>
      </c>
      <c r="Z607">
        <v>1</v>
      </c>
      <c r="AA607">
        <v>120</v>
      </c>
      <c r="AB607">
        <v>180</v>
      </c>
      <c r="AC607">
        <v>120</v>
      </c>
      <c r="AD607">
        <v>180</v>
      </c>
      <c r="AE607">
        <v>0</v>
      </c>
      <c r="AF607">
        <v>0</v>
      </c>
      <c r="AG607">
        <v>120</v>
      </c>
      <c r="AH607">
        <v>180</v>
      </c>
      <c r="AI607">
        <v>1</v>
      </c>
      <c r="AK607">
        <v>2027</v>
      </c>
      <c r="AL607" s="61">
        <v>2.4329999999999998</v>
      </c>
      <c r="AM607" s="61">
        <v>0</v>
      </c>
      <c r="AN607" s="61">
        <v>2.4329999999999998</v>
      </c>
      <c r="AO607">
        <v>1</v>
      </c>
      <c r="AP607">
        <v>1.023385968321771</v>
      </c>
      <c r="AQ607">
        <v>1.023385968321771</v>
      </c>
      <c r="AR607" t="b">
        <v>1</v>
      </c>
      <c r="AS607">
        <v>120</v>
      </c>
      <c r="AT607">
        <v>180</v>
      </c>
      <c r="AU607">
        <v>150</v>
      </c>
    </row>
    <row r="608" spans="1:47" x14ac:dyDescent="0.25">
      <c r="A608" t="s">
        <v>370</v>
      </c>
      <c r="B608" t="s">
        <v>489</v>
      </c>
      <c r="C608" t="s">
        <v>320</v>
      </c>
      <c r="D608">
        <v>2026</v>
      </c>
      <c r="E608">
        <v>0</v>
      </c>
      <c r="F608">
        <v>15</v>
      </c>
      <c r="G608">
        <v>0</v>
      </c>
      <c r="H608">
        <v>0</v>
      </c>
      <c r="I608">
        <v>30</v>
      </c>
      <c r="J608">
        <v>45</v>
      </c>
      <c r="K608">
        <v>4</v>
      </c>
      <c r="L608">
        <v>2</v>
      </c>
      <c r="M608">
        <v>46</v>
      </c>
      <c r="N608">
        <v>0</v>
      </c>
      <c r="O608" t="s">
        <v>27</v>
      </c>
      <c r="P608" t="s">
        <v>443</v>
      </c>
      <c r="Q608">
        <v>2026</v>
      </c>
      <c r="R608">
        <v>2041</v>
      </c>
      <c r="S608" t="s">
        <v>444</v>
      </c>
      <c r="T608">
        <v>2027</v>
      </c>
      <c r="U608">
        <v>34.75</v>
      </c>
      <c r="V608">
        <v>1</v>
      </c>
      <c r="W608">
        <v>2027</v>
      </c>
      <c r="X608">
        <v>1</v>
      </c>
      <c r="Y608">
        <v>2027</v>
      </c>
      <c r="Z608">
        <v>1</v>
      </c>
      <c r="AA608">
        <v>120</v>
      </c>
      <c r="AB608">
        <v>180</v>
      </c>
      <c r="AC608">
        <v>120</v>
      </c>
      <c r="AD608">
        <v>180</v>
      </c>
      <c r="AE608">
        <v>0</v>
      </c>
      <c r="AF608">
        <v>0</v>
      </c>
      <c r="AG608">
        <v>120</v>
      </c>
      <c r="AH608">
        <v>180</v>
      </c>
      <c r="AI608">
        <v>1</v>
      </c>
      <c r="AJ608">
        <v>2.4329999999999998</v>
      </c>
      <c r="AK608">
        <v>2028</v>
      </c>
      <c r="AL608" s="61">
        <v>2.4220000000000002</v>
      </c>
      <c r="AM608" s="61">
        <v>2.4329999999999998</v>
      </c>
      <c r="AN608" s="61">
        <v>2.4220000000000002</v>
      </c>
      <c r="AO608">
        <v>1</v>
      </c>
      <c r="AP608">
        <v>1.0242242189602202</v>
      </c>
      <c r="AQ608">
        <v>1.0242242189602202</v>
      </c>
      <c r="AR608" t="b">
        <v>0</v>
      </c>
      <c r="AS608">
        <v>117.16184579370963</v>
      </c>
      <c r="AT608">
        <v>175.74276869056445</v>
      </c>
      <c r="AU608">
        <v>146.45230724213704</v>
      </c>
    </row>
    <row r="609" spans="1:47" x14ac:dyDescent="0.25">
      <c r="A609" t="s">
        <v>370</v>
      </c>
      <c r="B609" t="s">
        <v>489</v>
      </c>
      <c r="C609" t="s">
        <v>320</v>
      </c>
      <c r="D609">
        <v>2026</v>
      </c>
      <c r="E609">
        <v>0</v>
      </c>
      <c r="F609">
        <v>15</v>
      </c>
      <c r="G609">
        <v>0</v>
      </c>
      <c r="H609">
        <v>0</v>
      </c>
      <c r="I609">
        <v>30</v>
      </c>
      <c r="J609">
        <v>45</v>
      </c>
      <c r="K609">
        <v>4</v>
      </c>
      <c r="L609">
        <v>2</v>
      </c>
      <c r="M609">
        <v>46</v>
      </c>
      <c r="N609">
        <v>0</v>
      </c>
      <c r="O609" t="s">
        <v>27</v>
      </c>
      <c r="P609" t="s">
        <v>443</v>
      </c>
      <c r="Q609">
        <v>2026</v>
      </c>
      <c r="R609">
        <v>2041</v>
      </c>
      <c r="S609" t="s">
        <v>444</v>
      </c>
      <c r="T609">
        <v>2028</v>
      </c>
      <c r="U609">
        <v>35.75</v>
      </c>
      <c r="V609">
        <v>1</v>
      </c>
      <c r="W609">
        <v>2028</v>
      </c>
      <c r="X609">
        <v>2</v>
      </c>
      <c r="Y609">
        <v>2028</v>
      </c>
      <c r="Z609">
        <v>1</v>
      </c>
      <c r="AA609">
        <v>120</v>
      </c>
      <c r="AB609">
        <v>180</v>
      </c>
      <c r="AC609">
        <v>120</v>
      </c>
      <c r="AD609">
        <v>180</v>
      </c>
      <c r="AE609">
        <v>0</v>
      </c>
      <c r="AF609">
        <v>0</v>
      </c>
      <c r="AG609">
        <v>120</v>
      </c>
      <c r="AH609">
        <v>180</v>
      </c>
      <c r="AI609">
        <v>1</v>
      </c>
      <c r="AJ609">
        <v>2.4220000000000002</v>
      </c>
      <c r="AK609">
        <v>2029</v>
      </c>
      <c r="AL609" s="61">
        <v>2.4209999999999998</v>
      </c>
      <c r="AM609" s="61">
        <v>2.4220000000000002</v>
      </c>
      <c r="AN609" s="61">
        <v>2.4209999999999998</v>
      </c>
      <c r="AO609">
        <v>1.0242199999999999</v>
      </c>
      <c r="AP609">
        <v>1.0242103835598433</v>
      </c>
      <c r="AQ609">
        <v>1.0490167590496626</v>
      </c>
      <c r="AR609" t="b">
        <v>0</v>
      </c>
      <c r="AS609">
        <v>114.39283401793483</v>
      </c>
      <c r="AT609">
        <v>171.58925102690225</v>
      </c>
      <c r="AU609">
        <v>142.99104252241852</v>
      </c>
    </row>
    <row r="610" spans="1:47" x14ac:dyDescent="0.25">
      <c r="A610" t="s">
        <v>370</v>
      </c>
      <c r="B610" t="s">
        <v>489</v>
      </c>
      <c r="C610" t="s">
        <v>320</v>
      </c>
      <c r="D610">
        <v>2026</v>
      </c>
      <c r="E610">
        <v>0</v>
      </c>
      <c r="F610">
        <v>15</v>
      </c>
      <c r="G610">
        <v>0</v>
      </c>
      <c r="H610">
        <v>0</v>
      </c>
      <c r="I610">
        <v>30</v>
      </c>
      <c r="J610">
        <v>45</v>
      </c>
      <c r="K610">
        <v>4</v>
      </c>
      <c r="L610">
        <v>2</v>
      </c>
      <c r="M610">
        <v>46</v>
      </c>
      <c r="N610">
        <v>0</v>
      </c>
      <c r="O610" t="s">
        <v>27</v>
      </c>
      <c r="P610" t="s">
        <v>443</v>
      </c>
      <c r="Q610">
        <v>2026</v>
      </c>
      <c r="R610">
        <v>2041</v>
      </c>
      <c r="S610" t="s">
        <v>444</v>
      </c>
      <c r="T610">
        <v>2029</v>
      </c>
      <c r="U610">
        <v>36.75</v>
      </c>
      <c r="V610">
        <v>1</v>
      </c>
      <c r="W610">
        <v>2029</v>
      </c>
      <c r="X610">
        <v>3</v>
      </c>
      <c r="Y610">
        <v>2029</v>
      </c>
      <c r="Z610">
        <v>1</v>
      </c>
      <c r="AA610">
        <v>120</v>
      </c>
      <c r="AB610">
        <v>180</v>
      </c>
      <c r="AC610">
        <v>120</v>
      </c>
      <c r="AD610">
        <v>180</v>
      </c>
      <c r="AE610">
        <v>0</v>
      </c>
      <c r="AF610">
        <v>0</v>
      </c>
      <c r="AG610">
        <v>120</v>
      </c>
      <c r="AH610">
        <v>180</v>
      </c>
      <c r="AI610">
        <v>1</v>
      </c>
      <c r="AJ610">
        <v>2.4209999999999998</v>
      </c>
      <c r="AK610">
        <v>2030</v>
      </c>
      <c r="AL610" s="61">
        <v>2.4670000000000001</v>
      </c>
      <c r="AM610" s="61">
        <v>2.4209999999999998</v>
      </c>
      <c r="AN610" s="61">
        <v>2.4670000000000001</v>
      </c>
      <c r="AO610">
        <v>1.0490061241000002</v>
      </c>
      <c r="AP610">
        <v>1.0246523523547908</v>
      </c>
      <c r="AQ610">
        <v>1.0748665926936467</v>
      </c>
      <c r="AR610" t="b">
        <v>0</v>
      </c>
      <c r="AS610">
        <v>111.64176169926031</v>
      </c>
      <c r="AT610">
        <v>167.46264254889047</v>
      </c>
      <c r="AU610">
        <v>139.55220212407539</v>
      </c>
    </row>
    <row r="611" spans="1:47" x14ac:dyDescent="0.25">
      <c r="A611" t="s">
        <v>370</v>
      </c>
      <c r="B611" t="s">
        <v>489</v>
      </c>
      <c r="C611" t="s">
        <v>320</v>
      </c>
      <c r="D611">
        <v>2026</v>
      </c>
      <c r="E611">
        <v>0</v>
      </c>
      <c r="F611">
        <v>15</v>
      </c>
      <c r="G611">
        <v>0</v>
      </c>
      <c r="H611">
        <v>0</v>
      </c>
      <c r="I611">
        <v>30</v>
      </c>
      <c r="J611">
        <v>45</v>
      </c>
      <c r="K611">
        <v>4</v>
      </c>
      <c r="L611">
        <v>2</v>
      </c>
      <c r="M611">
        <v>46</v>
      </c>
      <c r="N611">
        <v>0</v>
      </c>
      <c r="O611" t="s">
        <v>27</v>
      </c>
      <c r="P611" t="s">
        <v>443</v>
      </c>
      <c r="Q611">
        <v>2026</v>
      </c>
      <c r="R611">
        <v>2041</v>
      </c>
      <c r="S611" t="s">
        <v>444</v>
      </c>
      <c r="T611">
        <v>2030</v>
      </c>
      <c r="U611">
        <v>37.75</v>
      </c>
      <c r="V611">
        <v>1</v>
      </c>
      <c r="W611">
        <v>2030</v>
      </c>
      <c r="X611">
        <v>4</v>
      </c>
      <c r="Y611">
        <v>2030</v>
      </c>
      <c r="Z611">
        <v>1</v>
      </c>
      <c r="AA611">
        <v>120</v>
      </c>
      <c r="AB611">
        <v>180</v>
      </c>
      <c r="AC611">
        <v>120</v>
      </c>
      <c r="AD611">
        <v>180</v>
      </c>
      <c r="AE611">
        <v>0</v>
      </c>
      <c r="AF611">
        <v>0</v>
      </c>
      <c r="AG611">
        <v>120</v>
      </c>
      <c r="AH611">
        <v>180</v>
      </c>
      <c r="AI611">
        <v>1</v>
      </c>
      <c r="AJ611">
        <v>2.4670000000000001</v>
      </c>
      <c r="AK611">
        <v>2031</v>
      </c>
      <c r="AL611" s="61">
        <v>2.5169999999999999</v>
      </c>
      <c r="AM611" s="61">
        <v>2.4670000000000001</v>
      </c>
      <c r="AN611" s="61">
        <v>2.5169999999999999</v>
      </c>
      <c r="AO611">
        <v>1.0758508410815628</v>
      </c>
      <c r="AP611">
        <v>1.0251508174189523</v>
      </c>
      <c r="AQ611">
        <v>1.1029093691556315</v>
      </c>
      <c r="AR611" t="b">
        <v>0</v>
      </c>
      <c r="AS611">
        <v>108.80313773367429</v>
      </c>
      <c r="AT611">
        <v>163.20470660051143</v>
      </c>
      <c r="AU611">
        <v>136.00392216709287</v>
      </c>
    </row>
    <row r="612" spans="1:47" x14ac:dyDescent="0.25">
      <c r="A612" t="s">
        <v>370</v>
      </c>
      <c r="B612" t="s">
        <v>489</v>
      </c>
      <c r="C612" t="s">
        <v>320</v>
      </c>
      <c r="D612">
        <v>2026</v>
      </c>
      <c r="E612">
        <v>0</v>
      </c>
      <c r="F612">
        <v>15</v>
      </c>
      <c r="G612">
        <v>0</v>
      </c>
      <c r="H612">
        <v>0</v>
      </c>
      <c r="I612">
        <v>30</v>
      </c>
      <c r="J612">
        <v>45</v>
      </c>
      <c r="K612">
        <v>4</v>
      </c>
      <c r="L612">
        <v>2</v>
      </c>
      <c r="M612">
        <v>46</v>
      </c>
      <c r="N612">
        <v>0</v>
      </c>
      <c r="O612" t="s">
        <v>27</v>
      </c>
      <c r="P612" t="s">
        <v>443</v>
      </c>
      <c r="Q612">
        <v>2026</v>
      </c>
      <c r="R612">
        <v>2041</v>
      </c>
      <c r="S612" t="s">
        <v>444</v>
      </c>
      <c r="T612">
        <v>2031</v>
      </c>
      <c r="U612">
        <v>38.75</v>
      </c>
      <c r="V612">
        <v>1</v>
      </c>
      <c r="W612">
        <v>2031</v>
      </c>
      <c r="X612">
        <v>5</v>
      </c>
      <c r="Y612">
        <v>2031</v>
      </c>
      <c r="Z612">
        <v>1</v>
      </c>
      <c r="AA612">
        <v>120</v>
      </c>
      <c r="AB612">
        <v>180</v>
      </c>
      <c r="AC612">
        <v>120</v>
      </c>
      <c r="AD612">
        <v>180</v>
      </c>
      <c r="AE612">
        <v>0</v>
      </c>
      <c r="AF612">
        <v>0</v>
      </c>
      <c r="AG612">
        <v>120</v>
      </c>
      <c r="AH612">
        <v>180</v>
      </c>
      <c r="AI612">
        <v>1</v>
      </c>
      <c r="AJ612">
        <v>2.5169999999999999</v>
      </c>
      <c r="AK612">
        <v>2032</v>
      </c>
      <c r="AL612" s="61">
        <v>2.59</v>
      </c>
      <c r="AM612" s="61">
        <v>2.5169999999999999</v>
      </c>
      <c r="AN612" s="61">
        <v>2.59</v>
      </c>
      <c r="AO612">
        <v>1.1045453584485188</v>
      </c>
      <c r="AP612">
        <v>1.0258719904156592</v>
      </c>
      <c r="AQ612">
        <v>1.1331221453759597</v>
      </c>
      <c r="AR612" t="b">
        <v>0</v>
      </c>
      <c r="AS612">
        <v>105.90208698126281</v>
      </c>
      <c r="AT612">
        <v>158.85313047189422</v>
      </c>
      <c r="AU612">
        <v>132.3776087265785</v>
      </c>
    </row>
    <row r="613" spans="1:47" x14ac:dyDescent="0.25">
      <c r="A613" t="s">
        <v>370</v>
      </c>
      <c r="B613" t="s">
        <v>489</v>
      </c>
      <c r="C613" t="s">
        <v>320</v>
      </c>
      <c r="D613">
        <v>2026</v>
      </c>
      <c r="E613">
        <v>0</v>
      </c>
      <c r="F613">
        <v>15</v>
      </c>
      <c r="G613">
        <v>0</v>
      </c>
      <c r="H613">
        <v>0</v>
      </c>
      <c r="I613">
        <v>30</v>
      </c>
      <c r="J613">
        <v>45</v>
      </c>
      <c r="K613">
        <v>4</v>
      </c>
      <c r="L613">
        <v>2</v>
      </c>
      <c r="M613">
        <v>46</v>
      </c>
      <c r="N613">
        <v>0</v>
      </c>
      <c r="O613" t="s">
        <v>27</v>
      </c>
      <c r="P613" t="s">
        <v>443</v>
      </c>
      <c r="Q613">
        <v>2026</v>
      </c>
      <c r="R613">
        <v>2041</v>
      </c>
      <c r="S613" t="s">
        <v>444</v>
      </c>
      <c r="T613">
        <v>2032</v>
      </c>
      <c r="U613">
        <v>39.75</v>
      </c>
      <c r="V613">
        <v>1</v>
      </c>
      <c r="W613">
        <v>2032</v>
      </c>
      <c r="X613">
        <v>6</v>
      </c>
      <c r="Y613">
        <v>2032</v>
      </c>
      <c r="Z613">
        <v>1</v>
      </c>
      <c r="AA613">
        <v>120</v>
      </c>
      <c r="AB613">
        <v>180</v>
      </c>
      <c r="AC613">
        <v>120</v>
      </c>
      <c r="AD613">
        <v>180</v>
      </c>
      <c r="AE613">
        <v>0</v>
      </c>
      <c r="AF613">
        <v>0</v>
      </c>
      <c r="AG613">
        <v>120</v>
      </c>
      <c r="AH613">
        <v>180</v>
      </c>
      <c r="AI613">
        <v>1</v>
      </c>
      <c r="AJ613">
        <v>2.59</v>
      </c>
      <c r="AK613">
        <v>2033</v>
      </c>
      <c r="AL613" s="61">
        <v>2.6880000000000002</v>
      </c>
      <c r="AM613" s="61">
        <v>2.59</v>
      </c>
      <c r="AN613" s="61">
        <v>2.6880000000000002</v>
      </c>
      <c r="AO613">
        <v>1.1363841013749196</v>
      </c>
      <c r="AP613">
        <v>1.0268423936996114</v>
      </c>
      <c r="AQ613">
        <v>1.1668873708180043</v>
      </c>
      <c r="AR613" t="b">
        <v>0</v>
      </c>
      <c r="AS613">
        <v>102.83768853876474</v>
      </c>
      <c r="AT613">
        <v>154.25653280814711</v>
      </c>
      <c r="AU613">
        <v>128.54711067345593</v>
      </c>
    </row>
    <row r="614" spans="1:47" x14ac:dyDescent="0.25">
      <c r="A614" t="s">
        <v>370</v>
      </c>
      <c r="B614" t="s">
        <v>489</v>
      </c>
      <c r="C614" t="s">
        <v>320</v>
      </c>
      <c r="D614">
        <v>2026</v>
      </c>
      <c r="E614">
        <v>0</v>
      </c>
      <c r="F614">
        <v>15</v>
      </c>
      <c r="G614">
        <v>0</v>
      </c>
      <c r="H614">
        <v>0</v>
      </c>
      <c r="I614">
        <v>30</v>
      </c>
      <c r="J614">
        <v>45</v>
      </c>
      <c r="K614">
        <v>4</v>
      </c>
      <c r="L614">
        <v>2</v>
      </c>
      <c r="M614">
        <v>46</v>
      </c>
      <c r="N614">
        <v>0</v>
      </c>
      <c r="O614" t="s">
        <v>27</v>
      </c>
      <c r="P614" t="s">
        <v>443</v>
      </c>
      <c r="Q614">
        <v>2026</v>
      </c>
      <c r="R614">
        <v>2041</v>
      </c>
      <c r="S614" t="s">
        <v>444</v>
      </c>
      <c r="T614">
        <v>2033</v>
      </c>
      <c r="U614">
        <v>40.75</v>
      </c>
      <c r="V614">
        <v>1</v>
      </c>
      <c r="W614">
        <v>2033</v>
      </c>
      <c r="X614">
        <v>7</v>
      </c>
      <c r="Y614">
        <v>2033</v>
      </c>
      <c r="Z614">
        <v>1</v>
      </c>
      <c r="AA614">
        <v>120</v>
      </c>
      <c r="AB614">
        <v>180</v>
      </c>
      <c r="AC614">
        <v>120</v>
      </c>
      <c r="AD614">
        <v>180</v>
      </c>
      <c r="AE614">
        <v>0</v>
      </c>
      <c r="AF614">
        <v>0</v>
      </c>
      <c r="AG614">
        <v>120</v>
      </c>
      <c r="AH614">
        <v>180</v>
      </c>
      <c r="AI614">
        <v>1</v>
      </c>
      <c r="AJ614">
        <v>2.6880000000000002</v>
      </c>
      <c r="AK614">
        <v>2034</v>
      </c>
      <c r="AL614" s="61">
        <v>2.7519999999999998</v>
      </c>
      <c r="AM614" s="61">
        <v>2.6880000000000002</v>
      </c>
      <c r="AN614" s="61">
        <v>2.7519999999999998</v>
      </c>
      <c r="AO614">
        <v>1.1725143659072164</v>
      </c>
      <c r="AP614">
        <v>1.0274954447000768</v>
      </c>
      <c r="AQ614">
        <v>1.2047531698150638</v>
      </c>
      <c r="AR614" t="b">
        <v>0</v>
      </c>
      <c r="AS614">
        <v>99.605465257601821</v>
      </c>
      <c r="AT614">
        <v>149.40819788640275</v>
      </c>
      <c r="AU614">
        <v>124.50683157200228</v>
      </c>
    </row>
    <row r="615" spans="1:47" x14ac:dyDescent="0.25">
      <c r="A615" t="s">
        <v>370</v>
      </c>
      <c r="B615" t="s">
        <v>489</v>
      </c>
      <c r="C615" t="s">
        <v>320</v>
      </c>
      <c r="D615">
        <v>2026</v>
      </c>
      <c r="E615">
        <v>0</v>
      </c>
      <c r="F615">
        <v>15</v>
      </c>
      <c r="G615">
        <v>0</v>
      </c>
      <c r="H615">
        <v>0</v>
      </c>
      <c r="I615">
        <v>30</v>
      </c>
      <c r="J615">
        <v>45</v>
      </c>
      <c r="K615">
        <v>4</v>
      </c>
      <c r="L615">
        <v>2</v>
      </c>
      <c r="M615">
        <v>46</v>
      </c>
      <c r="N615">
        <v>0</v>
      </c>
      <c r="O615" t="s">
        <v>27</v>
      </c>
      <c r="P615" t="s">
        <v>443</v>
      </c>
      <c r="Q615">
        <v>2026</v>
      </c>
      <c r="R615">
        <v>2041</v>
      </c>
      <c r="S615" t="s">
        <v>444</v>
      </c>
      <c r="T615">
        <v>2034</v>
      </c>
      <c r="U615">
        <v>41.75</v>
      </c>
      <c r="V615">
        <v>1</v>
      </c>
      <c r="W615">
        <v>2034</v>
      </c>
      <c r="X615">
        <v>8</v>
      </c>
      <c r="Y615">
        <v>2034</v>
      </c>
      <c r="Z615">
        <v>1</v>
      </c>
      <c r="AA615">
        <v>120</v>
      </c>
      <c r="AB615">
        <v>180</v>
      </c>
      <c r="AC615">
        <v>120</v>
      </c>
      <c r="AD615">
        <v>180</v>
      </c>
      <c r="AE615">
        <v>0</v>
      </c>
      <c r="AF615">
        <v>0</v>
      </c>
      <c r="AG615">
        <v>120</v>
      </c>
      <c r="AH615">
        <v>180</v>
      </c>
      <c r="AI615">
        <v>1</v>
      </c>
      <c r="AJ615">
        <v>2.7519999999999998</v>
      </c>
      <c r="AK615">
        <v>2035</v>
      </c>
      <c r="AL615" s="61">
        <v>2.8420000000000001</v>
      </c>
      <c r="AM615" s="61">
        <v>2.7519999999999998</v>
      </c>
      <c r="AN615" s="61">
        <v>2.8420000000000001</v>
      </c>
      <c r="AO615">
        <v>1.2092942481281721</v>
      </c>
      <c r="AP615">
        <v>1.0283854649181425</v>
      </c>
      <c r="AQ615">
        <v>1.2436206275841259</v>
      </c>
      <c r="AR615" t="b">
        <v>0</v>
      </c>
      <c r="AS615">
        <v>96.492449014064363</v>
      </c>
      <c r="AT615">
        <v>144.73867352109656</v>
      </c>
      <c r="AU615">
        <v>120.61556126758046</v>
      </c>
    </row>
    <row r="616" spans="1:47" x14ac:dyDescent="0.25">
      <c r="A616" t="s">
        <v>370</v>
      </c>
      <c r="B616" t="s">
        <v>489</v>
      </c>
      <c r="C616" t="s">
        <v>320</v>
      </c>
      <c r="D616">
        <v>2026</v>
      </c>
      <c r="E616">
        <v>0</v>
      </c>
      <c r="F616">
        <v>15</v>
      </c>
      <c r="G616">
        <v>0</v>
      </c>
      <c r="H616">
        <v>0</v>
      </c>
      <c r="I616">
        <v>30</v>
      </c>
      <c r="J616">
        <v>45</v>
      </c>
      <c r="K616">
        <v>4</v>
      </c>
      <c r="L616">
        <v>2</v>
      </c>
      <c r="M616">
        <v>46</v>
      </c>
      <c r="N616">
        <v>0</v>
      </c>
      <c r="O616" t="s">
        <v>27</v>
      </c>
      <c r="P616" t="s">
        <v>443</v>
      </c>
      <c r="Q616">
        <v>2026</v>
      </c>
      <c r="R616">
        <v>2041</v>
      </c>
      <c r="S616" t="s">
        <v>444</v>
      </c>
      <c r="T616">
        <v>2035</v>
      </c>
      <c r="U616">
        <v>42.75</v>
      </c>
      <c r="V616">
        <v>1</v>
      </c>
      <c r="W616">
        <v>2035</v>
      </c>
      <c r="X616">
        <v>9</v>
      </c>
      <c r="Y616">
        <v>2035</v>
      </c>
      <c r="Z616">
        <v>1</v>
      </c>
      <c r="AA616">
        <v>120</v>
      </c>
      <c r="AB616">
        <v>180</v>
      </c>
      <c r="AC616">
        <v>120</v>
      </c>
      <c r="AD616">
        <v>180</v>
      </c>
      <c r="AE616">
        <v>0</v>
      </c>
      <c r="AF616">
        <v>0</v>
      </c>
      <c r="AG616">
        <v>120</v>
      </c>
      <c r="AH616">
        <v>180</v>
      </c>
      <c r="AI616">
        <v>1</v>
      </c>
      <c r="AJ616">
        <v>2.8420000000000001</v>
      </c>
      <c r="AK616">
        <v>2036</v>
      </c>
      <c r="AL616" s="61">
        <v>2.944</v>
      </c>
      <c r="AM616" s="61">
        <v>2.8420000000000001</v>
      </c>
      <c r="AN616" s="61">
        <v>2.944</v>
      </c>
      <c r="AO616">
        <v>1.2513076834571593</v>
      </c>
      <c r="AP616">
        <v>1.0294008580614105</v>
      </c>
      <c r="AQ616">
        <v>1.2880972030496356</v>
      </c>
      <c r="AR616" t="b">
        <v>0</v>
      </c>
      <c r="AS616">
        <v>93.160671194606977</v>
      </c>
      <c r="AT616">
        <v>139.74100679191045</v>
      </c>
      <c r="AU616">
        <v>116.45083899325871</v>
      </c>
    </row>
    <row r="617" spans="1:47" x14ac:dyDescent="0.25">
      <c r="A617" t="s">
        <v>370</v>
      </c>
      <c r="B617" t="s">
        <v>489</v>
      </c>
      <c r="C617" t="s">
        <v>320</v>
      </c>
      <c r="D617">
        <v>2026</v>
      </c>
      <c r="E617">
        <v>0</v>
      </c>
      <c r="F617">
        <v>15</v>
      </c>
      <c r="G617">
        <v>0</v>
      </c>
      <c r="H617">
        <v>0</v>
      </c>
      <c r="I617">
        <v>30</v>
      </c>
      <c r="J617">
        <v>45</v>
      </c>
      <c r="K617">
        <v>4</v>
      </c>
      <c r="L617">
        <v>2</v>
      </c>
      <c r="M617">
        <v>46</v>
      </c>
      <c r="N617">
        <v>0</v>
      </c>
      <c r="O617" t="s">
        <v>27</v>
      </c>
      <c r="P617" t="s">
        <v>443</v>
      </c>
      <c r="Q617">
        <v>2026</v>
      </c>
      <c r="R617">
        <v>2041</v>
      </c>
      <c r="S617" t="s">
        <v>444</v>
      </c>
      <c r="T617">
        <v>2036</v>
      </c>
      <c r="U617">
        <v>43.75</v>
      </c>
      <c r="V617">
        <v>1</v>
      </c>
      <c r="W617">
        <v>2036</v>
      </c>
      <c r="X617">
        <v>10</v>
      </c>
      <c r="Y617">
        <v>2036</v>
      </c>
      <c r="Z617">
        <v>1</v>
      </c>
      <c r="AA617">
        <v>120</v>
      </c>
      <c r="AB617">
        <v>180</v>
      </c>
      <c r="AC617">
        <v>120</v>
      </c>
      <c r="AD617">
        <v>180</v>
      </c>
      <c r="AE617">
        <v>0</v>
      </c>
      <c r="AF617">
        <v>0</v>
      </c>
      <c r="AG617">
        <v>120</v>
      </c>
      <c r="AH617">
        <v>180</v>
      </c>
      <c r="AI617">
        <v>1</v>
      </c>
      <c r="AJ617">
        <v>2.944</v>
      </c>
      <c r="AK617">
        <v>2037</v>
      </c>
      <c r="AL617" s="61">
        <v>3.036</v>
      </c>
      <c r="AM617" s="61">
        <v>2.944</v>
      </c>
      <c r="AN617" s="61">
        <v>3.036</v>
      </c>
      <c r="AO617">
        <v>1.2984025298030446</v>
      </c>
      <c r="AP617">
        <v>1.0303246971701443</v>
      </c>
      <c r="AQ617">
        <v>1.3377761933242711</v>
      </c>
      <c r="AR617" t="b">
        <v>0</v>
      </c>
      <c r="AS617">
        <v>89.701102919023555</v>
      </c>
      <c r="AT617">
        <v>134.55165437853535</v>
      </c>
      <c r="AU617">
        <v>112.12637864877945</v>
      </c>
    </row>
    <row r="618" spans="1:47" x14ac:dyDescent="0.25">
      <c r="A618" t="s">
        <v>370</v>
      </c>
      <c r="B618" t="s">
        <v>489</v>
      </c>
      <c r="C618" t="s">
        <v>320</v>
      </c>
      <c r="D618">
        <v>2026</v>
      </c>
      <c r="E618">
        <v>0</v>
      </c>
      <c r="F618">
        <v>15</v>
      </c>
      <c r="G618">
        <v>0</v>
      </c>
      <c r="H618">
        <v>0</v>
      </c>
      <c r="I618">
        <v>30</v>
      </c>
      <c r="J618">
        <v>45</v>
      </c>
      <c r="K618">
        <v>4</v>
      </c>
      <c r="L618">
        <v>2</v>
      </c>
      <c r="M618">
        <v>46</v>
      </c>
      <c r="N618">
        <v>0</v>
      </c>
      <c r="O618" t="s">
        <v>27</v>
      </c>
      <c r="P618" t="s">
        <v>443</v>
      </c>
      <c r="Q618">
        <v>2026</v>
      </c>
      <c r="R618">
        <v>2041</v>
      </c>
      <c r="S618" t="s">
        <v>444</v>
      </c>
      <c r="T618">
        <v>2037</v>
      </c>
      <c r="U618">
        <v>44.75</v>
      </c>
      <c r="V618">
        <v>1</v>
      </c>
      <c r="W618">
        <v>2037</v>
      </c>
      <c r="X618">
        <v>11</v>
      </c>
      <c r="Y618">
        <v>2037</v>
      </c>
      <c r="Z618">
        <v>1</v>
      </c>
      <c r="AA618">
        <v>120</v>
      </c>
      <c r="AB618">
        <v>180</v>
      </c>
      <c r="AC618">
        <v>120</v>
      </c>
      <c r="AD618">
        <v>180</v>
      </c>
      <c r="AE618">
        <v>0</v>
      </c>
      <c r="AF618">
        <v>0</v>
      </c>
      <c r="AG618">
        <v>120</v>
      </c>
      <c r="AH618">
        <v>180</v>
      </c>
      <c r="AI618">
        <v>1</v>
      </c>
      <c r="AJ618">
        <v>3.036</v>
      </c>
      <c r="AK618">
        <v>2038</v>
      </c>
      <c r="AL618" s="61">
        <v>3.1339999999999999</v>
      </c>
      <c r="AM618" s="61">
        <v>3.036</v>
      </c>
      <c r="AN618" s="61">
        <v>3.1339999999999999</v>
      </c>
      <c r="AO618">
        <v>1.3486209574989538</v>
      </c>
      <c r="AP618">
        <v>1.0313023937742947</v>
      </c>
      <c r="AQ618">
        <v>1.3908360217628524</v>
      </c>
      <c r="AR618" t="b">
        <v>0</v>
      </c>
      <c r="AS618">
        <v>86.279042333044259</v>
      </c>
      <c r="AT618">
        <v>129.41856349956637</v>
      </c>
      <c r="AU618">
        <v>107.84880291630532</v>
      </c>
    </row>
    <row r="619" spans="1:47" x14ac:dyDescent="0.25">
      <c r="A619" t="s">
        <v>370</v>
      </c>
      <c r="B619" t="s">
        <v>489</v>
      </c>
      <c r="C619" t="s">
        <v>320</v>
      </c>
      <c r="D619">
        <v>2026</v>
      </c>
      <c r="E619">
        <v>0</v>
      </c>
      <c r="F619">
        <v>15</v>
      </c>
      <c r="G619">
        <v>0</v>
      </c>
      <c r="H619">
        <v>0</v>
      </c>
      <c r="I619">
        <v>30</v>
      </c>
      <c r="J619">
        <v>45</v>
      </c>
      <c r="K619">
        <v>4</v>
      </c>
      <c r="L619">
        <v>2</v>
      </c>
      <c r="M619">
        <v>46</v>
      </c>
      <c r="N619">
        <v>0</v>
      </c>
      <c r="O619" t="s">
        <v>27</v>
      </c>
      <c r="P619" t="s">
        <v>443</v>
      </c>
      <c r="Q619">
        <v>2026</v>
      </c>
      <c r="R619">
        <v>2041</v>
      </c>
      <c r="S619" t="s">
        <v>444</v>
      </c>
      <c r="T619">
        <v>2038</v>
      </c>
      <c r="U619">
        <v>45.75</v>
      </c>
      <c r="V619">
        <v>1</v>
      </c>
      <c r="W619">
        <v>2038</v>
      </c>
      <c r="X619">
        <v>12</v>
      </c>
      <c r="Y619">
        <v>2038</v>
      </c>
      <c r="Z619">
        <v>1</v>
      </c>
      <c r="AA619">
        <v>120</v>
      </c>
      <c r="AB619">
        <v>180</v>
      </c>
      <c r="AC619">
        <v>120</v>
      </c>
      <c r="AD619">
        <v>180</v>
      </c>
      <c r="AE619">
        <v>0</v>
      </c>
      <c r="AF619">
        <v>0</v>
      </c>
      <c r="AG619">
        <v>120</v>
      </c>
      <c r="AH619">
        <v>180</v>
      </c>
      <c r="AI619">
        <v>1</v>
      </c>
      <c r="AJ619">
        <v>3.1339999999999999</v>
      </c>
      <c r="AK619">
        <v>2039</v>
      </c>
      <c r="AL619" s="61">
        <v>3.2069999999999999</v>
      </c>
      <c r="AM619" s="61">
        <v>3.1339999999999999</v>
      </c>
      <c r="AN619" s="61">
        <v>3.2069999999999999</v>
      </c>
      <c r="AO619">
        <v>1.4041725591738043</v>
      </c>
      <c r="AP619">
        <v>1.0320419904729838</v>
      </c>
      <c r="AQ619">
        <v>1.4491650429372767</v>
      </c>
      <c r="AR619" t="b">
        <v>0</v>
      </c>
      <c r="AS619">
        <v>82.806303246713</v>
      </c>
      <c r="AT619">
        <v>124.20945487006951</v>
      </c>
      <c r="AU619">
        <v>103.50787905839125</v>
      </c>
    </row>
    <row r="620" spans="1:47" x14ac:dyDescent="0.25">
      <c r="A620" t="s">
        <v>370</v>
      </c>
      <c r="B620" t="s">
        <v>489</v>
      </c>
      <c r="C620" t="s">
        <v>320</v>
      </c>
      <c r="D620">
        <v>2026</v>
      </c>
      <c r="E620">
        <v>0</v>
      </c>
      <c r="F620">
        <v>15</v>
      </c>
      <c r="G620">
        <v>0</v>
      </c>
      <c r="H620">
        <v>0</v>
      </c>
      <c r="I620">
        <v>30</v>
      </c>
      <c r="J620">
        <v>45</v>
      </c>
      <c r="K620">
        <v>4</v>
      </c>
      <c r="L620">
        <v>2</v>
      </c>
      <c r="M620">
        <v>46</v>
      </c>
      <c r="N620">
        <v>0</v>
      </c>
      <c r="O620" t="s">
        <v>27</v>
      </c>
      <c r="P620" t="s">
        <v>443</v>
      </c>
      <c r="Q620">
        <v>2026</v>
      </c>
      <c r="R620">
        <v>2041</v>
      </c>
      <c r="S620" t="s">
        <v>444</v>
      </c>
      <c r="T620">
        <v>2039</v>
      </c>
      <c r="U620">
        <v>46.75</v>
      </c>
      <c r="V620">
        <v>1</v>
      </c>
      <c r="W620">
        <v>2039</v>
      </c>
      <c r="X620">
        <v>13</v>
      </c>
      <c r="Y620">
        <v>2039</v>
      </c>
      <c r="Z620">
        <v>1</v>
      </c>
      <c r="AA620">
        <v>120</v>
      </c>
      <c r="AB620">
        <v>180</v>
      </c>
      <c r="AC620">
        <v>120</v>
      </c>
      <c r="AD620">
        <v>180</v>
      </c>
      <c r="AE620">
        <v>0</v>
      </c>
      <c r="AF620">
        <v>0</v>
      </c>
      <c r="AG620">
        <v>120</v>
      </c>
      <c r="AH620">
        <v>180</v>
      </c>
      <c r="AI620">
        <v>1</v>
      </c>
      <c r="AJ620">
        <v>3.2069999999999999</v>
      </c>
      <c r="AK620">
        <v>2040</v>
      </c>
      <c r="AL620" s="61">
        <v>3.3029999999999999</v>
      </c>
      <c r="AM620" s="61">
        <v>3.2069999999999999</v>
      </c>
      <c r="AN620" s="61">
        <v>3.3029999999999999</v>
      </c>
      <c r="AO620">
        <v>1.4605278779269859</v>
      </c>
      <c r="AP620">
        <v>1.0329931616190409</v>
      </c>
      <c r="AQ620">
        <v>1.5087153102525457</v>
      </c>
      <c r="AR620" t="b">
        <v>0</v>
      </c>
      <c r="AS620">
        <v>79.537868532608087</v>
      </c>
      <c r="AT620">
        <v>119.30680279891213</v>
      </c>
      <c r="AU620">
        <v>99.422335665760102</v>
      </c>
    </row>
    <row r="621" spans="1:47" x14ac:dyDescent="0.25">
      <c r="A621" t="s">
        <v>370</v>
      </c>
      <c r="B621" t="s">
        <v>489</v>
      </c>
      <c r="C621" t="s">
        <v>320</v>
      </c>
      <c r="D621">
        <v>2026</v>
      </c>
      <c r="E621">
        <v>0</v>
      </c>
      <c r="F621">
        <v>15</v>
      </c>
      <c r="G621">
        <v>0</v>
      </c>
      <c r="H621">
        <v>0</v>
      </c>
      <c r="I621">
        <v>30</v>
      </c>
      <c r="J621">
        <v>45</v>
      </c>
      <c r="K621">
        <v>4</v>
      </c>
      <c r="L621">
        <v>2</v>
      </c>
      <c r="M621">
        <v>46</v>
      </c>
      <c r="N621">
        <v>0</v>
      </c>
      <c r="O621" t="s">
        <v>27</v>
      </c>
      <c r="P621" t="s">
        <v>443</v>
      </c>
      <c r="Q621">
        <v>2026</v>
      </c>
      <c r="R621">
        <v>2041</v>
      </c>
      <c r="S621" t="s">
        <v>444</v>
      </c>
      <c r="T621">
        <v>2040</v>
      </c>
      <c r="U621">
        <v>47.75</v>
      </c>
      <c r="V621">
        <v>1</v>
      </c>
      <c r="W621">
        <v>2040</v>
      </c>
      <c r="X621">
        <v>14</v>
      </c>
      <c r="Y621">
        <v>2040</v>
      </c>
      <c r="Z621">
        <v>1</v>
      </c>
      <c r="AA621">
        <v>120</v>
      </c>
      <c r="AB621">
        <v>180</v>
      </c>
      <c r="AC621">
        <v>120</v>
      </c>
      <c r="AD621">
        <v>180</v>
      </c>
      <c r="AE621">
        <v>0</v>
      </c>
      <c r="AF621">
        <v>0</v>
      </c>
      <c r="AG621">
        <v>120</v>
      </c>
      <c r="AH621">
        <v>180</v>
      </c>
      <c r="AI621">
        <v>1</v>
      </c>
      <c r="AJ621">
        <v>3.3029999999999999</v>
      </c>
      <c r="AK621">
        <v>2041</v>
      </c>
      <c r="AL621" s="61">
        <v>3.3559999999999999</v>
      </c>
      <c r="AM621" s="61">
        <v>3.3029999999999999</v>
      </c>
      <c r="AN621" s="61">
        <v>3.3559999999999999</v>
      </c>
      <c r="AO621">
        <v>1.5256964700083253</v>
      </c>
      <c r="AP621">
        <v>1.0335396662189136</v>
      </c>
      <c r="AQ621">
        <v>1.5768678203637791</v>
      </c>
      <c r="AR621" t="b">
        <v>0</v>
      </c>
      <c r="AS621">
        <v>76.100227584272929</v>
      </c>
      <c r="AT621">
        <v>114.1503413764094</v>
      </c>
      <c r="AU621">
        <v>95.125284480341165</v>
      </c>
    </row>
    <row r="622" spans="1:47" x14ac:dyDescent="0.25">
      <c r="A622" t="s">
        <v>370</v>
      </c>
      <c r="B622" t="s">
        <v>489</v>
      </c>
      <c r="C622" t="s">
        <v>320</v>
      </c>
      <c r="D622">
        <v>2026</v>
      </c>
      <c r="E622">
        <v>0</v>
      </c>
      <c r="M622">
        <v>46</v>
      </c>
      <c r="Q622">
        <v>2026</v>
      </c>
      <c r="R622">
        <v>2041</v>
      </c>
      <c r="T622">
        <v>2041</v>
      </c>
      <c r="U622">
        <v>48.75</v>
      </c>
      <c r="W622">
        <v>2041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L622" s="61"/>
      <c r="AS622">
        <v>0</v>
      </c>
      <c r="AT622">
        <v>0</v>
      </c>
      <c r="AU622">
        <v>0</v>
      </c>
    </row>
    <row r="623" spans="1:47" x14ac:dyDescent="0.25">
      <c r="A623" t="s">
        <v>344</v>
      </c>
      <c r="B623" t="s">
        <v>490</v>
      </c>
      <c r="C623" t="s">
        <v>319</v>
      </c>
      <c r="D623">
        <v>2026</v>
      </c>
      <c r="E623">
        <v>0</v>
      </c>
      <c r="F623">
        <v>10</v>
      </c>
      <c r="G623">
        <v>0</v>
      </c>
      <c r="H623">
        <v>0</v>
      </c>
      <c r="I623">
        <v>50</v>
      </c>
      <c r="J623">
        <v>250</v>
      </c>
      <c r="K623">
        <v>1</v>
      </c>
      <c r="L623">
        <v>1</v>
      </c>
      <c r="M623">
        <v>47</v>
      </c>
      <c r="N623">
        <v>0</v>
      </c>
      <c r="O623" t="s">
        <v>27</v>
      </c>
      <c r="P623" t="s">
        <v>443</v>
      </c>
      <c r="Q623">
        <v>2026</v>
      </c>
      <c r="R623">
        <v>2036</v>
      </c>
      <c r="S623" t="s">
        <v>444</v>
      </c>
      <c r="T623">
        <v>2026</v>
      </c>
      <c r="U623">
        <v>33.75</v>
      </c>
      <c r="V623">
        <v>1</v>
      </c>
      <c r="W623">
        <v>2026</v>
      </c>
      <c r="X623">
        <v>0</v>
      </c>
      <c r="Y623">
        <v>2026</v>
      </c>
      <c r="Z623">
        <v>1</v>
      </c>
      <c r="AA623">
        <v>50</v>
      </c>
      <c r="AB623">
        <v>250</v>
      </c>
      <c r="AC623">
        <v>50</v>
      </c>
      <c r="AD623">
        <v>250</v>
      </c>
      <c r="AE623">
        <v>0</v>
      </c>
      <c r="AF623">
        <v>0</v>
      </c>
      <c r="AG623">
        <v>50</v>
      </c>
      <c r="AH623">
        <v>250</v>
      </c>
      <c r="AI623">
        <v>1</v>
      </c>
      <c r="AK623">
        <v>2027</v>
      </c>
      <c r="AL623" s="61">
        <v>2.4329999999999998</v>
      </c>
      <c r="AM623" s="61">
        <v>0</v>
      </c>
      <c r="AN623" s="61">
        <v>2.4329999999999998</v>
      </c>
      <c r="AO623">
        <v>1</v>
      </c>
      <c r="AP623">
        <v>1.023385968321771</v>
      </c>
      <c r="AQ623">
        <v>1.023385968321771</v>
      </c>
      <c r="AR623" t="b">
        <v>1</v>
      </c>
      <c r="AS623">
        <v>50</v>
      </c>
      <c r="AT623">
        <v>250</v>
      </c>
      <c r="AU623">
        <v>150</v>
      </c>
    </row>
    <row r="624" spans="1:47" x14ac:dyDescent="0.25">
      <c r="A624" t="s">
        <v>344</v>
      </c>
      <c r="B624" t="s">
        <v>490</v>
      </c>
      <c r="C624" t="s">
        <v>319</v>
      </c>
      <c r="D624">
        <v>2026</v>
      </c>
      <c r="E624">
        <v>0</v>
      </c>
      <c r="F624">
        <v>10</v>
      </c>
      <c r="G624">
        <v>0</v>
      </c>
      <c r="H624">
        <v>0</v>
      </c>
      <c r="I624">
        <v>50</v>
      </c>
      <c r="J624">
        <v>250</v>
      </c>
      <c r="K624">
        <v>1</v>
      </c>
      <c r="L624">
        <v>1</v>
      </c>
      <c r="M624">
        <v>47</v>
      </c>
      <c r="N624">
        <v>0</v>
      </c>
      <c r="O624" t="s">
        <v>27</v>
      </c>
      <c r="P624" t="s">
        <v>443</v>
      </c>
      <c r="Q624">
        <v>2026</v>
      </c>
      <c r="R624">
        <v>2036</v>
      </c>
      <c r="S624" t="s">
        <v>444</v>
      </c>
      <c r="T624">
        <v>2027</v>
      </c>
      <c r="U624">
        <v>34.75</v>
      </c>
      <c r="V624">
        <v>1</v>
      </c>
      <c r="W624">
        <v>2027</v>
      </c>
      <c r="X624">
        <v>1</v>
      </c>
      <c r="Y624">
        <v>2027</v>
      </c>
      <c r="Z624">
        <v>1</v>
      </c>
      <c r="AA624">
        <v>50</v>
      </c>
      <c r="AB624">
        <v>250</v>
      </c>
      <c r="AC624">
        <v>50</v>
      </c>
      <c r="AD624">
        <v>250</v>
      </c>
      <c r="AE624">
        <v>0</v>
      </c>
      <c r="AF624">
        <v>0</v>
      </c>
      <c r="AG624">
        <v>50</v>
      </c>
      <c r="AH624">
        <v>250</v>
      </c>
      <c r="AI624">
        <v>1</v>
      </c>
      <c r="AJ624">
        <v>2.4329999999999998</v>
      </c>
      <c r="AK624">
        <v>2028</v>
      </c>
      <c r="AL624" s="61">
        <v>2.4220000000000002</v>
      </c>
      <c r="AM624" s="61">
        <v>2.4329999999999998</v>
      </c>
      <c r="AN624" s="61">
        <v>2.4220000000000002</v>
      </c>
      <c r="AO624">
        <v>1</v>
      </c>
      <c r="AP624">
        <v>1.0242242189602202</v>
      </c>
      <c r="AQ624">
        <v>1.0242242189602202</v>
      </c>
      <c r="AR624" t="b">
        <v>0</v>
      </c>
      <c r="AS624">
        <v>48.817435747379008</v>
      </c>
      <c r="AT624">
        <v>244.08717873689505</v>
      </c>
      <c r="AU624">
        <v>146.45230724213704</v>
      </c>
    </row>
    <row r="625" spans="1:47" x14ac:dyDescent="0.25">
      <c r="A625" t="s">
        <v>344</v>
      </c>
      <c r="B625" t="s">
        <v>490</v>
      </c>
      <c r="C625" t="s">
        <v>319</v>
      </c>
      <c r="D625">
        <v>2026</v>
      </c>
      <c r="E625">
        <v>0</v>
      </c>
      <c r="F625">
        <v>10</v>
      </c>
      <c r="G625">
        <v>0</v>
      </c>
      <c r="H625">
        <v>0</v>
      </c>
      <c r="I625">
        <v>50</v>
      </c>
      <c r="J625">
        <v>250</v>
      </c>
      <c r="K625">
        <v>1</v>
      </c>
      <c r="L625">
        <v>1</v>
      </c>
      <c r="M625">
        <v>47</v>
      </c>
      <c r="N625">
        <v>0</v>
      </c>
      <c r="O625" t="s">
        <v>27</v>
      </c>
      <c r="P625" t="s">
        <v>443</v>
      </c>
      <c r="Q625">
        <v>2026</v>
      </c>
      <c r="R625">
        <v>2036</v>
      </c>
      <c r="S625" t="s">
        <v>444</v>
      </c>
      <c r="T625">
        <v>2028</v>
      </c>
      <c r="U625">
        <v>35.75</v>
      </c>
      <c r="V625">
        <v>1</v>
      </c>
      <c r="W625">
        <v>2028</v>
      </c>
      <c r="X625">
        <v>2</v>
      </c>
      <c r="Y625">
        <v>2028</v>
      </c>
      <c r="Z625">
        <v>1</v>
      </c>
      <c r="AA625">
        <v>50</v>
      </c>
      <c r="AB625">
        <v>250</v>
      </c>
      <c r="AC625">
        <v>50</v>
      </c>
      <c r="AD625">
        <v>250</v>
      </c>
      <c r="AE625">
        <v>0</v>
      </c>
      <c r="AF625">
        <v>0</v>
      </c>
      <c r="AG625">
        <v>50</v>
      </c>
      <c r="AH625">
        <v>250</v>
      </c>
      <c r="AI625">
        <v>1</v>
      </c>
      <c r="AJ625">
        <v>2.4220000000000002</v>
      </c>
      <c r="AK625">
        <v>2029</v>
      </c>
      <c r="AL625" s="61">
        <v>2.4209999999999998</v>
      </c>
      <c r="AM625" s="61">
        <v>2.4220000000000002</v>
      </c>
      <c r="AN625" s="61">
        <v>2.4209999999999998</v>
      </c>
      <c r="AO625">
        <v>1.0242199999999999</v>
      </c>
      <c r="AP625">
        <v>1.0242103835598433</v>
      </c>
      <c r="AQ625">
        <v>1.0490167590496626</v>
      </c>
      <c r="AR625" t="b">
        <v>0</v>
      </c>
      <c r="AS625">
        <v>47.66368084080618</v>
      </c>
      <c r="AT625">
        <v>238.31840420403091</v>
      </c>
      <c r="AU625">
        <v>142.99104252241855</v>
      </c>
    </row>
    <row r="626" spans="1:47" x14ac:dyDescent="0.25">
      <c r="A626" t="s">
        <v>344</v>
      </c>
      <c r="B626" t="s">
        <v>490</v>
      </c>
      <c r="C626" t="s">
        <v>319</v>
      </c>
      <c r="D626">
        <v>2026</v>
      </c>
      <c r="E626">
        <v>0</v>
      </c>
      <c r="F626">
        <v>10</v>
      </c>
      <c r="G626">
        <v>0</v>
      </c>
      <c r="H626">
        <v>0</v>
      </c>
      <c r="I626">
        <v>50</v>
      </c>
      <c r="J626">
        <v>250</v>
      </c>
      <c r="K626">
        <v>1</v>
      </c>
      <c r="L626">
        <v>1</v>
      </c>
      <c r="M626">
        <v>47</v>
      </c>
      <c r="N626">
        <v>0</v>
      </c>
      <c r="O626" t="s">
        <v>27</v>
      </c>
      <c r="P626" t="s">
        <v>443</v>
      </c>
      <c r="Q626">
        <v>2026</v>
      </c>
      <c r="R626">
        <v>2036</v>
      </c>
      <c r="S626" t="s">
        <v>444</v>
      </c>
      <c r="T626">
        <v>2029</v>
      </c>
      <c r="U626">
        <v>36.75</v>
      </c>
      <c r="V626">
        <v>1</v>
      </c>
      <c r="W626">
        <v>2029</v>
      </c>
      <c r="X626">
        <v>3</v>
      </c>
      <c r="Y626">
        <v>2029</v>
      </c>
      <c r="Z626">
        <v>1</v>
      </c>
      <c r="AA626">
        <v>50</v>
      </c>
      <c r="AB626">
        <v>250</v>
      </c>
      <c r="AC626">
        <v>50</v>
      </c>
      <c r="AD626">
        <v>250</v>
      </c>
      <c r="AE626">
        <v>0</v>
      </c>
      <c r="AF626">
        <v>0</v>
      </c>
      <c r="AG626">
        <v>50</v>
      </c>
      <c r="AH626">
        <v>250</v>
      </c>
      <c r="AI626">
        <v>1</v>
      </c>
      <c r="AJ626">
        <v>2.4209999999999998</v>
      </c>
      <c r="AK626">
        <v>2030</v>
      </c>
      <c r="AL626" s="61">
        <v>2.4670000000000001</v>
      </c>
      <c r="AM626" s="61">
        <v>2.4209999999999998</v>
      </c>
      <c r="AN626" s="61">
        <v>2.4670000000000001</v>
      </c>
      <c r="AO626">
        <v>1.0490061241000002</v>
      </c>
      <c r="AP626">
        <v>1.0246523523547908</v>
      </c>
      <c r="AQ626">
        <v>1.0748665926936467</v>
      </c>
      <c r="AR626" t="b">
        <v>0</v>
      </c>
      <c r="AS626">
        <v>46.517400708025129</v>
      </c>
      <c r="AT626">
        <v>232.58700354012564</v>
      </c>
      <c r="AU626">
        <v>139.55220212407539</v>
      </c>
    </row>
    <row r="627" spans="1:47" x14ac:dyDescent="0.25">
      <c r="A627" t="s">
        <v>344</v>
      </c>
      <c r="B627" t="s">
        <v>490</v>
      </c>
      <c r="C627" t="s">
        <v>319</v>
      </c>
      <c r="D627">
        <v>2026</v>
      </c>
      <c r="E627">
        <v>0</v>
      </c>
      <c r="F627">
        <v>10</v>
      </c>
      <c r="G627">
        <v>0</v>
      </c>
      <c r="H627">
        <v>0</v>
      </c>
      <c r="I627">
        <v>50</v>
      </c>
      <c r="J627">
        <v>250</v>
      </c>
      <c r="K627">
        <v>1</v>
      </c>
      <c r="L627">
        <v>1</v>
      </c>
      <c r="M627">
        <v>47</v>
      </c>
      <c r="N627">
        <v>0</v>
      </c>
      <c r="O627" t="s">
        <v>27</v>
      </c>
      <c r="P627" t="s">
        <v>443</v>
      </c>
      <c r="Q627">
        <v>2026</v>
      </c>
      <c r="R627">
        <v>2036</v>
      </c>
      <c r="S627" t="s">
        <v>444</v>
      </c>
      <c r="T627">
        <v>2030</v>
      </c>
      <c r="U627">
        <v>37.75</v>
      </c>
      <c r="V627">
        <v>1</v>
      </c>
      <c r="W627">
        <v>2030</v>
      </c>
      <c r="X627">
        <v>4</v>
      </c>
      <c r="Y627">
        <v>2030</v>
      </c>
      <c r="Z627">
        <v>1</v>
      </c>
      <c r="AA627">
        <v>50</v>
      </c>
      <c r="AB627">
        <v>250</v>
      </c>
      <c r="AC627">
        <v>50</v>
      </c>
      <c r="AD627">
        <v>250</v>
      </c>
      <c r="AE627">
        <v>0</v>
      </c>
      <c r="AF627">
        <v>0</v>
      </c>
      <c r="AG627">
        <v>50</v>
      </c>
      <c r="AH627">
        <v>250</v>
      </c>
      <c r="AI627">
        <v>1</v>
      </c>
      <c r="AJ627">
        <v>2.4670000000000001</v>
      </c>
      <c r="AK627">
        <v>2031</v>
      </c>
      <c r="AL627" s="61">
        <v>2.5169999999999999</v>
      </c>
      <c r="AM627" s="61">
        <v>2.4670000000000001</v>
      </c>
      <c r="AN627" s="61">
        <v>2.5169999999999999</v>
      </c>
      <c r="AO627">
        <v>1.0758508410815628</v>
      </c>
      <c r="AP627">
        <v>1.0251508174189523</v>
      </c>
      <c r="AQ627">
        <v>1.1029093691556315</v>
      </c>
      <c r="AR627" t="b">
        <v>0</v>
      </c>
      <c r="AS627">
        <v>45.334640722364284</v>
      </c>
      <c r="AT627">
        <v>226.67320361182144</v>
      </c>
      <c r="AU627">
        <v>136.00392216709287</v>
      </c>
    </row>
    <row r="628" spans="1:47" x14ac:dyDescent="0.25">
      <c r="A628" t="s">
        <v>344</v>
      </c>
      <c r="B628" t="s">
        <v>490</v>
      </c>
      <c r="C628" t="s">
        <v>319</v>
      </c>
      <c r="D628">
        <v>2026</v>
      </c>
      <c r="E628">
        <v>0</v>
      </c>
      <c r="F628">
        <v>10</v>
      </c>
      <c r="G628">
        <v>0</v>
      </c>
      <c r="H628">
        <v>0</v>
      </c>
      <c r="I628">
        <v>50</v>
      </c>
      <c r="J628">
        <v>250</v>
      </c>
      <c r="K628">
        <v>1</v>
      </c>
      <c r="L628">
        <v>1</v>
      </c>
      <c r="M628">
        <v>47</v>
      </c>
      <c r="N628">
        <v>0</v>
      </c>
      <c r="O628" t="s">
        <v>27</v>
      </c>
      <c r="P628" t="s">
        <v>443</v>
      </c>
      <c r="Q628">
        <v>2026</v>
      </c>
      <c r="R628">
        <v>2036</v>
      </c>
      <c r="S628" t="s">
        <v>444</v>
      </c>
      <c r="T628">
        <v>2031</v>
      </c>
      <c r="U628">
        <v>38.75</v>
      </c>
      <c r="V628">
        <v>1</v>
      </c>
      <c r="W628">
        <v>2031</v>
      </c>
      <c r="X628">
        <v>5</v>
      </c>
      <c r="Y628">
        <v>2031</v>
      </c>
      <c r="Z628">
        <v>1</v>
      </c>
      <c r="AA628">
        <v>50</v>
      </c>
      <c r="AB628">
        <v>250</v>
      </c>
      <c r="AC628">
        <v>50</v>
      </c>
      <c r="AD628">
        <v>250</v>
      </c>
      <c r="AE628">
        <v>0</v>
      </c>
      <c r="AF628">
        <v>0</v>
      </c>
      <c r="AG628">
        <v>50</v>
      </c>
      <c r="AH628">
        <v>250</v>
      </c>
      <c r="AI628">
        <v>1</v>
      </c>
      <c r="AJ628">
        <v>2.5169999999999999</v>
      </c>
      <c r="AK628">
        <v>2032</v>
      </c>
      <c r="AL628" s="61">
        <v>2.59</v>
      </c>
      <c r="AM628" s="61">
        <v>2.5169999999999999</v>
      </c>
      <c r="AN628" s="61">
        <v>2.59</v>
      </c>
      <c r="AO628">
        <v>1.1045453584485188</v>
      </c>
      <c r="AP628">
        <v>1.0258719904156592</v>
      </c>
      <c r="AQ628">
        <v>1.1331221453759597</v>
      </c>
      <c r="AR628" t="b">
        <v>0</v>
      </c>
      <c r="AS628">
        <v>44.125869575526167</v>
      </c>
      <c r="AT628">
        <v>220.62934787763083</v>
      </c>
      <c r="AU628">
        <v>132.3776087265785</v>
      </c>
    </row>
    <row r="629" spans="1:47" x14ac:dyDescent="0.25">
      <c r="A629" t="s">
        <v>344</v>
      </c>
      <c r="B629" t="s">
        <v>490</v>
      </c>
      <c r="C629" t="s">
        <v>319</v>
      </c>
      <c r="D629">
        <v>2026</v>
      </c>
      <c r="E629">
        <v>0</v>
      </c>
      <c r="F629">
        <v>10</v>
      </c>
      <c r="G629">
        <v>0</v>
      </c>
      <c r="H629">
        <v>0</v>
      </c>
      <c r="I629">
        <v>50</v>
      </c>
      <c r="J629">
        <v>250</v>
      </c>
      <c r="K629">
        <v>1</v>
      </c>
      <c r="L629">
        <v>1</v>
      </c>
      <c r="M629">
        <v>47</v>
      </c>
      <c r="N629">
        <v>0</v>
      </c>
      <c r="O629" t="s">
        <v>27</v>
      </c>
      <c r="P629" t="s">
        <v>443</v>
      </c>
      <c r="Q629">
        <v>2026</v>
      </c>
      <c r="R629">
        <v>2036</v>
      </c>
      <c r="S629" t="s">
        <v>444</v>
      </c>
      <c r="T629">
        <v>2032</v>
      </c>
      <c r="U629">
        <v>39.75</v>
      </c>
      <c r="V629">
        <v>1</v>
      </c>
      <c r="W629">
        <v>2032</v>
      </c>
      <c r="X629">
        <v>6</v>
      </c>
      <c r="Y629">
        <v>2032</v>
      </c>
      <c r="Z629">
        <v>1</v>
      </c>
      <c r="AA629">
        <v>50</v>
      </c>
      <c r="AB629">
        <v>250</v>
      </c>
      <c r="AC629">
        <v>50</v>
      </c>
      <c r="AD629">
        <v>250</v>
      </c>
      <c r="AE629">
        <v>0</v>
      </c>
      <c r="AF629">
        <v>0</v>
      </c>
      <c r="AG629">
        <v>50</v>
      </c>
      <c r="AH629">
        <v>250</v>
      </c>
      <c r="AI629">
        <v>1</v>
      </c>
      <c r="AJ629">
        <v>2.59</v>
      </c>
      <c r="AK629">
        <v>2033</v>
      </c>
      <c r="AL629" s="61">
        <v>2.6880000000000002</v>
      </c>
      <c r="AM629" s="61">
        <v>2.59</v>
      </c>
      <c r="AN629" s="61">
        <v>2.6880000000000002</v>
      </c>
      <c r="AO629">
        <v>1.1363841013749196</v>
      </c>
      <c r="AP629">
        <v>1.0268423936996114</v>
      </c>
      <c r="AQ629">
        <v>1.1668873708180043</v>
      </c>
      <c r="AR629" t="b">
        <v>0</v>
      </c>
      <c r="AS629">
        <v>42.849036891151975</v>
      </c>
      <c r="AT629">
        <v>214.24518445575987</v>
      </c>
      <c r="AU629">
        <v>128.54711067345593</v>
      </c>
    </row>
    <row r="630" spans="1:47" x14ac:dyDescent="0.25">
      <c r="A630" t="s">
        <v>344</v>
      </c>
      <c r="B630" t="s">
        <v>490</v>
      </c>
      <c r="C630" t="s">
        <v>319</v>
      </c>
      <c r="D630">
        <v>2026</v>
      </c>
      <c r="E630">
        <v>0</v>
      </c>
      <c r="F630">
        <v>10</v>
      </c>
      <c r="G630">
        <v>0</v>
      </c>
      <c r="H630">
        <v>0</v>
      </c>
      <c r="I630">
        <v>50</v>
      </c>
      <c r="J630">
        <v>250</v>
      </c>
      <c r="K630">
        <v>1</v>
      </c>
      <c r="L630">
        <v>1</v>
      </c>
      <c r="M630">
        <v>47</v>
      </c>
      <c r="N630">
        <v>0</v>
      </c>
      <c r="O630" t="s">
        <v>27</v>
      </c>
      <c r="P630" t="s">
        <v>443</v>
      </c>
      <c r="Q630">
        <v>2026</v>
      </c>
      <c r="R630">
        <v>2036</v>
      </c>
      <c r="S630" t="s">
        <v>444</v>
      </c>
      <c r="T630">
        <v>2033</v>
      </c>
      <c r="U630">
        <v>40.75</v>
      </c>
      <c r="V630">
        <v>1</v>
      </c>
      <c r="W630">
        <v>2033</v>
      </c>
      <c r="X630">
        <v>7</v>
      </c>
      <c r="Y630">
        <v>2033</v>
      </c>
      <c r="Z630">
        <v>1</v>
      </c>
      <c r="AA630">
        <v>50</v>
      </c>
      <c r="AB630">
        <v>250</v>
      </c>
      <c r="AC630">
        <v>50</v>
      </c>
      <c r="AD630">
        <v>250</v>
      </c>
      <c r="AE630">
        <v>0</v>
      </c>
      <c r="AF630">
        <v>0</v>
      </c>
      <c r="AG630">
        <v>50</v>
      </c>
      <c r="AH630">
        <v>250</v>
      </c>
      <c r="AI630">
        <v>1</v>
      </c>
      <c r="AJ630">
        <v>2.6880000000000002</v>
      </c>
      <c r="AK630">
        <v>2034</v>
      </c>
      <c r="AL630" s="61">
        <v>2.7519999999999998</v>
      </c>
      <c r="AM630" s="61">
        <v>2.6880000000000002</v>
      </c>
      <c r="AN630" s="61">
        <v>2.7519999999999998</v>
      </c>
      <c r="AO630">
        <v>1.1725143659072164</v>
      </c>
      <c r="AP630">
        <v>1.0274954447000768</v>
      </c>
      <c r="AQ630">
        <v>1.2047531698150638</v>
      </c>
      <c r="AR630" t="b">
        <v>0</v>
      </c>
      <c r="AS630">
        <v>41.502277190667428</v>
      </c>
      <c r="AT630">
        <v>207.51138595333714</v>
      </c>
      <c r="AU630">
        <v>124.50683157200228</v>
      </c>
    </row>
    <row r="631" spans="1:47" x14ac:dyDescent="0.25">
      <c r="A631" t="s">
        <v>344</v>
      </c>
      <c r="B631" t="s">
        <v>490</v>
      </c>
      <c r="C631" t="s">
        <v>319</v>
      </c>
      <c r="D631">
        <v>2026</v>
      </c>
      <c r="E631">
        <v>0</v>
      </c>
      <c r="F631">
        <v>10</v>
      </c>
      <c r="G631">
        <v>0</v>
      </c>
      <c r="H631">
        <v>0</v>
      </c>
      <c r="I631">
        <v>50</v>
      </c>
      <c r="J631">
        <v>250</v>
      </c>
      <c r="K631">
        <v>1</v>
      </c>
      <c r="L631">
        <v>1</v>
      </c>
      <c r="M631">
        <v>47</v>
      </c>
      <c r="N631">
        <v>0</v>
      </c>
      <c r="O631" t="s">
        <v>27</v>
      </c>
      <c r="P631" t="s">
        <v>443</v>
      </c>
      <c r="Q631">
        <v>2026</v>
      </c>
      <c r="R631">
        <v>2036</v>
      </c>
      <c r="S631" t="s">
        <v>444</v>
      </c>
      <c r="T631">
        <v>2034</v>
      </c>
      <c r="U631">
        <v>41.75</v>
      </c>
      <c r="V631">
        <v>1</v>
      </c>
      <c r="W631">
        <v>2034</v>
      </c>
      <c r="X631">
        <v>8</v>
      </c>
      <c r="Y631">
        <v>2034</v>
      </c>
      <c r="Z631">
        <v>1</v>
      </c>
      <c r="AA631">
        <v>50</v>
      </c>
      <c r="AB631">
        <v>250</v>
      </c>
      <c r="AC631">
        <v>50</v>
      </c>
      <c r="AD631">
        <v>250</v>
      </c>
      <c r="AE631">
        <v>0</v>
      </c>
      <c r="AF631">
        <v>0</v>
      </c>
      <c r="AG631">
        <v>50</v>
      </c>
      <c r="AH631">
        <v>250</v>
      </c>
      <c r="AI631">
        <v>1</v>
      </c>
      <c r="AJ631">
        <v>2.7519999999999998</v>
      </c>
      <c r="AK631">
        <v>2035</v>
      </c>
      <c r="AL631" s="61">
        <v>2.8420000000000001</v>
      </c>
      <c r="AM631" s="61">
        <v>2.7519999999999998</v>
      </c>
      <c r="AN631" s="61">
        <v>2.8420000000000001</v>
      </c>
      <c r="AO631">
        <v>1.2092942481281721</v>
      </c>
      <c r="AP631">
        <v>1.0283854649181425</v>
      </c>
      <c r="AQ631">
        <v>1.2436206275841259</v>
      </c>
      <c r="AR631" t="b">
        <v>0</v>
      </c>
      <c r="AS631">
        <v>40.205187089193487</v>
      </c>
      <c r="AT631">
        <v>201.02593544596743</v>
      </c>
      <c r="AU631">
        <v>120.61556126758046</v>
      </c>
    </row>
    <row r="632" spans="1:47" x14ac:dyDescent="0.25">
      <c r="A632" t="s">
        <v>344</v>
      </c>
      <c r="B632" t="s">
        <v>490</v>
      </c>
      <c r="C632" t="s">
        <v>319</v>
      </c>
      <c r="D632">
        <v>2026</v>
      </c>
      <c r="E632">
        <v>0</v>
      </c>
      <c r="F632">
        <v>10</v>
      </c>
      <c r="G632">
        <v>0</v>
      </c>
      <c r="H632">
        <v>0</v>
      </c>
      <c r="I632">
        <v>50</v>
      </c>
      <c r="J632">
        <v>250</v>
      </c>
      <c r="K632">
        <v>1</v>
      </c>
      <c r="L632">
        <v>1</v>
      </c>
      <c r="M632">
        <v>47</v>
      </c>
      <c r="N632">
        <v>0</v>
      </c>
      <c r="O632" t="s">
        <v>27</v>
      </c>
      <c r="P632" t="s">
        <v>443</v>
      </c>
      <c r="Q632">
        <v>2026</v>
      </c>
      <c r="R632">
        <v>2036</v>
      </c>
      <c r="S632" t="s">
        <v>444</v>
      </c>
      <c r="T632">
        <v>2035</v>
      </c>
      <c r="U632">
        <v>42.75</v>
      </c>
      <c r="V632">
        <v>1</v>
      </c>
      <c r="W632">
        <v>2035</v>
      </c>
      <c r="X632">
        <v>9</v>
      </c>
      <c r="Y632">
        <v>2035</v>
      </c>
      <c r="Z632">
        <v>1</v>
      </c>
      <c r="AA632">
        <v>50</v>
      </c>
      <c r="AB632">
        <v>250</v>
      </c>
      <c r="AC632">
        <v>50</v>
      </c>
      <c r="AD632">
        <v>250</v>
      </c>
      <c r="AE632">
        <v>0</v>
      </c>
      <c r="AF632">
        <v>0</v>
      </c>
      <c r="AG632">
        <v>50</v>
      </c>
      <c r="AH632">
        <v>250</v>
      </c>
      <c r="AI632">
        <v>1</v>
      </c>
      <c r="AJ632">
        <v>2.8420000000000001</v>
      </c>
      <c r="AK632">
        <v>2036</v>
      </c>
      <c r="AL632" s="61">
        <v>2.944</v>
      </c>
      <c r="AM632" s="61">
        <v>2.8420000000000001</v>
      </c>
      <c r="AN632" s="61">
        <v>2.944</v>
      </c>
      <c r="AO632">
        <v>1.2513076834571593</v>
      </c>
      <c r="AP632">
        <v>1.0294008580614105</v>
      </c>
      <c r="AQ632">
        <v>1.2880972030496356</v>
      </c>
      <c r="AR632" t="b">
        <v>0</v>
      </c>
      <c r="AS632">
        <v>38.816946331086243</v>
      </c>
      <c r="AT632">
        <v>194.0847316554312</v>
      </c>
      <c r="AU632">
        <v>116.45083899325871</v>
      </c>
    </row>
    <row r="633" spans="1:47" x14ac:dyDescent="0.25">
      <c r="A633" t="s">
        <v>344</v>
      </c>
      <c r="B633" t="s">
        <v>490</v>
      </c>
      <c r="C633" t="s">
        <v>319</v>
      </c>
      <c r="D633">
        <v>2026</v>
      </c>
      <c r="E633">
        <v>0</v>
      </c>
      <c r="M633">
        <v>47</v>
      </c>
      <c r="Q633">
        <v>2026</v>
      </c>
      <c r="R633">
        <v>2036</v>
      </c>
      <c r="T633">
        <v>2036</v>
      </c>
      <c r="U633">
        <v>43.75</v>
      </c>
      <c r="W633">
        <v>2036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L633" s="61"/>
      <c r="AS633">
        <v>0</v>
      </c>
      <c r="AT633">
        <v>0</v>
      </c>
      <c r="AU633">
        <v>0</v>
      </c>
    </row>
    <row r="634" spans="1:47" x14ac:dyDescent="0.25">
      <c r="A634" t="s">
        <v>371</v>
      </c>
      <c r="B634" t="s">
        <v>491</v>
      </c>
      <c r="C634" t="s">
        <v>320</v>
      </c>
      <c r="D634">
        <v>2026</v>
      </c>
      <c r="E634">
        <v>0</v>
      </c>
      <c r="F634">
        <v>15</v>
      </c>
      <c r="G634">
        <v>0</v>
      </c>
      <c r="H634">
        <v>0</v>
      </c>
      <c r="I634">
        <v>30</v>
      </c>
      <c r="J634">
        <v>45</v>
      </c>
      <c r="K634">
        <v>4</v>
      </c>
      <c r="L634">
        <v>2</v>
      </c>
      <c r="M634">
        <v>48</v>
      </c>
      <c r="N634">
        <v>0</v>
      </c>
      <c r="O634" t="s">
        <v>27</v>
      </c>
      <c r="P634" t="s">
        <v>443</v>
      </c>
      <c r="Q634">
        <v>2026</v>
      </c>
      <c r="R634">
        <v>2041</v>
      </c>
      <c r="S634" t="s">
        <v>444</v>
      </c>
      <c r="T634">
        <v>2026</v>
      </c>
      <c r="U634">
        <v>33.75</v>
      </c>
      <c r="V634">
        <v>1</v>
      </c>
      <c r="W634">
        <v>2026</v>
      </c>
      <c r="X634">
        <v>0</v>
      </c>
      <c r="Y634">
        <v>2026</v>
      </c>
      <c r="Z634">
        <v>1</v>
      </c>
      <c r="AA634">
        <v>120</v>
      </c>
      <c r="AB634">
        <v>180</v>
      </c>
      <c r="AC634">
        <v>120</v>
      </c>
      <c r="AD634">
        <v>180</v>
      </c>
      <c r="AE634">
        <v>0</v>
      </c>
      <c r="AF634">
        <v>0</v>
      </c>
      <c r="AG634">
        <v>120</v>
      </c>
      <c r="AH634">
        <v>180</v>
      </c>
      <c r="AI634">
        <v>1</v>
      </c>
      <c r="AK634">
        <v>2027</v>
      </c>
      <c r="AL634" s="61">
        <v>2.4329999999999998</v>
      </c>
      <c r="AM634" s="61">
        <v>0</v>
      </c>
      <c r="AN634" s="61">
        <v>2.4329999999999998</v>
      </c>
      <c r="AO634">
        <v>1</v>
      </c>
      <c r="AP634">
        <v>1.023385968321771</v>
      </c>
      <c r="AQ634">
        <v>1.023385968321771</v>
      </c>
      <c r="AR634" t="b">
        <v>1</v>
      </c>
      <c r="AS634">
        <v>120</v>
      </c>
      <c r="AT634">
        <v>180</v>
      </c>
      <c r="AU634">
        <v>150</v>
      </c>
    </row>
    <row r="635" spans="1:47" x14ac:dyDescent="0.25">
      <c r="A635" t="s">
        <v>371</v>
      </c>
      <c r="B635" t="s">
        <v>491</v>
      </c>
      <c r="C635" t="s">
        <v>320</v>
      </c>
      <c r="D635">
        <v>2026</v>
      </c>
      <c r="E635">
        <v>0</v>
      </c>
      <c r="F635">
        <v>15</v>
      </c>
      <c r="G635">
        <v>0</v>
      </c>
      <c r="H635">
        <v>0</v>
      </c>
      <c r="I635">
        <v>30</v>
      </c>
      <c r="J635">
        <v>45</v>
      </c>
      <c r="K635">
        <v>4</v>
      </c>
      <c r="L635">
        <v>2</v>
      </c>
      <c r="M635">
        <v>48</v>
      </c>
      <c r="N635">
        <v>0</v>
      </c>
      <c r="O635" t="s">
        <v>27</v>
      </c>
      <c r="P635" t="s">
        <v>443</v>
      </c>
      <c r="Q635">
        <v>2026</v>
      </c>
      <c r="R635">
        <v>2041</v>
      </c>
      <c r="S635" t="s">
        <v>444</v>
      </c>
      <c r="T635">
        <v>2027</v>
      </c>
      <c r="U635">
        <v>34.75</v>
      </c>
      <c r="V635">
        <v>1</v>
      </c>
      <c r="W635">
        <v>2027</v>
      </c>
      <c r="X635">
        <v>1</v>
      </c>
      <c r="Y635">
        <v>2027</v>
      </c>
      <c r="Z635">
        <v>1</v>
      </c>
      <c r="AA635">
        <v>120</v>
      </c>
      <c r="AB635">
        <v>180</v>
      </c>
      <c r="AC635">
        <v>120</v>
      </c>
      <c r="AD635">
        <v>180</v>
      </c>
      <c r="AE635">
        <v>0</v>
      </c>
      <c r="AF635">
        <v>0</v>
      </c>
      <c r="AG635">
        <v>120</v>
      </c>
      <c r="AH635">
        <v>180</v>
      </c>
      <c r="AI635">
        <v>1</v>
      </c>
      <c r="AJ635">
        <v>2.4329999999999998</v>
      </c>
      <c r="AK635">
        <v>2028</v>
      </c>
      <c r="AL635" s="61">
        <v>2.4220000000000002</v>
      </c>
      <c r="AM635" s="61">
        <v>2.4329999999999998</v>
      </c>
      <c r="AN635" s="61">
        <v>2.4220000000000002</v>
      </c>
      <c r="AO635">
        <v>1</v>
      </c>
      <c r="AP635">
        <v>1.0242242189602202</v>
      </c>
      <c r="AQ635">
        <v>1.0242242189602202</v>
      </c>
      <c r="AR635" t="b">
        <v>0</v>
      </c>
      <c r="AS635">
        <v>117.16184579370963</v>
      </c>
      <c r="AT635">
        <v>175.74276869056445</v>
      </c>
      <c r="AU635">
        <v>146.45230724213704</v>
      </c>
    </row>
    <row r="636" spans="1:47" x14ac:dyDescent="0.25">
      <c r="A636" t="s">
        <v>371</v>
      </c>
      <c r="B636" t="s">
        <v>491</v>
      </c>
      <c r="C636" t="s">
        <v>320</v>
      </c>
      <c r="D636">
        <v>2026</v>
      </c>
      <c r="E636">
        <v>0</v>
      </c>
      <c r="F636">
        <v>15</v>
      </c>
      <c r="G636">
        <v>0</v>
      </c>
      <c r="H636">
        <v>0</v>
      </c>
      <c r="I636">
        <v>30</v>
      </c>
      <c r="J636">
        <v>45</v>
      </c>
      <c r="K636">
        <v>4</v>
      </c>
      <c r="L636">
        <v>2</v>
      </c>
      <c r="M636">
        <v>48</v>
      </c>
      <c r="N636">
        <v>0</v>
      </c>
      <c r="O636" t="s">
        <v>27</v>
      </c>
      <c r="P636" t="s">
        <v>443</v>
      </c>
      <c r="Q636">
        <v>2026</v>
      </c>
      <c r="R636">
        <v>2041</v>
      </c>
      <c r="S636" t="s">
        <v>444</v>
      </c>
      <c r="T636">
        <v>2028</v>
      </c>
      <c r="U636">
        <v>35.75</v>
      </c>
      <c r="V636">
        <v>1</v>
      </c>
      <c r="W636">
        <v>2028</v>
      </c>
      <c r="X636">
        <v>2</v>
      </c>
      <c r="Y636">
        <v>2028</v>
      </c>
      <c r="Z636">
        <v>1</v>
      </c>
      <c r="AA636">
        <v>120</v>
      </c>
      <c r="AB636">
        <v>180</v>
      </c>
      <c r="AC636">
        <v>120</v>
      </c>
      <c r="AD636">
        <v>180</v>
      </c>
      <c r="AE636">
        <v>0</v>
      </c>
      <c r="AF636">
        <v>0</v>
      </c>
      <c r="AG636">
        <v>120</v>
      </c>
      <c r="AH636">
        <v>180</v>
      </c>
      <c r="AI636">
        <v>1</v>
      </c>
      <c r="AJ636">
        <v>2.4220000000000002</v>
      </c>
      <c r="AK636">
        <v>2029</v>
      </c>
      <c r="AL636" s="61">
        <v>2.4209999999999998</v>
      </c>
      <c r="AM636" s="61">
        <v>2.4220000000000002</v>
      </c>
      <c r="AN636" s="61">
        <v>2.4209999999999998</v>
      </c>
      <c r="AO636">
        <v>1.0242199999999999</v>
      </c>
      <c r="AP636">
        <v>1.0242103835598433</v>
      </c>
      <c r="AQ636">
        <v>1.0490167590496626</v>
      </c>
      <c r="AR636" t="b">
        <v>0</v>
      </c>
      <c r="AS636">
        <v>114.39283401793483</v>
      </c>
      <c r="AT636">
        <v>171.58925102690225</v>
      </c>
      <c r="AU636">
        <v>142.99104252241852</v>
      </c>
    </row>
    <row r="637" spans="1:47" x14ac:dyDescent="0.25">
      <c r="A637" t="s">
        <v>371</v>
      </c>
      <c r="B637" t="s">
        <v>491</v>
      </c>
      <c r="C637" t="s">
        <v>320</v>
      </c>
      <c r="D637">
        <v>2026</v>
      </c>
      <c r="E637">
        <v>0</v>
      </c>
      <c r="F637">
        <v>15</v>
      </c>
      <c r="G637">
        <v>0</v>
      </c>
      <c r="H637">
        <v>0</v>
      </c>
      <c r="I637">
        <v>30</v>
      </c>
      <c r="J637">
        <v>45</v>
      </c>
      <c r="K637">
        <v>4</v>
      </c>
      <c r="L637">
        <v>2</v>
      </c>
      <c r="M637">
        <v>48</v>
      </c>
      <c r="N637">
        <v>0</v>
      </c>
      <c r="O637" t="s">
        <v>27</v>
      </c>
      <c r="P637" t="s">
        <v>443</v>
      </c>
      <c r="Q637">
        <v>2026</v>
      </c>
      <c r="R637">
        <v>2041</v>
      </c>
      <c r="S637" t="s">
        <v>444</v>
      </c>
      <c r="T637">
        <v>2029</v>
      </c>
      <c r="U637">
        <v>36.75</v>
      </c>
      <c r="V637">
        <v>1</v>
      </c>
      <c r="W637">
        <v>2029</v>
      </c>
      <c r="X637">
        <v>3</v>
      </c>
      <c r="Y637">
        <v>2029</v>
      </c>
      <c r="Z637">
        <v>1</v>
      </c>
      <c r="AA637">
        <v>120</v>
      </c>
      <c r="AB637">
        <v>180</v>
      </c>
      <c r="AC637">
        <v>120</v>
      </c>
      <c r="AD637">
        <v>180</v>
      </c>
      <c r="AE637">
        <v>0</v>
      </c>
      <c r="AF637">
        <v>0</v>
      </c>
      <c r="AG637">
        <v>120</v>
      </c>
      <c r="AH637">
        <v>180</v>
      </c>
      <c r="AI637">
        <v>1</v>
      </c>
      <c r="AJ637">
        <v>2.4209999999999998</v>
      </c>
      <c r="AK637">
        <v>2030</v>
      </c>
      <c r="AL637" s="61">
        <v>2.4670000000000001</v>
      </c>
      <c r="AM637" s="61">
        <v>2.4209999999999998</v>
      </c>
      <c r="AN637" s="61">
        <v>2.4670000000000001</v>
      </c>
      <c r="AO637">
        <v>1.0490061241000002</v>
      </c>
      <c r="AP637">
        <v>1.0246523523547908</v>
      </c>
      <c r="AQ637">
        <v>1.0748665926936467</v>
      </c>
      <c r="AR637" t="b">
        <v>0</v>
      </c>
      <c r="AS637">
        <v>111.64176169926031</v>
      </c>
      <c r="AT637">
        <v>167.46264254889047</v>
      </c>
      <c r="AU637">
        <v>139.55220212407539</v>
      </c>
    </row>
    <row r="638" spans="1:47" x14ac:dyDescent="0.25">
      <c r="A638" t="s">
        <v>371</v>
      </c>
      <c r="B638" t="s">
        <v>491</v>
      </c>
      <c r="C638" t="s">
        <v>320</v>
      </c>
      <c r="D638">
        <v>2026</v>
      </c>
      <c r="E638">
        <v>0</v>
      </c>
      <c r="F638">
        <v>15</v>
      </c>
      <c r="G638">
        <v>0</v>
      </c>
      <c r="H638">
        <v>0</v>
      </c>
      <c r="I638">
        <v>30</v>
      </c>
      <c r="J638">
        <v>45</v>
      </c>
      <c r="K638">
        <v>4</v>
      </c>
      <c r="L638">
        <v>2</v>
      </c>
      <c r="M638">
        <v>48</v>
      </c>
      <c r="N638">
        <v>0</v>
      </c>
      <c r="O638" t="s">
        <v>27</v>
      </c>
      <c r="P638" t="s">
        <v>443</v>
      </c>
      <c r="Q638">
        <v>2026</v>
      </c>
      <c r="R638">
        <v>2041</v>
      </c>
      <c r="S638" t="s">
        <v>444</v>
      </c>
      <c r="T638">
        <v>2030</v>
      </c>
      <c r="U638">
        <v>37.75</v>
      </c>
      <c r="V638">
        <v>1</v>
      </c>
      <c r="W638">
        <v>2030</v>
      </c>
      <c r="X638">
        <v>4</v>
      </c>
      <c r="Y638">
        <v>2030</v>
      </c>
      <c r="Z638">
        <v>1</v>
      </c>
      <c r="AA638">
        <v>120</v>
      </c>
      <c r="AB638">
        <v>180</v>
      </c>
      <c r="AC638">
        <v>120</v>
      </c>
      <c r="AD638">
        <v>180</v>
      </c>
      <c r="AE638">
        <v>0</v>
      </c>
      <c r="AF638">
        <v>0</v>
      </c>
      <c r="AG638">
        <v>120</v>
      </c>
      <c r="AH638">
        <v>180</v>
      </c>
      <c r="AI638">
        <v>1</v>
      </c>
      <c r="AJ638">
        <v>2.4670000000000001</v>
      </c>
      <c r="AK638">
        <v>2031</v>
      </c>
      <c r="AL638" s="61">
        <v>2.5169999999999999</v>
      </c>
      <c r="AM638" s="61">
        <v>2.4670000000000001</v>
      </c>
      <c r="AN638" s="61">
        <v>2.5169999999999999</v>
      </c>
      <c r="AO638">
        <v>1.0758508410815628</v>
      </c>
      <c r="AP638">
        <v>1.0251508174189523</v>
      </c>
      <c r="AQ638">
        <v>1.1029093691556315</v>
      </c>
      <c r="AR638" t="b">
        <v>0</v>
      </c>
      <c r="AS638">
        <v>108.80313773367429</v>
      </c>
      <c r="AT638">
        <v>163.20470660051143</v>
      </c>
      <c r="AU638">
        <v>136.00392216709287</v>
      </c>
    </row>
    <row r="639" spans="1:47" x14ac:dyDescent="0.25">
      <c r="A639" t="s">
        <v>371</v>
      </c>
      <c r="B639" t="s">
        <v>491</v>
      </c>
      <c r="C639" t="s">
        <v>320</v>
      </c>
      <c r="D639">
        <v>2026</v>
      </c>
      <c r="E639">
        <v>0</v>
      </c>
      <c r="F639">
        <v>15</v>
      </c>
      <c r="G639">
        <v>0</v>
      </c>
      <c r="H639">
        <v>0</v>
      </c>
      <c r="I639">
        <v>30</v>
      </c>
      <c r="J639">
        <v>45</v>
      </c>
      <c r="K639">
        <v>4</v>
      </c>
      <c r="L639">
        <v>2</v>
      </c>
      <c r="M639">
        <v>48</v>
      </c>
      <c r="N639">
        <v>0</v>
      </c>
      <c r="O639" t="s">
        <v>27</v>
      </c>
      <c r="P639" t="s">
        <v>443</v>
      </c>
      <c r="Q639">
        <v>2026</v>
      </c>
      <c r="R639">
        <v>2041</v>
      </c>
      <c r="S639" t="s">
        <v>444</v>
      </c>
      <c r="T639">
        <v>2031</v>
      </c>
      <c r="U639">
        <v>38.75</v>
      </c>
      <c r="V639">
        <v>1</v>
      </c>
      <c r="W639">
        <v>2031</v>
      </c>
      <c r="X639">
        <v>5</v>
      </c>
      <c r="Y639">
        <v>2031</v>
      </c>
      <c r="Z639">
        <v>1</v>
      </c>
      <c r="AA639">
        <v>120</v>
      </c>
      <c r="AB639">
        <v>180</v>
      </c>
      <c r="AC639">
        <v>120</v>
      </c>
      <c r="AD639">
        <v>180</v>
      </c>
      <c r="AE639">
        <v>0</v>
      </c>
      <c r="AF639">
        <v>0</v>
      </c>
      <c r="AG639">
        <v>120</v>
      </c>
      <c r="AH639">
        <v>180</v>
      </c>
      <c r="AI639">
        <v>1</v>
      </c>
      <c r="AJ639">
        <v>2.5169999999999999</v>
      </c>
      <c r="AK639">
        <v>2032</v>
      </c>
      <c r="AL639" s="61">
        <v>2.59</v>
      </c>
      <c r="AM639" s="61">
        <v>2.5169999999999999</v>
      </c>
      <c r="AN639" s="61">
        <v>2.59</v>
      </c>
      <c r="AO639">
        <v>1.1045453584485188</v>
      </c>
      <c r="AP639">
        <v>1.0258719904156592</v>
      </c>
      <c r="AQ639">
        <v>1.1331221453759597</v>
      </c>
      <c r="AR639" t="b">
        <v>0</v>
      </c>
      <c r="AS639">
        <v>105.90208698126281</v>
      </c>
      <c r="AT639">
        <v>158.85313047189422</v>
      </c>
      <c r="AU639">
        <v>132.3776087265785</v>
      </c>
    </row>
    <row r="640" spans="1:47" x14ac:dyDescent="0.25">
      <c r="A640" t="s">
        <v>371</v>
      </c>
      <c r="B640" t="s">
        <v>491</v>
      </c>
      <c r="C640" t="s">
        <v>320</v>
      </c>
      <c r="D640">
        <v>2026</v>
      </c>
      <c r="E640">
        <v>0</v>
      </c>
      <c r="F640">
        <v>15</v>
      </c>
      <c r="G640">
        <v>0</v>
      </c>
      <c r="H640">
        <v>0</v>
      </c>
      <c r="I640">
        <v>30</v>
      </c>
      <c r="J640">
        <v>45</v>
      </c>
      <c r="K640">
        <v>4</v>
      </c>
      <c r="L640">
        <v>2</v>
      </c>
      <c r="M640">
        <v>48</v>
      </c>
      <c r="N640">
        <v>0</v>
      </c>
      <c r="O640" t="s">
        <v>27</v>
      </c>
      <c r="P640" t="s">
        <v>443</v>
      </c>
      <c r="Q640">
        <v>2026</v>
      </c>
      <c r="R640">
        <v>2041</v>
      </c>
      <c r="S640" t="s">
        <v>444</v>
      </c>
      <c r="T640">
        <v>2032</v>
      </c>
      <c r="U640">
        <v>39.75</v>
      </c>
      <c r="V640">
        <v>1</v>
      </c>
      <c r="W640">
        <v>2032</v>
      </c>
      <c r="X640">
        <v>6</v>
      </c>
      <c r="Y640">
        <v>2032</v>
      </c>
      <c r="Z640">
        <v>1</v>
      </c>
      <c r="AA640">
        <v>120</v>
      </c>
      <c r="AB640">
        <v>180</v>
      </c>
      <c r="AC640">
        <v>120</v>
      </c>
      <c r="AD640">
        <v>180</v>
      </c>
      <c r="AE640">
        <v>0</v>
      </c>
      <c r="AF640">
        <v>0</v>
      </c>
      <c r="AG640">
        <v>120</v>
      </c>
      <c r="AH640">
        <v>180</v>
      </c>
      <c r="AI640">
        <v>1</v>
      </c>
      <c r="AJ640">
        <v>2.59</v>
      </c>
      <c r="AK640">
        <v>2033</v>
      </c>
      <c r="AL640" s="61">
        <v>2.6880000000000002</v>
      </c>
      <c r="AM640" s="61">
        <v>2.59</v>
      </c>
      <c r="AN640" s="61">
        <v>2.6880000000000002</v>
      </c>
      <c r="AO640">
        <v>1.1363841013749196</v>
      </c>
      <c r="AP640">
        <v>1.0268423936996114</v>
      </c>
      <c r="AQ640">
        <v>1.1668873708180043</v>
      </c>
      <c r="AR640" t="b">
        <v>0</v>
      </c>
      <c r="AS640">
        <v>102.83768853876474</v>
      </c>
      <c r="AT640">
        <v>154.25653280814711</v>
      </c>
      <c r="AU640">
        <v>128.54711067345593</v>
      </c>
    </row>
    <row r="641" spans="1:47" x14ac:dyDescent="0.25">
      <c r="A641" t="s">
        <v>371</v>
      </c>
      <c r="B641" t="s">
        <v>491</v>
      </c>
      <c r="C641" t="s">
        <v>320</v>
      </c>
      <c r="D641">
        <v>2026</v>
      </c>
      <c r="E641">
        <v>0</v>
      </c>
      <c r="F641">
        <v>15</v>
      </c>
      <c r="G641">
        <v>0</v>
      </c>
      <c r="H641">
        <v>0</v>
      </c>
      <c r="I641">
        <v>30</v>
      </c>
      <c r="J641">
        <v>45</v>
      </c>
      <c r="K641">
        <v>4</v>
      </c>
      <c r="L641">
        <v>2</v>
      </c>
      <c r="M641">
        <v>48</v>
      </c>
      <c r="N641">
        <v>0</v>
      </c>
      <c r="O641" t="s">
        <v>27</v>
      </c>
      <c r="P641" t="s">
        <v>443</v>
      </c>
      <c r="Q641">
        <v>2026</v>
      </c>
      <c r="R641">
        <v>2041</v>
      </c>
      <c r="S641" t="s">
        <v>444</v>
      </c>
      <c r="T641">
        <v>2033</v>
      </c>
      <c r="U641">
        <v>40.75</v>
      </c>
      <c r="V641">
        <v>1</v>
      </c>
      <c r="W641">
        <v>2033</v>
      </c>
      <c r="X641">
        <v>7</v>
      </c>
      <c r="Y641">
        <v>2033</v>
      </c>
      <c r="Z641">
        <v>1</v>
      </c>
      <c r="AA641">
        <v>120</v>
      </c>
      <c r="AB641">
        <v>180</v>
      </c>
      <c r="AC641">
        <v>120</v>
      </c>
      <c r="AD641">
        <v>180</v>
      </c>
      <c r="AE641">
        <v>0</v>
      </c>
      <c r="AF641">
        <v>0</v>
      </c>
      <c r="AG641">
        <v>120</v>
      </c>
      <c r="AH641">
        <v>180</v>
      </c>
      <c r="AI641">
        <v>1</v>
      </c>
      <c r="AJ641">
        <v>2.6880000000000002</v>
      </c>
      <c r="AK641">
        <v>2034</v>
      </c>
      <c r="AL641" s="61">
        <v>2.7519999999999998</v>
      </c>
      <c r="AM641" s="61">
        <v>2.6880000000000002</v>
      </c>
      <c r="AN641" s="61">
        <v>2.7519999999999998</v>
      </c>
      <c r="AO641">
        <v>1.1725143659072164</v>
      </c>
      <c r="AP641">
        <v>1.0274954447000768</v>
      </c>
      <c r="AQ641">
        <v>1.2047531698150638</v>
      </c>
      <c r="AR641" t="b">
        <v>0</v>
      </c>
      <c r="AS641">
        <v>99.605465257601821</v>
      </c>
      <c r="AT641">
        <v>149.40819788640275</v>
      </c>
      <c r="AU641">
        <v>124.50683157200228</v>
      </c>
    </row>
    <row r="642" spans="1:47" x14ac:dyDescent="0.25">
      <c r="A642" t="s">
        <v>371</v>
      </c>
      <c r="B642" t="s">
        <v>491</v>
      </c>
      <c r="C642" t="s">
        <v>320</v>
      </c>
      <c r="D642">
        <v>2026</v>
      </c>
      <c r="E642">
        <v>0</v>
      </c>
      <c r="F642">
        <v>15</v>
      </c>
      <c r="G642">
        <v>0</v>
      </c>
      <c r="H642">
        <v>0</v>
      </c>
      <c r="I642">
        <v>30</v>
      </c>
      <c r="J642">
        <v>45</v>
      </c>
      <c r="K642">
        <v>4</v>
      </c>
      <c r="L642">
        <v>2</v>
      </c>
      <c r="M642">
        <v>48</v>
      </c>
      <c r="N642">
        <v>0</v>
      </c>
      <c r="O642" t="s">
        <v>27</v>
      </c>
      <c r="P642" t="s">
        <v>443</v>
      </c>
      <c r="Q642">
        <v>2026</v>
      </c>
      <c r="R642">
        <v>2041</v>
      </c>
      <c r="S642" t="s">
        <v>444</v>
      </c>
      <c r="T642">
        <v>2034</v>
      </c>
      <c r="U642">
        <v>41.75</v>
      </c>
      <c r="V642">
        <v>1</v>
      </c>
      <c r="W642">
        <v>2034</v>
      </c>
      <c r="X642">
        <v>8</v>
      </c>
      <c r="Y642">
        <v>2034</v>
      </c>
      <c r="Z642">
        <v>1</v>
      </c>
      <c r="AA642">
        <v>120</v>
      </c>
      <c r="AB642">
        <v>180</v>
      </c>
      <c r="AC642">
        <v>120</v>
      </c>
      <c r="AD642">
        <v>180</v>
      </c>
      <c r="AE642">
        <v>0</v>
      </c>
      <c r="AF642">
        <v>0</v>
      </c>
      <c r="AG642">
        <v>120</v>
      </c>
      <c r="AH642">
        <v>180</v>
      </c>
      <c r="AI642">
        <v>1</v>
      </c>
      <c r="AJ642">
        <v>2.7519999999999998</v>
      </c>
      <c r="AK642">
        <v>2035</v>
      </c>
      <c r="AL642" s="61">
        <v>2.8420000000000001</v>
      </c>
      <c r="AM642" s="61">
        <v>2.7519999999999998</v>
      </c>
      <c r="AN642" s="61">
        <v>2.8420000000000001</v>
      </c>
      <c r="AO642">
        <v>1.2092942481281721</v>
      </c>
      <c r="AP642">
        <v>1.0283854649181425</v>
      </c>
      <c r="AQ642">
        <v>1.2436206275841259</v>
      </c>
      <c r="AR642" t="b">
        <v>0</v>
      </c>
      <c r="AS642">
        <v>96.492449014064363</v>
      </c>
      <c r="AT642">
        <v>144.73867352109656</v>
      </c>
      <c r="AU642">
        <v>120.61556126758046</v>
      </c>
    </row>
    <row r="643" spans="1:47" x14ac:dyDescent="0.25">
      <c r="A643" t="s">
        <v>371</v>
      </c>
      <c r="B643" t="s">
        <v>491</v>
      </c>
      <c r="C643" t="s">
        <v>320</v>
      </c>
      <c r="D643">
        <v>2026</v>
      </c>
      <c r="E643">
        <v>0</v>
      </c>
      <c r="F643">
        <v>15</v>
      </c>
      <c r="G643">
        <v>0</v>
      </c>
      <c r="H643">
        <v>0</v>
      </c>
      <c r="I643">
        <v>30</v>
      </c>
      <c r="J643">
        <v>45</v>
      </c>
      <c r="K643">
        <v>4</v>
      </c>
      <c r="L643">
        <v>2</v>
      </c>
      <c r="M643">
        <v>48</v>
      </c>
      <c r="N643">
        <v>0</v>
      </c>
      <c r="O643" t="s">
        <v>27</v>
      </c>
      <c r="P643" t="s">
        <v>443</v>
      </c>
      <c r="Q643">
        <v>2026</v>
      </c>
      <c r="R643">
        <v>2041</v>
      </c>
      <c r="S643" t="s">
        <v>444</v>
      </c>
      <c r="T643">
        <v>2035</v>
      </c>
      <c r="U643">
        <v>42.75</v>
      </c>
      <c r="V643">
        <v>1</v>
      </c>
      <c r="W643">
        <v>2035</v>
      </c>
      <c r="X643">
        <v>9</v>
      </c>
      <c r="Y643">
        <v>2035</v>
      </c>
      <c r="Z643">
        <v>1</v>
      </c>
      <c r="AA643">
        <v>120</v>
      </c>
      <c r="AB643">
        <v>180</v>
      </c>
      <c r="AC643">
        <v>120</v>
      </c>
      <c r="AD643">
        <v>180</v>
      </c>
      <c r="AE643">
        <v>0</v>
      </c>
      <c r="AF643">
        <v>0</v>
      </c>
      <c r="AG643">
        <v>120</v>
      </c>
      <c r="AH643">
        <v>180</v>
      </c>
      <c r="AI643">
        <v>1</v>
      </c>
      <c r="AJ643">
        <v>2.8420000000000001</v>
      </c>
      <c r="AK643">
        <v>2036</v>
      </c>
      <c r="AL643" s="61">
        <v>2.944</v>
      </c>
      <c r="AM643" s="61">
        <v>2.8420000000000001</v>
      </c>
      <c r="AN643" s="61">
        <v>2.944</v>
      </c>
      <c r="AO643">
        <v>1.2513076834571593</v>
      </c>
      <c r="AP643">
        <v>1.0294008580614105</v>
      </c>
      <c r="AQ643">
        <v>1.2880972030496356</v>
      </c>
      <c r="AR643" t="b">
        <v>0</v>
      </c>
      <c r="AS643">
        <v>93.160671194606977</v>
      </c>
      <c r="AT643">
        <v>139.74100679191045</v>
      </c>
      <c r="AU643">
        <v>116.45083899325871</v>
      </c>
    </row>
    <row r="644" spans="1:47" x14ac:dyDescent="0.25">
      <c r="A644" t="s">
        <v>371</v>
      </c>
      <c r="B644" t="s">
        <v>491</v>
      </c>
      <c r="C644" t="s">
        <v>320</v>
      </c>
      <c r="D644">
        <v>2026</v>
      </c>
      <c r="E644">
        <v>0</v>
      </c>
      <c r="F644">
        <v>15</v>
      </c>
      <c r="G644">
        <v>0</v>
      </c>
      <c r="H644">
        <v>0</v>
      </c>
      <c r="I644">
        <v>30</v>
      </c>
      <c r="J644">
        <v>45</v>
      </c>
      <c r="K644">
        <v>4</v>
      </c>
      <c r="L644">
        <v>2</v>
      </c>
      <c r="M644">
        <v>48</v>
      </c>
      <c r="N644">
        <v>0</v>
      </c>
      <c r="O644" t="s">
        <v>27</v>
      </c>
      <c r="P644" t="s">
        <v>443</v>
      </c>
      <c r="Q644">
        <v>2026</v>
      </c>
      <c r="R644">
        <v>2041</v>
      </c>
      <c r="S644" t="s">
        <v>444</v>
      </c>
      <c r="T644">
        <v>2036</v>
      </c>
      <c r="U644">
        <v>43.75</v>
      </c>
      <c r="V644">
        <v>1</v>
      </c>
      <c r="W644">
        <v>2036</v>
      </c>
      <c r="X644">
        <v>10</v>
      </c>
      <c r="Y644">
        <v>2036</v>
      </c>
      <c r="Z644">
        <v>1</v>
      </c>
      <c r="AA644">
        <v>120</v>
      </c>
      <c r="AB644">
        <v>180</v>
      </c>
      <c r="AC644">
        <v>120</v>
      </c>
      <c r="AD644">
        <v>180</v>
      </c>
      <c r="AE644">
        <v>0</v>
      </c>
      <c r="AF644">
        <v>0</v>
      </c>
      <c r="AG644">
        <v>120</v>
      </c>
      <c r="AH644">
        <v>180</v>
      </c>
      <c r="AI644">
        <v>1</v>
      </c>
      <c r="AJ644">
        <v>2.944</v>
      </c>
      <c r="AK644">
        <v>2037</v>
      </c>
      <c r="AL644" s="61">
        <v>3.036</v>
      </c>
      <c r="AM644" s="61">
        <v>2.944</v>
      </c>
      <c r="AN644" s="61">
        <v>3.036</v>
      </c>
      <c r="AO644">
        <v>1.2984025298030446</v>
      </c>
      <c r="AP644">
        <v>1.0303246971701443</v>
      </c>
      <c r="AQ644">
        <v>1.3377761933242711</v>
      </c>
      <c r="AR644" t="b">
        <v>0</v>
      </c>
      <c r="AS644">
        <v>89.701102919023555</v>
      </c>
      <c r="AT644">
        <v>134.55165437853535</v>
      </c>
      <c r="AU644">
        <v>112.12637864877945</v>
      </c>
    </row>
    <row r="645" spans="1:47" x14ac:dyDescent="0.25">
      <c r="A645" t="s">
        <v>371</v>
      </c>
      <c r="B645" t="s">
        <v>491</v>
      </c>
      <c r="C645" t="s">
        <v>320</v>
      </c>
      <c r="D645">
        <v>2026</v>
      </c>
      <c r="E645">
        <v>0</v>
      </c>
      <c r="F645">
        <v>15</v>
      </c>
      <c r="G645">
        <v>0</v>
      </c>
      <c r="H645">
        <v>0</v>
      </c>
      <c r="I645">
        <v>30</v>
      </c>
      <c r="J645">
        <v>45</v>
      </c>
      <c r="K645">
        <v>4</v>
      </c>
      <c r="L645">
        <v>2</v>
      </c>
      <c r="M645">
        <v>48</v>
      </c>
      <c r="N645">
        <v>0</v>
      </c>
      <c r="O645" t="s">
        <v>27</v>
      </c>
      <c r="P645" t="s">
        <v>443</v>
      </c>
      <c r="Q645">
        <v>2026</v>
      </c>
      <c r="R645">
        <v>2041</v>
      </c>
      <c r="S645" t="s">
        <v>444</v>
      </c>
      <c r="T645">
        <v>2037</v>
      </c>
      <c r="U645">
        <v>44.75</v>
      </c>
      <c r="V645">
        <v>1</v>
      </c>
      <c r="W645">
        <v>2037</v>
      </c>
      <c r="X645">
        <v>11</v>
      </c>
      <c r="Y645">
        <v>2037</v>
      </c>
      <c r="Z645">
        <v>1</v>
      </c>
      <c r="AA645">
        <v>120</v>
      </c>
      <c r="AB645">
        <v>180</v>
      </c>
      <c r="AC645">
        <v>120</v>
      </c>
      <c r="AD645">
        <v>180</v>
      </c>
      <c r="AE645">
        <v>0</v>
      </c>
      <c r="AF645">
        <v>0</v>
      </c>
      <c r="AG645">
        <v>120</v>
      </c>
      <c r="AH645">
        <v>180</v>
      </c>
      <c r="AI645">
        <v>1</v>
      </c>
      <c r="AJ645">
        <v>3.036</v>
      </c>
      <c r="AK645">
        <v>2038</v>
      </c>
      <c r="AL645" s="61">
        <v>3.1339999999999999</v>
      </c>
      <c r="AM645" s="61">
        <v>3.036</v>
      </c>
      <c r="AN645" s="61">
        <v>3.1339999999999999</v>
      </c>
      <c r="AO645">
        <v>1.3486209574989538</v>
      </c>
      <c r="AP645">
        <v>1.0313023937742947</v>
      </c>
      <c r="AQ645">
        <v>1.3908360217628524</v>
      </c>
      <c r="AR645" t="b">
        <v>0</v>
      </c>
      <c r="AS645">
        <v>86.279042333044259</v>
      </c>
      <c r="AT645">
        <v>129.41856349956637</v>
      </c>
      <c r="AU645">
        <v>107.84880291630532</v>
      </c>
    </row>
    <row r="646" spans="1:47" x14ac:dyDescent="0.25">
      <c r="A646" t="s">
        <v>371</v>
      </c>
      <c r="B646" t="s">
        <v>491</v>
      </c>
      <c r="C646" t="s">
        <v>320</v>
      </c>
      <c r="D646">
        <v>2026</v>
      </c>
      <c r="E646">
        <v>0</v>
      </c>
      <c r="F646">
        <v>15</v>
      </c>
      <c r="G646">
        <v>0</v>
      </c>
      <c r="H646">
        <v>0</v>
      </c>
      <c r="I646">
        <v>30</v>
      </c>
      <c r="J646">
        <v>45</v>
      </c>
      <c r="K646">
        <v>4</v>
      </c>
      <c r="L646">
        <v>2</v>
      </c>
      <c r="M646">
        <v>48</v>
      </c>
      <c r="N646">
        <v>0</v>
      </c>
      <c r="O646" t="s">
        <v>27</v>
      </c>
      <c r="P646" t="s">
        <v>443</v>
      </c>
      <c r="Q646">
        <v>2026</v>
      </c>
      <c r="R646">
        <v>2041</v>
      </c>
      <c r="S646" t="s">
        <v>444</v>
      </c>
      <c r="T646">
        <v>2038</v>
      </c>
      <c r="U646">
        <v>45.75</v>
      </c>
      <c r="V646">
        <v>1</v>
      </c>
      <c r="W646">
        <v>2038</v>
      </c>
      <c r="X646">
        <v>12</v>
      </c>
      <c r="Y646">
        <v>2038</v>
      </c>
      <c r="Z646">
        <v>1</v>
      </c>
      <c r="AA646">
        <v>120</v>
      </c>
      <c r="AB646">
        <v>180</v>
      </c>
      <c r="AC646">
        <v>120</v>
      </c>
      <c r="AD646">
        <v>180</v>
      </c>
      <c r="AE646">
        <v>0</v>
      </c>
      <c r="AF646">
        <v>0</v>
      </c>
      <c r="AG646">
        <v>120</v>
      </c>
      <c r="AH646">
        <v>180</v>
      </c>
      <c r="AI646">
        <v>1</v>
      </c>
      <c r="AJ646">
        <v>3.1339999999999999</v>
      </c>
      <c r="AK646">
        <v>2039</v>
      </c>
      <c r="AL646" s="61">
        <v>3.2069999999999999</v>
      </c>
      <c r="AM646" s="61">
        <v>3.1339999999999999</v>
      </c>
      <c r="AN646" s="61">
        <v>3.2069999999999999</v>
      </c>
      <c r="AO646">
        <v>1.4041725591738043</v>
      </c>
      <c r="AP646">
        <v>1.0320419904729838</v>
      </c>
      <c r="AQ646">
        <v>1.4491650429372767</v>
      </c>
      <c r="AR646" t="b">
        <v>0</v>
      </c>
      <c r="AS646">
        <v>82.806303246713</v>
      </c>
      <c r="AT646">
        <v>124.20945487006951</v>
      </c>
      <c r="AU646">
        <v>103.50787905839125</v>
      </c>
    </row>
    <row r="647" spans="1:47" x14ac:dyDescent="0.25">
      <c r="A647" t="s">
        <v>371</v>
      </c>
      <c r="B647" t="s">
        <v>491</v>
      </c>
      <c r="C647" t="s">
        <v>320</v>
      </c>
      <c r="D647">
        <v>2026</v>
      </c>
      <c r="E647">
        <v>0</v>
      </c>
      <c r="F647">
        <v>15</v>
      </c>
      <c r="G647">
        <v>0</v>
      </c>
      <c r="H647">
        <v>0</v>
      </c>
      <c r="I647">
        <v>30</v>
      </c>
      <c r="J647">
        <v>45</v>
      </c>
      <c r="K647">
        <v>4</v>
      </c>
      <c r="L647">
        <v>2</v>
      </c>
      <c r="M647">
        <v>48</v>
      </c>
      <c r="N647">
        <v>0</v>
      </c>
      <c r="O647" t="s">
        <v>27</v>
      </c>
      <c r="P647" t="s">
        <v>443</v>
      </c>
      <c r="Q647">
        <v>2026</v>
      </c>
      <c r="R647">
        <v>2041</v>
      </c>
      <c r="S647" t="s">
        <v>444</v>
      </c>
      <c r="T647">
        <v>2039</v>
      </c>
      <c r="U647">
        <v>46.75</v>
      </c>
      <c r="V647">
        <v>1</v>
      </c>
      <c r="W647">
        <v>2039</v>
      </c>
      <c r="X647">
        <v>13</v>
      </c>
      <c r="Y647">
        <v>2039</v>
      </c>
      <c r="Z647">
        <v>1</v>
      </c>
      <c r="AA647">
        <v>120</v>
      </c>
      <c r="AB647">
        <v>180</v>
      </c>
      <c r="AC647">
        <v>120</v>
      </c>
      <c r="AD647">
        <v>180</v>
      </c>
      <c r="AE647">
        <v>0</v>
      </c>
      <c r="AF647">
        <v>0</v>
      </c>
      <c r="AG647">
        <v>120</v>
      </c>
      <c r="AH647">
        <v>180</v>
      </c>
      <c r="AI647">
        <v>1</v>
      </c>
      <c r="AJ647">
        <v>3.2069999999999999</v>
      </c>
      <c r="AK647">
        <v>2040</v>
      </c>
      <c r="AL647" s="61">
        <v>3.3029999999999999</v>
      </c>
      <c r="AM647" s="61">
        <v>3.2069999999999999</v>
      </c>
      <c r="AN647" s="61">
        <v>3.3029999999999999</v>
      </c>
      <c r="AO647">
        <v>1.4605278779269859</v>
      </c>
      <c r="AP647">
        <v>1.0329931616190409</v>
      </c>
      <c r="AQ647">
        <v>1.5087153102525457</v>
      </c>
      <c r="AR647" t="b">
        <v>0</v>
      </c>
      <c r="AS647">
        <v>79.537868532608087</v>
      </c>
      <c r="AT647">
        <v>119.30680279891213</v>
      </c>
      <c r="AU647">
        <v>99.422335665760102</v>
      </c>
    </row>
    <row r="648" spans="1:47" x14ac:dyDescent="0.25">
      <c r="A648" t="s">
        <v>371</v>
      </c>
      <c r="B648" t="s">
        <v>491</v>
      </c>
      <c r="C648" t="s">
        <v>320</v>
      </c>
      <c r="D648">
        <v>2026</v>
      </c>
      <c r="E648">
        <v>0</v>
      </c>
      <c r="F648">
        <v>15</v>
      </c>
      <c r="G648">
        <v>0</v>
      </c>
      <c r="H648">
        <v>0</v>
      </c>
      <c r="I648">
        <v>30</v>
      </c>
      <c r="J648">
        <v>45</v>
      </c>
      <c r="K648">
        <v>4</v>
      </c>
      <c r="L648">
        <v>2</v>
      </c>
      <c r="M648">
        <v>48</v>
      </c>
      <c r="N648">
        <v>0</v>
      </c>
      <c r="O648" t="s">
        <v>27</v>
      </c>
      <c r="P648" t="s">
        <v>443</v>
      </c>
      <c r="Q648">
        <v>2026</v>
      </c>
      <c r="R648">
        <v>2041</v>
      </c>
      <c r="S648" t="s">
        <v>444</v>
      </c>
      <c r="T648">
        <v>2040</v>
      </c>
      <c r="U648">
        <v>47.75</v>
      </c>
      <c r="V648">
        <v>1</v>
      </c>
      <c r="W648">
        <v>2040</v>
      </c>
      <c r="X648">
        <v>14</v>
      </c>
      <c r="Y648">
        <v>2040</v>
      </c>
      <c r="Z648">
        <v>1</v>
      </c>
      <c r="AA648">
        <v>120</v>
      </c>
      <c r="AB648">
        <v>180</v>
      </c>
      <c r="AC648">
        <v>120</v>
      </c>
      <c r="AD648">
        <v>180</v>
      </c>
      <c r="AE648">
        <v>0</v>
      </c>
      <c r="AF648">
        <v>0</v>
      </c>
      <c r="AG648">
        <v>120</v>
      </c>
      <c r="AH648">
        <v>180</v>
      </c>
      <c r="AI648">
        <v>1</v>
      </c>
      <c r="AJ648">
        <v>3.3029999999999999</v>
      </c>
      <c r="AK648">
        <v>2041</v>
      </c>
      <c r="AL648" s="61">
        <v>3.3559999999999999</v>
      </c>
      <c r="AM648" s="61">
        <v>3.3029999999999999</v>
      </c>
      <c r="AN648" s="61">
        <v>3.3559999999999999</v>
      </c>
      <c r="AO648">
        <v>1.5256964700083253</v>
      </c>
      <c r="AP648">
        <v>1.0335396662189136</v>
      </c>
      <c r="AQ648">
        <v>1.5768678203637791</v>
      </c>
      <c r="AR648" t="b">
        <v>0</v>
      </c>
      <c r="AS648">
        <v>76.100227584272929</v>
      </c>
      <c r="AT648">
        <v>114.1503413764094</v>
      </c>
      <c r="AU648">
        <v>95.125284480341165</v>
      </c>
    </row>
    <row r="649" spans="1:47" x14ac:dyDescent="0.25">
      <c r="A649" t="s">
        <v>371</v>
      </c>
      <c r="B649" t="s">
        <v>491</v>
      </c>
      <c r="C649" t="s">
        <v>320</v>
      </c>
      <c r="D649">
        <v>2026</v>
      </c>
      <c r="E649">
        <v>0</v>
      </c>
      <c r="M649">
        <v>48</v>
      </c>
      <c r="Q649">
        <v>2026</v>
      </c>
      <c r="R649">
        <v>2041</v>
      </c>
      <c r="T649">
        <v>2041</v>
      </c>
      <c r="U649">
        <v>48.75</v>
      </c>
      <c r="W649">
        <v>2041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L649" s="61"/>
      <c r="AS649">
        <v>0</v>
      </c>
      <c r="AT649">
        <v>0</v>
      </c>
      <c r="AU649">
        <v>0</v>
      </c>
    </row>
    <row r="650" spans="1:47" x14ac:dyDescent="0.25">
      <c r="A650" t="s">
        <v>345</v>
      </c>
      <c r="B650" t="s">
        <v>492</v>
      </c>
      <c r="C650" t="s">
        <v>319</v>
      </c>
      <c r="D650">
        <v>2026</v>
      </c>
      <c r="E650">
        <v>0</v>
      </c>
      <c r="F650">
        <v>10</v>
      </c>
      <c r="G650">
        <v>0</v>
      </c>
      <c r="H650">
        <v>0</v>
      </c>
      <c r="I650">
        <v>50</v>
      </c>
      <c r="J650">
        <v>250</v>
      </c>
      <c r="K650">
        <v>1</v>
      </c>
      <c r="L650">
        <v>1</v>
      </c>
      <c r="M650">
        <v>49</v>
      </c>
      <c r="N650">
        <v>0</v>
      </c>
      <c r="O650" t="s">
        <v>27</v>
      </c>
      <c r="P650" t="s">
        <v>443</v>
      </c>
      <c r="Q650">
        <v>2026</v>
      </c>
      <c r="R650">
        <v>2036</v>
      </c>
      <c r="S650" t="s">
        <v>444</v>
      </c>
      <c r="T650">
        <v>2026</v>
      </c>
      <c r="U650">
        <v>33.75</v>
      </c>
      <c r="V650">
        <v>1</v>
      </c>
      <c r="W650">
        <v>2026</v>
      </c>
      <c r="X650">
        <v>0</v>
      </c>
      <c r="Y650">
        <v>2026</v>
      </c>
      <c r="Z650">
        <v>1</v>
      </c>
      <c r="AA650">
        <v>50</v>
      </c>
      <c r="AB650">
        <v>250</v>
      </c>
      <c r="AC650">
        <v>50</v>
      </c>
      <c r="AD650">
        <v>250</v>
      </c>
      <c r="AE650">
        <v>0</v>
      </c>
      <c r="AF650">
        <v>0</v>
      </c>
      <c r="AG650">
        <v>50</v>
      </c>
      <c r="AH650">
        <v>250</v>
      </c>
      <c r="AI650">
        <v>1</v>
      </c>
      <c r="AK650">
        <v>2027</v>
      </c>
      <c r="AL650" s="61">
        <v>2.4329999999999998</v>
      </c>
      <c r="AM650" s="61">
        <v>0</v>
      </c>
      <c r="AN650" s="61">
        <v>2.4329999999999998</v>
      </c>
      <c r="AO650">
        <v>1</v>
      </c>
      <c r="AP650">
        <v>1.023385968321771</v>
      </c>
      <c r="AQ650">
        <v>1.023385968321771</v>
      </c>
      <c r="AR650" t="b">
        <v>1</v>
      </c>
      <c r="AS650">
        <v>50</v>
      </c>
      <c r="AT650">
        <v>250</v>
      </c>
      <c r="AU650">
        <v>150</v>
      </c>
    </row>
    <row r="651" spans="1:47" x14ac:dyDescent="0.25">
      <c r="A651" t="s">
        <v>345</v>
      </c>
      <c r="B651" t="s">
        <v>492</v>
      </c>
      <c r="C651" t="s">
        <v>319</v>
      </c>
      <c r="D651">
        <v>2026</v>
      </c>
      <c r="E651">
        <v>0</v>
      </c>
      <c r="F651">
        <v>10</v>
      </c>
      <c r="G651">
        <v>0</v>
      </c>
      <c r="H651">
        <v>0</v>
      </c>
      <c r="I651">
        <v>50</v>
      </c>
      <c r="J651">
        <v>250</v>
      </c>
      <c r="K651">
        <v>1</v>
      </c>
      <c r="L651">
        <v>1</v>
      </c>
      <c r="M651">
        <v>49</v>
      </c>
      <c r="N651">
        <v>0</v>
      </c>
      <c r="O651" t="s">
        <v>27</v>
      </c>
      <c r="P651" t="s">
        <v>443</v>
      </c>
      <c r="Q651">
        <v>2026</v>
      </c>
      <c r="R651">
        <v>2036</v>
      </c>
      <c r="S651" t="s">
        <v>444</v>
      </c>
      <c r="T651">
        <v>2027</v>
      </c>
      <c r="U651">
        <v>34.75</v>
      </c>
      <c r="V651">
        <v>1</v>
      </c>
      <c r="W651">
        <v>2027</v>
      </c>
      <c r="X651">
        <v>1</v>
      </c>
      <c r="Y651">
        <v>2027</v>
      </c>
      <c r="Z651">
        <v>1</v>
      </c>
      <c r="AA651">
        <v>50</v>
      </c>
      <c r="AB651">
        <v>250</v>
      </c>
      <c r="AC651">
        <v>50</v>
      </c>
      <c r="AD651">
        <v>250</v>
      </c>
      <c r="AE651">
        <v>0</v>
      </c>
      <c r="AF651">
        <v>0</v>
      </c>
      <c r="AG651">
        <v>50</v>
      </c>
      <c r="AH651">
        <v>250</v>
      </c>
      <c r="AI651">
        <v>1</v>
      </c>
      <c r="AJ651">
        <v>2.4329999999999998</v>
      </c>
      <c r="AK651">
        <v>2028</v>
      </c>
      <c r="AL651" s="61">
        <v>2.4220000000000002</v>
      </c>
      <c r="AM651" s="61">
        <v>2.4329999999999998</v>
      </c>
      <c r="AN651" s="61">
        <v>2.4220000000000002</v>
      </c>
      <c r="AO651">
        <v>1</v>
      </c>
      <c r="AP651">
        <v>1.0242242189602202</v>
      </c>
      <c r="AQ651">
        <v>1.0242242189602202</v>
      </c>
      <c r="AR651" t="b">
        <v>0</v>
      </c>
      <c r="AS651">
        <v>48.817435747379008</v>
      </c>
      <c r="AT651">
        <v>244.08717873689505</v>
      </c>
      <c r="AU651">
        <v>146.45230724213704</v>
      </c>
    </row>
    <row r="652" spans="1:47" x14ac:dyDescent="0.25">
      <c r="A652" t="s">
        <v>345</v>
      </c>
      <c r="B652" t="s">
        <v>492</v>
      </c>
      <c r="C652" t="s">
        <v>319</v>
      </c>
      <c r="D652">
        <v>2026</v>
      </c>
      <c r="E652">
        <v>0</v>
      </c>
      <c r="F652">
        <v>10</v>
      </c>
      <c r="G652">
        <v>0</v>
      </c>
      <c r="H652">
        <v>0</v>
      </c>
      <c r="I652">
        <v>50</v>
      </c>
      <c r="J652">
        <v>250</v>
      </c>
      <c r="K652">
        <v>1</v>
      </c>
      <c r="L652">
        <v>1</v>
      </c>
      <c r="M652">
        <v>49</v>
      </c>
      <c r="N652">
        <v>0</v>
      </c>
      <c r="O652" t="s">
        <v>27</v>
      </c>
      <c r="P652" t="s">
        <v>443</v>
      </c>
      <c r="Q652">
        <v>2026</v>
      </c>
      <c r="R652">
        <v>2036</v>
      </c>
      <c r="S652" t="s">
        <v>444</v>
      </c>
      <c r="T652">
        <v>2028</v>
      </c>
      <c r="U652">
        <v>35.75</v>
      </c>
      <c r="V652">
        <v>1</v>
      </c>
      <c r="W652">
        <v>2028</v>
      </c>
      <c r="X652">
        <v>2</v>
      </c>
      <c r="Y652">
        <v>2028</v>
      </c>
      <c r="Z652">
        <v>1</v>
      </c>
      <c r="AA652">
        <v>50</v>
      </c>
      <c r="AB652">
        <v>250</v>
      </c>
      <c r="AC652">
        <v>50</v>
      </c>
      <c r="AD652">
        <v>250</v>
      </c>
      <c r="AE652">
        <v>0</v>
      </c>
      <c r="AF652">
        <v>0</v>
      </c>
      <c r="AG652">
        <v>50</v>
      </c>
      <c r="AH652">
        <v>250</v>
      </c>
      <c r="AI652">
        <v>1</v>
      </c>
      <c r="AJ652">
        <v>2.4220000000000002</v>
      </c>
      <c r="AK652">
        <v>2029</v>
      </c>
      <c r="AL652" s="61">
        <v>2.4209999999999998</v>
      </c>
      <c r="AM652" s="61">
        <v>2.4220000000000002</v>
      </c>
      <c r="AN652" s="61">
        <v>2.4209999999999998</v>
      </c>
      <c r="AO652">
        <v>1.0242199999999999</v>
      </c>
      <c r="AP652">
        <v>1.0242103835598433</v>
      </c>
      <c r="AQ652">
        <v>1.0490167590496626</v>
      </c>
      <c r="AR652" t="b">
        <v>0</v>
      </c>
      <c r="AS652">
        <v>47.66368084080618</v>
      </c>
      <c r="AT652">
        <v>238.31840420403091</v>
      </c>
      <c r="AU652">
        <v>142.99104252241855</v>
      </c>
    </row>
    <row r="653" spans="1:47" x14ac:dyDescent="0.25">
      <c r="A653" t="s">
        <v>345</v>
      </c>
      <c r="B653" t="s">
        <v>492</v>
      </c>
      <c r="C653" t="s">
        <v>319</v>
      </c>
      <c r="D653">
        <v>2026</v>
      </c>
      <c r="E653">
        <v>0</v>
      </c>
      <c r="F653">
        <v>10</v>
      </c>
      <c r="G653">
        <v>0</v>
      </c>
      <c r="H653">
        <v>0</v>
      </c>
      <c r="I653">
        <v>50</v>
      </c>
      <c r="J653">
        <v>250</v>
      </c>
      <c r="K653">
        <v>1</v>
      </c>
      <c r="L653">
        <v>1</v>
      </c>
      <c r="M653">
        <v>49</v>
      </c>
      <c r="N653">
        <v>0</v>
      </c>
      <c r="O653" t="s">
        <v>27</v>
      </c>
      <c r="P653" t="s">
        <v>443</v>
      </c>
      <c r="Q653">
        <v>2026</v>
      </c>
      <c r="R653">
        <v>2036</v>
      </c>
      <c r="S653" t="s">
        <v>444</v>
      </c>
      <c r="T653">
        <v>2029</v>
      </c>
      <c r="U653">
        <v>36.75</v>
      </c>
      <c r="V653">
        <v>1</v>
      </c>
      <c r="W653">
        <v>2029</v>
      </c>
      <c r="X653">
        <v>3</v>
      </c>
      <c r="Y653">
        <v>2029</v>
      </c>
      <c r="Z653">
        <v>1</v>
      </c>
      <c r="AA653">
        <v>50</v>
      </c>
      <c r="AB653">
        <v>250</v>
      </c>
      <c r="AC653">
        <v>50</v>
      </c>
      <c r="AD653">
        <v>250</v>
      </c>
      <c r="AE653">
        <v>0</v>
      </c>
      <c r="AF653">
        <v>0</v>
      </c>
      <c r="AG653">
        <v>50</v>
      </c>
      <c r="AH653">
        <v>250</v>
      </c>
      <c r="AI653">
        <v>1</v>
      </c>
      <c r="AJ653">
        <v>2.4209999999999998</v>
      </c>
      <c r="AK653">
        <v>2030</v>
      </c>
      <c r="AL653" s="61">
        <v>2.4670000000000001</v>
      </c>
      <c r="AM653" s="61">
        <v>2.4209999999999998</v>
      </c>
      <c r="AN653" s="61">
        <v>2.4670000000000001</v>
      </c>
      <c r="AO653">
        <v>1.0490061241000002</v>
      </c>
      <c r="AP653">
        <v>1.0246523523547908</v>
      </c>
      <c r="AQ653">
        <v>1.0748665926936467</v>
      </c>
      <c r="AR653" t="b">
        <v>0</v>
      </c>
      <c r="AS653">
        <v>46.517400708025129</v>
      </c>
      <c r="AT653">
        <v>232.58700354012564</v>
      </c>
      <c r="AU653">
        <v>139.55220212407539</v>
      </c>
    </row>
    <row r="654" spans="1:47" x14ac:dyDescent="0.25">
      <c r="A654" t="s">
        <v>345</v>
      </c>
      <c r="B654" t="s">
        <v>492</v>
      </c>
      <c r="C654" t="s">
        <v>319</v>
      </c>
      <c r="D654">
        <v>2026</v>
      </c>
      <c r="E654">
        <v>0</v>
      </c>
      <c r="F654">
        <v>10</v>
      </c>
      <c r="G654">
        <v>0</v>
      </c>
      <c r="H654">
        <v>0</v>
      </c>
      <c r="I654">
        <v>50</v>
      </c>
      <c r="J654">
        <v>250</v>
      </c>
      <c r="K654">
        <v>1</v>
      </c>
      <c r="L654">
        <v>1</v>
      </c>
      <c r="M654">
        <v>49</v>
      </c>
      <c r="N654">
        <v>0</v>
      </c>
      <c r="O654" t="s">
        <v>27</v>
      </c>
      <c r="P654" t="s">
        <v>443</v>
      </c>
      <c r="Q654">
        <v>2026</v>
      </c>
      <c r="R654">
        <v>2036</v>
      </c>
      <c r="S654" t="s">
        <v>444</v>
      </c>
      <c r="T654">
        <v>2030</v>
      </c>
      <c r="U654">
        <v>37.75</v>
      </c>
      <c r="V654">
        <v>1</v>
      </c>
      <c r="W654">
        <v>2030</v>
      </c>
      <c r="X654">
        <v>4</v>
      </c>
      <c r="Y654">
        <v>2030</v>
      </c>
      <c r="Z654">
        <v>1</v>
      </c>
      <c r="AA654">
        <v>50</v>
      </c>
      <c r="AB654">
        <v>250</v>
      </c>
      <c r="AC654">
        <v>50</v>
      </c>
      <c r="AD654">
        <v>250</v>
      </c>
      <c r="AE654">
        <v>0</v>
      </c>
      <c r="AF654">
        <v>0</v>
      </c>
      <c r="AG654">
        <v>50</v>
      </c>
      <c r="AH654">
        <v>250</v>
      </c>
      <c r="AI654">
        <v>1</v>
      </c>
      <c r="AJ654">
        <v>2.4670000000000001</v>
      </c>
      <c r="AK654">
        <v>2031</v>
      </c>
      <c r="AL654" s="61">
        <v>2.5169999999999999</v>
      </c>
      <c r="AM654" s="61">
        <v>2.4670000000000001</v>
      </c>
      <c r="AN654" s="61">
        <v>2.5169999999999999</v>
      </c>
      <c r="AO654">
        <v>1.0758508410815628</v>
      </c>
      <c r="AP654">
        <v>1.0251508174189523</v>
      </c>
      <c r="AQ654">
        <v>1.1029093691556315</v>
      </c>
      <c r="AR654" t="b">
        <v>0</v>
      </c>
      <c r="AS654">
        <v>45.334640722364284</v>
      </c>
      <c r="AT654">
        <v>226.67320361182144</v>
      </c>
      <c r="AU654">
        <v>136.00392216709287</v>
      </c>
    </row>
    <row r="655" spans="1:47" x14ac:dyDescent="0.25">
      <c r="A655" t="s">
        <v>345</v>
      </c>
      <c r="B655" t="s">
        <v>492</v>
      </c>
      <c r="C655" t="s">
        <v>319</v>
      </c>
      <c r="D655">
        <v>2026</v>
      </c>
      <c r="E655">
        <v>0</v>
      </c>
      <c r="F655">
        <v>10</v>
      </c>
      <c r="G655">
        <v>0</v>
      </c>
      <c r="H655">
        <v>0</v>
      </c>
      <c r="I655">
        <v>50</v>
      </c>
      <c r="J655">
        <v>250</v>
      </c>
      <c r="K655">
        <v>1</v>
      </c>
      <c r="L655">
        <v>1</v>
      </c>
      <c r="M655">
        <v>49</v>
      </c>
      <c r="N655">
        <v>0</v>
      </c>
      <c r="O655" t="s">
        <v>27</v>
      </c>
      <c r="P655" t="s">
        <v>443</v>
      </c>
      <c r="Q655">
        <v>2026</v>
      </c>
      <c r="R655">
        <v>2036</v>
      </c>
      <c r="S655" t="s">
        <v>444</v>
      </c>
      <c r="T655">
        <v>2031</v>
      </c>
      <c r="U655">
        <v>38.75</v>
      </c>
      <c r="V655">
        <v>1</v>
      </c>
      <c r="W655">
        <v>2031</v>
      </c>
      <c r="X655">
        <v>5</v>
      </c>
      <c r="Y655">
        <v>2031</v>
      </c>
      <c r="Z655">
        <v>1</v>
      </c>
      <c r="AA655">
        <v>50</v>
      </c>
      <c r="AB655">
        <v>250</v>
      </c>
      <c r="AC655">
        <v>50</v>
      </c>
      <c r="AD655">
        <v>250</v>
      </c>
      <c r="AE655">
        <v>0</v>
      </c>
      <c r="AF655">
        <v>0</v>
      </c>
      <c r="AG655">
        <v>50</v>
      </c>
      <c r="AH655">
        <v>250</v>
      </c>
      <c r="AI655">
        <v>1</v>
      </c>
      <c r="AJ655">
        <v>2.5169999999999999</v>
      </c>
      <c r="AK655">
        <v>2032</v>
      </c>
      <c r="AL655" s="61">
        <v>2.59</v>
      </c>
      <c r="AM655" s="61">
        <v>2.5169999999999999</v>
      </c>
      <c r="AN655" s="61">
        <v>2.59</v>
      </c>
      <c r="AO655">
        <v>1.1045453584485188</v>
      </c>
      <c r="AP655">
        <v>1.0258719904156592</v>
      </c>
      <c r="AQ655">
        <v>1.1331221453759597</v>
      </c>
      <c r="AR655" t="b">
        <v>0</v>
      </c>
      <c r="AS655">
        <v>44.125869575526167</v>
      </c>
      <c r="AT655">
        <v>220.62934787763083</v>
      </c>
      <c r="AU655">
        <v>132.3776087265785</v>
      </c>
    </row>
    <row r="656" spans="1:47" x14ac:dyDescent="0.25">
      <c r="A656" t="s">
        <v>345</v>
      </c>
      <c r="B656" t="s">
        <v>492</v>
      </c>
      <c r="C656" t="s">
        <v>319</v>
      </c>
      <c r="D656">
        <v>2026</v>
      </c>
      <c r="E656">
        <v>0</v>
      </c>
      <c r="F656">
        <v>10</v>
      </c>
      <c r="G656">
        <v>0</v>
      </c>
      <c r="H656">
        <v>0</v>
      </c>
      <c r="I656">
        <v>50</v>
      </c>
      <c r="J656">
        <v>250</v>
      </c>
      <c r="K656">
        <v>1</v>
      </c>
      <c r="L656">
        <v>1</v>
      </c>
      <c r="M656">
        <v>49</v>
      </c>
      <c r="N656">
        <v>0</v>
      </c>
      <c r="O656" t="s">
        <v>27</v>
      </c>
      <c r="P656" t="s">
        <v>443</v>
      </c>
      <c r="Q656">
        <v>2026</v>
      </c>
      <c r="R656">
        <v>2036</v>
      </c>
      <c r="S656" t="s">
        <v>444</v>
      </c>
      <c r="T656">
        <v>2032</v>
      </c>
      <c r="U656">
        <v>39.75</v>
      </c>
      <c r="V656">
        <v>1</v>
      </c>
      <c r="W656">
        <v>2032</v>
      </c>
      <c r="X656">
        <v>6</v>
      </c>
      <c r="Y656">
        <v>2032</v>
      </c>
      <c r="Z656">
        <v>1</v>
      </c>
      <c r="AA656">
        <v>50</v>
      </c>
      <c r="AB656">
        <v>250</v>
      </c>
      <c r="AC656">
        <v>50</v>
      </c>
      <c r="AD656">
        <v>250</v>
      </c>
      <c r="AE656">
        <v>0</v>
      </c>
      <c r="AF656">
        <v>0</v>
      </c>
      <c r="AG656">
        <v>50</v>
      </c>
      <c r="AH656">
        <v>250</v>
      </c>
      <c r="AI656">
        <v>1</v>
      </c>
      <c r="AJ656">
        <v>2.59</v>
      </c>
      <c r="AK656">
        <v>2033</v>
      </c>
      <c r="AL656" s="61">
        <v>2.6880000000000002</v>
      </c>
      <c r="AM656" s="61">
        <v>2.59</v>
      </c>
      <c r="AN656" s="61">
        <v>2.6880000000000002</v>
      </c>
      <c r="AO656">
        <v>1.1363841013749196</v>
      </c>
      <c r="AP656">
        <v>1.0268423936996114</v>
      </c>
      <c r="AQ656">
        <v>1.1668873708180043</v>
      </c>
      <c r="AR656" t="b">
        <v>0</v>
      </c>
      <c r="AS656">
        <v>42.849036891151975</v>
      </c>
      <c r="AT656">
        <v>214.24518445575987</v>
      </c>
      <c r="AU656">
        <v>128.54711067345593</v>
      </c>
    </row>
    <row r="657" spans="1:47" x14ac:dyDescent="0.25">
      <c r="A657" t="s">
        <v>345</v>
      </c>
      <c r="B657" t="s">
        <v>492</v>
      </c>
      <c r="C657" t="s">
        <v>319</v>
      </c>
      <c r="D657">
        <v>2026</v>
      </c>
      <c r="E657">
        <v>0</v>
      </c>
      <c r="F657">
        <v>10</v>
      </c>
      <c r="G657">
        <v>0</v>
      </c>
      <c r="H657">
        <v>0</v>
      </c>
      <c r="I657">
        <v>50</v>
      </c>
      <c r="J657">
        <v>250</v>
      </c>
      <c r="K657">
        <v>1</v>
      </c>
      <c r="L657">
        <v>1</v>
      </c>
      <c r="M657">
        <v>49</v>
      </c>
      <c r="N657">
        <v>0</v>
      </c>
      <c r="O657" t="s">
        <v>27</v>
      </c>
      <c r="P657" t="s">
        <v>443</v>
      </c>
      <c r="Q657">
        <v>2026</v>
      </c>
      <c r="R657">
        <v>2036</v>
      </c>
      <c r="S657" t="s">
        <v>444</v>
      </c>
      <c r="T657">
        <v>2033</v>
      </c>
      <c r="U657">
        <v>40.75</v>
      </c>
      <c r="V657">
        <v>1</v>
      </c>
      <c r="W657">
        <v>2033</v>
      </c>
      <c r="X657">
        <v>7</v>
      </c>
      <c r="Y657">
        <v>2033</v>
      </c>
      <c r="Z657">
        <v>1</v>
      </c>
      <c r="AA657">
        <v>50</v>
      </c>
      <c r="AB657">
        <v>250</v>
      </c>
      <c r="AC657">
        <v>50</v>
      </c>
      <c r="AD657">
        <v>250</v>
      </c>
      <c r="AE657">
        <v>0</v>
      </c>
      <c r="AF657">
        <v>0</v>
      </c>
      <c r="AG657">
        <v>50</v>
      </c>
      <c r="AH657">
        <v>250</v>
      </c>
      <c r="AI657">
        <v>1</v>
      </c>
      <c r="AJ657">
        <v>2.6880000000000002</v>
      </c>
      <c r="AK657">
        <v>2034</v>
      </c>
      <c r="AL657" s="61">
        <v>2.7519999999999998</v>
      </c>
      <c r="AM657" s="61">
        <v>2.6880000000000002</v>
      </c>
      <c r="AN657" s="61">
        <v>2.7519999999999998</v>
      </c>
      <c r="AO657">
        <v>1.1725143659072164</v>
      </c>
      <c r="AP657">
        <v>1.0274954447000768</v>
      </c>
      <c r="AQ657">
        <v>1.2047531698150638</v>
      </c>
      <c r="AR657" t="b">
        <v>0</v>
      </c>
      <c r="AS657">
        <v>41.502277190667428</v>
      </c>
      <c r="AT657">
        <v>207.51138595333714</v>
      </c>
      <c r="AU657">
        <v>124.50683157200228</v>
      </c>
    </row>
    <row r="658" spans="1:47" x14ac:dyDescent="0.25">
      <c r="A658" t="s">
        <v>345</v>
      </c>
      <c r="B658" t="s">
        <v>492</v>
      </c>
      <c r="C658" t="s">
        <v>319</v>
      </c>
      <c r="D658">
        <v>2026</v>
      </c>
      <c r="E658">
        <v>0</v>
      </c>
      <c r="F658">
        <v>10</v>
      </c>
      <c r="G658">
        <v>0</v>
      </c>
      <c r="H658">
        <v>0</v>
      </c>
      <c r="I658">
        <v>50</v>
      </c>
      <c r="J658">
        <v>250</v>
      </c>
      <c r="K658">
        <v>1</v>
      </c>
      <c r="L658">
        <v>1</v>
      </c>
      <c r="M658">
        <v>49</v>
      </c>
      <c r="N658">
        <v>0</v>
      </c>
      <c r="O658" t="s">
        <v>27</v>
      </c>
      <c r="P658" t="s">
        <v>443</v>
      </c>
      <c r="Q658">
        <v>2026</v>
      </c>
      <c r="R658">
        <v>2036</v>
      </c>
      <c r="S658" t="s">
        <v>444</v>
      </c>
      <c r="T658">
        <v>2034</v>
      </c>
      <c r="U658">
        <v>41.75</v>
      </c>
      <c r="V658">
        <v>1</v>
      </c>
      <c r="W658">
        <v>2034</v>
      </c>
      <c r="X658">
        <v>8</v>
      </c>
      <c r="Y658">
        <v>2034</v>
      </c>
      <c r="Z658">
        <v>1</v>
      </c>
      <c r="AA658">
        <v>50</v>
      </c>
      <c r="AB658">
        <v>250</v>
      </c>
      <c r="AC658">
        <v>50</v>
      </c>
      <c r="AD658">
        <v>250</v>
      </c>
      <c r="AE658">
        <v>0</v>
      </c>
      <c r="AF658">
        <v>0</v>
      </c>
      <c r="AG658">
        <v>50</v>
      </c>
      <c r="AH658">
        <v>250</v>
      </c>
      <c r="AI658">
        <v>1</v>
      </c>
      <c r="AJ658">
        <v>2.7519999999999998</v>
      </c>
      <c r="AK658">
        <v>2035</v>
      </c>
      <c r="AL658" s="61">
        <v>2.8420000000000001</v>
      </c>
      <c r="AM658" s="61">
        <v>2.7519999999999998</v>
      </c>
      <c r="AN658" s="61">
        <v>2.8420000000000001</v>
      </c>
      <c r="AO658">
        <v>1.2092942481281721</v>
      </c>
      <c r="AP658">
        <v>1.0283854649181425</v>
      </c>
      <c r="AQ658">
        <v>1.2436206275841259</v>
      </c>
      <c r="AR658" t="b">
        <v>0</v>
      </c>
      <c r="AS658">
        <v>40.205187089193487</v>
      </c>
      <c r="AT658">
        <v>201.02593544596743</v>
      </c>
      <c r="AU658">
        <v>120.61556126758046</v>
      </c>
    </row>
    <row r="659" spans="1:47" x14ac:dyDescent="0.25">
      <c r="A659" t="s">
        <v>345</v>
      </c>
      <c r="B659" t="s">
        <v>492</v>
      </c>
      <c r="C659" t="s">
        <v>319</v>
      </c>
      <c r="D659">
        <v>2026</v>
      </c>
      <c r="E659">
        <v>0</v>
      </c>
      <c r="F659">
        <v>10</v>
      </c>
      <c r="G659">
        <v>0</v>
      </c>
      <c r="H659">
        <v>0</v>
      </c>
      <c r="I659">
        <v>50</v>
      </c>
      <c r="J659">
        <v>250</v>
      </c>
      <c r="K659">
        <v>1</v>
      </c>
      <c r="L659">
        <v>1</v>
      </c>
      <c r="M659">
        <v>49</v>
      </c>
      <c r="N659">
        <v>0</v>
      </c>
      <c r="O659" t="s">
        <v>27</v>
      </c>
      <c r="P659" t="s">
        <v>443</v>
      </c>
      <c r="Q659">
        <v>2026</v>
      </c>
      <c r="R659">
        <v>2036</v>
      </c>
      <c r="S659" t="s">
        <v>444</v>
      </c>
      <c r="T659">
        <v>2035</v>
      </c>
      <c r="U659">
        <v>42.75</v>
      </c>
      <c r="V659">
        <v>1</v>
      </c>
      <c r="W659">
        <v>2035</v>
      </c>
      <c r="X659">
        <v>9</v>
      </c>
      <c r="Y659">
        <v>2035</v>
      </c>
      <c r="Z659">
        <v>1</v>
      </c>
      <c r="AA659">
        <v>50</v>
      </c>
      <c r="AB659">
        <v>250</v>
      </c>
      <c r="AC659">
        <v>50</v>
      </c>
      <c r="AD659">
        <v>250</v>
      </c>
      <c r="AE659">
        <v>0</v>
      </c>
      <c r="AF659">
        <v>0</v>
      </c>
      <c r="AG659">
        <v>50</v>
      </c>
      <c r="AH659">
        <v>250</v>
      </c>
      <c r="AI659">
        <v>1</v>
      </c>
      <c r="AJ659">
        <v>2.8420000000000001</v>
      </c>
      <c r="AK659">
        <v>2036</v>
      </c>
      <c r="AL659" s="61">
        <v>2.944</v>
      </c>
      <c r="AM659" s="61">
        <v>2.8420000000000001</v>
      </c>
      <c r="AN659" s="61">
        <v>2.944</v>
      </c>
      <c r="AO659">
        <v>1.2513076834571593</v>
      </c>
      <c r="AP659">
        <v>1.0294008580614105</v>
      </c>
      <c r="AQ659">
        <v>1.2880972030496356</v>
      </c>
      <c r="AR659" t="b">
        <v>0</v>
      </c>
      <c r="AS659">
        <v>38.816946331086243</v>
      </c>
      <c r="AT659">
        <v>194.0847316554312</v>
      </c>
      <c r="AU659">
        <v>116.45083899325871</v>
      </c>
    </row>
    <row r="660" spans="1:47" x14ac:dyDescent="0.25">
      <c r="A660" t="s">
        <v>345</v>
      </c>
      <c r="B660" t="s">
        <v>492</v>
      </c>
      <c r="C660" t="s">
        <v>319</v>
      </c>
      <c r="D660">
        <v>2026</v>
      </c>
      <c r="E660">
        <v>0</v>
      </c>
      <c r="M660">
        <v>49</v>
      </c>
      <c r="Q660">
        <v>2026</v>
      </c>
      <c r="R660">
        <v>2036</v>
      </c>
      <c r="T660">
        <v>2036</v>
      </c>
      <c r="U660">
        <v>43.75</v>
      </c>
      <c r="W660">
        <v>2036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L660" s="61"/>
      <c r="AS660">
        <v>0</v>
      </c>
      <c r="AT660">
        <v>0</v>
      </c>
      <c r="AU660">
        <v>0</v>
      </c>
    </row>
    <row r="661" spans="1:47" x14ac:dyDescent="0.25">
      <c r="A661" t="s">
        <v>372</v>
      </c>
      <c r="B661" t="s">
        <v>493</v>
      </c>
      <c r="C661" t="s">
        <v>320</v>
      </c>
      <c r="D661">
        <v>2026</v>
      </c>
      <c r="E661">
        <v>0</v>
      </c>
      <c r="F661">
        <v>15</v>
      </c>
      <c r="G661">
        <v>0</v>
      </c>
      <c r="H661">
        <v>0</v>
      </c>
      <c r="I661">
        <v>30</v>
      </c>
      <c r="J661">
        <v>45</v>
      </c>
      <c r="K661">
        <v>4</v>
      </c>
      <c r="L661">
        <v>2</v>
      </c>
      <c r="M661">
        <v>50</v>
      </c>
      <c r="N661">
        <v>0</v>
      </c>
      <c r="O661" t="s">
        <v>27</v>
      </c>
      <c r="P661" t="s">
        <v>443</v>
      </c>
      <c r="Q661">
        <v>2026</v>
      </c>
      <c r="R661">
        <v>2041</v>
      </c>
      <c r="S661" t="s">
        <v>444</v>
      </c>
      <c r="T661">
        <v>2026</v>
      </c>
      <c r="U661">
        <v>33.75</v>
      </c>
      <c r="V661">
        <v>1</v>
      </c>
      <c r="W661">
        <v>2026</v>
      </c>
      <c r="X661">
        <v>0</v>
      </c>
      <c r="Y661">
        <v>2026</v>
      </c>
      <c r="Z661">
        <v>1</v>
      </c>
      <c r="AA661">
        <v>120</v>
      </c>
      <c r="AB661">
        <v>180</v>
      </c>
      <c r="AC661">
        <v>120</v>
      </c>
      <c r="AD661">
        <v>180</v>
      </c>
      <c r="AE661">
        <v>0</v>
      </c>
      <c r="AF661">
        <v>0</v>
      </c>
      <c r="AG661">
        <v>120</v>
      </c>
      <c r="AH661">
        <v>180</v>
      </c>
      <c r="AI661">
        <v>1</v>
      </c>
      <c r="AK661">
        <v>2027</v>
      </c>
      <c r="AL661" s="61">
        <v>2.4329999999999998</v>
      </c>
      <c r="AM661" s="61">
        <v>0</v>
      </c>
      <c r="AN661" s="61">
        <v>2.4329999999999998</v>
      </c>
      <c r="AO661">
        <v>1</v>
      </c>
      <c r="AP661">
        <v>1.023385968321771</v>
      </c>
      <c r="AQ661">
        <v>1.023385968321771</v>
      </c>
      <c r="AR661" t="b">
        <v>1</v>
      </c>
      <c r="AS661">
        <v>120</v>
      </c>
      <c r="AT661">
        <v>180</v>
      </c>
      <c r="AU661">
        <v>150</v>
      </c>
    </row>
    <row r="662" spans="1:47" x14ac:dyDescent="0.25">
      <c r="A662" t="s">
        <v>372</v>
      </c>
      <c r="B662" t="s">
        <v>493</v>
      </c>
      <c r="C662" t="s">
        <v>320</v>
      </c>
      <c r="D662">
        <v>2026</v>
      </c>
      <c r="E662">
        <v>0</v>
      </c>
      <c r="F662">
        <v>15</v>
      </c>
      <c r="G662">
        <v>0</v>
      </c>
      <c r="H662">
        <v>0</v>
      </c>
      <c r="I662">
        <v>30</v>
      </c>
      <c r="J662">
        <v>45</v>
      </c>
      <c r="K662">
        <v>4</v>
      </c>
      <c r="L662">
        <v>2</v>
      </c>
      <c r="M662">
        <v>50</v>
      </c>
      <c r="N662">
        <v>0</v>
      </c>
      <c r="O662" t="s">
        <v>27</v>
      </c>
      <c r="P662" t="s">
        <v>443</v>
      </c>
      <c r="Q662">
        <v>2026</v>
      </c>
      <c r="R662">
        <v>2041</v>
      </c>
      <c r="S662" t="s">
        <v>444</v>
      </c>
      <c r="T662">
        <v>2027</v>
      </c>
      <c r="U662">
        <v>34.75</v>
      </c>
      <c r="V662">
        <v>1</v>
      </c>
      <c r="W662">
        <v>2027</v>
      </c>
      <c r="X662">
        <v>1</v>
      </c>
      <c r="Y662">
        <v>2027</v>
      </c>
      <c r="Z662">
        <v>1</v>
      </c>
      <c r="AA662">
        <v>120</v>
      </c>
      <c r="AB662">
        <v>180</v>
      </c>
      <c r="AC662">
        <v>120</v>
      </c>
      <c r="AD662">
        <v>180</v>
      </c>
      <c r="AE662">
        <v>0</v>
      </c>
      <c r="AF662">
        <v>0</v>
      </c>
      <c r="AG662">
        <v>120</v>
      </c>
      <c r="AH662">
        <v>180</v>
      </c>
      <c r="AI662">
        <v>1</v>
      </c>
      <c r="AJ662">
        <v>2.4329999999999998</v>
      </c>
      <c r="AK662">
        <v>2028</v>
      </c>
      <c r="AL662" s="61">
        <v>2.4220000000000002</v>
      </c>
      <c r="AM662" s="61">
        <v>2.4329999999999998</v>
      </c>
      <c r="AN662" s="61">
        <v>2.4220000000000002</v>
      </c>
      <c r="AO662">
        <v>1</v>
      </c>
      <c r="AP662">
        <v>1.0242242189602202</v>
      </c>
      <c r="AQ662">
        <v>1.0242242189602202</v>
      </c>
      <c r="AR662" t="b">
        <v>0</v>
      </c>
      <c r="AS662">
        <v>117.16184579370963</v>
      </c>
      <c r="AT662">
        <v>175.74276869056445</v>
      </c>
      <c r="AU662">
        <v>146.45230724213704</v>
      </c>
    </row>
    <row r="663" spans="1:47" x14ac:dyDescent="0.25">
      <c r="A663" t="s">
        <v>372</v>
      </c>
      <c r="B663" t="s">
        <v>493</v>
      </c>
      <c r="C663" t="s">
        <v>320</v>
      </c>
      <c r="D663">
        <v>2026</v>
      </c>
      <c r="E663">
        <v>0</v>
      </c>
      <c r="F663">
        <v>15</v>
      </c>
      <c r="G663">
        <v>0</v>
      </c>
      <c r="H663">
        <v>0</v>
      </c>
      <c r="I663">
        <v>30</v>
      </c>
      <c r="J663">
        <v>45</v>
      </c>
      <c r="K663">
        <v>4</v>
      </c>
      <c r="L663">
        <v>2</v>
      </c>
      <c r="M663">
        <v>50</v>
      </c>
      <c r="N663">
        <v>0</v>
      </c>
      <c r="O663" t="s">
        <v>27</v>
      </c>
      <c r="P663" t="s">
        <v>443</v>
      </c>
      <c r="Q663">
        <v>2026</v>
      </c>
      <c r="R663">
        <v>2041</v>
      </c>
      <c r="S663" t="s">
        <v>444</v>
      </c>
      <c r="T663">
        <v>2028</v>
      </c>
      <c r="U663">
        <v>35.75</v>
      </c>
      <c r="V663">
        <v>1</v>
      </c>
      <c r="W663">
        <v>2028</v>
      </c>
      <c r="X663">
        <v>2</v>
      </c>
      <c r="Y663">
        <v>2028</v>
      </c>
      <c r="Z663">
        <v>1</v>
      </c>
      <c r="AA663">
        <v>120</v>
      </c>
      <c r="AB663">
        <v>180</v>
      </c>
      <c r="AC663">
        <v>120</v>
      </c>
      <c r="AD663">
        <v>180</v>
      </c>
      <c r="AE663">
        <v>0</v>
      </c>
      <c r="AF663">
        <v>0</v>
      </c>
      <c r="AG663">
        <v>120</v>
      </c>
      <c r="AH663">
        <v>180</v>
      </c>
      <c r="AI663">
        <v>1</v>
      </c>
      <c r="AJ663">
        <v>2.4220000000000002</v>
      </c>
      <c r="AK663">
        <v>2029</v>
      </c>
      <c r="AL663" s="61">
        <v>2.4209999999999998</v>
      </c>
      <c r="AM663" s="61">
        <v>2.4220000000000002</v>
      </c>
      <c r="AN663" s="61">
        <v>2.4209999999999998</v>
      </c>
      <c r="AO663">
        <v>1.0242199999999999</v>
      </c>
      <c r="AP663">
        <v>1.0242103835598433</v>
      </c>
      <c r="AQ663">
        <v>1.0490167590496626</v>
      </c>
      <c r="AR663" t="b">
        <v>0</v>
      </c>
      <c r="AS663">
        <v>114.39283401793483</v>
      </c>
      <c r="AT663">
        <v>171.58925102690225</v>
      </c>
      <c r="AU663">
        <v>142.99104252241852</v>
      </c>
    </row>
    <row r="664" spans="1:47" x14ac:dyDescent="0.25">
      <c r="A664" t="s">
        <v>372</v>
      </c>
      <c r="B664" t="s">
        <v>493</v>
      </c>
      <c r="C664" t="s">
        <v>320</v>
      </c>
      <c r="D664">
        <v>2026</v>
      </c>
      <c r="E664">
        <v>0</v>
      </c>
      <c r="F664">
        <v>15</v>
      </c>
      <c r="G664">
        <v>0</v>
      </c>
      <c r="H664">
        <v>0</v>
      </c>
      <c r="I664">
        <v>30</v>
      </c>
      <c r="J664">
        <v>45</v>
      </c>
      <c r="K664">
        <v>4</v>
      </c>
      <c r="L664">
        <v>2</v>
      </c>
      <c r="M664">
        <v>50</v>
      </c>
      <c r="N664">
        <v>0</v>
      </c>
      <c r="O664" t="s">
        <v>27</v>
      </c>
      <c r="P664" t="s">
        <v>443</v>
      </c>
      <c r="Q664">
        <v>2026</v>
      </c>
      <c r="R664">
        <v>2041</v>
      </c>
      <c r="S664" t="s">
        <v>444</v>
      </c>
      <c r="T664">
        <v>2029</v>
      </c>
      <c r="U664">
        <v>36.75</v>
      </c>
      <c r="V664">
        <v>1</v>
      </c>
      <c r="W664">
        <v>2029</v>
      </c>
      <c r="X664">
        <v>3</v>
      </c>
      <c r="Y664">
        <v>2029</v>
      </c>
      <c r="Z664">
        <v>1</v>
      </c>
      <c r="AA664">
        <v>120</v>
      </c>
      <c r="AB664">
        <v>180</v>
      </c>
      <c r="AC664">
        <v>120</v>
      </c>
      <c r="AD664">
        <v>180</v>
      </c>
      <c r="AE664">
        <v>0</v>
      </c>
      <c r="AF664">
        <v>0</v>
      </c>
      <c r="AG664">
        <v>120</v>
      </c>
      <c r="AH664">
        <v>180</v>
      </c>
      <c r="AI664">
        <v>1</v>
      </c>
      <c r="AJ664">
        <v>2.4209999999999998</v>
      </c>
      <c r="AK664">
        <v>2030</v>
      </c>
      <c r="AL664" s="61">
        <v>2.4670000000000001</v>
      </c>
      <c r="AM664" s="61">
        <v>2.4209999999999998</v>
      </c>
      <c r="AN664" s="61">
        <v>2.4670000000000001</v>
      </c>
      <c r="AO664">
        <v>1.0490061241000002</v>
      </c>
      <c r="AP664">
        <v>1.0246523523547908</v>
      </c>
      <c r="AQ664">
        <v>1.0748665926936467</v>
      </c>
      <c r="AR664" t="b">
        <v>0</v>
      </c>
      <c r="AS664">
        <v>111.64176169926031</v>
      </c>
      <c r="AT664">
        <v>167.46264254889047</v>
      </c>
      <c r="AU664">
        <v>139.55220212407539</v>
      </c>
    </row>
    <row r="665" spans="1:47" x14ac:dyDescent="0.25">
      <c r="A665" t="s">
        <v>372</v>
      </c>
      <c r="B665" t="s">
        <v>493</v>
      </c>
      <c r="C665" t="s">
        <v>320</v>
      </c>
      <c r="D665">
        <v>2026</v>
      </c>
      <c r="E665">
        <v>0</v>
      </c>
      <c r="F665">
        <v>15</v>
      </c>
      <c r="G665">
        <v>0</v>
      </c>
      <c r="H665">
        <v>0</v>
      </c>
      <c r="I665">
        <v>30</v>
      </c>
      <c r="J665">
        <v>45</v>
      </c>
      <c r="K665">
        <v>4</v>
      </c>
      <c r="L665">
        <v>2</v>
      </c>
      <c r="M665">
        <v>50</v>
      </c>
      <c r="N665">
        <v>0</v>
      </c>
      <c r="O665" t="s">
        <v>27</v>
      </c>
      <c r="P665" t="s">
        <v>443</v>
      </c>
      <c r="Q665">
        <v>2026</v>
      </c>
      <c r="R665">
        <v>2041</v>
      </c>
      <c r="S665" t="s">
        <v>444</v>
      </c>
      <c r="T665">
        <v>2030</v>
      </c>
      <c r="U665">
        <v>37.75</v>
      </c>
      <c r="V665">
        <v>1</v>
      </c>
      <c r="W665">
        <v>2030</v>
      </c>
      <c r="X665">
        <v>4</v>
      </c>
      <c r="Y665">
        <v>2030</v>
      </c>
      <c r="Z665">
        <v>1</v>
      </c>
      <c r="AA665">
        <v>120</v>
      </c>
      <c r="AB665">
        <v>180</v>
      </c>
      <c r="AC665">
        <v>120</v>
      </c>
      <c r="AD665">
        <v>180</v>
      </c>
      <c r="AE665">
        <v>0</v>
      </c>
      <c r="AF665">
        <v>0</v>
      </c>
      <c r="AG665">
        <v>120</v>
      </c>
      <c r="AH665">
        <v>180</v>
      </c>
      <c r="AI665">
        <v>1</v>
      </c>
      <c r="AJ665">
        <v>2.4670000000000001</v>
      </c>
      <c r="AK665">
        <v>2031</v>
      </c>
      <c r="AL665" s="61">
        <v>2.5169999999999999</v>
      </c>
      <c r="AM665" s="61">
        <v>2.4670000000000001</v>
      </c>
      <c r="AN665" s="61">
        <v>2.5169999999999999</v>
      </c>
      <c r="AO665">
        <v>1.0758508410815628</v>
      </c>
      <c r="AP665">
        <v>1.0251508174189523</v>
      </c>
      <c r="AQ665">
        <v>1.1029093691556315</v>
      </c>
      <c r="AR665" t="b">
        <v>0</v>
      </c>
      <c r="AS665">
        <v>108.80313773367429</v>
      </c>
      <c r="AT665">
        <v>163.20470660051143</v>
      </c>
      <c r="AU665">
        <v>136.00392216709287</v>
      </c>
    </row>
    <row r="666" spans="1:47" x14ac:dyDescent="0.25">
      <c r="A666" t="s">
        <v>372</v>
      </c>
      <c r="B666" t="s">
        <v>493</v>
      </c>
      <c r="C666" t="s">
        <v>320</v>
      </c>
      <c r="D666">
        <v>2026</v>
      </c>
      <c r="E666">
        <v>0</v>
      </c>
      <c r="F666">
        <v>15</v>
      </c>
      <c r="G666">
        <v>0</v>
      </c>
      <c r="H666">
        <v>0</v>
      </c>
      <c r="I666">
        <v>30</v>
      </c>
      <c r="J666">
        <v>45</v>
      </c>
      <c r="K666">
        <v>4</v>
      </c>
      <c r="L666">
        <v>2</v>
      </c>
      <c r="M666">
        <v>50</v>
      </c>
      <c r="N666">
        <v>0</v>
      </c>
      <c r="O666" t="s">
        <v>27</v>
      </c>
      <c r="P666" t="s">
        <v>443</v>
      </c>
      <c r="Q666">
        <v>2026</v>
      </c>
      <c r="R666">
        <v>2041</v>
      </c>
      <c r="S666" t="s">
        <v>444</v>
      </c>
      <c r="T666">
        <v>2031</v>
      </c>
      <c r="U666">
        <v>38.75</v>
      </c>
      <c r="V666">
        <v>1</v>
      </c>
      <c r="W666">
        <v>2031</v>
      </c>
      <c r="X666">
        <v>5</v>
      </c>
      <c r="Y666">
        <v>2031</v>
      </c>
      <c r="Z666">
        <v>1</v>
      </c>
      <c r="AA666">
        <v>120</v>
      </c>
      <c r="AB666">
        <v>180</v>
      </c>
      <c r="AC666">
        <v>120</v>
      </c>
      <c r="AD666">
        <v>180</v>
      </c>
      <c r="AE666">
        <v>0</v>
      </c>
      <c r="AF666">
        <v>0</v>
      </c>
      <c r="AG666">
        <v>120</v>
      </c>
      <c r="AH666">
        <v>180</v>
      </c>
      <c r="AI666">
        <v>1</v>
      </c>
      <c r="AJ666">
        <v>2.5169999999999999</v>
      </c>
      <c r="AK666">
        <v>2032</v>
      </c>
      <c r="AL666" s="61">
        <v>2.59</v>
      </c>
      <c r="AM666" s="61">
        <v>2.5169999999999999</v>
      </c>
      <c r="AN666" s="61">
        <v>2.59</v>
      </c>
      <c r="AO666">
        <v>1.1045453584485188</v>
      </c>
      <c r="AP666">
        <v>1.0258719904156592</v>
      </c>
      <c r="AQ666">
        <v>1.1331221453759597</v>
      </c>
      <c r="AR666" t="b">
        <v>0</v>
      </c>
      <c r="AS666">
        <v>105.90208698126281</v>
      </c>
      <c r="AT666">
        <v>158.85313047189422</v>
      </c>
      <c r="AU666">
        <v>132.3776087265785</v>
      </c>
    </row>
    <row r="667" spans="1:47" x14ac:dyDescent="0.25">
      <c r="A667" t="s">
        <v>372</v>
      </c>
      <c r="B667" t="s">
        <v>493</v>
      </c>
      <c r="C667" t="s">
        <v>320</v>
      </c>
      <c r="D667">
        <v>2026</v>
      </c>
      <c r="E667">
        <v>0</v>
      </c>
      <c r="F667">
        <v>15</v>
      </c>
      <c r="G667">
        <v>0</v>
      </c>
      <c r="H667">
        <v>0</v>
      </c>
      <c r="I667">
        <v>30</v>
      </c>
      <c r="J667">
        <v>45</v>
      </c>
      <c r="K667">
        <v>4</v>
      </c>
      <c r="L667">
        <v>2</v>
      </c>
      <c r="M667">
        <v>50</v>
      </c>
      <c r="N667">
        <v>0</v>
      </c>
      <c r="O667" t="s">
        <v>27</v>
      </c>
      <c r="P667" t="s">
        <v>443</v>
      </c>
      <c r="Q667">
        <v>2026</v>
      </c>
      <c r="R667">
        <v>2041</v>
      </c>
      <c r="S667" t="s">
        <v>444</v>
      </c>
      <c r="T667">
        <v>2032</v>
      </c>
      <c r="U667">
        <v>39.75</v>
      </c>
      <c r="V667">
        <v>1</v>
      </c>
      <c r="W667">
        <v>2032</v>
      </c>
      <c r="X667">
        <v>6</v>
      </c>
      <c r="Y667">
        <v>2032</v>
      </c>
      <c r="Z667">
        <v>1</v>
      </c>
      <c r="AA667">
        <v>120</v>
      </c>
      <c r="AB667">
        <v>180</v>
      </c>
      <c r="AC667">
        <v>120</v>
      </c>
      <c r="AD667">
        <v>180</v>
      </c>
      <c r="AE667">
        <v>0</v>
      </c>
      <c r="AF667">
        <v>0</v>
      </c>
      <c r="AG667">
        <v>120</v>
      </c>
      <c r="AH667">
        <v>180</v>
      </c>
      <c r="AI667">
        <v>1</v>
      </c>
      <c r="AJ667">
        <v>2.59</v>
      </c>
      <c r="AK667">
        <v>2033</v>
      </c>
      <c r="AL667" s="61">
        <v>2.6880000000000002</v>
      </c>
      <c r="AM667" s="61">
        <v>2.59</v>
      </c>
      <c r="AN667" s="61">
        <v>2.6880000000000002</v>
      </c>
      <c r="AO667">
        <v>1.1363841013749196</v>
      </c>
      <c r="AP667">
        <v>1.0268423936996114</v>
      </c>
      <c r="AQ667">
        <v>1.1668873708180043</v>
      </c>
      <c r="AR667" t="b">
        <v>0</v>
      </c>
      <c r="AS667">
        <v>102.83768853876474</v>
      </c>
      <c r="AT667">
        <v>154.25653280814711</v>
      </c>
      <c r="AU667">
        <v>128.54711067345593</v>
      </c>
    </row>
    <row r="668" spans="1:47" x14ac:dyDescent="0.25">
      <c r="A668" t="s">
        <v>372</v>
      </c>
      <c r="B668" t="s">
        <v>493</v>
      </c>
      <c r="C668" t="s">
        <v>320</v>
      </c>
      <c r="D668">
        <v>2026</v>
      </c>
      <c r="E668">
        <v>0</v>
      </c>
      <c r="F668">
        <v>15</v>
      </c>
      <c r="G668">
        <v>0</v>
      </c>
      <c r="H668">
        <v>0</v>
      </c>
      <c r="I668">
        <v>30</v>
      </c>
      <c r="J668">
        <v>45</v>
      </c>
      <c r="K668">
        <v>4</v>
      </c>
      <c r="L668">
        <v>2</v>
      </c>
      <c r="M668">
        <v>50</v>
      </c>
      <c r="N668">
        <v>0</v>
      </c>
      <c r="O668" t="s">
        <v>27</v>
      </c>
      <c r="P668" t="s">
        <v>443</v>
      </c>
      <c r="Q668">
        <v>2026</v>
      </c>
      <c r="R668">
        <v>2041</v>
      </c>
      <c r="S668" t="s">
        <v>444</v>
      </c>
      <c r="T668">
        <v>2033</v>
      </c>
      <c r="U668">
        <v>40.75</v>
      </c>
      <c r="V668">
        <v>1</v>
      </c>
      <c r="W668">
        <v>2033</v>
      </c>
      <c r="X668">
        <v>7</v>
      </c>
      <c r="Y668">
        <v>2033</v>
      </c>
      <c r="Z668">
        <v>1</v>
      </c>
      <c r="AA668">
        <v>120</v>
      </c>
      <c r="AB668">
        <v>180</v>
      </c>
      <c r="AC668">
        <v>120</v>
      </c>
      <c r="AD668">
        <v>180</v>
      </c>
      <c r="AE668">
        <v>0</v>
      </c>
      <c r="AF668">
        <v>0</v>
      </c>
      <c r="AG668">
        <v>120</v>
      </c>
      <c r="AH668">
        <v>180</v>
      </c>
      <c r="AI668">
        <v>1</v>
      </c>
      <c r="AJ668">
        <v>2.6880000000000002</v>
      </c>
      <c r="AK668">
        <v>2034</v>
      </c>
      <c r="AL668" s="61">
        <v>2.7519999999999998</v>
      </c>
      <c r="AM668" s="61">
        <v>2.6880000000000002</v>
      </c>
      <c r="AN668" s="61">
        <v>2.7519999999999998</v>
      </c>
      <c r="AO668">
        <v>1.1725143659072164</v>
      </c>
      <c r="AP668">
        <v>1.0274954447000768</v>
      </c>
      <c r="AQ668">
        <v>1.2047531698150638</v>
      </c>
      <c r="AR668" t="b">
        <v>0</v>
      </c>
      <c r="AS668">
        <v>99.605465257601821</v>
      </c>
      <c r="AT668">
        <v>149.40819788640275</v>
      </c>
      <c r="AU668">
        <v>124.50683157200228</v>
      </c>
    </row>
    <row r="669" spans="1:47" x14ac:dyDescent="0.25">
      <c r="A669" t="s">
        <v>372</v>
      </c>
      <c r="B669" t="s">
        <v>493</v>
      </c>
      <c r="C669" t="s">
        <v>320</v>
      </c>
      <c r="D669">
        <v>2026</v>
      </c>
      <c r="E669">
        <v>0</v>
      </c>
      <c r="F669">
        <v>15</v>
      </c>
      <c r="G669">
        <v>0</v>
      </c>
      <c r="H669">
        <v>0</v>
      </c>
      <c r="I669">
        <v>30</v>
      </c>
      <c r="J669">
        <v>45</v>
      </c>
      <c r="K669">
        <v>4</v>
      </c>
      <c r="L669">
        <v>2</v>
      </c>
      <c r="M669">
        <v>50</v>
      </c>
      <c r="N669">
        <v>0</v>
      </c>
      <c r="O669" t="s">
        <v>27</v>
      </c>
      <c r="P669" t="s">
        <v>443</v>
      </c>
      <c r="Q669">
        <v>2026</v>
      </c>
      <c r="R669">
        <v>2041</v>
      </c>
      <c r="S669" t="s">
        <v>444</v>
      </c>
      <c r="T669">
        <v>2034</v>
      </c>
      <c r="U669">
        <v>41.75</v>
      </c>
      <c r="V669">
        <v>1</v>
      </c>
      <c r="W669">
        <v>2034</v>
      </c>
      <c r="X669">
        <v>8</v>
      </c>
      <c r="Y669">
        <v>2034</v>
      </c>
      <c r="Z669">
        <v>1</v>
      </c>
      <c r="AA669">
        <v>120</v>
      </c>
      <c r="AB669">
        <v>180</v>
      </c>
      <c r="AC669">
        <v>120</v>
      </c>
      <c r="AD669">
        <v>180</v>
      </c>
      <c r="AE669">
        <v>0</v>
      </c>
      <c r="AF669">
        <v>0</v>
      </c>
      <c r="AG669">
        <v>120</v>
      </c>
      <c r="AH669">
        <v>180</v>
      </c>
      <c r="AI669">
        <v>1</v>
      </c>
      <c r="AJ669">
        <v>2.7519999999999998</v>
      </c>
      <c r="AK669">
        <v>2035</v>
      </c>
      <c r="AL669" s="61">
        <v>2.8420000000000001</v>
      </c>
      <c r="AM669" s="61">
        <v>2.7519999999999998</v>
      </c>
      <c r="AN669" s="61">
        <v>2.8420000000000001</v>
      </c>
      <c r="AO669">
        <v>1.2092942481281721</v>
      </c>
      <c r="AP669">
        <v>1.0283854649181425</v>
      </c>
      <c r="AQ669">
        <v>1.2436206275841259</v>
      </c>
      <c r="AR669" t="b">
        <v>0</v>
      </c>
      <c r="AS669">
        <v>96.492449014064363</v>
      </c>
      <c r="AT669">
        <v>144.73867352109656</v>
      </c>
      <c r="AU669">
        <v>120.61556126758046</v>
      </c>
    </row>
    <row r="670" spans="1:47" x14ac:dyDescent="0.25">
      <c r="A670" t="s">
        <v>372</v>
      </c>
      <c r="B670" t="s">
        <v>493</v>
      </c>
      <c r="C670" t="s">
        <v>320</v>
      </c>
      <c r="D670">
        <v>2026</v>
      </c>
      <c r="E670">
        <v>0</v>
      </c>
      <c r="F670">
        <v>15</v>
      </c>
      <c r="G670">
        <v>0</v>
      </c>
      <c r="H670">
        <v>0</v>
      </c>
      <c r="I670">
        <v>30</v>
      </c>
      <c r="J670">
        <v>45</v>
      </c>
      <c r="K670">
        <v>4</v>
      </c>
      <c r="L670">
        <v>2</v>
      </c>
      <c r="M670">
        <v>50</v>
      </c>
      <c r="N670">
        <v>0</v>
      </c>
      <c r="O670" t="s">
        <v>27</v>
      </c>
      <c r="P670" t="s">
        <v>443</v>
      </c>
      <c r="Q670">
        <v>2026</v>
      </c>
      <c r="R670">
        <v>2041</v>
      </c>
      <c r="S670" t="s">
        <v>444</v>
      </c>
      <c r="T670">
        <v>2035</v>
      </c>
      <c r="U670">
        <v>42.75</v>
      </c>
      <c r="V670">
        <v>1</v>
      </c>
      <c r="W670">
        <v>2035</v>
      </c>
      <c r="X670">
        <v>9</v>
      </c>
      <c r="Y670">
        <v>2035</v>
      </c>
      <c r="Z670">
        <v>1</v>
      </c>
      <c r="AA670">
        <v>120</v>
      </c>
      <c r="AB670">
        <v>180</v>
      </c>
      <c r="AC670">
        <v>120</v>
      </c>
      <c r="AD670">
        <v>180</v>
      </c>
      <c r="AE670">
        <v>0</v>
      </c>
      <c r="AF670">
        <v>0</v>
      </c>
      <c r="AG670">
        <v>120</v>
      </c>
      <c r="AH670">
        <v>180</v>
      </c>
      <c r="AI670">
        <v>1</v>
      </c>
      <c r="AJ670">
        <v>2.8420000000000001</v>
      </c>
      <c r="AK670">
        <v>2036</v>
      </c>
      <c r="AL670" s="61">
        <v>2.944</v>
      </c>
      <c r="AM670" s="61">
        <v>2.8420000000000001</v>
      </c>
      <c r="AN670" s="61">
        <v>2.944</v>
      </c>
      <c r="AO670">
        <v>1.2513076834571593</v>
      </c>
      <c r="AP670">
        <v>1.0294008580614105</v>
      </c>
      <c r="AQ670">
        <v>1.2880972030496356</v>
      </c>
      <c r="AR670" t="b">
        <v>0</v>
      </c>
      <c r="AS670">
        <v>93.160671194606977</v>
      </c>
      <c r="AT670">
        <v>139.74100679191045</v>
      </c>
      <c r="AU670">
        <v>116.45083899325871</v>
      </c>
    </row>
    <row r="671" spans="1:47" x14ac:dyDescent="0.25">
      <c r="A671" t="s">
        <v>372</v>
      </c>
      <c r="B671" t="s">
        <v>493</v>
      </c>
      <c r="C671" t="s">
        <v>320</v>
      </c>
      <c r="D671">
        <v>2026</v>
      </c>
      <c r="E671">
        <v>0</v>
      </c>
      <c r="F671">
        <v>15</v>
      </c>
      <c r="G671">
        <v>0</v>
      </c>
      <c r="H671">
        <v>0</v>
      </c>
      <c r="I671">
        <v>30</v>
      </c>
      <c r="J671">
        <v>45</v>
      </c>
      <c r="K671">
        <v>4</v>
      </c>
      <c r="L671">
        <v>2</v>
      </c>
      <c r="M671">
        <v>50</v>
      </c>
      <c r="N671">
        <v>0</v>
      </c>
      <c r="O671" t="s">
        <v>27</v>
      </c>
      <c r="P671" t="s">
        <v>443</v>
      </c>
      <c r="Q671">
        <v>2026</v>
      </c>
      <c r="R671">
        <v>2041</v>
      </c>
      <c r="S671" t="s">
        <v>444</v>
      </c>
      <c r="T671">
        <v>2036</v>
      </c>
      <c r="U671">
        <v>43.75</v>
      </c>
      <c r="V671">
        <v>1</v>
      </c>
      <c r="W671">
        <v>2036</v>
      </c>
      <c r="X671">
        <v>10</v>
      </c>
      <c r="Y671">
        <v>2036</v>
      </c>
      <c r="Z671">
        <v>1</v>
      </c>
      <c r="AA671">
        <v>120</v>
      </c>
      <c r="AB671">
        <v>180</v>
      </c>
      <c r="AC671">
        <v>120</v>
      </c>
      <c r="AD671">
        <v>180</v>
      </c>
      <c r="AE671">
        <v>0</v>
      </c>
      <c r="AF671">
        <v>0</v>
      </c>
      <c r="AG671">
        <v>120</v>
      </c>
      <c r="AH671">
        <v>180</v>
      </c>
      <c r="AI671">
        <v>1</v>
      </c>
      <c r="AJ671">
        <v>2.944</v>
      </c>
      <c r="AK671">
        <v>2037</v>
      </c>
      <c r="AL671" s="61">
        <v>3.036</v>
      </c>
      <c r="AM671" s="61">
        <v>2.944</v>
      </c>
      <c r="AN671" s="61">
        <v>3.036</v>
      </c>
      <c r="AO671">
        <v>1.2984025298030446</v>
      </c>
      <c r="AP671">
        <v>1.0303246971701443</v>
      </c>
      <c r="AQ671">
        <v>1.3377761933242711</v>
      </c>
      <c r="AR671" t="b">
        <v>0</v>
      </c>
      <c r="AS671">
        <v>89.701102919023555</v>
      </c>
      <c r="AT671">
        <v>134.55165437853535</v>
      </c>
      <c r="AU671">
        <v>112.12637864877945</v>
      </c>
    </row>
    <row r="672" spans="1:47" x14ac:dyDescent="0.25">
      <c r="A672" t="s">
        <v>372</v>
      </c>
      <c r="B672" t="s">
        <v>493</v>
      </c>
      <c r="C672" t="s">
        <v>320</v>
      </c>
      <c r="D672">
        <v>2026</v>
      </c>
      <c r="E672">
        <v>0</v>
      </c>
      <c r="F672">
        <v>15</v>
      </c>
      <c r="G672">
        <v>0</v>
      </c>
      <c r="H672">
        <v>0</v>
      </c>
      <c r="I672">
        <v>30</v>
      </c>
      <c r="J672">
        <v>45</v>
      </c>
      <c r="K672">
        <v>4</v>
      </c>
      <c r="L672">
        <v>2</v>
      </c>
      <c r="M672">
        <v>50</v>
      </c>
      <c r="N672">
        <v>0</v>
      </c>
      <c r="O672" t="s">
        <v>27</v>
      </c>
      <c r="P672" t="s">
        <v>443</v>
      </c>
      <c r="Q672">
        <v>2026</v>
      </c>
      <c r="R672">
        <v>2041</v>
      </c>
      <c r="S672" t="s">
        <v>444</v>
      </c>
      <c r="T672">
        <v>2037</v>
      </c>
      <c r="U672">
        <v>44.75</v>
      </c>
      <c r="V672">
        <v>1</v>
      </c>
      <c r="W672">
        <v>2037</v>
      </c>
      <c r="X672">
        <v>11</v>
      </c>
      <c r="Y672">
        <v>2037</v>
      </c>
      <c r="Z672">
        <v>1</v>
      </c>
      <c r="AA672">
        <v>120</v>
      </c>
      <c r="AB672">
        <v>180</v>
      </c>
      <c r="AC672">
        <v>120</v>
      </c>
      <c r="AD672">
        <v>180</v>
      </c>
      <c r="AE672">
        <v>0</v>
      </c>
      <c r="AF672">
        <v>0</v>
      </c>
      <c r="AG672">
        <v>120</v>
      </c>
      <c r="AH672">
        <v>180</v>
      </c>
      <c r="AI672">
        <v>1</v>
      </c>
      <c r="AJ672">
        <v>3.036</v>
      </c>
      <c r="AK672">
        <v>2038</v>
      </c>
      <c r="AL672" s="61">
        <v>3.1339999999999999</v>
      </c>
      <c r="AM672" s="61">
        <v>3.036</v>
      </c>
      <c r="AN672" s="61">
        <v>3.1339999999999999</v>
      </c>
      <c r="AO672">
        <v>1.3486209574989538</v>
      </c>
      <c r="AP672">
        <v>1.0313023937742947</v>
      </c>
      <c r="AQ672">
        <v>1.3908360217628524</v>
      </c>
      <c r="AR672" t="b">
        <v>0</v>
      </c>
      <c r="AS672">
        <v>86.279042333044259</v>
      </c>
      <c r="AT672">
        <v>129.41856349956637</v>
      </c>
      <c r="AU672">
        <v>107.84880291630532</v>
      </c>
    </row>
    <row r="673" spans="1:47" x14ac:dyDescent="0.25">
      <c r="A673" t="s">
        <v>372</v>
      </c>
      <c r="B673" t="s">
        <v>493</v>
      </c>
      <c r="C673" t="s">
        <v>320</v>
      </c>
      <c r="D673">
        <v>2026</v>
      </c>
      <c r="E673">
        <v>0</v>
      </c>
      <c r="F673">
        <v>15</v>
      </c>
      <c r="G673">
        <v>0</v>
      </c>
      <c r="H673">
        <v>0</v>
      </c>
      <c r="I673">
        <v>30</v>
      </c>
      <c r="J673">
        <v>45</v>
      </c>
      <c r="K673">
        <v>4</v>
      </c>
      <c r="L673">
        <v>2</v>
      </c>
      <c r="M673">
        <v>50</v>
      </c>
      <c r="N673">
        <v>0</v>
      </c>
      <c r="O673" t="s">
        <v>27</v>
      </c>
      <c r="P673" t="s">
        <v>443</v>
      </c>
      <c r="Q673">
        <v>2026</v>
      </c>
      <c r="R673">
        <v>2041</v>
      </c>
      <c r="S673" t="s">
        <v>444</v>
      </c>
      <c r="T673">
        <v>2038</v>
      </c>
      <c r="U673">
        <v>45.75</v>
      </c>
      <c r="V673">
        <v>1</v>
      </c>
      <c r="W673">
        <v>2038</v>
      </c>
      <c r="X673">
        <v>12</v>
      </c>
      <c r="Y673">
        <v>2038</v>
      </c>
      <c r="Z673">
        <v>1</v>
      </c>
      <c r="AA673">
        <v>120</v>
      </c>
      <c r="AB673">
        <v>180</v>
      </c>
      <c r="AC673">
        <v>120</v>
      </c>
      <c r="AD673">
        <v>180</v>
      </c>
      <c r="AE673">
        <v>0</v>
      </c>
      <c r="AF673">
        <v>0</v>
      </c>
      <c r="AG673">
        <v>120</v>
      </c>
      <c r="AH673">
        <v>180</v>
      </c>
      <c r="AI673">
        <v>1</v>
      </c>
      <c r="AJ673">
        <v>3.1339999999999999</v>
      </c>
      <c r="AK673">
        <v>2039</v>
      </c>
      <c r="AL673" s="61">
        <v>3.2069999999999999</v>
      </c>
      <c r="AM673" s="61">
        <v>3.1339999999999999</v>
      </c>
      <c r="AN673" s="61">
        <v>3.2069999999999999</v>
      </c>
      <c r="AO673">
        <v>1.4041725591738043</v>
      </c>
      <c r="AP673">
        <v>1.0320419904729838</v>
      </c>
      <c r="AQ673">
        <v>1.4491650429372767</v>
      </c>
      <c r="AR673" t="b">
        <v>0</v>
      </c>
      <c r="AS673">
        <v>82.806303246713</v>
      </c>
      <c r="AT673">
        <v>124.20945487006951</v>
      </c>
      <c r="AU673">
        <v>103.50787905839125</v>
      </c>
    </row>
    <row r="674" spans="1:47" x14ac:dyDescent="0.25">
      <c r="A674" t="s">
        <v>372</v>
      </c>
      <c r="B674" t="s">
        <v>493</v>
      </c>
      <c r="C674" t="s">
        <v>320</v>
      </c>
      <c r="D674">
        <v>2026</v>
      </c>
      <c r="E674">
        <v>0</v>
      </c>
      <c r="F674">
        <v>15</v>
      </c>
      <c r="G674">
        <v>0</v>
      </c>
      <c r="H674">
        <v>0</v>
      </c>
      <c r="I674">
        <v>30</v>
      </c>
      <c r="J674">
        <v>45</v>
      </c>
      <c r="K674">
        <v>4</v>
      </c>
      <c r="L674">
        <v>2</v>
      </c>
      <c r="M674">
        <v>50</v>
      </c>
      <c r="N674">
        <v>0</v>
      </c>
      <c r="O674" t="s">
        <v>27</v>
      </c>
      <c r="P674" t="s">
        <v>443</v>
      </c>
      <c r="Q674">
        <v>2026</v>
      </c>
      <c r="R674">
        <v>2041</v>
      </c>
      <c r="S674" t="s">
        <v>444</v>
      </c>
      <c r="T674">
        <v>2039</v>
      </c>
      <c r="U674">
        <v>46.75</v>
      </c>
      <c r="V674">
        <v>1</v>
      </c>
      <c r="W674">
        <v>2039</v>
      </c>
      <c r="X674">
        <v>13</v>
      </c>
      <c r="Y674">
        <v>2039</v>
      </c>
      <c r="Z674">
        <v>1</v>
      </c>
      <c r="AA674">
        <v>120</v>
      </c>
      <c r="AB674">
        <v>180</v>
      </c>
      <c r="AC674">
        <v>120</v>
      </c>
      <c r="AD674">
        <v>180</v>
      </c>
      <c r="AE674">
        <v>0</v>
      </c>
      <c r="AF674">
        <v>0</v>
      </c>
      <c r="AG674">
        <v>120</v>
      </c>
      <c r="AH674">
        <v>180</v>
      </c>
      <c r="AI674">
        <v>1</v>
      </c>
      <c r="AJ674">
        <v>3.2069999999999999</v>
      </c>
      <c r="AK674">
        <v>2040</v>
      </c>
      <c r="AL674" s="61">
        <v>3.3029999999999999</v>
      </c>
      <c r="AM674" s="61">
        <v>3.2069999999999999</v>
      </c>
      <c r="AN674" s="61">
        <v>3.3029999999999999</v>
      </c>
      <c r="AO674">
        <v>1.4605278779269859</v>
      </c>
      <c r="AP674">
        <v>1.0329931616190409</v>
      </c>
      <c r="AQ674">
        <v>1.5087153102525457</v>
      </c>
      <c r="AR674" t="b">
        <v>0</v>
      </c>
      <c r="AS674">
        <v>79.537868532608087</v>
      </c>
      <c r="AT674">
        <v>119.30680279891213</v>
      </c>
      <c r="AU674">
        <v>99.422335665760102</v>
      </c>
    </row>
    <row r="675" spans="1:47" x14ac:dyDescent="0.25">
      <c r="A675" t="s">
        <v>372</v>
      </c>
      <c r="B675" t="s">
        <v>493</v>
      </c>
      <c r="C675" t="s">
        <v>320</v>
      </c>
      <c r="D675">
        <v>2026</v>
      </c>
      <c r="E675">
        <v>0</v>
      </c>
      <c r="F675">
        <v>15</v>
      </c>
      <c r="G675">
        <v>0</v>
      </c>
      <c r="H675">
        <v>0</v>
      </c>
      <c r="I675">
        <v>30</v>
      </c>
      <c r="J675">
        <v>45</v>
      </c>
      <c r="K675">
        <v>4</v>
      </c>
      <c r="L675">
        <v>2</v>
      </c>
      <c r="M675">
        <v>50</v>
      </c>
      <c r="N675">
        <v>0</v>
      </c>
      <c r="O675" t="s">
        <v>27</v>
      </c>
      <c r="P675" t="s">
        <v>443</v>
      </c>
      <c r="Q675">
        <v>2026</v>
      </c>
      <c r="R675">
        <v>2041</v>
      </c>
      <c r="S675" t="s">
        <v>444</v>
      </c>
      <c r="T675">
        <v>2040</v>
      </c>
      <c r="U675">
        <v>47.75</v>
      </c>
      <c r="V675">
        <v>1</v>
      </c>
      <c r="W675">
        <v>2040</v>
      </c>
      <c r="X675">
        <v>14</v>
      </c>
      <c r="Y675">
        <v>2040</v>
      </c>
      <c r="Z675">
        <v>1</v>
      </c>
      <c r="AA675">
        <v>120</v>
      </c>
      <c r="AB675">
        <v>180</v>
      </c>
      <c r="AC675">
        <v>120</v>
      </c>
      <c r="AD675">
        <v>180</v>
      </c>
      <c r="AE675">
        <v>0</v>
      </c>
      <c r="AF675">
        <v>0</v>
      </c>
      <c r="AG675">
        <v>120</v>
      </c>
      <c r="AH675">
        <v>180</v>
      </c>
      <c r="AI675">
        <v>1</v>
      </c>
      <c r="AJ675">
        <v>3.3029999999999999</v>
      </c>
      <c r="AK675">
        <v>2041</v>
      </c>
      <c r="AL675" s="61">
        <v>3.3559999999999999</v>
      </c>
      <c r="AM675" s="61">
        <v>3.3029999999999999</v>
      </c>
      <c r="AN675" s="61">
        <v>3.3559999999999999</v>
      </c>
      <c r="AO675">
        <v>1.5256964700083253</v>
      </c>
      <c r="AP675">
        <v>1.0335396662189136</v>
      </c>
      <c r="AQ675">
        <v>1.5768678203637791</v>
      </c>
      <c r="AR675" t="b">
        <v>0</v>
      </c>
      <c r="AS675">
        <v>76.100227584272929</v>
      </c>
      <c r="AT675">
        <v>114.1503413764094</v>
      </c>
      <c r="AU675">
        <v>95.125284480341165</v>
      </c>
    </row>
    <row r="676" spans="1:47" x14ac:dyDescent="0.25">
      <c r="A676" t="s">
        <v>372</v>
      </c>
      <c r="B676" t="s">
        <v>493</v>
      </c>
      <c r="C676" t="s">
        <v>320</v>
      </c>
      <c r="D676">
        <v>2026</v>
      </c>
      <c r="E676">
        <v>0</v>
      </c>
      <c r="M676">
        <v>50</v>
      </c>
      <c r="Q676">
        <v>2026</v>
      </c>
      <c r="R676">
        <v>2041</v>
      </c>
      <c r="T676">
        <v>2041</v>
      </c>
      <c r="U676">
        <v>48.75</v>
      </c>
      <c r="W676">
        <v>2041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L676" s="61"/>
      <c r="AS676">
        <v>0</v>
      </c>
      <c r="AT676">
        <v>0</v>
      </c>
      <c r="AU676">
        <v>0</v>
      </c>
    </row>
    <row r="677" spans="1:47" x14ac:dyDescent="0.25">
      <c r="A677" t="s">
        <v>346</v>
      </c>
      <c r="B677" t="s">
        <v>494</v>
      </c>
      <c r="C677" t="s">
        <v>319</v>
      </c>
      <c r="D677">
        <v>2026</v>
      </c>
      <c r="E677">
        <v>0</v>
      </c>
      <c r="F677">
        <v>10</v>
      </c>
      <c r="G677">
        <v>0</v>
      </c>
      <c r="H677">
        <v>0</v>
      </c>
      <c r="I677">
        <v>50</v>
      </c>
      <c r="J677">
        <v>250</v>
      </c>
      <c r="K677">
        <v>1</v>
      </c>
      <c r="L677">
        <v>1</v>
      </c>
      <c r="M677">
        <v>51</v>
      </c>
      <c r="N677">
        <v>0</v>
      </c>
      <c r="O677" t="s">
        <v>27</v>
      </c>
      <c r="P677" t="s">
        <v>443</v>
      </c>
      <c r="Q677">
        <v>2026</v>
      </c>
      <c r="R677">
        <v>2036</v>
      </c>
      <c r="S677" t="s">
        <v>444</v>
      </c>
      <c r="T677">
        <v>2026</v>
      </c>
      <c r="U677">
        <v>33.75</v>
      </c>
      <c r="V677">
        <v>1</v>
      </c>
      <c r="W677">
        <v>2026</v>
      </c>
      <c r="X677">
        <v>0</v>
      </c>
      <c r="Y677">
        <v>2026</v>
      </c>
      <c r="Z677">
        <v>1</v>
      </c>
      <c r="AA677">
        <v>50</v>
      </c>
      <c r="AB677">
        <v>250</v>
      </c>
      <c r="AC677">
        <v>50</v>
      </c>
      <c r="AD677">
        <v>250</v>
      </c>
      <c r="AE677">
        <v>0</v>
      </c>
      <c r="AF677">
        <v>0</v>
      </c>
      <c r="AG677">
        <v>50</v>
      </c>
      <c r="AH677">
        <v>250</v>
      </c>
      <c r="AI677">
        <v>1</v>
      </c>
      <c r="AK677">
        <v>2027</v>
      </c>
      <c r="AL677" s="61">
        <v>2.4329999999999998</v>
      </c>
      <c r="AM677" s="61">
        <v>0</v>
      </c>
      <c r="AN677" s="61">
        <v>2.4329999999999998</v>
      </c>
      <c r="AO677">
        <v>1</v>
      </c>
      <c r="AP677">
        <v>1.023385968321771</v>
      </c>
      <c r="AQ677">
        <v>1.023385968321771</v>
      </c>
      <c r="AR677" t="b">
        <v>1</v>
      </c>
      <c r="AS677">
        <v>50</v>
      </c>
      <c r="AT677">
        <v>250</v>
      </c>
      <c r="AU677">
        <v>150</v>
      </c>
    </row>
    <row r="678" spans="1:47" x14ac:dyDescent="0.25">
      <c r="A678" t="s">
        <v>346</v>
      </c>
      <c r="B678" t="s">
        <v>494</v>
      </c>
      <c r="C678" t="s">
        <v>319</v>
      </c>
      <c r="D678">
        <v>2026</v>
      </c>
      <c r="E678">
        <v>0</v>
      </c>
      <c r="F678">
        <v>10</v>
      </c>
      <c r="G678">
        <v>0</v>
      </c>
      <c r="H678">
        <v>0</v>
      </c>
      <c r="I678">
        <v>50</v>
      </c>
      <c r="J678">
        <v>250</v>
      </c>
      <c r="K678">
        <v>1</v>
      </c>
      <c r="L678">
        <v>1</v>
      </c>
      <c r="M678">
        <v>51</v>
      </c>
      <c r="N678">
        <v>0</v>
      </c>
      <c r="O678" t="s">
        <v>27</v>
      </c>
      <c r="P678" t="s">
        <v>443</v>
      </c>
      <c r="Q678">
        <v>2026</v>
      </c>
      <c r="R678">
        <v>2036</v>
      </c>
      <c r="S678" t="s">
        <v>444</v>
      </c>
      <c r="T678">
        <v>2027</v>
      </c>
      <c r="U678">
        <v>34.75</v>
      </c>
      <c r="V678">
        <v>1</v>
      </c>
      <c r="W678">
        <v>2027</v>
      </c>
      <c r="X678">
        <v>1</v>
      </c>
      <c r="Y678">
        <v>2027</v>
      </c>
      <c r="Z678">
        <v>1</v>
      </c>
      <c r="AA678">
        <v>50</v>
      </c>
      <c r="AB678">
        <v>250</v>
      </c>
      <c r="AC678">
        <v>50</v>
      </c>
      <c r="AD678">
        <v>250</v>
      </c>
      <c r="AE678">
        <v>0</v>
      </c>
      <c r="AF678">
        <v>0</v>
      </c>
      <c r="AG678">
        <v>50</v>
      </c>
      <c r="AH678">
        <v>250</v>
      </c>
      <c r="AI678">
        <v>1</v>
      </c>
      <c r="AJ678">
        <v>2.4329999999999998</v>
      </c>
      <c r="AK678">
        <v>2028</v>
      </c>
      <c r="AL678" s="61">
        <v>2.4220000000000002</v>
      </c>
      <c r="AM678" s="61">
        <v>2.4329999999999998</v>
      </c>
      <c r="AN678" s="61">
        <v>2.4220000000000002</v>
      </c>
      <c r="AO678">
        <v>1</v>
      </c>
      <c r="AP678">
        <v>1.0242242189602202</v>
      </c>
      <c r="AQ678">
        <v>1.0242242189602202</v>
      </c>
      <c r="AR678" t="b">
        <v>0</v>
      </c>
      <c r="AS678">
        <v>48.817435747379008</v>
      </c>
      <c r="AT678">
        <v>244.08717873689505</v>
      </c>
      <c r="AU678">
        <v>146.45230724213704</v>
      </c>
    </row>
    <row r="679" spans="1:47" x14ac:dyDescent="0.25">
      <c r="A679" t="s">
        <v>346</v>
      </c>
      <c r="B679" t="s">
        <v>494</v>
      </c>
      <c r="C679" t="s">
        <v>319</v>
      </c>
      <c r="D679">
        <v>2026</v>
      </c>
      <c r="E679">
        <v>0</v>
      </c>
      <c r="F679">
        <v>10</v>
      </c>
      <c r="G679">
        <v>0</v>
      </c>
      <c r="H679">
        <v>0</v>
      </c>
      <c r="I679">
        <v>50</v>
      </c>
      <c r="J679">
        <v>250</v>
      </c>
      <c r="K679">
        <v>1</v>
      </c>
      <c r="L679">
        <v>1</v>
      </c>
      <c r="M679">
        <v>51</v>
      </c>
      <c r="N679">
        <v>0</v>
      </c>
      <c r="O679" t="s">
        <v>27</v>
      </c>
      <c r="P679" t="s">
        <v>443</v>
      </c>
      <c r="Q679">
        <v>2026</v>
      </c>
      <c r="R679">
        <v>2036</v>
      </c>
      <c r="S679" t="s">
        <v>444</v>
      </c>
      <c r="T679">
        <v>2028</v>
      </c>
      <c r="U679">
        <v>35.75</v>
      </c>
      <c r="V679">
        <v>1</v>
      </c>
      <c r="W679">
        <v>2028</v>
      </c>
      <c r="X679">
        <v>2</v>
      </c>
      <c r="Y679">
        <v>2028</v>
      </c>
      <c r="Z679">
        <v>1</v>
      </c>
      <c r="AA679">
        <v>50</v>
      </c>
      <c r="AB679">
        <v>250</v>
      </c>
      <c r="AC679">
        <v>50</v>
      </c>
      <c r="AD679">
        <v>250</v>
      </c>
      <c r="AE679">
        <v>0</v>
      </c>
      <c r="AF679">
        <v>0</v>
      </c>
      <c r="AG679">
        <v>50</v>
      </c>
      <c r="AH679">
        <v>250</v>
      </c>
      <c r="AI679">
        <v>1</v>
      </c>
      <c r="AJ679">
        <v>2.4220000000000002</v>
      </c>
      <c r="AK679">
        <v>2029</v>
      </c>
      <c r="AL679" s="61">
        <v>2.4209999999999998</v>
      </c>
      <c r="AM679" s="61">
        <v>2.4220000000000002</v>
      </c>
      <c r="AN679" s="61">
        <v>2.4209999999999998</v>
      </c>
      <c r="AO679">
        <v>1.0242199999999999</v>
      </c>
      <c r="AP679">
        <v>1.0242103835598433</v>
      </c>
      <c r="AQ679">
        <v>1.0490167590496626</v>
      </c>
      <c r="AR679" t="b">
        <v>0</v>
      </c>
      <c r="AS679">
        <v>47.66368084080618</v>
      </c>
      <c r="AT679">
        <v>238.31840420403091</v>
      </c>
      <c r="AU679">
        <v>142.99104252241855</v>
      </c>
    </row>
    <row r="680" spans="1:47" x14ac:dyDescent="0.25">
      <c r="A680" t="s">
        <v>346</v>
      </c>
      <c r="B680" t="s">
        <v>494</v>
      </c>
      <c r="C680" t="s">
        <v>319</v>
      </c>
      <c r="D680">
        <v>2026</v>
      </c>
      <c r="E680">
        <v>0</v>
      </c>
      <c r="F680">
        <v>10</v>
      </c>
      <c r="G680">
        <v>0</v>
      </c>
      <c r="H680">
        <v>0</v>
      </c>
      <c r="I680">
        <v>50</v>
      </c>
      <c r="J680">
        <v>250</v>
      </c>
      <c r="K680">
        <v>1</v>
      </c>
      <c r="L680">
        <v>1</v>
      </c>
      <c r="M680">
        <v>51</v>
      </c>
      <c r="N680">
        <v>0</v>
      </c>
      <c r="O680" t="s">
        <v>27</v>
      </c>
      <c r="P680" t="s">
        <v>443</v>
      </c>
      <c r="Q680">
        <v>2026</v>
      </c>
      <c r="R680">
        <v>2036</v>
      </c>
      <c r="S680" t="s">
        <v>444</v>
      </c>
      <c r="T680">
        <v>2029</v>
      </c>
      <c r="U680">
        <v>36.75</v>
      </c>
      <c r="V680">
        <v>1</v>
      </c>
      <c r="W680">
        <v>2029</v>
      </c>
      <c r="X680">
        <v>3</v>
      </c>
      <c r="Y680">
        <v>2029</v>
      </c>
      <c r="Z680">
        <v>1</v>
      </c>
      <c r="AA680">
        <v>50</v>
      </c>
      <c r="AB680">
        <v>250</v>
      </c>
      <c r="AC680">
        <v>50</v>
      </c>
      <c r="AD680">
        <v>250</v>
      </c>
      <c r="AE680">
        <v>0</v>
      </c>
      <c r="AF680">
        <v>0</v>
      </c>
      <c r="AG680">
        <v>50</v>
      </c>
      <c r="AH680">
        <v>250</v>
      </c>
      <c r="AI680">
        <v>1</v>
      </c>
      <c r="AJ680">
        <v>2.4209999999999998</v>
      </c>
      <c r="AK680">
        <v>2030</v>
      </c>
      <c r="AL680" s="61">
        <v>2.4670000000000001</v>
      </c>
      <c r="AM680" s="61">
        <v>2.4209999999999998</v>
      </c>
      <c r="AN680" s="61">
        <v>2.4670000000000001</v>
      </c>
      <c r="AO680">
        <v>1.0490061241000002</v>
      </c>
      <c r="AP680">
        <v>1.0246523523547908</v>
      </c>
      <c r="AQ680">
        <v>1.0748665926936467</v>
      </c>
      <c r="AR680" t="b">
        <v>0</v>
      </c>
      <c r="AS680">
        <v>46.517400708025129</v>
      </c>
      <c r="AT680">
        <v>232.58700354012564</v>
      </c>
      <c r="AU680">
        <v>139.55220212407539</v>
      </c>
    </row>
    <row r="681" spans="1:47" x14ac:dyDescent="0.25">
      <c r="A681" t="s">
        <v>346</v>
      </c>
      <c r="B681" t="s">
        <v>494</v>
      </c>
      <c r="C681" t="s">
        <v>319</v>
      </c>
      <c r="D681">
        <v>2026</v>
      </c>
      <c r="E681">
        <v>0</v>
      </c>
      <c r="F681">
        <v>10</v>
      </c>
      <c r="G681">
        <v>0</v>
      </c>
      <c r="H681">
        <v>0</v>
      </c>
      <c r="I681">
        <v>50</v>
      </c>
      <c r="J681">
        <v>250</v>
      </c>
      <c r="K681">
        <v>1</v>
      </c>
      <c r="L681">
        <v>1</v>
      </c>
      <c r="M681">
        <v>51</v>
      </c>
      <c r="N681">
        <v>0</v>
      </c>
      <c r="O681" t="s">
        <v>27</v>
      </c>
      <c r="P681" t="s">
        <v>443</v>
      </c>
      <c r="Q681">
        <v>2026</v>
      </c>
      <c r="R681">
        <v>2036</v>
      </c>
      <c r="S681" t="s">
        <v>444</v>
      </c>
      <c r="T681">
        <v>2030</v>
      </c>
      <c r="U681">
        <v>37.75</v>
      </c>
      <c r="V681">
        <v>1</v>
      </c>
      <c r="W681">
        <v>2030</v>
      </c>
      <c r="X681">
        <v>4</v>
      </c>
      <c r="Y681">
        <v>2030</v>
      </c>
      <c r="Z681">
        <v>1</v>
      </c>
      <c r="AA681">
        <v>50</v>
      </c>
      <c r="AB681">
        <v>250</v>
      </c>
      <c r="AC681">
        <v>50</v>
      </c>
      <c r="AD681">
        <v>250</v>
      </c>
      <c r="AE681">
        <v>0</v>
      </c>
      <c r="AF681">
        <v>0</v>
      </c>
      <c r="AG681">
        <v>50</v>
      </c>
      <c r="AH681">
        <v>250</v>
      </c>
      <c r="AI681">
        <v>1</v>
      </c>
      <c r="AJ681">
        <v>2.4670000000000001</v>
      </c>
      <c r="AK681">
        <v>2031</v>
      </c>
      <c r="AL681" s="61">
        <v>2.5169999999999999</v>
      </c>
      <c r="AM681" s="61">
        <v>2.4670000000000001</v>
      </c>
      <c r="AN681" s="61">
        <v>2.5169999999999999</v>
      </c>
      <c r="AO681">
        <v>1.0758508410815628</v>
      </c>
      <c r="AP681">
        <v>1.0251508174189523</v>
      </c>
      <c r="AQ681">
        <v>1.1029093691556315</v>
      </c>
      <c r="AR681" t="b">
        <v>0</v>
      </c>
      <c r="AS681">
        <v>45.334640722364284</v>
      </c>
      <c r="AT681">
        <v>226.67320361182144</v>
      </c>
      <c r="AU681">
        <v>136.00392216709287</v>
      </c>
    </row>
    <row r="682" spans="1:47" x14ac:dyDescent="0.25">
      <c r="A682" t="s">
        <v>346</v>
      </c>
      <c r="B682" t="s">
        <v>494</v>
      </c>
      <c r="C682" t="s">
        <v>319</v>
      </c>
      <c r="D682">
        <v>2026</v>
      </c>
      <c r="E682">
        <v>0</v>
      </c>
      <c r="F682">
        <v>10</v>
      </c>
      <c r="G682">
        <v>0</v>
      </c>
      <c r="H682">
        <v>0</v>
      </c>
      <c r="I682">
        <v>50</v>
      </c>
      <c r="J682">
        <v>250</v>
      </c>
      <c r="K682">
        <v>1</v>
      </c>
      <c r="L682">
        <v>1</v>
      </c>
      <c r="M682">
        <v>51</v>
      </c>
      <c r="N682">
        <v>0</v>
      </c>
      <c r="O682" t="s">
        <v>27</v>
      </c>
      <c r="P682" t="s">
        <v>443</v>
      </c>
      <c r="Q682">
        <v>2026</v>
      </c>
      <c r="R682">
        <v>2036</v>
      </c>
      <c r="S682" t="s">
        <v>444</v>
      </c>
      <c r="T682">
        <v>2031</v>
      </c>
      <c r="U682">
        <v>38.75</v>
      </c>
      <c r="V682">
        <v>1</v>
      </c>
      <c r="W682">
        <v>2031</v>
      </c>
      <c r="X682">
        <v>5</v>
      </c>
      <c r="Y682">
        <v>2031</v>
      </c>
      <c r="Z682">
        <v>1</v>
      </c>
      <c r="AA682">
        <v>50</v>
      </c>
      <c r="AB682">
        <v>250</v>
      </c>
      <c r="AC682">
        <v>50</v>
      </c>
      <c r="AD682">
        <v>250</v>
      </c>
      <c r="AE682">
        <v>0</v>
      </c>
      <c r="AF682">
        <v>0</v>
      </c>
      <c r="AG682">
        <v>50</v>
      </c>
      <c r="AH682">
        <v>250</v>
      </c>
      <c r="AI682">
        <v>1</v>
      </c>
      <c r="AJ682">
        <v>2.5169999999999999</v>
      </c>
      <c r="AK682">
        <v>2032</v>
      </c>
      <c r="AL682" s="61">
        <v>2.59</v>
      </c>
      <c r="AM682" s="61">
        <v>2.5169999999999999</v>
      </c>
      <c r="AN682" s="61">
        <v>2.59</v>
      </c>
      <c r="AO682">
        <v>1.1045453584485188</v>
      </c>
      <c r="AP682">
        <v>1.0258719904156592</v>
      </c>
      <c r="AQ682">
        <v>1.1331221453759597</v>
      </c>
      <c r="AR682" t="b">
        <v>0</v>
      </c>
      <c r="AS682">
        <v>44.125869575526167</v>
      </c>
      <c r="AT682">
        <v>220.62934787763083</v>
      </c>
      <c r="AU682">
        <v>132.3776087265785</v>
      </c>
    </row>
    <row r="683" spans="1:47" x14ac:dyDescent="0.25">
      <c r="A683" t="s">
        <v>346</v>
      </c>
      <c r="B683" t="s">
        <v>494</v>
      </c>
      <c r="C683" t="s">
        <v>319</v>
      </c>
      <c r="D683">
        <v>2026</v>
      </c>
      <c r="E683">
        <v>0</v>
      </c>
      <c r="F683">
        <v>10</v>
      </c>
      <c r="G683">
        <v>0</v>
      </c>
      <c r="H683">
        <v>0</v>
      </c>
      <c r="I683">
        <v>50</v>
      </c>
      <c r="J683">
        <v>250</v>
      </c>
      <c r="K683">
        <v>1</v>
      </c>
      <c r="L683">
        <v>1</v>
      </c>
      <c r="M683">
        <v>51</v>
      </c>
      <c r="N683">
        <v>0</v>
      </c>
      <c r="O683" t="s">
        <v>27</v>
      </c>
      <c r="P683" t="s">
        <v>443</v>
      </c>
      <c r="Q683">
        <v>2026</v>
      </c>
      <c r="R683">
        <v>2036</v>
      </c>
      <c r="S683" t="s">
        <v>444</v>
      </c>
      <c r="T683">
        <v>2032</v>
      </c>
      <c r="U683">
        <v>39.75</v>
      </c>
      <c r="V683">
        <v>1</v>
      </c>
      <c r="W683">
        <v>2032</v>
      </c>
      <c r="X683">
        <v>6</v>
      </c>
      <c r="Y683">
        <v>2032</v>
      </c>
      <c r="Z683">
        <v>1</v>
      </c>
      <c r="AA683">
        <v>50</v>
      </c>
      <c r="AB683">
        <v>250</v>
      </c>
      <c r="AC683">
        <v>50</v>
      </c>
      <c r="AD683">
        <v>250</v>
      </c>
      <c r="AE683">
        <v>0</v>
      </c>
      <c r="AF683">
        <v>0</v>
      </c>
      <c r="AG683">
        <v>50</v>
      </c>
      <c r="AH683">
        <v>250</v>
      </c>
      <c r="AI683">
        <v>1</v>
      </c>
      <c r="AJ683">
        <v>2.59</v>
      </c>
      <c r="AK683">
        <v>2033</v>
      </c>
      <c r="AL683" s="61">
        <v>2.6880000000000002</v>
      </c>
      <c r="AM683" s="61">
        <v>2.59</v>
      </c>
      <c r="AN683" s="61">
        <v>2.6880000000000002</v>
      </c>
      <c r="AO683">
        <v>1.1363841013749196</v>
      </c>
      <c r="AP683">
        <v>1.0268423936996114</v>
      </c>
      <c r="AQ683">
        <v>1.1668873708180043</v>
      </c>
      <c r="AR683" t="b">
        <v>0</v>
      </c>
      <c r="AS683">
        <v>42.849036891151975</v>
      </c>
      <c r="AT683">
        <v>214.24518445575987</v>
      </c>
      <c r="AU683">
        <v>128.54711067345593</v>
      </c>
    </row>
    <row r="684" spans="1:47" x14ac:dyDescent="0.25">
      <c r="A684" t="s">
        <v>346</v>
      </c>
      <c r="B684" t="s">
        <v>494</v>
      </c>
      <c r="C684" t="s">
        <v>319</v>
      </c>
      <c r="D684">
        <v>2026</v>
      </c>
      <c r="E684">
        <v>0</v>
      </c>
      <c r="F684">
        <v>10</v>
      </c>
      <c r="G684">
        <v>0</v>
      </c>
      <c r="H684">
        <v>0</v>
      </c>
      <c r="I684">
        <v>50</v>
      </c>
      <c r="J684">
        <v>250</v>
      </c>
      <c r="K684">
        <v>1</v>
      </c>
      <c r="L684">
        <v>1</v>
      </c>
      <c r="M684">
        <v>51</v>
      </c>
      <c r="N684">
        <v>0</v>
      </c>
      <c r="O684" t="s">
        <v>27</v>
      </c>
      <c r="P684" t="s">
        <v>443</v>
      </c>
      <c r="Q684">
        <v>2026</v>
      </c>
      <c r="R684">
        <v>2036</v>
      </c>
      <c r="S684" t="s">
        <v>444</v>
      </c>
      <c r="T684">
        <v>2033</v>
      </c>
      <c r="U684">
        <v>40.75</v>
      </c>
      <c r="V684">
        <v>1</v>
      </c>
      <c r="W684">
        <v>2033</v>
      </c>
      <c r="X684">
        <v>7</v>
      </c>
      <c r="Y684">
        <v>2033</v>
      </c>
      <c r="Z684">
        <v>1</v>
      </c>
      <c r="AA684">
        <v>50</v>
      </c>
      <c r="AB684">
        <v>250</v>
      </c>
      <c r="AC684">
        <v>50</v>
      </c>
      <c r="AD684">
        <v>250</v>
      </c>
      <c r="AE684">
        <v>0</v>
      </c>
      <c r="AF684">
        <v>0</v>
      </c>
      <c r="AG684">
        <v>50</v>
      </c>
      <c r="AH684">
        <v>250</v>
      </c>
      <c r="AI684">
        <v>1</v>
      </c>
      <c r="AJ684">
        <v>2.6880000000000002</v>
      </c>
      <c r="AK684">
        <v>2034</v>
      </c>
      <c r="AL684" s="61">
        <v>2.7519999999999998</v>
      </c>
      <c r="AM684" s="61">
        <v>2.6880000000000002</v>
      </c>
      <c r="AN684" s="61">
        <v>2.7519999999999998</v>
      </c>
      <c r="AO684">
        <v>1.1725143659072164</v>
      </c>
      <c r="AP684">
        <v>1.0274954447000768</v>
      </c>
      <c r="AQ684">
        <v>1.2047531698150638</v>
      </c>
      <c r="AR684" t="b">
        <v>0</v>
      </c>
      <c r="AS684">
        <v>41.502277190667428</v>
      </c>
      <c r="AT684">
        <v>207.51138595333714</v>
      </c>
      <c r="AU684">
        <v>124.50683157200228</v>
      </c>
    </row>
    <row r="685" spans="1:47" x14ac:dyDescent="0.25">
      <c r="A685" t="s">
        <v>346</v>
      </c>
      <c r="B685" t="s">
        <v>494</v>
      </c>
      <c r="C685" t="s">
        <v>319</v>
      </c>
      <c r="D685">
        <v>2026</v>
      </c>
      <c r="E685">
        <v>0</v>
      </c>
      <c r="F685">
        <v>10</v>
      </c>
      <c r="G685">
        <v>0</v>
      </c>
      <c r="H685">
        <v>0</v>
      </c>
      <c r="I685">
        <v>50</v>
      </c>
      <c r="J685">
        <v>250</v>
      </c>
      <c r="K685">
        <v>1</v>
      </c>
      <c r="L685">
        <v>1</v>
      </c>
      <c r="M685">
        <v>51</v>
      </c>
      <c r="N685">
        <v>0</v>
      </c>
      <c r="O685" t="s">
        <v>27</v>
      </c>
      <c r="P685" t="s">
        <v>443</v>
      </c>
      <c r="Q685">
        <v>2026</v>
      </c>
      <c r="R685">
        <v>2036</v>
      </c>
      <c r="S685" t="s">
        <v>444</v>
      </c>
      <c r="T685">
        <v>2034</v>
      </c>
      <c r="U685">
        <v>41.75</v>
      </c>
      <c r="V685">
        <v>1</v>
      </c>
      <c r="W685">
        <v>2034</v>
      </c>
      <c r="X685">
        <v>8</v>
      </c>
      <c r="Y685">
        <v>2034</v>
      </c>
      <c r="Z685">
        <v>1</v>
      </c>
      <c r="AA685">
        <v>50</v>
      </c>
      <c r="AB685">
        <v>250</v>
      </c>
      <c r="AC685">
        <v>50</v>
      </c>
      <c r="AD685">
        <v>250</v>
      </c>
      <c r="AE685">
        <v>0</v>
      </c>
      <c r="AF685">
        <v>0</v>
      </c>
      <c r="AG685">
        <v>50</v>
      </c>
      <c r="AH685">
        <v>250</v>
      </c>
      <c r="AI685">
        <v>1</v>
      </c>
      <c r="AJ685">
        <v>2.7519999999999998</v>
      </c>
      <c r="AK685">
        <v>2035</v>
      </c>
      <c r="AL685" s="61">
        <v>2.8420000000000001</v>
      </c>
      <c r="AM685" s="61">
        <v>2.7519999999999998</v>
      </c>
      <c r="AN685" s="61">
        <v>2.8420000000000001</v>
      </c>
      <c r="AO685">
        <v>1.2092942481281721</v>
      </c>
      <c r="AP685">
        <v>1.0283854649181425</v>
      </c>
      <c r="AQ685">
        <v>1.2436206275841259</v>
      </c>
      <c r="AR685" t="b">
        <v>0</v>
      </c>
      <c r="AS685">
        <v>40.205187089193487</v>
      </c>
      <c r="AT685">
        <v>201.02593544596743</v>
      </c>
      <c r="AU685">
        <v>120.61556126758046</v>
      </c>
    </row>
    <row r="686" spans="1:47" x14ac:dyDescent="0.25">
      <c r="A686" t="s">
        <v>346</v>
      </c>
      <c r="B686" t="s">
        <v>494</v>
      </c>
      <c r="C686" t="s">
        <v>319</v>
      </c>
      <c r="D686">
        <v>2026</v>
      </c>
      <c r="E686">
        <v>0</v>
      </c>
      <c r="F686">
        <v>10</v>
      </c>
      <c r="G686">
        <v>0</v>
      </c>
      <c r="H686">
        <v>0</v>
      </c>
      <c r="I686">
        <v>50</v>
      </c>
      <c r="J686">
        <v>250</v>
      </c>
      <c r="K686">
        <v>1</v>
      </c>
      <c r="L686">
        <v>1</v>
      </c>
      <c r="M686">
        <v>51</v>
      </c>
      <c r="N686">
        <v>0</v>
      </c>
      <c r="O686" t="s">
        <v>27</v>
      </c>
      <c r="P686" t="s">
        <v>443</v>
      </c>
      <c r="Q686">
        <v>2026</v>
      </c>
      <c r="R686">
        <v>2036</v>
      </c>
      <c r="S686" t="s">
        <v>444</v>
      </c>
      <c r="T686">
        <v>2035</v>
      </c>
      <c r="U686">
        <v>42.75</v>
      </c>
      <c r="V686">
        <v>1</v>
      </c>
      <c r="W686">
        <v>2035</v>
      </c>
      <c r="X686">
        <v>9</v>
      </c>
      <c r="Y686">
        <v>2035</v>
      </c>
      <c r="Z686">
        <v>1</v>
      </c>
      <c r="AA686">
        <v>50</v>
      </c>
      <c r="AB686">
        <v>250</v>
      </c>
      <c r="AC686">
        <v>50</v>
      </c>
      <c r="AD686">
        <v>250</v>
      </c>
      <c r="AE686">
        <v>0</v>
      </c>
      <c r="AF686">
        <v>0</v>
      </c>
      <c r="AG686">
        <v>50</v>
      </c>
      <c r="AH686">
        <v>250</v>
      </c>
      <c r="AI686">
        <v>1</v>
      </c>
      <c r="AJ686">
        <v>2.8420000000000001</v>
      </c>
      <c r="AK686">
        <v>2036</v>
      </c>
      <c r="AL686" s="61">
        <v>2.944</v>
      </c>
      <c r="AM686" s="61">
        <v>2.8420000000000001</v>
      </c>
      <c r="AN686" s="61">
        <v>2.944</v>
      </c>
      <c r="AO686">
        <v>1.2513076834571593</v>
      </c>
      <c r="AP686">
        <v>1.0294008580614105</v>
      </c>
      <c r="AQ686">
        <v>1.2880972030496356</v>
      </c>
      <c r="AR686" t="b">
        <v>0</v>
      </c>
      <c r="AS686">
        <v>38.816946331086243</v>
      </c>
      <c r="AT686">
        <v>194.0847316554312</v>
      </c>
      <c r="AU686">
        <v>116.45083899325871</v>
      </c>
    </row>
    <row r="687" spans="1:47" x14ac:dyDescent="0.25">
      <c r="A687" t="s">
        <v>346</v>
      </c>
      <c r="B687" t="s">
        <v>494</v>
      </c>
      <c r="C687" t="s">
        <v>319</v>
      </c>
      <c r="D687">
        <v>2026</v>
      </c>
      <c r="E687">
        <v>0</v>
      </c>
      <c r="M687">
        <v>51</v>
      </c>
      <c r="Q687">
        <v>2026</v>
      </c>
      <c r="R687">
        <v>2036</v>
      </c>
      <c r="T687">
        <v>2036</v>
      </c>
      <c r="U687">
        <v>43.75</v>
      </c>
      <c r="W687">
        <v>2036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L687" s="61"/>
      <c r="AS687">
        <v>0</v>
      </c>
      <c r="AT687">
        <v>0</v>
      </c>
      <c r="AU687">
        <v>0</v>
      </c>
    </row>
    <row r="688" spans="1:47" x14ac:dyDescent="0.25">
      <c r="A688" t="s">
        <v>373</v>
      </c>
      <c r="B688" t="s">
        <v>495</v>
      </c>
      <c r="C688" t="s">
        <v>320</v>
      </c>
      <c r="D688">
        <v>2026</v>
      </c>
      <c r="E688">
        <v>0</v>
      </c>
      <c r="F688">
        <v>15</v>
      </c>
      <c r="G688">
        <v>0</v>
      </c>
      <c r="H688">
        <v>0</v>
      </c>
      <c r="I688">
        <v>30</v>
      </c>
      <c r="J688">
        <v>45</v>
      </c>
      <c r="K688">
        <v>4</v>
      </c>
      <c r="L688">
        <v>2</v>
      </c>
      <c r="M688">
        <v>52</v>
      </c>
      <c r="N688">
        <v>0</v>
      </c>
      <c r="O688" t="s">
        <v>27</v>
      </c>
      <c r="P688" t="s">
        <v>443</v>
      </c>
      <c r="Q688">
        <v>2026</v>
      </c>
      <c r="R688">
        <v>2041</v>
      </c>
      <c r="S688" t="s">
        <v>444</v>
      </c>
      <c r="T688">
        <v>2026</v>
      </c>
      <c r="U688">
        <v>33.75</v>
      </c>
      <c r="V688">
        <v>1</v>
      </c>
      <c r="W688">
        <v>2026</v>
      </c>
      <c r="X688">
        <v>0</v>
      </c>
      <c r="Y688">
        <v>2026</v>
      </c>
      <c r="Z688">
        <v>1</v>
      </c>
      <c r="AA688">
        <v>120</v>
      </c>
      <c r="AB688">
        <v>180</v>
      </c>
      <c r="AC688">
        <v>120</v>
      </c>
      <c r="AD688">
        <v>180</v>
      </c>
      <c r="AE688">
        <v>0</v>
      </c>
      <c r="AF688">
        <v>0</v>
      </c>
      <c r="AG688">
        <v>120</v>
      </c>
      <c r="AH688">
        <v>180</v>
      </c>
      <c r="AI688">
        <v>1</v>
      </c>
      <c r="AK688">
        <v>2027</v>
      </c>
      <c r="AL688" s="61">
        <v>2.4329999999999998</v>
      </c>
      <c r="AM688" s="61">
        <v>0</v>
      </c>
      <c r="AN688" s="61">
        <v>2.4329999999999998</v>
      </c>
      <c r="AO688">
        <v>1</v>
      </c>
      <c r="AP688">
        <v>1.023385968321771</v>
      </c>
      <c r="AQ688">
        <v>1.023385968321771</v>
      </c>
      <c r="AR688" t="b">
        <v>1</v>
      </c>
      <c r="AS688">
        <v>120</v>
      </c>
      <c r="AT688">
        <v>180</v>
      </c>
      <c r="AU688">
        <v>150</v>
      </c>
    </row>
    <row r="689" spans="1:47" x14ac:dyDescent="0.25">
      <c r="A689" t="s">
        <v>373</v>
      </c>
      <c r="B689" t="s">
        <v>495</v>
      </c>
      <c r="C689" t="s">
        <v>320</v>
      </c>
      <c r="D689">
        <v>2026</v>
      </c>
      <c r="E689">
        <v>0</v>
      </c>
      <c r="F689">
        <v>15</v>
      </c>
      <c r="G689">
        <v>0</v>
      </c>
      <c r="H689">
        <v>0</v>
      </c>
      <c r="I689">
        <v>30</v>
      </c>
      <c r="J689">
        <v>45</v>
      </c>
      <c r="K689">
        <v>4</v>
      </c>
      <c r="L689">
        <v>2</v>
      </c>
      <c r="M689">
        <v>52</v>
      </c>
      <c r="N689">
        <v>0</v>
      </c>
      <c r="O689" t="s">
        <v>27</v>
      </c>
      <c r="P689" t="s">
        <v>443</v>
      </c>
      <c r="Q689">
        <v>2026</v>
      </c>
      <c r="R689">
        <v>2041</v>
      </c>
      <c r="S689" t="s">
        <v>444</v>
      </c>
      <c r="T689">
        <v>2027</v>
      </c>
      <c r="U689">
        <v>34.75</v>
      </c>
      <c r="V689">
        <v>1</v>
      </c>
      <c r="W689">
        <v>2027</v>
      </c>
      <c r="X689">
        <v>1</v>
      </c>
      <c r="Y689">
        <v>2027</v>
      </c>
      <c r="Z689">
        <v>1</v>
      </c>
      <c r="AA689">
        <v>120</v>
      </c>
      <c r="AB689">
        <v>180</v>
      </c>
      <c r="AC689">
        <v>120</v>
      </c>
      <c r="AD689">
        <v>180</v>
      </c>
      <c r="AE689">
        <v>0</v>
      </c>
      <c r="AF689">
        <v>0</v>
      </c>
      <c r="AG689">
        <v>120</v>
      </c>
      <c r="AH689">
        <v>180</v>
      </c>
      <c r="AI689">
        <v>1</v>
      </c>
      <c r="AJ689">
        <v>2.4329999999999998</v>
      </c>
      <c r="AK689">
        <v>2028</v>
      </c>
      <c r="AL689" s="61">
        <v>2.4220000000000002</v>
      </c>
      <c r="AM689" s="61">
        <v>2.4329999999999998</v>
      </c>
      <c r="AN689" s="61">
        <v>2.4220000000000002</v>
      </c>
      <c r="AO689">
        <v>1</v>
      </c>
      <c r="AP689">
        <v>1.0242242189602202</v>
      </c>
      <c r="AQ689">
        <v>1.0242242189602202</v>
      </c>
      <c r="AR689" t="b">
        <v>0</v>
      </c>
      <c r="AS689">
        <v>117.16184579370963</v>
      </c>
      <c r="AT689">
        <v>175.74276869056445</v>
      </c>
      <c r="AU689">
        <v>146.45230724213704</v>
      </c>
    </row>
    <row r="690" spans="1:47" x14ac:dyDescent="0.25">
      <c r="A690" t="s">
        <v>373</v>
      </c>
      <c r="B690" t="s">
        <v>495</v>
      </c>
      <c r="C690" t="s">
        <v>320</v>
      </c>
      <c r="D690">
        <v>2026</v>
      </c>
      <c r="E690">
        <v>0</v>
      </c>
      <c r="F690">
        <v>15</v>
      </c>
      <c r="G690">
        <v>0</v>
      </c>
      <c r="H690">
        <v>0</v>
      </c>
      <c r="I690">
        <v>30</v>
      </c>
      <c r="J690">
        <v>45</v>
      </c>
      <c r="K690">
        <v>4</v>
      </c>
      <c r="L690">
        <v>2</v>
      </c>
      <c r="M690">
        <v>52</v>
      </c>
      <c r="N690">
        <v>0</v>
      </c>
      <c r="O690" t="s">
        <v>27</v>
      </c>
      <c r="P690" t="s">
        <v>443</v>
      </c>
      <c r="Q690">
        <v>2026</v>
      </c>
      <c r="R690">
        <v>2041</v>
      </c>
      <c r="S690" t="s">
        <v>444</v>
      </c>
      <c r="T690">
        <v>2028</v>
      </c>
      <c r="U690">
        <v>35.75</v>
      </c>
      <c r="V690">
        <v>1</v>
      </c>
      <c r="W690">
        <v>2028</v>
      </c>
      <c r="X690">
        <v>2</v>
      </c>
      <c r="Y690">
        <v>2028</v>
      </c>
      <c r="Z690">
        <v>1</v>
      </c>
      <c r="AA690">
        <v>120</v>
      </c>
      <c r="AB690">
        <v>180</v>
      </c>
      <c r="AC690">
        <v>120</v>
      </c>
      <c r="AD690">
        <v>180</v>
      </c>
      <c r="AE690">
        <v>0</v>
      </c>
      <c r="AF690">
        <v>0</v>
      </c>
      <c r="AG690">
        <v>120</v>
      </c>
      <c r="AH690">
        <v>180</v>
      </c>
      <c r="AI690">
        <v>1</v>
      </c>
      <c r="AJ690">
        <v>2.4220000000000002</v>
      </c>
      <c r="AK690">
        <v>2029</v>
      </c>
      <c r="AL690" s="61">
        <v>2.4209999999999998</v>
      </c>
      <c r="AM690" s="61">
        <v>2.4220000000000002</v>
      </c>
      <c r="AN690" s="61">
        <v>2.4209999999999998</v>
      </c>
      <c r="AO690">
        <v>1.0242199999999999</v>
      </c>
      <c r="AP690">
        <v>1.0242103835598433</v>
      </c>
      <c r="AQ690">
        <v>1.0490167590496626</v>
      </c>
      <c r="AR690" t="b">
        <v>0</v>
      </c>
      <c r="AS690">
        <v>114.39283401793483</v>
      </c>
      <c r="AT690">
        <v>171.58925102690225</v>
      </c>
      <c r="AU690">
        <v>142.99104252241852</v>
      </c>
    </row>
    <row r="691" spans="1:47" x14ac:dyDescent="0.25">
      <c r="A691" t="s">
        <v>373</v>
      </c>
      <c r="B691" t="s">
        <v>495</v>
      </c>
      <c r="C691" t="s">
        <v>320</v>
      </c>
      <c r="D691">
        <v>2026</v>
      </c>
      <c r="E691">
        <v>0</v>
      </c>
      <c r="F691">
        <v>15</v>
      </c>
      <c r="G691">
        <v>0</v>
      </c>
      <c r="H691">
        <v>0</v>
      </c>
      <c r="I691">
        <v>30</v>
      </c>
      <c r="J691">
        <v>45</v>
      </c>
      <c r="K691">
        <v>4</v>
      </c>
      <c r="L691">
        <v>2</v>
      </c>
      <c r="M691">
        <v>52</v>
      </c>
      <c r="N691">
        <v>0</v>
      </c>
      <c r="O691" t="s">
        <v>27</v>
      </c>
      <c r="P691" t="s">
        <v>443</v>
      </c>
      <c r="Q691">
        <v>2026</v>
      </c>
      <c r="R691">
        <v>2041</v>
      </c>
      <c r="S691" t="s">
        <v>444</v>
      </c>
      <c r="T691">
        <v>2029</v>
      </c>
      <c r="U691">
        <v>36.75</v>
      </c>
      <c r="V691">
        <v>1</v>
      </c>
      <c r="W691">
        <v>2029</v>
      </c>
      <c r="X691">
        <v>3</v>
      </c>
      <c r="Y691">
        <v>2029</v>
      </c>
      <c r="Z691">
        <v>1</v>
      </c>
      <c r="AA691">
        <v>120</v>
      </c>
      <c r="AB691">
        <v>180</v>
      </c>
      <c r="AC691">
        <v>120</v>
      </c>
      <c r="AD691">
        <v>180</v>
      </c>
      <c r="AE691">
        <v>0</v>
      </c>
      <c r="AF691">
        <v>0</v>
      </c>
      <c r="AG691">
        <v>120</v>
      </c>
      <c r="AH691">
        <v>180</v>
      </c>
      <c r="AI691">
        <v>1</v>
      </c>
      <c r="AJ691">
        <v>2.4209999999999998</v>
      </c>
      <c r="AK691">
        <v>2030</v>
      </c>
      <c r="AL691" s="61">
        <v>2.4670000000000001</v>
      </c>
      <c r="AM691" s="61">
        <v>2.4209999999999998</v>
      </c>
      <c r="AN691" s="61">
        <v>2.4670000000000001</v>
      </c>
      <c r="AO691">
        <v>1.0490061241000002</v>
      </c>
      <c r="AP691">
        <v>1.0246523523547908</v>
      </c>
      <c r="AQ691">
        <v>1.0748665926936467</v>
      </c>
      <c r="AR691" t="b">
        <v>0</v>
      </c>
      <c r="AS691">
        <v>111.64176169926031</v>
      </c>
      <c r="AT691">
        <v>167.46264254889047</v>
      </c>
      <c r="AU691">
        <v>139.55220212407539</v>
      </c>
    </row>
    <row r="692" spans="1:47" x14ac:dyDescent="0.25">
      <c r="A692" t="s">
        <v>373</v>
      </c>
      <c r="B692" t="s">
        <v>495</v>
      </c>
      <c r="C692" t="s">
        <v>320</v>
      </c>
      <c r="D692">
        <v>2026</v>
      </c>
      <c r="E692">
        <v>0</v>
      </c>
      <c r="F692">
        <v>15</v>
      </c>
      <c r="G692">
        <v>0</v>
      </c>
      <c r="H692">
        <v>0</v>
      </c>
      <c r="I692">
        <v>30</v>
      </c>
      <c r="J692">
        <v>45</v>
      </c>
      <c r="K692">
        <v>4</v>
      </c>
      <c r="L692">
        <v>2</v>
      </c>
      <c r="M692">
        <v>52</v>
      </c>
      <c r="N692">
        <v>0</v>
      </c>
      <c r="O692" t="s">
        <v>27</v>
      </c>
      <c r="P692" t="s">
        <v>443</v>
      </c>
      <c r="Q692">
        <v>2026</v>
      </c>
      <c r="R692">
        <v>2041</v>
      </c>
      <c r="S692" t="s">
        <v>444</v>
      </c>
      <c r="T692">
        <v>2030</v>
      </c>
      <c r="U692">
        <v>37.75</v>
      </c>
      <c r="V692">
        <v>1</v>
      </c>
      <c r="W692">
        <v>2030</v>
      </c>
      <c r="X692">
        <v>4</v>
      </c>
      <c r="Y692">
        <v>2030</v>
      </c>
      <c r="Z692">
        <v>1</v>
      </c>
      <c r="AA692">
        <v>120</v>
      </c>
      <c r="AB692">
        <v>180</v>
      </c>
      <c r="AC692">
        <v>120</v>
      </c>
      <c r="AD692">
        <v>180</v>
      </c>
      <c r="AE692">
        <v>0</v>
      </c>
      <c r="AF692">
        <v>0</v>
      </c>
      <c r="AG692">
        <v>120</v>
      </c>
      <c r="AH692">
        <v>180</v>
      </c>
      <c r="AI692">
        <v>1</v>
      </c>
      <c r="AJ692">
        <v>2.4670000000000001</v>
      </c>
      <c r="AK692">
        <v>2031</v>
      </c>
      <c r="AL692" s="61">
        <v>2.5169999999999999</v>
      </c>
      <c r="AM692" s="61">
        <v>2.4670000000000001</v>
      </c>
      <c r="AN692" s="61">
        <v>2.5169999999999999</v>
      </c>
      <c r="AO692">
        <v>1.0758508410815628</v>
      </c>
      <c r="AP692">
        <v>1.0251508174189523</v>
      </c>
      <c r="AQ692">
        <v>1.1029093691556315</v>
      </c>
      <c r="AR692" t="b">
        <v>0</v>
      </c>
      <c r="AS692">
        <v>108.80313773367429</v>
      </c>
      <c r="AT692">
        <v>163.20470660051143</v>
      </c>
      <c r="AU692">
        <v>136.00392216709287</v>
      </c>
    </row>
    <row r="693" spans="1:47" x14ac:dyDescent="0.25">
      <c r="A693" t="s">
        <v>373</v>
      </c>
      <c r="B693" t="s">
        <v>495</v>
      </c>
      <c r="C693" t="s">
        <v>320</v>
      </c>
      <c r="D693">
        <v>2026</v>
      </c>
      <c r="E693">
        <v>0</v>
      </c>
      <c r="F693">
        <v>15</v>
      </c>
      <c r="G693">
        <v>0</v>
      </c>
      <c r="H693">
        <v>0</v>
      </c>
      <c r="I693">
        <v>30</v>
      </c>
      <c r="J693">
        <v>45</v>
      </c>
      <c r="K693">
        <v>4</v>
      </c>
      <c r="L693">
        <v>2</v>
      </c>
      <c r="M693">
        <v>52</v>
      </c>
      <c r="N693">
        <v>0</v>
      </c>
      <c r="O693" t="s">
        <v>27</v>
      </c>
      <c r="P693" t="s">
        <v>443</v>
      </c>
      <c r="Q693">
        <v>2026</v>
      </c>
      <c r="R693">
        <v>2041</v>
      </c>
      <c r="S693" t="s">
        <v>444</v>
      </c>
      <c r="T693">
        <v>2031</v>
      </c>
      <c r="U693">
        <v>38.75</v>
      </c>
      <c r="V693">
        <v>1</v>
      </c>
      <c r="W693">
        <v>2031</v>
      </c>
      <c r="X693">
        <v>5</v>
      </c>
      <c r="Y693">
        <v>2031</v>
      </c>
      <c r="Z693">
        <v>1</v>
      </c>
      <c r="AA693">
        <v>120</v>
      </c>
      <c r="AB693">
        <v>180</v>
      </c>
      <c r="AC693">
        <v>120</v>
      </c>
      <c r="AD693">
        <v>180</v>
      </c>
      <c r="AE693">
        <v>0</v>
      </c>
      <c r="AF693">
        <v>0</v>
      </c>
      <c r="AG693">
        <v>120</v>
      </c>
      <c r="AH693">
        <v>180</v>
      </c>
      <c r="AI693">
        <v>1</v>
      </c>
      <c r="AJ693">
        <v>2.5169999999999999</v>
      </c>
      <c r="AK693">
        <v>2032</v>
      </c>
      <c r="AL693" s="61">
        <v>2.59</v>
      </c>
      <c r="AM693" s="61">
        <v>2.5169999999999999</v>
      </c>
      <c r="AN693" s="61">
        <v>2.59</v>
      </c>
      <c r="AO693">
        <v>1.1045453584485188</v>
      </c>
      <c r="AP693">
        <v>1.0258719904156592</v>
      </c>
      <c r="AQ693">
        <v>1.1331221453759597</v>
      </c>
      <c r="AR693" t="b">
        <v>0</v>
      </c>
      <c r="AS693">
        <v>105.90208698126281</v>
      </c>
      <c r="AT693">
        <v>158.85313047189422</v>
      </c>
      <c r="AU693">
        <v>132.3776087265785</v>
      </c>
    </row>
    <row r="694" spans="1:47" x14ac:dyDescent="0.25">
      <c r="A694" t="s">
        <v>373</v>
      </c>
      <c r="B694" t="s">
        <v>495</v>
      </c>
      <c r="C694" t="s">
        <v>320</v>
      </c>
      <c r="D694">
        <v>2026</v>
      </c>
      <c r="E694">
        <v>0</v>
      </c>
      <c r="F694">
        <v>15</v>
      </c>
      <c r="G694">
        <v>0</v>
      </c>
      <c r="H694">
        <v>0</v>
      </c>
      <c r="I694">
        <v>30</v>
      </c>
      <c r="J694">
        <v>45</v>
      </c>
      <c r="K694">
        <v>4</v>
      </c>
      <c r="L694">
        <v>2</v>
      </c>
      <c r="M694">
        <v>52</v>
      </c>
      <c r="N694">
        <v>0</v>
      </c>
      <c r="O694" t="s">
        <v>27</v>
      </c>
      <c r="P694" t="s">
        <v>443</v>
      </c>
      <c r="Q694">
        <v>2026</v>
      </c>
      <c r="R694">
        <v>2041</v>
      </c>
      <c r="S694" t="s">
        <v>444</v>
      </c>
      <c r="T694">
        <v>2032</v>
      </c>
      <c r="U694">
        <v>39.75</v>
      </c>
      <c r="V694">
        <v>1</v>
      </c>
      <c r="W694">
        <v>2032</v>
      </c>
      <c r="X694">
        <v>6</v>
      </c>
      <c r="Y694">
        <v>2032</v>
      </c>
      <c r="Z694">
        <v>1</v>
      </c>
      <c r="AA694">
        <v>120</v>
      </c>
      <c r="AB694">
        <v>180</v>
      </c>
      <c r="AC694">
        <v>120</v>
      </c>
      <c r="AD694">
        <v>180</v>
      </c>
      <c r="AE694">
        <v>0</v>
      </c>
      <c r="AF694">
        <v>0</v>
      </c>
      <c r="AG694">
        <v>120</v>
      </c>
      <c r="AH694">
        <v>180</v>
      </c>
      <c r="AI694">
        <v>1</v>
      </c>
      <c r="AJ694">
        <v>2.59</v>
      </c>
      <c r="AK694">
        <v>2033</v>
      </c>
      <c r="AL694" s="61">
        <v>2.6880000000000002</v>
      </c>
      <c r="AM694" s="61">
        <v>2.59</v>
      </c>
      <c r="AN694" s="61">
        <v>2.6880000000000002</v>
      </c>
      <c r="AO694">
        <v>1.1363841013749196</v>
      </c>
      <c r="AP694">
        <v>1.0268423936996114</v>
      </c>
      <c r="AQ694">
        <v>1.1668873708180043</v>
      </c>
      <c r="AR694" t="b">
        <v>0</v>
      </c>
      <c r="AS694">
        <v>102.83768853876474</v>
      </c>
      <c r="AT694">
        <v>154.25653280814711</v>
      </c>
      <c r="AU694">
        <v>128.54711067345593</v>
      </c>
    </row>
    <row r="695" spans="1:47" x14ac:dyDescent="0.25">
      <c r="A695" t="s">
        <v>373</v>
      </c>
      <c r="B695" t="s">
        <v>495</v>
      </c>
      <c r="C695" t="s">
        <v>320</v>
      </c>
      <c r="D695">
        <v>2026</v>
      </c>
      <c r="E695">
        <v>0</v>
      </c>
      <c r="F695">
        <v>15</v>
      </c>
      <c r="G695">
        <v>0</v>
      </c>
      <c r="H695">
        <v>0</v>
      </c>
      <c r="I695">
        <v>30</v>
      </c>
      <c r="J695">
        <v>45</v>
      </c>
      <c r="K695">
        <v>4</v>
      </c>
      <c r="L695">
        <v>2</v>
      </c>
      <c r="M695">
        <v>52</v>
      </c>
      <c r="N695">
        <v>0</v>
      </c>
      <c r="O695" t="s">
        <v>27</v>
      </c>
      <c r="P695" t="s">
        <v>443</v>
      </c>
      <c r="Q695">
        <v>2026</v>
      </c>
      <c r="R695">
        <v>2041</v>
      </c>
      <c r="S695" t="s">
        <v>444</v>
      </c>
      <c r="T695">
        <v>2033</v>
      </c>
      <c r="U695">
        <v>40.75</v>
      </c>
      <c r="V695">
        <v>1</v>
      </c>
      <c r="W695">
        <v>2033</v>
      </c>
      <c r="X695">
        <v>7</v>
      </c>
      <c r="Y695">
        <v>2033</v>
      </c>
      <c r="Z695">
        <v>1</v>
      </c>
      <c r="AA695">
        <v>120</v>
      </c>
      <c r="AB695">
        <v>180</v>
      </c>
      <c r="AC695">
        <v>120</v>
      </c>
      <c r="AD695">
        <v>180</v>
      </c>
      <c r="AE695">
        <v>0</v>
      </c>
      <c r="AF695">
        <v>0</v>
      </c>
      <c r="AG695">
        <v>120</v>
      </c>
      <c r="AH695">
        <v>180</v>
      </c>
      <c r="AI695">
        <v>1</v>
      </c>
      <c r="AJ695">
        <v>2.6880000000000002</v>
      </c>
      <c r="AK695">
        <v>2034</v>
      </c>
      <c r="AL695" s="61">
        <v>2.7519999999999998</v>
      </c>
      <c r="AM695" s="61">
        <v>2.6880000000000002</v>
      </c>
      <c r="AN695" s="61">
        <v>2.7519999999999998</v>
      </c>
      <c r="AO695">
        <v>1.1725143659072164</v>
      </c>
      <c r="AP695">
        <v>1.0274954447000768</v>
      </c>
      <c r="AQ695">
        <v>1.2047531698150638</v>
      </c>
      <c r="AR695" t="b">
        <v>0</v>
      </c>
      <c r="AS695">
        <v>99.605465257601821</v>
      </c>
      <c r="AT695">
        <v>149.40819788640275</v>
      </c>
      <c r="AU695">
        <v>124.50683157200228</v>
      </c>
    </row>
    <row r="696" spans="1:47" x14ac:dyDescent="0.25">
      <c r="A696" t="s">
        <v>373</v>
      </c>
      <c r="B696" t="s">
        <v>495</v>
      </c>
      <c r="C696" t="s">
        <v>320</v>
      </c>
      <c r="D696">
        <v>2026</v>
      </c>
      <c r="E696">
        <v>0</v>
      </c>
      <c r="F696">
        <v>15</v>
      </c>
      <c r="G696">
        <v>0</v>
      </c>
      <c r="H696">
        <v>0</v>
      </c>
      <c r="I696">
        <v>30</v>
      </c>
      <c r="J696">
        <v>45</v>
      </c>
      <c r="K696">
        <v>4</v>
      </c>
      <c r="L696">
        <v>2</v>
      </c>
      <c r="M696">
        <v>52</v>
      </c>
      <c r="N696">
        <v>0</v>
      </c>
      <c r="O696" t="s">
        <v>27</v>
      </c>
      <c r="P696" t="s">
        <v>443</v>
      </c>
      <c r="Q696">
        <v>2026</v>
      </c>
      <c r="R696">
        <v>2041</v>
      </c>
      <c r="S696" t="s">
        <v>444</v>
      </c>
      <c r="T696">
        <v>2034</v>
      </c>
      <c r="U696">
        <v>41.75</v>
      </c>
      <c r="V696">
        <v>1</v>
      </c>
      <c r="W696">
        <v>2034</v>
      </c>
      <c r="X696">
        <v>8</v>
      </c>
      <c r="Y696">
        <v>2034</v>
      </c>
      <c r="Z696">
        <v>1</v>
      </c>
      <c r="AA696">
        <v>120</v>
      </c>
      <c r="AB696">
        <v>180</v>
      </c>
      <c r="AC696">
        <v>120</v>
      </c>
      <c r="AD696">
        <v>180</v>
      </c>
      <c r="AE696">
        <v>0</v>
      </c>
      <c r="AF696">
        <v>0</v>
      </c>
      <c r="AG696">
        <v>120</v>
      </c>
      <c r="AH696">
        <v>180</v>
      </c>
      <c r="AI696">
        <v>1</v>
      </c>
      <c r="AJ696">
        <v>2.7519999999999998</v>
      </c>
      <c r="AK696">
        <v>2035</v>
      </c>
      <c r="AL696" s="61">
        <v>2.8420000000000001</v>
      </c>
      <c r="AM696" s="61">
        <v>2.7519999999999998</v>
      </c>
      <c r="AN696" s="61">
        <v>2.8420000000000001</v>
      </c>
      <c r="AO696">
        <v>1.2092942481281721</v>
      </c>
      <c r="AP696">
        <v>1.0283854649181425</v>
      </c>
      <c r="AQ696">
        <v>1.2436206275841259</v>
      </c>
      <c r="AR696" t="b">
        <v>0</v>
      </c>
      <c r="AS696">
        <v>96.492449014064363</v>
      </c>
      <c r="AT696">
        <v>144.73867352109656</v>
      </c>
      <c r="AU696">
        <v>120.61556126758046</v>
      </c>
    </row>
    <row r="697" spans="1:47" x14ac:dyDescent="0.25">
      <c r="A697" t="s">
        <v>373</v>
      </c>
      <c r="B697" t="s">
        <v>495</v>
      </c>
      <c r="C697" t="s">
        <v>320</v>
      </c>
      <c r="D697">
        <v>2026</v>
      </c>
      <c r="E697">
        <v>0</v>
      </c>
      <c r="F697">
        <v>15</v>
      </c>
      <c r="G697">
        <v>0</v>
      </c>
      <c r="H697">
        <v>0</v>
      </c>
      <c r="I697">
        <v>30</v>
      </c>
      <c r="J697">
        <v>45</v>
      </c>
      <c r="K697">
        <v>4</v>
      </c>
      <c r="L697">
        <v>2</v>
      </c>
      <c r="M697">
        <v>52</v>
      </c>
      <c r="N697">
        <v>0</v>
      </c>
      <c r="O697" t="s">
        <v>27</v>
      </c>
      <c r="P697" t="s">
        <v>443</v>
      </c>
      <c r="Q697">
        <v>2026</v>
      </c>
      <c r="R697">
        <v>2041</v>
      </c>
      <c r="S697" t="s">
        <v>444</v>
      </c>
      <c r="T697">
        <v>2035</v>
      </c>
      <c r="U697">
        <v>42.75</v>
      </c>
      <c r="V697">
        <v>1</v>
      </c>
      <c r="W697">
        <v>2035</v>
      </c>
      <c r="X697">
        <v>9</v>
      </c>
      <c r="Y697">
        <v>2035</v>
      </c>
      <c r="Z697">
        <v>1</v>
      </c>
      <c r="AA697">
        <v>120</v>
      </c>
      <c r="AB697">
        <v>180</v>
      </c>
      <c r="AC697">
        <v>120</v>
      </c>
      <c r="AD697">
        <v>180</v>
      </c>
      <c r="AE697">
        <v>0</v>
      </c>
      <c r="AF697">
        <v>0</v>
      </c>
      <c r="AG697">
        <v>120</v>
      </c>
      <c r="AH697">
        <v>180</v>
      </c>
      <c r="AI697">
        <v>1</v>
      </c>
      <c r="AJ697">
        <v>2.8420000000000001</v>
      </c>
      <c r="AK697">
        <v>2036</v>
      </c>
      <c r="AL697" s="61">
        <v>2.944</v>
      </c>
      <c r="AM697" s="61">
        <v>2.8420000000000001</v>
      </c>
      <c r="AN697" s="61">
        <v>2.944</v>
      </c>
      <c r="AO697">
        <v>1.2513076834571593</v>
      </c>
      <c r="AP697">
        <v>1.0294008580614105</v>
      </c>
      <c r="AQ697">
        <v>1.2880972030496356</v>
      </c>
      <c r="AR697" t="b">
        <v>0</v>
      </c>
      <c r="AS697">
        <v>93.160671194606977</v>
      </c>
      <c r="AT697">
        <v>139.74100679191045</v>
      </c>
      <c r="AU697">
        <v>116.45083899325871</v>
      </c>
    </row>
    <row r="698" spans="1:47" x14ac:dyDescent="0.25">
      <c r="A698" t="s">
        <v>373</v>
      </c>
      <c r="B698" t="s">
        <v>495</v>
      </c>
      <c r="C698" t="s">
        <v>320</v>
      </c>
      <c r="D698">
        <v>2026</v>
      </c>
      <c r="E698">
        <v>0</v>
      </c>
      <c r="F698">
        <v>15</v>
      </c>
      <c r="G698">
        <v>0</v>
      </c>
      <c r="H698">
        <v>0</v>
      </c>
      <c r="I698">
        <v>30</v>
      </c>
      <c r="J698">
        <v>45</v>
      </c>
      <c r="K698">
        <v>4</v>
      </c>
      <c r="L698">
        <v>2</v>
      </c>
      <c r="M698">
        <v>52</v>
      </c>
      <c r="N698">
        <v>0</v>
      </c>
      <c r="O698" t="s">
        <v>27</v>
      </c>
      <c r="P698" t="s">
        <v>443</v>
      </c>
      <c r="Q698">
        <v>2026</v>
      </c>
      <c r="R698">
        <v>2041</v>
      </c>
      <c r="S698" t="s">
        <v>444</v>
      </c>
      <c r="T698">
        <v>2036</v>
      </c>
      <c r="U698">
        <v>43.75</v>
      </c>
      <c r="V698">
        <v>1</v>
      </c>
      <c r="W698">
        <v>2036</v>
      </c>
      <c r="X698">
        <v>10</v>
      </c>
      <c r="Y698">
        <v>2036</v>
      </c>
      <c r="Z698">
        <v>1</v>
      </c>
      <c r="AA698">
        <v>120</v>
      </c>
      <c r="AB698">
        <v>180</v>
      </c>
      <c r="AC698">
        <v>120</v>
      </c>
      <c r="AD698">
        <v>180</v>
      </c>
      <c r="AE698">
        <v>0</v>
      </c>
      <c r="AF698">
        <v>0</v>
      </c>
      <c r="AG698">
        <v>120</v>
      </c>
      <c r="AH698">
        <v>180</v>
      </c>
      <c r="AI698">
        <v>1</v>
      </c>
      <c r="AJ698">
        <v>2.944</v>
      </c>
      <c r="AK698">
        <v>2037</v>
      </c>
      <c r="AL698" s="61">
        <v>3.036</v>
      </c>
      <c r="AM698" s="61">
        <v>2.944</v>
      </c>
      <c r="AN698" s="61">
        <v>3.036</v>
      </c>
      <c r="AO698">
        <v>1.2984025298030446</v>
      </c>
      <c r="AP698">
        <v>1.0303246971701443</v>
      </c>
      <c r="AQ698">
        <v>1.3377761933242711</v>
      </c>
      <c r="AR698" t="b">
        <v>0</v>
      </c>
      <c r="AS698">
        <v>89.701102919023555</v>
      </c>
      <c r="AT698">
        <v>134.55165437853535</v>
      </c>
      <c r="AU698">
        <v>112.12637864877945</v>
      </c>
    </row>
    <row r="699" spans="1:47" x14ac:dyDescent="0.25">
      <c r="A699" t="s">
        <v>373</v>
      </c>
      <c r="B699" t="s">
        <v>495</v>
      </c>
      <c r="C699" t="s">
        <v>320</v>
      </c>
      <c r="D699">
        <v>2026</v>
      </c>
      <c r="E699">
        <v>0</v>
      </c>
      <c r="F699">
        <v>15</v>
      </c>
      <c r="G699">
        <v>0</v>
      </c>
      <c r="H699">
        <v>0</v>
      </c>
      <c r="I699">
        <v>30</v>
      </c>
      <c r="J699">
        <v>45</v>
      </c>
      <c r="K699">
        <v>4</v>
      </c>
      <c r="L699">
        <v>2</v>
      </c>
      <c r="M699">
        <v>52</v>
      </c>
      <c r="N699">
        <v>0</v>
      </c>
      <c r="O699" t="s">
        <v>27</v>
      </c>
      <c r="P699" t="s">
        <v>443</v>
      </c>
      <c r="Q699">
        <v>2026</v>
      </c>
      <c r="R699">
        <v>2041</v>
      </c>
      <c r="S699" t="s">
        <v>444</v>
      </c>
      <c r="T699">
        <v>2037</v>
      </c>
      <c r="U699">
        <v>44.75</v>
      </c>
      <c r="V699">
        <v>1</v>
      </c>
      <c r="W699">
        <v>2037</v>
      </c>
      <c r="X699">
        <v>11</v>
      </c>
      <c r="Y699">
        <v>2037</v>
      </c>
      <c r="Z699">
        <v>1</v>
      </c>
      <c r="AA699">
        <v>120</v>
      </c>
      <c r="AB699">
        <v>180</v>
      </c>
      <c r="AC699">
        <v>120</v>
      </c>
      <c r="AD699">
        <v>180</v>
      </c>
      <c r="AE699">
        <v>0</v>
      </c>
      <c r="AF699">
        <v>0</v>
      </c>
      <c r="AG699">
        <v>120</v>
      </c>
      <c r="AH699">
        <v>180</v>
      </c>
      <c r="AI699">
        <v>1</v>
      </c>
      <c r="AJ699">
        <v>3.036</v>
      </c>
      <c r="AK699">
        <v>2038</v>
      </c>
      <c r="AL699" s="61">
        <v>3.1339999999999999</v>
      </c>
      <c r="AM699" s="61">
        <v>3.036</v>
      </c>
      <c r="AN699" s="61">
        <v>3.1339999999999999</v>
      </c>
      <c r="AO699">
        <v>1.3486209574989538</v>
      </c>
      <c r="AP699">
        <v>1.0313023937742947</v>
      </c>
      <c r="AQ699">
        <v>1.3908360217628524</v>
      </c>
      <c r="AR699" t="b">
        <v>0</v>
      </c>
      <c r="AS699">
        <v>86.279042333044259</v>
      </c>
      <c r="AT699">
        <v>129.41856349956637</v>
      </c>
      <c r="AU699">
        <v>107.84880291630532</v>
      </c>
    </row>
    <row r="700" spans="1:47" x14ac:dyDescent="0.25">
      <c r="A700" t="s">
        <v>373</v>
      </c>
      <c r="B700" t="s">
        <v>495</v>
      </c>
      <c r="C700" t="s">
        <v>320</v>
      </c>
      <c r="D700">
        <v>2026</v>
      </c>
      <c r="E700">
        <v>0</v>
      </c>
      <c r="F700">
        <v>15</v>
      </c>
      <c r="G700">
        <v>0</v>
      </c>
      <c r="H700">
        <v>0</v>
      </c>
      <c r="I700">
        <v>30</v>
      </c>
      <c r="J700">
        <v>45</v>
      </c>
      <c r="K700">
        <v>4</v>
      </c>
      <c r="L700">
        <v>2</v>
      </c>
      <c r="M700">
        <v>52</v>
      </c>
      <c r="N700">
        <v>0</v>
      </c>
      <c r="O700" t="s">
        <v>27</v>
      </c>
      <c r="P700" t="s">
        <v>443</v>
      </c>
      <c r="Q700">
        <v>2026</v>
      </c>
      <c r="R700">
        <v>2041</v>
      </c>
      <c r="S700" t="s">
        <v>444</v>
      </c>
      <c r="T700">
        <v>2038</v>
      </c>
      <c r="U700">
        <v>45.75</v>
      </c>
      <c r="V700">
        <v>1</v>
      </c>
      <c r="W700">
        <v>2038</v>
      </c>
      <c r="X700">
        <v>12</v>
      </c>
      <c r="Y700">
        <v>2038</v>
      </c>
      <c r="Z700">
        <v>1</v>
      </c>
      <c r="AA700">
        <v>120</v>
      </c>
      <c r="AB700">
        <v>180</v>
      </c>
      <c r="AC700">
        <v>120</v>
      </c>
      <c r="AD700">
        <v>180</v>
      </c>
      <c r="AE700">
        <v>0</v>
      </c>
      <c r="AF700">
        <v>0</v>
      </c>
      <c r="AG700">
        <v>120</v>
      </c>
      <c r="AH700">
        <v>180</v>
      </c>
      <c r="AI700">
        <v>1</v>
      </c>
      <c r="AJ700">
        <v>3.1339999999999999</v>
      </c>
      <c r="AK700">
        <v>2039</v>
      </c>
      <c r="AL700" s="61">
        <v>3.2069999999999999</v>
      </c>
      <c r="AM700" s="61">
        <v>3.1339999999999999</v>
      </c>
      <c r="AN700" s="61">
        <v>3.2069999999999999</v>
      </c>
      <c r="AO700">
        <v>1.4041725591738043</v>
      </c>
      <c r="AP700">
        <v>1.0320419904729838</v>
      </c>
      <c r="AQ700">
        <v>1.4491650429372767</v>
      </c>
      <c r="AR700" t="b">
        <v>0</v>
      </c>
      <c r="AS700">
        <v>82.806303246713</v>
      </c>
      <c r="AT700">
        <v>124.20945487006951</v>
      </c>
      <c r="AU700">
        <v>103.50787905839125</v>
      </c>
    </row>
    <row r="701" spans="1:47" x14ac:dyDescent="0.25">
      <c r="A701" t="s">
        <v>373</v>
      </c>
      <c r="B701" t="s">
        <v>495</v>
      </c>
      <c r="C701" t="s">
        <v>320</v>
      </c>
      <c r="D701">
        <v>2026</v>
      </c>
      <c r="E701">
        <v>0</v>
      </c>
      <c r="F701">
        <v>15</v>
      </c>
      <c r="G701">
        <v>0</v>
      </c>
      <c r="H701">
        <v>0</v>
      </c>
      <c r="I701">
        <v>30</v>
      </c>
      <c r="J701">
        <v>45</v>
      </c>
      <c r="K701">
        <v>4</v>
      </c>
      <c r="L701">
        <v>2</v>
      </c>
      <c r="M701">
        <v>52</v>
      </c>
      <c r="N701">
        <v>0</v>
      </c>
      <c r="O701" t="s">
        <v>27</v>
      </c>
      <c r="P701" t="s">
        <v>443</v>
      </c>
      <c r="Q701">
        <v>2026</v>
      </c>
      <c r="R701">
        <v>2041</v>
      </c>
      <c r="S701" t="s">
        <v>444</v>
      </c>
      <c r="T701">
        <v>2039</v>
      </c>
      <c r="U701">
        <v>46.75</v>
      </c>
      <c r="V701">
        <v>1</v>
      </c>
      <c r="W701">
        <v>2039</v>
      </c>
      <c r="X701">
        <v>13</v>
      </c>
      <c r="Y701">
        <v>2039</v>
      </c>
      <c r="Z701">
        <v>1</v>
      </c>
      <c r="AA701">
        <v>120</v>
      </c>
      <c r="AB701">
        <v>180</v>
      </c>
      <c r="AC701">
        <v>120</v>
      </c>
      <c r="AD701">
        <v>180</v>
      </c>
      <c r="AE701">
        <v>0</v>
      </c>
      <c r="AF701">
        <v>0</v>
      </c>
      <c r="AG701">
        <v>120</v>
      </c>
      <c r="AH701">
        <v>180</v>
      </c>
      <c r="AI701">
        <v>1</v>
      </c>
      <c r="AJ701">
        <v>3.2069999999999999</v>
      </c>
      <c r="AK701">
        <v>2040</v>
      </c>
      <c r="AL701" s="61">
        <v>3.3029999999999999</v>
      </c>
      <c r="AM701" s="61">
        <v>3.2069999999999999</v>
      </c>
      <c r="AN701" s="61">
        <v>3.3029999999999999</v>
      </c>
      <c r="AO701">
        <v>1.4605278779269859</v>
      </c>
      <c r="AP701">
        <v>1.0329931616190409</v>
      </c>
      <c r="AQ701">
        <v>1.5087153102525457</v>
      </c>
      <c r="AR701" t="b">
        <v>0</v>
      </c>
      <c r="AS701">
        <v>79.537868532608087</v>
      </c>
      <c r="AT701">
        <v>119.30680279891213</v>
      </c>
      <c r="AU701">
        <v>99.422335665760102</v>
      </c>
    </row>
    <row r="702" spans="1:47" x14ac:dyDescent="0.25">
      <c r="A702" t="s">
        <v>373</v>
      </c>
      <c r="B702" t="s">
        <v>495</v>
      </c>
      <c r="C702" t="s">
        <v>320</v>
      </c>
      <c r="D702">
        <v>2026</v>
      </c>
      <c r="E702">
        <v>0</v>
      </c>
      <c r="F702">
        <v>15</v>
      </c>
      <c r="G702">
        <v>0</v>
      </c>
      <c r="H702">
        <v>0</v>
      </c>
      <c r="I702">
        <v>30</v>
      </c>
      <c r="J702">
        <v>45</v>
      </c>
      <c r="K702">
        <v>4</v>
      </c>
      <c r="L702">
        <v>2</v>
      </c>
      <c r="M702">
        <v>52</v>
      </c>
      <c r="N702">
        <v>0</v>
      </c>
      <c r="O702" t="s">
        <v>27</v>
      </c>
      <c r="P702" t="s">
        <v>443</v>
      </c>
      <c r="Q702">
        <v>2026</v>
      </c>
      <c r="R702">
        <v>2041</v>
      </c>
      <c r="S702" t="s">
        <v>444</v>
      </c>
      <c r="T702">
        <v>2040</v>
      </c>
      <c r="U702">
        <v>47.75</v>
      </c>
      <c r="V702">
        <v>1</v>
      </c>
      <c r="W702">
        <v>2040</v>
      </c>
      <c r="X702">
        <v>14</v>
      </c>
      <c r="Y702">
        <v>2040</v>
      </c>
      <c r="Z702">
        <v>1</v>
      </c>
      <c r="AA702">
        <v>120</v>
      </c>
      <c r="AB702">
        <v>180</v>
      </c>
      <c r="AC702">
        <v>120</v>
      </c>
      <c r="AD702">
        <v>180</v>
      </c>
      <c r="AE702">
        <v>0</v>
      </c>
      <c r="AF702">
        <v>0</v>
      </c>
      <c r="AG702">
        <v>120</v>
      </c>
      <c r="AH702">
        <v>180</v>
      </c>
      <c r="AI702">
        <v>1</v>
      </c>
      <c r="AJ702">
        <v>3.3029999999999999</v>
      </c>
      <c r="AK702">
        <v>2041</v>
      </c>
      <c r="AL702" s="61">
        <v>3.3559999999999999</v>
      </c>
      <c r="AM702" s="61">
        <v>3.3029999999999999</v>
      </c>
      <c r="AN702" s="61">
        <v>3.3559999999999999</v>
      </c>
      <c r="AO702">
        <v>1.5256964700083253</v>
      </c>
      <c r="AP702">
        <v>1.0335396662189136</v>
      </c>
      <c r="AQ702">
        <v>1.5768678203637791</v>
      </c>
      <c r="AR702" t="b">
        <v>0</v>
      </c>
      <c r="AS702">
        <v>76.100227584272929</v>
      </c>
      <c r="AT702">
        <v>114.1503413764094</v>
      </c>
      <c r="AU702">
        <v>95.125284480341165</v>
      </c>
    </row>
    <row r="703" spans="1:47" x14ac:dyDescent="0.25">
      <c r="A703" t="s">
        <v>373</v>
      </c>
      <c r="B703" t="s">
        <v>495</v>
      </c>
      <c r="C703" t="s">
        <v>320</v>
      </c>
      <c r="D703">
        <v>2026</v>
      </c>
      <c r="E703">
        <v>0</v>
      </c>
      <c r="M703">
        <v>52</v>
      </c>
      <c r="Q703">
        <v>2026</v>
      </c>
      <c r="R703">
        <v>2041</v>
      </c>
      <c r="T703">
        <v>2041</v>
      </c>
      <c r="U703">
        <v>48.75</v>
      </c>
      <c r="W703">
        <v>2041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L703" s="61"/>
      <c r="AS703">
        <v>0</v>
      </c>
      <c r="AT703">
        <v>0</v>
      </c>
      <c r="AU703">
        <v>0</v>
      </c>
    </row>
    <row r="704" spans="1:47" x14ac:dyDescent="0.25">
      <c r="A704" t="s">
        <v>347</v>
      </c>
      <c r="B704" t="s">
        <v>496</v>
      </c>
      <c r="C704" t="s">
        <v>319</v>
      </c>
      <c r="D704">
        <v>2026</v>
      </c>
      <c r="E704">
        <v>0</v>
      </c>
      <c r="F704">
        <v>10</v>
      </c>
      <c r="G704">
        <v>0</v>
      </c>
      <c r="H704">
        <v>0</v>
      </c>
      <c r="I704">
        <v>50</v>
      </c>
      <c r="J704">
        <v>250</v>
      </c>
      <c r="K704">
        <v>1</v>
      </c>
      <c r="L704">
        <v>1</v>
      </c>
      <c r="M704">
        <v>53</v>
      </c>
      <c r="N704">
        <v>0</v>
      </c>
      <c r="O704" t="s">
        <v>27</v>
      </c>
      <c r="P704" t="s">
        <v>443</v>
      </c>
      <c r="Q704">
        <v>2026</v>
      </c>
      <c r="R704">
        <v>2036</v>
      </c>
      <c r="S704" t="s">
        <v>444</v>
      </c>
      <c r="T704">
        <v>2026</v>
      </c>
      <c r="U704">
        <v>33.75</v>
      </c>
      <c r="V704">
        <v>1</v>
      </c>
      <c r="W704">
        <v>2026</v>
      </c>
      <c r="X704">
        <v>0</v>
      </c>
      <c r="Y704">
        <v>2026</v>
      </c>
      <c r="Z704">
        <v>1</v>
      </c>
      <c r="AA704">
        <v>50</v>
      </c>
      <c r="AB704">
        <v>250</v>
      </c>
      <c r="AC704">
        <v>50</v>
      </c>
      <c r="AD704">
        <v>250</v>
      </c>
      <c r="AE704">
        <v>0</v>
      </c>
      <c r="AF704">
        <v>0</v>
      </c>
      <c r="AG704">
        <v>50</v>
      </c>
      <c r="AH704">
        <v>250</v>
      </c>
      <c r="AI704">
        <v>1</v>
      </c>
      <c r="AK704">
        <v>2027</v>
      </c>
      <c r="AL704" s="61">
        <v>2.4329999999999998</v>
      </c>
      <c r="AM704" s="61">
        <v>0</v>
      </c>
      <c r="AN704" s="61">
        <v>2.4329999999999998</v>
      </c>
      <c r="AO704">
        <v>1</v>
      </c>
      <c r="AP704">
        <v>1.023385968321771</v>
      </c>
      <c r="AQ704">
        <v>1.023385968321771</v>
      </c>
      <c r="AR704" t="b">
        <v>1</v>
      </c>
      <c r="AS704">
        <v>50</v>
      </c>
      <c r="AT704">
        <v>250</v>
      </c>
      <c r="AU704">
        <v>150</v>
      </c>
    </row>
    <row r="705" spans="1:47" x14ac:dyDescent="0.25">
      <c r="A705" t="s">
        <v>347</v>
      </c>
      <c r="B705" t="s">
        <v>496</v>
      </c>
      <c r="C705" t="s">
        <v>319</v>
      </c>
      <c r="D705">
        <v>2026</v>
      </c>
      <c r="E705">
        <v>0</v>
      </c>
      <c r="F705">
        <v>10</v>
      </c>
      <c r="G705">
        <v>0</v>
      </c>
      <c r="H705">
        <v>0</v>
      </c>
      <c r="I705">
        <v>50</v>
      </c>
      <c r="J705">
        <v>250</v>
      </c>
      <c r="K705">
        <v>1</v>
      </c>
      <c r="L705">
        <v>1</v>
      </c>
      <c r="M705">
        <v>53</v>
      </c>
      <c r="N705">
        <v>0</v>
      </c>
      <c r="O705" t="s">
        <v>27</v>
      </c>
      <c r="P705" t="s">
        <v>443</v>
      </c>
      <c r="Q705">
        <v>2026</v>
      </c>
      <c r="R705">
        <v>2036</v>
      </c>
      <c r="S705" t="s">
        <v>444</v>
      </c>
      <c r="T705">
        <v>2027</v>
      </c>
      <c r="U705">
        <v>34.75</v>
      </c>
      <c r="V705">
        <v>1</v>
      </c>
      <c r="W705">
        <v>2027</v>
      </c>
      <c r="X705">
        <v>1</v>
      </c>
      <c r="Y705">
        <v>2027</v>
      </c>
      <c r="Z705">
        <v>1</v>
      </c>
      <c r="AA705">
        <v>50</v>
      </c>
      <c r="AB705">
        <v>250</v>
      </c>
      <c r="AC705">
        <v>50</v>
      </c>
      <c r="AD705">
        <v>250</v>
      </c>
      <c r="AE705">
        <v>0</v>
      </c>
      <c r="AF705">
        <v>0</v>
      </c>
      <c r="AG705">
        <v>50</v>
      </c>
      <c r="AH705">
        <v>250</v>
      </c>
      <c r="AI705">
        <v>1</v>
      </c>
      <c r="AJ705">
        <v>2.4329999999999998</v>
      </c>
      <c r="AK705">
        <v>2028</v>
      </c>
      <c r="AL705" s="61">
        <v>2.4220000000000002</v>
      </c>
      <c r="AM705" s="61">
        <v>2.4329999999999998</v>
      </c>
      <c r="AN705" s="61">
        <v>2.4220000000000002</v>
      </c>
      <c r="AO705">
        <v>1</v>
      </c>
      <c r="AP705">
        <v>1.0242242189602202</v>
      </c>
      <c r="AQ705">
        <v>1.0242242189602202</v>
      </c>
      <c r="AR705" t="b">
        <v>0</v>
      </c>
      <c r="AS705">
        <v>48.817435747379008</v>
      </c>
      <c r="AT705">
        <v>244.08717873689505</v>
      </c>
      <c r="AU705">
        <v>146.45230724213704</v>
      </c>
    </row>
    <row r="706" spans="1:47" x14ac:dyDescent="0.25">
      <c r="A706" t="s">
        <v>347</v>
      </c>
      <c r="B706" t="s">
        <v>496</v>
      </c>
      <c r="C706" t="s">
        <v>319</v>
      </c>
      <c r="D706">
        <v>2026</v>
      </c>
      <c r="E706">
        <v>0</v>
      </c>
      <c r="F706">
        <v>10</v>
      </c>
      <c r="G706">
        <v>0</v>
      </c>
      <c r="H706">
        <v>0</v>
      </c>
      <c r="I706">
        <v>50</v>
      </c>
      <c r="J706">
        <v>250</v>
      </c>
      <c r="K706">
        <v>1</v>
      </c>
      <c r="L706">
        <v>1</v>
      </c>
      <c r="M706">
        <v>53</v>
      </c>
      <c r="N706">
        <v>0</v>
      </c>
      <c r="O706" t="s">
        <v>27</v>
      </c>
      <c r="P706" t="s">
        <v>443</v>
      </c>
      <c r="Q706">
        <v>2026</v>
      </c>
      <c r="R706">
        <v>2036</v>
      </c>
      <c r="S706" t="s">
        <v>444</v>
      </c>
      <c r="T706">
        <v>2028</v>
      </c>
      <c r="U706">
        <v>35.75</v>
      </c>
      <c r="V706">
        <v>1</v>
      </c>
      <c r="W706">
        <v>2028</v>
      </c>
      <c r="X706">
        <v>2</v>
      </c>
      <c r="Y706">
        <v>2028</v>
      </c>
      <c r="Z706">
        <v>1</v>
      </c>
      <c r="AA706">
        <v>50</v>
      </c>
      <c r="AB706">
        <v>250</v>
      </c>
      <c r="AC706">
        <v>50</v>
      </c>
      <c r="AD706">
        <v>250</v>
      </c>
      <c r="AE706">
        <v>0</v>
      </c>
      <c r="AF706">
        <v>0</v>
      </c>
      <c r="AG706">
        <v>50</v>
      </c>
      <c r="AH706">
        <v>250</v>
      </c>
      <c r="AI706">
        <v>1</v>
      </c>
      <c r="AJ706">
        <v>2.4220000000000002</v>
      </c>
      <c r="AK706">
        <v>2029</v>
      </c>
      <c r="AL706" s="61">
        <v>2.4209999999999998</v>
      </c>
      <c r="AM706" s="61">
        <v>2.4220000000000002</v>
      </c>
      <c r="AN706" s="61">
        <v>2.4209999999999998</v>
      </c>
      <c r="AO706">
        <v>1.0242199999999999</v>
      </c>
      <c r="AP706">
        <v>1.0242103835598433</v>
      </c>
      <c r="AQ706">
        <v>1.0490167590496626</v>
      </c>
      <c r="AR706" t="b">
        <v>0</v>
      </c>
      <c r="AS706">
        <v>47.66368084080618</v>
      </c>
      <c r="AT706">
        <v>238.31840420403091</v>
      </c>
      <c r="AU706">
        <v>142.99104252241855</v>
      </c>
    </row>
    <row r="707" spans="1:47" x14ac:dyDescent="0.25">
      <c r="A707" t="s">
        <v>347</v>
      </c>
      <c r="B707" t="s">
        <v>496</v>
      </c>
      <c r="C707" t="s">
        <v>319</v>
      </c>
      <c r="D707">
        <v>2026</v>
      </c>
      <c r="E707">
        <v>0</v>
      </c>
      <c r="F707">
        <v>10</v>
      </c>
      <c r="G707">
        <v>0</v>
      </c>
      <c r="H707">
        <v>0</v>
      </c>
      <c r="I707">
        <v>50</v>
      </c>
      <c r="J707">
        <v>250</v>
      </c>
      <c r="K707">
        <v>1</v>
      </c>
      <c r="L707">
        <v>1</v>
      </c>
      <c r="M707">
        <v>53</v>
      </c>
      <c r="N707">
        <v>0</v>
      </c>
      <c r="O707" t="s">
        <v>27</v>
      </c>
      <c r="P707" t="s">
        <v>443</v>
      </c>
      <c r="Q707">
        <v>2026</v>
      </c>
      <c r="R707">
        <v>2036</v>
      </c>
      <c r="S707" t="s">
        <v>444</v>
      </c>
      <c r="T707">
        <v>2029</v>
      </c>
      <c r="U707">
        <v>36.75</v>
      </c>
      <c r="V707">
        <v>1</v>
      </c>
      <c r="W707">
        <v>2029</v>
      </c>
      <c r="X707">
        <v>3</v>
      </c>
      <c r="Y707">
        <v>2029</v>
      </c>
      <c r="Z707">
        <v>1</v>
      </c>
      <c r="AA707">
        <v>50</v>
      </c>
      <c r="AB707">
        <v>250</v>
      </c>
      <c r="AC707">
        <v>50</v>
      </c>
      <c r="AD707">
        <v>250</v>
      </c>
      <c r="AE707">
        <v>0</v>
      </c>
      <c r="AF707">
        <v>0</v>
      </c>
      <c r="AG707">
        <v>50</v>
      </c>
      <c r="AH707">
        <v>250</v>
      </c>
      <c r="AI707">
        <v>1</v>
      </c>
      <c r="AJ707">
        <v>2.4209999999999998</v>
      </c>
      <c r="AK707">
        <v>2030</v>
      </c>
      <c r="AL707" s="61">
        <v>2.4670000000000001</v>
      </c>
      <c r="AM707" s="61">
        <v>2.4209999999999998</v>
      </c>
      <c r="AN707" s="61">
        <v>2.4670000000000001</v>
      </c>
      <c r="AO707">
        <v>1.0490061241000002</v>
      </c>
      <c r="AP707">
        <v>1.0246523523547908</v>
      </c>
      <c r="AQ707">
        <v>1.0748665926936467</v>
      </c>
      <c r="AR707" t="b">
        <v>0</v>
      </c>
      <c r="AS707">
        <v>46.517400708025129</v>
      </c>
      <c r="AT707">
        <v>232.58700354012564</v>
      </c>
      <c r="AU707">
        <v>139.55220212407539</v>
      </c>
    </row>
    <row r="708" spans="1:47" x14ac:dyDescent="0.25">
      <c r="A708" t="s">
        <v>347</v>
      </c>
      <c r="B708" t="s">
        <v>496</v>
      </c>
      <c r="C708" t="s">
        <v>319</v>
      </c>
      <c r="D708">
        <v>2026</v>
      </c>
      <c r="E708">
        <v>0</v>
      </c>
      <c r="F708">
        <v>10</v>
      </c>
      <c r="G708">
        <v>0</v>
      </c>
      <c r="H708">
        <v>0</v>
      </c>
      <c r="I708">
        <v>50</v>
      </c>
      <c r="J708">
        <v>250</v>
      </c>
      <c r="K708">
        <v>1</v>
      </c>
      <c r="L708">
        <v>1</v>
      </c>
      <c r="M708">
        <v>53</v>
      </c>
      <c r="N708">
        <v>0</v>
      </c>
      <c r="O708" t="s">
        <v>27</v>
      </c>
      <c r="P708" t="s">
        <v>443</v>
      </c>
      <c r="Q708">
        <v>2026</v>
      </c>
      <c r="R708">
        <v>2036</v>
      </c>
      <c r="S708" t="s">
        <v>444</v>
      </c>
      <c r="T708">
        <v>2030</v>
      </c>
      <c r="U708">
        <v>37.75</v>
      </c>
      <c r="V708">
        <v>1</v>
      </c>
      <c r="W708">
        <v>2030</v>
      </c>
      <c r="X708">
        <v>4</v>
      </c>
      <c r="Y708">
        <v>2030</v>
      </c>
      <c r="Z708">
        <v>1</v>
      </c>
      <c r="AA708">
        <v>50</v>
      </c>
      <c r="AB708">
        <v>250</v>
      </c>
      <c r="AC708">
        <v>50</v>
      </c>
      <c r="AD708">
        <v>250</v>
      </c>
      <c r="AE708">
        <v>0</v>
      </c>
      <c r="AF708">
        <v>0</v>
      </c>
      <c r="AG708">
        <v>50</v>
      </c>
      <c r="AH708">
        <v>250</v>
      </c>
      <c r="AI708">
        <v>1</v>
      </c>
      <c r="AJ708">
        <v>2.4670000000000001</v>
      </c>
      <c r="AK708">
        <v>2031</v>
      </c>
      <c r="AL708" s="61">
        <v>2.5169999999999999</v>
      </c>
      <c r="AM708" s="61">
        <v>2.4670000000000001</v>
      </c>
      <c r="AN708" s="61">
        <v>2.5169999999999999</v>
      </c>
      <c r="AO708">
        <v>1.0758508410815628</v>
      </c>
      <c r="AP708">
        <v>1.0251508174189523</v>
      </c>
      <c r="AQ708">
        <v>1.1029093691556315</v>
      </c>
      <c r="AR708" t="b">
        <v>0</v>
      </c>
      <c r="AS708">
        <v>45.334640722364284</v>
      </c>
      <c r="AT708">
        <v>226.67320361182144</v>
      </c>
      <c r="AU708">
        <v>136.00392216709287</v>
      </c>
    </row>
    <row r="709" spans="1:47" x14ac:dyDescent="0.25">
      <c r="A709" t="s">
        <v>347</v>
      </c>
      <c r="B709" t="s">
        <v>496</v>
      </c>
      <c r="C709" t="s">
        <v>319</v>
      </c>
      <c r="D709">
        <v>2026</v>
      </c>
      <c r="E709">
        <v>0</v>
      </c>
      <c r="F709">
        <v>10</v>
      </c>
      <c r="G709">
        <v>0</v>
      </c>
      <c r="H709">
        <v>0</v>
      </c>
      <c r="I709">
        <v>50</v>
      </c>
      <c r="J709">
        <v>250</v>
      </c>
      <c r="K709">
        <v>1</v>
      </c>
      <c r="L709">
        <v>1</v>
      </c>
      <c r="M709">
        <v>53</v>
      </c>
      <c r="N709">
        <v>0</v>
      </c>
      <c r="O709" t="s">
        <v>27</v>
      </c>
      <c r="P709" t="s">
        <v>443</v>
      </c>
      <c r="Q709">
        <v>2026</v>
      </c>
      <c r="R709">
        <v>2036</v>
      </c>
      <c r="S709" t="s">
        <v>444</v>
      </c>
      <c r="T709">
        <v>2031</v>
      </c>
      <c r="U709">
        <v>38.75</v>
      </c>
      <c r="V709">
        <v>1</v>
      </c>
      <c r="W709">
        <v>2031</v>
      </c>
      <c r="X709">
        <v>5</v>
      </c>
      <c r="Y709">
        <v>2031</v>
      </c>
      <c r="Z709">
        <v>1</v>
      </c>
      <c r="AA709">
        <v>50</v>
      </c>
      <c r="AB709">
        <v>250</v>
      </c>
      <c r="AC709">
        <v>50</v>
      </c>
      <c r="AD709">
        <v>250</v>
      </c>
      <c r="AE709">
        <v>0</v>
      </c>
      <c r="AF709">
        <v>0</v>
      </c>
      <c r="AG709">
        <v>50</v>
      </c>
      <c r="AH709">
        <v>250</v>
      </c>
      <c r="AI709">
        <v>1</v>
      </c>
      <c r="AJ709">
        <v>2.5169999999999999</v>
      </c>
      <c r="AK709">
        <v>2032</v>
      </c>
      <c r="AL709" s="61">
        <v>2.59</v>
      </c>
      <c r="AM709" s="61">
        <v>2.5169999999999999</v>
      </c>
      <c r="AN709" s="61">
        <v>2.59</v>
      </c>
      <c r="AO709">
        <v>1.1045453584485188</v>
      </c>
      <c r="AP709">
        <v>1.0258719904156592</v>
      </c>
      <c r="AQ709">
        <v>1.1331221453759597</v>
      </c>
      <c r="AR709" t="b">
        <v>0</v>
      </c>
      <c r="AS709">
        <v>44.125869575526167</v>
      </c>
      <c r="AT709">
        <v>220.62934787763083</v>
      </c>
      <c r="AU709">
        <v>132.3776087265785</v>
      </c>
    </row>
    <row r="710" spans="1:47" x14ac:dyDescent="0.25">
      <c r="A710" t="s">
        <v>347</v>
      </c>
      <c r="B710" t="s">
        <v>496</v>
      </c>
      <c r="C710" t="s">
        <v>319</v>
      </c>
      <c r="D710">
        <v>2026</v>
      </c>
      <c r="E710">
        <v>0</v>
      </c>
      <c r="F710">
        <v>10</v>
      </c>
      <c r="G710">
        <v>0</v>
      </c>
      <c r="H710">
        <v>0</v>
      </c>
      <c r="I710">
        <v>50</v>
      </c>
      <c r="J710">
        <v>250</v>
      </c>
      <c r="K710">
        <v>1</v>
      </c>
      <c r="L710">
        <v>1</v>
      </c>
      <c r="M710">
        <v>53</v>
      </c>
      <c r="N710">
        <v>0</v>
      </c>
      <c r="O710" t="s">
        <v>27</v>
      </c>
      <c r="P710" t="s">
        <v>443</v>
      </c>
      <c r="Q710">
        <v>2026</v>
      </c>
      <c r="R710">
        <v>2036</v>
      </c>
      <c r="S710" t="s">
        <v>444</v>
      </c>
      <c r="T710">
        <v>2032</v>
      </c>
      <c r="U710">
        <v>39.75</v>
      </c>
      <c r="V710">
        <v>1</v>
      </c>
      <c r="W710">
        <v>2032</v>
      </c>
      <c r="X710">
        <v>6</v>
      </c>
      <c r="Y710">
        <v>2032</v>
      </c>
      <c r="Z710">
        <v>1</v>
      </c>
      <c r="AA710">
        <v>50</v>
      </c>
      <c r="AB710">
        <v>250</v>
      </c>
      <c r="AC710">
        <v>50</v>
      </c>
      <c r="AD710">
        <v>250</v>
      </c>
      <c r="AE710">
        <v>0</v>
      </c>
      <c r="AF710">
        <v>0</v>
      </c>
      <c r="AG710">
        <v>50</v>
      </c>
      <c r="AH710">
        <v>250</v>
      </c>
      <c r="AI710">
        <v>1</v>
      </c>
      <c r="AJ710">
        <v>2.59</v>
      </c>
      <c r="AK710">
        <v>2033</v>
      </c>
      <c r="AL710" s="61">
        <v>2.6880000000000002</v>
      </c>
      <c r="AM710" s="61">
        <v>2.59</v>
      </c>
      <c r="AN710" s="61">
        <v>2.6880000000000002</v>
      </c>
      <c r="AO710">
        <v>1.1363841013749196</v>
      </c>
      <c r="AP710">
        <v>1.0268423936996114</v>
      </c>
      <c r="AQ710">
        <v>1.1668873708180043</v>
      </c>
      <c r="AR710" t="b">
        <v>0</v>
      </c>
      <c r="AS710">
        <v>42.849036891151975</v>
      </c>
      <c r="AT710">
        <v>214.24518445575987</v>
      </c>
      <c r="AU710">
        <v>128.54711067345593</v>
      </c>
    </row>
    <row r="711" spans="1:47" x14ac:dyDescent="0.25">
      <c r="A711" t="s">
        <v>347</v>
      </c>
      <c r="B711" t="s">
        <v>496</v>
      </c>
      <c r="C711" t="s">
        <v>319</v>
      </c>
      <c r="D711">
        <v>2026</v>
      </c>
      <c r="E711">
        <v>0</v>
      </c>
      <c r="F711">
        <v>10</v>
      </c>
      <c r="G711">
        <v>0</v>
      </c>
      <c r="H711">
        <v>0</v>
      </c>
      <c r="I711">
        <v>50</v>
      </c>
      <c r="J711">
        <v>250</v>
      </c>
      <c r="K711">
        <v>1</v>
      </c>
      <c r="L711">
        <v>1</v>
      </c>
      <c r="M711">
        <v>53</v>
      </c>
      <c r="N711">
        <v>0</v>
      </c>
      <c r="O711" t="s">
        <v>27</v>
      </c>
      <c r="P711" t="s">
        <v>443</v>
      </c>
      <c r="Q711">
        <v>2026</v>
      </c>
      <c r="R711">
        <v>2036</v>
      </c>
      <c r="S711" t="s">
        <v>444</v>
      </c>
      <c r="T711">
        <v>2033</v>
      </c>
      <c r="U711">
        <v>40.75</v>
      </c>
      <c r="V711">
        <v>1</v>
      </c>
      <c r="W711">
        <v>2033</v>
      </c>
      <c r="X711">
        <v>7</v>
      </c>
      <c r="Y711">
        <v>2033</v>
      </c>
      <c r="Z711">
        <v>1</v>
      </c>
      <c r="AA711">
        <v>50</v>
      </c>
      <c r="AB711">
        <v>250</v>
      </c>
      <c r="AC711">
        <v>50</v>
      </c>
      <c r="AD711">
        <v>250</v>
      </c>
      <c r="AE711">
        <v>0</v>
      </c>
      <c r="AF711">
        <v>0</v>
      </c>
      <c r="AG711">
        <v>50</v>
      </c>
      <c r="AH711">
        <v>250</v>
      </c>
      <c r="AI711">
        <v>1</v>
      </c>
      <c r="AJ711">
        <v>2.6880000000000002</v>
      </c>
      <c r="AK711">
        <v>2034</v>
      </c>
      <c r="AL711" s="61">
        <v>2.7519999999999998</v>
      </c>
      <c r="AM711" s="61">
        <v>2.6880000000000002</v>
      </c>
      <c r="AN711" s="61">
        <v>2.7519999999999998</v>
      </c>
      <c r="AO711">
        <v>1.1725143659072164</v>
      </c>
      <c r="AP711">
        <v>1.0274954447000768</v>
      </c>
      <c r="AQ711">
        <v>1.2047531698150638</v>
      </c>
      <c r="AR711" t="b">
        <v>0</v>
      </c>
      <c r="AS711">
        <v>41.502277190667428</v>
      </c>
      <c r="AT711">
        <v>207.51138595333714</v>
      </c>
      <c r="AU711">
        <v>124.50683157200228</v>
      </c>
    </row>
    <row r="712" spans="1:47" x14ac:dyDescent="0.25">
      <c r="A712" t="s">
        <v>347</v>
      </c>
      <c r="B712" t="s">
        <v>496</v>
      </c>
      <c r="C712" t="s">
        <v>319</v>
      </c>
      <c r="D712">
        <v>2026</v>
      </c>
      <c r="E712">
        <v>0</v>
      </c>
      <c r="F712">
        <v>10</v>
      </c>
      <c r="G712">
        <v>0</v>
      </c>
      <c r="H712">
        <v>0</v>
      </c>
      <c r="I712">
        <v>50</v>
      </c>
      <c r="J712">
        <v>250</v>
      </c>
      <c r="K712">
        <v>1</v>
      </c>
      <c r="L712">
        <v>1</v>
      </c>
      <c r="M712">
        <v>53</v>
      </c>
      <c r="N712">
        <v>0</v>
      </c>
      <c r="O712" t="s">
        <v>27</v>
      </c>
      <c r="P712" t="s">
        <v>443</v>
      </c>
      <c r="Q712">
        <v>2026</v>
      </c>
      <c r="R712">
        <v>2036</v>
      </c>
      <c r="S712" t="s">
        <v>444</v>
      </c>
      <c r="T712">
        <v>2034</v>
      </c>
      <c r="U712">
        <v>41.75</v>
      </c>
      <c r="V712">
        <v>1</v>
      </c>
      <c r="W712">
        <v>2034</v>
      </c>
      <c r="X712">
        <v>8</v>
      </c>
      <c r="Y712">
        <v>2034</v>
      </c>
      <c r="Z712">
        <v>1</v>
      </c>
      <c r="AA712">
        <v>50</v>
      </c>
      <c r="AB712">
        <v>250</v>
      </c>
      <c r="AC712">
        <v>50</v>
      </c>
      <c r="AD712">
        <v>250</v>
      </c>
      <c r="AE712">
        <v>0</v>
      </c>
      <c r="AF712">
        <v>0</v>
      </c>
      <c r="AG712">
        <v>50</v>
      </c>
      <c r="AH712">
        <v>250</v>
      </c>
      <c r="AI712">
        <v>1</v>
      </c>
      <c r="AJ712">
        <v>2.7519999999999998</v>
      </c>
      <c r="AK712">
        <v>2035</v>
      </c>
      <c r="AL712" s="61">
        <v>2.8420000000000001</v>
      </c>
      <c r="AM712" s="61">
        <v>2.7519999999999998</v>
      </c>
      <c r="AN712" s="61">
        <v>2.8420000000000001</v>
      </c>
      <c r="AO712">
        <v>1.2092942481281721</v>
      </c>
      <c r="AP712">
        <v>1.0283854649181425</v>
      </c>
      <c r="AQ712">
        <v>1.2436206275841259</v>
      </c>
      <c r="AR712" t="b">
        <v>0</v>
      </c>
      <c r="AS712">
        <v>40.205187089193487</v>
      </c>
      <c r="AT712">
        <v>201.02593544596743</v>
      </c>
      <c r="AU712">
        <v>120.61556126758046</v>
      </c>
    </row>
    <row r="713" spans="1:47" x14ac:dyDescent="0.25">
      <c r="A713" t="s">
        <v>347</v>
      </c>
      <c r="B713" t="s">
        <v>496</v>
      </c>
      <c r="C713" t="s">
        <v>319</v>
      </c>
      <c r="D713">
        <v>2026</v>
      </c>
      <c r="E713">
        <v>0</v>
      </c>
      <c r="F713">
        <v>10</v>
      </c>
      <c r="G713">
        <v>0</v>
      </c>
      <c r="H713">
        <v>0</v>
      </c>
      <c r="I713">
        <v>50</v>
      </c>
      <c r="J713">
        <v>250</v>
      </c>
      <c r="K713">
        <v>1</v>
      </c>
      <c r="L713">
        <v>1</v>
      </c>
      <c r="M713">
        <v>53</v>
      </c>
      <c r="N713">
        <v>0</v>
      </c>
      <c r="O713" t="s">
        <v>27</v>
      </c>
      <c r="P713" t="s">
        <v>443</v>
      </c>
      <c r="Q713">
        <v>2026</v>
      </c>
      <c r="R713">
        <v>2036</v>
      </c>
      <c r="S713" t="s">
        <v>444</v>
      </c>
      <c r="T713">
        <v>2035</v>
      </c>
      <c r="U713">
        <v>42.75</v>
      </c>
      <c r="V713">
        <v>1</v>
      </c>
      <c r="W713">
        <v>2035</v>
      </c>
      <c r="X713">
        <v>9</v>
      </c>
      <c r="Y713">
        <v>2035</v>
      </c>
      <c r="Z713">
        <v>1</v>
      </c>
      <c r="AA713">
        <v>50</v>
      </c>
      <c r="AB713">
        <v>250</v>
      </c>
      <c r="AC713">
        <v>50</v>
      </c>
      <c r="AD713">
        <v>250</v>
      </c>
      <c r="AE713">
        <v>0</v>
      </c>
      <c r="AF713">
        <v>0</v>
      </c>
      <c r="AG713">
        <v>50</v>
      </c>
      <c r="AH713">
        <v>250</v>
      </c>
      <c r="AI713">
        <v>1</v>
      </c>
      <c r="AJ713">
        <v>2.8420000000000001</v>
      </c>
      <c r="AK713">
        <v>2036</v>
      </c>
      <c r="AL713" s="61">
        <v>2.944</v>
      </c>
      <c r="AM713" s="61">
        <v>2.8420000000000001</v>
      </c>
      <c r="AN713" s="61">
        <v>2.944</v>
      </c>
      <c r="AO713">
        <v>1.2513076834571593</v>
      </c>
      <c r="AP713">
        <v>1.0294008580614105</v>
      </c>
      <c r="AQ713">
        <v>1.2880972030496356</v>
      </c>
      <c r="AR713" t="b">
        <v>0</v>
      </c>
      <c r="AS713">
        <v>38.816946331086243</v>
      </c>
      <c r="AT713">
        <v>194.0847316554312</v>
      </c>
      <c r="AU713">
        <v>116.45083899325871</v>
      </c>
    </row>
    <row r="714" spans="1:47" x14ac:dyDescent="0.25">
      <c r="A714" t="s">
        <v>347</v>
      </c>
      <c r="B714" t="s">
        <v>496</v>
      </c>
      <c r="C714" t="s">
        <v>319</v>
      </c>
      <c r="D714">
        <v>2026</v>
      </c>
      <c r="E714">
        <v>0</v>
      </c>
      <c r="M714">
        <v>53</v>
      </c>
      <c r="Q714">
        <v>2026</v>
      </c>
      <c r="R714">
        <v>2036</v>
      </c>
      <c r="T714">
        <v>2036</v>
      </c>
      <c r="U714">
        <v>43.75</v>
      </c>
      <c r="W714">
        <v>2036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L714" s="61"/>
      <c r="AS714">
        <v>0</v>
      </c>
      <c r="AT714">
        <v>0</v>
      </c>
      <c r="AU714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workbookViewId="0"/>
  </sheetViews>
  <sheetFormatPr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5703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  <col min="3" max="3" width="15.7109375" bestFit="1" customWidth="1"/>
    <col min="4" max="4" width="15.140625" bestFit="1" customWidth="1"/>
    <col min="11" max="11" width="40.5703125" customWidth="1"/>
    <col min="12" max="12" width="54.7109375" customWidth="1"/>
    <col min="13" max="13" width="41.42578125" customWidth="1"/>
    <col min="14" max="14" width="21.5703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4431</v>
      </c>
      <c r="C2">
        <v>11210</v>
      </c>
      <c r="D2">
        <v>7820.5</v>
      </c>
    </row>
    <row r="3" spans="1:4" x14ac:dyDescent="0.25">
      <c r="A3">
        <v>2027</v>
      </c>
      <c r="B3">
        <v>4421</v>
      </c>
      <c r="C3">
        <v>11185</v>
      </c>
      <c r="D3">
        <v>7803</v>
      </c>
    </row>
    <row r="4" spans="1:4" x14ac:dyDescent="0.25">
      <c r="A4">
        <v>2028</v>
      </c>
      <c r="B4">
        <v>4421</v>
      </c>
      <c r="C4">
        <v>11185</v>
      </c>
      <c r="D4">
        <v>7803</v>
      </c>
    </row>
    <row r="5" spans="1:4" x14ac:dyDescent="0.25">
      <c r="A5">
        <v>2029</v>
      </c>
      <c r="B5">
        <v>4421</v>
      </c>
      <c r="C5">
        <v>11185</v>
      </c>
      <c r="D5">
        <v>7803</v>
      </c>
    </row>
    <row r="6" spans="1:4" x14ac:dyDescent="0.25">
      <c r="A6">
        <v>2030</v>
      </c>
      <c r="B6">
        <v>4421</v>
      </c>
      <c r="C6">
        <v>11185</v>
      </c>
      <c r="D6">
        <v>7803</v>
      </c>
    </row>
    <row r="7" spans="1:4" x14ac:dyDescent="0.25">
      <c r="A7">
        <v>2031</v>
      </c>
      <c r="B7">
        <v>4421</v>
      </c>
      <c r="C7">
        <v>11185</v>
      </c>
      <c r="D7">
        <v>7803</v>
      </c>
    </row>
    <row r="8" spans="1:4" x14ac:dyDescent="0.25">
      <c r="A8">
        <v>2032</v>
      </c>
      <c r="B8">
        <v>4421</v>
      </c>
      <c r="C8">
        <v>11185</v>
      </c>
      <c r="D8">
        <v>7803</v>
      </c>
    </row>
    <row r="9" spans="1:4" x14ac:dyDescent="0.25">
      <c r="A9">
        <v>2033</v>
      </c>
      <c r="B9">
        <v>4421</v>
      </c>
      <c r="C9">
        <v>11185</v>
      </c>
      <c r="D9">
        <v>7803</v>
      </c>
    </row>
    <row r="10" spans="1:4" x14ac:dyDescent="0.25">
      <c r="A10">
        <v>2034</v>
      </c>
      <c r="B10">
        <v>4421</v>
      </c>
      <c r="C10">
        <v>11185</v>
      </c>
      <c r="D10">
        <v>7803</v>
      </c>
    </row>
    <row r="11" spans="1:4" x14ac:dyDescent="0.25">
      <c r="A11">
        <v>2035</v>
      </c>
      <c r="B11">
        <v>4421</v>
      </c>
      <c r="C11">
        <v>11185</v>
      </c>
      <c r="D11">
        <v>7803</v>
      </c>
    </row>
    <row r="12" spans="1:4" x14ac:dyDescent="0.25">
      <c r="A12">
        <v>2036</v>
      </c>
      <c r="B12">
        <v>3120</v>
      </c>
      <c r="C12">
        <v>4680</v>
      </c>
      <c r="D12">
        <v>3900</v>
      </c>
    </row>
    <row r="13" spans="1:4" x14ac:dyDescent="0.25">
      <c r="A13">
        <v>2037</v>
      </c>
      <c r="B13">
        <v>3120</v>
      </c>
      <c r="C13">
        <v>4680</v>
      </c>
      <c r="D13">
        <v>3900</v>
      </c>
    </row>
    <row r="14" spans="1:4" x14ac:dyDescent="0.25">
      <c r="A14">
        <v>2038</v>
      </c>
      <c r="B14">
        <v>3120</v>
      </c>
      <c r="C14">
        <v>4680</v>
      </c>
      <c r="D14">
        <v>3900</v>
      </c>
    </row>
    <row r="15" spans="1:4" x14ac:dyDescent="0.25">
      <c r="A15">
        <v>2039</v>
      </c>
      <c r="B15">
        <v>3120</v>
      </c>
      <c r="C15">
        <v>4680</v>
      </c>
      <c r="D15">
        <v>3900</v>
      </c>
    </row>
    <row r="16" spans="1:4" x14ac:dyDescent="0.25">
      <c r="A16">
        <v>2040</v>
      </c>
      <c r="B16">
        <v>3120</v>
      </c>
      <c r="C16">
        <v>4680</v>
      </c>
      <c r="D16">
        <v>3900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/>
  </sheetViews>
  <sheetFormatPr defaultColWidth="9.140625" defaultRowHeight="15.75" x14ac:dyDescent="0.25"/>
  <cols>
    <col min="1" max="1" width="9" style="48"/>
    <col min="2" max="2" width="22.42578125" style="28" customWidth="1"/>
    <col min="3" max="16384" width="9.140625" style="1"/>
  </cols>
  <sheetData>
    <row r="1" spans="1:5" x14ac:dyDescent="0.25">
      <c r="A1" s="48" t="s">
        <v>2</v>
      </c>
      <c r="B1" s="28" t="s">
        <v>7</v>
      </c>
      <c r="C1" s="40" t="s">
        <v>152</v>
      </c>
    </row>
    <row r="2" spans="1:5" x14ac:dyDescent="0.25">
      <c r="A2" s="48">
        <v>2026</v>
      </c>
      <c r="B2" s="40" t="s">
        <v>190</v>
      </c>
      <c r="C2" s="40">
        <f>CustomDiscountCurve[[#This Row],[Discount Rate (Nominal)]]/100</f>
        <v>2.0729999999999998E-2</v>
      </c>
      <c r="D2" s="40"/>
      <c r="E2" s="40"/>
    </row>
    <row r="3" spans="1:5" x14ac:dyDescent="0.25">
      <c r="A3" s="48">
        <v>2027</v>
      </c>
      <c r="B3" s="40" t="s">
        <v>191</v>
      </c>
      <c r="C3" s="40">
        <f>CustomDiscountCurve[[#This Row],[Discount Rate (Nominal)]]/100</f>
        <v>2.036E-2</v>
      </c>
      <c r="D3" s="40"/>
    </row>
    <row r="4" spans="1:5" x14ac:dyDescent="0.25">
      <c r="A4" s="48">
        <v>2028</v>
      </c>
      <c r="B4" s="40" t="s">
        <v>192</v>
      </c>
      <c r="C4" s="40">
        <f>CustomDiscountCurve[[#This Row],[Discount Rate (Nominal)]]/100</f>
        <v>2.0209999999999999E-2</v>
      </c>
      <c r="D4" s="40"/>
    </row>
    <row r="5" spans="1:5" x14ac:dyDescent="0.25">
      <c r="A5" s="48">
        <v>2029</v>
      </c>
      <c r="B5" s="40" t="s">
        <v>192</v>
      </c>
      <c r="C5" s="40">
        <f>CustomDiscountCurve[[#This Row],[Discount Rate (Nominal)]]/100</f>
        <v>2.0209999999999999E-2</v>
      </c>
      <c r="D5" s="40"/>
    </row>
    <row r="6" spans="1:5" x14ac:dyDescent="0.25">
      <c r="A6" s="48">
        <v>2030</v>
      </c>
      <c r="B6" s="40" t="s">
        <v>193</v>
      </c>
      <c r="C6" s="40">
        <f>CustomDiscountCurve[[#This Row],[Discount Rate (Nominal)]]/100</f>
        <v>2.129E-2</v>
      </c>
      <c r="D6" s="40"/>
    </row>
    <row r="7" spans="1:5" x14ac:dyDescent="0.25">
      <c r="A7" s="48">
        <v>2031</v>
      </c>
      <c r="B7" s="40" t="s">
        <v>194</v>
      </c>
      <c r="C7" s="40">
        <f>CustomDiscountCurve[[#This Row],[Discount Rate (Nominal)]]/100</f>
        <v>2.2789999999999998E-2</v>
      </c>
      <c r="D7" s="40"/>
    </row>
    <row r="8" spans="1:5" x14ac:dyDescent="0.25">
      <c r="A8" s="48">
        <v>2032</v>
      </c>
      <c r="B8" s="40" t="s">
        <v>195</v>
      </c>
      <c r="C8" s="40">
        <f>CustomDiscountCurve[[#This Row],[Discount Rate (Nominal)]]/100</f>
        <v>2.4160000000000001E-2</v>
      </c>
      <c r="D8" s="40"/>
    </row>
    <row r="9" spans="1:5" x14ac:dyDescent="0.25">
      <c r="A9" s="48">
        <v>2033</v>
      </c>
      <c r="B9" s="40" t="s">
        <v>196</v>
      </c>
      <c r="C9" s="40">
        <f>CustomDiscountCurve[[#This Row],[Discount Rate (Nominal)]]/100</f>
        <v>2.5399999999999999E-2</v>
      </c>
      <c r="D9" s="40"/>
    </row>
    <row r="10" spans="1:5" x14ac:dyDescent="0.25">
      <c r="A10" s="48">
        <v>2034</v>
      </c>
      <c r="B10" s="40" t="s">
        <v>197</v>
      </c>
      <c r="C10" s="40">
        <f>CustomDiscountCurve[[#This Row],[Discount Rate (Nominal)]]/100</f>
        <v>2.6849999999999999E-2</v>
      </c>
      <c r="D10" s="40"/>
    </row>
    <row r="11" spans="1:5" x14ac:dyDescent="0.25">
      <c r="A11" s="48">
        <v>2035</v>
      </c>
      <c r="B11" s="40" t="s">
        <v>198</v>
      </c>
      <c r="C11" s="40">
        <f>CustomDiscountCurve[[#This Row],[Discount Rate (Nominal)]]/100</f>
        <v>2.8490000000000001E-2</v>
      </c>
      <c r="D11" s="40"/>
    </row>
    <row r="12" spans="1:5" x14ac:dyDescent="0.25">
      <c r="A12" s="48">
        <v>2036</v>
      </c>
      <c r="B12" s="40" t="s">
        <v>199</v>
      </c>
      <c r="C12" s="40">
        <f>CustomDiscountCurve[[#This Row],[Discount Rate (Nominal)]]/100</f>
        <v>2.9919999999999999E-2</v>
      </c>
      <c r="D12" s="40"/>
    </row>
    <row r="13" spans="1:5" x14ac:dyDescent="0.25">
      <c r="A13" s="48">
        <v>2037</v>
      </c>
      <c r="B13" s="40" t="s">
        <v>200</v>
      </c>
      <c r="C13" s="40">
        <f>CustomDiscountCurve[[#This Row],[Discount Rate (Nominal)]]/100</f>
        <v>3.1400000000000004E-2</v>
      </c>
      <c r="D13" s="40"/>
    </row>
    <row r="14" spans="1:5" x14ac:dyDescent="0.25">
      <c r="A14" s="48">
        <v>2038</v>
      </c>
      <c r="B14" s="40" t="s">
        <v>201</v>
      </c>
      <c r="C14" s="40">
        <f>CustomDiscountCurve[[#This Row],[Discount Rate (Nominal)]]/100</f>
        <v>3.2669999999999998E-2</v>
      </c>
      <c r="D14" s="40"/>
    </row>
    <row r="15" spans="1:5" x14ac:dyDescent="0.25">
      <c r="A15" s="48">
        <v>2039</v>
      </c>
      <c r="B15" s="40" t="s">
        <v>202</v>
      </c>
      <c r="C15" s="40">
        <f>CustomDiscountCurve[[#This Row],[Discount Rate (Nominal)]]/100</f>
        <v>3.3910000000000003E-2</v>
      </c>
      <c r="D15" s="40"/>
    </row>
    <row r="16" spans="1:5" x14ac:dyDescent="0.25">
      <c r="A16" s="48">
        <v>2040</v>
      </c>
      <c r="B16" s="40" t="s">
        <v>214</v>
      </c>
      <c r="C16" s="40">
        <f>CustomDiscountCurve[[#This Row],[Discount Rate (Nominal)]]/100</f>
        <v>3.4929999999999996E-2</v>
      </c>
      <c r="D16" s="40"/>
    </row>
    <row r="17" spans="1:4" x14ac:dyDescent="0.25">
      <c r="A17" s="48">
        <v>2041</v>
      </c>
      <c r="B17" s="40" t="s">
        <v>203</v>
      </c>
      <c r="C17" s="40">
        <f>CustomDiscountCurve[[#This Row],[Discount Rate (Nominal)]]/100</f>
        <v>3.585E-2</v>
      </c>
      <c r="D17" s="40"/>
    </row>
    <row r="18" spans="1:4" x14ac:dyDescent="0.25">
      <c r="A18" s="48">
        <v>2042</v>
      </c>
      <c r="B18" s="40" t="s">
        <v>204</v>
      </c>
      <c r="C18" s="40">
        <f>CustomDiscountCurve[[#This Row],[Discount Rate (Nominal)]]/100</f>
        <v>3.712E-2</v>
      </c>
      <c r="D18" s="40"/>
    </row>
    <row r="19" spans="1:4" x14ac:dyDescent="0.25">
      <c r="A19" s="48">
        <v>2043</v>
      </c>
      <c r="B19" s="40" t="s">
        <v>215</v>
      </c>
      <c r="C19" s="40">
        <f>CustomDiscountCurve[[#This Row],[Discount Rate (Nominal)]]/100</f>
        <v>3.7839999999999999E-2</v>
      </c>
      <c r="D19" s="40"/>
    </row>
    <row r="20" spans="1:4" x14ac:dyDescent="0.25">
      <c r="A20" s="48">
        <v>2044</v>
      </c>
      <c r="B20" s="40" t="s">
        <v>205</v>
      </c>
      <c r="C20" s="40">
        <f>CustomDiscountCurve[[#This Row],[Discount Rate (Nominal)]]/100</f>
        <v>3.8550000000000001E-2</v>
      </c>
      <c r="D20" s="40"/>
    </row>
    <row r="21" spans="1:4" x14ac:dyDescent="0.25">
      <c r="A21" s="48">
        <v>2045</v>
      </c>
      <c r="B21" s="40" t="s">
        <v>206</v>
      </c>
      <c r="C21" s="40">
        <f>CustomDiscountCurve[[#This Row],[Discount Rate (Nominal)]]/100</f>
        <v>3.9289999999999999E-2</v>
      </c>
      <c r="D21" s="40"/>
    </row>
    <row r="22" spans="1:4" x14ac:dyDescent="0.25">
      <c r="A22" s="48">
        <v>2046</v>
      </c>
      <c r="B22" s="40" t="s">
        <v>207</v>
      </c>
      <c r="C22" s="40">
        <f>CustomDiscountCurve[[#This Row],[Discount Rate (Nominal)]]/100</f>
        <v>3.9919999999999997E-2</v>
      </c>
    </row>
    <row r="23" spans="1:4" x14ac:dyDescent="0.25">
      <c r="A23" s="48">
        <v>2047</v>
      </c>
      <c r="B23" s="40" t="s">
        <v>208</v>
      </c>
      <c r="C23" s="40">
        <f>CustomDiscountCurve[[#This Row],[Discount Rate (Nominal)]]/100</f>
        <v>4.0419999999999998E-2</v>
      </c>
    </row>
    <row r="24" spans="1:4" x14ac:dyDescent="0.25">
      <c r="A24" s="48">
        <v>2048</v>
      </c>
      <c r="B24" s="40" t="s">
        <v>216</v>
      </c>
      <c r="C24" s="40">
        <f>CustomDiscountCurve[[#This Row],[Discount Rate (Nominal)]]/100</f>
        <v>4.0849999999999997E-2</v>
      </c>
    </row>
    <row r="25" spans="1:4" x14ac:dyDescent="0.25">
      <c r="A25" s="48">
        <v>2049</v>
      </c>
      <c r="B25" s="40" t="s">
        <v>209</v>
      </c>
      <c r="C25" s="40">
        <f>CustomDiscountCurve[[#This Row],[Discount Rate (Nominal)]]/100</f>
        <v>4.1319999999999996E-2</v>
      </c>
    </row>
    <row r="26" spans="1:4" x14ac:dyDescent="0.25">
      <c r="A26" s="48">
        <v>2050</v>
      </c>
      <c r="B26" s="40" t="s">
        <v>210</v>
      </c>
      <c r="C26" s="40">
        <f>CustomDiscountCurve[[#This Row],[Discount Rate (Nominal)]]/100</f>
        <v>4.1329999999999999E-2</v>
      </c>
    </row>
    <row r="27" spans="1:4" x14ac:dyDescent="0.25">
      <c r="A27" s="48">
        <v>2051</v>
      </c>
      <c r="B27" s="40" t="s">
        <v>217</v>
      </c>
      <c r="C27" s="40">
        <f>CustomDiscountCurve[[#This Row],[Discount Rate (Nominal)]]/100</f>
        <v>4.1459999999999997E-2</v>
      </c>
    </row>
    <row r="28" spans="1:4" x14ac:dyDescent="0.25">
      <c r="A28" s="48">
        <v>2052</v>
      </c>
      <c r="B28" s="40" t="s">
        <v>211</v>
      </c>
      <c r="C28" s="40">
        <f>CustomDiscountCurve[[#This Row],[Discount Rate (Nominal)]]/100</f>
        <v>4.1540000000000001E-2</v>
      </c>
    </row>
    <row r="29" spans="1:4" x14ac:dyDescent="0.25">
      <c r="A29" s="48">
        <v>2053</v>
      </c>
      <c r="B29" s="40" t="s">
        <v>212</v>
      </c>
      <c r="C29" s="40">
        <f>CustomDiscountCurve[[#This Row],[Discount Rate (Nominal)]]/100</f>
        <v>4.1730000000000003E-2</v>
      </c>
    </row>
    <row r="30" spans="1:4" x14ac:dyDescent="0.25">
      <c r="A30" s="48">
        <v>2054</v>
      </c>
      <c r="B30" s="40" t="s">
        <v>218</v>
      </c>
      <c r="C30" s="40">
        <f>CustomDiscountCurve[[#This Row],[Discount Rate (Nominal)]]/100</f>
        <v>4.1799999999999997E-2</v>
      </c>
    </row>
    <row r="31" spans="1:4" x14ac:dyDescent="0.25">
      <c r="A31" s="48">
        <v>2055</v>
      </c>
      <c r="B31" s="40" t="s">
        <v>213</v>
      </c>
      <c r="C31" s="40">
        <f>CustomDiscountCurve[[#This Row],[Discount Rate (Nominal)]]/100</f>
        <v>4.2079999999999999E-2</v>
      </c>
    </row>
    <row r="32" spans="1:4" x14ac:dyDescent="0.25">
      <c r="A32" s="48">
        <v>2056</v>
      </c>
      <c r="B32" s="28">
        <v>4.7</v>
      </c>
      <c r="C32" s="40">
        <f>CustomDiscountCurve[[#This Row],[Discount Rate (Nominal)]]/100</f>
        <v>4.7E-2</v>
      </c>
    </row>
    <row r="33" spans="1:3" x14ac:dyDescent="0.25">
      <c r="A33" s="48">
        <v>2057</v>
      </c>
      <c r="B33" s="28">
        <v>4.7</v>
      </c>
      <c r="C33" s="40">
        <f>CustomDiscountCurve[[#This Row],[Discount Rate (Nominal)]]/100</f>
        <v>4.7E-2</v>
      </c>
    </row>
    <row r="34" spans="1:3" x14ac:dyDescent="0.25">
      <c r="A34" s="48">
        <v>2058</v>
      </c>
      <c r="B34" s="28">
        <v>4.7</v>
      </c>
      <c r="C34" s="40">
        <f>CustomDiscountCurve[[#This Row],[Discount Rate (Nominal)]]/100</f>
        <v>4.7E-2</v>
      </c>
    </row>
    <row r="35" spans="1:3" x14ac:dyDescent="0.25">
      <c r="A35" s="48">
        <v>2059</v>
      </c>
      <c r="B35" s="28">
        <v>4.7</v>
      </c>
      <c r="C35" s="40">
        <f>CustomDiscountCurve[[#This Row],[Discount Rate (Nominal)]]/100</f>
        <v>4.7E-2</v>
      </c>
    </row>
    <row r="36" spans="1:3" x14ac:dyDescent="0.25">
      <c r="A36" s="48">
        <v>2060</v>
      </c>
      <c r="B36" s="28">
        <v>4.7</v>
      </c>
      <c r="C36" s="40">
        <f>CustomDiscountCurve[[#This Row],[Discount Rate (Nominal)]]/100</f>
        <v>4.7E-2</v>
      </c>
    </row>
    <row r="37" spans="1:3" x14ac:dyDescent="0.25">
      <c r="A37" s="48">
        <v>2061</v>
      </c>
      <c r="B37" s="28">
        <v>4.7</v>
      </c>
      <c r="C37" s="40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E3B7-4DF4-40DF-B081-4AFF2335F0A6}">
  <dimension ref="A1:G57"/>
  <sheetViews>
    <sheetView workbookViewId="0"/>
  </sheetViews>
  <sheetFormatPr defaultRowHeight="15" x14ac:dyDescent="0.25"/>
  <cols>
    <col min="1" max="1" width="11.42578125" bestFit="1" customWidth="1"/>
    <col min="2" max="2" width="9.7109375" bestFit="1" customWidth="1"/>
    <col min="3" max="3" width="14" bestFit="1" customWidth="1"/>
    <col min="4" max="4" width="15.85546875" bestFit="1" customWidth="1"/>
    <col min="5" max="5" width="9.7109375" bestFit="1" customWidth="1"/>
    <col min="6" max="6" width="12.5703125" bestFit="1" customWidth="1"/>
  </cols>
  <sheetData>
    <row r="1" spans="1:7" x14ac:dyDescent="0.25">
      <c r="A1" t="s">
        <v>153</v>
      </c>
      <c r="B1" t="s">
        <v>183</v>
      </c>
      <c r="C1" t="s">
        <v>184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25">
      <c r="A2" t="s">
        <v>262</v>
      </c>
      <c r="B2">
        <v>1</v>
      </c>
      <c r="C2">
        <v>0</v>
      </c>
      <c r="D2" t="s">
        <v>319</v>
      </c>
    </row>
    <row r="3" spans="1:7" x14ac:dyDescent="0.25">
      <c r="A3" t="s">
        <v>263</v>
      </c>
      <c r="B3">
        <v>1</v>
      </c>
      <c r="C3">
        <v>1</v>
      </c>
      <c r="D3" t="s">
        <v>321</v>
      </c>
      <c r="E3">
        <v>20</v>
      </c>
      <c r="F3">
        <v>47.5</v>
      </c>
      <c r="G3">
        <v>75</v>
      </c>
    </row>
    <row r="4" spans="1:7" x14ac:dyDescent="0.25">
      <c r="A4" t="s">
        <v>263</v>
      </c>
      <c r="B4">
        <v>1</v>
      </c>
      <c r="C4">
        <v>1</v>
      </c>
      <c r="D4" t="s">
        <v>322</v>
      </c>
      <c r="E4">
        <v>500</v>
      </c>
      <c r="F4">
        <v>1500</v>
      </c>
      <c r="G4">
        <v>2500</v>
      </c>
    </row>
    <row r="5" spans="1:7" x14ac:dyDescent="0.25">
      <c r="A5" t="s">
        <v>263</v>
      </c>
      <c r="B5">
        <v>1</v>
      </c>
      <c r="C5">
        <v>1</v>
      </c>
      <c r="D5" t="s">
        <v>323</v>
      </c>
      <c r="E5">
        <v>500</v>
      </c>
      <c r="F5">
        <v>1500</v>
      </c>
      <c r="G5">
        <v>2500</v>
      </c>
    </row>
    <row r="6" spans="1:7" x14ac:dyDescent="0.25">
      <c r="A6" t="s">
        <v>263</v>
      </c>
      <c r="B6">
        <v>1</v>
      </c>
      <c r="C6">
        <v>1</v>
      </c>
      <c r="D6" t="s">
        <v>324</v>
      </c>
      <c r="E6">
        <v>500</v>
      </c>
      <c r="F6">
        <v>1500</v>
      </c>
      <c r="G6">
        <v>2500</v>
      </c>
    </row>
    <row r="7" spans="1:7" x14ac:dyDescent="0.25">
      <c r="A7" t="s">
        <v>263</v>
      </c>
      <c r="B7">
        <v>1</v>
      </c>
      <c r="C7">
        <v>1</v>
      </c>
      <c r="D7" t="s">
        <v>325</v>
      </c>
      <c r="E7">
        <v>500</v>
      </c>
      <c r="F7">
        <v>1500</v>
      </c>
      <c r="G7">
        <v>2500</v>
      </c>
    </row>
    <row r="8" spans="1:7" x14ac:dyDescent="0.25">
      <c r="A8" t="s">
        <v>263</v>
      </c>
      <c r="B8">
        <v>1</v>
      </c>
      <c r="C8">
        <v>1</v>
      </c>
      <c r="D8" t="s">
        <v>326</v>
      </c>
      <c r="E8">
        <v>500</v>
      </c>
      <c r="F8">
        <v>1500</v>
      </c>
      <c r="G8">
        <v>2500</v>
      </c>
    </row>
    <row r="9" spans="1:7" x14ac:dyDescent="0.25">
      <c r="A9" t="s">
        <v>263</v>
      </c>
      <c r="B9">
        <v>1</v>
      </c>
      <c r="C9">
        <v>1</v>
      </c>
      <c r="D9" t="s">
        <v>327</v>
      </c>
      <c r="E9">
        <v>500</v>
      </c>
      <c r="F9">
        <v>1500</v>
      </c>
      <c r="G9">
        <v>2500</v>
      </c>
    </row>
    <row r="10" spans="1:7" x14ac:dyDescent="0.25">
      <c r="A10" t="s">
        <v>263</v>
      </c>
      <c r="B10">
        <v>1</v>
      </c>
      <c r="C10">
        <v>1</v>
      </c>
      <c r="D10" t="s">
        <v>328</v>
      </c>
      <c r="E10">
        <v>500</v>
      </c>
      <c r="F10">
        <v>1500</v>
      </c>
      <c r="G10">
        <v>2500</v>
      </c>
    </row>
    <row r="11" spans="1:7" x14ac:dyDescent="0.25">
      <c r="A11" t="s">
        <v>263</v>
      </c>
      <c r="B11">
        <v>1</v>
      </c>
      <c r="C11">
        <v>1</v>
      </c>
      <c r="D11" t="s">
        <v>329</v>
      </c>
      <c r="E11">
        <v>500</v>
      </c>
      <c r="F11">
        <v>1500</v>
      </c>
      <c r="G11">
        <v>2500</v>
      </c>
    </row>
    <row r="12" spans="1:7" x14ac:dyDescent="0.25">
      <c r="A12" t="s">
        <v>263</v>
      </c>
      <c r="B12">
        <v>1</v>
      </c>
      <c r="C12">
        <v>1</v>
      </c>
      <c r="D12" t="s">
        <v>330</v>
      </c>
      <c r="E12">
        <v>500</v>
      </c>
      <c r="F12">
        <v>1500</v>
      </c>
      <c r="G12">
        <v>2500</v>
      </c>
    </row>
    <row r="13" spans="1:7" x14ac:dyDescent="0.25">
      <c r="A13" t="s">
        <v>263</v>
      </c>
      <c r="B13">
        <v>1</v>
      </c>
      <c r="C13">
        <v>1</v>
      </c>
      <c r="D13" t="s">
        <v>331</v>
      </c>
      <c r="E13">
        <v>500</v>
      </c>
      <c r="F13">
        <v>1500</v>
      </c>
      <c r="G13">
        <v>2500</v>
      </c>
    </row>
    <row r="14" spans="1:7" x14ac:dyDescent="0.25">
      <c r="A14" t="s">
        <v>263</v>
      </c>
      <c r="B14">
        <v>1</v>
      </c>
      <c r="C14">
        <v>1</v>
      </c>
      <c r="D14" t="s">
        <v>332</v>
      </c>
      <c r="E14">
        <v>500</v>
      </c>
      <c r="F14">
        <v>1500</v>
      </c>
      <c r="G14">
        <v>2500</v>
      </c>
    </row>
    <row r="15" spans="1:7" x14ac:dyDescent="0.25">
      <c r="A15" t="s">
        <v>263</v>
      </c>
      <c r="B15">
        <v>1</v>
      </c>
      <c r="C15">
        <v>1</v>
      </c>
      <c r="D15" t="s">
        <v>333</v>
      </c>
      <c r="E15">
        <v>500</v>
      </c>
      <c r="F15">
        <v>1500</v>
      </c>
      <c r="G15">
        <v>2500</v>
      </c>
    </row>
    <row r="16" spans="1:7" x14ac:dyDescent="0.25">
      <c r="A16" t="s">
        <v>263</v>
      </c>
      <c r="B16">
        <v>1</v>
      </c>
      <c r="C16">
        <v>1</v>
      </c>
      <c r="D16" t="s">
        <v>334</v>
      </c>
      <c r="E16">
        <v>500</v>
      </c>
      <c r="F16">
        <v>1500</v>
      </c>
      <c r="G16">
        <v>2500</v>
      </c>
    </row>
    <row r="17" spans="1:7" x14ac:dyDescent="0.25">
      <c r="A17" t="s">
        <v>263</v>
      </c>
      <c r="B17">
        <v>1</v>
      </c>
      <c r="C17">
        <v>1</v>
      </c>
      <c r="D17" t="s">
        <v>335</v>
      </c>
      <c r="E17">
        <v>500</v>
      </c>
      <c r="F17">
        <v>1500</v>
      </c>
      <c r="G17">
        <v>2500</v>
      </c>
    </row>
    <row r="18" spans="1:7" x14ac:dyDescent="0.25">
      <c r="A18" t="s">
        <v>263</v>
      </c>
      <c r="B18">
        <v>1</v>
      </c>
      <c r="C18">
        <v>1</v>
      </c>
      <c r="D18" t="s">
        <v>336</v>
      </c>
      <c r="E18">
        <v>500</v>
      </c>
      <c r="F18">
        <v>1500</v>
      </c>
      <c r="G18">
        <v>2500</v>
      </c>
    </row>
    <row r="19" spans="1:7" x14ac:dyDescent="0.25">
      <c r="A19" t="s">
        <v>263</v>
      </c>
      <c r="B19">
        <v>1</v>
      </c>
      <c r="C19">
        <v>1</v>
      </c>
      <c r="D19" t="s">
        <v>337</v>
      </c>
      <c r="E19">
        <v>500</v>
      </c>
      <c r="F19">
        <v>1500</v>
      </c>
      <c r="G19">
        <v>2500</v>
      </c>
    </row>
    <row r="20" spans="1:7" x14ac:dyDescent="0.25">
      <c r="A20" t="s">
        <v>263</v>
      </c>
      <c r="B20">
        <v>1</v>
      </c>
      <c r="C20">
        <v>1</v>
      </c>
      <c r="D20" t="s">
        <v>338</v>
      </c>
      <c r="E20">
        <v>500</v>
      </c>
      <c r="F20">
        <v>1500</v>
      </c>
      <c r="G20">
        <v>2500</v>
      </c>
    </row>
    <row r="21" spans="1:7" x14ac:dyDescent="0.25">
      <c r="A21" t="s">
        <v>263</v>
      </c>
      <c r="B21">
        <v>1</v>
      </c>
      <c r="C21">
        <v>1</v>
      </c>
      <c r="D21" t="s">
        <v>339</v>
      </c>
      <c r="E21">
        <v>500</v>
      </c>
      <c r="F21">
        <v>1500</v>
      </c>
      <c r="G21">
        <v>2500</v>
      </c>
    </row>
    <row r="22" spans="1:7" x14ac:dyDescent="0.25">
      <c r="A22" t="s">
        <v>263</v>
      </c>
      <c r="B22">
        <v>1</v>
      </c>
      <c r="C22">
        <v>1</v>
      </c>
      <c r="D22" t="s">
        <v>340</v>
      </c>
      <c r="E22">
        <v>500</v>
      </c>
      <c r="F22">
        <v>1500</v>
      </c>
      <c r="G22">
        <v>2500</v>
      </c>
    </row>
    <row r="23" spans="1:7" x14ac:dyDescent="0.25">
      <c r="A23" t="s">
        <v>263</v>
      </c>
      <c r="B23">
        <v>1</v>
      </c>
      <c r="C23">
        <v>1</v>
      </c>
      <c r="D23" t="s">
        <v>341</v>
      </c>
      <c r="E23">
        <v>500</v>
      </c>
      <c r="F23">
        <v>1500</v>
      </c>
      <c r="G23">
        <v>2500</v>
      </c>
    </row>
    <row r="24" spans="1:7" x14ac:dyDescent="0.25">
      <c r="A24" t="s">
        <v>263</v>
      </c>
      <c r="B24">
        <v>1</v>
      </c>
      <c r="C24">
        <v>1</v>
      </c>
      <c r="D24" t="s">
        <v>342</v>
      </c>
      <c r="E24">
        <v>500</v>
      </c>
      <c r="F24">
        <v>1500</v>
      </c>
      <c r="G24">
        <v>2500</v>
      </c>
    </row>
    <row r="25" spans="1:7" x14ac:dyDescent="0.25">
      <c r="A25" t="s">
        <v>263</v>
      </c>
      <c r="B25">
        <v>1</v>
      </c>
      <c r="C25">
        <v>1</v>
      </c>
      <c r="D25" t="s">
        <v>343</v>
      </c>
      <c r="E25">
        <v>500</v>
      </c>
      <c r="F25">
        <v>1500</v>
      </c>
      <c r="G25">
        <v>2500</v>
      </c>
    </row>
    <row r="26" spans="1:7" x14ac:dyDescent="0.25">
      <c r="A26" t="s">
        <v>263</v>
      </c>
      <c r="B26">
        <v>1</v>
      </c>
      <c r="C26">
        <v>1</v>
      </c>
      <c r="D26" t="s">
        <v>344</v>
      </c>
      <c r="E26">
        <v>500</v>
      </c>
      <c r="F26">
        <v>1500</v>
      </c>
      <c r="G26">
        <v>2500</v>
      </c>
    </row>
    <row r="27" spans="1:7" x14ac:dyDescent="0.25">
      <c r="A27" t="s">
        <v>263</v>
      </c>
      <c r="B27">
        <v>1</v>
      </c>
      <c r="C27">
        <v>1</v>
      </c>
      <c r="D27" t="s">
        <v>345</v>
      </c>
      <c r="E27">
        <v>500</v>
      </c>
      <c r="F27">
        <v>1500</v>
      </c>
      <c r="G27">
        <v>2500</v>
      </c>
    </row>
    <row r="28" spans="1:7" x14ac:dyDescent="0.25">
      <c r="A28" t="s">
        <v>263</v>
      </c>
      <c r="B28">
        <v>1</v>
      </c>
      <c r="C28">
        <v>1</v>
      </c>
      <c r="D28" t="s">
        <v>346</v>
      </c>
      <c r="E28">
        <v>500</v>
      </c>
      <c r="F28">
        <v>1500</v>
      </c>
      <c r="G28">
        <v>2500</v>
      </c>
    </row>
    <row r="29" spans="1:7" x14ac:dyDescent="0.25">
      <c r="A29" t="s">
        <v>263</v>
      </c>
      <c r="B29">
        <v>1</v>
      </c>
      <c r="C29">
        <v>1</v>
      </c>
      <c r="D29" t="s">
        <v>347</v>
      </c>
      <c r="E29">
        <v>500</v>
      </c>
      <c r="F29">
        <v>1500</v>
      </c>
      <c r="G29">
        <v>2500</v>
      </c>
    </row>
    <row r="30" spans="1:7" x14ac:dyDescent="0.25">
      <c r="A30" t="s">
        <v>262</v>
      </c>
      <c r="B30">
        <v>2</v>
      </c>
      <c r="C30">
        <v>0</v>
      </c>
      <c r="D30" t="s">
        <v>320</v>
      </c>
    </row>
    <row r="31" spans="1:7" x14ac:dyDescent="0.25">
      <c r="A31" t="s">
        <v>263</v>
      </c>
      <c r="B31">
        <v>2</v>
      </c>
      <c r="C31">
        <v>1</v>
      </c>
      <c r="D31" t="s">
        <v>348</v>
      </c>
      <c r="E31">
        <v>1800</v>
      </c>
      <c r="F31">
        <v>2250</v>
      </c>
      <c r="G31">
        <v>2700</v>
      </c>
    </row>
    <row r="32" spans="1:7" x14ac:dyDescent="0.25">
      <c r="A32" t="s">
        <v>263</v>
      </c>
      <c r="B32">
        <v>2</v>
      </c>
      <c r="C32">
        <v>1</v>
      </c>
      <c r="D32" t="s">
        <v>349</v>
      </c>
      <c r="E32">
        <v>1800</v>
      </c>
      <c r="F32">
        <v>2250</v>
      </c>
      <c r="G32">
        <v>2700</v>
      </c>
    </row>
    <row r="33" spans="1:7" x14ac:dyDescent="0.25">
      <c r="A33" t="s">
        <v>263</v>
      </c>
      <c r="B33">
        <v>2</v>
      </c>
      <c r="C33">
        <v>1</v>
      </c>
      <c r="D33" t="s">
        <v>350</v>
      </c>
      <c r="E33">
        <v>1800</v>
      </c>
      <c r="F33">
        <v>2250</v>
      </c>
      <c r="G33">
        <v>2700</v>
      </c>
    </row>
    <row r="34" spans="1:7" x14ac:dyDescent="0.25">
      <c r="A34" t="s">
        <v>263</v>
      </c>
      <c r="B34">
        <v>2</v>
      </c>
      <c r="C34">
        <v>1</v>
      </c>
      <c r="D34" t="s">
        <v>351</v>
      </c>
      <c r="E34">
        <v>1800</v>
      </c>
      <c r="F34">
        <v>2250</v>
      </c>
      <c r="G34">
        <v>2700</v>
      </c>
    </row>
    <row r="35" spans="1:7" x14ac:dyDescent="0.25">
      <c r="A35" t="s">
        <v>263</v>
      </c>
      <c r="B35">
        <v>2</v>
      </c>
      <c r="C35">
        <v>1</v>
      </c>
      <c r="D35" t="s">
        <v>352</v>
      </c>
      <c r="E35">
        <v>1800</v>
      </c>
      <c r="F35">
        <v>2250</v>
      </c>
      <c r="G35">
        <v>2700</v>
      </c>
    </row>
    <row r="36" spans="1:7" x14ac:dyDescent="0.25">
      <c r="A36" t="s">
        <v>263</v>
      </c>
      <c r="B36">
        <v>2</v>
      </c>
      <c r="C36">
        <v>1</v>
      </c>
      <c r="D36" t="s">
        <v>353</v>
      </c>
      <c r="E36">
        <v>1800</v>
      </c>
      <c r="F36">
        <v>2250</v>
      </c>
      <c r="G36">
        <v>2700</v>
      </c>
    </row>
    <row r="37" spans="1:7" x14ac:dyDescent="0.25">
      <c r="A37" t="s">
        <v>263</v>
      </c>
      <c r="B37">
        <v>2</v>
      </c>
      <c r="C37">
        <v>1</v>
      </c>
      <c r="D37" t="s">
        <v>354</v>
      </c>
      <c r="E37">
        <v>1800</v>
      </c>
      <c r="F37">
        <v>2250</v>
      </c>
      <c r="G37">
        <v>2700</v>
      </c>
    </row>
    <row r="38" spans="1:7" x14ac:dyDescent="0.25">
      <c r="A38" t="s">
        <v>263</v>
      </c>
      <c r="B38">
        <v>2</v>
      </c>
      <c r="C38">
        <v>1</v>
      </c>
      <c r="D38" t="s">
        <v>355</v>
      </c>
      <c r="E38">
        <v>1800</v>
      </c>
      <c r="F38">
        <v>2250</v>
      </c>
      <c r="G38">
        <v>2700</v>
      </c>
    </row>
    <row r="39" spans="1:7" x14ac:dyDescent="0.25">
      <c r="A39" t="s">
        <v>263</v>
      </c>
      <c r="B39">
        <v>2</v>
      </c>
      <c r="C39">
        <v>1</v>
      </c>
      <c r="D39" t="s">
        <v>356</v>
      </c>
      <c r="E39">
        <v>1800</v>
      </c>
      <c r="F39">
        <v>2250</v>
      </c>
      <c r="G39">
        <v>2700</v>
      </c>
    </row>
    <row r="40" spans="1:7" x14ac:dyDescent="0.25">
      <c r="A40" t="s">
        <v>263</v>
      </c>
      <c r="B40">
        <v>2</v>
      </c>
      <c r="C40">
        <v>1</v>
      </c>
      <c r="D40" t="s">
        <v>357</v>
      </c>
      <c r="E40">
        <v>1800</v>
      </c>
      <c r="F40">
        <v>2250</v>
      </c>
      <c r="G40">
        <v>2700</v>
      </c>
    </row>
    <row r="41" spans="1:7" x14ac:dyDescent="0.25">
      <c r="A41" t="s">
        <v>263</v>
      </c>
      <c r="B41">
        <v>2</v>
      </c>
      <c r="C41">
        <v>1</v>
      </c>
      <c r="D41" t="s">
        <v>358</v>
      </c>
      <c r="E41">
        <v>1800</v>
      </c>
      <c r="F41">
        <v>2250</v>
      </c>
      <c r="G41">
        <v>2700</v>
      </c>
    </row>
    <row r="42" spans="1:7" x14ac:dyDescent="0.25">
      <c r="A42" t="s">
        <v>263</v>
      </c>
      <c r="B42">
        <v>2</v>
      </c>
      <c r="C42">
        <v>1</v>
      </c>
      <c r="D42" t="s">
        <v>359</v>
      </c>
      <c r="E42">
        <v>1800</v>
      </c>
      <c r="F42">
        <v>2250</v>
      </c>
      <c r="G42">
        <v>2700</v>
      </c>
    </row>
    <row r="43" spans="1:7" x14ac:dyDescent="0.25">
      <c r="A43" t="s">
        <v>263</v>
      </c>
      <c r="B43">
        <v>2</v>
      </c>
      <c r="C43">
        <v>1</v>
      </c>
      <c r="D43" t="s">
        <v>360</v>
      </c>
      <c r="E43">
        <v>1800</v>
      </c>
      <c r="F43">
        <v>2250</v>
      </c>
      <c r="G43">
        <v>2700</v>
      </c>
    </row>
    <row r="44" spans="1:7" x14ac:dyDescent="0.25">
      <c r="A44" t="s">
        <v>263</v>
      </c>
      <c r="B44">
        <v>2</v>
      </c>
      <c r="C44">
        <v>1</v>
      </c>
      <c r="D44" t="s">
        <v>361</v>
      </c>
      <c r="E44">
        <v>1800</v>
      </c>
      <c r="F44">
        <v>2250</v>
      </c>
      <c r="G44">
        <v>2700</v>
      </c>
    </row>
    <row r="45" spans="1:7" x14ac:dyDescent="0.25">
      <c r="A45" t="s">
        <v>263</v>
      </c>
      <c r="B45">
        <v>2</v>
      </c>
      <c r="C45">
        <v>1</v>
      </c>
      <c r="D45" t="s">
        <v>362</v>
      </c>
      <c r="E45">
        <v>1800</v>
      </c>
      <c r="F45">
        <v>2250</v>
      </c>
      <c r="G45">
        <v>2700</v>
      </c>
    </row>
    <row r="46" spans="1:7" x14ac:dyDescent="0.25">
      <c r="A46" t="s">
        <v>263</v>
      </c>
      <c r="B46">
        <v>2</v>
      </c>
      <c r="C46">
        <v>1</v>
      </c>
      <c r="D46" t="s">
        <v>363</v>
      </c>
      <c r="E46">
        <v>1800</v>
      </c>
      <c r="F46">
        <v>2250</v>
      </c>
      <c r="G46">
        <v>2700</v>
      </c>
    </row>
    <row r="47" spans="1:7" x14ac:dyDescent="0.25">
      <c r="A47" t="s">
        <v>263</v>
      </c>
      <c r="B47">
        <v>2</v>
      </c>
      <c r="C47">
        <v>1</v>
      </c>
      <c r="D47" t="s">
        <v>364</v>
      </c>
      <c r="E47">
        <v>1800</v>
      </c>
      <c r="F47">
        <v>2250</v>
      </c>
      <c r="G47">
        <v>2700</v>
      </c>
    </row>
    <row r="48" spans="1:7" x14ac:dyDescent="0.25">
      <c r="A48" t="s">
        <v>263</v>
      </c>
      <c r="B48">
        <v>2</v>
      </c>
      <c r="C48">
        <v>1</v>
      </c>
      <c r="D48" t="s">
        <v>365</v>
      </c>
      <c r="E48">
        <v>1800</v>
      </c>
      <c r="F48">
        <v>2250</v>
      </c>
      <c r="G48">
        <v>2700</v>
      </c>
    </row>
    <row r="49" spans="1:7" x14ac:dyDescent="0.25">
      <c r="A49" t="s">
        <v>263</v>
      </c>
      <c r="B49">
        <v>2</v>
      </c>
      <c r="C49">
        <v>1</v>
      </c>
      <c r="D49" t="s">
        <v>366</v>
      </c>
      <c r="E49">
        <v>1800</v>
      </c>
      <c r="F49">
        <v>2250</v>
      </c>
      <c r="G49">
        <v>2700</v>
      </c>
    </row>
    <row r="50" spans="1:7" x14ac:dyDescent="0.25">
      <c r="A50" t="s">
        <v>263</v>
      </c>
      <c r="B50">
        <v>2</v>
      </c>
      <c r="C50">
        <v>1</v>
      </c>
      <c r="D50" t="s">
        <v>367</v>
      </c>
      <c r="E50">
        <v>1800</v>
      </c>
      <c r="F50">
        <v>2250</v>
      </c>
      <c r="G50">
        <v>2700</v>
      </c>
    </row>
    <row r="51" spans="1:7" x14ac:dyDescent="0.25">
      <c r="A51" t="s">
        <v>263</v>
      </c>
      <c r="B51">
        <v>2</v>
      </c>
      <c r="C51">
        <v>1</v>
      </c>
      <c r="D51" t="s">
        <v>368</v>
      </c>
      <c r="E51">
        <v>1800</v>
      </c>
      <c r="F51">
        <v>2250</v>
      </c>
      <c r="G51">
        <v>2700</v>
      </c>
    </row>
    <row r="52" spans="1:7" x14ac:dyDescent="0.25">
      <c r="A52" t="s">
        <v>263</v>
      </c>
      <c r="B52">
        <v>2</v>
      </c>
      <c r="C52">
        <v>1</v>
      </c>
      <c r="D52" t="s">
        <v>369</v>
      </c>
      <c r="E52">
        <v>1800</v>
      </c>
      <c r="F52">
        <v>2250</v>
      </c>
      <c r="G52">
        <v>2700</v>
      </c>
    </row>
    <row r="53" spans="1:7" x14ac:dyDescent="0.25">
      <c r="A53" t="s">
        <v>263</v>
      </c>
      <c r="B53">
        <v>2</v>
      </c>
      <c r="C53">
        <v>1</v>
      </c>
      <c r="D53" t="s">
        <v>370</v>
      </c>
      <c r="E53">
        <v>1800</v>
      </c>
      <c r="F53">
        <v>2250</v>
      </c>
      <c r="G53">
        <v>2700</v>
      </c>
    </row>
    <row r="54" spans="1:7" x14ac:dyDescent="0.25">
      <c r="A54" t="s">
        <v>263</v>
      </c>
      <c r="B54">
        <v>2</v>
      </c>
      <c r="C54">
        <v>1</v>
      </c>
      <c r="D54" t="s">
        <v>371</v>
      </c>
      <c r="E54">
        <v>1800</v>
      </c>
      <c r="F54">
        <v>2250</v>
      </c>
      <c r="G54">
        <v>2700</v>
      </c>
    </row>
    <row r="55" spans="1:7" x14ac:dyDescent="0.25">
      <c r="A55" t="s">
        <v>263</v>
      </c>
      <c r="B55">
        <v>2</v>
      </c>
      <c r="C55">
        <v>1</v>
      </c>
      <c r="D55" t="s">
        <v>372</v>
      </c>
      <c r="E55">
        <v>1800</v>
      </c>
      <c r="F55">
        <v>2250</v>
      </c>
      <c r="G55">
        <v>2700</v>
      </c>
    </row>
    <row r="56" spans="1:7" x14ac:dyDescent="0.25">
      <c r="A56" t="s">
        <v>263</v>
      </c>
      <c r="B56">
        <v>2</v>
      </c>
      <c r="C56">
        <v>1</v>
      </c>
      <c r="D56" t="s">
        <v>373</v>
      </c>
      <c r="E56">
        <v>1800</v>
      </c>
      <c r="F56">
        <v>2250</v>
      </c>
      <c r="G56">
        <v>2700</v>
      </c>
    </row>
    <row r="57" spans="1:7" x14ac:dyDescent="0.25">
      <c r="A57" t="s">
        <v>20</v>
      </c>
      <c r="C57">
        <v>2</v>
      </c>
      <c r="D57" t="s">
        <v>167</v>
      </c>
      <c r="E57">
        <v>59820</v>
      </c>
      <c r="F57">
        <v>97547.5</v>
      </c>
      <c r="G57">
        <v>135275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>
    <tabColor theme="6"/>
  </sheetPr>
  <dimension ref="A1:L57"/>
  <sheetViews>
    <sheetView topLeftCell="D1" workbookViewId="0">
      <selection activeCell="H32" sqref="H32"/>
    </sheetView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42578125" style="1" bestFit="1" customWidth="1"/>
    <col min="5" max="5" width="11.140625" style="1" bestFit="1" customWidth="1"/>
    <col min="6" max="6" width="14.28515625" style="1" bestFit="1" customWidth="1"/>
    <col min="7" max="7" width="11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39" t="s">
        <v>163</v>
      </c>
      <c r="E1" s="39" t="s">
        <v>164</v>
      </c>
      <c r="F1" s="39" t="s">
        <v>165</v>
      </c>
      <c r="G1" s="39" t="s">
        <v>166</v>
      </c>
      <c r="J1" s="19"/>
      <c r="K1" s="19"/>
      <c r="L1" s="19"/>
    </row>
    <row r="2" spans="1:12" x14ac:dyDescent="0.25">
      <c r="A2" s="1" t="s">
        <v>262</v>
      </c>
      <c r="B2" s="1">
        <v>1</v>
      </c>
      <c r="C2" s="1">
        <v>0</v>
      </c>
      <c r="D2" s="22" t="s">
        <v>319</v>
      </c>
      <c r="E2" s="22"/>
      <c r="F2" s="22"/>
      <c r="G2" s="22"/>
    </row>
    <row r="3" spans="1:12" x14ac:dyDescent="0.25">
      <c r="A3" s="1" t="s">
        <v>263</v>
      </c>
      <c r="B3" s="1">
        <v>1</v>
      </c>
      <c r="C3" s="1">
        <v>1</v>
      </c>
      <c r="D3" s="22" t="s">
        <v>321</v>
      </c>
      <c r="E3" s="22">
        <v>18.916499999999999</v>
      </c>
      <c r="F3" s="22">
        <v>44.2498</v>
      </c>
      <c r="G3" s="22">
        <v>69.583200000000005</v>
      </c>
    </row>
    <row r="4" spans="1:12" x14ac:dyDescent="0.25">
      <c r="A4" s="1" t="s">
        <v>263</v>
      </c>
      <c r="B4" s="1">
        <v>1</v>
      </c>
      <c r="C4" s="1">
        <v>1</v>
      </c>
      <c r="D4" s="22" t="s">
        <v>322</v>
      </c>
      <c r="E4" s="22">
        <v>445.83240000000001</v>
      </c>
      <c r="F4" s="22">
        <v>1337.4973</v>
      </c>
      <c r="G4" s="22">
        <v>2229.1623</v>
      </c>
    </row>
    <row r="5" spans="1:12" x14ac:dyDescent="0.25">
      <c r="A5" s="1" t="s">
        <v>263</v>
      </c>
      <c r="B5" s="1">
        <v>1</v>
      </c>
      <c r="C5" s="1">
        <v>1</v>
      </c>
      <c r="D5" s="22" t="s">
        <v>323</v>
      </c>
      <c r="E5" s="22">
        <v>445.83240000000001</v>
      </c>
      <c r="F5" s="22">
        <v>1337.4973</v>
      </c>
      <c r="G5" s="22">
        <v>2229.1623</v>
      </c>
    </row>
    <row r="6" spans="1:12" x14ac:dyDescent="0.25">
      <c r="A6" s="1" t="s">
        <v>263</v>
      </c>
      <c r="B6" s="1">
        <v>1</v>
      </c>
      <c r="C6" s="1">
        <v>1</v>
      </c>
      <c r="D6" s="22" t="s">
        <v>324</v>
      </c>
      <c r="E6" s="22">
        <v>445.83240000000001</v>
      </c>
      <c r="F6" s="22">
        <v>1337.4973</v>
      </c>
      <c r="G6" s="22">
        <v>2229.1623</v>
      </c>
    </row>
    <row r="7" spans="1:12" x14ac:dyDescent="0.25">
      <c r="A7" s="1" t="s">
        <v>263</v>
      </c>
      <c r="B7" s="1">
        <v>1</v>
      </c>
      <c r="C7" s="1">
        <v>1</v>
      </c>
      <c r="D7" s="22" t="s">
        <v>325</v>
      </c>
      <c r="E7" s="22">
        <v>445.83240000000001</v>
      </c>
      <c r="F7" s="22">
        <v>1337.4973</v>
      </c>
      <c r="G7" s="22">
        <v>2229.1623</v>
      </c>
    </row>
    <row r="8" spans="1:12" x14ac:dyDescent="0.25">
      <c r="A8" s="1" t="s">
        <v>263</v>
      </c>
      <c r="B8" s="1">
        <v>1</v>
      </c>
      <c r="C8" s="1">
        <v>1</v>
      </c>
      <c r="D8" s="22" t="s">
        <v>326</v>
      </c>
      <c r="E8" s="22">
        <v>445.83240000000001</v>
      </c>
      <c r="F8" s="22">
        <v>1337.4973</v>
      </c>
      <c r="G8" s="22">
        <v>2229.1623</v>
      </c>
    </row>
    <row r="9" spans="1:12" x14ac:dyDescent="0.25">
      <c r="A9" s="1" t="s">
        <v>263</v>
      </c>
      <c r="B9" s="1">
        <v>1</v>
      </c>
      <c r="C9" s="1">
        <v>1</v>
      </c>
      <c r="D9" s="22" t="s">
        <v>327</v>
      </c>
      <c r="E9" s="22">
        <v>445.83240000000001</v>
      </c>
      <c r="F9" s="22">
        <v>1337.4973</v>
      </c>
      <c r="G9" s="22">
        <v>2229.1623</v>
      </c>
    </row>
    <row r="10" spans="1:12" x14ac:dyDescent="0.25">
      <c r="A10" s="1" t="s">
        <v>263</v>
      </c>
      <c r="B10" s="1">
        <v>1</v>
      </c>
      <c r="C10" s="1">
        <v>1</v>
      </c>
      <c r="D10" s="22" t="s">
        <v>328</v>
      </c>
      <c r="E10" s="22">
        <v>445.83240000000001</v>
      </c>
      <c r="F10" s="22">
        <v>1337.4973</v>
      </c>
      <c r="G10" s="22">
        <v>2229.1623</v>
      </c>
    </row>
    <row r="11" spans="1:12" x14ac:dyDescent="0.25">
      <c r="A11" s="1" t="s">
        <v>263</v>
      </c>
      <c r="B11" s="1">
        <v>1</v>
      </c>
      <c r="C11" s="1">
        <v>1</v>
      </c>
      <c r="D11" s="22" t="s">
        <v>329</v>
      </c>
      <c r="E11" s="22">
        <v>445.83240000000001</v>
      </c>
      <c r="F11" s="22">
        <v>1337.4973</v>
      </c>
      <c r="G11" s="22">
        <v>2229.1623</v>
      </c>
    </row>
    <row r="12" spans="1:12" x14ac:dyDescent="0.25">
      <c r="A12" s="1" t="s">
        <v>263</v>
      </c>
      <c r="B12" s="1">
        <v>1</v>
      </c>
      <c r="C12" s="1">
        <v>1</v>
      </c>
      <c r="D12" s="22" t="s">
        <v>330</v>
      </c>
      <c r="E12" s="22">
        <v>445.83240000000001</v>
      </c>
      <c r="F12" s="22">
        <v>1337.4973</v>
      </c>
      <c r="G12" s="22">
        <v>2229.1623</v>
      </c>
    </row>
    <row r="13" spans="1:12" x14ac:dyDescent="0.25">
      <c r="A13" s="1" t="s">
        <v>263</v>
      </c>
      <c r="B13" s="1">
        <v>1</v>
      </c>
      <c r="C13" s="1">
        <v>1</v>
      </c>
      <c r="D13" s="22" t="s">
        <v>331</v>
      </c>
      <c r="E13" s="22">
        <v>445.83240000000001</v>
      </c>
      <c r="F13" s="22">
        <v>1337.4973</v>
      </c>
      <c r="G13" s="22">
        <v>2229.1623</v>
      </c>
    </row>
    <row r="14" spans="1:12" x14ac:dyDescent="0.25">
      <c r="A14" s="1" t="s">
        <v>263</v>
      </c>
      <c r="B14" s="1">
        <v>1</v>
      </c>
      <c r="C14" s="1">
        <v>1</v>
      </c>
      <c r="D14" s="22" t="s">
        <v>332</v>
      </c>
      <c r="E14" s="22">
        <v>445.83240000000001</v>
      </c>
      <c r="F14" s="22">
        <v>1337.4973</v>
      </c>
      <c r="G14" s="22">
        <v>2229.1623</v>
      </c>
    </row>
    <row r="15" spans="1:12" x14ac:dyDescent="0.25">
      <c r="A15" s="1" t="s">
        <v>263</v>
      </c>
      <c r="B15" s="1">
        <v>1</v>
      </c>
      <c r="C15" s="1">
        <v>1</v>
      </c>
      <c r="D15" s="22" t="s">
        <v>333</v>
      </c>
      <c r="E15" s="22">
        <v>445.83240000000001</v>
      </c>
      <c r="F15" s="22">
        <v>1337.4973</v>
      </c>
      <c r="G15" s="22">
        <v>2229.1623</v>
      </c>
    </row>
    <row r="16" spans="1:12" x14ac:dyDescent="0.25">
      <c r="A16" s="1" t="s">
        <v>263</v>
      </c>
      <c r="B16" s="1">
        <v>1</v>
      </c>
      <c r="C16" s="1">
        <v>1</v>
      </c>
      <c r="D16" s="22" t="s">
        <v>334</v>
      </c>
      <c r="E16" s="22">
        <v>445.83240000000001</v>
      </c>
      <c r="F16" s="22">
        <v>1337.4973</v>
      </c>
      <c r="G16" s="22">
        <v>2229.1623</v>
      </c>
    </row>
    <row r="17" spans="1:8" x14ac:dyDescent="0.25">
      <c r="A17" s="1" t="s">
        <v>263</v>
      </c>
      <c r="B17" s="1">
        <v>1</v>
      </c>
      <c r="C17" s="1">
        <v>1</v>
      </c>
      <c r="D17" s="22" t="s">
        <v>335</v>
      </c>
      <c r="E17" s="22">
        <v>445.83240000000001</v>
      </c>
      <c r="F17" s="22">
        <v>1337.4973</v>
      </c>
      <c r="G17" s="22">
        <v>2229.1623</v>
      </c>
    </row>
    <row r="18" spans="1:8" x14ac:dyDescent="0.25">
      <c r="A18" s="1" t="s">
        <v>263</v>
      </c>
      <c r="B18" s="1">
        <v>1</v>
      </c>
      <c r="C18" s="1">
        <v>1</v>
      </c>
      <c r="D18" s="22" t="s">
        <v>336</v>
      </c>
      <c r="E18" s="22">
        <v>445.83240000000001</v>
      </c>
      <c r="F18" s="22">
        <v>1337.4973</v>
      </c>
      <c r="G18" s="22">
        <v>2229.1623</v>
      </c>
    </row>
    <row r="19" spans="1:8" x14ac:dyDescent="0.25">
      <c r="A19" s="1" t="s">
        <v>263</v>
      </c>
      <c r="B19" s="1">
        <v>1</v>
      </c>
      <c r="C19" s="1">
        <v>1</v>
      </c>
      <c r="D19" s="22" t="s">
        <v>337</v>
      </c>
      <c r="E19" s="22">
        <v>445.83240000000001</v>
      </c>
      <c r="F19" s="22">
        <v>1337.4973</v>
      </c>
      <c r="G19" s="22">
        <v>2229.1623</v>
      </c>
    </row>
    <row r="20" spans="1:8" x14ac:dyDescent="0.25">
      <c r="A20" s="1" t="s">
        <v>263</v>
      </c>
      <c r="B20" s="1">
        <v>1</v>
      </c>
      <c r="C20" s="1">
        <v>1</v>
      </c>
      <c r="D20" s="22" t="s">
        <v>338</v>
      </c>
      <c r="E20" s="22">
        <v>445.83240000000001</v>
      </c>
      <c r="F20" s="22">
        <v>1337.4973</v>
      </c>
      <c r="G20" s="22">
        <v>2229.1623</v>
      </c>
    </row>
    <row r="21" spans="1:8" x14ac:dyDescent="0.25">
      <c r="A21" s="1" t="s">
        <v>263</v>
      </c>
      <c r="B21" s="1">
        <v>1</v>
      </c>
      <c r="C21" s="1">
        <v>1</v>
      </c>
      <c r="D21" s="22" t="s">
        <v>339</v>
      </c>
      <c r="E21" s="22">
        <v>445.83240000000001</v>
      </c>
      <c r="F21" s="22">
        <v>1337.4973</v>
      </c>
      <c r="G21" s="22">
        <v>2229.1623</v>
      </c>
    </row>
    <row r="22" spans="1:8" x14ac:dyDescent="0.25">
      <c r="A22" s="1" t="s">
        <v>263</v>
      </c>
      <c r="B22" s="1">
        <v>1</v>
      </c>
      <c r="C22" s="1">
        <v>1</v>
      </c>
      <c r="D22" s="22" t="s">
        <v>340</v>
      </c>
      <c r="E22" s="22">
        <v>445.83240000000001</v>
      </c>
      <c r="F22" s="22">
        <v>1337.4973</v>
      </c>
      <c r="G22" s="22">
        <v>2229.1623</v>
      </c>
    </row>
    <row r="23" spans="1:8" x14ac:dyDescent="0.25">
      <c r="A23" s="1" t="s">
        <v>263</v>
      </c>
      <c r="B23" s="1">
        <v>1</v>
      </c>
      <c r="C23" s="1">
        <v>1</v>
      </c>
      <c r="D23" s="22" t="s">
        <v>341</v>
      </c>
      <c r="E23" s="22">
        <v>445.83240000000001</v>
      </c>
      <c r="F23" s="22">
        <v>1337.4973</v>
      </c>
      <c r="G23" s="22">
        <v>2229.1623</v>
      </c>
    </row>
    <row r="24" spans="1:8" x14ac:dyDescent="0.25">
      <c r="A24" s="1" t="s">
        <v>263</v>
      </c>
      <c r="B24" s="1">
        <v>1</v>
      </c>
      <c r="C24" s="1">
        <v>1</v>
      </c>
      <c r="D24" s="22" t="s">
        <v>342</v>
      </c>
      <c r="E24" s="22">
        <v>445.83240000000001</v>
      </c>
      <c r="F24" s="22">
        <v>1337.4973</v>
      </c>
      <c r="G24" s="22">
        <v>2229.1623</v>
      </c>
    </row>
    <row r="25" spans="1:8" x14ac:dyDescent="0.25">
      <c r="A25" s="1" t="s">
        <v>263</v>
      </c>
      <c r="B25" s="1">
        <v>1</v>
      </c>
      <c r="C25" s="1">
        <v>1</v>
      </c>
      <c r="D25" s="22" t="s">
        <v>343</v>
      </c>
      <c r="E25" s="22">
        <v>445.83240000000001</v>
      </c>
      <c r="F25" s="22">
        <v>1337.4973</v>
      </c>
      <c r="G25" s="22">
        <v>2229.1623</v>
      </c>
    </row>
    <row r="26" spans="1:8" x14ac:dyDescent="0.25">
      <c r="A26" s="1" t="s">
        <v>263</v>
      </c>
      <c r="B26" s="1">
        <v>1</v>
      </c>
      <c r="C26" s="1">
        <v>1</v>
      </c>
      <c r="D26" s="22" t="s">
        <v>344</v>
      </c>
      <c r="E26" s="22">
        <v>445.83240000000001</v>
      </c>
      <c r="F26" s="22">
        <v>1337.4973</v>
      </c>
      <c r="G26" s="22">
        <v>2229.1623</v>
      </c>
    </row>
    <row r="27" spans="1:8" x14ac:dyDescent="0.25">
      <c r="A27" s="1" t="s">
        <v>263</v>
      </c>
      <c r="B27" s="1">
        <v>1</v>
      </c>
      <c r="C27" s="1">
        <v>1</v>
      </c>
      <c r="D27" s="22" t="s">
        <v>345</v>
      </c>
      <c r="E27" s="22">
        <v>445.83240000000001</v>
      </c>
      <c r="F27" s="22">
        <v>1337.4973</v>
      </c>
      <c r="G27" s="22">
        <v>2229.1623</v>
      </c>
    </row>
    <row r="28" spans="1:8" x14ac:dyDescent="0.25">
      <c r="A28" s="1" t="s">
        <v>263</v>
      </c>
      <c r="B28" s="1">
        <v>1</v>
      </c>
      <c r="C28" s="1">
        <v>1</v>
      </c>
      <c r="D28" s="22" t="s">
        <v>346</v>
      </c>
      <c r="E28" s="22">
        <v>445.83240000000001</v>
      </c>
      <c r="F28" s="22">
        <v>1337.4973</v>
      </c>
      <c r="G28" s="22">
        <v>2229.1623</v>
      </c>
    </row>
    <row r="29" spans="1:8" x14ac:dyDescent="0.25">
      <c r="A29" s="1" t="s">
        <v>263</v>
      </c>
      <c r="B29" s="1">
        <v>1</v>
      </c>
      <c r="C29" s="1">
        <v>1</v>
      </c>
      <c r="D29" s="22" t="s">
        <v>347</v>
      </c>
      <c r="E29" s="22">
        <v>445.83240000000001</v>
      </c>
      <c r="F29" s="22">
        <v>1337.4973</v>
      </c>
      <c r="G29" s="22">
        <v>2229.1623</v>
      </c>
      <c r="H29" s="1" t="s">
        <v>503</v>
      </c>
    </row>
    <row r="30" spans="1:8" x14ac:dyDescent="0.25">
      <c r="A30" s="1" t="s">
        <v>262</v>
      </c>
      <c r="B30" s="1">
        <v>2</v>
      </c>
      <c r="C30" s="1">
        <v>0</v>
      </c>
      <c r="D30" s="22" t="s">
        <v>320</v>
      </c>
      <c r="E30" s="22"/>
      <c r="F30" s="22"/>
      <c r="G30" s="22"/>
      <c r="H30" s="1" t="s">
        <v>502</v>
      </c>
    </row>
    <row r="31" spans="1:8" x14ac:dyDescent="0.25">
      <c r="A31" s="1" t="s">
        <v>263</v>
      </c>
      <c r="B31" s="1">
        <v>2</v>
      </c>
      <c r="C31" s="1">
        <v>1</v>
      </c>
      <c r="D31" s="22" t="s">
        <v>348</v>
      </c>
      <c r="E31" s="22">
        <v>1484.4223999999999</v>
      </c>
      <c r="F31" s="22">
        <v>1855.528</v>
      </c>
      <c r="G31" s="22">
        <v>2226.6338000000001</v>
      </c>
      <c r="H31" s="1" t="s">
        <v>529</v>
      </c>
    </row>
    <row r="32" spans="1:8" x14ac:dyDescent="0.25">
      <c r="A32" s="1" t="s">
        <v>263</v>
      </c>
      <c r="B32" s="1">
        <v>2</v>
      </c>
      <c r="C32" s="1">
        <v>1</v>
      </c>
      <c r="D32" s="22" t="s">
        <v>349</v>
      </c>
      <c r="E32" s="22">
        <v>1484.4223999999999</v>
      </c>
      <c r="F32" s="22">
        <v>1855.528</v>
      </c>
      <c r="G32" s="22">
        <v>2226.6338000000001</v>
      </c>
    </row>
    <row r="33" spans="1:7" x14ac:dyDescent="0.25">
      <c r="A33" s="1" t="s">
        <v>263</v>
      </c>
      <c r="B33" s="1">
        <v>2</v>
      </c>
      <c r="C33" s="1">
        <v>1</v>
      </c>
      <c r="D33" s="22" t="s">
        <v>350</v>
      </c>
      <c r="E33" s="22">
        <v>1484.4223999999999</v>
      </c>
      <c r="F33" s="22">
        <v>1855.528</v>
      </c>
      <c r="G33" s="22">
        <v>2226.6338000000001</v>
      </c>
    </row>
    <row r="34" spans="1:7" x14ac:dyDescent="0.25">
      <c r="A34" s="1" t="s">
        <v>263</v>
      </c>
      <c r="B34" s="1">
        <v>2</v>
      </c>
      <c r="C34" s="1">
        <v>1</v>
      </c>
      <c r="D34" s="22" t="s">
        <v>351</v>
      </c>
      <c r="E34" s="22">
        <v>1484.4223999999999</v>
      </c>
      <c r="F34" s="22">
        <v>1855.528</v>
      </c>
      <c r="G34" s="22">
        <v>2226.6338000000001</v>
      </c>
    </row>
    <row r="35" spans="1:7" x14ac:dyDescent="0.25">
      <c r="A35" s="1" t="s">
        <v>263</v>
      </c>
      <c r="B35" s="1">
        <v>2</v>
      </c>
      <c r="C35" s="1">
        <v>1</v>
      </c>
      <c r="D35" s="22" t="s">
        <v>352</v>
      </c>
      <c r="E35" s="22">
        <v>1484.4223999999999</v>
      </c>
      <c r="F35" s="22">
        <v>1855.528</v>
      </c>
      <c r="G35" s="22">
        <v>2226.6338000000001</v>
      </c>
    </row>
    <row r="36" spans="1:7" x14ac:dyDescent="0.25">
      <c r="A36" s="1" t="s">
        <v>263</v>
      </c>
      <c r="B36" s="1">
        <v>2</v>
      </c>
      <c r="C36" s="1">
        <v>1</v>
      </c>
      <c r="D36" s="22" t="s">
        <v>353</v>
      </c>
      <c r="E36" s="22">
        <v>1484.4223999999999</v>
      </c>
      <c r="F36" s="22">
        <v>1855.528</v>
      </c>
      <c r="G36" s="22">
        <v>2226.6338000000001</v>
      </c>
    </row>
    <row r="37" spans="1:7" x14ac:dyDescent="0.25">
      <c r="A37" s="1" t="s">
        <v>263</v>
      </c>
      <c r="B37" s="1">
        <v>2</v>
      </c>
      <c r="C37" s="1">
        <v>1</v>
      </c>
      <c r="D37" s="22" t="s">
        <v>354</v>
      </c>
      <c r="E37" s="22">
        <v>1484.4223999999999</v>
      </c>
      <c r="F37" s="22">
        <v>1855.528</v>
      </c>
      <c r="G37" s="22">
        <v>2226.6338000000001</v>
      </c>
    </row>
    <row r="38" spans="1:7" x14ac:dyDescent="0.25">
      <c r="A38" s="1" t="s">
        <v>263</v>
      </c>
      <c r="B38" s="1">
        <v>2</v>
      </c>
      <c r="C38" s="1">
        <v>1</v>
      </c>
      <c r="D38" s="22" t="s">
        <v>355</v>
      </c>
      <c r="E38" s="22">
        <v>1484.4223999999999</v>
      </c>
      <c r="F38" s="22">
        <v>1855.528</v>
      </c>
      <c r="G38" s="22">
        <v>2226.6338000000001</v>
      </c>
    </row>
    <row r="39" spans="1:7" x14ac:dyDescent="0.25">
      <c r="A39" s="1" t="s">
        <v>263</v>
      </c>
      <c r="B39" s="1">
        <v>2</v>
      </c>
      <c r="C39" s="1">
        <v>1</v>
      </c>
      <c r="D39" s="22" t="s">
        <v>356</v>
      </c>
      <c r="E39" s="22">
        <v>1484.4223999999999</v>
      </c>
      <c r="F39" s="22">
        <v>1855.528</v>
      </c>
      <c r="G39" s="22">
        <v>2226.6338000000001</v>
      </c>
    </row>
    <row r="40" spans="1:7" x14ac:dyDescent="0.25">
      <c r="A40" s="1" t="s">
        <v>263</v>
      </c>
      <c r="B40" s="1">
        <v>2</v>
      </c>
      <c r="C40" s="1">
        <v>1</v>
      </c>
      <c r="D40" s="22" t="s">
        <v>357</v>
      </c>
      <c r="E40" s="22">
        <v>1484.4223999999999</v>
      </c>
      <c r="F40" s="22">
        <v>1855.528</v>
      </c>
      <c r="G40" s="22">
        <v>2226.6338000000001</v>
      </c>
    </row>
    <row r="41" spans="1:7" x14ac:dyDescent="0.25">
      <c r="A41" s="1" t="s">
        <v>263</v>
      </c>
      <c r="B41" s="1">
        <v>2</v>
      </c>
      <c r="C41" s="1">
        <v>1</v>
      </c>
      <c r="D41" s="22" t="s">
        <v>358</v>
      </c>
      <c r="E41" s="22">
        <v>1484.4223999999999</v>
      </c>
      <c r="F41" s="22">
        <v>1855.528</v>
      </c>
      <c r="G41" s="22">
        <v>2226.6338000000001</v>
      </c>
    </row>
    <row r="42" spans="1:7" x14ac:dyDescent="0.25">
      <c r="A42" s="1" t="s">
        <v>263</v>
      </c>
      <c r="B42" s="1">
        <v>2</v>
      </c>
      <c r="C42" s="1">
        <v>1</v>
      </c>
      <c r="D42" s="22" t="s">
        <v>359</v>
      </c>
      <c r="E42" s="22">
        <v>1484.4223999999999</v>
      </c>
      <c r="F42" s="22">
        <v>1855.528</v>
      </c>
      <c r="G42" s="22">
        <v>2226.6338000000001</v>
      </c>
    </row>
    <row r="43" spans="1:7" x14ac:dyDescent="0.25">
      <c r="A43" s="1" t="s">
        <v>263</v>
      </c>
      <c r="B43" s="1">
        <v>2</v>
      </c>
      <c r="C43" s="1">
        <v>1</v>
      </c>
      <c r="D43" s="22" t="s">
        <v>360</v>
      </c>
      <c r="E43" s="22">
        <v>1484.4223999999999</v>
      </c>
      <c r="F43" s="22">
        <v>1855.528</v>
      </c>
      <c r="G43" s="22">
        <v>2226.6338000000001</v>
      </c>
    </row>
    <row r="44" spans="1:7" x14ac:dyDescent="0.25">
      <c r="A44" s="1" t="s">
        <v>263</v>
      </c>
      <c r="B44" s="1">
        <v>2</v>
      </c>
      <c r="C44" s="1">
        <v>1</v>
      </c>
      <c r="D44" s="22" t="s">
        <v>361</v>
      </c>
      <c r="E44" s="22">
        <v>1484.4223999999999</v>
      </c>
      <c r="F44" s="22">
        <v>1855.528</v>
      </c>
      <c r="G44" s="22">
        <v>2226.6338000000001</v>
      </c>
    </row>
    <row r="45" spans="1:7" x14ac:dyDescent="0.25">
      <c r="A45" s="1" t="s">
        <v>263</v>
      </c>
      <c r="B45" s="1">
        <v>2</v>
      </c>
      <c r="C45" s="1">
        <v>1</v>
      </c>
      <c r="D45" s="22" t="s">
        <v>362</v>
      </c>
      <c r="E45" s="22">
        <v>1484.4223999999999</v>
      </c>
      <c r="F45" s="22">
        <v>1855.528</v>
      </c>
      <c r="G45" s="22">
        <v>2226.6338000000001</v>
      </c>
    </row>
    <row r="46" spans="1:7" x14ac:dyDescent="0.25">
      <c r="A46" s="1" t="s">
        <v>263</v>
      </c>
      <c r="B46" s="1">
        <v>2</v>
      </c>
      <c r="C46" s="1">
        <v>1</v>
      </c>
      <c r="D46" s="22" t="s">
        <v>363</v>
      </c>
      <c r="E46" s="22">
        <v>1484.4223999999999</v>
      </c>
      <c r="F46" s="22">
        <v>1855.528</v>
      </c>
      <c r="G46" s="22">
        <v>2226.6338000000001</v>
      </c>
    </row>
    <row r="47" spans="1:7" x14ac:dyDescent="0.25">
      <c r="A47" s="1" t="s">
        <v>263</v>
      </c>
      <c r="B47" s="1">
        <v>2</v>
      </c>
      <c r="C47" s="1">
        <v>1</v>
      </c>
      <c r="D47" s="22" t="s">
        <v>364</v>
      </c>
      <c r="E47" s="22">
        <v>1484.4223999999999</v>
      </c>
      <c r="F47" s="22">
        <v>1855.528</v>
      </c>
      <c r="G47" s="22">
        <v>2226.6338000000001</v>
      </c>
    </row>
    <row r="48" spans="1:7" x14ac:dyDescent="0.25">
      <c r="A48" s="1" t="s">
        <v>263</v>
      </c>
      <c r="B48" s="1">
        <v>2</v>
      </c>
      <c r="C48" s="1">
        <v>1</v>
      </c>
      <c r="D48" s="22" t="s">
        <v>365</v>
      </c>
      <c r="E48" s="22">
        <v>1484.4223999999999</v>
      </c>
      <c r="F48" s="22">
        <v>1855.528</v>
      </c>
      <c r="G48" s="22">
        <v>2226.6338000000001</v>
      </c>
    </row>
    <row r="49" spans="1:7" x14ac:dyDescent="0.25">
      <c r="A49" s="1" t="s">
        <v>263</v>
      </c>
      <c r="B49" s="1">
        <v>2</v>
      </c>
      <c r="C49" s="1">
        <v>1</v>
      </c>
      <c r="D49" s="22" t="s">
        <v>366</v>
      </c>
      <c r="E49" s="22">
        <v>1484.4223999999999</v>
      </c>
      <c r="F49" s="22">
        <v>1855.528</v>
      </c>
      <c r="G49" s="22">
        <v>2226.6338000000001</v>
      </c>
    </row>
    <row r="50" spans="1:7" x14ac:dyDescent="0.25">
      <c r="A50" s="1" t="s">
        <v>263</v>
      </c>
      <c r="B50" s="1">
        <v>2</v>
      </c>
      <c r="C50" s="1">
        <v>1</v>
      </c>
      <c r="D50" s="22" t="s">
        <v>367</v>
      </c>
      <c r="E50" s="22">
        <v>1484.4223999999999</v>
      </c>
      <c r="F50" s="22">
        <v>1855.528</v>
      </c>
      <c r="G50" s="22">
        <v>2226.6338000000001</v>
      </c>
    </row>
    <row r="51" spans="1:7" x14ac:dyDescent="0.25">
      <c r="A51" s="1" t="s">
        <v>263</v>
      </c>
      <c r="B51" s="1">
        <v>2</v>
      </c>
      <c r="C51" s="1">
        <v>1</v>
      </c>
      <c r="D51" s="22" t="s">
        <v>368</v>
      </c>
      <c r="E51" s="22">
        <v>1484.4223999999999</v>
      </c>
      <c r="F51" s="22">
        <v>1855.528</v>
      </c>
      <c r="G51" s="22">
        <v>2226.6338000000001</v>
      </c>
    </row>
    <row r="52" spans="1:7" x14ac:dyDescent="0.25">
      <c r="A52" s="1" t="s">
        <v>263</v>
      </c>
      <c r="B52" s="1">
        <v>2</v>
      </c>
      <c r="C52" s="1">
        <v>1</v>
      </c>
      <c r="D52" s="22" t="s">
        <v>369</v>
      </c>
      <c r="E52" s="22">
        <v>1484.4223999999999</v>
      </c>
      <c r="F52" s="22">
        <v>1855.528</v>
      </c>
      <c r="G52" s="22">
        <v>2226.6338000000001</v>
      </c>
    </row>
    <row r="53" spans="1:7" x14ac:dyDescent="0.25">
      <c r="A53" s="1" t="s">
        <v>263</v>
      </c>
      <c r="B53" s="1">
        <v>2</v>
      </c>
      <c r="C53" s="1">
        <v>1</v>
      </c>
      <c r="D53" s="22" t="s">
        <v>370</v>
      </c>
      <c r="E53" s="22">
        <v>1484.4223999999999</v>
      </c>
      <c r="F53" s="22">
        <v>1855.528</v>
      </c>
      <c r="G53" s="22">
        <v>2226.6338000000001</v>
      </c>
    </row>
    <row r="54" spans="1:7" x14ac:dyDescent="0.25">
      <c r="A54" s="1" t="s">
        <v>263</v>
      </c>
      <c r="B54" s="1">
        <v>2</v>
      </c>
      <c r="C54" s="1">
        <v>1</v>
      </c>
      <c r="D54" s="22" t="s">
        <v>371</v>
      </c>
      <c r="E54" s="22">
        <v>1484.4223999999999</v>
      </c>
      <c r="F54" s="22">
        <v>1855.528</v>
      </c>
      <c r="G54" s="22">
        <v>2226.6338000000001</v>
      </c>
    </row>
    <row r="55" spans="1:7" x14ac:dyDescent="0.25">
      <c r="A55" s="1" t="s">
        <v>263</v>
      </c>
      <c r="B55" s="1">
        <v>2</v>
      </c>
      <c r="C55" s="1">
        <v>1</v>
      </c>
      <c r="D55" s="22" t="s">
        <v>372</v>
      </c>
      <c r="E55" s="22">
        <v>1484.4223999999999</v>
      </c>
      <c r="F55" s="22">
        <v>1855.528</v>
      </c>
      <c r="G55" s="22">
        <v>2226.6338000000001</v>
      </c>
    </row>
    <row r="56" spans="1:7" x14ac:dyDescent="0.25">
      <c r="A56" s="1" t="s">
        <v>263</v>
      </c>
      <c r="B56" s="1">
        <v>2</v>
      </c>
      <c r="C56" s="1">
        <v>1</v>
      </c>
      <c r="D56" s="22" t="s">
        <v>373</v>
      </c>
      <c r="E56" s="22">
        <v>1484.4223999999999</v>
      </c>
      <c r="F56" s="22">
        <v>1855.528</v>
      </c>
      <c r="G56" s="22">
        <v>2226.6338000000001</v>
      </c>
    </row>
    <row r="57" spans="1:7" x14ac:dyDescent="0.25">
      <c r="A57" s="1" t="s">
        <v>20</v>
      </c>
      <c r="C57" s="1">
        <v>2</v>
      </c>
      <c r="D57" s="22" t="s">
        <v>167</v>
      </c>
      <c r="E57" s="22">
        <v>50205.54</v>
      </c>
      <c r="F57" s="22">
        <v>83062.91</v>
      </c>
      <c r="G57" s="22">
        <v>115920.28</v>
      </c>
    </row>
  </sheetData>
  <conditionalFormatting sqref="A2:G2 A57:G165">
    <cfRule type="expression" dxfId="9" priority="1">
      <formula>OR($C2=0, $A2="Header")</formula>
    </cfRule>
  </conditionalFormatting>
  <conditionalFormatting sqref="A2:G57">
    <cfRule type="expression" dxfId="8" priority="2">
      <formula>$A2=Header</formula>
    </cfRule>
  </conditionalFormatting>
  <conditionalFormatting sqref="H2:XFD32">
    <cfRule type="expression" dxfId="7" priority="18">
      <formula>#REF!=Header</formula>
    </cfRule>
  </conditionalFormatting>
  <conditionalFormatting sqref="H33:XFD33">
    <cfRule type="expression" dxfId="6" priority="17">
      <formula>$A57=Header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58"/>
  <sheetViews>
    <sheetView workbookViewId="0"/>
  </sheetViews>
  <sheetFormatPr defaultColWidth="9" defaultRowHeight="15.75" x14ac:dyDescent="0.25"/>
  <cols>
    <col min="1" max="1" width="11.42578125" style="1" bestFit="1" customWidth="1"/>
    <col min="2" max="2" width="9.7109375" style="1" bestFit="1" customWidth="1"/>
    <col min="3" max="3" width="14" style="28" bestFit="1" customWidth="1"/>
    <col min="4" max="4" width="18.42578125" style="1" bestFit="1" customWidth="1"/>
    <col min="5" max="5" width="11.140625" style="1" bestFit="1" customWidth="1"/>
    <col min="6" max="6" width="14.28515625" style="1" bestFit="1" customWidth="1"/>
    <col min="7" max="7" width="11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5703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262</v>
      </c>
      <c r="B2" s="25">
        <v>1</v>
      </c>
      <c r="C2" s="27">
        <v>0</v>
      </c>
      <c r="D2" s="1" t="s">
        <v>497</v>
      </c>
      <c r="E2" s="22"/>
      <c r="F2" s="22"/>
      <c r="G2" s="22"/>
      <c r="J2" s="32"/>
      <c r="K2" s="32"/>
      <c r="L2" s="23"/>
    </row>
    <row r="3" spans="1:12" x14ac:dyDescent="0.25">
      <c r="A3" s="26" t="s">
        <v>263</v>
      </c>
      <c r="B3" s="25">
        <v>1</v>
      </c>
      <c r="C3" s="27">
        <v>1</v>
      </c>
      <c r="D3" s="1" t="s">
        <v>321</v>
      </c>
      <c r="E3" s="22">
        <v>19</v>
      </c>
      <c r="F3" s="22">
        <v>44</v>
      </c>
      <c r="G3" s="22">
        <v>70</v>
      </c>
      <c r="J3" s="32"/>
      <c r="K3" s="32"/>
      <c r="L3" s="23"/>
    </row>
    <row r="4" spans="1:12" x14ac:dyDescent="0.25">
      <c r="A4" s="26" t="s">
        <v>263</v>
      </c>
      <c r="B4" s="25">
        <v>1</v>
      </c>
      <c r="C4" s="27">
        <v>1</v>
      </c>
      <c r="D4" s="1" t="s">
        <v>322</v>
      </c>
      <c r="E4" s="22">
        <v>446</v>
      </c>
      <c r="F4" s="22">
        <v>1337</v>
      </c>
      <c r="G4" s="22">
        <v>2229</v>
      </c>
      <c r="J4" s="32"/>
      <c r="K4" s="32"/>
      <c r="L4" s="23"/>
    </row>
    <row r="5" spans="1:12" x14ac:dyDescent="0.25">
      <c r="A5" s="26" t="s">
        <v>263</v>
      </c>
      <c r="B5" s="25">
        <v>1</v>
      </c>
      <c r="C5" s="27">
        <v>1</v>
      </c>
      <c r="D5" s="1" t="s">
        <v>323</v>
      </c>
      <c r="E5" s="22">
        <v>446</v>
      </c>
      <c r="F5" s="22">
        <v>1337</v>
      </c>
      <c r="G5" s="22">
        <v>2229</v>
      </c>
      <c r="J5" s="32"/>
      <c r="K5" s="32"/>
      <c r="L5" s="23"/>
    </row>
    <row r="6" spans="1:12" x14ac:dyDescent="0.25">
      <c r="A6" s="26" t="s">
        <v>263</v>
      </c>
      <c r="B6" s="25">
        <v>1</v>
      </c>
      <c r="C6" s="27">
        <v>1</v>
      </c>
      <c r="D6" s="1" t="s">
        <v>324</v>
      </c>
      <c r="E6" s="22">
        <v>446</v>
      </c>
      <c r="F6" s="22">
        <v>1337</v>
      </c>
      <c r="G6" s="22">
        <v>2229</v>
      </c>
      <c r="J6" s="32"/>
      <c r="K6" s="32"/>
      <c r="L6" s="23"/>
    </row>
    <row r="7" spans="1:12" x14ac:dyDescent="0.25">
      <c r="A7" s="26" t="s">
        <v>263</v>
      </c>
      <c r="B7" s="25">
        <v>1</v>
      </c>
      <c r="C7" s="27">
        <v>1</v>
      </c>
      <c r="D7" s="1" t="s">
        <v>325</v>
      </c>
      <c r="E7" s="22">
        <v>446</v>
      </c>
      <c r="F7" s="22">
        <v>1337</v>
      </c>
      <c r="G7" s="22">
        <v>2229</v>
      </c>
      <c r="J7" s="32"/>
      <c r="K7" s="32"/>
      <c r="L7" s="23"/>
    </row>
    <row r="8" spans="1:12" x14ac:dyDescent="0.25">
      <c r="A8" s="26" t="s">
        <v>263</v>
      </c>
      <c r="B8" s="25">
        <v>1</v>
      </c>
      <c r="C8" s="27">
        <v>1</v>
      </c>
      <c r="D8" s="1" t="s">
        <v>326</v>
      </c>
      <c r="E8" s="22">
        <v>446</v>
      </c>
      <c r="F8" s="22">
        <v>1337</v>
      </c>
      <c r="G8" s="22">
        <v>2229</v>
      </c>
      <c r="J8" s="32"/>
      <c r="K8" s="32"/>
      <c r="L8" s="23"/>
    </row>
    <row r="9" spans="1:12" x14ac:dyDescent="0.25">
      <c r="A9" s="26" t="s">
        <v>263</v>
      </c>
      <c r="B9" s="25">
        <v>1</v>
      </c>
      <c r="C9" s="27">
        <v>1</v>
      </c>
      <c r="D9" s="1" t="s">
        <v>327</v>
      </c>
      <c r="E9" s="22">
        <v>446</v>
      </c>
      <c r="F9" s="22">
        <v>1337</v>
      </c>
      <c r="G9" s="22">
        <v>2229</v>
      </c>
      <c r="J9" s="32"/>
      <c r="K9" s="32"/>
      <c r="L9" s="23"/>
    </row>
    <row r="10" spans="1:12" x14ac:dyDescent="0.25">
      <c r="A10" s="26" t="s">
        <v>263</v>
      </c>
      <c r="B10" s="25">
        <v>1</v>
      </c>
      <c r="C10" s="27">
        <v>1</v>
      </c>
      <c r="D10" s="1" t="s">
        <v>328</v>
      </c>
      <c r="E10" s="22">
        <v>446</v>
      </c>
      <c r="F10" s="22">
        <v>1337</v>
      </c>
      <c r="G10" s="22">
        <v>2229</v>
      </c>
      <c r="J10" s="32"/>
      <c r="K10" s="32"/>
      <c r="L10" s="23"/>
    </row>
    <row r="11" spans="1:12" x14ac:dyDescent="0.25">
      <c r="A11" s="26" t="s">
        <v>263</v>
      </c>
      <c r="B11" s="25">
        <v>1</v>
      </c>
      <c r="C11" s="27">
        <v>1</v>
      </c>
      <c r="D11" s="1" t="s">
        <v>329</v>
      </c>
      <c r="E11" s="22">
        <v>446</v>
      </c>
      <c r="F11" s="22">
        <v>1337</v>
      </c>
      <c r="G11" s="22">
        <v>2229</v>
      </c>
      <c r="J11" s="32"/>
      <c r="K11" s="32"/>
      <c r="L11" s="23"/>
    </row>
    <row r="12" spans="1:12" x14ac:dyDescent="0.25">
      <c r="A12" s="26" t="s">
        <v>263</v>
      </c>
      <c r="B12" s="25">
        <v>1</v>
      </c>
      <c r="C12" s="27">
        <v>1</v>
      </c>
      <c r="D12" s="1" t="s">
        <v>330</v>
      </c>
      <c r="E12" s="22">
        <v>446</v>
      </c>
      <c r="F12" s="22">
        <v>1337</v>
      </c>
      <c r="G12" s="22">
        <v>2229</v>
      </c>
      <c r="J12" s="32"/>
      <c r="K12" s="32"/>
      <c r="L12" s="23"/>
    </row>
    <row r="13" spans="1:12" x14ac:dyDescent="0.25">
      <c r="A13" s="26" t="s">
        <v>263</v>
      </c>
      <c r="B13" s="25">
        <v>1</v>
      </c>
      <c r="C13" s="27">
        <v>1</v>
      </c>
      <c r="D13" s="1" t="s">
        <v>331</v>
      </c>
      <c r="E13" s="22">
        <v>446</v>
      </c>
      <c r="F13" s="22">
        <v>1337</v>
      </c>
      <c r="G13" s="22">
        <v>2229</v>
      </c>
      <c r="J13" s="32"/>
      <c r="K13" s="32"/>
      <c r="L13" s="23"/>
    </row>
    <row r="14" spans="1:12" x14ac:dyDescent="0.25">
      <c r="A14" s="26" t="s">
        <v>263</v>
      </c>
      <c r="B14" s="25">
        <v>1</v>
      </c>
      <c r="C14" s="27">
        <v>1</v>
      </c>
      <c r="D14" s="1" t="s">
        <v>332</v>
      </c>
      <c r="E14" s="22">
        <v>446</v>
      </c>
      <c r="F14" s="22">
        <v>1337</v>
      </c>
      <c r="G14" s="22">
        <v>2229</v>
      </c>
      <c r="J14" s="32"/>
      <c r="K14" s="32"/>
      <c r="L14" s="23"/>
    </row>
    <row r="15" spans="1:12" x14ac:dyDescent="0.25">
      <c r="A15" s="26" t="s">
        <v>263</v>
      </c>
      <c r="B15" s="25">
        <v>1</v>
      </c>
      <c r="C15" s="27">
        <v>1</v>
      </c>
      <c r="D15" s="1" t="s">
        <v>333</v>
      </c>
      <c r="E15" s="22">
        <v>446</v>
      </c>
      <c r="F15" s="22">
        <v>1337</v>
      </c>
      <c r="G15" s="22">
        <v>2229</v>
      </c>
      <c r="J15" s="32"/>
      <c r="K15" s="32"/>
      <c r="L15" s="23"/>
    </row>
    <row r="16" spans="1:12" x14ac:dyDescent="0.25">
      <c r="A16" s="26" t="s">
        <v>263</v>
      </c>
      <c r="B16" s="25">
        <v>1</v>
      </c>
      <c r="C16" s="27">
        <v>1</v>
      </c>
      <c r="D16" s="1" t="s">
        <v>334</v>
      </c>
      <c r="E16" s="22">
        <v>446</v>
      </c>
      <c r="F16" s="22">
        <v>1337</v>
      </c>
      <c r="G16" s="22">
        <v>2229</v>
      </c>
      <c r="J16" s="32"/>
      <c r="K16" s="32"/>
      <c r="L16" s="23"/>
    </row>
    <row r="17" spans="1:20" x14ac:dyDescent="0.25">
      <c r="A17" s="26" t="s">
        <v>263</v>
      </c>
      <c r="B17" s="25">
        <v>1</v>
      </c>
      <c r="C17" s="27">
        <v>1</v>
      </c>
      <c r="D17" s="1" t="s">
        <v>335</v>
      </c>
      <c r="E17" s="22">
        <v>446</v>
      </c>
      <c r="F17" s="22">
        <v>1337</v>
      </c>
      <c r="G17" s="22">
        <v>2229</v>
      </c>
      <c r="J17" s="32"/>
      <c r="K17" s="32"/>
      <c r="L17" s="23"/>
    </row>
    <row r="18" spans="1:20" x14ac:dyDescent="0.25">
      <c r="A18" s="26" t="s">
        <v>263</v>
      </c>
      <c r="B18" s="25">
        <v>1</v>
      </c>
      <c r="C18" s="27">
        <v>1</v>
      </c>
      <c r="D18" s="1" t="s">
        <v>336</v>
      </c>
      <c r="E18" s="22">
        <v>446</v>
      </c>
      <c r="F18" s="22">
        <v>1337</v>
      </c>
      <c r="G18" s="22">
        <v>2229</v>
      </c>
      <c r="J18" s="32"/>
      <c r="K18" s="32"/>
      <c r="L18" s="23"/>
    </row>
    <row r="19" spans="1:20" x14ac:dyDescent="0.25">
      <c r="A19" s="26" t="s">
        <v>263</v>
      </c>
      <c r="B19" s="25">
        <v>1</v>
      </c>
      <c r="C19" s="27">
        <v>1</v>
      </c>
      <c r="D19" s="1" t="s">
        <v>337</v>
      </c>
      <c r="E19" s="22">
        <v>446</v>
      </c>
      <c r="F19" s="22">
        <v>1337</v>
      </c>
      <c r="G19" s="22">
        <v>2229</v>
      </c>
      <c r="I19" s="29"/>
      <c r="J19" s="24"/>
      <c r="K19" s="24"/>
      <c r="L19" s="24"/>
    </row>
    <row r="20" spans="1:20" x14ac:dyDescent="0.25">
      <c r="A20" s="26" t="s">
        <v>263</v>
      </c>
      <c r="B20" s="25">
        <v>1</v>
      </c>
      <c r="C20" s="27">
        <v>1</v>
      </c>
      <c r="D20" s="1" t="s">
        <v>338</v>
      </c>
      <c r="E20" s="22">
        <v>446</v>
      </c>
      <c r="F20" s="22">
        <v>1337</v>
      </c>
      <c r="G20" s="22">
        <v>2229</v>
      </c>
    </row>
    <row r="21" spans="1:20" x14ac:dyDescent="0.25">
      <c r="A21" s="26" t="s">
        <v>263</v>
      </c>
      <c r="B21" s="25">
        <v>1</v>
      </c>
      <c r="C21" s="27">
        <v>1</v>
      </c>
      <c r="D21" s="1" t="s">
        <v>339</v>
      </c>
      <c r="E21" s="22">
        <v>446</v>
      </c>
      <c r="F21" s="22">
        <v>1337</v>
      </c>
      <c r="G21" s="22">
        <v>2229</v>
      </c>
    </row>
    <row r="22" spans="1:20" x14ac:dyDescent="0.25">
      <c r="A22" s="26" t="s">
        <v>263</v>
      </c>
      <c r="B22" s="25">
        <v>1</v>
      </c>
      <c r="C22" s="27">
        <v>1</v>
      </c>
      <c r="D22" s="1" t="s">
        <v>340</v>
      </c>
      <c r="E22" s="22">
        <v>446</v>
      </c>
      <c r="F22" s="22">
        <v>1337</v>
      </c>
      <c r="G22" s="22">
        <v>2229</v>
      </c>
    </row>
    <row r="23" spans="1:20" x14ac:dyDescent="0.25">
      <c r="A23" s="26" t="s">
        <v>263</v>
      </c>
      <c r="B23" s="25">
        <v>1</v>
      </c>
      <c r="C23" s="27">
        <v>1</v>
      </c>
      <c r="D23" s="1" t="s">
        <v>341</v>
      </c>
      <c r="E23" s="22">
        <v>446</v>
      </c>
      <c r="F23" s="22">
        <v>1337</v>
      </c>
      <c r="G23" s="22">
        <v>2229</v>
      </c>
    </row>
    <row r="24" spans="1:20" x14ac:dyDescent="0.25">
      <c r="A24" s="26" t="s">
        <v>263</v>
      </c>
      <c r="B24" s="25">
        <v>1</v>
      </c>
      <c r="C24" s="27">
        <v>1</v>
      </c>
      <c r="D24" s="1" t="s">
        <v>342</v>
      </c>
      <c r="E24" s="22">
        <v>446</v>
      </c>
      <c r="F24" s="22">
        <v>1337</v>
      </c>
      <c r="G24" s="22">
        <v>2229</v>
      </c>
      <c r="J24" s="19"/>
      <c r="K24" s="19"/>
      <c r="L24" s="19"/>
      <c r="M24" s="19"/>
    </row>
    <row r="25" spans="1:20" x14ac:dyDescent="0.25">
      <c r="A25" s="26" t="s">
        <v>263</v>
      </c>
      <c r="B25" s="25">
        <v>1</v>
      </c>
      <c r="C25" s="27">
        <v>1</v>
      </c>
      <c r="D25" s="1" t="s">
        <v>343</v>
      </c>
      <c r="E25" s="22">
        <v>446</v>
      </c>
      <c r="F25" s="22">
        <v>1337</v>
      </c>
      <c r="G25" s="22">
        <v>2229</v>
      </c>
      <c r="J25" s="20"/>
      <c r="K25" s="18"/>
      <c r="L25" s="18"/>
      <c r="M25" s="18"/>
    </row>
    <row r="26" spans="1:20" x14ac:dyDescent="0.25">
      <c r="A26" s="26" t="s">
        <v>263</v>
      </c>
      <c r="B26" s="25">
        <v>1</v>
      </c>
      <c r="C26" s="27">
        <v>1</v>
      </c>
      <c r="D26" s="1" t="s">
        <v>344</v>
      </c>
      <c r="E26" s="22">
        <v>446</v>
      </c>
      <c r="F26" s="22">
        <v>1337</v>
      </c>
      <c r="G26" s="22">
        <v>2229</v>
      </c>
      <c r="J26" s="20"/>
      <c r="K26" s="18"/>
      <c r="L26" s="18"/>
      <c r="M26" s="18"/>
    </row>
    <row r="27" spans="1:20" x14ac:dyDescent="0.25">
      <c r="A27" s="26" t="s">
        <v>263</v>
      </c>
      <c r="B27" s="25">
        <v>1</v>
      </c>
      <c r="C27" s="27">
        <v>1</v>
      </c>
      <c r="D27" s="1" t="s">
        <v>345</v>
      </c>
      <c r="E27" s="22">
        <v>446</v>
      </c>
      <c r="F27" s="22">
        <v>1337</v>
      </c>
      <c r="G27" s="22">
        <v>2229</v>
      </c>
      <c r="J27" s="20"/>
      <c r="K27" s="18"/>
      <c r="L27" s="18"/>
      <c r="M27" s="18"/>
    </row>
    <row r="28" spans="1:20" x14ac:dyDescent="0.25">
      <c r="A28" s="26" t="s">
        <v>263</v>
      </c>
      <c r="B28" s="25">
        <v>1</v>
      </c>
      <c r="C28" s="27">
        <v>1</v>
      </c>
      <c r="D28" s="1" t="s">
        <v>346</v>
      </c>
      <c r="E28" s="22">
        <v>446</v>
      </c>
      <c r="F28" s="22">
        <v>1337</v>
      </c>
      <c r="G28" s="22">
        <v>2229</v>
      </c>
      <c r="J28" s="20"/>
      <c r="K28" s="18"/>
      <c r="L28" s="18"/>
      <c r="M28" s="18"/>
    </row>
    <row r="29" spans="1:20" x14ac:dyDescent="0.25">
      <c r="A29" s="26" t="s">
        <v>263</v>
      </c>
      <c r="B29" s="25">
        <v>1</v>
      </c>
      <c r="C29" s="27">
        <v>1</v>
      </c>
      <c r="D29" s="1" t="s">
        <v>347</v>
      </c>
      <c r="E29" s="22">
        <v>446</v>
      </c>
      <c r="F29" s="22">
        <v>1337</v>
      </c>
      <c r="G29" s="22">
        <v>2229</v>
      </c>
      <c r="P29" s="20"/>
      <c r="Q29" s="18"/>
      <c r="R29" s="18"/>
      <c r="S29" s="18"/>
    </row>
    <row r="30" spans="1:20" x14ac:dyDescent="0.25">
      <c r="A30" s="26" t="s">
        <v>262</v>
      </c>
      <c r="B30" s="25">
        <v>2</v>
      </c>
      <c r="C30" s="27">
        <v>0</v>
      </c>
      <c r="D30" s="1" t="s">
        <v>498</v>
      </c>
      <c r="E30" s="22"/>
      <c r="F30" s="22"/>
      <c r="G30" s="22"/>
      <c r="P30" s="20"/>
      <c r="Q30" s="18"/>
      <c r="R30" s="18"/>
      <c r="S30" s="18"/>
    </row>
    <row r="31" spans="1:20" x14ac:dyDescent="0.25">
      <c r="A31" s="26" t="s">
        <v>263</v>
      </c>
      <c r="B31" s="25">
        <v>2</v>
      </c>
      <c r="C31" s="27">
        <v>1</v>
      </c>
      <c r="D31" s="1" t="s">
        <v>348</v>
      </c>
      <c r="E31" s="22">
        <v>1484</v>
      </c>
      <c r="F31" s="22">
        <v>1856</v>
      </c>
      <c r="G31" s="22">
        <v>2227</v>
      </c>
      <c r="Q31" s="20"/>
      <c r="R31" s="18"/>
      <c r="S31" s="18"/>
      <c r="T31" s="18"/>
    </row>
    <row r="32" spans="1:20" x14ac:dyDescent="0.25">
      <c r="A32" s="26" t="s">
        <v>263</v>
      </c>
      <c r="B32" s="25">
        <v>2</v>
      </c>
      <c r="C32" s="27">
        <v>1</v>
      </c>
      <c r="D32" s="1" t="s">
        <v>349</v>
      </c>
      <c r="E32" s="22">
        <v>1484</v>
      </c>
      <c r="F32" s="22">
        <v>1856</v>
      </c>
      <c r="G32" s="22">
        <v>2227</v>
      </c>
      <c r="Q32" s="20"/>
      <c r="R32" s="18"/>
      <c r="S32" s="18"/>
      <c r="T32" s="18"/>
    </row>
    <row r="33" spans="1:20" x14ac:dyDescent="0.25">
      <c r="A33" s="26" t="s">
        <v>263</v>
      </c>
      <c r="B33" s="25">
        <v>2</v>
      </c>
      <c r="C33" s="27">
        <v>1</v>
      </c>
      <c r="D33" s="1" t="s">
        <v>350</v>
      </c>
      <c r="E33" s="22">
        <v>1484</v>
      </c>
      <c r="F33" s="22">
        <v>1856</v>
      </c>
      <c r="G33" s="22">
        <v>2227</v>
      </c>
      <c r="J33" s="21"/>
      <c r="K33" s="21"/>
      <c r="L33" s="21"/>
      <c r="M33" s="21"/>
      <c r="N33" s="21"/>
      <c r="Q33" s="20"/>
      <c r="R33" s="18"/>
      <c r="S33" s="18"/>
      <c r="T33" s="18"/>
    </row>
    <row r="34" spans="1:20" x14ac:dyDescent="0.25">
      <c r="A34" s="26" t="s">
        <v>263</v>
      </c>
      <c r="B34" s="25">
        <v>2</v>
      </c>
      <c r="C34" s="27">
        <v>1</v>
      </c>
      <c r="D34" s="1" t="s">
        <v>351</v>
      </c>
      <c r="E34" s="22">
        <v>1484</v>
      </c>
      <c r="F34" s="22">
        <v>1856</v>
      </c>
      <c r="G34" s="22">
        <v>2227</v>
      </c>
      <c r="J34" s="21"/>
      <c r="K34" s="21"/>
      <c r="L34" s="21"/>
      <c r="M34" s="21"/>
      <c r="N34" s="21"/>
      <c r="Q34" s="20"/>
      <c r="R34" s="18"/>
      <c r="S34" s="18"/>
      <c r="T34" s="18"/>
    </row>
    <row r="35" spans="1:20" x14ac:dyDescent="0.25">
      <c r="A35" s="26" t="s">
        <v>263</v>
      </c>
      <c r="B35" s="25">
        <v>2</v>
      </c>
      <c r="C35" s="27">
        <v>1</v>
      </c>
      <c r="D35" s="1" t="s">
        <v>352</v>
      </c>
      <c r="E35" s="22">
        <v>1484</v>
      </c>
      <c r="F35" s="22">
        <v>1856</v>
      </c>
      <c r="G35" s="22">
        <v>2227</v>
      </c>
      <c r="J35" s="21"/>
      <c r="K35" s="21"/>
      <c r="L35" s="21"/>
      <c r="M35" s="21"/>
      <c r="N35" s="21"/>
    </row>
    <row r="36" spans="1:20" x14ac:dyDescent="0.25">
      <c r="A36" s="26" t="s">
        <v>263</v>
      </c>
      <c r="B36" s="25">
        <v>2</v>
      </c>
      <c r="C36" s="27">
        <v>1</v>
      </c>
      <c r="D36" s="1" t="s">
        <v>353</v>
      </c>
      <c r="E36" s="22">
        <v>1484</v>
      </c>
      <c r="F36" s="22">
        <v>1856</v>
      </c>
      <c r="G36" s="22">
        <v>2227</v>
      </c>
      <c r="J36" s="21"/>
      <c r="K36" s="21"/>
      <c r="L36" s="21"/>
      <c r="M36" s="21"/>
      <c r="N36" s="21"/>
    </row>
    <row r="37" spans="1:20" x14ac:dyDescent="0.25">
      <c r="A37" s="26" t="s">
        <v>263</v>
      </c>
      <c r="B37" s="25">
        <v>2</v>
      </c>
      <c r="C37" s="27">
        <v>1</v>
      </c>
      <c r="D37" s="1" t="s">
        <v>354</v>
      </c>
      <c r="E37" s="22">
        <v>1484</v>
      </c>
      <c r="F37" s="22">
        <v>1856</v>
      </c>
      <c r="G37" s="22">
        <v>2227</v>
      </c>
      <c r="J37" s="21"/>
      <c r="K37" s="21"/>
      <c r="L37" s="21"/>
      <c r="M37" s="21"/>
      <c r="N37" s="21"/>
    </row>
    <row r="38" spans="1:20" x14ac:dyDescent="0.25">
      <c r="A38" s="26" t="s">
        <v>263</v>
      </c>
      <c r="B38" s="25">
        <v>2</v>
      </c>
      <c r="C38" s="27">
        <v>1</v>
      </c>
      <c r="D38" s="1" t="s">
        <v>355</v>
      </c>
      <c r="E38" s="22">
        <v>1484</v>
      </c>
      <c r="F38" s="22">
        <v>1856</v>
      </c>
      <c r="G38" s="22">
        <v>2227</v>
      </c>
      <c r="J38" s="21"/>
      <c r="K38" s="21"/>
      <c r="L38" s="21"/>
      <c r="M38" s="21"/>
      <c r="N38" s="21"/>
    </row>
    <row r="39" spans="1:20" x14ac:dyDescent="0.25">
      <c r="A39" s="26" t="s">
        <v>263</v>
      </c>
      <c r="B39" s="25">
        <v>2</v>
      </c>
      <c r="C39" s="27">
        <v>1</v>
      </c>
      <c r="D39" s="1" t="s">
        <v>356</v>
      </c>
      <c r="E39" s="22">
        <v>1484</v>
      </c>
      <c r="F39" s="22">
        <v>1856</v>
      </c>
      <c r="G39" s="22">
        <v>2227</v>
      </c>
      <c r="J39" s="21"/>
      <c r="K39" s="21"/>
      <c r="L39" s="21"/>
      <c r="M39" s="21"/>
      <c r="N39" s="21"/>
    </row>
    <row r="40" spans="1:20" x14ac:dyDescent="0.25">
      <c r="A40" s="26" t="s">
        <v>263</v>
      </c>
      <c r="B40" s="25">
        <v>2</v>
      </c>
      <c r="C40" s="27">
        <v>1</v>
      </c>
      <c r="D40" s="1" t="s">
        <v>357</v>
      </c>
      <c r="E40" s="22">
        <v>1484</v>
      </c>
      <c r="F40" s="22">
        <v>1856</v>
      </c>
      <c r="G40" s="22">
        <v>2227</v>
      </c>
      <c r="J40" s="21"/>
      <c r="K40" s="21"/>
      <c r="L40" s="21"/>
      <c r="M40" s="21"/>
      <c r="N40" s="21"/>
    </row>
    <row r="41" spans="1:20" x14ac:dyDescent="0.25">
      <c r="A41" s="26" t="s">
        <v>263</v>
      </c>
      <c r="B41" s="25">
        <v>2</v>
      </c>
      <c r="C41" s="27">
        <v>1</v>
      </c>
      <c r="D41" s="1" t="s">
        <v>358</v>
      </c>
      <c r="E41" s="22">
        <v>1484</v>
      </c>
      <c r="F41" s="22">
        <v>1856</v>
      </c>
      <c r="G41" s="22">
        <v>2227</v>
      </c>
      <c r="J41" s="21"/>
      <c r="K41" s="21"/>
      <c r="L41" s="21"/>
      <c r="M41" s="21"/>
      <c r="N41" s="21"/>
    </row>
    <row r="42" spans="1:20" x14ac:dyDescent="0.25">
      <c r="A42" s="26" t="s">
        <v>263</v>
      </c>
      <c r="B42" s="25">
        <v>2</v>
      </c>
      <c r="C42" s="27">
        <v>1</v>
      </c>
      <c r="D42" s="1" t="s">
        <v>359</v>
      </c>
      <c r="E42" s="22">
        <v>1484</v>
      </c>
      <c r="F42" s="22">
        <v>1856</v>
      </c>
      <c r="G42" s="22">
        <v>2227</v>
      </c>
      <c r="J42" s="21"/>
      <c r="K42" s="21"/>
      <c r="L42" s="21"/>
      <c r="M42" s="21"/>
      <c r="N42" s="21"/>
    </row>
    <row r="43" spans="1:20" x14ac:dyDescent="0.25">
      <c r="A43" s="26" t="s">
        <v>263</v>
      </c>
      <c r="B43" s="25">
        <v>2</v>
      </c>
      <c r="C43" s="27">
        <v>1</v>
      </c>
      <c r="D43" s="1" t="s">
        <v>360</v>
      </c>
      <c r="E43" s="22">
        <v>1484</v>
      </c>
      <c r="F43" s="22">
        <v>1856</v>
      </c>
      <c r="G43" s="22">
        <v>2227</v>
      </c>
      <c r="J43" s="21"/>
      <c r="K43" s="21"/>
      <c r="L43" s="21"/>
      <c r="M43" s="21"/>
      <c r="N43" s="21"/>
    </row>
    <row r="44" spans="1:20" x14ac:dyDescent="0.25">
      <c r="A44" s="26" t="s">
        <v>263</v>
      </c>
      <c r="B44" s="25">
        <v>2</v>
      </c>
      <c r="C44" s="27">
        <v>1</v>
      </c>
      <c r="D44" s="1" t="s">
        <v>361</v>
      </c>
      <c r="E44" s="22">
        <v>1484</v>
      </c>
      <c r="F44" s="22">
        <v>1856</v>
      </c>
      <c r="G44" s="22">
        <v>2227</v>
      </c>
      <c r="J44" s="21"/>
      <c r="K44" s="21"/>
      <c r="L44" s="21"/>
      <c r="M44" s="21"/>
      <c r="N44" s="21"/>
    </row>
    <row r="45" spans="1:20" x14ac:dyDescent="0.25">
      <c r="A45" s="26" t="s">
        <v>263</v>
      </c>
      <c r="B45" s="25">
        <v>2</v>
      </c>
      <c r="C45" s="27">
        <v>1</v>
      </c>
      <c r="D45" s="1" t="s">
        <v>362</v>
      </c>
      <c r="E45" s="22">
        <v>1484</v>
      </c>
      <c r="F45" s="22">
        <v>1856</v>
      </c>
      <c r="G45" s="22">
        <v>2227</v>
      </c>
      <c r="J45" s="21"/>
      <c r="K45" s="21"/>
      <c r="L45" s="21"/>
      <c r="M45" s="21"/>
      <c r="N45" s="21"/>
    </row>
    <row r="46" spans="1:20" x14ac:dyDescent="0.25">
      <c r="A46" s="26" t="s">
        <v>263</v>
      </c>
      <c r="B46" s="25">
        <v>2</v>
      </c>
      <c r="C46" s="27">
        <v>1</v>
      </c>
      <c r="D46" s="1" t="s">
        <v>363</v>
      </c>
      <c r="E46" s="22">
        <v>1484</v>
      </c>
      <c r="F46" s="22">
        <v>1856</v>
      </c>
      <c r="G46" s="22">
        <v>2227</v>
      </c>
      <c r="J46" s="21"/>
      <c r="K46" s="21"/>
      <c r="L46" s="21"/>
      <c r="M46" s="21"/>
      <c r="N46" s="21"/>
    </row>
    <row r="47" spans="1:20" x14ac:dyDescent="0.25">
      <c r="A47" s="26" t="s">
        <v>263</v>
      </c>
      <c r="B47" s="25">
        <v>2</v>
      </c>
      <c r="C47" s="27">
        <v>1</v>
      </c>
      <c r="D47" s="1" t="s">
        <v>364</v>
      </c>
      <c r="E47" s="22">
        <v>1484</v>
      </c>
      <c r="F47" s="22">
        <v>1856</v>
      </c>
      <c r="G47" s="22">
        <v>2227</v>
      </c>
    </row>
    <row r="48" spans="1:20" x14ac:dyDescent="0.25">
      <c r="A48" s="26" t="s">
        <v>263</v>
      </c>
      <c r="B48" s="25">
        <v>2</v>
      </c>
      <c r="C48" s="27">
        <v>1</v>
      </c>
      <c r="D48" s="1" t="s">
        <v>365</v>
      </c>
      <c r="E48" s="22">
        <v>1484</v>
      </c>
      <c r="F48" s="22">
        <v>1856</v>
      </c>
      <c r="G48" s="22">
        <v>2227</v>
      </c>
    </row>
    <row r="49" spans="1:7" x14ac:dyDescent="0.25">
      <c r="A49" s="26" t="s">
        <v>263</v>
      </c>
      <c r="B49" s="25">
        <v>2</v>
      </c>
      <c r="C49" s="27">
        <v>1</v>
      </c>
      <c r="D49" s="1" t="s">
        <v>366</v>
      </c>
      <c r="E49" s="22">
        <v>1484</v>
      </c>
      <c r="F49" s="22">
        <v>1856</v>
      </c>
      <c r="G49" s="22">
        <v>2227</v>
      </c>
    </row>
    <row r="50" spans="1:7" x14ac:dyDescent="0.25">
      <c r="A50" s="26" t="s">
        <v>263</v>
      </c>
      <c r="B50" s="25">
        <v>2</v>
      </c>
      <c r="C50" s="27">
        <v>1</v>
      </c>
      <c r="D50" s="1" t="s">
        <v>367</v>
      </c>
      <c r="E50" s="22">
        <v>1484</v>
      </c>
      <c r="F50" s="22">
        <v>1856</v>
      </c>
      <c r="G50" s="22">
        <v>2227</v>
      </c>
    </row>
    <row r="51" spans="1:7" x14ac:dyDescent="0.25">
      <c r="A51" s="26" t="s">
        <v>263</v>
      </c>
      <c r="B51" s="25">
        <v>2</v>
      </c>
      <c r="C51" s="27">
        <v>1</v>
      </c>
      <c r="D51" s="1" t="s">
        <v>368</v>
      </c>
      <c r="E51" s="22">
        <v>1484</v>
      </c>
      <c r="F51" s="22">
        <v>1856</v>
      </c>
      <c r="G51" s="22">
        <v>2227</v>
      </c>
    </row>
    <row r="52" spans="1:7" x14ac:dyDescent="0.25">
      <c r="A52" s="26" t="s">
        <v>263</v>
      </c>
      <c r="B52" s="25">
        <v>2</v>
      </c>
      <c r="C52" s="27">
        <v>1</v>
      </c>
      <c r="D52" s="1" t="s">
        <v>369</v>
      </c>
      <c r="E52" s="22">
        <v>1484</v>
      </c>
      <c r="F52" s="22">
        <v>1856</v>
      </c>
      <c r="G52" s="22">
        <v>2227</v>
      </c>
    </row>
    <row r="53" spans="1:7" x14ac:dyDescent="0.25">
      <c r="A53" s="26" t="s">
        <v>263</v>
      </c>
      <c r="B53" s="25">
        <v>2</v>
      </c>
      <c r="C53" s="27">
        <v>1</v>
      </c>
      <c r="D53" s="1" t="s">
        <v>370</v>
      </c>
      <c r="E53" s="22">
        <v>1484</v>
      </c>
      <c r="F53" s="22">
        <v>1856</v>
      </c>
      <c r="G53" s="22">
        <v>2227</v>
      </c>
    </row>
    <row r="54" spans="1:7" x14ac:dyDescent="0.25">
      <c r="A54" s="26" t="s">
        <v>263</v>
      </c>
      <c r="B54" s="25">
        <v>2</v>
      </c>
      <c r="C54" s="27">
        <v>1</v>
      </c>
      <c r="D54" s="1" t="s">
        <v>371</v>
      </c>
      <c r="E54" s="22">
        <v>1484</v>
      </c>
      <c r="F54" s="22">
        <v>1856</v>
      </c>
      <c r="G54" s="22">
        <v>2227</v>
      </c>
    </row>
    <row r="55" spans="1:7" x14ac:dyDescent="0.25">
      <c r="A55" s="26" t="s">
        <v>263</v>
      </c>
      <c r="B55" s="25">
        <v>2</v>
      </c>
      <c r="C55" s="27">
        <v>1</v>
      </c>
      <c r="D55" s="1" t="s">
        <v>372</v>
      </c>
      <c r="E55" s="22">
        <v>1484</v>
      </c>
      <c r="F55" s="22">
        <v>1856</v>
      </c>
      <c r="G55" s="22">
        <v>2227</v>
      </c>
    </row>
    <row r="56" spans="1:7" x14ac:dyDescent="0.25">
      <c r="A56" s="26" t="s">
        <v>263</v>
      </c>
      <c r="B56" s="25">
        <v>2</v>
      </c>
      <c r="C56" s="27">
        <v>1</v>
      </c>
      <c r="D56" s="1" t="s">
        <v>373</v>
      </c>
      <c r="E56" s="22">
        <v>1484</v>
      </c>
      <c r="F56" s="22">
        <v>1856</v>
      </c>
      <c r="G56" s="22">
        <v>2227</v>
      </c>
    </row>
    <row r="57" spans="1:7" x14ac:dyDescent="0.25">
      <c r="A57" s="26" t="s">
        <v>20</v>
      </c>
      <c r="B57" s="25"/>
      <c r="C57" s="27">
        <v>2</v>
      </c>
      <c r="D57" s="1" t="s">
        <v>167</v>
      </c>
      <c r="E57" s="22">
        <v>50199</v>
      </c>
      <c r="F57" s="22">
        <v>83062</v>
      </c>
      <c r="G57" s="22">
        <v>115926</v>
      </c>
    </row>
    <row r="59" spans="1:7" x14ac:dyDescent="0.25">
      <c r="E59" s="22"/>
      <c r="F59" s="22"/>
      <c r="G59" s="22"/>
    </row>
    <row r="60" spans="1:7" x14ac:dyDescent="0.25">
      <c r="E60" s="22"/>
      <c r="F60" s="22"/>
      <c r="G60" s="22"/>
    </row>
    <row r="61" spans="1:7" x14ac:dyDescent="0.25">
      <c r="E61" s="22"/>
      <c r="F61" s="22"/>
      <c r="G61" s="22"/>
    </row>
    <row r="62" spans="1:7" x14ac:dyDescent="0.25">
      <c r="E62" s="22"/>
      <c r="F62" s="22"/>
      <c r="G62" s="22"/>
    </row>
    <row r="63" spans="1:7" x14ac:dyDescent="0.25">
      <c r="E63" s="22"/>
      <c r="F63" s="22"/>
      <c r="G63" s="22"/>
    </row>
    <row r="64" spans="1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  <row r="408" spans="5:7" x14ac:dyDescent="0.25">
      <c r="E408" s="22"/>
      <c r="F408" s="22"/>
      <c r="G408" s="22"/>
    </row>
    <row r="409" spans="5:7" x14ac:dyDescent="0.25">
      <c r="E409" s="22"/>
      <c r="F409" s="22"/>
      <c r="G409" s="22"/>
    </row>
    <row r="410" spans="5:7" x14ac:dyDescent="0.25">
      <c r="E410" s="22"/>
      <c r="F410" s="22"/>
      <c r="G410" s="22"/>
    </row>
    <row r="411" spans="5:7" x14ac:dyDescent="0.25">
      <c r="E411" s="22"/>
      <c r="F411" s="22"/>
      <c r="G411" s="22"/>
    </row>
    <row r="412" spans="5:7" x14ac:dyDescent="0.25">
      <c r="E412" s="22"/>
      <c r="F412" s="22"/>
      <c r="G412" s="22"/>
    </row>
    <row r="413" spans="5:7" x14ac:dyDescent="0.25">
      <c r="E413" s="22"/>
      <c r="F413" s="22"/>
      <c r="G413" s="22"/>
    </row>
    <row r="414" spans="5:7" x14ac:dyDescent="0.25">
      <c r="E414" s="22"/>
      <c r="F414" s="22"/>
      <c r="G414" s="22"/>
    </row>
    <row r="415" spans="5:7" x14ac:dyDescent="0.25">
      <c r="E415" s="22"/>
      <c r="F415" s="22"/>
      <c r="G415" s="22"/>
    </row>
    <row r="416" spans="5:7" x14ac:dyDescent="0.25">
      <c r="E416" s="22"/>
      <c r="F416" s="22"/>
      <c r="G416" s="22"/>
    </row>
    <row r="417" spans="5:7" x14ac:dyDescent="0.25">
      <c r="E417" s="22"/>
      <c r="F417" s="22"/>
      <c r="G417" s="22"/>
    </row>
    <row r="418" spans="5:7" x14ac:dyDescent="0.25">
      <c r="E418" s="22"/>
      <c r="F418" s="22"/>
      <c r="G418" s="22"/>
    </row>
    <row r="419" spans="5:7" x14ac:dyDescent="0.25">
      <c r="E419" s="22"/>
      <c r="F419" s="22"/>
      <c r="G419" s="22"/>
    </row>
    <row r="420" spans="5:7" x14ac:dyDescent="0.25">
      <c r="E420" s="22"/>
      <c r="F420" s="22"/>
      <c r="G420" s="22"/>
    </row>
    <row r="421" spans="5:7" x14ac:dyDescent="0.25">
      <c r="E421" s="22"/>
      <c r="F421" s="22"/>
      <c r="G421" s="22"/>
    </row>
    <row r="422" spans="5:7" x14ac:dyDescent="0.25">
      <c r="E422" s="22"/>
      <c r="F422" s="22"/>
      <c r="G422" s="22"/>
    </row>
    <row r="423" spans="5:7" x14ac:dyDescent="0.25">
      <c r="E423" s="22"/>
      <c r="F423" s="22"/>
      <c r="G423" s="22"/>
    </row>
    <row r="424" spans="5:7" x14ac:dyDescent="0.25">
      <c r="E424" s="22"/>
      <c r="F424" s="22"/>
      <c r="G424" s="22"/>
    </row>
    <row r="425" spans="5:7" x14ac:dyDescent="0.25">
      <c r="E425" s="22"/>
      <c r="F425" s="22"/>
      <c r="G425" s="22"/>
    </row>
    <row r="426" spans="5:7" x14ac:dyDescent="0.25">
      <c r="E426" s="22"/>
      <c r="F426" s="22"/>
      <c r="G426" s="22"/>
    </row>
    <row r="427" spans="5:7" x14ac:dyDescent="0.25">
      <c r="E427" s="22"/>
      <c r="F427" s="22"/>
      <c r="G427" s="22"/>
    </row>
    <row r="428" spans="5:7" x14ac:dyDescent="0.25">
      <c r="E428" s="22"/>
      <c r="F428" s="22"/>
      <c r="G428" s="22"/>
    </row>
    <row r="429" spans="5:7" x14ac:dyDescent="0.25">
      <c r="E429" s="22"/>
      <c r="F429" s="22"/>
      <c r="G429" s="22"/>
    </row>
    <row r="430" spans="5:7" x14ac:dyDescent="0.25">
      <c r="E430" s="22"/>
      <c r="F430" s="22"/>
      <c r="G430" s="22"/>
    </row>
    <row r="431" spans="5:7" x14ac:dyDescent="0.25">
      <c r="E431" s="22"/>
      <c r="F431" s="22"/>
      <c r="G431" s="22"/>
    </row>
    <row r="432" spans="5:7" x14ac:dyDescent="0.25">
      <c r="E432" s="22"/>
      <c r="F432" s="22"/>
      <c r="G432" s="22"/>
    </row>
    <row r="433" spans="5:7" x14ac:dyDescent="0.25">
      <c r="E433" s="22"/>
      <c r="F433" s="22"/>
      <c r="G433" s="22"/>
    </row>
    <row r="434" spans="5:7" x14ac:dyDescent="0.25">
      <c r="E434" s="22"/>
      <c r="F434" s="22"/>
      <c r="G434" s="22"/>
    </row>
    <row r="435" spans="5:7" x14ac:dyDescent="0.25">
      <c r="E435" s="22"/>
      <c r="F435" s="22"/>
      <c r="G435" s="22"/>
    </row>
    <row r="436" spans="5:7" x14ac:dyDescent="0.25">
      <c r="E436" s="22"/>
      <c r="F436" s="22"/>
      <c r="G436" s="22"/>
    </row>
    <row r="437" spans="5:7" x14ac:dyDescent="0.25">
      <c r="E437" s="22"/>
      <c r="F437" s="22"/>
      <c r="G437" s="22"/>
    </row>
    <row r="438" spans="5:7" x14ac:dyDescent="0.25">
      <c r="E438" s="22"/>
      <c r="F438" s="22"/>
      <c r="G438" s="22"/>
    </row>
    <row r="439" spans="5:7" x14ac:dyDescent="0.25">
      <c r="E439" s="22"/>
      <c r="F439" s="22"/>
      <c r="G439" s="22"/>
    </row>
    <row r="440" spans="5:7" x14ac:dyDescent="0.25">
      <c r="E440" s="22"/>
      <c r="F440" s="22"/>
      <c r="G440" s="22"/>
    </row>
    <row r="441" spans="5:7" x14ac:dyDescent="0.25">
      <c r="E441" s="22"/>
      <c r="F441" s="22"/>
      <c r="G441" s="22"/>
    </row>
    <row r="442" spans="5:7" x14ac:dyDescent="0.25">
      <c r="E442" s="22"/>
      <c r="F442" s="22"/>
      <c r="G442" s="22"/>
    </row>
    <row r="443" spans="5:7" x14ac:dyDescent="0.25">
      <c r="E443" s="22"/>
      <c r="F443" s="22"/>
      <c r="G443" s="22"/>
    </row>
    <row r="444" spans="5:7" x14ac:dyDescent="0.25">
      <c r="E444" s="22"/>
      <c r="F444" s="22"/>
      <c r="G444" s="22"/>
    </row>
    <row r="445" spans="5:7" x14ac:dyDescent="0.25">
      <c r="E445" s="22"/>
      <c r="F445" s="22"/>
      <c r="G445" s="22"/>
    </row>
    <row r="446" spans="5:7" x14ac:dyDescent="0.25">
      <c r="E446" s="22"/>
      <c r="F446" s="22"/>
      <c r="G446" s="22"/>
    </row>
    <row r="447" spans="5:7" x14ac:dyDescent="0.25">
      <c r="E447" s="22"/>
      <c r="F447" s="22"/>
      <c r="G447" s="22"/>
    </row>
    <row r="448" spans="5:7" x14ac:dyDescent="0.25">
      <c r="E448" s="22"/>
      <c r="F448" s="22"/>
      <c r="G448" s="22"/>
    </row>
    <row r="449" spans="5:7" x14ac:dyDescent="0.25">
      <c r="E449" s="22"/>
      <c r="F449" s="22"/>
      <c r="G449" s="22"/>
    </row>
    <row r="450" spans="5:7" x14ac:dyDescent="0.25">
      <c r="E450" s="22"/>
      <c r="F450" s="22"/>
      <c r="G450" s="22"/>
    </row>
    <row r="451" spans="5:7" x14ac:dyDescent="0.25">
      <c r="E451" s="22"/>
      <c r="F451" s="22"/>
      <c r="G451" s="22"/>
    </row>
    <row r="452" spans="5:7" x14ac:dyDescent="0.25">
      <c r="E452" s="22"/>
      <c r="F452" s="22"/>
      <c r="G452" s="22"/>
    </row>
    <row r="453" spans="5:7" x14ac:dyDescent="0.25">
      <c r="E453" s="22"/>
      <c r="F453" s="22"/>
      <c r="G453" s="22"/>
    </row>
    <row r="454" spans="5:7" x14ac:dyDescent="0.25">
      <c r="E454" s="22"/>
      <c r="F454" s="22"/>
      <c r="G454" s="22"/>
    </row>
    <row r="455" spans="5:7" x14ac:dyDescent="0.25">
      <c r="E455" s="22"/>
      <c r="F455" s="22"/>
      <c r="G455" s="22"/>
    </row>
    <row r="456" spans="5:7" x14ac:dyDescent="0.25">
      <c r="E456" s="22"/>
      <c r="F456" s="22"/>
      <c r="G456" s="22"/>
    </row>
    <row r="457" spans="5:7" x14ac:dyDescent="0.25">
      <c r="E457" s="22"/>
      <c r="F457" s="22"/>
      <c r="G457" s="22"/>
    </row>
    <row r="458" spans="5:7" x14ac:dyDescent="0.25">
      <c r="E458" s="22"/>
      <c r="F458" s="22"/>
      <c r="G458" s="22"/>
    </row>
  </sheetData>
  <phoneticPr fontId="2" type="noConversion"/>
  <conditionalFormatting sqref="I1:L1 B1:G57 E59:G76 D59:D77">
    <cfRule type="expression" dxfId="5" priority="5">
      <formula>$C1=2</formula>
    </cfRule>
    <cfRule type="expression" dxfId="4" priority="6">
      <formula>$C1=1</formula>
    </cfRule>
  </conditionalFormatting>
  <conditionalFormatting sqref="I2:L18">
    <cfRule type="expression" dxfId="3" priority="11">
      <formula>#REF!=2</formula>
    </cfRule>
    <cfRule type="expression" dxfId="2" priority="12">
      <formula>#REF!=1</formula>
    </cfRule>
  </conditionalFormatting>
  <conditionalFormatting sqref="I19:L19">
    <cfRule type="expression" dxfId="1" priority="9">
      <formula>$C57=2</formula>
    </cfRule>
    <cfRule type="expression" dxfId="0" priority="10">
      <formula>$C57=1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/>
  </sheetViews>
  <sheetFormatPr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5703125" bestFit="1" customWidth="1"/>
    <col min="20" max="20" width="53.5703125" bestFit="1" customWidth="1"/>
    <col min="21" max="21" width="57.5703125" bestFit="1" customWidth="1"/>
    <col min="22" max="22" width="54.85546875" bestFit="1" customWidth="1"/>
    <col min="23" max="24" width="62.5703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5703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5703125" bestFit="1" customWidth="1"/>
    <col min="39" max="39" width="52.7109375" bestFit="1" customWidth="1"/>
    <col min="40" max="40" width="16.5703125" bestFit="1" customWidth="1"/>
    <col min="41" max="41" width="23.5703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5703125" bestFit="1" customWidth="1"/>
    <col min="58" max="58" width="30.5703125" bestFit="1" customWidth="1"/>
    <col min="59" max="59" width="26.28515625" bestFit="1" customWidth="1"/>
    <col min="60" max="60" width="23.5703125" bestFit="1" customWidth="1"/>
    <col min="61" max="61" width="23.140625" bestFit="1" customWidth="1"/>
    <col min="62" max="65" width="30.5703125" bestFit="1" customWidth="1"/>
    <col min="66" max="66" width="21" bestFit="1" customWidth="1"/>
    <col min="67" max="67" width="62.5703125" bestFit="1" customWidth="1"/>
    <col min="68" max="68" width="16.7109375" bestFit="1" customWidth="1"/>
    <col min="69" max="69" width="54.5703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5703125" bestFit="1" customWidth="1"/>
    <col min="78" max="78" width="53.5703125" bestFit="1" customWidth="1"/>
    <col min="79" max="79" width="57.5703125" bestFit="1" customWidth="1"/>
    <col min="80" max="80" width="54.85546875" bestFit="1" customWidth="1"/>
    <col min="81" max="82" width="62.5703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5703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5703125" bestFit="1" customWidth="1"/>
    <col min="97" max="97" width="52.7109375" bestFit="1" customWidth="1"/>
    <col min="98" max="98" width="16.5703125" bestFit="1" customWidth="1"/>
    <col min="99" max="99" width="23.5703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5703125" bestFit="1" customWidth="1"/>
    <col min="116" max="116" width="30.5703125" bestFit="1" customWidth="1"/>
    <col min="117" max="117" width="26.28515625" bestFit="1" customWidth="1"/>
    <col min="118" max="118" width="23.5703125" bestFit="1" customWidth="1"/>
    <col min="119" max="119" width="23.140625" bestFit="1" customWidth="1"/>
    <col min="120" max="123" width="30.5703125" bestFit="1" customWidth="1"/>
    <col min="124" max="124" width="21" bestFit="1" customWidth="1"/>
    <col min="125" max="125" width="62.5703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5703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5703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5703125" bestFit="1" customWidth="1"/>
    <col min="151" max="151" width="37.85546875" bestFit="1" customWidth="1"/>
    <col min="152" max="152" width="40.5703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5703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5703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5703125" bestFit="1" customWidth="1"/>
    <col min="178" max="181" width="31" bestFit="1" customWidth="1"/>
    <col min="182" max="182" width="21.42578125" bestFit="1" customWidth="1"/>
    <col min="183" max="183" width="62.5703125" bestFit="1" customWidth="1"/>
    <col min="184" max="184" width="17" bestFit="1" customWidth="1"/>
    <col min="185" max="185" width="10.85546875" bestFit="1" customWidth="1"/>
    <col min="186" max="190" width="11.5703125" bestFit="1" customWidth="1"/>
    <col min="191" max="208" width="12.5703125" bestFit="1" customWidth="1"/>
    <col min="209" max="209" width="17.7109375" bestFit="1" customWidth="1"/>
    <col min="210" max="218" width="11.5703125" bestFit="1" customWidth="1"/>
    <col min="219" max="236" width="12.5703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5703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5703125" bestFit="1" customWidth="1"/>
    <col min="275" max="275" width="32" bestFit="1" customWidth="1"/>
    <col min="276" max="276" width="11.5703125" bestFit="1" customWidth="1"/>
    <col min="277" max="277" width="11" bestFit="1" customWidth="1"/>
    <col min="278" max="278" width="13.5703125" bestFit="1" customWidth="1"/>
    <col min="279" max="279" width="15.85546875" bestFit="1" customWidth="1"/>
    <col min="280" max="280" width="36.7109375" bestFit="1" customWidth="1"/>
    <col min="281" max="281" width="29.5703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5703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5703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5703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5703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5703125" bestFit="1" customWidth="1"/>
    <col min="326" max="326" width="32.85546875" bestFit="1" customWidth="1"/>
    <col min="327" max="327" width="33.5703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5703125" bestFit="1" customWidth="1"/>
    <col min="346" max="346" width="16.42578125" customWidth="1"/>
    <col min="347" max="347" width="10.7109375" bestFit="1" customWidth="1"/>
    <col min="348" max="348" width="23.5703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5703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5703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5703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5703125" bestFit="1" customWidth="1"/>
    <col min="390" max="390" width="43.140625" bestFit="1" customWidth="1"/>
    <col min="391" max="391" width="32.7109375" bestFit="1" customWidth="1"/>
    <col min="392" max="392" width="22.5703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5703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5703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5703125" bestFit="1" customWidth="1"/>
    <col min="474" max="474" width="31.7109375" bestFit="1" customWidth="1"/>
    <col min="475" max="476" width="32" bestFit="1" customWidth="1"/>
    <col min="477" max="477" width="31.5703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5703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5703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5703125" bestFit="1" customWidth="1"/>
    <col min="529" max="529" width="26" bestFit="1" customWidth="1"/>
    <col min="530" max="530" width="22" bestFit="1" customWidth="1"/>
    <col min="531" max="531" width="20.5703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5703125" bestFit="1" customWidth="1"/>
    <col min="540" max="541" width="14.140625" bestFit="1" customWidth="1"/>
    <col min="542" max="543" width="13.5703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5703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5703125" bestFit="1" customWidth="1"/>
    <col min="582" max="583" width="14" bestFit="1" customWidth="1"/>
    <col min="584" max="585" width="14.140625" bestFit="1" customWidth="1"/>
    <col min="586" max="587" width="16.5703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5703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5703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5703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5703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5703125" bestFit="1" customWidth="1"/>
    <col min="641" max="641" width="34.5703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5703125" bestFit="1" customWidth="1"/>
    <col min="655" max="655" width="27.42578125" bestFit="1" customWidth="1"/>
    <col min="656" max="656" width="21.5703125" bestFit="1" customWidth="1"/>
    <col min="657" max="657" width="19.7109375" bestFit="1" customWidth="1"/>
    <col min="658" max="658" width="46.5703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5703125" bestFit="1" customWidth="1"/>
    <col min="695" max="695" width="30.140625" bestFit="1" customWidth="1"/>
    <col min="696" max="696" width="38.140625" bestFit="1" customWidth="1"/>
    <col min="697" max="697" width="19.5703125" bestFit="1" customWidth="1"/>
    <col min="698" max="698" width="17.5703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5703125" bestFit="1" customWidth="1"/>
    <col min="708" max="708" width="46.42578125" bestFit="1" customWidth="1"/>
    <col min="709" max="709" width="44.5703125" bestFit="1" customWidth="1"/>
    <col min="710" max="710" width="19.5703125" bestFit="1" customWidth="1"/>
    <col min="711" max="711" width="16" bestFit="1" customWidth="1"/>
    <col min="712" max="712" width="22.85546875" bestFit="1" customWidth="1"/>
    <col min="713" max="713" width="22.5703125" bestFit="1" customWidth="1"/>
    <col min="714" max="714" width="31.85546875" bestFit="1" customWidth="1"/>
    <col min="715" max="715" width="16.5703125" bestFit="1" customWidth="1"/>
    <col min="716" max="716" width="32.7109375" bestFit="1" customWidth="1"/>
    <col min="717" max="717" width="29" bestFit="1" customWidth="1"/>
    <col min="718" max="718" width="41.5703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5703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5703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5703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5703125" bestFit="1" customWidth="1"/>
    <col min="794" max="794" width="26.140625" bestFit="1" customWidth="1"/>
    <col min="795" max="795" width="26" bestFit="1" customWidth="1"/>
    <col min="796" max="796" width="29.5703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5703125" bestFit="1" customWidth="1"/>
    <col min="812" max="812" width="39.28515625" bestFit="1" customWidth="1"/>
    <col min="813" max="813" width="43" bestFit="1" customWidth="1"/>
    <col min="814" max="814" width="26.5703125" bestFit="1" customWidth="1"/>
    <col min="815" max="815" width="26.42578125" bestFit="1" customWidth="1"/>
    <col min="816" max="816" width="30" bestFit="1" customWidth="1"/>
    <col min="817" max="817" width="27.28515625" bestFit="1" customWidth="1"/>
    <col min="818" max="818" width="16.5703125" bestFit="1" customWidth="1"/>
    <col min="819" max="819" width="11.85546875" bestFit="1" customWidth="1"/>
    <col min="820" max="820" width="27.28515625" bestFit="1" customWidth="1"/>
    <col min="821" max="821" width="16.5703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5703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5703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5703125" bestFit="1" customWidth="1"/>
    <col min="861" max="861" width="44.5703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5703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5703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5703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5703125" bestFit="1" customWidth="1"/>
    <col min="919" max="919" width="16.140625" bestFit="1" customWidth="1"/>
    <col min="920" max="920" width="13.5703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5703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5703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5703125" bestFit="1" customWidth="1"/>
    <col min="962" max="962" width="14" bestFit="1" customWidth="1"/>
    <col min="963" max="963" width="17.140625" bestFit="1" customWidth="1"/>
    <col min="964" max="964" width="34.5703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5703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5703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5703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5703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5703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5703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5703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5703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5703125" bestFit="1" customWidth="1"/>
    <col min="1044" max="1044" width="31.5703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5703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5703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5703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5703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5703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5703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5703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5703125" bestFit="1" customWidth="1"/>
    <col min="1131" max="1132" width="16.5703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5703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5703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5703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5703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5703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5703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5703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5703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5703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5703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5703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5703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5703125" bestFit="1" customWidth="1"/>
    <col min="1359" max="1359" width="30.85546875" bestFit="1" customWidth="1"/>
    <col min="1360" max="1360" width="32.5703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5703125" bestFit="1" customWidth="1"/>
    <col min="1377" max="1377" width="80.5703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5703125" bestFit="1" customWidth="1"/>
    <col min="1382" max="1382" width="27.140625" bestFit="1" customWidth="1"/>
    <col min="1383" max="1383" width="17.5703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5703125" bestFit="1" customWidth="1"/>
    <col min="1388" max="1388" width="32" bestFit="1" customWidth="1"/>
    <col min="1389" max="1389" width="80.5703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5703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5703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5703125" bestFit="1" customWidth="1"/>
    <col min="1433" max="1433" width="18.85546875" bestFit="1" customWidth="1"/>
    <col min="1434" max="1434" width="20.5703125" bestFit="1" customWidth="1"/>
    <col min="1435" max="1435" width="19.42578125" bestFit="1" customWidth="1"/>
    <col min="1436" max="1436" width="17.85546875" bestFit="1" customWidth="1"/>
    <col min="1437" max="1437" width="24.5703125" bestFit="1" customWidth="1"/>
    <col min="1438" max="1438" width="21.5703125" bestFit="1" customWidth="1"/>
    <col min="1439" max="1439" width="18.5703125" bestFit="1" customWidth="1"/>
    <col min="1440" max="1440" width="38.140625" bestFit="1" customWidth="1"/>
    <col min="1441" max="1441" width="36.5703125" bestFit="1" customWidth="1"/>
    <col min="1442" max="1442" width="35.5703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5703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5703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5703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5703125" bestFit="1" customWidth="1"/>
    <col min="1498" max="1500" width="14" bestFit="1" customWidth="1"/>
    <col min="1501" max="1503" width="14.5703125" bestFit="1" customWidth="1"/>
    <col min="1504" max="1506" width="14.140625" bestFit="1" customWidth="1"/>
    <col min="1507" max="1509" width="16.5703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5703125" bestFit="1" customWidth="1"/>
    <col min="1554" max="1554" width="29" bestFit="1" customWidth="1"/>
    <col min="1555" max="1555" width="21.5703125" bestFit="1" customWidth="1"/>
    <col min="1556" max="1556" width="20.42578125" bestFit="1" customWidth="1"/>
    <col min="1557" max="1557" width="35.42578125" bestFit="1" customWidth="1"/>
    <col min="1558" max="1558" width="31.5703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5703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5703125" bestFit="1" customWidth="1"/>
    <col min="1590" max="1590" width="34.5703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5703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5703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5703125" bestFit="1" customWidth="1"/>
    <col min="1649" max="1649" width="34" bestFit="1" customWidth="1"/>
    <col min="1650" max="1650" width="23.5703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5703125" bestFit="1" customWidth="1"/>
    <col min="1662" max="1662" width="33.5703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5703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5703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5703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5703125" bestFit="1" customWidth="1"/>
    <col min="1728" max="1728" width="16.5703125" bestFit="1" customWidth="1"/>
    <col min="1729" max="1729" width="13.5703125" bestFit="1" customWidth="1"/>
    <col min="1730" max="1730" width="27.5703125" bestFit="1" customWidth="1"/>
    <col min="1731" max="1731" width="28" bestFit="1" customWidth="1"/>
    <col min="1732" max="1732" width="40.5703125" bestFit="1" customWidth="1"/>
    <col min="1733" max="1733" width="30.85546875" bestFit="1" customWidth="1"/>
    <col min="1734" max="1734" width="29.5703125" bestFit="1" customWidth="1"/>
    <col min="1735" max="1735" width="33.5703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5703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5703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5703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5703125" bestFit="1" customWidth="1"/>
    <col min="1801" max="1801" width="16.5703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5703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5703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5703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5703125" bestFit="1" customWidth="1"/>
    <col min="1910" max="1910" width="18.85546875" bestFit="1" customWidth="1"/>
    <col min="1911" max="1911" width="20.5703125" bestFit="1" customWidth="1"/>
    <col min="1912" max="1912" width="19.42578125" bestFit="1" customWidth="1"/>
    <col min="1913" max="1913" width="17.85546875" bestFit="1" customWidth="1"/>
    <col min="1914" max="1914" width="24.5703125" bestFit="1" customWidth="1"/>
    <col min="1915" max="1915" width="21.5703125" bestFit="1" customWidth="1"/>
    <col min="1916" max="1916" width="18.5703125" bestFit="1" customWidth="1"/>
    <col min="1917" max="1917" width="38.140625" bestFit="1" customWidth="1"/>
    <col min="1918" max="1918" width="36.5703125" bestFit="1" customWidth="1"/>
    <col min="1919" max="1919" width="35.5703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5703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5703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5703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5703125" bestFit="1" customWidth="1"/>
    <col min="1975" max="1977" width="14" bestFit="1" customWidth="1"/>
    <col min="1978" max="1980" width="14.5703125" bestFit="1" customWidth="1"/>
    <col min="1981" max="1983" width="14.140625" bestFit="1" customWidth="1"/>
    <col min="1984" max="1986" width="16.5703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5703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5703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5703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5703125" bestFit="1" customWidth="1"/>
    <col min="2055" max="2055" width="24.28515625" bestFit="1" customWidth="1"/>
    <col min="2056" max="2056" width="23.140625" bestFit="1" customWidth="1"/>
    <col min="2057" max="2057" width="21.5703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5703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5703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5703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5703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5703125" bestFit="1" customWidth="1"/>
    <col min="2121" max="2121" width="14.140625" bestFit="1" customWidth="1"/>
    <col min="2122" max="2122" width="16.5703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5703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5703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5703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5703125" bestFit="1" customWidth="1"/>
    <col min="2156" max="2156" width="22.85546875" bestFit="1" customWidth="1"/>
    <col min="2157" max="2157" width="24.7109375" bestFit="1" customWidth="1"/>
    <col min="2158" max="2158" width="23.5703125" bestFit="1" customWidth="1"/>
    <col min="2159" max="2159" width="22" bestFit="1" customWidth="1"/>
    <col min="2160" max="2160" width="28.5703125" bestFit="1" customWidth="1"/>
    <col min="2161" max="2161" width="25.7109375" bestFit="1" customWidth="1"/>
    <col min="2162" max="2162" width="22.5703125" bestFit="1" customWidth="1"/>
    <col min="2163" max="2163" width="42.140625" bestFit="1" customWidth="1"/>
    <col min="2164" max="2164" width="40.5703125" bestFit="1" customWidth="1"/>
    <col min="2165" max="2165" width="39.5703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5703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5703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5703125" bestFit="1" customWidth="1"/>
    <col min="2195" max="2195" width="16" bestFit="1" customWidth="1"/>
    <col min="2196" max="2196" width="39.5703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5703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5703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5703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5703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5703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5703125" bestFit="1" customWidth="1"/>
    <col min="2234" max="2234" width="18.140625" customWidth="1"/>
    <col min="2235" max="2235" width="12" bestFit="1" customWidth="1"/>
    <col min="2236" max="2236" width="21.5703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5703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5703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5703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5703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5703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250</v>
      </c>
      <c r="C1" t="s">
        <v>251</v>
      </c>
      <c r="D1" t="s">
        <v>122</v>
      </c>
      <c r="E1" t="s">
        <v>252</v>
      </c>
      <c r="F1" t="s">
        <v>253</v>
      </c>
      <c r="G1" t="s">
        <v>123</v>
      </c>
      <c r="H1" t="s">
        <v>254</v>
      </c>
      <c r="I1" t="s">
        <v>255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/>
  </sheetViews>
  <sheetFormatPr defaultRowHeight="15" x14ac:dyDescent="0.25"/>
  <cols>
    <col min="1" max="1" width="19.71093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499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workbookViewId="0"/>
  </sheetViews>
  <sheetFormatPr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>
    <tabColor theme="6"/>
  </sheetPr>
  <dimension ref="A1:K33"/>
  <sheetViews>
    <sheetView workbookViewId="0">
      <selection activeCell="F1" sqref="F1:G32"/>
    </sheetView>
  </sheetViews>
  <sheetFormatPr defaultColWidth="9.140625" defaultRowHeight="15.75" x14ac:dyDescent="0.25"/>
  <cols>
    <col min="1" max="1" width="7.85546875" style="1" bestFit="1" customWidth="1"/>
    <col min="2" max="2" width="18.7109375" style="1" bestFit="1" customWidth="1"/>
    <col min="3" max="3" width="27.42578125" style="1" bestFit="1" customWidth="1"/>
    <col min="4" max="4" width="7.42578125" style="1" bestFit="1" customWidth="1"/>
    <col min="5" max="5" width="9.140625" style="1"/>
    <col min="6" max="6" width="18.85546875" style="1" bestFit="1" customWidth="1"/>
    <col min="7" max="7" width="33.140625" style="1" bestFit="1" customWidth="1"/>
    <col min="8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  <c r="F1" s="56" t="s">
        <v>264</v>
      </c>
      <c r="G1" s="56" t="s">
        <v>265</v>
      </c>
    </row>
    <row r="2" spans="1:7" x14ac:dyDescent="0.25">
      <c r="A2" s="1" t="s">
        <v>64</v>
      </c>
      <c r="B2" s="1" t="s">
        <v>63</v>
      </c>
      <c r="C2" s="40" t="s">
        <v>412</v>
      </c>
      <c r="F2" s="20">
        <v>2027</v>
      </c>
      <c r="G2" s="20">
        <v>2.3519999999999999</v>
      </c>
    </row>
    <row r="3" spans="1:7" x14ac:dyDescent="0.25">
      <c r="A3" s="1" t="s">
        <v>66</v>
      </c>
      <c r="B3" s="1" t="s">
        <v>65</v>
      </c>
      <c r="C3" s="40" t="s">
        <v>413</v>
      </c>
      <c r="F3" s="1" t="str">
        <f>GetBloombergDailyYieldCurve_cur_1[[#This Row],[Year]]</f>
        <v>2028</v>
      </c>
      <c r="G3" s="20">
        <v>2.3420000000000001</v>
      </c>
    </row>
    <row r="4" spans="1:7" x14ac:dyDescent="0.25">
      <c r="A4" s="1" t="s">
        <v>68</v>
      </c>
      <c r="B4" s="1" t="s">
        <v>67</v>
      </c>
      <c r="C4" s="40" t="s">
        <v>414</v>
      </c>
      <c r="F4" s="1" t="str">
        <f>GetBloombergDailyYieldCurve_cur_1[[#This Row],[Year]]</f>
        <v>2029</v>
      </c>
      <c r="G4" s="20">
        <v>2.34</v>
      </c>
    </row>
    <row r="5" spans="1:7" x14ac:dyDescent="0.25">
      <c r="A5" s="1" t="s">
        <v>70</v>
      </c>
      <c r="B5" s="1" t="s">
        <v>69</v>
      </c>
      <c r="C5" s="40" t="s">
        <v>415</v>
      </c>
      <c r="F5" s="1" t="str">
        <f>GetBloombergDailyYieldCurve_cur_1[[#This Row],[Year]]</f>
        <v>2030</v>
      </c>
      <c r="G5" s="20">
        <v>2.387</v>
      </c>
    </row>
    <row r="6" spans="1:7" x14ac:dyDescent="0.25">
      <c r="A6" s="1" t="s">
        <v>72</v>
      </c>
      <c r="B6" s="1" t="s">
        <v>71</v>
      </c>
      <c r="C6" s="40" t="s">
        <v>416</v>
      </c>
      <c r="F6" s="1" t="str">
        <f>GetBloombergDailyYieldCurve_cur_1[[#This Row],[Year]]</f>
        <v>2031</v>
      </c>
      <c r="G6" s="20">
        <v>2.4380000000000002</v>
      </c>
    </row>
    <row r="7" spans="1:7" x14ac:dyDescent="0.25">
      <c r="A7" s="1" t="s">
        <v>74</v>
      </c>
      <c r="B7" s="1" t="s">
        <v>73</v>
      </c>
      <c r="C7" s="40" t="s">
        <v>417</v>
      </c>
      <c r="F7" s="1" t="str">
        <f>GetBloombergDailyYieldCurve_cur_1[[#This Row],[Year]]</f>
        <v>2032</v>
      </c>
      <c r="G7" s="20">
        <v>2.5219999999999998</v>
      </c>
    </row>
    <row r="8" spans="1:7" x14ac:dyDescent="0.25">
      <c r="A8" s="1" t="s">
        <v>76</v>
      </c>
      <c r="B8" s="1" t="s">
        <v>75</v>
      </c>
      <c r="C8" s="40" t="s">
        <v>418</v>
      </c>
      <c r="F8" s="1" t="str">
        <f>GetBloombergDailyYieldCurve_cur_1[[#This Row],[Year]]</f>
        <v>2033</v>
      </c>
      <c r="G8" s="20">
        <v>2.6219999999999999</v>
      </c>
    </row>
    <row r="9" spans="1:7" x14ac:dyDescent="0.25">
      <c r="A9" s="1" t="s">
        <v>78</v>
      </c>
      <c r="B9" s="1" t="s">
        <v>77</v>
      </c>
      <c r="C9" s="40" t="s">
        <v>419</v>
      </c>
      <c r="F9" s="1" t="str">
        <f>GetBloombergDailyYieldCurve_cur_1[[#This Row],[Year]]</f>
        <v>2034</v>
      </c>
      <c r="G9" s="20">
        <v>2.6869999999999998</v>
      </c>
    </row>
    <row r="10" spans="1:7" x14ac:dyDescent="0.25">
      <c r="A10" s="1" t="s">
        <v>80</v>
      </c>
      <c r="B10" s="1" t="s">
        <v>79</v>
      </c>
      <c r="C10" s="40" t="s">
        <v>420</v>
      </c>
      <c r="F10" s="1" t="str">
        <f>GetBloombergDailyYieldCurve_cur_1[[#This Row],[Year]]</f>
        <v>2035</v>
      </c>
      <c r="G10" s="20">
        <v>2.7789999999999999</v>
      </c>
    </row>
    <row r="11" spans="1:7" x14ac:dyDescent="0.25">
      <c r="A11" s="1" t="s">
        <v>82</v>
      </c>
      <c r="B11" s="1" t="s">
        <v>81</v>
      </c>
      <c r="C11" s="40" t="s">
        <v>421</v>
      </c>
      <c r="F11" s="1" t="str">
        <f>GetBloombergDailyYieldCurve_cur_1[[#This Row],[Year]]</f>
        <v>2036</v>
      </c>
      <c r="G11" s="20">
        <v>2.883</v>
      </c>
    </row>
    <row r="12" spans="1:7" x14ac:dyDescent="0.25">
      <c r="A12" s="1" t="s">
        <v>84</v>
      </c>
      <c r="B12" s="1" t="s">
        <v>83</v>
      </c>
      <c r="C12" s="40" t="s">
        <v>422</v>
      </c>
      <c r="F12" s="1" t="str">
        <f>GetBloombergDailyYieldCurve_cur_1[[#This Row],[Year]]</f>
        <v>2037</v>
      </c>
      <c r="G12" s="20">
        <v>2.996</v>
      </c>
    </row>
    <row r="13" spans="1:7" x14ac:dyDescent="0.25">
      <c r="A13" s="1" t="s">
        <v>86</v>
      </c>
      <c r="B13" s="1" t="s">
        <v>85</v>
      </c>
      <c r="C13" s="40" t="s">
        <v>423</v>
      </c>
      <c r="F13" s="1" t="str">
        <f>GetBloombergDailyYieldCurve_cur_1[[#This Row],[Year]]</f>
        <v>2038</v>
      </c>
      <c r="G13" s="20">
        <v>3.1040000000000001</v>
      </c>
    </row>
    <row r="14" spans="1:7" x14ac:dyDescent="0.25">
      <c r="A14" s="1" t="s">
        <v>88</v>
      </c>
      <c r="B14" s="1" t="s">
        <v>87</v>
      </c>
      <c r="C14" s="40" t="s">
        <v>424</v>
      </c>
      <c r="F14" s="1" t="str">
        <f>GetBloombergDailyYieldCurve_cur_1[[#This Row],[Year]]</f>
        <v>2039</v>
      </c>
      <c r="G14" s="20">
        <v>3.1779999999999999</v>
      </c>
    </row>
    <row r="15" spans="1:7" x14ac:dyDescent="0.25">
      <c r="A15" s="1" t="s">
        <v>90</v>
      </c>
      <c r="B15" s="1" t="s">
        <v>89</v>
      </c>
      <c r="C15" s="40" t="s">
        <v>425</v>
      </c>
      <c r="F15" s="1" t="str">
        <f>GetBloombergDailyYieldCurve_cur_1[[#This Row],[Year]]</f>
        <v>2040</v>
      </c>
      <c r="G15" s="20">
        <v>3.274</v>
      </c>
    </row>
    <row r="16" spans="1:7" x14ac:dyDescent="0.25">
      <c r="A16" s="1" t="s">
        <v>92</v>
      </c>
      <c r="B16" s="1" t="s">
        <v>91</v>
      </c>
      <c r="C16" s="40" t="s">
        <v>426</v>
      </c>
      <c r="F16" s="1" t="str">
        <f>GetBloombergDailyYieldCurve_cur_1[[#This Row],[Year]]</f>
        <v>2041</v>
      </c>
      <c r="G16" s="20">
        <v>3.3279999999999998</v>
      </c>
    </row>
    <row r="17" spans="1:7" x14ac:dyDescent="0.25">
      <c r="A17" s="1" t="s">
        <v>94</v>
      </c>
      <c r="B17" s="1" t="s">
        <v>93</v>
      </c>
      <c r="C17" s="40" t="s">
        <v>427</v>
      </c>
      <c r="F17" s="1" t="str">
        <f>GetBloombergDailyYieldCurve_cur_1[[#This Row],[Year]]</f>
        <v>2042</v>
      </c>
      <c r="G17" s="20">
        <v>3.4350000000000001</v>
      </c>
    </row>
    <row r="18" spans="1:7" x14ac:dyDescent="0.25">
      <c r="A18" s="1" t="s">
        <v>96</v>
      </c>
      <c r="B18" s="1" t="s">
        <v>95</v>
      </c>
      <c r="C18" s="40" t="s">
        <v>428</v>
      </c>
      <c r="F18" s="1" t="str">
        <f>GetBloombergDailyYieldCurve_cur_1[[#This Row],[Year]]</f>
        <v>2043</v>
      </c>
      <c r="G18" s="20">
        <v>3.5670000000000002</v>
      </c>
    </row>
    <row r="19" spans="1:7" x14ac:dyDescent="0.25">
      <c r="A19" s="1" t="s">
        <v>98</v>
      </c>
      <c r="B19" s="1" t="s">
        <v>97</v>
      </c>
      <c r="C19" s="40" t="s">
        <v>429</v>
      </c>
      <c r="F19" s="1" t="str">
        <f>GetBloombergDailyYieldCurve_cur_1[[#This Row],[Year]]</f>
        <v>2044</v>
      </c>
      <c r="G19" s="20">
        <v>3.6989999999999998</v>
      </c>
    </row>
    <row r="20" spans="1:7" x14ac:dyDescent="0.25">
      <c r="A20" s="1" t="s">
        <v>100</v>
      </c>
      <c r="B20" s="1" t="s">
        <v>99</v>
      </c>
      <c r="C20" s="40" t="s">
        <v>430</v>
      </c>
      <c r="F20" s="1" t="str">
        <f>GetBloombergDailyYieldCurve_cur_1[[#This Row],[Year]]</f>
        <v>2045</v>
      </c>
      <c r="G20" s="20">
        <v>3.835</v>
      </c>
    </row>
    <row r="21" spans="1:7" x14ac:dyDescent="0.25">
      <c r="A21" s="1" t="s">
        <v>102</v>
      </c>
      <c r="B21" s="1" t="s">
        <v>101</v>
      </c>
      <c r="C21" s="40" t="s">
        <v>431</v>
      </c>
      <c r="F21" s="1" t="str">
        <f>GetBloombergDailyYieldCurve_cur_1[[#This Row],[Year]]</f>
        <v>2046</v>
      </c>
      <c r="G21" s="20">
        <v>3.9580000000000002</v>
      </c>
    </row>
    <row r="22" spans="1:7" x14ac:dyDescent="0.25">
      <c r="A22" s="1" t="s">
        <v>104</v>
      </c>
      <c r="B22" s="1" t="s">
        <v>103</v>
      </c>
      <c r="C22" s="40" t="s">
        <v>432</v>
      </c>
      <c r="F22" s="1" t="str">
        <f>GetBloombergDailyYieldCurve_cur_1[[#This Row],[Year]]</f>
        <v>2047</v>
      </c>
      <c r="G22" s="20">
        <v>4.0339999999999998</v>
      </c>
    </row>
    <row r="23" spans="1:7" x14ac:dyDescent="0.25">
      <c r="A23" s="1" t="s">
        <v>106</v>
      </c>
      <c r="B23" s="1" t="s">
        <v>105</v>
      </c>
      <c r="C23" s="40" t="s">
        <v>433</v>
      </c>
      <c r="F23" s="1" t="str">
        <f>GetBloombergDailyYieldCurve_cur_1[[#This Row],[Year]]</f>
        <v>2048</v>
      </c>
      <c r="G23" s="20">
        <v>4.0949999999999998</v>
      </c>
    </row>
    <row r="24" spans="1:7" x14ac:dyDescent="0.25">
      <c r="A24" s="1" t="s">
        <v>108</v>
      </c>
      <c r="B24" s="1" t="s">
        <v>107</v>
      </c>
      <c r="C24" s="40" t="s">
        <v>434</v>
      </c>
      <c r="F24" s="1" t="str">
        <f>GetBloombergDailyYieldCurve_cur_1[[#This Row],[Year]]</f>
        <v>2049</v>
      </c>
      <c r="G24" s="20">
        <v>4.1360000000000001</v>
      </c>
    </row>
    <row r="25" spans="1:7" x14ac:dyDescent="0.25">
      <c r="A25" s="1" t="s">
        <v>110</v>
      </c>
      <c r="B25" s="1" t="s">
        <v>109</v>
      </c>
      <c r="C25" s="40" t="s">
        <v>435</v>
      </c>
      <c r="F25" s="1" t="str">
        <f>GetBloombergDailyYieldCurve_cur_1[[#This Row],[Year]]</f>
        <v>2050</v>
      </c>
      <c r="G25" s="20">
        <v>4.1829999999999998</v>
      </c>
    </row>
    <row r="26" spans="1:7" x14ac:dyDescent="0.25">
      <c r="A26" s="1" t="s">
        <v>112</v>
      </c>
      <c r="B26" s="1" t="s">
        <v>111</v>
      </c>
      <c r="C26" s="40" t="s">
        <v>436</v>
      </c>
      <c r="F26" s="1" t="str">
        <f>GetBloombergDailyYieldCurve_cur_1[[#This Row],[Year]]</f>
        <v>2051</v>
      </c>
      <c r="G26" s="20">
        <v>4.2009999999999996</v>
      </c>
    </row>
    <row r="27" spans="1:7" x14ac:dyDescent="0.25">
      <c r="A27" s="1" t="s">
        <v>114</v>
      </c>
      <c r="B27" s="1" t="s">
        <v>113</v>
      </c>
      <c r="C27" s="40" t="s">
        <v>437</v>
      </c>
      <c r="F27" s="1" t="str">
        <f>GetBloombergDailyYieldCurve_cur_1[[#This Row],[Year]]</f>
        <v>2052</v>
      </c>
      <c r="G27" s="20">
        <v>4.22</v>
      </c>
    </row>
    <row r="28" spans="1:7" x14ac:dyDescent="0.25">
      <c r="A28" s="1" t="s">
        <v>116</v>
      </c>
      <c r="B28" s="1" t="s">
        <v>115</v>
      </c>
      <c r="C28" s="40" t="s">
        <v>438</v>
      </c>
      <c r="F28" s="1" t="str">
        <f>GetBloombergDailyYieldCurve_cur_1[[#This Row],[Year]]</f>
        <v>2053</v>
      </c>
      <c r="G28" s="20">
        <v>4.2320000000000002</v>
      </c>
    </row>
    <row r="29" spans="1:7" x14ac:dyDescent="0.25">
      <c r="A29" s="1" t="s">
        <v>118</v>
      </c>
      <c r="B29" s="1" t="s">
        <v>117</v>
      </c>
      <c r="C29" s="40" t="s">
        <v>439</v>
      </c>
      <c r="F29" s="1" t="str">
        <f>GetBloombergDailyYieldCurve_cur_1[[#This Row],[Year]]</f>
        <v>2054</v>
      </c>
      <c r="G29" s="20">
        <v>4.2539999999999996</v>
      </c>
    </row>
    <row r="30" spans="1:7" x14ac:dyDescent="0.25">
      <c r="A30" s="1" t="s">
        <v>120</v>
      </c>
      <c r="B30" s="1" t="s">
        <v>119</v>
      </c>
      <c r="C30" s="40" t="s">
        <v>440</v>
      </c>
      <c r="F30" s="1" t="str">
        <f>GetBloombergDailyYieldCurve_cur_1[[#This Row],[Year]]</f>
        <v>2055</v>
      </c>
      <c r="G30" s="20">
        <v>4.2569999999999997</v>
      </c>
    </row>
    <row r="31" spans="1:7" x14ac:dyDescent="0.25">
      <c r="A31" s="1" t="s">
        <v>249</v>
      </c>
      <c r="B31" s="1" t="s">
        <v>121</v>
      </c>
      <c r="C31" s="40" t="s">
        <v>441</v>
      </c>
      <c r="F31" s="1" t="str">
        <f>GetBloombergDailyYieldCurve_cur_1[[#This Row],[Year]]</f>
        <v>2056</v>
      </c>
      <c r="G31" s="20">
        <v>4.2750000000000004</v>
      </c>
    </row>
    <row r="32" spans="1:7" x14ac:dyDescent="0.25">
      <c r="F32" s="1" t="str">
        <f>"*" &amp; (F31+1)</f>
        <v>*2057</v>
      </c>
      <c r="G32" s="58">
        <f>G31</f>
        <v>4.2750000000000004</v>
      </c>
    </row>
    <row r="33" spans="11:11" x14ac:dyDescent="0.25">
      <c r="K33" s="1" t="s">
        <v>316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 (2)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2026-05-14T20:32:54Z</dcterms:modified>
</cp:coreProperties>
</file>