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Bussey\GitHub\EconAutomation-REP\EconAutomation\src\supporting_docs\econ_wb_templates\"/>
    </mc:Choice>
  </mc:AlternateContent>
  <xr:revisionPtr revIDLastSave="0" documentId="13_ncr:1_{2D5EF89A-7274-428D-BC52-21291D6F2849}" xr6:coauthVersionLast="47" xr6:coauthVersionMax="47" xr10:uidLastSave="{00000000-0000-0000-0000-000000000000}"/>
  <bookViews>
    <workbookView xWindow="-120" yWindow="-120" windowWidth="29040" windowHeight="15720" firstSheet="8" activeTab="12" xr2:uid="{14DD7948-BC05-4F8B-8406-F36C8BFD2FB4}"/>
  </bookViews>
  <sheets>
    <sheet name="REPORT_OUTPUTS" sheetId="32" r:id="rId1"/>
    <sheet name="Case Inputs" sheetId="3" r:id="rId2"/>
    <sheet name="Base 1 PV Loss WLE" sheetId="1" r:id="rId3"/>
    <sheet name="Base 1 PV Loss To Age" sheetId="21" r:id="rId4"/>
    <sheet name="Base 2 PV Loss WLE" sheetId="23" r:id="rId5"/>
    <sheet name="Base 2 PV Loss To Age" sheetId="24" r:id="rId6"/>
    <sheet name="Base 3 PV Loss WLE" sheetId="25" r:id="rId7"/>
    <sheet name="Base 3 PV Loss To Age" sheetId="26" r:id="rId8"/>
    <sheet name="Credit 1 PV Loss WLE" sheetId="27" r:id="rId9"/>
    <sheet name="Credit 1 PV Loss to Age" sheetId="28" r:id="rId10"/>
    <sheet name="Credit 2 PV Loss WLE" sheetId="29" r:id="rId11"/>
    <sheet name="Credit 2 PV Loss To Age" sheetId="30" r:id="rId12"/>
    <sheet name="Discount Rates" sheetId="6" r:id="rId13"/>
    <sheet name="LE_F" sheetId="11" r:id="rId14"/>
    <sheet name="LE_M" sheetId="12" r:id="rId15"/>
    <sheet name="WLE" sheetId="13" r:id="rId16"/>
    <sheet name="CPI Data" sheetId="22" r:id="rId17"/>
    <sheet name="HelperCells" sheetId="36" r:id="rId18"/>
  </sheets>
  <definedNames>
    <definedName name="_xleta.NUMBERVALUE" hidden="1" xlm="1">#NAME?</definedName>
    <definedName name="_xleta.YEAR" hidden="1" xlm="1">#NAME?</definedName>
    <definedName name="Bloomberg_DiscRates_DiscRateColumn" localSheetId="12">Bloomberg_DiscRates_Table[Discount Rate (Nominal)]</definedName>
    <definedName name="Bloomberg_DiscRates_MarityColumn" localSheetId="12">Bloomberg_DiscRates_Table[Time To Marity]</definedName>
    <definedName name="Bloomberg_DiscRates_YearColumn" localSheetId="12">Bloomberg_DiscRates_Table[Year]</definedName>
    <definedName name="ExternalData_1" localSheetId="12" hidden="1">'Discount Rates'!$A$2:$C$32</definedName>
    <definedName name="ToAge_DiscRates_DiscRatesColumn">IFERROR(_xlfn._xlws.FILTER('Discount Rates'!$M$3:$M$33, 'Discount Rates'!$M$3:$M$33&lt;&gt;""),"")</definedName>
    <definedName name="ToAge_DiscRates_PercentageColumn">'Discount Rates'!$N$3:$N$33</definedName>
    <definedName name="ToAge_DiscRates_YearColumn">IFERROR(_xlfn._xlws.FILTER('Discount Rates'!$K$3:$K$33, 'Discount Rates'!$K$3:$K$33&lt;&gt;""),"")</definedName>
    <definedName name="WLE_DiscRates_DiscRatesColumn">IFERROR(_xlfn._xlws.FILTER('Discount Rates'!$H$3:$H$33, 'Discount Rates'!$H$3:$H$33&lt;&gt;""),"")</definedName>
    <definedName name="WLE_DiscRates_PercentageColumn">'Discount Rates'!$I$3:$I$33</definedName>
    <definedName name="WLE_DiscRates_YearColumn">IFERROR(_xlfn._xlws.FILTER('Discount Rates'!$F$3:$F$33, 'Discount Rates'!$F$3:$F$33&lt;&gt;""),"")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6" l="1" a="1"/>
  <c r="M3" i="6" s="1"/>
  <c r="L3" i="6" a="1"/>
  <c r="L3" i="6" s="1"/>
  <c r="K3" i="6" a="1"/>
  <c r="K3" i="6" s="1"/>
  <c r="H3" i="6" a="1"/>
  <c r="H3" i="6" s="1"/>
  <c r="G3" i="6" a="1"/>
  <c r="G3" i="6" s="1"/>
  <c r="F3" i="6" a="1"/>
  <c r="F3" i="6" s="1"/>
  <c r="B24" i="3"/>
  <c r="B23" i="3"/>
  <c r="B22" i="3"/>
  <c r="B21" i="3"/>
  <c r="B20" i="3"/>
  <c r="B18" i="3"/>
  <c r="B16" i="3"/>
  <c r="B15" i="3"/>
  <c r="B14" i="3"/>
  <c r="B13" i="3"/>
  <c r="B17" i="3" s="1" a="1"/>
  <c r="B17" i="3" s="1"/>
  <c r="B14" i="36" l="1"/>
  <c r="H67" i="30" a="1"/>
  <c r="H67" i="30" s="1"/>
  <c r="H67" i="29" a="1"/>
  <c r="H67" i="29"/>
  <c r="H67" i="28" a="1"/>
  <c r="H67" i="28"/>
  <c r="H67" i="27" a="1"/>
  <c r="H67" i="27"/>
  <c r="H67" i="26" a="1"/>
  <c r="H67" i="26" s="1"/>
  <c r="H67" i="25" a="1"/>
  <c r="H67" i="25" s="1"/>
  <c r="H67" i="24" a="1"/>
  <c r="H67" i="24"/>
  <c r="H67" i="23" a="1"/>
  <c r="H67" i="23"/>
  <c r="H67" i="21" a="1"/>
  <c r="H67" i="21" s="1"/>
  <c r="H67" i="1" a="1"/>
  <c r="H67" i="1"/>
  <c r="B27" i="36"/>
  <c r="F6" i="22"/>
  <c r="F6" i="22" a="1"/>
  <c r="F5" i="22"/>
  <c r="F4" i="22"/>
  <c r="F3" i="22"/>
  <c r="F2" i="22"/>
  <c r="E2" i="13"/>
  <c r="E2" i="13" a="1"/>
  <c r="D36" i="6"/>
  <c r="D2" i="6"/>
  <c r="H12" i="30"/>
  <c r="G12" i="30"/>
  <c r="F12" i="30"/>
  <c r="E12" i="30"/>
  <c r="D12" i="30"/>
  <c r="C12" i="30"/>
  <c r="H11" i="30"/>
  <c r="G11" i="30"/>
  <c r="E11" i="30"/>
  <c r="D11" i="30"/>
  <c r="C11" i="30"/>
  <c r="H10" i="30"/>
  <c r="G10" i="30"/>
  <c r="E10" i="30"/>
  <c r="D10" i="30"/>
  <c r="C10" i="30"/>
  <c r="F9" i="30"/>
  <c r="G9" i="30" s="1"/>
  <c r="E9" i="30"/>
  <c r="D9" i="30"/>
  <c r="C9" i="30"/>
  <c r="D8" i="30"/>
  <c r="H12" i="29"/>
  <c r="G12" i="29"/>
  <c r="F12" i="29"/>
  <c r="E12" i="29"/>
  <c r="D12" i="29"/>
  <c r="C12" i="29"/>
  <c r="H11" i="29"/>
  <c r="G11" i="29"/>
  <c r="E11" i="29"/>
  <c r="D11" i="29"/>
  <c r="C11" i="29"/>
  <c r="H10" i="29"/>
  <c r="G10" i="29"/>
  <c r="E10" i="29"/>
  <c r="D10" i="29"/>
  <c r="C10" i="29"/>
  <c r="F9" i="29"/>
  <c r="G9" i="29" s="1"/>
  <c r="E9" i="29"/>
  <c r="D9" i="29"/>
  <c r="C9" i="29"/>
  <c r="D8" i="29"/>
  <c r="H12" i="28"/>
  <c r="G12" i="28"/>
  <c r="F12" i="28"/>
  <c r="E12" i="28"/>
  <c r="D12" i="28"/>
  <c r="C12" i="28"/>
  <c r="H11" i="28"/>
  <c r="G11" i="28"/>
  <c r="E11" i="28"/>
  <c r="D11" i="28"/>
  <c r="C11" i="28"/>
  <c r="H10" i="28"/>
  <c r="G10" i="28"/>
  <c r="E10" i="28"/>
  <c r="D10" i="28"/>
  <c r="C10" i="28"/>
  <c r="F9" i="28"/>
  <c r="G9" i="28" s="1"/>
  <c r="E9" i="28"/>
  <c r="D9" i="28"/>
  <c r="C9" i="28"/>
  <c r="D8" i="28"/>
  <c r="F12" i="27"/>
  <c r="E12" i="27"/>
  <c r="D12" i="27"/>
  <c r="E11" i="27"/>
  <c r="D11" i="27"/>
  <c r="E10" i="27"/>
  <c r="D10" i="27"/>
  <c r="F9" i="27"/>
  <c r="G9" i="27" s="1"/>
  <c r="E9" i="27"/>
  <c r="D9" i="27"/>
  <c r="C9" i="27"/>
  <c r="C10" i="27" s="1"/>
  <c r="D8" i="27"/>
  <c r="F12" i="26"/>
  <c r="E12" i="26"/>
  <c r="D12" i="26"/>
  <c r="B12" i="26"/>
  <c r="A12" i="26"/>
  <c r="E11" i="26"/>
  <c r="D11" i="26"/>
  <c r="A11" i="26"/>
  <c r="B11" i="26" s="1"/>
  <c r="E10" i="26"/>
  <c r="D10" i="26"/>
  <c r="C10" i="26"/>
  <c r="A10" i="26"/>
  <c r="B10" i="26" s="1"/>
  <c r="F9" i="26"/>
  <c r="G9" i="26" s="1"/>
  <c r="E9" i="26"/>
  <c r="D9" i="26"/>
  <c r="C9" i="26"/>
  <c r="B9" i="26"/>
  <c r="A9" i="26"/>
  <c r="D8" i="26"/>
  <c r="F12" i="25"/>
  <c r="E12" i="25"/>
  <c r="D12" i="25"/>
  <c r="B12" i="25"/>
  <c r="A12" i="25"/>
  <c r="E11" i="25"/>
  <c r="D11" i="25"/>
  <c r="A11" i="25"/>
  <c r="B11" i="25" s="1"/>
  <c r="E10" i="25"/>
  <c r="C10" i="25" s="1"/>
  <c r="D10" i="25"/>
  <c r="A10" i="25"/>
  <c r="B10" i="25" s="1"/>
  <c r="F9" i="25"/>
  <c r="G9" i="25" s="1"/>
  <c r="E9" i="25"/>
  <c r="D9" i="25"/>
  <c r="C9" i="25"/>
  <c r="B9" i="25"/>
  <c r="A9" i="25"/>
  <c r="D8" i="25"/>
  <c r="F12" i="24"/>
  <c r="E12" i="24"/>
  <c r="D12" i="24"/>
  <c r="B12" i="24"/>
  <c r="A12" i="24"/>
  <c r="E11" i="24"/>
  <c r="D11" i="24"/>
  <c r="A11" i="24"/>
  <c r="B11" i="24" s="1"/>
  <c r="E10" i="24"/>
  <c r="C10" i="24" s="1"/>
  <c r="D10" i="24"/>
  <c r="A10" i="24"/>
  <c r="B10" i="24" s="1"/>
  <c r="F9" i="24"/>
  <c r="G9" i="24" s="1"/>
  <c r="E9" i="24"/>
  <c r="D9" i="24"/>
  <c r="C9" i="24"/>
  <c r="B9" i="24"/>
  <c r="A9" i="24"/>
  <c r="D8" i="24"/>
  <c r="F12" i="23"/>
  <c r="E12" i="23"/>
  <c r="D12" i="23"/>
  <c r="B12" i="23"/>
  <c r="A12" i="23"/>
  <c r="E11" i="23"/>
  <c r="D11" i="23"/>
  <c r="A11" i="23"/>
  <c r="B11" i="23" s="1"/>
  <c r="E10" i="23"/>
  <c r="C10" i="23" s="1"/>
  <c r="D10" i="23"/>
  <c r="A10" i="23"/>
  <c r="B10" i="23" s="1"/>
  <c r="F9" i="23"/>
  <c r="G9" i="23" s="1"/>
  <c r="E9" i="23"/>
  <c r="D9" i="23"/>
  <c r="C9" i="23"/>
  <c r="B9" i="23"/>
  <c r="A9" i="23"/>
  <c r="D8" i="23"/>
  <c r="F12" i="21"/>
  <c r="E12" i="21"/>
  <c r="D12" i="21"/>
  <c r="B12" i="21"/>
  <c r="A12" i="21"/>
  <c r="E11" i="21"/>
  <c r="D11" i="21"/>
  <c r="A11" i="21"/>
  <c r="B11" i="21" s="1"/>
  <c r="E10" i="21"/>
  <c r="D10" i="21"/>
  <c r="C10" i="21"/>
  <c r="A10" i="21"/>
  <c r="B10" i="21" s="1"/>
  <c r="F9" i="21"/>
  <c r="G9" i="21" s="1"/>
  <c r="E9" i="21"/>
  <c r="D9" i="21"/>
  <c r="C9" i="21"/>
  <c r="B9" i="21"/>
  <c r="A9" i="21"/>
  <c r="D8" i="21"/>
  <c r="F12" i="1"/>
  <c r="E12" i="1"/>
  <c r="D12" i="1"/>
  <c r="B12" i="1"/>
  <c r="A12" i="1"/>
  <c r="E11" i="1"/>
  <c r="D11" i="1"/>
  <c r="A11" i="1"/>
  <c r="B11" i="1" s="1"/>
  <c r="E10" i="1"/>
  <c r="C10" i="1" s="1"/>
  <c r="D10" i="1"/>
  <c r="A10" i="1"/>
  <c r="B10" i="1" s="1"/>
  <c r="F9" i="1"/>
  <c r="G9" i="1" s="1"/>
  <c r="E9" i="1"/>
  <c r="D9" i="1"/>
  <c r="C9" i="1"/>
  <c r="B9" i="1"/>
  <c r="A9" i="1"/>
  <c r="D8" i="1"/>
  <c r="B25" i="3"/>
  <c r="D124" i="32" a="1"/>
  <c r="D124" i="32" s="1"/>
  <c r="D123" i="32" a="1"/>
  <c r="D123" i="32" s="1"/>
  <c r="D122" i="32" a="1"/>
  <c r="D122" i="32" s="1"/>
  <c r="D121" i="32" a="1"/>
  <c r="D121" i="32" s="1"/>
  <c r="D120" i="32" a="1"/>
  <c r="D120" i="32" s="1"/>
  <c r="D119" i="32" a="1"/>
  <c r="D119" i="32" s="1"/>
  <c r="D118" i="32" a="1"/>
  <c r="D118" i="32" s="1"/>
  <c r="D117" i="32" a="1"/>
  <c r="D117" i="32" s="1"/>
  <c r="D116" i="32" a="1"/>
  <c r="D116" i="32" s="1"/>
  <c r="D115" i="32" a="1"/>
  <c r="D115" i="32" s="1"/>
  <c r="I1" i="32" a="1"/>
  <c r="I1" i="32" s="1"/>
  <c r="F1" i="32" a="1"/>
  <c r="F1" i="32" s="1"/>
  <c r="D14" i="32" a="1"/>
  <c r="D88" i="32" a="1"/>
  <c r="D78" i="32" a="1"/>
  <c r="D59" i="32" a="1"/>
  <c r="D110" i="32" a="1"/>
  <c r="D97" i="32" a="1"/>
  <c r="D80" i="32" a="1"/>
  <c r="D40" i="32" a="1"/>
  <c r="D98" i="32" a="1"/>
  <c r="D4" i="32" a="1"/>
  <c r="D22" i="32" a="1"/>
  <c r="D113" i="32" a="1"/>
  <c r="D21" i="32" a="1"/>
  <c r="D31" i="32" a="1"/>
  <c r="D69" i="32" a="1"/>
  <c r="D12" i="32" a="1"/>
  <c r="D71" i="32" a="1"/>
  <c r="D30" i="32" a="1"/>
  <c r="D48" i="32" a="1"/>
  <c r="D105" i="32" a="1"/>
  <c r="D50" i="32" a="1"/>
  <c r="D57" i="32" a="1"/>
  <c r="D32" i="32" a="1"/>
  <c r="D79" i="32" a="1"/>
  <c r="D39" i="32" a="1"/>
  <c r="D87" i="32" a="1"/>
  <c r="D89" i="32" a="1"/>
  <c r="D58" i="32" a="1"/>
  <c r="D5" i="32" a="1"/>
  <c r="D49" i="32" a="1"/>
  <c r="D23" i="32" a="1"/>
  <c r="D3" i="32" a="1"/>
  <c r="D108" i="32" a="1"/>
  <c r="D107" i="32" a="1"/>
  <c r="D112" i="32" a="1"/>
  <c r="D41" i="32" a="1"/>
  <c r="D70" i="32" a="1"/>
  <c r="D13" i="32" a="1"/>
  <c r="D96" i="32" a="1"/>
  <c r="D112" i="32" l="1"/>
  <c r="D107" i="32"/>
  <c r="D108" i="32"/>
  <c r="D105" i="32"/>
  <c r="D113" i="32"/>
  <c r="D110" i="32"/>
  <c r="B4" i="21"/>
  <c r="B23" i="36"/>
  <c r="D32" i="32"/>
  <c r="D97" i="32"/>
  <c r="D39" i="32"/>
  <c r="D80" i="32"/>
  <c r="D50" i="32"/>
  <c r="D12" i="32"/>
  <c r="D88" i="32"/>
  <c r="D69" i="32"/>
  <c r="D30" i="32"/>
  <c r="D89" i="32"/>
  <c r="D5" i="32"/>
  <c r="D96" i="32"/>
  <c r="D57" i="32"/>
  <c r="D98" i="32"/>
  <c r="D14" i="32"/>
  <c r="D58" i="32"/>
  <c r="D70" i="32"/>
  <c r="D79" i="32"/>
  <c r="D49" i="32"/>
  <c r="D21" i="32"/>
  <c r="D40" i="32"/>
  <c r="D71" i="32"/>
  <c r="D4" i="32"/>
  <c r="D78" i="32"/>
  <c r="D41" i="32"/>
  <c r="D3" i="32"/>
  <c r="D31" i="32"/>
  <c r="D59" i="32"/>
  <c r="D23" i="32"/>
  <c r="D22" i="32"/>
  <c r="D87" i="32"/>
  <c r="D48" i="32"/>
  <c r="D13" i="32"/>
  <c r="G10" i="27"/>
  <c r="H10" i="27" s="1"/>
  <c r="C11" i="27"/>
  <c r="G14" i="30"/>
  <c r="H9" i="30"/>
  <c r="H14" i="30" s="1"/>
  <c r="H9" i="29"/>
  <c r="H14" i="29" s="1"/>
  <c r="G14" i="29"/>
  <c r="H9" i="28"/>
  <c r="H14" i="28" s="1"/>
  <c r="G14" i="28"/>
  <c r="H9" i="27"/>
  <c r="C11" i="26"/>
  <c r="G10" i="26"/>
  <c r="H10" i="26" s="1"/>
  <c r="H9" i="26"/>
  <c r="G10" i="25"/>
  <c r="C11" i="25"/>
  <c r="H9" i="25"/>
  <c r="G10" i="24"/>
  <c r="C11" i="24"/>
  <c r="H9" i="24"/>
  <c r="G10" i="23"/>
  <c r="C11" i="23"/>
  <c r="H9" i="23"/>
  <c r="C11" i="21"/>
  <c r="G10" i="21"/>
  <c r="H10" i="21" s="1"/>
  <c r="H9" i="21"/>
  <c r="G10" i="1"/>
  <c r="H10" i="1" s="1"/>
  <c r="C11" i="1"/>
  <c r="H9" i="1"/>
  <c r="B4" i="28"/>
  <c r="B4" i="26"/>
  <c r="B4" i="24"/>
  <c r="B4" i="30"/>
  <c r="D102" i="32" a="1"/>
  <c r="D62" i="32" a="1"/>
  <c r="D93" i="32" a="1"/>
  <c r="D75" i="32" a="1"/>
  <c r="B24" i="36" l="1"/>
  <c r="B28" i="36" s="1"/>
  <c r="D75" i="32"/>
  <c r="D102" i="32"/>
  <c r="D62" i="32"/>
  <c r="D93" i="32"/>
  <c r="G11" i="27"/>
  <c r="C12" i="27"/>
  <c r="G12" i="27" s="1"/>
  <c r="H12" i="27" s="1"/>
  <c r="B79" i="3"/>
  <c r="B75" i="3"/>
  <c r="B69" i="3"/>
  <c r="G11" i="26"/>
  <c r="C12" i="26"/>
  <c r="G12" i="26" s="1"/>
  <c r="H12" i="26" s="1"/>
  <c r="C12" i="25"/>
  <c r="G12" i="25" s="1"/>
  <c r="G11" i="25"/>
  <c r="H11" i="25" s="1"/>
  <c r="C12" i="24"/>
  <c r="G12" i="24" s="1"/>
  <c r="H12" i="24" s="1"/>
  <c r="G11" i="24"/>
  <c r="H11" i="24" s="1"/>
  <c r="G11" i="23"/>
  <c r="H11" i="23" s="1"/>
  <c r="H14" i="23" s="1"/>
  <c r="C12" i="23"/>
  <c r="G12" i="23" s="1"/>
  <c r="H12" i="23" s="1"/>
  <c r="C12" i="21"/>
  <c r="G12" i="21" s="1"/>
  <c r="H12" i="21" s="1"/>
  <c r="G11" i="21"/>
  <c r="G11" i="1"/>
  <c r="C12" i="1"/>
  <c r="G12" i="1" s="1"/>
  <c r="H12" i="1" s="1"/>
  <c r="H10" i="25"/>
  <c r="H10" i="24"/>
  <c r="G14" i="24"/>
  <c r="H10" i="23"/>
  <c r="G14" i="23"/>
  <c r="E4" i="21"/>
  <c r="E4" i="28"/>
  <c r="E4" i="26"/>
  <c r="E4" i="30"/>
  <c r="E4" i="24"/>
  <c r="D61" i="32" a="1"/>
  <c r="D63" i="32" a="1"/>
  <c r="D74" i="32" a="1"/>
  <c r="D60" i="32" a="1"/>
  <c r="D101" i="32" a="1"/>
  <c r="D65" i="32" a="1"/>
  <c r="D92" i="32" a="1"/>
  <c r="D64" i="32" a="1"/>
  <c r="D36" i="32" a="1"/>
  <c r="B25" i="36" l="1"/>
  <c r="B29" i="36" s="1"/>
  <c r="B5" i="21"/>
  <c r="B5" i="24"/>
  <c r="B5" i="26"/>
  <c r="B5" i="28"/>
  <c r="B5" i="30"/>
  <c r="B10" i="36"/>
  <c r="B4" i="1"/>
  <c r="D63" i="32"/>
  <c r="D60" i="32"/>
  <c r="D65" i="32"/>
  <c r="D74" i="32"/>
  <c r="D92" i="32"/>
  <c r="D61" i="32"/>
  <c r="D64" i="32"/>
  <c r="D36" i="32"/>
  <c r="D101" i="32"/>
  <c r="G14" i="27"/>
  <c r="H11" i="27"/>
  <c r="H14" i="27" s="1"/>
  <c r="G14" i="26"/>
  <c r="H11" i="26"/>
  <c r="H14" i="26" s="1"/>
  <c r="G14" i="21"/>
  <c r="H11" i="21"/>
  <c r="H14" i="21" s="1"/>
  <c r="G14" i="1"/>
  <c r="H11" i="1"/>
  <c r="H14" i="1" s="1"/>
  <c r="B49" i="3"/>
  <c r="B45" i="3"/>
  <c r="H14" i="24"/>
  <c r="H12" i="25"/>
  <c r="H14" i="25" s="1"/>
  <c r="G14" i="25"/>
  <c r="A17" i="21"/>
  <c r="A23" i="21"/>
  <c r="A24" i="21"/>
  <c r="A25" i="21"/>
  <c r="A28" i="21"/>
  <c r="A32" i="21"/>
  <c r="A33" i="21"/>
  <c r="A35" i="21"/>
  <c r="A38" i="21"/>
  <c r="A39" i="21"/>
  <c r="A40" i="21"/>
  <c r="A44" i="21"/>
  <c r="A46" i="21"/>
  <c r="A47" i="21"/>
  <c r="A53" i="21"/>
  <c r="A54" i="21"/>
  <c r="A56" i="21"/>
  <c r="A57" i="21"/>
  <c r="A60" i="21"/>
  <c r="A66" i="21"/>
  <c r="A27" i="21"/>
  <c r="A52" i="21"/>
  <c r="A29" i="21"/>
  <c r="A45" i="21"/>
  <c r="A63" i="21"/>
  <c r="A50" i="21"/>
  <c r="A51" i="21"/>
  <c r="A55" i="21"/>
  <c r="A31" i="21"/>
  <c r="A22" i="21"/>
  <c r="A18" i="21"/>
  <c r="A19" i="21"/>
  <c r="A20" i="21"/>
  <c r="A21" i="21"/>
  <c r="A26" i="21"/>
  <c r="A30" i="21"/>
  <c r="A34" i="21"/>
  <c r="A37" i="21"/>
  <c r="A41" i="21"/>
  <c r="A42" i="21"/>
  <c r="A36" i="21"/>
  <c r="A43" i="21"/>
  <c r="A48" i="21"/>
  <c r="A49" i="21"/>
  <c r="A58" i="21"/>
  <c r="A59" i="21"/>
  <c r="A61" i="21"/>
  <c r="A62" i="21"/>
  <c r="A64" i="21"/>
  <c r="A65" i="21"/>
  <c r="A17" i="28"/>
  <c r="A18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19" i="28"/>
  <c r="A20" i="28"/>
  <c r="A21" i="28"/>
  <c r="A22" i="28"/>
  <c r="A23" i="28"/>
  <c r="A24" i="28"/>
  <c r="A25" i="28"/>
  <c r="A58" i="28"/>
  <c r="A59" i="28"/>
  <c r="A60" i="28"/>
  <c r="A61" i="28"/>
  <c r="A62" i="28"/>
  <c r="A63" i="28"/>
  <c r="A64" i="28"/>
  <c r="A65" i="28"/>
  <c r="A66" i="28"/>
  <c r="A18" i="26"/>
  <c r="A19" i="26"/>
  <c r="A17" i="26"/>
  <c r="A20" i="26"/>
  <c r="A22" i="26"/>
  <c r="A26" i="26"/>
  <c r="A34" i="26"/>
  <c r="A36" i="26"/>
  <c r="A37" i="26"/>
  <c r="A38" i="26"/>
  <c r="A45" i="26"/>
  <c r="A46" i="26"/>
  <c r="A47" i="26"/>
  <c r="A49" i="26"/>
  <c r="A51" i="26"/>
  <c r="A53" i="26"/>
  <c r="A54" i="26"/>
  <c r="A55" i="26"/>
  <c r="A56" i="26"/>
  <c r="A57" i="26"/>
  <c r="A58" i="26"/>
  <c r="A59" i="26"/>
  <c r="A60" i="26"/>
  <c r="A61" i="26"/>
  <c r="A62" i="26"/>
  <c r="A63" i="26"/>
  <c r="A64" i="26"/>
  <c r="A65" i="26"/>
  <c r="A66" i="26"/>
  <c r="A21" i="26"/>
  <c r="A23" i="26"/>
  <c r="A24" i="26"/>
  <c r="A25" i="26"/>
  <c r="A27" i="26"/>
  <c r="A28" i="26"/>
  <c r="A29" i="26"/>
  <c r="A30" i="26"/>
  <c r="A31" i="26"/>
  <c r="A32" i="26"/>
  <c r="A33" i="26"/>
  <c r="A35" i="26"/>
  <c r="A39" i="26"/>
  <c r="A40" i="26"/>
  <c r="A41" i="26"/>
  <c r="A42" i="26"/>
  <c r="A43" i="26"/>
  <c r="A44" i="26"/>
  <c r="A48" i="26"/>
  <c r="A50" i="26"/>
  <c r="A52" i="26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19" i="24"/>
  <c r="A27" i="24"/>
  <c r="A33" i="24"/>
  <c r="A34" i="24"/>
  <c r="A37" i="24"/>
  <c r="A20" i="24"/>
  <c r="A21" i="24"/>
  <c r="A23" i="24"/>
  <c r="A29" i="24"/>
  <c r="A31" i="24"/>
  <c r="A39" i="24"/>
  <c r="A41" i="24"/>
  <c r="A42" i="24"/>
  <c r="A45" i="24"/>
  <c r="A50" i="24"/>
  <c r="A57" i="24"/>
  <c r="A60" i="24"/>
  <c r="A62" i="24"/>
  <c r="A65" i="24"/>
  <c r="A66" i="24"/>
  <c r="A18" i="24"/>
  <c r="A24" i="24"/>
  <c r="A30" i="24"/>
  <c r="A35" i="24"/>
  <c r="A36" i="24"/>
  <c r="A40" i="24"/>
  <c r="A44" i="24"/>
  <c r="A46" i="24"/>
  <c r="A48" i="24"/>
  <c r="A49" i="24"/>
  <c r="A51" i="24"/>
  <c r="A52" i="24"/>
  <c r="A53" i="24"/>
  <c r="A54" i="24"/>
  <c r="A55" i="24"/>
  <c r="A56" i="24"/>
  <c r="A58" i="24"/>
  <c r="A63" i="24"/>
  <c r="A25" i="24"/>
  <c r="A28" i="24"/>
  <c r="A32" i="24"/>
  <c r="A47" i="24"/>
  <c r="A61" i="24"/>
  <c r="A64" i="24"/>
  <c r="A17" i="24"/>
  <c r="A22" i="24"/>
  <c r="A26" i="24"/>
  <c r="A38" i="24"/>
  <c r="A43" i="24"/>
  <c r="A59" i="24"/>
  <c r="B19" i="3"/>
  <c r="B11" i="36" s="1"/>
  <c r="B4" i="23"/>
  <c r="B4" i="25"/>
  <c r="B4" i="27"/>
  <c r="B4" i="29"/>
  <c r="D45" i="32" a="1"/>
  <c r="D54" i="32" a="1"/>
  <c r="D35" i="32" a="1"/>
  <c r="D27" i="32" a="1"/>
  <c r="D18" i="32" a="1"/>
  <c r="D84" i="32" a="1"/>
  <c r="D9" i="32" a="1"/>
  <c r="D26" i="32" a="1"/>
  <c r="D66" i="32" a="1"/>
  <c r="K33" i="6" l="1"/>
  <c r="N21" i="6"/>
  <c r="N31" i="6"/>
  <c r="N26" i="6"/>
  <c r="N23" i="6"/>
  <c r="N17" i="6"/>
  <c r="N16" i="6"/>
  <c r="N13" i="6"/>
  <c r="N9" i="6"/>
  <c r="N29" i="6"/>
  <c r="N25" i="6"/>
  <c r="N22" i="6"/>
  <c r="N18" i="6"/>
  <c r="N15" i="6"/>
  <c r="N14" i="6"/>
  <c r="N12" i="6"/>
  <c r="N11" i="6"/>
  <c r="N10" i="6"/>
  <c r="N8" i="6"/>
  <c r="N7" i="6"/>
  <c r="N6" i="6"/>
  <c r="N30" i="6"/>
  <c r="N27" i="6"/>
  <c r="N19" i="6"/>
  <c r="N4" i="6"/>
  <c r="N32" i="6"/>
  <c r="N28" i="6"/>
  <c r="N24" i="6"/>
  <c r="N20" i="6"/>
  <c r="N5" i="6"/>
  <c r="B12" i="36"/>
  <c r="B5" i="1"/>
  <c r="D66" i="32"/>
  <c r="D84" i="32"/>
  <c r="D9" i="32"/>
  <c r="D35" i="32"/>
  <c r="D18" i="32"/>
  <c r="D27" i="32"/>
  <c r="D26" i="32"/>
  <c r="D54" i="32"/>
  <c r="D45" i="32"/>
  <c r="B65" i="3"/>
  <c r="B59" i="3"/>
  <c r="B39" i="3"/>
  <c r="B35" i="3"/>
  <c r="B55" i="3"/>
  <c r="B17" i="21"/>
  <c r="C17" i="21"/>
  <c r="D17" i="21"/>
  <c r="F17" i="21"/>
  <c r="B23" i="21"/>
  <c r="D23" i="21"/>
  <c r="F23" i="21"/>
  <c r="C23" i="21"/>
  <c r="C24" i="21"/>
  <c r="B24" i="21"/>
  <c r="F24" i="21"/>
  <c r="D24" i="21"/>
  <c r="E24" i="21" s="1"/>
  <c r="B25" i="21"/>
  <c r="D25" i="21"/>
  <c r="C25" i="21"/>
  <c r="F25" i="21"/>
  <c r="C28" i="21"/>
  <c r="B28" i="21"/>
  <c r="D28" i="21"/>
  <c r="E28" i="21" s="1"/>
  <c r="F28" i="21"/>
  <c r="B32" i="21"/>
  <c r="D32" i="21"/>
  <c r="F32" i="21"/>
  <c r="C32" i="21"/>
  <c r="C33" i="21"/>
  <c r="B33" i="21"/>
  <c r="F33" i="21"/>
  <c r="D33" i="21"/>
  <c r="E33" i="21" s="1"/>
  <c r="G33" i="21" s="1"/>
  <c r="H33" i="21" s="1" a="1"/>
  <c r="H33" i="21" s="1"/>
  <c r="C35" i="21"/>
  <c r="B35" i="21"/>
  <c r="D35" i="21" s="1"/>
  <c r="E35" i="21" s="1"/>
  <c r="F35" i="21"/>
  <c r="C38" i="21"/>
  <c r="F38" i="21"/>
  <c r="B38" i="21"/>
  <c r="D38" i="21"/>
  <c r="E38" i="21" s="1"/>
  <c r="B39" i="21"/>
  <c r="D39" i="21" s="1"/>
  <c r="C39" i="21"/>
  <c r="F39" i="21"/>
  <c r="C40" i="21"/>
  <c r="F40" i="21"/>
  <c r="B40" i="21"/>
  <c r="D40" i="21" s="1"/>
  <c r="C44" i="21"/>
  <c r="B44" i="21"/>
  <c r="D44" i="21" s="1"/>
  <c r="E44" i="21" s="1"/>
  <c r="F44" i="21"/>
  <c r="B46" i="21"/>
  <c r="D46" i="21" s="1"/>
  <c r="C46" i="21"/>
  <c r="F46" i="21"/>
  <c r="C47" i="21"/>
  <c r="F47" i="21"/>
  <c r="B47" i="21"/>
  <c r="D47" i="21"/>
  <c r="E47" i="21" s="1"/>
  <c r="B53" i="21"/>
  <c r="D53" i="21"/>
  <c r="F53" i="21"/>
  <c r="C53" i="21"/>
  <c r="B54" i="21"/>
  <c r="D54" i="21"/>
  <c r="C54" i="21"/>
  <c r="F54" i="21"/>
  <c r="B56" i="21"/>
  <c r="D56" i="21"/>
  <c r="C56" i="21"/>
  <c r="F56" i="21"/>
  <c r="C57" i="21"/>
  <c r="F57" i="21"/>
  <c r="B57" i="21"/>
  <c r="D57" i="21" s="1"/>
  <c r="E57" i="21" s="1"/>
  <c r="C60" i="21"/>
  <c r="F60" i="21"/>
  <c r="B60" i="21"/>
  <c r="D60" i="21" s="1"/>
  <c r="E60" i="21" s="1"/>
  <c r="G60" i="21" s="1"/>
  <c r="H60" i="21" s="1" a="1"/>
  <c r="H60" i="21" s="1"/>
  <c r="F66" i="21"/>
  <c r="C66" i="21"/>
  <c r="B66" i="21"/>
  <c r="D66" i="21" s="1"/>
  <c r="F27" i="21"/>
  <c r="C27" i="21"/>
  <c r="B27" i="21"/>
  <c r="D27" i="21" s="1"/>
  <c r="E27" i="21" s="1"/>
  <c r="B52" i="21"/>
  <c r="F52" i="21"/>
  <c r="D52" i="21"/>
  <c r="C52" i="21"/>
  <c r="F29" i="21"/>
  <c r="B29" i="21"/>
  <c r="D29" i="21"/>
  <c r="C29" i="21"/>
  <c r="F45" i="21"/>
  <c r="C45" i="21"/>
  <c r="B45" i="21"/>
  <c r="D45" i="21"/>
  <c r="E45" i="21" s="1"/>
  <c r="F63" i="21"/>
  <c r="C63" i="21"/>
  <c r="B63" i="21"/>
  <c r="D63" i="21"/>
  <c r="E63" i="21" s="1"/>
  <c r="B50" i="21"/>
  <c r="D50" i="21"/>
  <c r="F50" i="21"/>
  <c r="C50" i="21"/>
  <c r="C51" i="21"/>
  <c r="B51" i="21"/>
  <c r="D51" i="21" s="1"/>
  <c r="F51" i="21"/>
  <c r="B55" i="21"/>
  <c r="D55" i="21" s="1"/>
  <c r="F55" i="21"/>
  <c r="C55" i="21"/>
  <c r="B31" i="21"/>
  <c r="D31" i="21" s="1"/>
  <c r="F31" i="21"/>
  <c r="C31" i="21"/>
  <c r="B22" i="21"/>
  <c r="F22" i="21"/>
  <c r="C22" i="21"/>
  <c r="D22" i="21"/>
  <c r="E22" i="21" s="1"/>
  <c r="F18" i="21"/>
  <c r="B18" i="21"/>
  <c r="D18" i="21" s="1"/>
  <c r="C18" i="21"/>
  <c r="B19" i="21"/>
  <c r="D19" i="21" s="1"/>
  <c r="C19" i="21"/>
  <c r="F19" i="21"/>
  <c r="B20" i="21"/>
  <c r="D20" i="21" s="1"/>
  <c r="F20" i="21"/>
  <c r="C20" i="21"/>
  <c r="F21" i="21"/>
  <c r="B21" i="21"/>
  <c r="C21" i="21"/>
  <c r="D21" i="21"/>
  <c r="E21" i="21" s="1"/>
  <c r="C26" i="21"/>
  <c r="B26" i="21"/>
  <c r="D26" i="21"/>
  <c r="E26" i="21" s="1"/>
  <c r="F26" i="21"/>
  <c r="F30" i="21"/>
  <c r="C30" i="21"/>
  <c r="B30" i="21"/>
  <c r="D30" i="21" s="1"/>
  <c r="E30" i="21" s="1"/>
  <c r="B34" i="21"/>
  <c r="F34" i="21"/>
  <c r="C34" i="21"/>
  <c r="D34" i="21"/>
  <c r="C37" i="21"/>
  <c r="F37" i="21"/>
  <c r="B37" i="21"/>
  <c r="D37" i="21"/>
  <c r="E37" i="21" s="1"/>
  <c r="F41" i="21"/>
  <c r="C41" i="21"/>
  <c r="B41" i="21"/>
  <c r="D41" i="21"/>
  <c r="C42" i="21"/>
  <c r="F42" i="21"/>
  <c r="B42" i="21"/>
  <c r="D42" i="21" s="1"/>
  <c r="E42" i="21" s="1"/>
  <c r="B36" i="21"/>
  <c r="D36" i="21" s="1"/>
  <c r="C36" i="21"/>
  <c r="F36" i="21"/>
  <c r="F43" i="21"/>
  <c r="C43" i="21"/>
  <c r="B43" i="21"/>
  <c r="D43" i="21" s="1"/>
  <c r="E43" i="21" s="1"/>
  <c r="F48" i="21"/>
  <c r="B48" i="21"/>
  <c r="D48" i="21" s="1"/>
  <c r="C48" i="21"/>
  <c r="C49" i="21"/>
  <c r="B49" i="21"/>
  <c r="F49" i="21"/>
  <c r="D49" i="21"/>
  <c r="E49" i="21" s="1"/>
  <c r="B58" i="21"/>
  <c r="D58" i="21" s="1"/>
  <c r="C58" i="21"/>
  <c r="F58" i="21"/>
  <c r="C59" i="21"/>
  <c r="B59" i="21"/>
  <c r="F59" i="21"/>
  <c r="D59" i="21"/>
  <c r="E59" i="21" s="1"/>
  <c r="C61" i="21"/>
  <c r="F61" i="21"/>
  <c r="B61" i="21"/>
  <c r="D61" i="21" s="1"/>
  <c r="E61" i="21" s="1"/>
  <c r="G61" i="21" s="1"/>
  <c r="H61" i="21" s="1" a="1"/>
  <c r="H61" i="21" s="1"/>
  <c r="C62" i="21"/>
  <c r="F62" i="21"/>
  <c r="B62" i="21"/>
  <c r="D62" i="21" s="1"/>
  <c r="E62" i="21" s="1"/>
  <c r="C64" i="21"/>
  <c r="B64" i="21"/>
  <c r="D64" i="21" s="1"/>
  <c r="E64" i="21" s="1"/>
  <c r="F64" i="21"/>
  <c r="C65" i="21"/>
  <c r="F65" i="21"/>
  <c r="B65" i="21"/>
  <c r="D65" i="21"/>
  <c r="E65" i="21" s="1"/>
  <c r="C17" i="28"/>
  <c r="F17" i="28"/>
  <c r="B17" i="28"/>
  <c r="D17" i="28" s="1"/>
  <c r="E17" i="28" s="1"/>
  <c r="B18" i="28"/>
  <c r="D18" i="28" s="1"/>
  <c r="C18" i="28"/>
  <c r="F18" i="28"/>
  <c r="B26" i="28"/>
  <c r="D26" i="28" s="1"/>
  <c r="C26" i="28"/>
  <c r="F26" i="28"/>
  <c r="B27" i="28"/>
  <c r="C27" i="28"/>
  <c r="D27" i="28"/>
  <c r="E27" i="28" s="1"/>
  <c r="F27" i="28"/>
  <c r="B28" i="28"/>
  <c r="C28" i="28"/>
  <c r="D28" i="28"/>
  <c r="E28" i="28" s="1"/>
  <c r="F28" i="28"/>
  <c r="B29" i="28"/>
  <c r="C29" i="28"/>
  <c r="D29" i="28"/>
  <c r="E29" i="28" s="1"/>
  <c r="F29" i="28"/>
  <c r="B30" i="28"/>
  <c r="C30" i="28"/>
  <c r="D30" i="28"/>
  <c r="E30" i="28" s="1"/>
  <c r="F30" i="28"/>
  <c r="B31" i="28"/>
  <c r="C31" i="28"/>
  <c r="D31" i="28"/>
  <c r="E31" i="28" s="1"/>
  <c r="F31" i="28"/>
  <c r="B32" i="28"/>
  <c r="C32" i="28"/>
  <c r="D32" i="28"/>
  <c r="E32" i="28" s="1"/>
  <c r="F32" i="28"/>
  <c r="B33" i="28"/>
  <c r="C33" i="28"/>
  <c r="D33" i="28"/>
  <c r="E33" i="28" s="1"/>
  <c r="F33" i="28"/>
  <c r="B34" i="28"/>
  <c r="C34" i="28"/>
  <c r="D34" i="28"/>
  <c r="E34" i="28" s="1"/>
  <c r="F34" i="28"/>
  <c r="B35" i="28"/>
  <c r="D35" i="28" s="1"/>
  <c r="C35" i="28"/>
  <c r="F35" i="28"/>
  <c r="B36" i="28"/>
  <c r="C36" i="28"/>
  <c r="D36" i="28"/>
  <c r="E36" i="28" s="1"/>
  <c r="F36" i="28"/>
  <c r="B37" i="28"/>
  <c r="C37" i="28"/>
  <c r="D37" i="28"/>
  <c r="E37" i="28" s="1"/>
  <c r="F37" i="28"/>
  <c r="B38" i="28"/>
  <c r="C38" i="28"/>
  <c r="D38" i="28"/>
  <c r="E38" i="28" s="1"/>
  <c r="F38" i="28"/>
  <c r="B39" i="28"/>
  <c r="C39" i="28"/>
  <c r="D39" i="28"/>
  <c r="E39" i="28" s="1"/>
  <c r="F39" i="28"/>
  <c r="B40" i="28"/>
  <c r="C40" i="28"/>
  <c r="D40" i="28"/>
  <c r="E40" i="28" s="1"/>
  <c r="F40" i="28"/>
  <c r="B41" i="28"/>
  <c r="C41" i="28"/>
  <c r="D41" i="28"/>
  <c r="E41" i="28" s="1"/>
  <c r="F41" i="28"/>
  <c r="B42" i="28"/>
  <c r="C42" i="28"/>
  <c r="D42" i="28"/>
  <c r="E42" i="28" s="1"/>
  <c r="F42" i="28"/>
  <c r="B43" i="28"/>
  <c r="C43" i="28"/>
  <c r="D43" i="28"/>
  <c r="E43" i="28" s="1"/>
  <c r="F43" i="28"/>
  <c r="B44" i="28"/>
  <c r="C44" i="28"/>
  <c r="D44" i="28"/>
  <c r="E44" i="28" s="1"/>
  <c r="F44" i="28"/>
  <c r="B45" i="28"/>
  <c r="C45" i="28"/>
  <c r="D45" i="28"/>
  <c r="E45" i="28" s="1"/>
  <c r="F45" i="28"/>
  <c r="B46" i="28"/>
  <c r="D46" i="28" s="1"/>
  <c r="C46" i="28"/>
  <c r="F46" i="28"/>
  <c r="B47" i="28"/>
  <c r="C47" i="28"/>
  <c r="D47" i="28"/>
  <c r="E47" i="28" s="1"/>
  <c r="F47" i="28"/>
  <c r="B48" i="28"/>
  <c r="C48" i="28"/>
  <c r="D48" i="28"/>
  <c r="E48" i="28" s="1"/>
  <c r="F48" i="28"/>
  <c r="B49" i="28"/>
  <c r="C49" i="28"/>
  <c r="D49" i="28"/>
  <c r="E49" i="28" s="1"/>
  <c r="F49" i="28"/>
  <c r="B50" i="28"/>
  <c r="C50" i="28"/>
  <c r="D50" i="28"/>
  <c r="E50" i="28" s="1"/>
  <c r="F50" i="28"/>
  <c r="B51" i="28"/>
  <c r="C51" i="28"/>
  <c r="D51" i="28"/>
  <c r="E51" i="28" s="1"/>
  <c r="F51" i="28"/>
  <c r="B52" i="28"/>
  <c r="C52" i="28"/>
  <c r="D52" i="28"/>
  <c r="E52" i="28" s="1"/>
  <c r="F52" i="28"/>
  <c r="B53" i="28"/>
  <c r="C53" i="28"/>
  <c r="D53" i="28"/>
  <c r="E53" i="28" s="1"/>
  <c r="F53" i="28"/>
  <c r="B54" i="28"/>
  <c r="C54" i="28"/>
  <c r="D54" i="28"/>
  <c r="E54" i="28" s="1"/>
  <c r="F54" i="28"/>
  <c r="B55" i="28"/>
  <c r="C55" i="28"/>
  <c r="D55" i="28"/>
  <c r="E55" i="28" s="1"/>
  <c r="F55" i="28"/>
  <c r="B56" i="28"/>
  <c r="C56" i="28"/>
  <c r="D56" i="28"/>
  <c r="E56" i="28" s="1"/>
  <c r="F56" i="28"/>
  <c r="B57" i="28"/>
  <c r="C57" i="28"/>
  <c r="D57" i="28"/>
  <c r="E57" i="28" s="1"/>
  <c r="F57" i="28"/>
  <c r="C19" i="28"/>
  <c r="F19" i="28"/>
  <c r="B19" i="28"/>
  <c r="D19" i="28"/>
  <c r="E19" i="28" s="1"/>
  <c r="G19" i="28" s="1"/>
  <c r="H19" i="28" s="1" a="1"/>
  <c r="H19" i="28" s="1"/>
  <c r="B20" i="28"/>
  <c r="D20" i="28" s="1"/>
  <c r="C20" i="28"/>
  <c r="F20" i="28"/>
  <c r="C21" i="28"/>
  <c r="B21" i="28"/>
  <c r="D21" i="28"/>
  <c r="E21" i="28" s="1"/>
  <c r="F21" i="28"/>
  <c r="C22" i="28"/>
  <c r="B22" i="28"/>
  <c r="D22" i="28"/>
  <c r="E22" i="28" s="1"/>
  <c r="F22" i="28"/>
  <c r="F23" i="28"/>
  <c r="B23" i="28"/>
  <c r="D23" i="28" s="1"/>
  <c r="C23" i="28"/>
  <c r="F24" i="28"/>
  <c r="B24" i="28"/>
  <c r="D24" i="28" s="1"/>
  <c r="C24" i="28"/>
  <c r="B25" i="28"/>
  <c r="C25" i="28"/>
  <c r="D25" i="28"/>
  <c r="E25" i="28" s="1"/>
  <c r="F25" i="28"/>
  <c r="B58" i="28"/>
  <c r="C58" i="28"/>
  <c r="D58" i="28"/>
  <c r="E58" i="28" s="1"/>
  <c r="F58" i="28"/>
  <c r="B59" i="28"/>
  <c r="C59" i="28"/>
  <c r="D59" i="28"/>
  <c r="E59" i="28" s="1"/>
  <c r="F59" i="28"/>
  <c r="B60" i="28"/>
  <c r="C60" i="28"/>
  <c r="D60" i="28"/>
  <c r="E60" i="28" s="1"/>
  <c r="F60" i="28"/>
  <c r="B61" i="28"/>
  <c r="C61" i="28"/>
  <c r="D61" i="28"/>
  <c r="E61" i="28" s="1"/>
  <c r="F61" i="28"/>
  <c r="B62" i="28"/>
  <c r="C62" i="28"/>
  <c r="D62" i="28"/>
  <c r="E62" i="28" s="1"/>
  <c r="F62" i="28"/>
  <c r="B63" i="28"/>
  <c r="C63" i="28"/>
  <c r="D63" i="28"/>
  <c r="E63" i="28" s="1"/>
  <c r="F63" i="28"/>
  <c r="B64" i="28"/>
  <c r="C64" i="28"/>
  <c r="D64" i="28"/>
  <c r="E64" i="28" s="1"/>
  <c r="F64" i="28"/>
  <c r="B65" i="28"/>
  <c r="C65" i="28"/>
  <c r="D65" i="28"/>
  <c r="E65" i="28" s="1"/>
  <c r="F65" i="28"/>
  <c r="B66" i="28"/>
  <c r="C66" i="28"/>
  <c r="D66" i="28"/>
  <c r="E66" i="28" s="1"/>
  <c r="F66" i="28"/>
  <c r="C18" i="26"/>
  <c r="B18" i="26"/>
  <c r="D18" i="26" s="1"/>
  <c r="E18" i="26" s="1"/>
  <c r="F18" i="26"/>
  <c r="C19" i="26"/>
  <c r="B19" i="26"/>
  <c r="D19" i="26" s="1"/>
  <c r="E19" i="26" s="1"/>
  <c r="F19" i="26"/>
  <c r="B17" i="26"/>
  <c r="D17" i="26" s="1"/>
  <c r="F17" i="26"/>
  <c r="C17" i="26"/>
  <c r="B20" i="26"/>
  <c r="D20" i="26"/>
  <c r="F20" i="26"/>
  <c r="C20" i="26"/>
  <c r="B22" i="26"/>
  <c r="C22" i="26"/>
  <c r="D22" i="26"/>
  <c r="F22" i="26"/>
  <c r="F26" i="26"/>
  <c r="B26" i="26"/>
  <c r="C26" i="26"/>
  <c r="D26" i="26"/>
  <c r="E26" i="26" s="1"/>
  <c r="G26" i="26" s="1"/>
  <c r="H26" i="26" s="1" a="1"/>
  <c r="H26" i="26" s="1"/>
  <c r="C34" i="26"/>
  <c r="B34" i="26"/>
  <c r="D34" i="26"/>
  <c r="E34" i="26" s="1"/>
  <c r="F34" i="26"/>
  <c r="B36" i="26"/>
  <c r="C36" i="26"/>
  <c r="D36" i="26"/>
  <c r="E36" i="26" s="1"/>
  <c r="F36" i="26"/>
  <c r="B37" i="26"/>
  <c r="C37" i="26"/>
  <c r="D37" i="26"/>
  <c r="E37" i="26" s="1"/>
  <c r="F37" i="26"/>
  <c r="B38" i="26"/>
  <c r="D38" i="26" s="1"/>
  <c r="E38" i="26" s="1"/>
  <c r="C38" i="26"/>
  <c r="F38" i="26"/>
  <c r="C45" i="26"/>
  <c r="B45" i="26"/>
  <c r="D45" i="26"/>
  <c r="E45" i="26" s="1"/>
  <c r="F45" i="26"/>
  <c r="B46" i="26"/>
  <c r="C46" i="26"/>
  <c r="D46" i="26"/>
  <c r="F46" i="26"/>
  <c r="B47" i="26"/>
  <c r="C47" i="26"/>
  <c r="D47" i="26"/>
  <c r="F47" i="26"/>
  <c r="C49" i="26"/>
  <c r="F49" i="26"/>
  <c r="B49" i="26"/>
  <c r="D49" i="26"/>
  <c r="E49" i="26" s="1"/>
  <c r="G49" i="26" s="1"/>
  <c r="H49" i="26" s="1" a="1"/>
  <c r="H49" i="26" s="1"/>
  <c r="C51" i="26"/>
  <c r="B51" i="26"/>
  <c r="D51" i="26"/>
  <c r="E51" i="26" s="1"/>
  <c r="F51" i="26"/>
  <c r="F53" i="26"/>
  <c r="B53" i="26"/>
  <c r="D53" i="26" s="1"/>
  <c r="C53" i="26"/>
  <c r="B54" i="26"/>
  <c r="C54" i="26"/>
  <c r="D54" i="26"/>
  <c r="E54" i="26" s="1"/>
  <c r="F54" i="26"/>
  <c r="B55" i="26"/>
  <c r="C55" i="26"/>
  <c r="D55" i="26"/>
  <c r="E55" i="26" s="1"/>
  <c r="F55" i="26"/>
  <c r="B56" i="26"/>
  <c r="C56" i="26"/>
  <c r="D56" i="26"/>
  <c r="E56" i="26" s="1"/>
  <c r="F56" i="26"/>
  <c r="B57" i="26"/>
  <c r="C57" i="26"/>
  <c r="D57" i="26"/>
  <c r="E57" i="26" s="1"/>
  <c r="F57" i="26"/>
  <c r="B58" i="26"/>
  <c r="C58" i="26"/>
  <c r="D58" i="26"/>
  <c r="E58" i="26" s="1"/>
  <c r="F58" i="26"/>
  <c r="B59" i="26"/>
  <c r="C59" i="26"/>
  <c r="D59" i="26"/>
  <c r="E59" i="26" s="1"/>
  <c r="F59" i="26"/>
  <c r="B60" i="26"/>
  <c r="C60" i="26"/>
  <c r="D60" i="26"/>
  <c r="E60" i="26" s="1"/>
  <c r="F60" i="26"/>
  <c r="B61" i="26"/>
  <c r="C61" i="26"/>
  <c r="D61" i="26"/>
  <c r="E61" i="26" s="1"/>
  <c r="F61" i="26"/>
  <c r="B62" i="26"/>
  <c r="C62" i="26"/>
  <c r="D62" i="26"/>
  <c r="E62" i="26" s="1"/>
  <c r="F62" i="26"/>
  <c r="B63" i="26"/>
  <c r="D63" i="26" s="1"/>
  <c r="C63" i="26"/>
  <c r="F63" i="26"/>
  <c r="B64" i="26"/>
  <c r="D64" i="26" s="1"/>
  <c r="C64" i="26"/>
  <c r="F64" i="26"/>
  <c r="B65" i="26"/>
  <c r="D65" i="26" s="1"/>
  <c r="C65" i="26"/>
  <c r="F65" i="26"/>
  <c r="B66" i="26"/>
  <c r="C66" i="26"/>
  <c r="D66" i="26"/>
  <c r="E66" i="26" s="1"/>
  <c r="F66" i="26"/>
  <c r="F21" i="26"/>
  <c r="C21" i="26"/>
  <c r="B21" i="26"/>
  <c r="D21" i="26" s="1"/>
  <c r="E21" i="26" s="1"/>
  <c r="G21" i="26" s="1"/>
  <c r="H21" i="26" s="1" a="1"/>
  <c r="H21" i="26" s="1"/>
  <c r="B23" i="26"/>
  <c r="C23" i="26"/>
  <c r="D23" i="26"/>
  <c r="E23" i="26" s="1"/>
  <c r="F23" i="26"/>
  <c r="C24" i="26"/>
  <c r="B24" i="26"/>
  <c r="D24" i="26" s="1"/>
  <c r="E24" i="26" s="1"/>
  <c r="F24" i="26"/>
  <c r="C25" i="26"/>
  <c r="F25" i="26"/>
  <c r="B25" i="26"/>
  <c r="D25" i="26"/>
  <c r="E25" i="26" s="1"/>
  <c r="G25" i="26" s="1"/>
  <c r="H25" i="26" s="1" a="1"/>
  <c r="H25" i="26" s="1"/>
  <c r="C27" i="26"/>
  <c r="F27" i="26"/>
  <c r="B27" i="26"/>
  <c r="D27" i="26"/>
  <c r="E27" i="26" s="1"/>
  <c r="G27" i="26" s="1"/>
  <c r="H27" i="26" s="1" a="1"/>
  <c r="H27" i="26" s="1"/>
  <c r="C28" i="26"/>
  <c r="F28" i="26"/>
  <c r="B28" i="26"/>
  <c r="D28" i="26" s="1"/>
  <c r="E28" i="26" s="1"/>
  <c r="G28" i="26" s="1"/>
  <c r="H28" i="26" s="1" a="1"/>
  <c r="H28" i="26" s="1"/>
  <c r="C29" i="26"/>
  <c r="F29" i="26"/>
  <c r="B29" i="26"/>
  <c r="D29" i="26" s="1"/>
  <c r="E29" i="26" s="1"/>
  <c r="G29" i="26" s="1"/>
  <c r="H29" i="26" s="1" a="1"/>
  <c r="H29" i="26" s="1"/>
  <c r="B30" i="26"/>
  <c r="D30" i="26"/>
  <c r="F30" i="26"/>
  <c r="C30" i="26"/>
  <c r="C31" i="26"/>
  <c r="F31" i="26"/>
  <c r="B31" i="26"/>
  <c r="D31" i="26" s="1"/>
  <c r="E31" i="26" s="1"/>
  <c r="G31" i="26" s="1"/>
  <c r="H31" i="26" s="1" a="1"/>
  <c r="H31" i="26" s="1"/>
  <c r="B32" i="26"/>
  <c r="C32" i="26"/>
  <c r="F32" i="26"/>
  <c r="D32" i="26"/>
  <c r="E32" i="26" s="1"/>
  <c r="G32" i="26" s="1"/>
  <c r="H32" i="26" s="1" a="1"/>
  <c r="H32" i="26" s="1"/>
  <c r="B33" i="26"/>
  <c r="D33" i="26"/>
  <c r="F33" i="26"/>
  <c r="C33" i="26"/>
  <c r="C35" i="26"/>
  <c r="F35" i="26"/>
  <c r="B35" i="26"/>
  <c r="D35" i="26" s="1"/>
  <c r="E35" i="26" s="1"/>
  <c r="G35" i="26" s="1"/>
  <c r="H35" i="26" s="1" a="1"/>
  <c r="H35" i="26" s="1"/>
  <c r="B39" i="26"/>
  <c r="D39" i="26"/>
  <c r="C39" i="26"/>
  <c r="F39" i="26"/>
  <c r="B40" i="26"/>
  <c r="D40" i="26"/>
  <c r="F40" i="26"/>
  <c r="C40" i="26"/>
  <c r="C41" i="26"/>
  <c r="F41" i="26"/>
  <c r="B41" i="26"/>
  <c r="D41" i="26" s="1"/>
  <c r="E41" i="26" s="1"/>
  <c r="G41" i="26" s="1"/>
  <c r="H41" i="26" s="1" a="1"/>
  <c r="H41" i="26" s="1"/>
  <c r="C42" i="26"/>
  <c r="F42" i="26"/>
  <c r="B42" i="26"/>
  <c r="D42" i="26"/>
  <c r="E42" i="26" s="1"/>
  <c r="G42" i="26" s="1"/>
  <c r="H42" i="26" s="1" a="1"/>
  <c r="H42" i="26" s="1"/>
  <c r="C43" i="26"/>
  <c r="F43" i="26"/>
  <c r="B43" i="26"/>
  <c r="D43" i="26"/>
  <c r="E43" i="26" s="1"/>
  <c r="G43" i="26" s="1"/>
  <c r="H43" i="26" s="1" a="1"/>
  <c r="H43" i="26" s="1"/>
  <c r="C44" i="26"/>
  <c r="F44" i="26"/>
  <c r="B44" i="26"/>
  <c r="D44" i="26" s="1"/>
  <c r="B48" i="26"/>
  <c r="D48" i="26"/>
  <c r="C48" i="26"/>
  <c r="F48" i="26"/>
  <c r="B50" i="26"/>
  <c r="D50" i="26"/>
  <c r="F50" i="26"/>
  <c r="C50" i="26"/>
  <c r="F52" i="26"/>
  <c r="B52" i="26"/>
  <c r="D52" i="26" s="1"/>
  <c r="C52" i="26"/>
  <c r="B17" i="30"/>
  <c r="C17" i="30"/>
  <c r="D17" i="30"/>
  <c r="E17" i="30" s="1"/>
  <c r="F17" i="30"/>
  <c r="B18" i="30"/>
  <c r="C18" i="30"/>
  <c r="D18" i="30"/>
  <c r="E18" i="30" s="1"/>
  <c r="F18" i="30"/>
  <c r="B19" i="30"/>
  <c r="C19" i="30"/>
  <c r="D19" i="30"/>
  <c r="E19" i="30" s="1"/>
  <c r="F19" i="30"/>
  <c r="B20" i="30"/>
  <c r="C20" i="30"/>
  <c r="D20" i="30"/>
  <c r="E20" i="30" s="1"/>
  <c r="F20" i="30"/>
  <c r="B21" i="30"/>
  <c r="C21" i="30"/>
  <c r="D21" i="30"/>
  <c r="E21" i="30" s="1"/>
  <c r="F21" i="30"/>
  <c r="B22" i="30"/>
  <c r="C22" i="30"/>
  <c r="D22" i="30"/>
  <c r="E22" i="30" s="1"/>
  <c r="F22" i="30"/>
  <c r="B23" i="30"/>
  <c r="C23" i="30"/>
  <c r="D23" i="30"/>
  <c r="E23" i="30" s="1"/>
  <c r="F23" i="30"/>
  <c r="B24" i="30"/>
  <c r="C24" i="30"/>
  <c r="D24" i="30"/>
  <c r="E24" i="30" s="1"/>
  <c r="F24" i="30"/>
  <c r="B25" i="30"/>
  <c r="C25" i="30"/>
  <c r="D25" i="30"/>
  <c r="E25" i="30" s="1"/>
  <c r="F25" i="30"/>
  <c r="B26" i="30"/>
  <c r="C26" i="30"/>
  <c r="D26" i="30"/>
  <c r="E26" i="30" s="1"/>
  <c r="F26" i="30"/>
  <c r="B27" i="30"/>
  <c r="C27" i="30"/>
  <c r="D27" i="30"/>
  <c r="E27" i="30" s="1"/>
  <c r="F27" i="30"/>
  <c r="B28" i="30"/>
  <c r="C28" i="30"/>
  <c r="D28" i="30"/>
  <c r="E28" i="30" s="1"/>
  <c r="F28" i="30"/>
  <c r="B29" i="30"/>
  <c r="C29" i="30"/>
  <c r="D29" i="30"/>
  <c r="E29" i="30" s="1"/>
  <c r="G29" i="30" s="1"/>
  <c r="H29" i="30" s="1" a="1"/>
  <c r="H29" i="30" s="1"/>
  <c r="F29" i="30"/>
  <c r="B30" i="30"/>
  <c r="C30" i="30"/>
  <c r="D30" i="30"/>
  <c r="E30" i="30" s="1"/>
  <c r="F30" i="30"/>
  <c r="B31" i="30"/>
  <c r="C31" i="30"/>
  <c r="D31" i="30"/>
  <c r="E31" i="30" s="1"/>
  <c r="F31" i="30"/>
  <c r="B32" i="30"/>
  <c r="C32" i="30"/>
  <c r="D32" i="30"/>
  <c r="E32" i="30" s="1"/>
  <c r="F32" i="30"/>
  <c r="B33" i="30"/>
  <c r="C33" i="30"/>
  <c r="D33" i="30"/>
  <c r="E33" i="30" s="1"/>
  <c r="F33" i="30"/>
  <c r="B34" i="30"/>
  <c r="C34" i="30"/>
  <c r="D34" i="30"/>
  <c r="E34" i="30" s="1"/>
  <c r="F34" i="30"/>
  <c r="B35" i="30"/>
  <c r="C35" i="30"/>
  <c r="D35" i="30"/>
  <c r="E35" i="30" s="1"/>
  <c r="F35" i="30"/>
  <c r="B36" i="30"/>
  <c r="C36" i="30"/>
  <c r="D36" i="30"/>
  <c r="E36" i="30" s="1"/>
  <c r="F36" i="30"/>
  <c r="B37" i="30"/>
  <c r="C37" i="30"/>
  <c r="D37" i="30"/>
  <c r="E37" i="30" s="1"/>
  <c r="F37" i="30"/>
  <c r="B38" i="30"/>
  <c r="C38" i="30"/>
  <c r="D38" i="30"/>
  <c r="E38" i="30" s="1"/>
  <c r="F38" i="30"/>
  <c r="B39" i="30"/>
  <c r="C39" i="30"/>
  <c r="D39" i="30"/>
  <c r="E39" i="30" s="1"/>
  <c r="F39" i="30"/>
  <c r="B40" i="30"/>
  <c r="C40" i="30"/>
  <c r="D40" i="30"/>
  <c r="E40" i="30" s="1"/>
  <c r="F40" i="30"/>
  <c r="B41" i="30"/>
  <c r="C41" i="30"/>
  <c r="D41" i="30"/>
  <c r="E41" i="30" s="1"/>
  <c r="F41" i="30"/>
  <c r="B42" i="30"/>
  <c r="C42" i="30"/>
  <c r="D42" i="30"/>
  <c r="E42" i="30" s="1"/>
  <c r="F42" i="30"/>
  <c r="B43" i="30"/>
  <c r="C43" i="30"/>
  <c r="D43" i="30"/>
  <c r="E43" i="30" s="1"/>
  <c r="F43" i="30"/>
  <c r="B44" i="30"/>
  <c r="C44" i="30"/>
  <c r="D44" i="30"/>
  <c r="E44" i="30" s="1"/>
  <c r="F44" i="30"/>
  <c r="B45" i="30"/>
  <c r="C45" i="30"/>
  <c r="D45" i="30"/>
  <c r="E45" i="30" s="1"/>
  <c r="F45" i="30"/>
  <c r="B46" i="30"/>
  <c r="C46" i="30"/>
  <c r="D46" i="30"/>
  <c r="E46" i="30" s="1"/>
  <c r="F46" i="30"/>
  <c r="B47" i="30"/>
  <c r="C47" i="30"/>
  <c r="D47" i="30"/>
  <c r="E47" i="30" s="1"/>
  <c r="G47" i="30" s="1"/>
  <c r="H47" i="30" s="1" a="1"/>
  <c r="H47" i="30" s="1"/>
  <c r="F47" i="30"/>
  <c r="B48" i="30"/>
  <c r="C48" i="30"/>
  <c r="D48" i="30"/>
  <c r="E48" i="30" s="1"/>
  <c r="F48" i="30"/>
  <c r="B49" i="30"/>
  <c r="C49" i="30"/>
  <c r="D49" i="30"/>
  <c r="E49" i="30" s="1"/>
  <c r="F49" i="30"/>
  <c r="B50" i="30"/>
  <c r="C50" i="30"/>
  <c r="D50" i="30"/>
  <c r="E50" i="30" s="1"/>
  <c r="F50" i="30"/>
  <c r="B51" i="30"/>
  <c r="C51" i="30"/>
  <c r="D51" i="30"/>
  <c r="E51" i="30" s="1"/>
  <c r="F51" i="30"/>
  <c r="B52" i="30"/>
  <c r="C52" i="30"/>
  <c r="D52" i="30"/>
  <c r="E52" i="30" s="1"/>
  <c r="F52" i="30"/>
  <c r="B53" i="30"/>
  <c r="C53" i="30"/>
  <c r="D53" i="30"/>
  <c r="E53" i="30" s="1"/>
  <c r="F53" i="30"/>
  <c r="B54" i="30"/>
  <c r="C54" i="30"/>
  <c r="D54" i="30"/>
  <c r="E54" i="30" s="1"/>
  <c r="F54" i="30"/>
  <c r="B55" i="30"/>
  <c r="C55" i="30"/>
  <c r="D55" i="30"/>
  <c r="E55" i="30" s="1"/>
  <c r="F55" i="30"/>
  <c r="B56" i="30"/>
  <c r="C56" i="30"/>
  <c r="D56" i="30"/>
  <c r="E56" i="30" s="1"/>
  <c r="F56" i="30"/>
  <c r="B57" i="30"/>
  <c r="C57" i="30"/>
  <c r="D57" i="30"/>
  <c r="E57" i="30" s="1"/>
  <c r="F57" i="30"/>
  <c r="B58" i="30"/>
  <c r="C58" i="30"/>
  <c r="D58" i="30"/>
  <c r="E58" i="30" s="1"/>
  <c r="F58" i="30"/>
  <c r="B59" i="30"/>
  <c r="C59" i="30"/>
  <c r="D59" i="30"/>
  <c r="E59" i="30" s="1"/>
  <c r="F59" i="30"/>
  <c r="B60" i="30"/>
  <c r="C60" i="30"/>
  <c r="D60" i="30"/>
  <c r="E60" i="30" s="1"/>
  <c r="F60" i="30"/>
  <c r="B61" i="30"/>
  <c r="C61" i="30"/>
  <c r="D61" i="30"/>
  <c r="E61" i="30" s="1"/>
  <c r="F61" i="30"/>
  <c r="B62" i="30"/>
  <c r="C62" i="30"/>
  <c r="D62" i="30"/>
  <c r="E62" i="30" s="1"/>
  <c r="F62" i="30"/>
  <c r="B63" i="30"/>
  <c r="C63" i="30"/>
  <c r="D63" i="30"/>
  <c r="E63" i="30" s="1"/>
  <c r="F63" i="30"/>
  <c r="B64" i="30"/>
  <c r="C64" i="30"/>
  <c r="D64" i="30"/>
  <c r="E64" i="30" s="1"/>
  <c r="F64" i="30"/>
  <c r="B65" i="30"/>
  <c r="C65" i="30"/>
  <c r="D65" i="30"/>
  <c r="E65" i="30" s="1"/>
  <c r="F65" i="30"/>
  <c r="B66" i="30"/>
  <c r="C66" i="30"/>
  <c r="D66" i="30"/>
  <c r="E66" i="30" s="1"/>
  <c r="F66" i="30"/>
  <c r="B19" i="24"/>
  <c r="D19" i="24" s="1"/>
  <c r="C19" i="24"/>
  <c r="F19" i="24"/>
  <c r="B27" i="24"/>
  <c r="D27" i="24" s="1"/>
  <c r="F27" i="24"/>
  <c r="C27" i="24"/>
  <c r="C33" i="24"/>
  <c r="B33" i="24"/>
  <c r="D33" i="24"/>
  <c r="E33" i="24" s="1"/>
  <c r="F33" i="24"/>
  <c r="C34" i="24"/>
  <c r="B34" i="24"/>
  <c r="D34" i="24" s="1"/>
  <c r="F34" i="24"/>
  <c r="B37" i="24"/>
  <c r="D37" i="24"/>
  <c r="C37" i="24"/>
  <c r="F37" i="24"/>
  <c r="B20" i="24"/>
  <c r="D20" i="24" s="1"/>
  <c r="C20" i="24"/>
  <c r="F20" i="24"/>
  <c r="C21" i="24"/>
  <c r="B21" i="24"/>
  <c r="D21" i="24" s="1"/>
  <c r="E21" i="24" s="1"/>
  <c r="F21" i="24"/>
  <c r="C23" i="24"/>
  <c r="F23" i="24"/>
  <c r="B23" i="24"/>
  <c r="D23" i="24" s="1"/>
  <c r="E23" i="24" s="1"/>
  <c r="G23" i="24" s="1"/>
  <c r="H23" i="24" s="1" a="1"/>
  <c r="H23" i="24" s="1"/>
  <c r="C29" i="24"/>
  <c r="F29" i="24"/>
  <c r="B29" i="24"/>
  <c r="D29" i="24" s="1"/>
  <c r="E29" i="24" s="1"/>
  <c r="G29" i="24" s="1"/>
  <c r="H29" i="24" s="1" a="1"/>
  <c r="H29" i="24" s="1"/>
  <c r="F31" i="24"/>
  <c r="C31" i="24"/>
  <c r="B31" i="24"/>
  <c r="D31" i="24" s="1"/>
  <c r="E31" i="24" s="1"/>
  <c r="G31" i="24" s="1"/>
  <c r="H31" i="24" s="1" a="1"/>
  <c r="H31" i="24" s="1"/>
  <c r="B39" i="24"/>
  <c r="F39" i="24"/>
  <c r="D39" i="24"/>
  <c r="C39" i="24"/>
  <c r="F41" i="24"/>
  <c r="B41" i="24"/>
  <c r="D41" i="24"/>
  <c r="C41" i="24"/>
  <c r="F42" i="24"/>
  <c r="C42" i="24"/>
  <c r="B42" i="24"/>
  <c r="D42" i="24" s="1"/>
  <c r="E42" i="24" s="1"/>
  <c r="G42" i="24" s="1"/>
  <c r="H42" i="24" s="1" a="1"/>
  <c r="H42" i="24" s="1"/>
  <c r="B45" i="24"/>
  <c r="D45" i="24"/>
  <c r="C45" i="24"/>
  <c r="F45" i="24"/>
  <c r="C50" i="24"/>
  <c r="B50" i="24"/>
  <c r="D50" i="24" s="1"/>
  <c r="E50" i="24" s="1"/>
  <c r="F50" i="24"/>
  <c r="B57" i="24"/>
  <c r="D57" i="24"/>
  <c r="F57" i="24"/>
  <c r="C57" i="24"/>
  <c r="B60" i="24"/>
  <c r="D60" i="24" s="1"/>
  <c r="C60" i="24"/>
  <c r="F60" i="24"/>
  <c r="C62" i="24"/>
  <c r="F62" i="24"/>
  <c r="B62" i="24"/>
  <c r="D62" i="24" s="1"/>
  <c r="E62" i="24" s="1"/>
  <c r="G62" i="24" s="1"/>
  <c r="H62" i="24" s="1" a="1"/>
  <c r="H62" i="24" s="1"/>
  <c r="B65" i="24"/>
  <c r="D65" i="24" s="1"/>
  <c r="E65" i="24" s="1"/>
  <c r="G65" i="24" s="1"/>
  <c r="H65" i="24" s="1" a="1"/>
  <c r="H65" i="24" s="1"/>
  <c r="F65" i="24"/>
  <c r="C65" i="24"/>
  <c r="B66" i="24"/>
  <c r="D66" i="24" s="1"/>
  <c r="C66" i="24"/>
  <c r="F66" i="24"/>
  <c r="B18" i="24"/>
  <c r="D18" i="24"/>
  <c r="C18" i="24"/>
  <c r="F18" i="24"/>
  <c r="C24" i="24"/>
  <c r="F24" i="24"/>
  <c r="B24" i="24"/>
  <c r="D24" i="24"/>
  <c r="E24" i="24" s="1"/>
  <c r="G24" i="24" s="1"/>
  <c r="H24" i="24" s="1" a="1"/>
  <c r="H24" i="24" s="1"/>
  <c r="B30" i="24"/>
  <c r="D30" i="24"/>
  <c r="F30" i="24"/>
  <c r="C30" i="24"/>
  <c r="C35" i="24"/>
  <c r="B35" i="24"/>
  <c r="F35" i="24"/>
  <c r="D35" i="24"/>
  <c r="E35" i="24" s="1"/>
  <c r="G35" i="24" s="1"/>
  <c r="H35" i="24" s="1" a="1"/>
  <c r="H35" i="24" s="1"/>
  <c r="F36" i="24"/>
  <c r="B36" i="24"/>
  <c r="D36" i="24"/>
  <c r="C36" i="24"/>
  <c r="C40" i="24"/>
  <c r="F40" i="24"/>
  <c r="B40" i="24"/>
  <c r="D40" i="24"/>
  <c r="E40" i="24" s="1"/>
  <c r="G40" i="24" s="1"/>
  <c r="H40" i="24" s="1" a="1"/>
  <c r="H40" i="24" s="1"/>
  <c r="F44" i="24"/>
  <c r="B44" i="24"/>
  <c r="D44" i="24" s="1"/>
  <c r="C44" i="24"/>
  <c r="F46" i="24"/>
  <c r="B46" i="24"/>
  <c r="D46" i="24" s="1"/>
  <c r="C46" i="24"/>
  <c r="C48" i="24"/>
  <c r="B48" i="24"/>
  <c r="D48" i="24"/>
  <c r="E48" i="24" s="1"/>
  <c r="F48" i="24"/>
  <c r="C49" i="24"/>
  <c r="B49" i="24"/>
  <c r="D49" i="24" s="1"/>
  <c r="E49" i="24" s="1"/>
  <c r="F49" i="24"/>
  <c r="C51" i="24"/>
  <c r="F51" i="24"/>
  <c r="B51" i="24"/>
  <c r="D51" i="24"/>
  <c r="E51" i="24" s="1"/>
  <c r="G51" i="24" s="1"/>
  <c r="H51" i="24" s="1" a="1"/>
  <c r="H51" i="24" s="1"/>
  <c r="B52" i="24"/>
  <c r="D52" i="24"/>
  <c r="C52" i="24"/>
  <c r="F52" i="24"/>
  <c r="C53" i="24"/>
  <c r="F53" i="24"/>
  <c r="B53" i="24"/>
  <c r="D53" i="24"/>
  <c r="E53" i="24" s="1"/>
  <c r="G53" i="24" s="1"/>
  <c r="H53" i="24" s="1" a="1"/>
  <c r="H53" i="24" s="1"/>
  <c r="B54" i="24"/>
  <c r="D54" i="24"/>
  <c r="C54" i="24"/>
  <c r="F54" i="24"/>
  <c r="F55" i="24"/>
  <c r="B55" i="24"/>
  <c r="D55" i="24" s="1"/>
  <c r="C55" i="24"/>
  <c r="C56" i="24"/>
  <c r="F56" i="24"/>
  <c r="B56" i="24"/>
  <c r="D56" i="24" s="1"/>
  <c r="E56" i="24" s="1"/>
  <c r="G56" i="24" s="1"/>
  <c r="H56" i="24" s="1" a="1"/>
  <c r="H56" i="24" s="1"/>
  <c r="B58" i="24"/>
  <c r="D58" i="24"/>
  <c r="C58" i="24"/>
  <c r="F58" i="24"/>
  <c r="F63" i="24"/>
  <c r="C63" i="24"/>
  <c r="B63" i="24"/>
  <c r="D63" i="24" s="1"/>
  <c r="E63" i="24" s="1"/>
  <c r="G63" i="24" s="1"/>
  <c r="H63" i="24" s="1" a="1"/>
  <c r="H63" i="24" s="1"/>
  <c r="C25" i="24"/>
  <c r="B25" i="24"/>
  <c r="D25" i="24" s="1"/>
  <c r="E25" i="24" s="1"/>
  <c r="F25" i="24"/>
  <c r="B28" i="24"/>
  <c r="D28" i="24" s="1"/>
  <c r="C28" i="24"/>
  <c r="F28" i="24"/>
  <c r="C32" i="24"/>
  <c r="B32" i="24"/>
  <c r="D32" i="24" s="1"/>
  <c r="F32" i="24"/>
  <c r="C47" i="24"/>
  <c r="B47" i="24"/>
  <c r="D47" i="24" s="1"/>
  <c r="F47" i="24"/>
  <c r="F61" i="24"/>
  <c r="C61" i="24"/>
  <c r="B61" i="24"/>
  <c r="D61" i="24" s="1"/>
  <c r="E61" i="24" s="1"/>
  <c r="G61" i="24" s="1"/>
  <c r="H61" i="24" s="1" a="1"/>
  <c r="H61" i="24" s="1"/>
  <c r="B64" i="24"/>
  <c r="D64" i="24"/>
  <c r="C64" i="24"/>
  <c r="F64" i="24"/>
  <c r="C17" i="24"/>
  <c r="B17" i="24"/>
  <c r="D17" i="24"/>
  <c r="F17" i="24"/>
  <c r="C22" i="24"/>
  <c r="B22" i="24"/>
  <c r="D22" i="24" s="1"/>
  <c r="F22" i="24"/>
  <c r="C26" i="24"/>
  <c r="B26" i="24"/>
  <c r="D26" i="24" s="1"/>
  <c r="E26" i="24" s="1"/>
  <c r="F26" i="24"/>
  <c r="F38" i="24"/>
  <c r="B38" i="24"/>
  <c r="D38" i="24"/>
  <c r="C38" i="24"/>
  <c r="C43" i="24"/>
  <c r="F43" i="24"/>
  <c r="B43" i="24"/>
  <c r="D43" i="24" s="1"/>
  <c r="E43" i="24" s="1"/>
  <c r="G43" i="24" s="1"/>
  <c r="H43" i="24" s="1" a="1"/>
  <c r="H43" i="24" s="1"/>
  <c r="C59" i="24"/>
  <c r="B59" i="24"/>
  <c r="D59" i="24" s="1"/>
  <c r="E59" i="24" s="1"/>
  <c r="F59" i="24"/>
  <c r="E4" i="1"/>
  <c r="E4" i="27"/>
  <c r="E4" i="23"/>
  <c r="E4" i="25"/>
  <c r="E4" i="29"/>
  <c r="B5" i="27"/>
  <c r="B5" i="25"/>
  <c r="B5" i="23"/>
  <c r="B5" i="29"/>
  <c r="D44" i="32" a="1"/>
  <c r="D8" i="32" a="1"/>
  <c r="D17" i="32" a="1"/>
  <c r="D83" i="32" a="1"/>
  <c r="D53" i="32" a="1"/>
  <c r="D68" i="32" a="1"/>
  <c r="D67" i="32" a="1"/>
  <c r="E26" i="28" l="1"/>
  <c r="G52" i="28"/>
  <c r="H52" i="28" s="1" a="1"/>
  <c r="H52" i="28" s="1"/>
  <c r="E40" i="21"/>
  <c r="G40" i="21" s="1"/>
  <c r="H40" i="21" s="1" a="1"/>
  <c r="H40" i="21" s="1"/>
  <c r="G31" i="28"/>
  <c r="H31" i="28" s="1" a="1"/>
  <c r="H31" i="28" s="1"/>
  <c r="E35" i="28"/>
  <c r="G35" i="28" s="1"/>
  <c r="H35" i="28" s="1" a="1"/>
  <c r="H35" i="28" s="1"/>
  <c r="G51" i="28"/>
  <c r="H51" i="28" s="1" a="1"/>
  <c r="H51" i="28" s="1"/>
  <c r="G45" i="26"/>
  <c r="H45" i="26" s="1" a="1"/>
  <c r="H45" i="26" s="1"/>
  <c r="G64" i="30"/>
  <c r="H64" i="30" s="1" a="1"/>
  <c r="H64" i="30" s="1"/>
  <c r="G30" i="30"/>
  <c r="H30" i="30" s="1" a="1"/>
  <c r="H30" i="30" s="1"/>
  <c r="G48" i="30"/>
  <c r="H48" i="30" s="1" a="1"/>
  <c r="H48" i="30" s="1"/>
  <c r="M33" i="6"/>
  <c r="N33" i="6" s="1"/>
  <c r="L33" i="6"/>
  <c r="B31" i="36"/>
  <c r="D109" i="32" s="1" a="1"/>
  <c r="D109" i="32" s="1"/>
  <c r="B32" i="36" a="1"/>
  <c r="B32" i="36" s="1"/>
  <c r="D106" i="32" s="1" a="1"/>
  <c r="D106" i="32" s="1"/>
  <c r="N3" i="6"/>
  <c r="E32" i="21"/>
  <c r="G32" i="21" s="1"/>
  <c r="H32" i="21" s="1" a="1"/>
  <c r="H32" i="21" s="1"/>
  <c r="E29" i="21"/>
  <c r="G29" i="21" s="1"/>
  <c r="H29" i="21" s="1" a="1"/>
  <c r="H29" i="21" s="1"/>
  <c r="E58" i="21"/>
  <c r="G58" i="21" s="1"/>
  <c r="H58" i="21" s="1" a="1"/>
  <c r="H58" i="21" s="1"/>
  <c r="G26" i="28"/>
  <c r="H26" i="28" s="1" a="1"/>
  <c r="H26" i="28" s="1"/>
  <c r="G27" i="28"/>
  <c r="H27" i="28" s="1" a="1"/>
  <c r="H27" i="28" s="1"/>
  <c r="G28" i="28"/>
  <c r="H28" i="28" s="1" a="1"/>
  <c r="H28" i="28" s="1"/>
  <c r="G29" i="28"/>
  <c r="H29" i="28" s="1" a="1"/>
  <c r="H29" i="28" s="1"/>
  <c r="G30" i="28"/>
  <c r="H30" i="28" s="1" a="1"/>
  <c r="H30" i="28" s="1"/>
  <c r="G36" i="28"/>
  <c r="H36" i="28" s="1" a="1"/>
  <c r="H36" i="28" s="1"/>
  <c r="G37" i="28"/>
  <c r="H37" i="28" s="1" a="1"/>
  <c r="H37" i="28" s="1"/>
  <c r="G39" i="28"/>
  <c r="H39" i="28" s="1" a="1"/>
  <c r="H39" i="28" s="1"/>
  <c r="G40" i="28"/>
  <c r="H40" i="28" s="1" a="1"/>
  <c r="H40" i="28" s="1"/>
  <c r="G41" i="28"/>
  <c r="H41" i="28" s="1" a="1"/>
  <c r="H41" i="28" s="1"/>
  <c r="G42" i="28"/>
  <c r="H42" i="28" s="1" a="1"/>
  <c r="H42" i="28" s="1"/>
  <c r="G43" i="28"/>
  <c r="H43" i="28" s="1" a="1"/>
  <c r="H43" i="28" s="1"/>
  <c r="G44" i="28"/>
  <c r="H44" i="28" s="1" a="1"/>
  <c r="H44" i="28" s="1"/>
  <c r="G45" i="28"/>
  <c r="H45" i="28" s="1" a="1"/>
  <c r="H45" i="28" s="1"/>
  <c r="G47" i="28"/>
  <c r="H47" i="28" s="1" a="1"/>
  <c r="H47" i="28" s="1"/>
  <c r="G48" i="28"/>
  <c r="H48" i="28" s="1" a="1"/>
  <c r="H48" i="28" s="1"/>
  <c r="G49" i="28"/>
  <c r="H49" i="28" s="1" a="1"/>
  <c r="H49" i="28" s="1"/>
  <c r="G50" i="28"/>
  <c r="H50" i="28" s="1" a="1"/>
  <c r="H50" i="28" s="1"/>
  <c r="G53" i="28"/>
  <c r="H53" i="28" s="1" a="1"/>
  <c r="H53" i="28" s="1"/>
  <c r="G54" i="28"/>
  <c r="H54" i="28" s="1" a="1"/>
  <c r="H54" i="28" s="1"/>
  <c r="G55" i="28"/>
  <c r="H55" i="28" s="1" a="1"/>
  <c r="H55" i="28" s="1"/>
  <c r="G56" i="28"/>
  <c r="H56" i="28" s="1" a="1"/>
  <c r="H56" i="28" s="1"/>
  <c r="G57" i="28"/>
  <c r="H57" i="28" s="1" a="1"/>
  <c r="H57" i="28" s="1"/>
  <c r="G21" i="28"/>
  <c r="H21" i="28" s="1" a="1"/>
  <c r="H21" i="28" s="1"/>
  <c r="G22" i="28"/>
  <c r="H22" i="28" s="1" a="1"/>
  <c r="H22" i="28" s="1"/>
  <c r="E23" i="28"/>
  <c r="G23" i="28" s="1"/>
  <c r="H23" i="28" s="1" a="1"/>
  <c r="H23" i="28" s="1"/>
  <c r="E24" i="28"/>
  <c r="G24" i="28" s="1"/>
  <c r="H24" i="28" s="1" a="1"/>
  <c r="H24" i="28" s="1"/>
  <c r="G25" i="28"/>
  <c r="H25" i="28" s="1" a="1"/>
  <c r="H25" i="28" s="1"/>
  <c r="G58" i="28"/>
  <c r="H58" i="28" s="1" a="1"/>
  <c r="H58" i="28" s="1"/>
  <c r="G59" i="28"/>
  <c r="H59" i="28" s="1" a="1"/>
  <c r="H59" i="28" s="1"/>
  <c r="G60" i="28"/>
  <c r="H60" i="28" s="1" a="1"/>
  <c r="H60" i="28" s="1"/>
  <c r="G61" i="28"/>
  <c r="H61" i="28" s="1" a="1"/>
  <c r="H61" i="28" s="1"/>
  <c r="G50" i="24"/>
  <c r="H50" i="24" s="1" a="1"/>
  <c r="H50" i="24" s="1"/>
  <c r="E57" i="24"/>
  <c r="G57" i="24" s="1"/>
  <c r="H57" i="24" s="1" a="1"/>
  <c r="H57" i="24" s="1"/>
  <c r="E60" i="24"/>
  <c r="G60" i="24" s="1"/>
  <c r="H60" i="24" s="1" a="1"/>
  <c r="H60" i="24" s="1"/>
  <c r="E66" i="24"/>
  <c r="G66" i="24" s="1"/>
  <c r="H66" i="24" s="1" a="1"/>
  <c r="H66" i="24" s="1"/>
  <c r="E30" i="24"/>
  <c r="G30" i="24" s="1"/>
  <c r="H30" i="24" s="1" a="1"/>
  <c r="H30" i="24" s="1"/>
  <c r="E36" i="24"/>
  <c r="G36" i="24" s="1"/>
  <c r="H36" i="24" s="1" a="1"/>
  <c r="H36" i="24" s="1"/>
  <c r="E46" i="24"/>
  <c r="G46" i="24" s="1"/>
  <c r="H46" i="24" s="1" a="1"/>
  <c r="H46" i="24" s="1"/>
  <c r="G48" i="24"/>
  <c r="H48" i="24" s="1" a="1"/>
  <c r="H48" i="24" s="1"/>
  <c r="G49" i="24"/>
  <c r="H49" i="24" s="1" a="1"/>
  <c r="H49" i="24" s="1"/>
  <c r="E55" i="24"/>
  <c r="G55" i="24" s="1"/>
  <c r="H55" i="24" s="1" a="1"/>
  <c r="H55" i="24" s="1"/>
  <c r="G25" i="24"/>
  <c r="H25" i="24" s="1" a="1"/>
  <c r="H25" i="24" s="1"/>
  <c r="G26" i="24"/>
  <c r="H26" i="24" s="1" a="1"/>
  <c r="H26" i="24" s="1"/>
  <c r="G59" i="24"/>
  <c r="H59" i="24" s="1" a="1"/>
  <c r="H59" i="24" s="1"/>
  <c r="E20" i="21"/>
  <c r="G20" i="21" s="1"/>
  <c r="H20" i="21" s="1" a="1"/>
  <c r="H20" i="21" s="1"/>
  <c r="E36" i="21"/>
  <c r="G36" i="21" s="1"/>
  <c r="H36" i="21" s="1" a="1"/>
  <c r="H36" i="21" s="1"/>
  <c r="G32" i="28"/>
  <c r="H32" i="28" s="1" a="1"/>
  <c r="H32" i="28" s="1"/>
  <c r="G33" i="28"/>
  <c r="H33" i="28" s="1" a="1"/>
  <c r="H33" i="28" s="1"/>
  <c r="G34" i="28"/>
  <c r="H34" i="28" s="1" a="1"/>
  <c r="H34" i="28" s="1"/>
  <c r="G62" i="28"/>
  <c r="H62" i="28" s="1" a="1"/>
  <c r="H62" i="28" s="1"/>
  <c r="G63" i="28"/>
  <c r="H63" i="28" s="1" a="1"/>
  <c r="H63" i="28" s="1"/>
  <c r="G64" i="28"/>
  <c r="H64" i="28" s="1" a="1"/>
  <c r="H64" i="28" s="1"/>
  <c r="G65" i="28"/>
  <c r="H65" i="28" s="1" a="1"/>
  <c r="H65" i="28" s="1"/>
  <c r="G66" i="28"/>
  <c r="H66" i="28" s="1" a="1"/>
  <c r="H66" i="28" s="1"/>
  <c r="G18" i="26"/>
  <c r="H18" i="26" s="1" a="1"/>
  <c r="H18" i="26" s="1"/>
  <c r="G19" i="26"/>
  <c r="H19" i="26" s="1" a="1"/>
  <c r="H19" i="26" s="1"/>
  <c r="G34" i="26"/>
  <c r="H34" i="26" s="1" a="1"/>
  <c r="H34" i="26" s="1"/>
  <c r="G36" i="26"/>
  <c r="H36" i="26" s="1" a="1"/>
  <c r="H36" i="26" s="1"/>
  <c r="G37" i="26"/>
  <c r="H37" i="26" s="1" a="1"/>
  <c r="H37" i="26" s="1"/>
  <c r="G38" i="26"/>
  <c r="H38" i="26" s="1" a="1"/>
  <c r="H38" i="26" s="1"/>
  <c r="G51" i="26"/>
  <c r="H51" i="26" s="1" a="1"/>
  <c r="H51" i="26" s="1"/>
  <c r="G54" i="26"/>
  <c r="H54" i="26" s="1" a="1"/>
  <c r="H54" i="26" s="1"/>
  <c r="G55" i="26"/>
  <c r="H55" i="26" s="1" a="1"/>
  <c r="H55" i="26" s="1"/>
  <c r="G56" i="26"/>
  <c r="H56" i="26" s="1" a="1"/>
  <c r="H56" i="26" s="1"/>
  <c r="G57" i="26"/>
  <c r="H57" i="26" s="1" a="1"/>
  <c r="H57" i="26" s="1"/>
  <c r="G58" i="26"/>
  <c r="H58" i="26" s="1" a="1"/>
  <c r="H58" i="26" s="1"/>
  <c r="G59" i="26"/>
  <c r="H59" i="26" s="1" a="1"/>
  <c r="H59" i="26" s="1"/>
  <c r="G60" i="26"/>
  <c r="H60" i="26" s="1" a="1"/>
  <c r="H60" i="26" s="1"/>
  <c r="G61" i="26"/>
  <c r="H61" i="26" s="1" a="1"/>
  <c r="H61" i="26" s="1"/>
  <c r="G62" i="26"/>
  <c r="H62" i="26" s="1" a="1"/>
  <c r="H62" i="26" s="1"/>
  <c r="E63" i="26"/>
  <c r="G63" i="26" s="1"/>
  <c r="H63" i="26" s="1" a="1"/>
  <c r="H63" i="26" s="1"/>
  <c r="E64" i="26"/>
  <c r="G64" i="26" s="1"/>
  <c r="H64" i="26" s="1" a="1"/>
  <c r="H64" i="26" s="1"/>
  <c r="E65" i="26"/>
  <c r="G65" i="26" s="1"/>
  <c r="H65" i="26" s="1" a="1"/>
  <c r="H65" i="26" s="1"/>
  <c r="G66" i="26"/>
  <c r="H66" i="26" s="1" a="1"/>
  <c r="H66" i="26" s="1"/>
  <c r="G23" i="26"/>
  <c r="H23" i="26" s="1" a="1"/>
  <c r="H23" i="26" s="1"/>
  <c r="G24" i="26"/>
  <c r="H24" i="26" s="1" a="1"/>
  <c r="H24" i="26" s="1"/>
  <c r="E30" i="26"/>
  <c r="G30" i="26" s="1"/>
  <c r="H30" i="26" s="1" a="1"/>
  <c r="H30" i="26" s="1"/>
  <c r="E33" i="26"/>
  <c r="G33" i="26" s="1"/>
  <c r="H33" i="26" s="1" a="1"/>
  <c r="H33" i="26" s="1"/>
  <c r="E40" i="26"/>
  <c r="G40" i="26" s="1"/>
  <c r="H40" i="26" s="1" a="1"/>
  <c r="H40" i="26" s="1"/>
  <c r="E50" i="26"/>
  <c r="G50" i="26" s="1"/>
  <c r="H50" i="26" s="1" a="1"/>
  <c r="H50" i="26" s="1"/>
  <c r="E52" i="26"/>
  <c r="G52" i="26" s="1"/>
  <c r="H52" i="26" s="1" a="1"/>
  <c r="H52" i="26" s="1"/>
  <c r="G18" i="30"/>
  <c r="H18" i="30" s="1" a="1"/>
  <c r="H18" i="30" s="1"/>
  <c r="G19" i="30"/>
  <c r="H19" i="30" s="1" a="1"/>
  <c r="H19" i="30" s="1"/>
  <c r="G20" i="30"/>
  <c r="H20" i="30" s="1" a="1"/>
  <c r="H20" i="30" s="1"/>
  <c r="G21" i="30"/>
  <c r="H21" i="30" s="1" a="1"/>
  <c r="H21" i="30" s="1"/>
  <c r="G22" i="30"/>
  <c r="H22" i="30" s="1" a="1"/>
  <c r="H22" i="30" s="1"/>
  <c r="G23" i="30"/>
  <c r="H23" i="30" s="1" a="1"/>
  <c r="H23" i="30" s="1"/>
  <c r="G24" i="30"/>
  <c r="H24" i="30" s="1" a="1"/>
  <c r="H24" i="30" s="1"/>
  <c r="G25" i="30"/>
  <c r="H25" i="30" s="1" a="1"/>
  <c r="H25" i="30" s="1"/>
  <c r="G26" i="30"/>
  <c r="H26" i="30" s="1" a="1"/>
  <c r="H26" i="30" s="1"/>
  <c r="G27" i="30"/>
  <c r="H27" i="30" s="1" a="1"/>
  <c r="H27" i="30" s="1"/>
  <c r="G28" i="30"/>
  <c r="H28" i="30" s="1" a="1"/>
  <c r="H28" i="30" s="1"/>
  <c r="G31" i="30"/>
  <c r="H31" i="30" s="1" a="1"/>
  <c r="H31" i="30" s="1"/>
  <c r="G32" i="30"/>
  <c r="H32" i="30" s="1" a="1"/>
  <c r="H32" i="30" s="1"/>
  <c r="G33" i="30"/>
  <c r="H33" i="30" s="1" a="1"/>
  <c r="H33" i="30" s="1"/>
  <c r="G34" i="30"/>
  <c r="H34" i="30" s="1" a="1"/>
  <c r="H34" i="30" s="1"/>
  <c r="G35" i="30"/>
  <c r="H35" i="30" s="1" a="1"/>
  <c r="H35" i="30" s="1"/>
  <c r="G36" i="30"/>
  <c r="H36" i="30" s="1" a="1"/>
  <c r="H36" i="30" s="1"/>
  <c r="G37" i="30"/>
  <c r="H37" i="30" s="1" a="1"/>
  <c r="H37" i="30" s="1"/>
  <c r="G38" i="30"/>
  <c r="H38" i="30" s="1" a="1"/>
  <c r="H38" i="30" s="1"/>
  <c r="G39" i="30"/>
  <c r="H39" i="30" s="1" a="1"/>
  <c r="H39" i="30" s="1"/>
  <c r="G40" i="30"/>
  <c r="H40" i="30" s="1" a="1"/>
  <c r="H40" i="30" s="1"/>
  <c r="G41" i="30"/>
  <c r="H41" i="30" s="1" a="1"/>
  <c r="H41" i="30" s="1"/>
  <c r="G42" i="30"/>
  <c r="H42" i="30" s="1" a="1"/>
  <c r="H42" i="30" s="1"/>
  <c r="G43" i="30"/>
  <c r="H43" i="30" s="1" a="1"/>
  <c r="H43" i="30" s="1"/>
  <c r="G44" i="30"/>
  <c r="H44" i="30" s="1" a="1"/>
  <c r="H44" i="30" s="1"/>
  <c r="G45" i="30"/>
  <c r="H45" i="30" s="1" a="1"/>
  <c r="H45" i="30" s="1"/>
  <c r="G46" i="30"/>
  <c r="H46" i="30" s="1" a="1"/>
  <c r="H46" i="30" s="1"/>
  <c r="G49" i="30"/>
  <c r="H49" i="30" s="1" a="1"/>
  <c r="H49" i="30" s="1"/>
  <c r="G50" i="30"/>
  <c r="H50" i="30" s="1" a="1"/>
  <c r="H50" i="30" s="1"/>
  <c r="G51" i="30"/>
  <c r="H51" i="30" s="1" a="1"/>
  <c r="H51" i="30" s="1"/>
  <c r="G52" i="30"/>
  <c r="H52" i="30" s="1" a="1"/>
  <c r="H52" i="30" s="1"/>
  <c r="G53" i="30"/>
  <c r="H53" i="30" s="1" a="1"/>
  <c r="H53" i="30" s="1"/>
  <c r="G54" i="30"/>
  <c r="H54" i="30" s="1" a="1"/>
  <c r="H54" i="30" s="1"/>
  <c r="G55" i="30"/>
  <c r="H55" i="30" s="1" a="1"/>
  <c r="H55" i="30" s="1"/>
  <c r="G56" i="30"/>
  <c r="H56" i="30" s="1" a="1"/>
  <c r="H56" i="30" s="1"/>
  <c r="G57" i="30"/>
  <c r="H57" i="30" s="1" a="1"/>
  <c r="H57" i="30" s="1"/>
  <c r="G58" i="30"/>
  <c r="H58" i="30" s="1" a="1"/>
  <c r="H58" i="30" s="1"/>
  <c r="G59" i="30"/>
  <c r="H59" i="30" s="1" a="1"/>
  <c r="H59" i="30" s="1"/>
  <c r="G60" i="30"/>
  <c r="H60" i="30" s="1" a="1"/>
  <c r="H60" i="30" s="1"/>
  <c r="G61" i="30"/>
  <c r="H61" i="30" s="1" a="1"/>
  <c r="H61" i="30" s="1"/>
  <c r="G62" i="30"/>
  <c r="H62" i="30" s="1" a="1"/>
  <c r="H62" i="30" s="1"/>
  <c r="G63" i="30"/>
  <c r="H63" i="30" s="1" a="1"/>
  <c r="H63" i="30" s="1"/>
  <c r="G65" i="30"/>
  <c r="H65" i="30" s="1" a="1"/>
  <c r="H65" i="30" s="1"/>
  <c r="G66" i="30"/>
  <c r="H66" i="30" s="1" a="1"/>
  <c r="H66" i="30" s="1"/>
  <c r="G33" i="24"/>
  <c r="H33" i="24" s="1" a="1"/>
  <c r="H33" i="24" s="1"/>
  <c r="E37" i="24"/>
  <c r="G37" i="24" s="1"/>
  <c r="H37" i="24" s="1" a="1"/>
  <c r="H37" i="24" s="1"/>
  <c r="G21" i="24"/>
  <c r="H21" i="24" s="1" a="1"/>
  <c r="H21" i="24" s="1"/>
  <c r="E39" i="24"/>
  <c r="G39" i="24" s="1"/>
  <c r="H39" i="24" s="1" a="1"/>
  <c r="H39" i="24" s="1"/>
  <c r="E41" i="24"/>
  <c r="G41" i="24" s="1"/>
  <c r="H41" i="24" s="1" a="1"/>
  <c r="H41" i="24" s="1"/>
  <c r="G44" i="21"/>
  <c r="H44" i="21" s="1" a="1"/>
  <c r="H44" i="21" s="1"/>
  <c r="G47" i="21"/>
  <c r="H47" i="21" s="1" a="1"/>
  <c r="H47" i="21" s="1"/>
  <c r="G26" i="21"/>
  <c r="H26" i="21" s="1" a="1"/>
  <c r="H26" i="21" s="1"/>
  <c r="G43" i="21"/>
  <c r="H43" i="21" s="1" a="1"/>
  <c r="H43" i="21" s="1"/>
  <c r="G37" i="21"/>
  <c r="H37" i="21" s="1" a="1"/>
  <c r="H37" i="21" s="1"/>
  <c r="G42" i="21"/>
  <c r="H42" i="21" s="1" a="1"/>
  <c r="H42" i="21" s="1"/>
  <c r="G57" i="21"/>
  <c r="H57" i="21" s="1" a="1"/>
  <c r="H57" i="21" s="1"/>
  <c r="G28" i="21"/>
  <c r="H28" i="21" s="1" a="1"/>
  <c r="H28" i="21" s="1"/>
  <c r="G30" i="21"/>
  <c r="H30" i="21" s="1" a="1"/>
  <c r="H30" i="21" s="1"/>
  <c r="G22" i="21"/>
  <c r="H22" i="21" s="1" a="1"/>
  <c r="H22" i="21" s="1"/>
  <c r="G38" i="21"/>
  <c r="H38" i="21" s="1" a="1"/>
  <c r="H38" i="21" s="1"/>
  <c r="G63" i="21"/>
  <c r="H63" i="21" s="1" a="1"/>
  <c r="H63" i="21" s="1"/>
  <c r="G59" i="21"/>
  <c r="H59" i="21" s="1" a="1"/>
  <c r="H59" i="21" s="1"/>
  <c r="G62" i="21"/>
  <c r="H62" i="21" s="1" a="1"/>
  <c r="H62" i="21" s="1"/>
  <c r="G65" i="21"/>
  <c r="H65" i="21" s="1" a="1"/>
  <c r="H65" i="21" s="1"/>
  <c r="G24" i="21"/>
  <c r="H24" i="21" s="1" a="1"/>
  <c r="H24" i="21" s="1"/>
  <c r="G35" i="21"/>
  <c r="H35" i="21" s="1" a="1"/>
  <c r="H35" i="21" s="1"/>
  <c r="G27" i="21"/>
  <c r="H27" i="21" s="1" a="1"/>
  <c r="H27" i="21" s="1"/>
  <c r="G45" i="21"/>
  <c r="H45" i="21" s="1" a="1"/>
  <c r="H45" i="21" s="1"/>
  <c r="G21" i="21"/>
  <c r="H21" i="21" s="1" a="1"/>
  <c r="H21" i="21" s="1"/>
  <c r="G49" i="21"/>
  <c r="H49" i="21" s="1" a="1"/>
  <c r="H49" i="21" s="1"/>
  <c r="G64" i="21"/>
  <c r="H64" i="21" s="1" a="1"/>
  <c r="H64" i="21" s="1"/>
  <c r="E20" i="26"/>
  <c r="G20" i="26" s="1"/>
  <c r="H20" i="26" s="1" a="1"/>
  <c r="H20" i="26" s="1"/>
  <c r="E46" i="21"/>
  <c r="G46" i="21" s="1"/>
  <c r="H46" i="21" s="1" a="1"/>
  <c r="H46" i="21" s="1"/>
  <c r="E53" i="26"/>
  <c r="G53" i="26" s="1"/>
  <c r="H53" i="26" s="1" a="1"/>
  <c r="H53" i="26" s="1"/>
  <c r="E39" i="21"/>
  <c r="G39" i="21" s="1"/>
  <c r="H39" i="21" s="1" a="1"/>
  <c r="H39" i="21" s="1"/>
  <c r="E50" i="21"/>
  <c r="G50" i="21" s="1"/>
  <c r="H50" i="21" s="1" a="1"/>
  <c r="H50" i="21" s="1"/>
  <c r="E53" i="21"/>
  <c r="G53" i="21" s="1"/>
  <c r="H53" i="21" s="1" a="1"/>
  <c r="H53" i="21" s="1"/>
  <c r="E23" i="21"/>
  <c r="G23" i="21" s="1"/>
  <c r="H23" i="21" s="1" a="1"/>
  <c r="H23" i="21" s="1"/>
  <c r="G38" i="28"/>
  <c r="H38" i="28" s="1" a="1"/>
  <c r="H38" i="28" s="1"/>
  <c r="E48" i="21"/>
  <c r="G48" i="21" s="1"/>
  <c r="H48" i="21" s="1" a="1"/>
  <c r="H48" i="21" s="1"/>
  <c r="E25" i="21"/>
  <c r="G25" i="21" s="1"/>
  <c r="H25" i="21" s="1" a="1"/>
  <c r="H25" i="21" s="1"/>
  <c r="D68" i="32"/>
  <c r="D53" i="32"/>
  <c r="D44" i="32"/>
  <c r="D83" i="32"/>
  <c r="D17" i="32"/>
  <c r="D8" i="32"/>
  <c r="D67" i="32"/>
  <c r="E48" i="26"/>
  <c r="G48" i="26" s="1"/>
  <c r="H48" i="26" s="1" a="1"/>
  <c r="H48" i="26" s="1"/>
  <c r="E52" i="21"/>
  <c r="G52" i="21" s="1"/>
  <c r="H52" i="21" s="1" a="1"/>
  <c r="H52" i="21" s="1"/>
  <c r="E38" i="24"/>
  <c r="G38" i="24" s="1"/>
  <c r="H38" i="24" s="1" a="1"/>
  <c r="H38" i="24" s="1"/>
  <c r="E18" i="28"/>
  <c r="G18" i="28" s="1"/>
  <c r="H18" i="28" s="1" a="1"/>
  <c r="H18" i="28" s="1"/>
  <c r="E54" i="21"/>
  <c r="G54" i="21" s="1"/>
  <c r="H54" i="21" s="1" a="1"/>
  <c r="H54" i="21" s="1"/>
  <c r="E39" i="26"/>
  <c r="G39" i="26" s="1"/>
  <c r="H39" i="26" s="1" a="1"/>
  <c r="H39" i="26" s="1"/>
  <c r="E56" i="21"/>
  <c r="G56" i="21" s="1"/>
  <c r="H56" i="21" s="1" a="1"/>
  <c r="H56" i="21" s="1"/>
  <c r="E19" i="21"/>
  <c r="G19" i="21" s="1"/>
  <c r="H19" i="21" s="1" a="1"/>
  <c r="H19" i="21" s="1"/>
  <c r="E58" i="24"/>
  <c r="G58" i="24" s="1"/>
  <c r="H58" i="24" s="1" a="1"/>
  <c r="H58" i="24" s="1"/>
  <c r="E34" i="21"/>
  <c r="G34" i="21" s="1"/>
  <c r="H34" i="21" s="1" a="1"/>
  <c r="H34" i="21" s="1"/>
  <c r="E41" i="21"/>
  <c r="G41" i="21" s="1"/>
  <c r="H41" i="21" s="1" a="1"/>
  <c r="H41" i="21" s="1"/>
  <c r="E22" i="26"/>
  <c r="G22" i="26" s="1"/>
  <c r="H22" i="26" s="1" a="1"/>
  <c r="H22" i="26" s="1"/>
  <c r="E46" i="26"/>
  <c r="G46" i="26" s="1"/>
  <c r="H46" i="26" s="1" a="1"/>
  <c r="H46" i="26" s="1"/>
  <c r="E47" i="26"/>
  <c r="G47" i="26" s="1"/>
  <c r="H47" i="26" s="1" a="1"/>
  <c r="H47" i="26" s="1"/>
  <c r="E44" i="26"/>
  <c r="G44" i="26" s="1"/>
  <c r="H44" i="26" s="1" a="1"/>
  <c r="H44" i="26" s="1"/>
  <c r="E45" i="24"/>
  <c r="G45" i="24" s="1"/>
  <c r="H45" i="24" s="1" a="1"/>
  <c r="H45" i="24" s="1"/>
  <c r="E18" i="24"/>
  <c r="G18" i="24" s="1"/>
  <c r="H18" i="24" s="1" a="1"/>
  <c r="H18" i="24" s="1"/>
  <c r="E52" i="24"/>
  <c r="G52" i="24" s="1"/>
  <c r="H52" i="24" s="1" a="1"/>
  <c r="H52" i="24" s="1"/>
  <c r="E54" i="24"/>
  <c r="G54" i="24" s="1"/>
  <c r="H54" i="24" s="1" a="1"/>
  <c r="H54" i="24" s="1"/>
  <c r="E64" i="24"/>
  <c r="G64" i="24" s="1"/>
  <c r="H64" i="24" s="1" a="1"/>
  <c r="H64" i="24" s="1"/>
  <c r="E17" i="21"/>
  <c r="E17" i="24"/>
  <c r="G17" i="24" s="1"/>
  <c r="H17" i="24" s="1" a="1"/>
  <c r="H17" i="24" s="1"/>
  <c r="E31" i="21"/>
  <c r="G31" i="21" s="1"/>
  <c r="H31" i="21" s="1" a="1"/>
  <c r="H31" i="21" s="1"/>
  <c r="E18" i="21"/>
  <c r="G18" i="21" s="1"/>
  <c r="H18" i="21" s="1" a="1"/>
  <c r="H18" i="21" s="1"/>
  <c r="E20" i="28"/>
  <c r="E47" i="24"/>
  <c r="E66" i="21"/>
  <c r="G66" i="21" s="1"/>
  <c r="H66" i="21" s="1" a="1"/>
  <c r="H66" i="21" s="1"/>
  <c r="E51" i="21"/>
  <c r="G51" i="21" s="1"/>
  <c r="H51" i="21" s="1" a="1"/>
  <c r="H51" i="21" s="1"/>
  <c r="E55" i="21"/>
  <c r="G55" i="21" s="1"/>
  <c r="H55" i="21" s="1" a="1"/>
  <c r="H55" i="21" s="1"/>
  <c r="E46" i="28"/>
  <c r="G46" i="28" s="1"/>
  <c r="H46" i="28" s="1" a="1"/>
  <c r="H46" i="28" s="1"/>
  <c r="E19" i="24"/>
  <c r="G19" i="24" s="1"/>
  <c r="H19" i="24" s="1" a="1"/>
  <c r="H19" i="24" s="1"/>
  <c r="E27" i="24"/>
  <c r="G27" i="24" s="1"/>
  <c r="H27" i="24" s="1" a="1"/>
  <c r="H27" i="24" s="1"/>
  <c r="E34" i="24"/>
  <c r="G34" i="24" s="1"/>
  <c r="H34" i="24" s="1" a="1"/>
  <c r="H34" i="24" s="1"/>
  <c r="E20" i="24"/>
  <c r="G20" i="24" s="1"/>
  <c r="H20" i="24" s="1" a="1"/>
  <c r="H20" i="24" s="1"/>
  <c r="E22" i="24"/>
  <c r="G22" i="24" s="1"/>
  <c r="H22" i="24" s="1" a="1"/>
  <c r="H22" i="24" s="1"/>
  <c r="E44" i="24"/>
  <c r="G44" i="24" s="1"/>
  <c r="H44" i="24" s="1" a="1"/>
  <c r="H44" i="24" s="1"/>
  <c r="E28" i="24"/>
  <c r="G28" i="24" s="1"/>
  <c r="H28" i="24" s="1" a="1"/>
  <c r="H28" i="24" s="1"/>
  <c r="E32" i="24"/>
  <c r="G32" i="24" s="1"/>
  <c r="H32" i="24" s="1" a="1"/>
  <c r="H32" i="24" s="1"/>
  <c r="A17" i="1"/>
  <c r="A18" i="1"/>
  <c r="A19" i="1"/>
  <c r="A20" i="1"/>
  <c r="A21" i="1"/>
  <c r="A22" i="1"/>
  <c r="A23" i="1"/>
  <c r="A24" i="1"/>
  <c r="A25" i="1"/>
  <c r="A26" i="1"/>
  <c r="A56" i="1"/>
  <c r="A31" i="1"/>
  <c r="A64" i="1"/>
  <c r="A28" i="1"/>
  <c r="A29" i="1"/>
  <c r="A33" i="1"/>
  <c r="A35" i="1"/>
  <c r="A37" i="1"/>
  <c r="A40" i="1"/>
  <c r="A45" i="1"/>
  <c r="A48" i="1"/>
  <c r="A49" i="1"/>
  <c r="A51" i="1"/>
  <c r="A55" i="1"/>
  <c r="A59" i="1"/>
  <c r="A61" i="1"/>
  <c r="A63" i="1"/>
  <c r="A65" i="1"/>
  <c r="A66" i="1"/>
  <c r="A54" i="1"/>
  <c r="A27" i="1"/>
  <c r="A30" i="1"/>
  <c r="A39" i="1"/>
  <c r="A43" i="1"/>
  <c r="A46" i="1"/>
  <c r="A47" i="1"/>
  <c r="A50" i="1"/>
  <c r="A52" i="1"/>
  <c r="A53" i="1"/>
  <c r="A57" i="1"/>
  <c r="A58" i="1"/>
  <c r="A60" i="1"/>
  <c r="A62" i="1"/>
  <c r="A44" i="1"/>
  <c r="A38" i="1"/>
  <c r="A41" i="1"/>
  <c r="A42" i="1"/>
  <c r="A34" i="1"/>
  <c r="A32" i="1"/>
  <c r="A36" i="1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7" i="27"/>
  <c r="A38" i="27"/>
  <c r="A39" i="27"/>
  <c r="A40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65" i="27"/>
  <c r="A66" i="27"/>
  <c r="A17" i="23"/>
  <c r="A21" i="23"/>
  <c r="A22" i="23"/>
  <c r="A25" i="23"/>
  <c r="A28" i="23"/>
  <c r="A31" i="23"/>
  <c r="A33" i="23"/>
  <c r="A34" i="23"/>
  <c r="A37" i="23"/>
  <c r="A43" i="23"/>
  <c r="A44" i="23"/>
  <c r="A46" i="23"/>
  <c r="A49" i="23"/>
  <c r="A50" i="23"/>
  <c r="A53" i="23"/>
  <c r="A65" i="23"/>
  <c r="A20" i="23"/>
  <c r="A30" i="23"/>
  <c r="A54" i="23"/>
  <c r="A57" i="23"/>
  <c r="A58" i="23"/>
  <c r="A60" i="23"/>
  <c r="A36" i="23"/>
  <c r="A41" i="23"/>
  <c r="A55" i="23"/>
  <c r="A62" i="23"/>
  <c r="A19" i="23"/>
  <c r="A23" i="23"/>
  <c r="A29" i="23"/>
  <c r="A32" i="23"/>
  <c r="A35" i="23"/>
  <c r="A39" i="23"/>
  <c r="A42" i="23"/>
  <c r="A47" i="23"/>
  <c r="A52" i="23"/>
  <c r="A61" i="23"/>
  <c r="A26" i="23"/>
  <c r="A38" i="23"/>
  <c r="A45" i="23"/>
  <c r="A48" i="23"/>
  <c r="A59" i="23"/>
  <c r="A18" i="23"/>
  <c r="A24" i="23"/>
  <c r="A27" i="23"/>
  <c r="A40" i="23"/>
  <c r="A51" i="23"/>
  <c r="A56" i="23"/>
  <c r="A63" i="23"/>
  <c r="A64" i="23"/>
  <c r="A66" i="23"/>
  <c r="A24" i="25"/>
  <c r="A35" i="25"/>
  <c r="A56" i="25"/>
  <c r="A41" i="25"/>
  <c r="A45" i="25"/>
  <c r="A17" i="25"/>
  <c r="A18" i="25"/>
  <c r="A20" i="25"/>
  <c r="A32" i="25"/>
  <c r="A51" i="25"/>
  <c r="A58" i="25"/>
  <c r="A66" i="25"/>
  <c r="A26" i="25"/>
  <c r="A39" i="25"/>
  <c r="A42" i="25"/>
  <c r="A49" i="25"/>
  <c r="A54" i="25"/>
  <c r="A55" i="25"/>
  <c r="A59" i="25"/>
  <c r="A62" i="25"/>
  <c r="A65" i="25"/>
  <c r="A19" i="25"/>
  <c r="A21" i="25"/>
  <c r="A22" i="25"/>
  <c r="A23" i="25"/>
  <c r="A25" i="25"/>
  <c r="A27" i="25"/>
  <c r="A28" i="25"/>
  <c r="A29" i="25"/>
  <c r="A30" i="25"/>
  <c r="A31" i="25"/>
  <c r="A33" i="25"/>
  <c r="A34" i="25"/>
  <c r="A36" i="25"/>
  <c r="A37" i="25"/>
  <c r="A38" i="25"/>
  <c r="A40" i="25"/>
  <c r="A43" i="25"/>
  <c r="A44" i="25"/>
  <c r="A46" i="25"/>
  <c r="A47" i="25"/>
  <c r="A48" i="25"/>
  <c r="A50" i="25"/>
  <c r="A52" i="25"/>
  <c r="A53" i="25"/>
  <c r="A57" i="25"/>
  <c r="A60" i="25"/>
  <c r="A61" i="25"/>
  <c r="A63" i="25"/>
  <c r="A64" i="25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59" i="29"/>
  <c r="A60" i="29"/>
  <c r="A61" i="29"/>
  <c r="A62" i="29"/>
  <c r="A63" i="29"/>
  <c r="A64" i="29"/>
  <c r="A65" i="29"/>
  <c r="A66" i="29"/>
  <c r="A45" i="29"/>
  <c r="A46" i="29"/>
  <c r="A47" i="29"/>
  <c r="A48" i="29"/>
  <c r="A49" i="29"/>
  <c r="A50" i="29"/>
  <c r="A51" i="29"/>
  <c r="A52" i="29"/>
  <c r="A53" i="29"/>
  <c r="A54" i="29"/>
  <c r="A55" i="29"/>
  <c r="A56" i="29"/>
  <c r="A57" i="29"/>
  <c r="A58" i="29"/>
  <c r="G17" i="28"/>
  <c r="H17" i="28" s="1" a="1"/>
  <c r="H17" i="28" s="1"/>
  <c r="G17" i="30"/>
  <c r="H17" i="30" s="1" a="1"/>
  <c r="H17" i="30" s="1"/>
  <c r="E68" i="30"/>
  <c r="E17" i="26"/>
  <c r="B33" i="36" l="1" a="1"/>
  <c r="B33" i="36" s="1"/>
  <c r="B5" i="36"/>
  <c r="B7" i="36" s="1" a="1"/>
  <c r="B7" i="36" s="1"/>
  <c r="E68" i="21"/>
  <c r="G17" i="21"/>
  <c r="H17" i="21" s="1" a="1"/>
  <c r="H17" i="21" s="1"/>
  <c r="G20" i="28"/>
  <c r="E68" i="28"/>
  <c r="G47" i="24"/>
  <c r="E68" i="24"/>
  <c r="B17" i="1"/>
  <c r="C17" i="1"/>
  <c r="D17" i="1"/>
  <c r="E17" i="1" s="1"/>
  <c r="F17" i="1"/>
  <c r="B18" i="1"/>
  <c r="C18" i="1"/>
  <c r="D18" i="1"/>
  <c r="E18" i="1" s="1"/>
  <c r="F18" i="1"/>
  <c r="B19" i="1"/>
  <c r="C19" i="1"/>
  <c r="D19" i="1"/>
  <c r="E19" i="1" s="1"/>
  <c r="F19" i="1"/>
  <c r="B20" i="1"/>
  <c r="D20" i="1" s="1"/>
  <c r="C20" i="1"/>
  <c r="F20" i="1"/>
  <c r="B21" i="1"/>
  <c r="D21" i="1" s="1"/>
  <c r="C21" i="1"/>
  <c r="F21" i="1"/>
  <c r="B22" i="1"/>
  <c r="C22" i="1"/>
  <c r="D22" i="1"/>
  <c r="E22" i="1" s="1"/>
  <c r="F22" i="1"/>
  <c r="B23" i="1"/>
  <c r="D23" i="1" s="1"/>
  <c r="C23" i="1"/>
  <c r="F23" i="1"/>
  <c r="B24" i="1"/>
  <c r="D24" i="1" s="1"/>
  <c r="C24" i="1"/>
  <c r="F24" i="1"/>
  <c r="B25" i="1"/>
  <c r="D25" i="1" s="1"/>
  <c r="C25" i="1"/>
  <c r="F25" i="1"/>
  <c r="B26" i="1"/>
  <c r="D26" i="1" s="1"/>
  <c r="C26" i="1"/>
  <c r="F26" i="1"/>
  <c r="G56" i="1"/>
  <c r="H56" i="1" s="1" a="1"/>
  <c r="H56" i="1" s="1"/>
  <c r="B56" i="1"/>
  <c r="C56" i="1"/>
  <c r="F56" i="1"/>
  <c r="D56" i="1"/>
  <c r="E56" i="1"/>
  <c r="F31" i="1"/>
  <c r="B31" i="1"/>
  <c r="D31" i="1" s="1"/>
  <c r="C31" i="1"/>
  <c r="D64" i="1"/>
  <c r="C64" i="1"/>
  <c r="E64" i="1"/>
  <c r="G64" i="1"/>
  <c r="H64" i="1" s="1" a="1"/>
  <c r="H64" i="1" s="1"/>
  <c r="B64" i="1"/>
  <c r="F64" i="1"/>
  <c r="F28" i="1"/>
  <c r="B28" i="1"/>
  <c r="D28" i="1" s="1"/>
  <c r="C28" i="1"/>
  <c r="C29" i="1"/>
  <c r="B29" i="1"/>
  <c r="D29" i="1" s="1"/>
  <c r="F29" i="1"/>
  <c r="C33" i="1"/>
  <c r="B33" i="1"/>
  <c r="D33" i="1" s="1"/>
  <c r="F33" i="1"/>
  <c r="C35" i="1"/>
  <c r="F35" i="1"/>
  <c r="B35" i="1"/>
  <c r="D35" i="1" s="1"/>
  <c r="F37" i="1"/>
  <c r="B37" i="1"/>
  <c r="D37" i="1" s="1"/>
  <c r="C37" i="1"/>
  <c r="C40" i="1"/>
  <c r="F40" i="1"/>
  <c r="B40" i="1"/>
  <c r="D40" i="1" s="1"/>
  <c r="F45" i="1"/>
  <c r="B45" i="1"/>
  <c r="D45" i="1"/>
  <c r="C45" i="1"/>
  <c r="C48" i="1"/>
  <c r="B48" i="1"/>
  <c r="D48" i="1" s="1"/>
  <c r="E48" i="1" s="1"/>
  <c r="F48" i="1"/>
  <c r="F49" i="1"/>
  <c r="C49" i="1"/>
  <c r="B49" i="1"/>
  <c r="D49" i="1" s="1"/>
  <c r="B51" i="1"/>
  <c r="D51" i="1"/>
  <c r="F51" i="1"/>
  <c r="C51" i="1"/>
  <c r="C55" i="1"/>
  <c r="E55" i="1"/>
  <c r="B55" i="1"/>
  <c r="F55" i="1"/>
  <c r="D55" i="1"/>
  <c r="G55" i="1"/>
  <c r="H55" i="1" s="1" a="1"/>
  <c r="H55" i="1" s="1"/>
  <c r="C59" i="1"/>
  <c r="F59" i="1"/>
  <c r="B59" i="1"/>
  <c r="D59" i="1"/>
  <c r="E59" i="1"/>
  <c r="G59" i="1"/>
  <c r="H59" i="1" s="1" a="1"/>
  <c r="H59" i="1" s="1"/>
  <c r="D61" i="1"/>
  <c r="F61" i="1"/>
  <c r="G61" i="1"/>
  <c r="H61" i="1" s="1" a="1"/>
  <c r="H61" i="1" s="1"/>
  <c r="C61" i="1"/>
  <c r="B61" i="1"/>
  <c r="E61" i="1"/>
  <c r="C63" i="1"/>
  <c r="B63" i="1"/>
  <c r="F63" i="1"/>
  <c r="G63" i="1"/>
  <c r="H63" i="1" s="1" a="1"/>
  <c r="H63" i="1" s="1"/>
  <c r="D63" i="1"/>
  <c r="E63" i="1"/>
  <c r="B65" i="1"/>
  <c r="E65" i="1"/>
  <c r="C65" i="1"/>
  <c r="D65" i="1"/>
  <c r="G65" i="1"/>
  <c r="H65" i="1" s="1" a="1"/>
  <c r="H65" i="1" s="1"/>
  <c r="F65" i="1"/>
  <c r="G66" i="1"/>
  <c r="H66" i="1" s="1" a="1"/>
  <c r="H66" i="1" s="1"/>
  <c r="E66" i="1"/>
  <c r="C66" i="1"/>
  <c r="F66" i="1"/>
  <c r="B66" i="1"/>
  <c r="D66" i="1"/>
  <c r="B54" i="1"/>
  <c r="F54" i="1"/>
  <c r="G54" i="1"/>
  <c r="H54" i="1" s="1" a="1"/>
  <c r="H54" i="1" s="1"/>
  <c r="C54" i="1"/>
  <c r="D54" i="1"/>
  <c r="E54" i="1"/>
  <c r="C27" i="1"/>
  <c r="B27" i="1"/>
  <c r="D27" i="1" s="1"/>
  <c r="E27" i="1" s="1"/>
  <c r="F27" i="1"/>
  <c r="C30" i="1"/>
  <c r="B30" i="1"/>
  <c r="D30" i="1" s="1"/>
  <c r="F30" i="1"/>
  <c r="B39" i="1"/>
  <c r="D39" i="1" s="1"/>
  <c r="C39" i="1"/>
  <c r="F39" i="1"/>
  <c r="C43" i="1"/>
  <c r="B43" i="1"/>
  <c r="D43" i="1" s="1"/>
  <c r="E43" i="1" s="1"/>
  <c r="F43" i="1"/>
  <c r="F46" i="1"/>
  <c r="C46" i="1"/>
  <c r="B46" i="1"/>
  <c r="D46" i="1" s="1"/>
  <c r="C47" i="1"/>
  <c r="B47" i="1"/>
  <c r="D47" i="1" s="1"/>
  <c r="E47" i="1" s="1"/>
  <c r="F47" i="1"/>
  <c r="F50" i="1"/>
  <c r="B50" i="1"/>
  <c r="D50" i="1" s="1"/>
  <c r="C50" i="1"/>
  <c r="B52" i="1"/>
  <c r="D52" i="1" s="1"/>
  <c r="C52" i="1"/>
  <c r="F52" i="1"/>
  <c r="C53" i="1"/>
  <c r="B53" i="1"/>
  <c r="G53" i="1"/>
  <c r="H53" i="1" s="1" a="1"/>
  <c r="H53" i="1" s="1"/>
  <c r="E53" i="1"/>
  <c r="D53" i="1"/>
  <c r="F53" i="1"/>
  <c r="D57" i="1"/>
  <c r="F57" i="1"/>
  <c r="E57" i="1"/>
  <c r="G57" i="1"/>
  <c r="H57" i="1" s="1" a="1"/>
  <c r="H57" i="1" s="1"/>
  <c r="B57" i="1"/>
  <c r="C57" i="1"/>
  <c r="C58" i="1"/>
  <c r="F58" i="1"/>
  <c r="E58" i="1"/>
  <c r="D58" i="1"/>
  <c r="G58" i="1"/>
  <c r="H58" i="1" s="1" a="1"/>
  <c r="H58" i="1" s="1"/>
  <c r="B58" i="1"/>
  <c r="C60" i="1"/>
  <c r="G60" i="1"/>
  <c r="H60" i="1" s="1" a="1"/>
  <c r="H60" i="1" s="1"/>
  <c r="E60" i="1"/>
  <c r="F60" i="1"/>
  <c r="B60" i="1"/>
  <c r="D60" i="1"/>
  <c r="E62" i="1"/>
  <c r="G62" i="1"/>
  <c r="H62" i="1" s="1" a="1"/>
  <c r="H62" i="1" s="1"/>
  <c r="C62" i="1"/>
  <c r="F62" i="1"/>
  <c r="D62" i="1"/>
  <c r="B62" i="1"/>
  <c r="B44" i="1"/>
  <c r="D44" i="1" s="1"/>
  <c r="C44" i="1"/>
  <c r="F44" i="1"/>
  <c r="F38" i="1"/>
  <c r="B38" i="1"/>
  <c r="C38" i="1"/>
  <c r="D38" i="1"/>
  <c r="F41" i="1"/>
  <c r="C41" i="1"/>
  <c r="B41" i="1"/>
  <c r="D41" i="1" s="1"/>
  <c r="E41" i="1" s="1"/>
  <c r="G41" i="1" s="1"/>
  <c r="H41" i="1" s="1" a="1"/>
  <c r="H41" i="1" s="1"/>
  <c r="F42" i="1"/>
  <c r="C42" i="1"/>
  <c r="B42" i="1"/>
  <c r="D42" i="1" s="1"/>
  <c r="C34" i="1"/>
  <c r="F34" i="1"/>
  <c r="B34" i="1"/>
  <c r="D34" i="1" s="1"/>
  <c r="C32" i="1"/>
  <c r="F32" i="1"/>
  <c r="B32" i="1"/>
  <c r="D32" i="1" s="1"/>
  <c r="C36" i="1"/>
  <c r="B36" i="1"/>
  <c r="D36" i="1" s="1"/>
  <c r="F36" i="1"/>
  <c r="B17" i="27"/>
  <c r="C17" i="27"/>
  <c r="D17" i="27"/>
  <c r="F17" i="27"/>
  <c r="B18" i="27"/>
  <c r="D18" i="27" s="1"/>
  <c r="C18" i="27"/>
  <c r="F18" i="27"/>
  <c r="B19" i="27"/>
  <c r="D19" i="27" s="1"/>
  <c r="C19" i="27"/>
  <c r="F19" i="27"/>
  <c r="B20" i="27"/>
  <c r="D20" i="27" s="1"/>
  <c r="C20" i="27"/>
  <c r="F20" i="27"/>
  <c r="B21" i="27"/>
  <c r="D21" i="27" s="1"/>
  <c r="C21" i="27"/>
  <c r="F21" i="27"/>
  <c r="B22" i="27"/>
  <c r="D22" i="27" s="1"/>
  <c r="C22" i="27"/>
  <c r="F22" i="27"/>
  <c r="B23" i="27"/>
  <c r="D23" i="27" s="1"/>
  <c r="C23" i="27"/>
  <c r="F23" i="27"/>
  <c r="B24" i="27"/>
  <c r="D24" i="27" s="1"/>
  <c r="C24" i="27"/>
  <c r="F24" i="27"/>
  <c r="B25" i="27"/>
  <c r="D25" i="27" s="1"/>
  <c r="C25" i="27"/>
  <c r="F25" i="27"/>
  <c r="B26" i="27"/>
  <c r="D26" i="27" s="1"/>
  <c r="C26" i="27"/>
  <c r="F26" i="27"/>
  <c r="B27" i="27"/>
  <c r="D27" i="27" s="1"/>
  <c r="C27" i="27"/>
  <c r="F27" i="27"/>
  <c r="B28" i="27"/>
  <c r="D28" i="27" s="1"/>
  <c r="C28" i="27"/>
  <c r="F28" i="27"/>
  <c r="B29" i="27"/>
  <c r="D29" i="27" s="1"/>
  <c r="C29" i="27"/>
  <c r="F29" i="27"/>
  <c r="B30" i="27"/>
  <c r="D30" i="27" s="1"/>
  <c r="C30" i="27"/>
  <c r="F30" i="27"/>
  <c r="B31" i="27"/>
  <c r="D31" i="27" s="1"/>
  <c r="C31" i="27"/>
  <c r="F31" i="27"/>
  <c r="B32" i="27"/>
  <c r="D32" i="27" s="1"/>
  <c r="C32" i="27"/>
  <c r="F32" i="27"/>
  <c r="B33" i="27"/>
  <c r="D33" i="27" s="1"/>
  <c r="C33" i="27"/>
  <c r="F33" i="27"/>
  <c r="B34" i="27"/>
  <c r="D34" i="27" s="1"/>
  <c r="C34" i="27"/>
  <c r="F34" i="27"/>
  <c r="B35" i="27"/>
  <c r="D35" i="27" s="1"/>
  <c r="C35" i="27"/>
  <c r="F35" i="27"/>
  <c r="B36" i="27"/>
  <c r="D36" i="27" s="1"/>
  <c r="C36" i="27"/>
  <c r="F36" i="27"/>
  <c r="B37" i="27"/>
  <c r="D37" i="27" s="1"/>
  <c r="C37" i="27"/>
  <c r="F37" i="27"/>
  <c r="B38" i="27"/>
  <c r="D38" i="27" s="1"/>
  <c r="C38" i="27"/>
  <c r="F38" i="27"/>
  <c r="B39" i="27"/>
  <c r="D39" i="27" s="1"/>
  <c r="C39" i="27"/>
  <c r="F39" i="27"/>
  <c r="B40" i="27"/>
  <c r="D40" i="27" s="1"/>
  <c r="C40" i="27"/>
  <c r="F40" i="27"/>
  <c r="B41" i="27"/>
  <c r="D41" i="27" s="1"/>
  <c r="C41" i="27"/>
  <c r="F41" i="27"/>
  <c r="B42" i="27"/>
  <c r="D42" i="27" s="1"/>
  <c r="C42" i="27"/>
  <c r="F42" i="27"/>
  <c r="B43" i="27"/>
  <c r="D43" i="27" s="1"/>
  <c r="C43" i="27"/>
  <c r="F43" i="27"/>
  <c r="B44" i="27"/>
  <c r="C44" i="27"/>
  <c r="D44" i="27"/>
  <c r="E44" i="27" s="1"/>
  <c r="F44" i="27"/>
  <c r="B45" i="27"/>
  <c r="D45" i="27" s="1"/>
  <c r="C45" i="27"/>
  <c r="F45" i="27"/>
  <c r="B46" i="27"/>
  <c r="D46" i="27" s="1"/>
  <c r="C46" i="27"/>
  <c r="F46" i="27"/>
  <c r="B47" i="27"/>
  <c r="D47" i="27" s="1"/>
  <c r="C47" i="27"/>
  <c r="F47" i="27"/>
  <c r="B48" i="27"/>
  <c r="D48" i="27" s="1"/>
  <c r="C48" i="27"/>
  <c r="F48" i="27"/>
  <c r="B49" i="27"/>
  <c r="D49" i="27" s="1"/>
  <c r="C49" i="27"/>
  <c r="F49" i="27"/>
  <c r="B50" i="27"/>
  <c r="D50" i="27" s="1"/>
  <c r="C50" i="27"/>
  <c r="F50" i="27"/>
  <c r="B51" i="27"/>
  <c r="D51" i="27" s="1"/>
  <c r="C51" i="27"/>
  <c r="F51" i="27"/>
  <c r="B52" i="27"/>
  <c r="C52" i="27"/>
  <c r="D52" i="27"/>
  <c r="E52" i="27" s="1"/>
  <c r="F52" i="27"/>
  <c r="B53" i="27"/>
  <c r="C53" i="27"/>
  <c r="D53" i="27"/>
  <c r="E53" i="27"/>
  <c r="F53" i="27"/>
  <c r="G53" i="27"/>
  <c r="H53" i="27" s="1" a="1"/>
  <c r="H53" i="27" s="1"/>
  <c r="B54" i="27"/>
  <c r="C54" i="27"/>
  <c r="D54" i="27"/>
  <c r="E54" i="27"/>
  <c r="F54" i="27"/>
  <c r="G54" i="27"/>
  <c r="H54" i="27" s="1" a="1"/>
  <c r="H54" i="27" s="1"/>
  <c r="B55" i="27"/>
  <c r="C55" i="27"/>
  <c r="D55" i="27"/>
  <c r="E55" i="27"/>
  <c r="F55" i="27"/>
  <c r="G55" i="27"/>
  <c r="H55" i="27" s="1" a="1"/>
  <c r="H55" i="27" s="1"/>
  <c r="B56" i="27"/>
  <c r="C56" i="27"/>
  <c r="D56" i="27"/>
  <c r="E56" i="27"/>
  <c r="F56" i="27"/>
  <c r="G56" i="27"/>
  <c r="H56" i="27" s="1" a="1"/>
  <c r="H56" i="27" s="1"/>
  <c r="B57" i="27"/>
  <c r="C57" i="27"/>
  <c r="D57" i="27"/>
  <c r="E57" i="27"/>
  <c r="F57" i="27"/>
  <c r="G57" i="27"/>
  <c r="H57" i="27" s="1" a="1"/>
  <c r="H57" i="27" s="1"/>
  <c r="B58" i="27"/>
  <c r="C58" i="27"/>
  <c r="D58" i="27"/>
  <c r="E58" i="27"/>
  <c r="F58" i="27"/>
  <c r="G58" i="27"/>
  <c r="H58" i="27" s="1" a="1"/>
  <c r="H58" i="27" s="1"/>
  <c r="B59" i="27"/>
  <c r="C59" i="27"/>
  <c r="D59" i="27"/>
  <c r="E59" i="27"/>
  <c r="F59" i="27"/>
  <c r="G59" i="27"/>
  <c r="H59" i="27" s="1" a="1"/>
  <c r="H59" i="27" s="1"/>
  <c r="B60" i="27"/>
  <c r="C60" i="27"/>
  <c r="D60" i="27"/>
  <c r="E60" i="27"/>
  <c r="F60" i="27"/>
  <c r="G60" i="27"/>
  <c r="H60" i="27" s="1" a="1"/>
  <c r="H60" i="27" s="1"/>
  <c r="B61" i="27"/>
  <c r="C61" i="27"/>
  <c r="D61" i="27"/>
  <c r="E61" i="27"/>
  <c r="F61" i="27"/>
  <c r="G61" i="27"/>
  <c r="H61" i="27" s="1" a="1"/>
  <c r="H61" i="27" s="1"/>
  <c r="B62" i="27"/>
  <c r="C62" i="27"/>
  <c r="D62" i="27"/>
  <c r="E62" i="27"/>
  <c r="F62" i="27"/>
  <c r="G62" i="27"/>
  <c r="H62" i="27" s="1" a="1"/>
  <c r="H62" i="27" s="1"/>
  <c r="B63" i="27"/>
  <c r="C63" i="27"/>
  <c r="D63" i="27"/>
  <c r="E63" i="27"/>
  <c r="F63" i="27"/>
  <c r="G63" i="27"/>
  <c r="H63" i="27" s="1" a="1"/>
  <c r="H63" i="27" s="1"/>
  <c r="B64" i="27"/>
  <c r="C64" i="27"/>
  <c r="D64" i="27"/>
  <c r="E64" i="27"/>
  <c r="F64" i="27"/>
  <c r="G64" i="27"/>
  <c r="H64" i="27" s="1" a="1"/>
  <c r="H64" i="27" s="1"/>
  <c r="B65" i="27"/>
  <c r="C65" i="27"/>
  <c r="D65" i="27"/>
  <c r="E65" i="27"/>
  <c r="F65" i="27"/>
  <c r="G65" i="27"/>
  <c r="H65" i="27" s="1" a="1"/>
  <c r="H65" i="27" s="1"/>
  <c r="B66" i="27"/>
  <c r="C66" i="27"/>
  <c r="D66" i="27"/>
  <c r="E66" i="27"/>
  <c r="F66" i="27"/>
  <c r="G66" i="27"/>
  <c r="H66" i="27" s="1" a="1"/>
  <c r="H66" i="27" s="1"/>
  <c r="F17" i="23"/>
  <c r="B17" i="23"/>
  <c r="D17" i="23" s="1"/>
  <c r="C17" i="23"/>
  <c r="F21" i="23"/>
  <c r="C21" i="23"/>
  <c r="B21" i="23"/>
  <c r="D21" i="23" s="1"/>
  <c r="C22" i="23"/>
  <c r="B22" i="23"/>
  <c r="D22" i="23" s="1"/>
  <c r="E22" i="23" s="1"/>
  <c r="F22" i="23"/>
  <c r="C25" i="23"/>
  <c r="B25" i="23"/>
  <c r="D25" i="23" s="1"/>
  <c r="F25" i="23"/>
  <c r="F28" i="23"/>
  <c r="B28" i="23"/>
  <c r="C28" i="23"/>
  <c r="D28" i="23"/>
  <c r="C31" i="23"/>
  <c r="B31" i="23"/>
  <c r="D31" i="23" s="1"/>
  <c r="F31" i="23"/>
  <c r="B33" i="23"/>
  <c r="D33" i="23" s="1"/>
  <c r="F33" i="23"/>
  <c r="C33" i="23"/>
  <c r="B34" i="23"/>
  <c r="D34" i="23" s="1"/>
  <c r="F34" i="23"/>
  <c r="C34" i="23"/>
  <c r="F37" i="23"/>
  <c r="C37" i="23"/>
  <c r="B37" i="23"/>
  <c r="D37" i="23" s="1"/>
  <c r="F43" i="23"/>
  <c r="B43" i="23"/>
  <c r="D43" i="23" s="1"/>
  <c r="C43" i="23"/>
  <c r="C44" i="23"/>
  <c r="F44" i="23"/>
  <c r="B44" i="23"/>
  <c r="D44" i="23" s="1"/>
  <c r="B46" i="23"/>
  <c r="D46" i="23" s="1"/>
  <c r="C46" i="23"/>
  <c r="F46" i="23"/>
  <c r="C49" i="23"/>
  <c r="B49" i="23"/>
  <c r="D49" i="23" s="1"/>
  <c r="E49" i="23" s="1"/>
  <c r="F49" i="23"/>
  <c r="C50" i="23"/>
  <c r="F50" i="23"/>
  <c r="B50" i="23"/>
  <c r="D50" i="23"/>
  <c r="E50" i="23" s="1"/>
  <c r="G50" i="23" s="1"/>
  <c r="H50" i="23" s="1" a="1"/>
  <c r="H50" i="23" s="1"/>
  <c r="C53" i="23"/>
  <c r="F53" i="23"/>
  <c r="B53" i="23"/>
  <c r="E53" i="23"/>
  <c r="G53" i="23"/>
  <c r="H53" i="23" s="1" a="1"/>
  <c r="H53" i="23" s="1"/>
  <c r="D53" i="23"/>
  <c r="C65" i="23"/>
  <c r="F65" i="23"/>
  <c r="B65" i="23"/>
  <c r="E65" i="23"/>
  <c r="G65" i="23"/>
  <c r="H65" i="23" s="1" a="1"/>
  <c r="H65" i="23" s="1"/>
  <c r="D65" i="23"/>
  <c r="C20" i="23"/>
  <c r="B20" i="23"/>
  <c r="D20" i="23" s="1"/>
  <c r="F20" i="23"/>
  <c r="C30" i="23"/>
  <c r="B30" i="23"/>
  <c r="D30" i="23" s="1"/>
  <c r="F30" i="23"/>
  <c r="C54" i="23"/>
  <c r="E54" i="23"/>
  <c r="B54" i="23"/>
  <c r="D54" i="23"/>
  <c r="F54" i="23"/>
  <c r="G54" i="23"/>
  <c r="H54" i="23" s="1" a="1"/>
  <c r="H54" i="23" s="1"/>
  <c r="C57" i="23"/>
  <c r="F57" i="23"/>
  <c r="E57" i="23"/>
  <c r="G57" i="23"/>
  <c r="H57" i="23" s="1" a="1"/>
  <c r="H57" i="23" s="1"/>
  <c r="B57" i="23"/>
  <c r="D57" i="23"/>
  <c r="G58" i="23"/>
  <c r="H58" i="23" s="1" a="1"/>
  <c r="H58" i="23" s="1"/>
  <c r="C58" i="23"/>
  <c r="D58" i="23"/>
  <c r="F58" i="23"/>
  <c r="B58" i="23"/>
  <c r="E58" i="23"/>
  <c r="C60" i="23"/>
  <c r="F60" i="23"/>
  <c r="B60" i="23"/>
  <c r="D60" i="23"/>
  <c r="E60" i="23"/>
  <c r="G60" i="23"/>
  <c r="H60" i="23" s="1" a="1"/>
  <c r="H60" i="23" s="1"/>
  <c r="C36" i="23"/>
  <c r="B36" i="23"/>
  <c r="D36" i="23" s="1"/>
  <c r="E36" i="23" s="1"/>
  <c r="F36" i="23"/>
  <c r="C41" i="23"/>
  <c r="F41" i="23"/>
  <c r="B41" i="23"/>
  <c r="D41" i="23" s="1"/>
  <c r="E55" i="23"/>
  <c r="C55" i="23"/>
  <c r="D55" i="23"/>
  <c r="B55" i="23"/>
  <c r="F55" i="23"/>
  <c r="G55" i="23"/>
  <c r="H55" i="23" s="1" a="1"/>
  <c r="H55" i="23" s="1"/>
  <c r="B62" i="23"/>
  <c r="E62" i="23"/>
  <c r="C62" i="23"/>
  <c r="D62" i="23"/>
  <c r="F62" i="23"/>
  <c r="G62" i="23"/>
  <c r="H62" i="23" s="1" a="1"/>
  <c r="H62" i="23" s="1"/>
  <c r="C19" i="23"/>
  <c r="F19" i="23"/>
  <c r="B19" i="23"/>
  <c r="D19" i="23" s="1"/>
  <c r="E19" i="23" s="1"/>
  <c r="G19" i="23" s="1"/>
  <c r="H19" i="23" s="1" a="1"/>
  <c r="H19" i="23" s="1"/>
  <c r="C23" i="23"/>
  <c r="B23" i="23"/>
  <c r="D23" i="23" s="1"/>
  <c r="F23" i="23"/>
  <c r="F29" i="23"/>
  <c r="C29" i="23"/>
  <c r="B29" i="23"/>
  <c r="D29" i="23" s="1"/>
  <c r="E29" i="23" s="1"/>
  <c r="B32" i="23"/>
  <c r="F32" i="23"/>
  <c r="C32" i="23"/>
  <c r="D32" i="23"/>
  <c r="B35" i="23"/>
  <c r="D35" i="23"/>
  <c r="C35" i="23"/>
  <c r="F35" i="23"/>
  <c r="B39" i="23"/>
  <c r="D39" i="23" s="1"/>
  <c r="F39" i="23"/>
  <c r="C39" i="23"/>
  <c r="B42" i="23"/>
  <c r="D42" i="23" s="1"/>
  <c r="C42" i="23"/>
  <c r="F42" i="23"/>
  <c r="F47" i="23"/>
  <c r="B47" i="23"/>
  <c r="D47" i="23" s="1"/>
  <c r="C47" i="23"/>
  <c r="C52" i="23"/>
  <c r="B52" i="23"/>
  <c r="D52" i="23"/>
  <c r="E52" i="23" s="1"/>
  <c r="F52" i="23"/>
  <c r="B61" i="23"/>
  <c r="G61" i="23"/>
  <c r="H61" i="23" s="1" a="1"/>
  <c r="H61" i="23" s="1"/>
  <c r="C61" i="23"/>
  <c r="D61" i="23"/>
  <c r="F61" i="23"/>
  <c r="E61" i="23"/>
  <c r="B26" i="23"/>
  <c r="D26" i="23"/>
  <c r="C26" i="23"/>
  <c r="F26" i="23"/>
  <c r="B38" i="23"/>
  <c r="D38" i="23" s="1"/>
  <c r="F38" i="23"/>
  <c r="C38" i="23"/>
  <c r="B45" i="23"/>
  <c r="D45" i="23" s="1"/>
  <c r="F45" i="23"/>
  <c r="C45" i="23"/>
  <c r="B48" i="23"/>
  <c r="D48" i="23"/>
  <c r="F48" i="23"/>
  <c r="C48" i="23"/>
  <c r="B59" i="23"/>
  <c r="D59" i="23"/>
  <c r="C59" i="23"/>
  <c r="E59" i="23"/>
  <c r="F59" i="23"/>
  <c r="G59" i="23"/>
  <c r="H59" i="23" s="1" a="1"/>
  <c r="H59" i="23" s="1"/>
  <c r="B18" i="23"/>
  <c r="D18" i="23" s="1"/>
  <c r="C18" i="23"/>
  <c r="F18" i="23"/>
  <c r="C24" i="23"/>
  <c r="B24" i="23"/>
  <c r="D24" i="23" s="1"/>
  <c r="E24" i="23" s="1"/>
  <c r="F24" i="23"/>
  <c r="C27" i="23"/>
  <c r="F27" i="23"/>
  <c r="B27" i="23"/>
  <c r="D27" i="23" s="1"/>
  <c r="C40" i="23"/>
  <c r="F40" i="23"/>
  <c r="B40" i="23"/>
  <c r="D40" i="23" s="1"/>
  <c r="E40" i="23" s="1"/>
  <c r="G40" i="23" s="1"/>
  <c r="H40" i="23" s="1" a="1"/>
  <c r="H40" i="23" s="1"/>
  <c r="B51" i="23"/>
  <c r="D51" i="23" s="1"/>
  <c r="C51" i="23"/>
  <c r="F51" i="23"/>
  <c r="D56" i="23"/>
  <c r="E56" i="23"/>
  <c r="B56" i="23"/>
  <c r="F56" i="23"/>
  <c r="G56" i="23"/>
  <c r="H56" i="23" s="1" a="1"/>
  <c r="H56" i="23" s="1"/>
  <c r="C56" i="23"/>
  <c r="D63" i="23"/>
  <c r="C63" i="23"/>
  <c r="E63" i="23"/>
  <c r="G63" i="23"/>
  <c r="H63" i="23" s="1" a="1"/>
  <c r="H63" i="23" s="1"/>
  <c r="F63" i="23"/>
  <c r="B63" i="23"/>
  <c r="G64" i="23"/>
  <c r="H64" i="23" s="1" a="1"/>
  <c r="H64" i="23" s="1"/>
  <c r="C64" i="23"/>
  <c r="F64" i="23"/>
  <c r="D64" i="23"/>
  <c r="B64" i="23"/>
  <c r="E64" i="23"/>
  <c r="F66" i="23"/>
  <c r="C66" i="23"/>
  <c r="G66" i="23"/>
  <c r="H66" i="23" s="1" a="1"/>
  <c r="H66" i="23" s="1"/>
  <c r="D66" i="23"/>
  <c r="E66" i="23"/>
  <c r="B66" i="23"/>
  <c r="C24" i="25"/>
  <c r="B24" i="25"/>
  <c r="D24" i="25"/>
  <c r="F24" i="25"/>
  <c r="F35" i="25"/>
  <c r="C35" i="25"/>
  <c r="B35" i="25"/>
  <c r="D35" i="25" s="1"/>
  <c r="D56" i="25"/>
  <c r="F56" i="25"/>
  <c r="C56" i="25"/>
  <c r="G56" i="25"/>
  <c r="H56" i="25" s="1" a="1"/>
  <c r="H56" i="25" s="1"/>
  <c r="B56" i="25"/>
  <c r="E56" i="25"/>
  <c r="C41" i="25"/>
  <c r="B41" i="25"/>
  <c r="D41" i="25" s="1"/>
  <c r="E41" i="25" s="1"/>
  <c r="F41" i="25"/>
  <c r="B45" i="25"/>
  <c r="D45" i="25" s="1"/>
  <c r="F45" i="25"/>
  <c r="C45" i="25"/>
  <c r="C17" i="25"/>
  <c r="B17" i="25"/>
  <c r="D17" i="25" s="1"/>
  <c r="F17" i="25"/>
  <c r="B18" i="25"/>
  <c r="D18" i="25" s="1"/>
  <c r="F18" i="25"/>
  <c r="C18" i="25"/>
  <c r="C20" i="25"/>
  <c r="F20" i="25"/>
  <c r="B20" i="25"/>
  <c r="D20" i="25" s="1"/>
  <c r="C32" i="25"/>
  <c r="B32" i="25"/>
  <c r="D32" i="25" s="1"/>
  <c r="F32" i="25"/>
  <c r="B51" i="25"/>
  <c r="D51" i="25" s="1"/>
  <c r="C51" i="25"/>
  <c r="F51" i="25"/>
  <c r="G58" i="25"/>
  <c r="H58" i="25" s="1" a="1"/>
  <c r="H58" i="25" s="1"/>
  <c r="B58" i="25"/>
  <c r="D58" i="25"/>
  <c r="F58" i="25"/>
  <c r="E58" i="25"/>
  <c r="C58" i="25"/>
  <c r="F66" i="25"/>
  <c r="E66" i="25"/>
  <c r="C66" i="25"/>
  <c r="G66" i="25"/>
  <c r="H66" i="25" s="1" a="1"/>
  <c r="H66" i="25" s="1"/>
  <c r="B66" i="25"/>
  <c r="D66" i="25"/>
  <c r="F26" i="25"/>
  <c r="B26" i="25"/>
  <c r="D26" i="25" s="1"/>
  <c r="C26" i="25"/>
  <c r="C39" i="25"/>
  <c r="F39" i="25"/>
  <c r="B39" i="25"/>
  <c r="D39" i="25" s="1"/>
  <c r="B42" i="25"/>
  <c r="D42" i="25" s="1"/>
  <c r="C42" i="25"/>
  <c r="F42" i="25"/>
  <c r="C49" i="25"/>
  <c r="B49" i="25"/>
  <c r="D49" i="25" s="1"/>
  <c r="F49" i="25"/>
  <c r="C54" i="25"/>
  <c r="G54" i="25"/>
  <c r="H54" i="25" s="1" a="1"/>
  <c r="H54" i="25" s="1"/>
  <c r="B54" i="25"/>
  <c r="F54" i="25"/>
  <c r="E54" i="25"/>
  <c r="D54" i="25"/>
  <c r="E55" i="25"/>
  <c r="C55" i="25"/>
  <c r="D55" i="25"/>
  <c r="F55" i="25"/>
  <c r="B55" i="25"/>
  <c r="G55" i="25"/>
  <c r="H55" i="25" s="1" a="1"/>
  <c r="H55" i="25" s="1"/>
  <c r="B59" i="25"/>
  <c r="D59" i="25"/>
  <c r="F59" i="25"/>
  <c r="G59" i="25"/>
  <c r="H59" i="25" s="1" a="1"/>
  <c r="H59" i="25" s="1"/>
  <c r="C59" i="25"/>
  <c r="E59" i="25"/>
  <c r="D62" i="25"/>
  <c r="G62" i="25"/>
  <c r="H62" i="25" s="1" a="1"/>
  <c r="H62" i="25" s="1"/>
  <c r="C62" i="25"/>
  <c r="F62" i="25"/>
  <c r="E62" i="25"/>
  <c r="B62" i="25"/>
  <c r="D65" i="25"/>
  <c r="G65" i="25"/>
  <c r="H65" i="25" s="1" a="1"/>
  <c r="H65" i="25" s="1"/>
  <c r="B65" i="25"/>
  <c r="E65" i="25"/>
  <c r="F65" i="25"/>
  <c r="C65" i="25"/>
  <c r="C19" i="25"/>
  <c r="F19" i="25"/>
  <c r="B19" i="25"/>
  <c r="D19" i="25" s="1"/>
  <c r="B21" i="25"/>
  <c r="D21" i="25" s="1"/>
  <c r="F21" i="25"/>
  <c r="C21" i="25"/>
  <c r="C22" i="25"/>
  <c r="F22" i="25"/>
  <c r="B22" i="25"/>
  <c r="D22" i="25" s="1"/>
  <c r="F23" i="25"/>
  <c r="C23" i="25"/>
  <c r="B23" i="25"/>
  <c r="D23" i="25" s="1"/>
  <c r="F25" i="25"/>
  <c r="B25" i="25"/>
  <c r="D25" i="25" s="1"/>
  <c r="C25" i="25"/>
  <c r="C27" i="25"/>
  <c r="F27" i="25"/>
  <c r="B27" i="25"/>
  <c r="D27" i="25" s="1"/>
  <c r="C28" i="25"/>
  <c r="B28" i="25"/>
  <c r="D28" i="25" s="1"/>
  <c r="F28" i="25"/>
  <c r="C29" i="25"/>
  <c r="F29" i="25"/>
  <c r="B29" i="25"/>
  <c r="D29" i="25" s="1"/>
  <c r="E29" i="25" s="1"/>
  <c r="G29" i="25" s="1"/>
  <c r="H29" i="25" s="1" a="1"/>
  <c r="H29" i="25" s="1"/>
  <c r="F30" i="25"/>
  <c r="B30" i="25"/>
  <c r="D30" i="25" s="1"/>
  <c r="C30" i="25"/>
  <c r="F31" i="25"/>
  <c r="B31" i="25"/>
  <c r="D31" i="25" s="1"/>
  <c r="C31" i="25"/>
  <c r="F33" i="25"/>
  <c r="C33" i="25"/>
  <c r="B33" i="25"/>
  <c r="D33" i="25" s="1"/>
  <c r="C34" i="25"/>
  <c r="B34" i="25"/>
  <c r="D34" i="25" s="1"/>
  <c r="F34" i="25"/>
  <c r="B36" i="25"/>
  <c r="D36" i="25" s="1"/>
  <c r="F36" i="25"/>
  <c r="C36" i="25"/>
  <c r="C37" i="25"/>
  <c r="F37" i="25"/>
  <c r="B37" i="25"/>
  <c r="D37" i="25" s="1"/>
  <c r="C38" i="25"/>
  <c r="F38" i="25"/>
  <c r="B38" i="25"/>
  <c r="D38" i="25" s="1"/>
  <c r="C40" i="25"/>
  <c r="F40" i="25"/>
  <c r="B40" i="25"/>
  <c r="D40" i="25" s="1"/>
  <c r="F43" i="25"/>
  <c r="C43" i="25"/>
  <c r="B43" i="25"/>
  <c r="D43" i="25" s="1"/>
  <c r="C44" i="25"/>
  <c r="F44" i="25"/>
  <c r="B44" i="25"/>
  <c r="D44" i="25" s="1"/>
  <c r="E44" i="25" s="1"/>
  <c r="G44" i="25" s="1"/>
  <c r="H44" i="25" s="1" a="1"/>
  <c r="H44" i="25" s="1"/>
  <c r="F46" i="25"/>
  <c r="B46" i="25"/>
  <c r="D46" i="25" s="1"/>
  <c r="C46" i="25"/>
  <c r="F47" i="25"/>
  <c r="B47" i="25"/>
  <c r="D47" i="25" s="1"/>
  <c r="C47" i="25"/>
  <c r="F48" i="25"/>
  <c r="C48" i="25"/>
  <c r="B48" i="25"/>
  <c r="D48" i="25" s="1"/>
  <c r="C50" i="25"/>
  <c r="F50" i="25"/>
  <c r="B50" i="25"/>
  <c r="D50" i="25" s="1"/>
  <c r="C52" i="25"/>
  <c r="F52" i="25"/>
  <c r="B52" i="25"/>
  <c r="D52" i="25" s="1"/>
  <c r="F53" i="25"/>
  <c r="G53" i="25"/>
  <c r="H53" i="25" s="1" a="1"/>
  <c r="H53" i="25" s="1"/>
  <c r="E53" i="25"/>
  <c r="C53" i="25"/>
  <c r="B53" i="25"/>
  <c r="D53" i="25"/>
  <c r="B57" i="25"/>
  <c r="C57" i="25"/>
  <c r="E57" i="25"/>
  <c r="F57" i="25"/>
  <c r="G57" i="25"/>
  <c r="H57" i="25" s="1" a="1"/>
  <c r="H57" i="25" s="1"/>
  <c r="D57" i="25"/>
  <c r="C60" i="25"/>
  <c r="D60" i="25"/>
  <c r="F60" i="25"/>
  <c r="B60" i="25"/>
  <c r="E60" i="25"/>
  <c r="G60" i="25"/>
  <c r="H60" i="25" s="1" a="1"/>
  <c r="H60" i="25" s="1"/>
  <c r="C61" i="25"/>
  <c r="E61" i="25"/>
  <c r="G61" i="25"/>
  <c r="H61" i="25" s="1" a="1"/>
  <c r="H61" i="25" s="1"/>
  <c r="D61" i="25"/>
  <c r="F61" i="25"/>
  <c r="B61" i="25"/>
  <c r="C63" i="25"/>
  <c r="F63" i="25"/>
  <c r="G63" i="25"/>
  <c r="H63" i="25" s="1" a="1"/>
  <c r="H63" i="25" s="1"/>
  <c r="B63" i="25"/>
  <c r="E63" i="25"/>
  <c r="D63" i="25"/>
  <c r="G64" i="25"/>
  <c r="H64" i="25" s="1" a="1"/>
  <c r="H64" i="25" s="1"/>
  <c r="D64" i="25"/>
  <c r="B64" i="25"/>
  <c r="F64" i="25"/>
  <c r="E64" i="25"/>
  <c r="C64" i="25"/>
  <c r="B17" i="29"/>
  <c r="D17" i="29" s="1"/>
  <c r="C17" i="29"/>
  <c r="F17" i="29"/>
  <c r="B18" i="29"/>
  <c r="D18" i="29" s="1"/>
  <c r="C18" i="29"/>
  <c r="F18" i="29"/>
  <c r="B19" i="29"/>
  <c r="D19" i="29" s="1"/>
  <c r="C19" i="29"/>
  <c r="F19" i="29"/>
  <c r="B20" i="29"/>
  <c r="D20" i="29" s="1"/>
  <c r="C20" i="29"/>
  <c r="F20" i="29"/>
  <c r="B21" i="29"/>
  <c r="D21" i="29" s="1"/>
  <c r="C21" i="29"/>
  <c r="F21" i="29"/>
  <c r="B22" i="29"/>
  <c r="D22" i="29" s="1"/>
  <c r="C22" i="29"/>
  <c r="F22" i="29"/>
  <c r="B23" i="29"/>
  <c r="D23" i="29" s="1"/>
  <c r="C23" i="29"/>
  <c r="F23" i="29"/>
  <c r="B24" i="29"/>
  <c r="D24" i="29" s="1"/>
  <c r="C24" i="29"/>
  <c r="F24" i="29"/>
  <c r="B25" i="29"/>
  <c r="D25" i="29" s="1"/>
  <c r="C25" i="29"/>
  <c r="F25" i="29"/>
  <c r="B26" i="29"/>
  <c r="D26" i="29" s="1"/>
  <c r="C26" i="29"/>
  <c r="F26" i="29"/>
  <c r="B27" i="29"/>
  <c r="D27" i="29" s="1"/>
  <c r="C27" i="29"/>
  <c r="F27" i="29"/>
  <c r="B28" i="29"/>
  <c r="D28" i="29" s="1"/>
  <c r="C28" i="29"/>
  <c r="F28" i="29"/>
  <c r="B29" i="29"/>
  <c r="D29" i="29" s="1"/>
  <c r="C29" i="29"/>
  <c r="F29" i="29"/>
  <c r="B30" i="29"/>
  <c r="D30" i="29" s="1"/>
  <c r="C30" i="29"/>
  <c r="F30" i="29"/>
  <c r="B31" i="29"/>
  <c r="D31" i="29" s="1"/>
  <c r="C31" i="29"/>
  <c r="F31" i="29"/>
  <c r="B32" i="29"/>
  <c r="D32" i="29" s="1"/>
  <c r="C32" i="29"/>
  <c r="F32" i="29"/>
  <c r="B33" i="29"/>
  <c r="D33" i="29" s="1"/>
  <c r="C33" i="29"/>
  <c r="F33" i="29"/>
  <c r="B34" i="29"/>
  <c r="D34" i="29" s="1"/>
  <c r="C34" i="29"/>
  <c r="F34" i="29"/>
  <c r="B35" i="29"/>
  <c r="D35" i="29" s="1"/>
  <c r="C35" i="29"/>
  <c r="F35" i="29"/>
  <c r="B36" i="29"/>
  <c r="D36" i="29" s="1"/>
  <c r="C36" i="29"/>
  <c r="F36" i="29"/>
  <c r="B37" i="29"/>
  <c r="D37" i="29" s="1"/>
  <c r="C37" i="29"/>
  <c r="F37" i="29"/>
  <c r="B38" i="29"/>
  <c r="D38" i="29" s="1"/>
  <c r="C38" i="29"/>
  <c r="F38" i="29"/>
  <c r="B39" i="29"/>
  <c r="D39" i="29" s="1"/>
  <c r="C39" i="29"/>
  <c r="F39" i="29"/>
  <c r="B40" i="29"/>
  <c r="D40" i="29" s="1"/>
  <c r="C40" i="29"/>
  <c r="F40" i="29"/>
  <c r="B41" i="29"/>
  <c r="D41" i="29" s="1"/>
  <c r="C41" i="29"/>
  <c r="F41" i="29"/>
  <c r="B42" i="29"/>
  <c r="D42" i="29" s="1"/>
  <c r="C42" i="29"/>
  <c r="F42" i="29"/>
  <c r="B43" i="29"/>
  <c r="D43" i="29" s="1"/>
  <c r="C43" i="29"/>
  <c r="F43" i="29"/>
  <c r="B44" i="29"/>
  <c r="D44" i="29" s="1"/>
  <c r="C44" i="29"/>
  <c r="F44" i="29"/>
  <c r="B59" i="29"/>
  <c r="C59" i="29"/>
  <c r="D59" i="29"/>
  <c r="E59" i="29"/>
  <c r="F59" i="29"/>
  <c r="G59" i="29"/>
  <c r="H59" i="29" s="1" a="1"/>
  <c r="H59" i="29" s="1"/>
  <c r="B60" i="29"/>
  <c r="C60" i="29"/>
  <c r="D60" i="29"/>
  <c r="E60" i="29"/>
  <c r="F60" i="29"/>
  <c r="G60" i="29"/>
  <c r="H60" i="29" s="1" a="1"/>
  <c r="H60" i="29" s="1"/>
  <c r="B61" i="29"/>
  <c r="C61" i="29"/>
  <c r="D61" i="29"/>
  <c r="E61" i="29"/>
  <c r="F61" i="29"/>
  <c r="G61" i="29"/>
  <c r="H61" i="29" s="1" a="1"/>
  <c r="H61" i="29" s="1"/>
  <c r="B62" i="29"/>
  <c r="C62" i="29"/>
  <c r="D62" i="29"/>
  <c r="E62" i="29"/>
  <c r="F62" i="29"/>
  <c r="G62" i="29"/>
  <c r="H62" i="29" s="1" a="1"/>
  <c r="H62" i="29" s="1"/>
  <c r="B63" i="29"/>
  <c r="C63" i="29"/>
  <c r="D63" i="29"/>
  <c r="E63" i="29"/>
  <c r="F63" i="29"/>
  <c r="G63" i="29"/>
  <c r="H63" i="29" s="1" a="1"/>
  <c r="H63" i="29" s="1"/>
  <c r="B64" i="29"/>
  <c r="C64" i="29"/>
  <c r="D64" i="29"/>
  <c r="E64" i="29"/>
  <c r="F64" i="29"/>
  <c r="G64" i="29"/>
  <c r="H64" i="29" s="1" a="1"/>
  <c r="H64" i="29" s="1"/>
  <c r="B65" i="29"/>
  <c r="C65" i="29"/>
  <c r="D65" i="29"/>
  <c r="E65" i="29"/>
  <c r="F65" i="29"/>
  <c r="G65" i="29"/>
  <c r="H65" i="29" s="1" a="1"/>
  <c r="H65" i="29" s="1"/>
  <c r="B66" i="29"/>
  <c r="C66" i="29"/>
  <c r="D66" i="29"/>
  <c r="E66" i="29"/>
  <c r="F66" i="29"/>
  <c r="G66" i="29"/>
  <c r="H66" i="29" s="1" a="1"/>
  <c r="H66" i="29" s="1"/>
  <c r="B45" i="29"/>
  <c r="D45" i="29" s="1"/>
  <c r="C45" i="29"/>
  <c r="F45" i="29"/>
  <c r="B46" i="29"/>
  <c r="D46" i="29" s="1"/>
  <c r="C46" i="29"/>
  <c r="F46" i="29"/>
  <c r="B47" i="29"/>
  <c r="D47" i="29" s="1"/>
  <c r="C47" i="29"/>
  <c r="F47" i="29"/>
  <c r="B48" i="29"/>
  <c r="D48" i="29" s="1"/>
  <c r="C48" i="29"/>
  <c r="F48" i="29"/>
  <c r="B49" i="29"/>
  <c r="D49" i="29" s="1"/>
  <c r="C49" i="29"/>
  <c r="F49" i="29"/>
  <c r="B50" i="29"/>
  <c r="D50" i="29" s="1"/>
  <c r="C50" i="29"/>
  <c r="F50" i="29"/>
  <c r="B51" i="29"/>
  <c r="D51" i="29" s="1"/>
  <c r="C51" i="29"/>
  <c r="F51" i="29"/>
  <c r="B52" i="29"/>
  <c r="D52" i="29" s="1"/>
  <c r="C52" i="29"/>
  <c r="F52" i="29"/>
  <c r="B53" i="29"/>
  <c r="C53" i="29"/>
  <c r="D53" i="29"/>
  <c r="E53" i="29"/>
  <c r="F53" i="29"/>
  <c r="G53" i="29"/>
  <c r="H53" i="29" s="1" a="1"/>
  <c r="H53" i="29" s="1"/>
  <c r="B54" i="29"/>
  <c r="C54" i="29"/>
  <c r="D54" i="29"/>
  <c r="E54" i="29"/>
  <c r="F54" i="29"/>
  <c r="G54" i="29"/>
  <c r="H54" i="29" s="1" a="1"/>
  <c r="H54" i="29" s="1"/>
  <c r="B55" i="29"/>
  <c r="C55" i="29"/>
  <c r="D55" i="29"/>
  <c r="E55" i="29"/>
  <c r="F55" i="29"/>
  <c r="G55" i="29"/>
  <c r="H55" i="29" s="1" a="1"/>
  <c r="H55" i="29" s="1"/>
  <c r="B56" i="29"/>
  <c r="C56" i="29"/>
  <c r="D56" i="29"/>
  <c r="E56" i="29"/>
  <c r="F56" i="29"/>
  <c r="G56" i="29"/>
  <c r="H56" i="29" s="1" a="1"/>
  <c r="H56" i="29" s="1"/>
  <c r="B57" i="29"/>
  <c r="C57" i="29"/>
  <c r="D57" i="29"/>
  <c r="E57" i="29"/>
  <c r="F57" i="29"/>
  <c r="G57" i="29"/>
  <c r="H57" i="29" s="1" a="1"/>
  <c r="H57" i="29" s="1"/>
  <c r="B58" i="29"/>
  <c r="C58" i="29"/>
  <c r="D58" i="29"/>
  <c r="E58" i="29"/>
  <c r="F58" i="29"/>
  <c r="G58" i="29"/>
  <c r="H58" i="29" s="1" a="1"/>
  <c r="H58" i="29" s="1"/>
  <c r="G68" i="30"/>
  <c r="H68" i="30"/>
  <c r="E68" i="26"/>
  <c r="G17" i="26"/>
  <c r="H17" i="26" s="1" a="1"/>
  <c r="H17" i="26" s="1"/>
  <c r="E51" i="25" l="1"/>
  <c r="G51" i="25" s="1"/>
  <c r="H51" i="25" s="1" a="1"/>
  <c r="H51" i="25" s="1"/>
  <c r="E39" i="27"/>
  <c r="G39" i="27" s="1"/>
  <c r="H39" i="27" s="1" a="1"/>
  <c r="H39" i="27" s="1"/>
  <c r="E45" i="23"/>
  <c r="G45" i="23" s="1"/>
  <c r="H45" i="23" s="1" a="1"/>
  <c r="H45" i="23" s="1"/>
  <c r="E47" i="29"/>
  <c r="G47" i="29" s="1"/>
  <c r="H47" i="29" s="1" a="1"/>
  <c r="H47" i="29" s="1"/>
  <c r="E20" i="1"/>
  <c r="G20" i="1" s="1"/>
  <c r="H20" i="1" s="1" a="1"/>
  <c r="H20" i="1" s="1"/>
  <c r="E23" i="1"/>
  <c r="G23" i="1" s="1"/>
  <c r="H23" i="1" s="1" a="1"/>
  <c r="H23" i="1" s="1"/>
  <c r="E24" i="1"/>
  <c r="G24" i="1" s="1"/>
  <c r="H24" i="1" s="1" a="1"/>
  <c r="H24" i="1" s="1"/>
  <c r="E25" i="1"/>
  <c r="G25" i="1" s="1"/>
  <c r="H25" i="1" s="1" a="1"/>
  <c r="H25" i="1" s="1"/>
  <c r="E26" i="1"/>
  <c r="G26" i="1" s="1"/>
  <c r="H26" i="1" s="1" a="1"/>
  <c r="H26" i="1" s="1"/>
  <c r="E31" i="1"/>
  <c r="G31" i="1" s="1"/>
  <c r="H31" i="1" s="1" a="1"/>
  <c r="H31" i="1" s="1"/>
  <c r="G48" i="1"/>
  <c r="H48" i="1" s="1" a="1"/>
  <c r="H48" i="1" s="1"/>
  <c r="E52" i="1"/>
  <c r="G52" i="1" s="1"/>
  <c r="H52" i="1" s="1" a="1"/>
  <c r="H52" i="1" s="1"/>
  <c r="E18" i="27"/>
  <c r="G18" i="27" s="1"/>
  <c r="H18" i="27" s="1" a="1"/>
  <c r="H18" i="27" s="1"/>
  <c r="E21" i="27"/>
  <c r="G21" i="27" s="1"/>
  <c r="H21" i="27" s="1" a="1"/>
  <c r="H21" i="27" s="1"/>
  <c r="E24" i="27"/>
  <c r="G24" i="27" s="1"/>
  <c r="H24" i="27" s="1" a="1"/>
  <c r="H24" i="27" s="1"/>
  <c r="E31" i="27"/>
  <c r="G31" i="27" s="1"/>
  <c r="H31" i="27" s="1" a="1"/>
  <c r="H31" i="27" s="1"/>
  <c r="E34" i="27"/>
  <c r="G34" i="27" s="1"/>
  <c r="H34" i="27" s="1" a="1"/>
  <c r="H34" i="27" s="1"/>
  <c r="E37" i="27"/>
  <c r="G37" i="27" s="1"/>
  <c r="H37" i="27" s="1" a="1"/>
  <c r="H37" i="27" s="1"/>
  <c r="E40" i="27"/>
  <c r="G40" i="27" s="1"/>
  <c r="H40" i="27" s="1" a="1"/>
  <c r="H40" i="27" s="1"/>
  <c r="E42" i="27"/>
  <c r="G42" i="27" s="1"/>
  <c r="H42" i="27" s="1" a="1"/>
  <c r="H42" i="27" s="1"/>
  <c r="E48" i="27"/>
  <c r="G48" i="27" s="1"/>
  <c r="H48" i="27" s="1" a="1"/>
  <c r="H48" i="27" s="1"/>
  <c r="E49" i="27"/>
  <c r="G49" i="27" s="1"/>
  <c r="H49" i="27" s="1" a="1"/>
  <c r="H49" i="27" s="1"/>
  <c r="E50" i="27"/>
  <c r="G50" i="27" s="1"/>
  <c r="H50" i="27" s="1" a="1"/>
  <c r="H50" i="27" s="1"/>
  <c r="E51" i="27"/>
  <c r="G51" i="27" s="1"/>
  <c r="H51" i="27" s="1" a="1"/>
  <c r="H51" i="27" s="1"/>
  <c r="G52" i="27"/>
  <c r="H52" i="27" s="1" a="1"/>
  <c r="H52" i="27" s="1"/>
  <c r="E46" i="23"/>
  <c r="G46" i="23" s="1"/>
  <c r="H46" i="23" s="1" a="1"/>
  <c r="H46" i="23" s="1"/>
  <c r="G36" i="23"/>
  <c r="H36" i="23" s="1" a="1"/>
  <c r="H36" i="23" s="1"/>
  <c r="E42" i="23"/>
  <c r="G42" i="23" s="1"/>
  <c r="H42" i="23" s="1" a="1"/>
  <c r="H42" i="23" s="1"/>
  <c r="E45" i="25"/>
  <c r="G45" i="25" s="1"/>
  <c r="H45" i="25" s="1" a="1"/>
  <c r="H45" i="25" s="1"/>
  <c r="E34" i="29"/>
  <c r="G34" i="29" s="1"/>
  <c r="H34" i="29" s="1" a="1"/>
  <c r="H34" i="29" s="1"/>
  <c r="G19" i="1"/>
  <c r="H19" i="1" s="1" a="1"/>
  <c r="H19" i="1" s="1"/>
  <c r="G43" i="1"/>
  <c r="H43" i="1" s="1" a="1"/>
  <c r="H43" i="1" s="1"/>
  <c r="G47" i="1"/>
  <c r="H47" i="1" s="1" a="1"/>
  <c r="H47" i="1" s="1"/>
  <c r="G22" i="1"/>
  <c r="H22" i="1" s="1" a="1"/>
  <c r="H22" i="1" s="1"/>
  <c r="G18" i="1"/>
  <c r="H18" i="1" s="1" a="1"/>
  <c r="H18" i="1" s="1"/>
  <c r="E47" i="23"/>
  <c r="G47" i="23" s="1"/>
  <c r="H47" i="23" s="1" a="1"/>
  <c r="H47" i="23" s="1"/>
  <c r="E46" i="27"/>
  <c r="G46" i="27" s="1"/>
  <c r="H46" i="27" s="1" a="1"/>
  <c r="H46" i="27" s="1"/>
  <c r="E43" i="27"/>
  <c r="G43" i="27" s="1"/>
  <c r="H43" i="27" s="1" a="1"/>
  <c r="H43" i="27" s="1"/>
  <c r="E32" i="1"/>
  <c r="G32" i="1" s="1"/>
  <c r="H32" i="1" s="1" a="1"/>
  <c r="H32" i="1" s="1"/>
  <c r="E30" i="1"/>
  <c r="G30" i="1" s="1"/>
  <c r="H30" i="1" s="1" a="1"/>
  <c r="H30" i="1" s="1"/>
  <c r="E35" i="1"/>
  <c r="G35" i="1" s="1"/>
  <c r="H35" i="1" s="1" a="1"/>
  <c r="H35" i="1" s="1"/>
  <c r="E28" i="1"/>
  <c r="G28" i="1" s="1"/>
  <c r="H28" i="1" s="1" a="1"/>
  <c r="H28" i="1" s="1"/>
  <c r="G17" i="1"/>
  <c r="H17" i="1" s="1" a="1"/>
  <c r="H17" i="1" s="1"/>
  <c r="E33" i="23"/>
  <c r="G33" i="23" s="1"/>
  <c r="H33" i="23" s="1" a="1"/>
  <c r="H33" i="23" s="1"/>
  <c r="G44" i="27"/>
  <c r="H44" i="27" s="1" a="1"/>
  <c r="H44" i="27" s="1"/>
  <c r="E26" i="27"/>
  <c r="G26" i="27" s="1"/>
  <c r="H26" i="27" s="1" a="1"/>
  <c r="H26" i="27" s="1"/>
  <c r="E23" i="27"/>
  <c r="G23" i="27" s="1"/>
  <c r="H23" i="27" s="1" a="1"/>
  <c r="H23" i="27" s="1"/>
  <c r="E20" i="27"/>
  <c r="G20" i="27" s="1"/>
  <c r="H20" i="27" s="1" a="1"/>
  <c r="H20" i="27" s="1"/>
  <c r="E41" i="27"/>
  <c r="G41" i="27" s="1"/>
  <c r="H41" i="27" s="1" a="1"/>
  <c r="H41" i="27" s="1"/>
  <c r="E35" i="27"/>
  <c r="G35" i="27" s="1"/>
  <c r="H35" i="27" s="1" a="1"/>
  <c r="H35" i="27" s="1"/>
  <c r="E32" i="27"/>
  <c r="G32" i="27" s="1"/>
  <c r="H32" i="27" s="1" a="1"/>
  <c r="H32" i="27" s="1"/>
  <c r="E29" i="27"/>
  <c r="G29" i="27" s="1"/>
  <c r="H29" i="27" s="1" a="1"/>
  <c r="H29" i="27" s="1"/>
  <c r="E42" i="1"/>
  <c r="G42" i="1" s="1"/>
  <c r="H42" i="1" s="1" a="1"/>
  <c r="H42" i="1" s="1"/>
  <c r="G29" i="23"/>
  <c r="H29" i="23" s="1" a="1"/>
  <c r="H29" i="23" s="1"/>
  <c r="G22" i="23"/>
  <c r="H22" i="23" s="1" a="1"/>
  <c r="H22" i="23" s="1"/>
  <c r="E36" i="1"/>
  <c r="G36" i="1" s="1"/>
  <c r="H36" i="1" s="1" a="1"/>
  <c r="H36" i="1" s="1"/>
  <c r="E21" i="1"/>
  <c r="G21" i="1" s="1"/>
  <c r="H21" i="1" s="1" a="1"/>
  <c r="H21" i="1" s="1"/>
  <c r="E28" i="25"/>
  <c r="G28" i="25" s="1"/>
  <c r="H28" i="25" s="1" a="1"/>
  <c r="H28" i="25" s="1"/>
  <c r="E17" i="25"/>
  <c r="G17" i="25" s="1"/>
  <c r="H17" i="25" s="1" a="1"/>
  <c r="H17" i="25" s="1"/>
  <c r="E25" i="27"/>
  <c r="G25" i="27" s="1"/>
  <c r="H25" i="27" s="1" a="1"/>
  <c r="H25" i="27" s="1"/>
  <c r="E19" i="27"/>
  <c r="G19" i="27" s="1"/>
  <c r="H19" i="27" s="1" a="1"/>
  <c r="H19" i="27" s="1"/>
  <c r="E44" i="1"/>
  <c r="G44" i="1" s="1"/>
  <c r="H44" i="1" s="1" a="1"/>
  <c r="H44" i="1" s="1"/>
  <c r="E39" i="1"/>
  <c r="G39" i="1" s="1"/>
  <c r="H39" i="1" s="1" a="1"/>
  <c r="H39" i="1" s="1"/>
  <c r="E32" i="29"/>
  <c r="G32" i="29" s="1"/>
  <c r="H32" i="29" s="1" a="1"/>
  <c r="H32" i="29" s="1"/>
  <c r="E20" i="25"/>
  <c r="G20" i="25" s="1"/>
  <c r="H20" i="25" s="1" a="1"/>
  <c r="H20" i="25" s="1"/>
  <c r="E35" i="25"/>
  <c r="G35" i="25" s="1"/>
  <c r="H35" i="25" s="1" a="1"/>
  <c r="H35" i="25" s="1"/>
  <c r="E41" i="23"/>
  <c r="G41" i="23" s="1"/>
  <c r="H41" i="23" s="1" a="1"/>
  <c r="H41" i="23" s="1"/>
  <c r="E17" i="27"/>
  <c r="G17" i="27" s="1"/>
  <c r="H17" i="27" s="1" a="1"/>
  <c r="H17" i="27" s="1"/>
  <c r="E29" i="1"/>
  <c r="G29" i="1" s="1"/>
  <c r="H29" i="1" s="1" a="1"/>
  <c r="H29" i="1" s="1"/>
  <c r="E26" i="29"/>
  <c r="G26" i="29" s="1"/>
  <c r="H26" i="29" s="1" a="1"/>
  <c r="H26" i="29" s="1"/>
  <c r="G41" i="25"/>
  <c r="H41" i="25" s="1" a="1"/>
  <c r="H41" i="25" s="1"/>
  <c r="G24" i="23"/>
  <c r="H24" i="23" s="1" a="1"/>
  <c r="H24" i="23" s="1"/>
  <c r="E30" i="23"/>
  <c r="G30" i="23" s="1"/>
  <c r="H30" i="23" s="1" a="1"/>
  <c r="H30" i="23" s="1"/>
  <c r="E44" i="23"/>
  <c r="G44" i="23" s="1"/>
  <c r="H44" i="23" s="1" a="1"/>
  <c r="H44" i="23" s="1"/>
  <c r="E28" i="27"/>
  <c r="G28" i="27" s="1"/>
  <c r="H28" i="27" s="1" a="1"/>
  <c r="H28" i="27" s="1"/>
  <c r="E22" i="27"/>
  <c r="G22" i="27" s="1"/>
  <c r="H22" i="27" s="1" a="1"/>
  <c r="H22" i="27" s="1"/>
  <c r="E29" i="29"/>
  <c r="G29" i="29" s="1"/>
  <c r="H29" i="29" s="1" a="1"/>
  <c r="H29" i="29" s="1"/>
  <c r="E19" i="29"/>
  <c r="G19" i="29" s="1"/>
  <c r="H19" i="29" s="1" a="1"/>
  <c r="H19" i="29" s="1"/>
  <c r="E23" i="25"/>
  <c r="G23" i="25" s="1"/>
  <c r="H23" i="25" s="1" a="1"/>
  <c r="H23" i="25" s="1"/>
  <c r="E51" i="23"/>
  <c r="G51" i="23" s="1"/>
  <c r="H51" i="23" s="1" a="1"/>
  <c r="H51" i="23" s="1"/>
  <c r="E23" i="23"/>
  <c r="G23" i="23" s="1"/>
  <c r="H23" i="23" s="1" a="1"/>
  <c r="H23" i="23" s="1"/>
  <c r="E48" i="23"/>
  <c r="G48" i="23" s="1"/>
  <c r="H48" i="23" s="1" a="1"/>
  <c r="H48" i="23" s="1"/>
  <c r="G52" i="23"/>
  <c r="H52" i="23" s="1" a="1"/>
  <c r="H52" i="23" s="1"/>
  <c r="E47" i="27"/>
  <c r="G47" i="27" s="1"/>
  <c r="H47" i="27" s="1" a="1"/>
  <c r="H47" i="27" s="1"/>
  <c r="E27" i="27"/>
  <c r="G27" i="27" s="1"/>
  <c r="H27" i="27" s="1" a="1"/>
  <c r="H27" i="27" s="1"/>
  <c r="G27" i="1"/>
  <c r="H27" i="1" s="1" a="1"/>
  <c r="H27" i="1" s="1"/>
  <c r="E52" i="25"/>
  <c r="G52" i="25" s="1"/>
  <c r="H52" i="25" s="1" a="1"/>
  <c r="H52" i="25" s="1"/>
  <c r="E22" i="25"/>
  <c r="G22" i="25" s="1"/>
  <c r="H22" i="25" s="1" a="1"/>
  <c r="H22" i="25" s="1"/>
  <c r="E26" i="25"/>
  <c r="G26" i="25" s="1"/>
  <c r="H26" i="25" s="1" a="1"/>
  <c r="H26" i="25" s="1"/>
  <c r="E18" i="23"/>
  <c r="G18" i="23" s="1"/>
  <c r="H18" i="23" s="1" a="1"/>
  <c r="H18" i="23" s="1"/>
  <c r="E26" i="23"/>
  <c r="G26" i="23" s="1"/>
  <c r="H26" i="23" s="1" a="1"/>
  <c r="H26" i="23" s="1"/>
  <c r="G49" i="23"/>
  <c r="H49" i="23" s="1" a="1"/>
  <c r="H49" i="23" s="1"/>
  <c r="E43" i="23"/>
  <c r="G43" i="23" s="1"/>
  <c r="H43" i="23" s="1" a="1"/>
  <c r="H43" i="23" s="1"/>
  <c r="E36" i="27"/>
  <c r="G36" i="27" s="1"/>
  <c r="H36" i="27" s="1" a="1"/>
  <c r="H36" i="27" s="1"/>
  <c r="E33" i="27"/>
  <c r="G33" i="27" s="1"/>
  <c r="H33" i="27" s="1" a="1"/>
  <c r="H33" i="27" s="1"/>
  <c r="E30" i="27"/>
  <c r="G30" i="27" s="1"/>
  <c r="H30" i="27" s="1" a="1"/>
  <c r="H30" i="27" s="1"/>
  <c r="E52" i="29"/>
  <c r="G52" i="29" s="1"/>
  <c r="H52" i="29" s="1" a="1"/>
  <c r="H52" i="29" s="1"/>
  <c r="E18" i="29"/>
  <c r="G18" i="29" s="1"/>
  <c r="H18" i="29" s="1" a="1"/>
  <c r="H18" i="29" s="1"/>
  <c r="E31" i="29"/>
  <c r="G31" i="29" s="1"/>
  <c r="H31" i="29" s="1" a="1"/>
  <c r="H31" i="29" s="1"/>
  <c r="E40" i="25"/>
  <c r="G40" i="25" s="1"/>
  <c r="H40" i="25" s="1" a="1"/>
  <c r="H40" i="25" s="1"/>
  <c r="E27" i="25"/>
  <c r="G27" i="25" s="1"/>
  <c r="H27" i="25" s="1" a="1"/>
  <c r="H27" i="25" s="1"/>
  <c r="E33" i="1"/>
  <c r="G33" i="1" s="1"/>
  <c r="H33" i="1" s="1" a="1"/>
  <c r="H33" i="1" s="1"/>
  <c r="E34" i="23"/>
  <c r="G34" i="23" s="1"/>
  <c r="H34" i="23" s="1" a="1"/>
  <c r="H34" i="23" s="1"/>
  <c r="E51" i="1"/>
  <c r="G51" i="1" s="1"/>
  <c r="H51" i="1" s="1" a="1"/>
  <c r="H51" i="1" s="1"/>
  <c r="E45" i="1"/>
  <c r="G45" i="1" s="1"/>
  <c r="H45" i="1" s="1" a="1"/>
  <c r="H45" i="1" s="1"/>
  <c r="E37" i="1"/>
  <c r="G37" i="1" s="1"/>
  <c r="H37" i="1" s="1" a="1"/>
  <c r="H37" i="1" s="1"/>
  <c r="E50" i="1"/>
  <c r="G50" i="1" s="1"/>
  <c r="H50" i="1" s="1" a="1"/>
  <c r="H50" i="1" s="1"/>
  <c r="E45" i="27"/>
  <c r="E42" i="25"/>
  <c r="G42" i="25" s="1"/>
  <c r="H42" i="25" s="1" a="1"/>
  <c r="H42" i="25" s="1"/>
  <c r="E18" i="25"/>
  <c r="G18" i="25" s="1"/>
  <c r="H18" i="25" s="1" a="1"/>
  <c r="H18" i="25" s="1"/>
  <c r="H20" i="28" a="1"/>
  <c r="H20" i="28" s="1"/>
  <c r="H68" i="28" s="1"/>
  <c r="H70" i="28" s="1"/>
  <c r="G68" i="28"/>
  <c r="H47" i="24" a="1"/>
  <c r="H47" i="24" s="1"/>
  <c r="H68" i="24" s="1"/>
  <c r="H70" i="24" s="1"/>
  <c r="G68" i="24"/>
  <c r="E43" i="29"/>
  <c r="G43" i="29" s="1"/>
  <c r="H43" i="29" s="1" a="1"/>
  <c r="H43" i="29" s="1"/>
  <c r="E25" i="25"/>
  <c r="G25" i="25" s="1"/>
  <c r="H25" i="25" s="1" a="1"/>
  <c r="H25" i="25" s="1"/>
  <c r="E38" i="29"/>
  <c r="G38" i="29" s="1"/>
  <c r="H38" i="29" s="1" a="1"/>
  <c r="H38" i="29" s="1"/>
  <c r="E38" i="23"/>
  <c r="G38" i="23" s="1"/>
  <c r="H38" i="23" s="1" a="1"/>
  <c r="H38" i="23" s="1"/>
  <c r="E33" i="29"/>
  <c r="G33" i="29" s="1"/>
  <c r="H33" i="29" s="1" a="1"/>
  <c r="H33" i="29" s="1"/>
  <c r="E24" i="29"/>
  <c r="G24" i="29" s="1"/>
  <c r="H24" i="29" s="1" a="1"/>
  <c r="H24" i="29" s="1"/>
  <c r="E21" i="29"/>
  <c r="G21" i="29" s="1"/>
  <c r="H21" i="29" s="1" a="1"/>
  <c r="H21" i="29" s="1"/>
  <c r="E17" i="23"/>
  <c r="E35" i="23"/>
  <c r="G35" i="23" s="1"/>
  <c r="H35" i="23" s="1" a="1"/>
  <c r="H35" i="23" s="1"/>
  <c r="E46" i="1"/>
  <c r="G46" i="1" s="1"/>
  <c r="H46" i="1" s="1" a="1"/>
  <c r="H46" i="1" s="1"/>
  <c r="E38" i="1"/>
  <c r="G38" i="1" s="1"/>
  <c r="H38" i="1" s="1" a="1"/>
  <c r="H38" i="1" s="1"/>
  <c r="E28" i="23"/>
  <c r="G28" i="23" s="1"/>
  <c r="H28" i="23" s="1" a="1"/>
  <c r="H28" i="23" s="1"/>
  <c r="E37" i="23"/>
  <c r="G37" i="23" s="1"/>
  <c r="H37" i="23" s="1" a="1"/>
  <c r="H37" i="23" s="1"/>
  <c r="E20" i="23"/>
  <c r="G20" i="23" s="1"/>
  <c r="H20" i="23" s="1" a="1"/>
  <c r="H20" i="23" s="1"/>
  <c r="E32" i="23"/>
  <c r="G32" i="23" s="1"/>
  <c r="H32" i="23" s="1" a="1"/>
  <c r="H32" i="23" s="1"/>
  <c r="E45" i="29"/>
  <c r="G45" i="29" s="1"/>
  <c r="H45" i="29" s="1" a="1"/>
  <c r="H45" i="29" s="1"/>
  <c r="E39" i="23"/>
  <c r="G39" i="23" s="1"/>
  <c r="H39" i="23" s="1" a="1"/>
  <c r="H39" i="23" s="1"/>
  <c r="E49" i="29"/>
  <c r="G49" i="29" s="1"/>
  <c r="H49" i="29" s="1" a="1"/>
  <c r="H49" i="29" s="1"/>
  <c r="E27" i="23"/>
  <c r="G27" i="23" s="1"/>
  <c r="H27" i="23" s="1" a="1"/>
  <c r="H27" i="23" s="1"/>
  <c r="E24" i="25"/>
  <c r="G24" i="25" s="1"/>
  <c r="H24" i="25" s="1" a="1"/>
  <c r="H24" i="25" s="1"/>
  <c r="E32" i="25"/>
  <c r="G32" i="25" s="1"/>
  <c r="H32" i="25" s="1" a="1"/>
  <c r="H32" i="25" s="1"/>
  <c r="E21" i="25"/>
  <c r="G21" i="25" s="1"/>
  <c r="H21" i="25" s="1" a="1"/>
  <c r="H21" i="25" s="1"/>
  <c r="E51" i="29"/>
  <c r="G51" i="29" s="1"/>
  <c r="H51" i="29" s="1" a="1"/>
  <c r="H51" i="29" s="1"/>
  <c r="E38" i="27"/>
  <c r="G38" i="27" s="1"/>
  <c r="H38" i="27" s="1" a="1"/>
  <c r="H38" i="27" s="1"/>
  <c r="E40" i="1"/>
  <c r="E49" i="1"/>
  <c r="G49" i="1" s="1"/>
  <c r="H49" i="1" s="1" a="1"/>
  <c r="H49" i="1" s="1"/>
  <c r="E34" i="1"/>
  <c r="G34" i="1" s="1"/>
  <c r="H34" i="1" s="1" a="1"/>
  <c r="H34" i="1" s="1"/>
  <c r="E30" i="25"/>
  <c r="G30" i="25" s="1"/>
  <c r="H30" i="25" s="1" a="1"/>
  <c r="H30" i="25" s="1"/>
  <c r="E34" i="25"/>
  <c r="G34" i="25" s="1"/>
  <c r="H34" i="25" s="1" a="1"/>
  <c r="H34" i="25" s="1"/>
  <c r="E36" i="25"/>
  <c r="G36" i="25" s="1"/>
  <c r="H36" i="25" s="1" a="1"/>
  <c r="H36" i="25" s="1"/>
  <c r="E37" i="25"/>
  <c r="G37" i="25" s="1"/>
  <c r="H37" i="25" s="1" a="1"/>
  <c r="H37" i="25" s="1"/>
  <c r="E47" i="25"/>
  <c r="G47" i="25" s="1"/>
  <c r="H47" i="25" s="1" a="1"/>
  <c r="H47" i="25" s="1"/>
  <c r="E48" i="25"/>
  <c r="G48" i="25" s="1"/>
  <c r="H48" i="25" s="1" a="1"/>
  <c r="H48" i="25" s="1"/>
  <c r="E20" i="29"/>
  <c r="G20" i="29" s="1"/>
  <c r="H20" i="29" s="1" a="1"/>
  <c r="H20" i="29" s="1"/>
  <c r="E23" i="29"/>
  <c r="G23" i="29" s="1"/>
  <c r="H23" i="29" s="1" a="1"/>
  <c r="H23" i="29" s="1"/>
  <c r="E25" i="29"/>
  <c r="G25" i="29" s="1"/>
  <c r="H25" i="29" s="1" a="1"/>
  <c r="H25" i="29" s="1"/>
  <c r="E28" i="29"/>
  <c r="G28" i="29" s="1"/>
  <c r="H28" i="29" s="1" a="1"/>
  <c r="H28" i="29" s="1"/>
  <c r="E30" i="29"/>
  <c r="G30" i="29" s="1"/>
  <c r="H30" i="29" s="1" a="1"/>
  <c r="H30" i="29" s="1"/>
  <c r="E35" i="29"/>
  <c r="G35" i="29" s="1"/>
  <c r="H35" i="29" s="1" a="1"/>
  <c r="H35" i="29" s="1"/>
  <c r="E37" i="29"/>
  <c r="G37" i="29" s="1"/>
  <c r="H37" i="29" s="1" a="1"/>
  <c r="H37" i="29" s="1"/>
  <c r="E40" i="29"/>
  <c r="G40" i="29" s="1"/>
  <c r="H40" i="29" s="1" a="1"/>
  <c r="H40" i="29" s="1"/>
  <c r="E42" i="29"/>
  <c r="G42" i="29" s="1"/>
  <c r="H42" i="29" s="1" a="1"/>
  <c r="H42" i="29" s="1"/>
  <c r="E44" i="29"/>
  <c r="G44" i="29" s="1"/>
  <c r="H44" i="29" s="1" a="1"/>
  <c r="H44" i="29" s="1"/>
  <c r="E46" i="29"/>
  <c r="G46" i="29" s="1"/>
  <c r="H46" i="29" s="1" a="1"/>
  <c r="H46" i="29" s="1"/>
  <c r="E48" i="29"/>
  <c r="G48" i="29" s="1"/>
  <c r="H48" i="29" s="1" a="1"/>
  <c r="H48" i="29" s="1"/>
  <c r="E50" i="29"/>
  <c r="G50" i="29" s="1"/>
  <c r="H50" i="29" s="1" a="1"/>
  <c r="H50" i="29" s="1"/>
  <c r="E21" i="23"/>
  <c r="G21" i="23" s="1"/>
  <c r="H21" i="23" s="1" a="1"/>
  <c r="H21" i="23" s="1"/>
  <c r="E25" i="23"/>
  <c r="G25" i="23" s="1"/>
  <c r="H25" i="23" s="1" a="1"/>
  <c r="H25" i="23" s="1"/>
  <c r="E31" i="23"/>
  <c r="G31" i="23" s="1"/>
  <c r="H31" i="23" s="1" a="1"/>
  <c r="H31" i="23" s="1"/>
  <c r="E39" i="25"/>
  <c r="G39" i="25" s="1"/>
  <c r="H39" i="25" s="1" a="1"/>
  <c r="H39" i="25" s="1"/>
  <c r="E49" i="25"/>
  <c r="G49" i="25" s="1"/>
  <c r="H49" i="25" s="1" a="1"/>
  <c r="H49" i="25" s="1"/>
  <c r="E19" i="25"/>
  <c r="E31" i="25"/>
  <c r="G31" i="25" s="1"/>
  <c r="H31" i="25" s="1" a="1"/>
  <c r="H31" i="25" s="1"/>
  <c r="E33" i="25"/>
  <c r="G33" i="25" s="1"/>
  <c r="H33" i="25" s="1" a="1"/>
  <c r="H33" i="25" s="1"/>
  <c r="E38" i="25"/>
  <c r="G38" i="25" s="1"/>
  <c r="H38" i="25" s="1" a="1"/>
  <c r="H38" i="25" s="1"/>
  <c r="E43" i="25"/>
  <c r="G43" i="25" s="1"/>
  <c r="H43" i="25" s="1" a="1"/>
  <c r="H43" i="25" s="1"/>
  <c r="E46" i="25"/>
  <c r="G46" i="25" s="1"/>
  <c r="H46" i="25" s="1" a="1"/>
  <c r="H46" i="25" s="1"/>
  <c r="E50" i="25"/>
  <c r="G50" i="25" s="1"/>
  <c r="H50" i="25" s="1" a="1"/>
  <c r="H50" i="25" s="1"/>
  <c r="E17" i="29"/>
  <c r="E22" i="29"/>
  <c r="G22" i="29" s="1"/>
  <c r="H22" i="29" s="1" a="1"/>
  <c r="H22" i="29" s="1"/>
  <c r="E27" i="29"/>
  <c r="G27" i="29" s="1"/>
  <c r="H27" i="29" s="1" a="1"/>
  <c r="H27" i="29" s="1"/>
  <c r="E36" i="29"/>
  <c r="G36" i="29" s="1"/>
  <c r="H36" i="29" s="1" a="1"/>
  <c r="H36" i="29" s="1"/>
  <c r="E39" i="29"/>
  <c r="G39" i="29" s="1"/>
  <c r="H39" i="29" s="1" a="1"/>
  <c r="H39" i="29" s="1"/>
  <c r="E41" i="29"/>
  <c r="G41" i="29" s="1"/>
  <c r="H41" i="29" s="1" a="1"/>
  <c r="H41" i="29" s="1"/>
  <c r="H68" i="21"/>
  <c r="H70" i="21" s="1"/>
  <c r="G68" i="21"/>
  <c r="B80" i="3"/>
  <c r="G70" i="30"/>
  <c r="H70" i="30"/>
  <c r="H68" i="26"/>
  <c r="G68" i="26"/>
  <c r="D95" i="32" a="1"/>
  <c r="D72" i="32" a="1"/>
  <c r="D29" i="32" a="1"/>
  <c r="D25" i="32" a="1"/>
  <c r="D6" i="32" a="1"/>
  <c r="D24" i="32" a="1"/>
  <c r="D7" i="32" a="1"/>
  <c r="D90" i="32" a="1"/>
  <c r="D91" i="32" a="1"/>
  <c r="D11" i="32" a="1"/>
  <c r="D73" i="32" a="1"/>
  <c r="D77" i="32" a="1"/>
  <c r="D77" i="32" l="1"/>
  <c r="D73" i="32"/>
  <c r="D6" i="32"/>
  <c r="D7" i="32"/>
  <c r="D25" i="32"/>
  <c r="D91" i="32"/>
  <c r="D90" i="32"/>
  <c r="D72" i="32"/>
  <c r="D24" i="32"/>
  <c r="D95" i="32"/>
  <c r="D11" i="32"/>
  <c r="D29" i="32"/>
  <c r="G45" i="27"/>
  <c r="E68" i="27"/>
  <c r="B70" i="3"/>
  <c r="G70" i="28"/>
  <c r="B71" i="3" s="1"/>
  <c r="G70" i="24"/>
  <c r="B51" i="3" s="1"/>
  <c r="B50" i="3"/>
  <c r="G17" i="23"/>
  <c r="E68" i="23"/>
  <c r="G19" i="25"/>
  <c r="E68" i="25"/>
  <c r="E68" i="29"/>
  <c r="G17" i="29"/>
  <c r="H17" i="29" s="1" a="1"/>
  <c r="H17" i="29" s="1"/>
  <c r="G40" i="1"/>
  <c r="H40" i="1" s="1" a="1"/>
  <c r="H40" i="1" s="1"/>
  <c r="E68" i="1"/>
  <c r="B40" i="3"/>
  <c r="G70" i="21"/>
  <c r="B41" i="3" s="1"/>
  <c r="B81" i="3"/>
  <c r="H70" i="26"/>
  <c r="B60" i="3"/>
  <c r="G70" i="26"/>
  <c r="D94" i="32" a="1"/>
  <c r="D42" i="32" a="1"/>
  <c r="D47" i="32" a="1"/>
  <c r="D76" i="32" a="1"/>
  <c r="D10" i="32" a="1"/>
  <c r="D43" i="32" a="1"/>
  <c r="D28" i="32" a="1"/>
  <c r="D10" i="32" l="1"/>
  <c r="D76" i="32"/>
  <c r="D47" i="32"/>
  <c r="D42" i="32"/>
  <c r="D43" i="32"/>
  <c r="D28" i="32"/>
  <c r="D94" i="32"/>
  <c r="H45" i="27" a="1"/>
  <c r="H45" i="27" s="1"/>
  <c r="H68" i="27" s="1"/>
  <c r="H70" i="27" s="1"/>
  <c r="G68" i="27"/>
  <c r="H17" i="23" a="1"/>
  <c r="H17" i="23" s="1"/>
  <c r="H68" i="23" s="1"/>
  <c r="H70" i="23" s="1"/>
  <c r="G68" i="23"/>
  <c r="H19" i="25" a="1"/>
  <c r="H19" i="25" s="1"/>
  <c r="H68" i="25" s="1"/>
  <c r="G68" i="25"/>
  <c r="B56" i="3" s="1"/>
  <c r="G68" i="29"/>
  <c r="H68" i="29"/>
  <c r="G68" i="1"/>
  <c r="H68" i="1"/>
  <c r="B61" i="3"/>
  <c r="D38" i="32" a="1"/>
  <c r="D82" i="32" a="1"/>
  <c r="D46" i="32" a="1"/>
  <c r="D34" i="32" a="1"/>
  <c r="D86" i="32" a="1"/>
  <c r="D38" i="32" l="1"/>
  <c r="D46" i="32"/>
  <c r="D86" i="32"/>
  <c r="D34" i="32"/>
  <c r="D82" i="32"/>
  <c r="B66" i="3"/>
  <c r="G70" i="27"/>
  <c r="B46" i="3"/>
  <c r="G70" i="23"/>
  <c r="G70" i="25"/>
  <c r="H70" i="25"/>
  <c r="G70" i="29"/>
  <c r="B76" i="3"/>
  <c r="H70" i="29"/>
  <c r="G70" i="1"/>
  <c r="B36" i="3"/>
  <c r="H70" i="1"/>
  <c r="D51" i="32" a="1"/>
  <c r="D15" i="32" a="1"/>
  <c r="D56" i="32" a="1"/>
  <c r="D100" i="32" a="1"/>
  <c r="D99" i="32" a="1"/>
  <c r="D52" i="32" a="1"/>
  <c r="D16" i="32" a="1"/>
  <c r="D20" i="32" a="1"/>
  <c r="D81" i="32" a="1"/>
  <c r="D104" i="32" a="1"/>
  <c r="D33" i="32" a="1"/>
  <c r="D104" i="32" l="1"/>
  <c r="D81" i="32"/>
  <c r="D99" i="32"/>
  <c r="D56" i="32"/>
  <c r="D52" i="32"/>
  <c r="D100" i="32"/>
  <c r="D33" i="32"/>
  <c r="D16" i="32"/>
  <c r="D20" i="32"/>
  <c r="D15" i="32"/>
  <c r="D51" i="32"/>
  <c r="B67" i="3"/>
  <c r="B47" i="3"/>
  <c r="B57" i="3"/>
  <c r="B77" i="3"/>
  <c r="B37" i="3"/>
  <c r="D19" i="32" a="1"/>
  <c r="D37" i="32" a="1"/>
  <c r="D85" i="32" a="1"/>
  <c r="D103" i="32" a="1"/>
  <c r="D55" i="32" a="1"/>
  <c r="D103" i="32" l="1"/>
  <c r="D55" i="32"/>
  <c r="D37" i="32"/>
  <c r="D85" i="32"/>
  <c r="D19" i="32"/>
  <c r="B15" i="36"/>
  <c r="B16" i="36"/>
  <c r="I3" i="6" l="1"/>
  <c r="I19" i="6"/>
  <c r="I4" i="6"/>
  <c r="I6" i="6"/>
  <c r="I7" i="6"/>
  <c r="I9" i="6"/>
  <c r="I11" i="6"/>
  <c r="I13" i="6"/>
  <c r="I15" i="6"/>
  <c r="I16" i="6"/>
  <c r="I18" i="6"/>
  <c r="I21" i="6"/>
  <c r="I23" i="6"/>
  <c r="I25" i="6"/>
  <c r="I28" i="6"/>
  <c r="I31" i="6"/>
  <c r="I5" i="6"/>
  <c r="I8" i="6"/>
  <c r="I10" i="6"/>
  <c r="I12" i="6"/>
  <c r="I14" i="6"/>
  <c r="I17" i="6"/>
  <c r="I20" i="6"/>
  <c r="I22" i="6"/>
  <c r="I24" i="6"/>
  <c r="I26" i="6"/>
  <c r="I29" i="6"/>
  <c r="I30" i="6"/>
  <c r="I32" i="6"/>
  <c r="I27" i="6"/>
  <c r="F33" i="6"/>
  <c r="B20" i="36" l="1"/>
  <c r="B19" i="36" a="1"/>
  <c r="B19" i="36" s="1"/>
  <c r="B18" i="36"/>
  <c r="D114" i="32" s="1" a="1"/>
  <c r="D114" i="32" s="1"/>
  <c r="H33" i="6"/>
  <c r="I33" i="6" s="1"/>
  <c r="G33" i="6"/>
  <c r="B4" i="36" l="1"/>
  <c r="B6" i="36" s="1" a="1"/>
  <c r="B6" i="36" s="1"/>
  <c r="D111" i="32" a="1"/>
  <c r="D111" i="3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591B00-DE6D-4489-AF0F-3FF8539916B6}" keepAlive="1" name="Query - Bloomberg_DiscRates_Query" description="Connection to the 'Bloomberg_DiscRates_Query' query in the workbook." type="5" refreshedVersion="8" background="1" saveData="1">
    <dbPr connection="Provider=Microsoft.Mashup.OleDb.1;Data Source=$Workbook$;Location=Bloomberg_DiscRates_Query;Extended Properties=&quot;&quot;" command="SELECT * FROM [Bloomberg_DiscRates_Quer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<sst xmlns="http://schemas.openxmlformats.org/spreadsheetml/2006/main" count="3621" uniqueCount="383">
  <si>
    <t>Year</t>
  </si>
  <si>
    <t>Age</t>
  </si>
  <si>
    <t>HSD</t>
  </si>
  <si>
    <t>GED</t>
  </si>
  <si>
    <t>Time To Marity</t>
  </si>
  <si>
    <t>Discount Rate (Nominal)</t>
  </si>
  <si>
    <t>1</t>
  </si>
  <si>
    <t>2027</t>
  </si>
  <si>
    <t>2</t>
  </si>
  <si>
    <t>2028</t>
  </si>
  <si>
    <t>3</t>
  </si>
  <si>
    <t>2029</t>
  </si>
  <si>
    <t>4</t>
  </si>
  <si>
    <t>2030</t>
  </si>
  <si>
    <t>5</t>
  </si>
  <si>
    <t>2031</t>
  </si>
  <si>
    <t>6</t>
  </si>
  <si>
    <t>2032</t>
  </si>
  <si>
    <t>7</t>
  </si>
  <si>
    <t>2033</t>
  </si>
  <si>
    <t>8</t>
  </si>
  <si>
    <t>2034</t>
  </si>
  <si>
    <t>9</t>
  </si>
  <si>
    <t>2035</t>
  </si>
  <si>
    <t>10</t>
  </si>
  <si>
    <t>2036</t>
  </si>
  <si>
    <t>11</t>
  </si>
  <si>
    <t>2037</t>
  </si>
  <si>
    <t>12</t>
  </si>
  <si>
    <t>2038</t>
  </si>
  <si>
    <t>13</t>
  </si>
  <si>
    <t>2039</t>
  </si>
  <si>
    <t>14</t>
  </si>
  <si>
    <t>2040</t>
  </si>
  <si>
    <t>15</t>
  </si>
  <si>
    <t>2041</t>
  </si>
  <si>
    <t>16</t>
  </si>
  <si>
    <t>2042</t>
  </si>
  <si>
    <t>17</t>
  </si>
  <si>
    <t>2043</t>
  </si>
  <si>
    <t>18</t>
  </si>
  <si>
    <t>2044</t>
  </si>
  <si>
    <t>19</t>
  </si>
  <si>
    <t>2045</t>
  </si>
  <si>
    <t>20</t>
  </si>
  <si>
    <t>2046</t>
  </si>
  <si>
    <t>21</t>
  </si>
  <si>
    <t>2047</t>
  </si>
  <si>
    <t>22</t>
  </si>
  <si>
    <t>2048</t>
  </si>
  <si>
    <t>23</t>
  </si>
  <si>
    <t>2049</t>
  </si>
  <si>
    <t>24</t>
  </si>
  <si>
    <t>2050</t>
  </si>
  <si>
    <t>25</t>
  </si>
  <si>
    <t>2051</t>
  </si>
  <si>
    <t>26</t>
  </si>
  <si>
    <t>2052</t>
  </si>
  <si>
    <t>27</t>
  </si>
  <si>
    <t>2053</t>
  </si>
  <si>
    <t>28</t>
  </si>
  <si>
    <t>2054</t>
  </si>
  <si>
    <t>29</t>
  </si>
  <si>
    <t>2055</t>
  </si>
  <si>
    <t>30</t>
  </si>
  <si>
    <t>Gender</t>
  </si>
  <si>
    <t>Table</t>
  </si>
  <si>
    <t>WLE
Mean</t>
  </si>
  <si>
    <t>All-Education</t>
  </si>
  <si>
    <t>M</t>
  </si>
  <si>
    <t>No Education to 9th</t>
  </si>
  <si>
    <t>10th to 12th Grade</t>
  </si>
  <si>
    <t>Some College</t>
  </si>
  <si>
    <t>Associates Degree</t>
  </si>
  <si>
    <t>Bachelor's Degree</t>
  </si>
  <si>
    <t>Master's Degree</t>
  </si>
  <si>
    <t>Professional or Doctoral</t>
  </si>
  <si>
    <t>F</t>
  </si>
  <si>
    <t>2056</t>
  </si>
  <si>
    <t>CASE INFORMATION</t>
  </si>
  <si>
    <t>Plaintiff Name:</t>
  </si>
  <si>
    <t>Date of Birth (DOB):</t>
  </si>
  <si>
    <t>Date of Accident (DOA):</t>
  </si>
  <si>
    <t>Date of Trial (DOT):</t>
  </si>
  <si>
    <t>Gender (M/F):</t>
  </si>
  <si>
    <t>Education Level:</t>
  </si>
  <si>
    <t>Base Annual Earnings:</t>
  </si>
  <si>
    <t>CALCULATED VALUES</t>
  </si>
  <si>
    <t>Age at Accident:</t>
  </si>
  <si>
    <t>Age at Trial:</t>
  </si>
  <si>
    <t>Life Expectancy at Accident:</t>
  </si>
  <si>
    <t>Life Expectancy at Trial:</t>
  </si>
  <si>
    <t>Work Life Expectancy (WLE):</t>
  </si>
  <si>
    <t>WLE at Trial:</t>
  </si>
  <si>
    <t>Full Years for PV Calc:</t>
  </si>
  <si>
    <t>Partial Year Fraction:</t>
  </si>
  <si>
    <t>ASSUMPTIONS</t>
  </si>
  <si>
    <t>Growth Rate:</t>
  </si>
  <si>
    <t>LOSS SUMMARY</t>
  </si>
  <si>
    <t>Base Earnings:</t>
  </si>
  <si>
    <t>Full Years:</t>
  </si>
  <si>
    <t>Partial Year:</t>
  </si>
  <si>
    <t>Calendar Year</t>
  </si>
  <si>
    <t>Proration Factor</t>
  </si>
  <si>
    <t>TOTAL</t>
  </si>
  <si>
    <t>Retirement Age:</t>
  </si>
  <si>
    <t>Years to Retirement (from Trial):</t>
  </si>
  <si>
    <t>Full Years (Retirement):</t>
  </si>
  <si>
    <t>Partial Year (Retirement):</t>
  </si>
  <si>
    <t>Years to Retirement:</t>
  </si>
  <si>
    <t>Years from Accident to Trial:</t>
  </si>
  <si>
    <t>Full Pre-Trial Years:</t>
  </si>
  <si>
    <t>PRE-TRIAL LOSSES (Accident to Trial)</t>
  </si>
  <si>
    <t>Loss Amount</t>
  </si>
  <si>
    <t>PRE-TRIAL SUBTOTAL</t>
  </si>
  <si>
    <t>POST-TRIAL LOSSES (Trial to WLE)</t>
  </si>
  <si>
    <t>GRAND TOTAL (Pre-Trial + Post-Trial)</t>
  </si>
  <si>
    <t>POST-TRIAL LOSSES (Trial to Retirement)</t>
  </si>
  <si>
    <t>Month</t>
  </si>
  <si>
    <t>CPI Index</t>
  </si>
  <si>
    <t>Trial CPI</t>
  </si>
  <si>
    <t>Pre-Trial Method:</t>
  </si>
  <si>
    <t>Adjusted Loss</t>
  </si>
  <si>
    <t>← INPUT</t>
  </si>
  <si>
    <t>Custom/Interest Rate:</t>
  </si>
  <si>
    <t>← Options: "CPI Adjustment", "No Adjustment", or "Custom Rate"</t>
  </si>
  <si>
    <t>Growth Factor</t>
  </si>
  <si>
    <t>PRESENT VALUE LOSS - BASE 2 WLE SCENARIO</t>
  </si>
  <si>
    <t>PRESENT VALUE LOSS - BASE 2 TO AGE SCENARIO</t>
  </si>
  <si>
    <t>PRESENT VALUE LOSS - BASE 3 WLE SCENARIO</t>
  </si>
  <si>
    <t>PRESENT VALUE LOSS - BASE 3 TO AGE SCENARIO</t>
  </si>
  <si>
    <t>BASE 1 SCENARIOS</t>
  </si>
  <si>
    <t xml:space="preserve">  WLE Scenario:</t>
  </si>
  <si>
    <t xml:space="preserve">    Pre-Trial Loss:</t>
  </si>
  <si>
    <t xml:space="preserve">    Post-Trial Loss:</t>
  </si>
  <si>
    <t xml:space="preserve">    TOTAL - WLE:</t>
  </si>
  <si>
    <t xml:space="preserve">  To Age Scenario:</t>
  </si>
  <si>
    <t xml:space="preserve">    TOTAL - To Age:</t>
  </si>
  <si>
    <t>BASE 2 SCENARIOS</t>
  </si>
  <si>
    <t>BASE 3 SCENARIOS</t>
  </si>
  <si>
    <t>PRESENT VALUE LOSS - BASE 1 WLE SCENARIO</t>
  </si>
  <si>
    <t>PRESENT VALUE LOSS - BASE 1 TO AGE SCENARIO</t>
  </si>
  <si>
    <t>PRESENT VALUE LOSS - BASE 5 WLE SCENARIO</t>
  </si>
  <si>
    <t>PRESENT VALUE LOSS - BASE 5 TO AGE SCENARIO</t>
  </si>
  <si>
    <t>BASE 4 SCENARIOS</t>
  </si>
  <si>
    <t>BASE 5 SCENARIOS</t>
  </si>
  <si>
    <t>POST-TRIAL LOSSES (To Age)</t>
  </si>
  <si>
    <t>POST-TRIAL LOSSES (Trial to Age)</t>
  </si>
  <si>
    <t>Custom Rate</t>
  </si>
  <si>
    <t>Effective Tax Rate</t>
  </si>
  <si>
    <t>After Tax</t>
  </si>
  <si>
    <t>← Apply Tax</t>
  </si>
  <si>
    <t>Earnings</t>
  </si>
  <si>
    <t>PV2 OUTPUTS</t>
  </si>
  <si>
    <t>Variable Name</t>
  </si>
  <si>
    <t>Worksheet Name</t>
  </si>
  <si>
    <t>Cell Reference</t>
  </si>
  <si>
    <t>Live Cell Value</t>
  </si>
  <si>
    <t>Table Name</t>
  </si>
  <si>
    <t>Chart Name</t>
  </si>
  <si>
    <t>Case Inputs</t>
  </si>
  <si>
    <t>B13</t>
  </si>
  <si>
    <t>B14</t>
  </si>
  <si>
    <t>B15</t>
  </si>
  <si>
    <t>B16</t>
  </si>
  <si>
    <t>B17</t>
  </si>
  <si>
    <t>B18</t>
  </si>
  <si>
    <t>B19</t>
  </si>
  <si>
    <t>B20</t>
  </si>
  <si>
    <t>B7</t>
  </si>
  <si>
    <t>B21</t>
  </si>
  <si>
    <t>B22</t>
  </si>
  <si>
    <t>B23</t>
  </si>
  <si>
    <t>b1e_WLE_earnings</t>
  </si>
  <si>
    <t>Base 1 PV Loss WLE</t>
  </si>
  <si>
    <t>B3</t>
  </si>
  <si>
    <t>b1e_WLE_growth_rate</t>
  </si>
  <si>
    <t>E3</t>
  </si>
  <si>
    <t>b1e_WLE_pretrial_loss_adj</t>
  </si>
  <si>
    <t>b1e_WLE_posttrial_loss_adj</t>
  </si>
  <si>
    <t>b1e_toage_earnings</t>
  </si>
  <si>
    <t>Base 1 PV Loss To Age</t>
  </si>
  <si>
    <t>b1e_toage_growth_rate</t>
  </si>
  <si>
    <t>b1e_toage_pretrial_loss_adj</t>
  </si>
  <si>
    <t>b1e_toage_posttrial_loss_adj</t>
  </si>
  <si>
    <t>b1e_WLE_total_loss_adj</t>
  </si>
  <si>
    <t>b1e_toage_total_loss_adj</t>
  </si>
  <si>
    <t>b2e_WLE_earnings</t>
  </si>
  <si>
    <t>Base 2 PV Loss WLE</t>
  </si>
  <si>
    <t>b2e_WLE_growth_rate</t>
  </si>
  <si>
    <t>b2e_WLE_pretrial_loss_adj</t>
  </si>
  <si>
    <t>b2e_WLE_posttrial_loss_adj</t>
  </si>
  <si>
    <t>b2e_toage_earnings</t>
  </si>
  <si>
    <t>Base 2 PV Loss To Age</t>
  </si>
  <si>
    <t>b2e_toage_growth_rate</t>
  </si>
  <si>
    <t>b2e_toage_pretrial_loss_adj</t>
  </si>
  <si>
    <t>b2e_toage_posttrial_loss_adj</t>
  </si>
  <si>
    <t>b2e_WLE_total_loss_adj</t>
  </si>
  <si>
    <t>DR for bases are WLE years (rounded up) from Bloomberg</t>
  </si>
  <si>
    <t>fraction of year multiplied by highest rate to get actual</t>
  </si>
  <si>
    <t>b2e_toage_total_loss_adj</t>
  </si>
  <si>
    <t>b3e_WLE_earnings</t>
  </si>
  <si>
    <t>Base 3 PV Loss WLE</t>
  </si>
  <si>
    <t>b3e_WLE_growth_rate</t>
  </si>
  <si>
    <t>b3e_WLE_pretrial_loss_adj</t>
  </si>
  <si>
    <t>b3e_WLE_posttrial_loss_adj</t>
  </si>
  <si>
    <t>b3e_toage_earnings</t>
  </si>
  <si>
    <t>Base 3 PV Loss To Age</t>
  </si>
  <si>
    <t>b3e_toage_growth_rate</t>
  </si>
  <si>
    <t>b3e_toage_pretrial_loss_adj</t>
  </si>
  <si>
    <t>b3e_toage_posttrial_loss_adj</t>
  </si>
  <si>
    <t>b3e_WLE_total_loss_adj</t>
  </si>
  <si>
    <t>b3e_toage_total_loss_adj</t>
  </si>
  <si>
    <t>credit1_WLE_earnings</t>
  </si>
  <si>
    <t>credit1_WLE_growth_rate</t>
  </si>
  <si>
    <t>credit1_toage_earnings</t>
  </si>
  <si>
    <t>credit1_toage_growth_rate</t>
  </si>
  <si>
    <t>credit2_WLE_earnings</t>
  </si>
  <si>
    <t>credit2_WLE_growth_rate</t>
  </si>
  <si>
    <t>credit2_toage_earnings</t>
  </si>
  <si>
    <t>credit2_toage_growth_rate</t>
  </si>
  <si>
    <t>b1e_WLE_pretrial_loss_taxed</t>
  </si>
  <si>
    <t>b1e_WLE_posttrial_loss_taxed</t>
  </si>
  <si>
    <t>b1e_toage_pretrial_loss_taxed</t>
  </si>
  <si>
    <t>b1e_toage_posttrial_loss_taxed</t>
  </si>
  <si>
    <t>b1e_WLE_total_loss_taxed</t>
  </si>
  <si>
    <t>b1e_toage_total_loss_taxed</t>
  </si>
  <si>
    <t>b2e_WLE_pretrial_loss_taxed</t>
  </si>
  <si>
    <t>b2e_WLE_posttrial_loss_taxed</t>
  </si>
  <si>
    <t>b2e_toage_pretrial_loss_taxed</t>
  </si>
  <si>
    <t>b2e_toage_posttrial_loss_taxed</t>
  </si>
  <si>
    <t>b2e_WLE_total_loss_taxed</t>
  </si>
  <si>
    <t>b2e_toage_total_loss_taxed</t>
  </si>
  <si>
    <t>b3e_WLE_pretrial_loss_taxed</t>
  </si>
  <si>
    <t>b3e_WLE_posttrial_loss_taxed</t>
  </si>
  <si>
    <t>b3e_toage_pretrial_loss_taxed</t>
  </si>
  <si>
    <t>b3e_toage_posttrial_loss_taxed</t>
  </si>
  <si>
    <t>b3e_WLE_total_loss_taxed</t>
  </si>
  <si>
    <t>b3e_toage_total_loss_taxed</t>
  </si>
  <si>
    <t>G14</t>
  </si>
  <si>
    <t>H14</t>
  </si>
  <si>
    <t>G68</t>
  </si>
  <si>
    <t>H68</t>
  </si>
  <si>
    <t>G70</t>
  </si>
  <si>
    <t>H70</t>
  </si>
  <si>
    <t>credit2_toage_pretrial_adj</t>
  </si>
  <si>
    <t>credit2_toage_pretrial_taxed</t>
  </si>
  <si>
    <t>credit2_toage_posttrial_adj</t>
  </si>
  <si>
    <t>credit2_toage_posttrial_taxed</t>
  </si>
  <si>
    <t>credit2_WLE_total_adj</t>
  </si>
  <si>
    <t>credit2_WLE_total_taxed</t>
  </si>
  <si>
    <t>credit2_toage_total_adj</t>
  </si>
  <si>
    <t>credit2_toage_total_taxed</t>
  </si>
  <si>
    <t>credit1_toage_total_taxed</t>
  </si>
  <si>
    <t>credit1_WLE_pretrial_adj</t>
  </si>
  <si>
    <t>credit1_WLE_pretrial_taxed</t>
  </si>
  <si>
    <t>credit1_WLE_posttrial_adj</t>
  </si>
  <si>
    <t>credit1_WLE_posttrial_taxed</t>
  </si>
  <si>
    <t>credit1_toage_pretrial_adj</t>
  </si>
  <si>
    <t>credit1_toage_pretrial_taxed</t>
  </si>
  <si>
    <t>credit1_toage_posttrial_adj</t>
  </si>
  <si>
    <t>credit1_toage_posttrial_taxed</t>
  </si>
  <si>
    <t>credit1_WLE_total_adj</t>
  </si>
  <si>
    <t>credit1_WLE_total_taxed</t>
  </si>
  <si>
    <t>credit1_toage_total_adj</t>
  </si>
  <si>
    <t>credit2_WLE_pretrial_adj</t>
  </si>
  <si>
    <t>credit2_WLE_pretrial_taxed</t>
  </si>
  <si>
    <t>credit2_WLE_posttrial_adj</t>
  </si>
  <si>
    <t>credit2_WLE_posttrial_taxed</t>
  </si>
  <si>
    <t>BLOOMBERG DISCOUNT RATES</t>
  </si>
  <si>
    <t>WLE Int:</t>
  </si>
  <si>
    <t>WLE Partial:</t>
  </si>
  <si>
    <t>WLE DISCOUNT RATES</t>
  </si>
  <si>
    <t>TO AGE DISCOUNT RATES</t>
  </si>
  <si>
    <t>To Age Partial:</t>
  </si>
  <si>
    <t>To Age Int:</t>
  </si>
  <si>
    <t>WLE DR Max Year (Int):</t>
  </si>
  <si>
    <t>WLE DR Min Year (Int):</t>
  </si>
  <si>
    <t>WLE DR Max Year (Partial):</t>
  </si>
  <si>
    <t>To Age DR Min Year (Int):</t>
  </si>
  <si>
    <t>To Age DR Max Year (Int):</t>
  </si>
  <si>
    <t>To Age DR Max Year (Partial):</t>
  </si>
  <si>
    <t>WLE Duration</t>
  </si>
  <si>
    <t>To Age Duration</t>
  </si>
  <si>
    <t>WLE at Reference:</t>
  </si>
  <si>
    <t>To Age at Reference:</t>
  </si>
  <si>
    <t>FROZEN RATES</t>
  </si>
  <si>
    <t>2.581</t>
  </si>
  <si>
    <t>claimant_age_at_DOI</t>
  </si>
  <si>
    <t>claimant_age_at_trial</t>
  </si>
  <si>
    <t>claimant_LE_at_DOI</t>
  </si>
  <si>
    <t>claimant_LE_at_trial</t>
  </si>
  <si>
    <t>claimant_WLE</t>
  </si>
  <si>
    <t>claimant_WLE_from_trial_full</t>
  </si>
  <si>
    <t>claimant_WLE_from_trial_int</t>
  </si>
  <si>
    <t>claimant_WLE_from_trial_partial</t>
  </si>
  <si>
    <t>claimant_age_at_retire</t>
  </si>
  <si>
    <t>claimant_retire_from_trial_full</t>
  </si>
  <si>
    <t>claimant_retire_from_trial_int</t>
  </si>
  <si>
    <t>claimant_retire_from_trial_partial</t>
  </si>
  <si>
    <t>b1e_WLE_eff_tax_rate</t>
  </si>
  <si>
    <t>b2e_WLE_eff_tax_rate</t>
  </si>
  <si>
    <t>b3e_WLE_eff_tax_rate</t>
  </si>
  <si>
    <t>credit1_WLE_eff_tax_rate</t>
  </si>
  <si>
    <t>credit2_WLE_eff_tax_rate</t>
  </si>
  <si>
    <t>b1e_toage_eff_tax_rate</t>
  </si>
  <si>
    <t>b2e_toage_eff_tax_rate</t>
  </si>
  <si>
    <t>b3e_toage_eff_tax_rate</t>
  </si>
  <si>
    <t>credit1_toage_eff_tax_rate</t>
  </si>
  <si>
    <t>credit2_toage_eff_tax_rate</t>
  </si>
  <si>
    <t>Discount Rates</t>
  </si>
  <si>
    <t>WLE Min Year DR:</t>
  </si>
  <si>
    <t>WLE Max Year DR:</t>
  </si>
  <si>
    <t>WLE Max Year Partial DR:</t>
  </si>
  <si>
    <t>To Age Min Year DR:</t>
  </si>
  <si>
    <t>To Age Max Year DR:</t>
  </si>
  <si>
    <t>To Age Max Year Partial DR:</t>
  </si>
  <si>
    <t>Discount Rates Helpers:</t>
  </si>
  <si>
    <t>Bloomberg Timestamp</t>
  </si>
  <si>
    <t>Frozen Table Timestamp</t>
  </si>
  <si>
    <t>WLE DR Chart Note</t>
  </si>
  <si>
    <t>To Age DR Chart Note</t>
  </si>
  <si>
    <t>← Sample rates (refresh Power Query for actual)</t>
  </si>
  <si>
    <t>WLE DR Chart Max Percent</t>
  </si>
  <si>
    <t>To Age DR Chart Max Percent</t>
  </si>
  <si>
    <t>Credit 1 PV Loss to Age</t>
  </si>
  <si>
    <t>Credit 1 PV Loss WLE</t>
  </si>
  <si>
    <t>Credit 2 PV Loss To Age</t>
  </si>
  <si>
    <t>Credit 2 PV Loss WLE</t>
  </si>
  <si>
    <t>E5</t>
  </si>
  <si>
    <t>John Smith</t>
  </si>
  <si>
    <t>WLE_DiscRates_Chart</t>
  </si>
  <si>
    <t>ToAge_DiscRates_Chart</t>
  </si>
  <si>
    <t>3.004</t>
  </si>
  <si>
    <t>3.108</t>
  </si>
  <si>
    <t>4.422</t>
  </si>
  <si>
    <t>4.436</t>
  </si>
  <si>
    <t>4.460</t>
  </si>
  <si>
    <t>2.576</t>
  </si>
  <si>
    <t>2.580</t>
  </si>
  <si>
    <t>2.626</t>
  </si>
  <si>
    <t>2.678</t>
  </si>
  <si>
    <t>2.750</t>
  </si>
  <si>
    <t>2.850</t>
  </si>
  <si>
    <t>2.914</t>
  </si>
  <si>
    <t>3.200</t>
  </si>
  <si>
    <t>3.297</t>
  </si>
  <si>
    <t>3.370</t>
  </si>
  <si>
    <t>3.451</t>
  </si>
  <si>
    <t>3.501</t>
  </si>
  <si>
    <t>3.609</t>
  </si>
  <si>
    <t>3.741</t>
  </si>
  <si>
    <t>3.873</t>
  </si>
  <si>
    <t>4.010</t>
  </si>
  <si>
    <t>4.133</t>
  </si>
  <si>
    <t>4.214</t>
  </si>
  <si>
    <t>4.280</t>
  </si>
  <si>
    <t>4.325</t>
  </si>
  <si>
    <t>4.377</t>
  </si>
  <si>
    <t>4.399</t>
  </si>
  <si>
    <t>4.466</t>
  </si>
  <si>
    <t>4.486</t>
  </si>
  <si>
    <t>TO AGE</t>
  </si>
  <si>
    <t>WLE</t>
  </si>
  <si>
    <t>Discount Rate (Percentage)</t>
  </si>
  <si>
    <t>HelperCells</t>
  </si>
  <si>
    <t>B31</t>
  </si>
  <si>
    <t>B32</t>
  </si>
  <si>
    <t>PV2_toage_DR_year_min_disc_rate</t>
  </si>
  <si>
    <t>PV2_toage_DR_year_max_disc_rate</t>
  </si>
  <si>
    <t>PV2_WLE_DR_year_min_disc_rate</t>
  </si>
  <si>
    <t>PV2_WLE_DR_year_max_disc_rate</t>
  </si>
  <si>
    <t>PV2_WLE_DR_year_min</t>
  </si>
  <si>
    <t>PV2_WLE_DR_year_max</t>
  </si>
  <si>
    <t>PV2_toage_DR_year_min</t>
  </si>
  <si>
    <t>PV2_toage_DR_year_max</t>
  </si>
  <si>
    <t>PV2_WLE_DR_year_max_partial</t>
  </si>
  <si>
    <t>PV2_toage_DR_year_max_partial</t>
  </si>
  <si>
    <t>B27</t>
  </si>
  <si>
    <t>B28</t>
  </si>
  <si>
    <t>B29</t>
  </si>
  <si>
    <t>PRESENT VALUE LOSS - CREDIT 1 TO AGE SCENARIO</t>
  </si>
  <si>
    <t>PRESENT VALUE LOSS - CREDIT 1 WLE SCENARIO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</si>
</sst>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164" formatCode="&quot;$&quot;#,##0"/>
    <numFmt numFmtId="165" formatCode="0.0"/>
    <numFmt numFmtId="166" formatCode="&quot;$&quot;#,##0.00"/>
    <numFmt numFmtId="167" formatCode="mm/dd/yyyy"/>
    <numFmt numFmtId="168" formatCode="0.0000"/>
    <numFmt numFmtId="169" formatCode="0.000"/>
    <numFmt numFmtId="170" formatCode="mm/dd/yyyy\ hh:mm\ AM/PM"/>
    <numFmt numFmtId="171" formatCode="0.0%"/>
    <numFmt numFmtId="172" formatCode="0.000%"/>
  </numFmts>
  <fonts count="35" x14ac:knownFonts="1">
    <font>
      <sz val="10"/>
      <name val="Arial"/>
    </font>
    <font>
      <u/>
      <sz val="10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2"/>
      <color rgb="FF006100"/>
      <name val="Calibri"/>
      <family val="2"/>
      <scheme val="minor"/>
    </font>
    <font>
      <sz val="12"/>
      <color rgb="FF9C65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4"/>
      <name val="Arial"/>
      <family val="2"/>
    </font>
    <font>
      <b/>
      <sz val="14"/>
      <color rgb="FFFFFFFF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i/>
      <sz val="10"/>
      <color rgb="FFC00000"/>
      <name val="Arial"/>
      <family val="2"/>
    </font>
    <font>
      <i/>
      <sz val="10"/>
      <color rgb="FF666666"/>
      <name val="Arial"/>
      <family val="2"/>
    </font>
    <font>
      <b/>
      <sz val="10"/>
      <color theme="0"/>
      <name val="Arial"/>
      <family val="2"/>
    </font>
    <font>
      <b/>
      <sz val="10"/>
      <color rgb="FFFFFFFF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b/>
      <sz val="16"/>
      <color theme="1"/>
      <name val="Aptos Display"/>
      <family val="2"/>
    </font>
    <font>
      <b/>
      <u/>
      <sz val="12"/>
      <color theme="1"/>
      <name val="Aptos Display"/>
      <family val="2"/>
    </font>
    <font>
      <b/>
      <u/>
      <sz val="12"/>
      <color theme="1" tint="4.9989318521683403E-2"/>
      <name val="Aptos Display"/>
      <family val="2"/>
    </font>
    <font>
      <sz val="11"/>
      <name val="Aptos Narrow"/>
      <family val="2"/>
    </font>
    <font>
      <sz val="11"/>
      <color theme="1"/>
      <name val="Aptos Narrow"/>
      <family val="2"/>
    </font>
    <font>
      <sz val="12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i/>
      <sz val="10"/>
      <name val="Arial"/>
      <family val="2"/>
    </font>
    <font>
      <i/>
      <u/>
      <sz val="9"/>
      <name val="Arial"/>
      <family val="2"/>
    </font>
    <font>
      <b/>
      <sz val="9"/>
      <name val="Arial"/>
      <family val="2"/>
    </font>
    <font>
      <sz val="8"/>
      <color rgb="FF000000"/>
      <name val="Segoe U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8B2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CE6F1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70C0"/>
        <bgColor indexed="64"/>
      </patternFill>
    </fill>
  </fills>
  <borders count="5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1" tint="4.9989318521683403E-2"/>
      </left>
      <right style="thin">
        <color auto="1"/>
      </right>
      <top style="medium">
        <color theme="1" tint="4.9989318521683403E-2"/>
      </top>
      <bottom style="thin">
        <color auto="1"/>
      </bottom>
      <diagonal/>
    </border>
    <border>
      <left style="thin">
        <color auto="1"/>
      </left>
      <right style="medium">
        <color theme="1" tint="4.9989318521683403E-2"/>
      </right>
      <top style="medium">
        <color theme="1" tint="4.9989318521683403E-2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/>
      <diagonal/>
    </border>
    <border>
      <left style="thin">
        <color auto="1"/>
      </left>
      <right style="medium">
        <color theme="1"/>
      </right>
      <top style="medium">
        <color theme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4.9989318521683403E-2"/>
      </left>
      <right/>
      <top style="thin">
        <color auto="1"/>
      </top>
      <bottom style="thin">
        <color theme="1" tint="4.9989318521683403E-2"/>
      </bottom>
      <diagonal/>
    </border>
    <border>
      <left style="thin">
        <color theme="1"/>
      </left>
      <right style="medium">
        <color theme="1" tint="4.9989318521683403E-2"/>
      </right>
      <top style="thin">
        <color auto="1"/>
      </top>
      <bottom style="thin">
        <color theme="1" tint="4.9989318521683403E-2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4.9989318521683403E-2"/>
      </right>
      <top/>
      <bottom style="thin">
        <color theme="0" tint="-0.14999847407452621"/>
      </bottom>
      <diagonal/>
    </border>
    <border>
      <left style="medium">
        <color theme="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 style="thin">
        <color theme="0" tint="-0.14999847407452621"/>
      </top>
      <bottom style="medium">
        <color theme="1" tint="4.9989318521683403E-2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medium">
        <color theme="1" tint="4.9989318521683403E-2"/>
      </bottom>
      <diagonal/>
    </border>
    <border>
      <left style="medium">
        <color theme="1"/>
      </left>
      <right style="thin">
        <color theme="0" tint="-0.14999847407452621"/>
      </right>
      <top style="thin">
        <color theme="0" tint="-0.14999847407452621"/>
      </top>
      <bottom style="medium">
        <color theme="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medium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theme="4" tint="0.59999389629810485"/>
      </left>
      <right/>
      <top style="thin">
        <color theme="4" tint="0.59999389629810485"/>
      </top>
      <bottom style="thin">
        <color theme="4" tint="0.59999389629810485"/>
      </bottom>
      <diagonal/>
    </border>
    <border>
      <left/>
      <right/>
      <top style="thin">
        <color theme="4" tint="0.59999389629810485"/>
      </top>
      <bottom style="thin">
        <color theme="4" tint="0.59999389629810485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</borders>
  <cellStyleXfs count="8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44" fontId="3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29" fillId="0" borderId="0" applyFont="0" applyFill="0" applyBorder="0" applyAlignment="0" applyProtection="0"/>
  </cellStyleXfs>
  <cellXfs count="170">
    <xf numFmtId="0" fontId="0" fillId="0" borderId="0" xfId="0"/>
    <xf numFmtId="0" fontId="1" fillId="0" borderId="0" xfId="0" applyFont="1"/>
    <xf numFmtId="164" fontId="0" fillId="0" borderId="0" xfId="0" applyNumberFormat="1"/>
    <xf numFmtId="0" fontId="1" fillId="0" borderId="0" xfId="0" applyFont="1" applyAlignment="1">
      <alignment horizontal="center"/>
    </xf>
    <xf numFmtId="164" fontId="2" fillId="0" borderId="0" xfId="0" applyNumberFormat="1" applyFont="1"/>
    <xf numFmtId="0" fontId="1" fillId="0" borderId="0" xfId="0" applyFont="1" applyAlignment="1">
      <alignment wrapText="1"/>
    </xf>
    <xf numFmtId="166" fontId="0" fillId="0" borderId="0" xfId="0" applyNumberFormat="1"/>
    <xf numFmtId="0" fontId="3" fillId="0" borderId="0" xfId="0" applyFont="1"/>
    <xf numFmtId="0" fontId="4" fillId="0" borderId="0" xfId="1" applyFill="1"/>
    <xf numFmtId="10" fontId="0" fillId="0" borderId="0" xfId="0" applyNumberFormat="1"/>
    <xf numFmtId="0" fontId="5" fillId="0" borderId="0" xfId="2" applyFill="1"/>
    <xf numFmtId="0" fontId="0" fillId="0" borderId="0" xfId="0" applyAlignment="1">
      <alignment vertical="center" wrapText="1"/>
    </xf>
    <xf numFmtId="0" fontId="6" fillId="4" borderId="1" xfId="0" applyFont="1" applyFill="1" applyBorder="1"/>
    <xf numFmtId="0" fontId="6" fillId="4" borderId="2" xfId="0" applyFont="1" applyFill="1" applyBorder="1"/>
    <xf numFmtId="0" fontId="0" fillId="5" borderId="1" xfId="0" applyFill="1" applyBorder="1"/>
    <xf numFmtId="0" fontId="7" fillId="5" borderId="2" xfId="0" applyFont="1" applyFill="1" applyBorder="1"/>
    <xf numFmtId="0" fontId="0" fillId="0" borderId="1" xfId="0" applyBorder="1"/>
    <xf numFmtId="0" fontId="7" fillId="0" borderId="2" xfId="0" applyFont="1" applyBorder="1"/>
    <xf numFmtId="0" fontId="8" fillId="0" borderId="0" xfId="0" applyFont="1"/>
    <xf numFmtId="168" fontId="0" fillId="0" borderId="0" xfId="0" applyNumberFormat="1"/>
    <xf numFmtId="1" fontId="0" fillId="0" borderId="0" xfId="0" applyNumberFormat="1"/>
    <xf numFmtId="0" fontId="8" fillId="11" borderId="0" xfId="0" applyFont="1" applyFill="1"/>
    <xf numFmtId="166" fontId="8" fillId="11" borderId="0" xfId="0" applyNumberFormat="1" applyFont="1" applyFill="1"/>
    <xf numFmtId="166" fontId="8" fillId="0" borderId="0" xfId="0" applyNumberFormat="1" applyFont="1"/>
    <xf numFmtId="0" fontId="11" fillId="7" borderId="0" xfId="0" applyFont="1" applyFill="1"/>
    <xf numFmtId="0" fontId="12" fillId="0" borderId="0" xfId="0" applyFont="1"/>
    <xf numFmtId="0" fontId="8" fillId="9" borderId="0" xfId="0" applyFont="1" applyFill="1"/>
    <xf numFmtId="0" fontId="0" fillId="11" borderId="0" xfId="0" applyFill="1"/>
    <xf numFmtId="169" fontId="0" fillId="0" borderId="0" xfId="0" applyNumberFormat="1"/>
    <xf numFmtId="10" fontId="0" fillId="12" borderId="0" xfId="0" applyNumberFormat="1" applyFill="1"/>
    <xf numFmtId="0" fontId="14" fillId="0" borderId="0" xfId="0" applyFont="1"/>
    <xf numFmtId="166" fontId="0" fillId="12" borderId="0" xfId="0" applyNumberFormat="1" applyFill="1"/>
    <xf numFmtId="0" fontId="11" fillId="15" borderId="0" xfId="0" applyFont="1" applyFill="1"/>
    <xf numFmtId="0" fontId="11" fillId="16" borderId="0" xfId="0" applyFont="1" applyFill="1"/>
    <xf numFmtId="0" fontId="15" fillId="17" borderId="0" xfId="0" applyFont="1" applyFill="1"/>
    <xf numFmtId="0" fontId="15" fillId="18" borderId="0" xfId="0" applyFont="1" applyFill="1"/>
    <xf numFmtId="0" fontId="0" fillId="19" borderId="0" xfId="0" applyFill="1"/>
    <xf numFmtId="9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19" fillId="0" borderId="3" xfId="0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19" fillId="0" borderId="7" xfId="0" applyFont="1" applyBorder="1" applyAlignment="1">
      <alignment horizontal="center"/>
    </xf>
    <xf numFmtId="44" fontId="19" fillId="0" borderId="6" xfId="4" applyFont="1" applyBorder="1"/>
    <xf numFmtId="44" fontId="19" fillId="0" borderId="8" xfId="4" applyFont="1" applyBorder="1"/>
    <xf numFmtId="167" fontId="0" fillId="8" borderId="0" xfId="0" applyNumberFormat="1" applyFill="1" applyAlignment="1">
      <alignment vertical="center"/>
    </xf>
    <xf numFmtId="1" fontId="0" fillId="12" borderId="0" xfId="0" applyNumberFormat="1" applyFill="1" applyAlignment="1">
      <alignment vertical="center"/>
    </xf>
    <xf numFmtId="0" fontId="3" fillId="8" borderId="0" xfId="0" applyFont="1" applyFill="1" applyAlignment="1">
      <alignment horizontal="right" vertical="center"/>
    </xf>
    <xf numFmtId="0" fontId="3" fillId="0" borderId="0" xfId="5"/>
    <xf numFmtId="0" fontId="3" fillId="0" borderId="0" xfId="5" applyAlignment="1">
      <alignment vertical="center"/>
    </xf>
    <xf numFmtId="0" fontId="21" fillId="23" borderId="16" xfId="5" applyFont="1" applyFill="1" applyBorder="1" applyAlignment="1">
      <alignment horizontal="center" vertical="center"/>
    </xf>
    <xf numFmtId="0" fontId="22" fillId="23" borderId="17" xfId="5" applyFont="1" applyFill="1" applyBorder="1" applyAlignment="1">
      <alignment horizontal="center" vertical="center"/>
    </xf>
    <xf numFmtId="0" fontId="22" fillId="23" borderId="18" xfId="5" applyFont="1" applyFill="1" applyBorder="1" applyAlignment="1">
      <alignment horizontal="center" vertical="center"/>
    </xf>
    <xf numFmtId="0" fontId="22" fillId="23" borderId="19" xfId="5" applyFont="1" applyFill="1" applyBorder="1" applyAlignment="1">
      <alignment horizontal="center" vertical="center"/>
    </xf>
    <xf numFmtId="0" fontId="22" fillId="23" borderId="20" xfId="5" applyFont="1" applyFill="1" applyBorder="1" applyAlignment="1">
      <alignment horizontal="center" vertical="center"/>
    </xf>
    <xf numFmtId="0" fontId="23" fillId="24" borderId="21" xfId="5" applyFont="1" applyFill="1" applyBorder="1" applyAlignment="1">
      <alignment horizontal="center" vertical="center"/>
    </xf>
    <xf numFmtId="0" fontId="24" fillId="0" borderId="22" xfId="5" applyFont="1" applyBorder="1" applyAlignment="1">
      <alignment horizontal="center"/>
    </xf>
    <xf numFmtId="0" fontId="24" fillId="0" borderId="23" xfId="5" applyFont="1" applyBorder="1" applyAlignment="1">
      <alignment horizontal="center"/>
    </xf>
    <xf numFmtId="0" fontId="24" fillId="0" borderId="24" xfId="5" applyFont="1" applyBorder="1" applyAlignment="1">
      <alignment horizontal="center" vertical="center"/>
    </xf>
    <xf numFmtId="0" fontId="24" fillId="0" borderId="25" xfId="5" applyFont="1" applyBorder="1" applyAlignment="1">
      <alignment horizontal="center" vertical="center"/>
    </xf>
    <xf numFmtId="0" fontId="23" fillId="26" borderId="26" xfId="5" applyFont="1" applyFill="1" applyBorder="1" applyAlignment="1">
      <alignment horizontal="center" vertical="center"/>
    </xf>
    <xf numFmtId="0" fontId="24" fillId="0" borderId="27" xfId="5" applyFont="1" applyBorder="1"/>
    <xf numFmtId="0" fontId="24" fillId="0" borderId="28" xfId="5" applyFont="1" applyBorder="1"/>
    <xf numFmtId="0" fontId="24" fillId="0" borderId="29" xfId="5" applyFont="1" applyBorder="1" applyAlignment="1">
      <alignment horizontal="center" vertical="center"/>
    </xf>
    <xf numFmtId="0" fontId="24" fillId="0" borderId="30" xfId="5" applyFont="1" applyBorder="1" applyAlignment="1">
      <alignment horizontal="center" vertical="center"/>
    </xf>
    <xf numFmtId="0" fontId="23" fillId="24" borderId="26" xfId="5" applyFont="1" applyFill="1" applyBorder="1" applyAlignment="1">
      <alignment horizontal="center" vertical="center"/>
    </xf>
    <xf numFmtId="0" fontId="23" fillId="25" borderId="26" xfId="5" applyFont="1" applyFill="1" applyBorder="1" applyAlignment="1">
      <alignment horizontal="center" vertical="center"/>
    </xf>
    <xf numFmtId="0" fontId="23" fillId="25" borderId="21" xfId="5" applyFont="1" applyFill="1" applyBorder="1" applyAlignment="1">
      <alignment horizontal="center" vertical="center"/>
    </xf>
    <xf numFmtId="0" fontId="24" fillId="0" borderId="31" xfId="5" applyFont="1" applyBorder="1"/>
    <xf numFmtId="0" fontId="24" fillId="0" borderId="32" xfId="5" applyFont="1" applyBorder="1"/>
    <xf numFmtId="0" fontId="24" fillId="0" borderId="33" xfId="5" applyFont="1" applyBorder="1" applyAlignment="1">
      <alignment horizontal="center" vertical="center"/>
    </xf>
    <xf numFmtId="0" fontId="24" fillId="0" borderId="34" xfId="5" applyFont="1" applyBorder="1" applyAlignment="1">
      <alignment horizontal="center" vertical="center"/>
    </xf>
    <xf numFmtId="0" fontId="24" fillId="6" borderId="26" xfId="5" applyFont="1" applyFill="1" applyBorder="1" applyAlignment="1">
      <alignment horizontal="center" vertical="center"/>
    </xf>
    <xf numFmtId="0" fontId="24" fillId="25" borderId="26" xfId="5" applyFont="1" applyFill="1" applyBorder="1" applyAlignment="1">
      <alignment horizontal="center" vertical="center"/>
    </xf>
    <xf numFmtId="0" fontId="0" fillId="12" borderId="0" xfId="0" applyFill="1" applyAlignment="1">
      <alignment horizontal="right"/>
    </xf>
    <xf numFmtId="0" fontId="25" fillId="0" borderId="0" xfId="0" applyFont="1" applyAlignment="1">
      <alignment horizontal="center"/>
    </xf>
    <xf numFmtId="0" fontId="11" fillId="0" borderId="0" xfId="0" applyFont="1"/>
    <xf numFmtId="0" fontId="8" fillId="0" borderId="0" xfId="0" applyFont="1" applyAlignment="1">
      <alignment horizontal="center" vertical="center"/>
    </xf>
    <xf numFmtId="0" fontId="11" fillId="27" borderId="36" xfId="0" applyFont="1" applyFill="1" applyBorder="1"/>
    <xf numFmtId="0" fontId="11" fillId="28" borderId="0" xfId="0" applyFont="1" applyFill="1"/>
    <xf numFmtId="0" fontId="11" fillId="28" borderId="36" xfId="0" applyFont="1" applyFill="1" applyBorder="1"/>
    <xf numFmtId="0" fontId="26" fillId="0" borderId="0" xfId="0" applyFont="1" applyAlignment="1">
      <alignment horizontal="left"/>
    </xf>
    <xf numFmtId="169" fontId="26" fillId="0" borderId="0" xfId="0" applyNumberFormat="1" applyFont="1" applyAlignment="1">
      <alignment horizontal="left"/>
    </xf>
    <xf numFmtId="0" fontId="11" fillId="27" borderId="0" xfId="0" applyFont="1" applyFill="1"/>
    <xf numFmtId="1" fontId="26" fillId="0" borderId="0" xfId="0" applyNumberFormat="1" applyFont="1" applyAlignment="1">
      <alignment horizontal="left"/>
    </xf>
    <xf numFmtId="0" fontId="27" fillId="0" borderId="0" xfId="0" applyFont="1"/>
    <xf numFmtId="0" fontId="0" fillId="0" borderId="0" xfId="0" applyAlignment="1">
      <alignment horizontal="left"/>
    </xf>
    <xf numFmtId="9" fontId="0" fillId="12" borderId="0" xfId="0" applyNumberFormat="1" applyFill="1"/>
    <xf numFmtId="0" fontId="28" fillId="30" borderId="0" xfId="0" applyFont="1" applyFill="1"/>
    <xf numFmtId="0" fontId="28" fillId="30" borderId="36" xfId="0" applyFont="1" applyFill="1" applyBorder="1"/>
    <xf numFmtId="0" fontId="12" fillId="0" borderId="0" xfId="0" applyFont="1" applyAlignment="1">
      <alignment wrapText="1"/>
    </xf>
    <xf numFmtId="0" fontId="26" fillId="31" borderId="37" xfId="0" applyFont="1" applyFill="1" applyBorder="1" applyAlignment="1">
      <alignment horizontal="left"/>
    </xf>
    <xf numFmtId="0" fontId="26" fillId="31" borderId="39" xfId="0" applyFont="1" applyFill="1" applyBorder="1" applyAlignment="1">
      <alignment horizontal="left"/>
    </xf>
    <xf numFmtId="0" fontId="26" fillId="29" borderId="38" xfId="0" applyFont="1" applyFill="1" applyBorder="1" applyAlignment="1">
      <alignment horizontal="left"/>
    </xf>
    <xf numFmtId="0" fontId="26" fillId="29" borderId="35" xfId="0" applyFont="1" applyFill="1" applyBorder="1" applyAlignment="1">
      <alignment horizontal="left"/>
    </xf>
    <xf numFmtId="0" fontId="26" fillId="31" borderId="38" xfId="0" applyFont="1" applyFill="1" applyBorder="1" applyAlignment="1">
      <alignment horizontal="left"/>
    </xf>
    <xf numFmtId="0" fontId="26" fillId="31" borderId="35" xfId="0" applyFont="1" applyFill="1" applyBorder="1" applyAlignment="1">
      <alignment horizontal="left"/>
    </xf>
    <xf numFmtId="169" fontId="26" fillId="31" borderId="39" xfId="0" applyNumberFormat="1" applyFont="1" applyFill="1" applyBorder="1" applyAlignment="1">
      <alignment horizontal="left"/>
    </xf>
    <xf numFmtId="169" fontId="26" fillId="29" borderId="35" xfId="0" applyNumberFormat="1" applyFont="1" applyFill="1" applyBorder="1" applyAlignment="1">
      <alignment horizontal="left"/>
    </xf>
    <xf numFmtId="169" fontId="26" fillId="31" borderId="35" xfId="0" applyNumberFormat="1" applyFont="1" applyFill="1" applyBorder="1" applyAlignment="1">
      <alignment horizontal="left"/>
    </xf>
    <xf numFmtId="0" fontId="13" fillId="0" borderId="0" xfId="0" applyFont="1" applyAlignment="1">
      <alignment vertical="center" wrapText="1"/>
    </xf>
    <xf numFmtId="0" fontId="21" fillId="23" borderId="40" xfId="5" applyFont="1" applyFill="1" applyBorder="1" applyAlignment="1">
      <alignment horizontal="center" vertical="center"/>
    </xf>
    <xf numFmtId="0" fontId="23" fillId="26" borderId="42" xfId="5" applyFont="1" applyFill="1" applyBorder="1" applyAlignment="1">
      <alignment horizontal="left" vertical="center"/>
    </xf>
    <xf numFmtId="0" fontId="23" fillId="24" borderId="42" xfId="5" applyFont="1" applyFill="1" applyBorder="1" applyAlignment="1">
      <alignment horizontal="left" vertical="center"/>
    </xf>
    <xf numFmtId="0" fontId="23" fillId="25" borderId="42" xfId="5" applyFont="1" applyFill="1" applyBorder="1" applyAlignment="1">
      <alignment horizontal="left" vertical="center"/>
    </xf>
    <xf numFmtId="0" fontId="24" fillId="6" borderId="42" xfId="5" applyFont="1" applyFill="1" applyBorder="1" applyAlignment="1">
      <alignment horizontal="left" vertical="center"/>
    </xf>
    <xf numFmtId="0" fontId="24" fillId="25" borderId="42" xfId="5" applyFont="1" applyFill="1" applyBorder="1" applyAlignment="1">
      <alignment horizontal="left" vertical="center"/>
    </xf>
    <xf numFmtId="0" fontId="21" fillId="23" borderId="3" xfId="5" applyFont="1" applyFill="1" applyBorder="1" applyAlignment="1">
      <alignment horizontal="center" vertical="center"/>
    </xf>
    <xf numFmtId="0" fontId="24" fillId="25" borderId="43" xfId="5" applyFont="1" applyFill="1" applyBorder="1" applyAlignment="1">
      <alignment horizontal="center" vertical="center"/>
    </xf>
    <xf numFmtId="0" fontId="24" fillId="6" borderId="43" xfId="5" applyFont="1" applyFill="1" applyBorder="1" applyAlignment="1">
      <alignment horizontal="center" vertical="center"/>
    </xf>
    <xf numFmtId="44" fontId="24" fillId="25" borderId="43" xfId="3" applyFont="1" applyFill="1" applyBorder="1" applyAlignment="1">
      <alignment horizontal="center" vertical="center"/>
    </xf>
    <xf numFmtId="10" fontId="24" fillId="6" borderId="43" xfId="6" applyNumberFormat="1" applyFont="1" applyFill="1" applyBorder="1" applyAlignment="1">
      <alignment horizontal="center" vertical="center"/>
    </xf>
    <xf numFmtId="44" fontId="24" fillId="6" borderId="43" xfId="3" applyFont="1" applyFill="1" applyBorder="1" applyAlignment="1">
      <alignment horizontal="center" vertical="center"/>
    </xf>
    <xf numFmtId="0" fontId="24" fillId="6" borderId="44" xfId="5" applyFont="1" applyFill="1" applyBorder="1" applyAlignment="1">
      <alignment horizontal="left" vertical="center"/>
    </xf>
    <xf numFmtId="0" fontId="24" fillId="6" borderId="45" xfId="5" applyFont="1" applyFill="1" applyBorder="1" applyAlignment="1">
      <alignment horizontal="center" vertical="center"/>
    </xf>
    <xf numFmtId="0" fontId="24" fillId="6" borderId="46" xfId="5" applyFont="1" applyFill="1" applyBorder="1" applyAlignment="1">
      <alignment horizontal="center" vertical="center"/>
    </xf>
    <xf numFmtId="0" fontId="23" fillId="25" borderId="41" xfId="5" applyFont="1" applyFill="1" applyBorder="1" applyAlignment="1">
      <alignment horizontal="left" vertical="center"/>
    </xf>
    <xf numFmtId="0" fontId="23" fillId="6" borderId="26" xfId="5" applyFont="1" applyFill="1" applyBorder="1" applyAlignment="1">
      <alignment horizontal="center" vertical="center"/>
    </xf>
    <xf numFmtId="0" fontId="23" fillId="26" borderId="21" xfId="5" applyFont="1" applyFill="1" applyBorder="1" applyAlignment="1">
      <alignment horizontal="center" vertical="center"/>
    </xf>
    <xf numFmtId="9" fontId="24" fillId="25" borderId="43" xfId="6" applyFont="1" applyFill="1" applyBorder="1" applyAlignment="1">
      <alignment horizontal="center" vertical="center"/>
    </xf>
    <xf numFmtId="0" fontId="23" fillId="6" borderId="42" xfId="5" applyFont="1" applyFill="1" applyBorder="1" applyAlignment="1">
      <alignment horizontal="left" vertical="center"/>
    </xf>
    <xf numFmtId="0" fontId="30" fillId="0" borderId="0" xfId="0" applyFont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right"/>
    </xf>
    <xf numFmtId="170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/>
    </xf>
    <xf numFmtId="171" fontId="30" fillId="0" borderId="0" xfId="7" applyNumberFormat="1" applyFont="1" applyAlignment="1">
      <alignment horizontal="center"/>
    </xf>
    <xf numFmtId="171" fontId="30" fillId="0" borderId="0" xfId="0" applyNumberFormat="1" applyFont="1" applyAlignment="1">
      <alignment horizontal="center"/>
    </xf>
    <xf numFmtId="0" fontId="33" fillId="0" borderId="0" xfId="0" applyFont="1" applyAlignment="1">
      <alignment horizontal="right"/>
    </xf>
    <xf numFmtId="165" fontId="30" fillId="0" borderId="0" xfId="0" applyNumberFormat="1" applyFont="1" applyAlignment="1">
      <alignment horizontal="center"/>
    </xf>
    <xf numFmtId="1" fontId="30" fillId="0" borderId="0" xfId="0" applyNumberFormat="1" applyFont="1" applyAlignment="1">
      <alignment horizontal="center"/>
    </xf>
    <xf numFmtId="165" fontId="30" fillId="0" borderId="0" xfId="0" applyNumberFormat="1" applyFont="1"/>
    <xf numFmtId="0" fontId="33" fillId="0" borderId="0" xfId="0" applyFont="1"/>
    <xf numFmtId="169" fontId="30" fillId="0" borderId="0" xfId="0" applyNumberFormat="1" applyFont="1" applyAlignment="1">
      <alignment horizontal="center"/>
    </xf>
    <xf numFmtId="9" fontId="24" fillId="25" borderId="43" xfId="5" applyNumberFormat="1" applyFont="1" applyFill="1" applyBorder="1" applyAlignment="1">
      <alignment horizontal="center" vertical="center"/>
    </xf>
    <xf numFmtId="9" fontId="24" fillId="6" borderId="43" xfId="5" applyNumberFormat="1" applyFont="1" applyFill="1" applyBorder="1" applyAlignment="1">
      <alignment horizontal="center" vertical="center"/>
    </xf>
    <xf numFmtId="0" fontId="27" fillId="0" borderId="0" xfId="0" applyFont="1" applyAlignment="1">
      <alignment horizontal="left"/>
    </xf>
    <xf numFmtId="0" fontId="0" fillId="8" borderId="0" xfId="0" applyFill="1" applyAlignment="1">
      <alignment horizontal="right" vertical="center"/>
    </xf>
    <xf numFmtId="2" fontId="30" fillId="0" borderId="0" xfId="0" applyNumberFormat="1" applyFont="1" applyAlignment="1">
      <alignment horizontal="center"/>
    </xf>
    <xf numFmtId="172" fontId="0" fillId="0" borderId="0" xfId="0" applyNumberFormat="1" applyAlignment="1">
      <alignment horizontal="left"/>
    </xf>
    <xf numFmtId="2" fontId="0" fillId="0" borderId="0" xfId="0" applyNumberFormat="1"/>
    <xf numFmtId="2" fontId="0" fillId="32" borderId="0" xfId="0" applyNumberFormat="1" applyFill="1" applyAlignment="1">
      <alignment vertical="center"/>
    </xf>
    <xf numFmtId="166" fontId="0" fillId="8" borderId="0" xfId="0" applyNumberFormat="1" applyFill="1" applyAlignment="1">
      <alignment vertical="center"/>
    </xf>
    <xf numFmtId="1" fontId="0" fillId="32" borderId="0" xfId="0" applyNumberFormat="1" applyFill="1" applyAlignment="1">
      <alignment vertical="center"/>
    </xf>
    <xf numFmtId="0" fontId="24" fillId="6" borderId="21" xfId="5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20" fillId="20" borderId="9" xfId="5" applyFont="1" applyFill="1" applyBorder="1" applyAlignment="1">
      <alignment horizontal="center" vertical="center"/>
    </xf>
    <xf numFmtId="0" fontId="20" fillId="20" borderId="10" xfId="5" applyFont="1" applyFill="1" applyBorder="1" applyAlignment="1">
      <alignment horizontal="center" vertical="center"/>
    </xf>
    <xf numFmtId="0" fontId="20" fillId="20" borderId="11" xfId="5" applyFont="1" applyFill="1" applyBorder="1" applyAlignment="1">
      <alignment horizontal="center" vertical="center"/>
    </xf>
    <xf numFmtId="0" fontId="20" fillId="21" borderId="12" xfId="5" applyFont="1" applyFill="1" applyBorder="1" applyAlignment="1">
      <alignment horizontal="center" vertical="center"/>
    </xf>
    <xf numFmtId="0" fontId="20" fillId="21" borderId="13" xfId="5" applyFont="1" applyFill="1" applyBorder="1" applyAlignment="1">
      <alignment horizontal="center" vertical="center"/>
    </xf>
    <xf numFmtId="0" fontId="20" fillId="22" borderId="14" xfId="5" applyFont="1" applyFill="1" applyBorder="1" applyAlignment="1">
      <alignment horizontal="center" vertical="center"/>
    </xf>
    <xf numFmtId="0" fontId="20" fillId="22" borderId="15" xfId="5" applyFont="1" applyFill="1" applyBorder="1" applyAlignment="1">
      <alignment horizontal="center" vertical="center"/>
    </xf>
    <xf numFmtId="0" fontId="11" fillId="7" borderId="0" xfId="0" applyFont="1" applyFill="1"/>
    <xf numFmtId="0" fontId="0" fillId="0" borderId="0" xfId="0"/>
    <xf numFmtId="0" fontId="10" fillId="7" borderId="0" xfId="0" applyFont="1" applyFill="1"/>
    <xf numFmtId="0" fontId="11" fillId="33" borderId="47" xfId="0" applyFont="1" applyFill="1" applyBorder="1"/>
    <xf numFmtId="0" fontId="11" fillId="33" borderId="48" xfId="0" applyFont="1" applyFill="1" applyBorder="1"/>
    <xf numFmtId="0" fontId="11" fillId="33" borderId="49" xfId="0" applyFont="1" applyFill="1" applyBorder="1"/>
    <xf numFmtId="0" fontId="8" fillId="14" borderId="50" xfId="0" applyFont="1" applyFill="1" applyBorder="1"/>
    <xf numFmtId="0" fontId="0" fillId="0" borderId="51" xfId="0" applyBorder="1"/>
    <xf numFmtId="0" fontId="0" fillId="0" borderId="52" xfId="0" applyBorder="1"/>
    <xf numFmtId="0" fontId="8" fillId="13" borderId="0" xfId="0" applyFont="1" applyFill="1"/>
    <xf numFmtId="0" fontId="8" fillId="10" borderId="0" xfId="0" applyFont="1" applyFill="1"/>
    <xf numFmtId="0" fontId="17" fillId="10" borderId="0" xfId="0" applyFont="1" applyFill="1"/>
    <xf numFmtId="0" fontId="9" fillId="0" borderId="0" xfId="0" applyFont="1"/>
    <xf numFmtId="0" fontId="16" fillId="19" borderId="0" xfId="0" applyFont="1" applyFill="1"/>
    <xf numFmtId="0" fontId="31" fillId="0" borderId="0" xfId="0" applyFont="1" applyAlignment="1">
      <alignment horizontal="center"/>
    </xf>
    <xf numFmtId="0" fontId="32" fillId="0" borderId="0" xfId="0" applyFont="1" applyAlignment="1">
      <alignment horizontal="center"/>
    </xf>
  </cellXfs>
  <cellStyles count="8">
    <cellStyle name="Currency" xfId="4" builtinId="4"/>
    <cellStyle name="Currency 2" xfId="3" xr:uid="{EBD6B286-6E81-4CD7-A2A5-ECC54C9325BF}"/>
    <cellStyle name="Good" xfId="1" builtinId="26"/>
    <cellStyle name="Neutral" xfId="2" builtinId="28"/>
    <cellStyle name="Normal" xfId="0" builtinId="0"/>
    <cellStyle name="Normal 2" xfId="5" xr:uid="{0AD3C0E7-D9F6-9045-B854-01A6E2B0D600}"/>
    <cellStyle name="Percent" xfId="7" builtinId="5"/>
    <cellStyle name="Percent 2" xfId="6" xr:uid="{714D2D68-6F84-C24F-B7D7-AC765506E132}"/>
  </cellStyles>
  <dxfs count="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/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 tint="4.9989318521683403E-2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 style="thin">
          <color theme="0" tint="-0.14999847407452621"/>
        </vertical>
        <horizontal style="thin">
          <color theme="0" tint="-0.149998474074526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 style="thin">
          <color theme="0" tint="-0.14999847407452621"/>
        </vertical>
        <horizontal style="thin">
          <color theme="0" tint="-0.14999847407452621"/>
        </horizontal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</dxf>
    <dxf>
      <border>
        <bottom style="thin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 tint="4.9989318521683403E-2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1" hidden="0"/>
    </dxf>
    <dxf>
      <font>
        <b/>
        <color rgb="FFFFFFFF"/>
      </font>
      <fill>
        <patternFill patternType="solid">
          <fgColor indexed="64"/>
          <bgColor rgb="FF4472C4"/>
        </patternFill>
      </fill>
      <protection locked="1" hidden="0"/>
    </dxf>
    <dxf>
      <font>
        <color theme="1"/>
      </font>
      <fill>
        <patternFill>
          <bgColor theme="5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6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6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WLE Discount Rates</c:v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[0]!WLE_DiscRates_YearColumn</c:f>
              <c:strCache>
                <c:ptCount val="31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  <c:pt idx="17">
                  <c:v>2044</c:v>
                </c:pt>
                <c:pt idx="18">
                  <c:v>2045</c:v>
                </c:pt>
                <c:pt idx="19">
                  <c:v>2046</c:v>
                </c:pt>
                <c:pt idx="20">
                  <c:v>2047</c:v>
                </c:pt>
                <c:pt idx="21">
                  <c:v>2048</c:v>
                </c:pt>
                <c:pt idx="22">
                  <c:v>2049</c:v>
                </c:pt>
                <c:pt idx="23">
                  <c:v>2050</c:v>
                </c:pt>
                <c:pt idx="24">
                  <c:v>2051</c:v>
                </c:pt>
                <c:pt idx="25">
                  <c:v>2052</c:v>
                </c:pt>
                <c:pt idx="26">
                  <c:v>2053</c:v>
                </c:pt>
                <c:pt idx="27">
                  <c:v>2054</c:v>
                </c:pt>
                <c:pt idx="28">
                  <c:v>2055</c:v>
                </c:pt>
                <c:pt idx="29">
                  <c:v>2056</c:v>
                </c:pt>
                <c:pt idx="30">
                  <c:v>*2057</c:v>
                </c:pt>
              </c:strCache>
            </c:strRef>
          </c:cat>
          <c:val>
            <c:numRef>
              <c:f>[0]!WLE_DiscRates_PercentageColumn</c:f>
              <c:numCache>
                <c:formatCode>0.000%</c:formatCode>
                <c:ptCount val="31"/>
                <c:pt idx="0">
                  <c:v>2.581E-2</c:v>
                </c:pt>
                <c:pt idx="1">
                  <c:v>2.5760000000000002E-2</c:v>
                </c:pt>
                <c:pt idx="2">
                  <c:v>2.58E-2</c:v>
                </c:pt>
                <c:pt idx="3">
                  <c:v>2.6259999999999999E-2</c:v>
                </c:pt>
                <c:pt idx="4">
                  <c:v>2.6779999999999998E-2</c:v>
                </c:pt>
                <c:pt idx="5">
                  <c:v>2.75E-2</c:v>
                </c:pt>
                <c:pt idx="6">
                  <c:v>2.8500000000000001E-2</c:v>
                </c:pt>
                <c:pt idx="7">
                  <c:v>2.9140000000000003E-2</c:v>
                </c:pt>
                <c:pt idx="8">
                  <c:v>3.0040000000000001E-2</c:v>
                </c:pt>
                <c:pt idx="9">
                  <c:v>3.108E-2</c:v>
                </c:pt>
                <c:pt idx="10">
                  <c:v>3.2000000000000001E-2</c:v>
                </c:pt>
                <c:pt idx="11">
                  <c:v>3.2969999999999999E-2</c:v>
                </c:pt>
                <c:pt idx="12">
                  <c:v>3.3700000000000001E-2</c:v>
                </c:pt>
                <c:pt idx="13">
                  <c:v>3.4509999999999999E-2</c:v>
                </c:pt>
                <c:pt idx="14">
                  <c:v>3.5009999999999999E-2</c:v>
                </c:pt>
                <c:pt idx="15">
                  <c:v>3.6089999999999997E-2</c:v>
                </c:pt>
                <c:pt idx="16">
                  <c:v>3.7409999999999999E-2</c:v>
                </c:pt>
                <c:pt idx="17">
                  <c:v>3.8730000000000001E-2</c:v>
                </c:pt>
                <c:pt idx="18">
                  <c:v>4.0099999999999997E-2</c:v>
                </c:pt>
                <c:pt idx="19">
                  <c:v>4.1329999999999999E-2</c:v>
                </c:pt>
                <c:pt idx="20">
                  <c:v>4.2140000000000004E-2</c:v>
                </c:pt>
                <c:pt idx="21">
                  <c:v>4.2800000000000005E-2</c:v>
                </c:pt>
                <c:pt idx="22">
                  <c:v>4.3250000000000004E-2</c:v>
                </c:pt>
                <c:pt idx="23">
                  <c:v>4.3769999999999996E-2</c:v>
                </c:pt>
                <c:pt idx="24">
                  <c:v>4.3990000000000001E-2</c:v>
                </c:pt>
                <c:pt idx="25">
                  <c:v>4.4219999999999995E-2</c:v>
                </c:pt>
                <c:pt idx="26">
                  <c:v>4.4359999999999997E-2</c:v>
                </c:pt>
                <c:pt idx="27">
                  <c:v>4.4600000000000001E-2</c:v>
                </c:pt>
                <c:pt idx="28">
                  <c:v>4.4660000000000005E-2</c:v>
                </c:pt>
                <c:pt idx="29">
                  <c:v>4.4859999999999997E-2</c:v>
                </c:pt>
                <c:pt idx="30">
                  <c:v>4.4859999999999997E-2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16-4556-987F-F0880C6B7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9211951"/>
        <c:axId val="1679222031"/>
        <c:extLst/>
      </c:barChart>
      <c:catAx>
        <c:axId val="1679211951"/>
        <c:scaling>
          <c:orientation val="minMax"/>
        </c:scaling>
        <c:delete val="0"/>
        <c:axPos val="b"/>
        <c:title>
          <c:tx>
            <c:strRef>
              <c:f>HelperCells!$B$6</c:f>
              <c:strCache>
                <c:ptCount val="1"/>
                <c:pt idx="0">
                  <c:v>*Discount Rate of 4.5% continues through life expectancy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22031"/>
        <c:crosses val="autoZero"/>
        <c:auto val="1"/>
        <c:lblAlgn val="ctr"/>
        <c:lblOffset val="100"/>
        <c:noMultiLvlLbl val="0"/>
      </c:catAx>
      <c:valAx>
        <c:axId val="167922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1195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To Age Discount Rates</c:v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[0]!ToAge_DiscRates_YearColumn</c:f>
              <c:strCache>
                <c:ptCount val="31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  <c:pt idx="17">
                  <c:v>2044</c:v>
                </c:pt>
                <c:pt idx="18">
                  <c:v>2045</c:v>
                </c:pt>
                <c:pt idx="19">
                  <c:v>2046</c:v>
                </c:pt>
                <c:pt idx="20">
                  <c:v>2047</c:v>
                </c:pt>
                <c:pt idx="21">
                  <c:v>2048</c:v>
                </c:pt>
                <c:pt idx="22">
                  <c:v>2049</c:v>
                </c:pt>
                <c:pt idx="23">
                  <c:v>2050</c:v>
                </c:pt>
                <c:pt idx="24">
                  <c:v>2051</c:v>
                </c:pt>
                <c:pt idx="25">
                  <c:v>2052</c:v>
                </c:pt>
                <c:pt idx="26">
                  <c:v>2053</c:v>
                </c:pt>
                <c:pt idx="27">
                  <c:v>2054</c:v>
                </c:pt>
                <c:pt idx="28">
                  <c:v>2055</c:v>
                </c:pt>
                <c:pt idx="29">
                  <c:v>2056</c:v>
                </c:pt>
                <c:pt idx="30">
                  <c:v>*2057</c:v>
                </c:pt>
              </c:strCache>
            </c:strRef>
          </c:cat>
          <c:val>
            <c:numRef>
              <c:f>[0]!ToAge_DiscRates_PercentageColumn</c:f>
              <c:numCache>
                <c:formatCode>0.000%</c:formatCode>
                <c:ptCount val="31"/>
                <c:pt idx="0">
                  <c:v>2.581E-2</c:v>
                </c:pt>
                <c:pt idx="1">
                  <c:v>2.5760000000000002E-2</c:v>
                </c:pt>
                <c:pt idx="2">
                  <c:v>2.58E-2</c:v>
                </c:pt>
                <c:pt idx="3">
                  <c:v>2.6259999999999999E-2</c:v>
                </c:pt>
                <c:pt idx="4">
                  <c:v>2.6779999999999998E-2</c:v>
                </c:pt>
                <c:pt idx="5">
                  <c:v>2.75E-2</c:v>
                </c:pt>
                <c:pt idx="6">
                  <c:v>2.8500000000000001E-2</c:v>
                </c:pt>
                <c:pt idx="7">
                  <c:v>2.9140000000000003E-2</c:v>
                </c:pt>
                <c:pt idx="8">
                  <c:v>3.0040000000000001E-2</c:v>
                </c:pt>
                <c:pt idx="9">
                  <c:v>3.108E-2</c:v>
                </c:pt>
                <c:pt idx="10">
                  <c:v>3.2000000000000001E-2</c:v>
                </c:pt>
                <c:pt idx="11">
                  <c:v>3.2969999999999999E-2</c:v>
                </c:pt>
                <c:pt idx="12">
                  <c:v>3.3700000000000001E-2</c:v>
                </c:pt>
                <c:pt idx="13">
                  <c:v>3.4509999999999999E-2</c:v>
                </c:pt>
                <c:pt idx="14">
                  <c:v>3.5009999999999999E-2</c:v>
                </c:pt>
                <c:pt idx="15">
                  <c:v>3.6089999999999997E-2</c:v>
                </c:pt>
                <c:pt idx="16">
                  <c:v>3.7409999999999999E-2</c:v>
                </c:pt>
                <c:pt idx="17">
                  <c:v>3.8730000000000001E-2</c:v>
                </c:pt>
                <c:pt idx="18">
                  <c:v>4.0099999999999997E-2</c:v>
                </c:pt>
                <c:pt idx="19">
                  <c:v>4.1329999999999999E-2</c:v>
                </c:pt>
                <c:pt idx="20">
                  <c:v>4.2140000000000004E-2</c:v>
                </c:pt>
                <c:pt idx="21">
                  <c:v>4.2800000000000005E-2</c:v>
                </c:pt>
                <c:pt idx="22">
                  <c:v>4.3250000000000004E-2</c:v>
                </c:pt>
                <c:pt idx="23">
                  <c:v>4.3769999999999996E-2</c:v>
                </c:pt>
                <c:pt idx="24">
                  <c:v>4.3990000000000001E-2</c:v>
                </c:pt>
                <c:pt idx="25">
                  <c:v>4.4219999999999995E-2</c:v>
                </c:pt>
                <c:pt idx="26">
                  <c:v>4.4359999999999997E-2</c:v>
                </c:pt>
                <c:pt idx="27">
                  <c:v>4.4600000000000001E-2</c:v>
                </c:pt>
                <c:pt idx="28">
                  <c:v>4.4660000000000005E-2</c:v>
                </c:pt>
                <c:pt idx="29">
                  <c:v>4.4859999999999997E-2</c:v>
                </c:pt>
                <c:pt idx="30">
                  <c:v>4.4859999999999997E-2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12-40D0-ACA2-75A5F469B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9211951"/>
        <c:axId val="1679222031"/>
        <c:extLst/>
      </c:barChart>
      <c:catAx>
        <c:axId val="1679211951"/>
        <c:scaling>
          <c:orientation val="minMax"/>
        </c:scaling>
        <c:delete val="0"/>
        <c:axPos val="b"/>
        <c:title>
          <c:tx>
            <c:strRef>
              <c:f>HelperCells!$B$7</c:f>
              <c:strCache>
                <c:ptCount val="1"/>
                <c:pt idx="0">
                  <c:v>*Discount Rate of 4.5% continues through life expectancy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22031"/>
        <c:crosses val="autoZero"/>
        <c:auto val="1"/>
        <c:lblAlgn val="ctr"/>
        <c:lblOffset val="100"/>
        <c:noMultiLvlLbl val="0"/>
      </c:catAx>
      <c:valAx>
        <c:axId val="167922203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1195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E$2" lockText="1" noThreeD="1"/>
</file>

<file path=xl/ctrlProps/ctrlProp2.xml><?xml version="1.0" encoding="utf-8"?>
<formControlPr xmlns="http://schemas.microsoft.com/office/spreadsheetml/2009/9/main" objectType="CheckBox" fmlaLink="$J$2" lockText="1" noThreeD="1"/>
</file>

<file path=xl/ctrlProps/ctrlProp3.xml><?xml version="1.0" encoding="utf-8"?>
<formControlPr xmlns="http://schemas.microsoft.com/office/spreadsheetml/2009/9/main" objectType="CheckBox" fmlaLink="$D$3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2830857</xdr:colOff>
      <xdr:row>35</xdr:row>
      <xdr:rowOff>63476</xdr:rowOff>
    </xdr:from>
    <xdr:to>
      <xdr:col>10</xdr:col>
      <xdr:colOff>31749</xdr:colOff>
      <xdr:row>53</xdr:row>
      <xdr:rowOff>73025</xdr:rowOff>
    </xdr:to>
    <xdr:graphicFrame macro="">
      <xdr:nvGraphicFramePr>
        <xdr:cNvPr id="2" name="WLE_DiscRates_Chart">
          <a:extLst>
            <a:ext uri="{FF2B5EF4-FFF2-40B4-BE49-F238E27FC236}">
              <a16:creationId xmlns:a16="http://schemas.microsoft.com/office/drawing/2014/main" id="{033C48A6-2454-BCAE-B56E-D5FDFEA93A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20292</xdr:colOff>
      <xdr:row>35</xdr:row>
      <xdr:rowOff>2922</xdr:rowOff>
    </xdr:from>
    <xdr:to>
      <xdr:col>17</xdr:col>
      <xdr:colOff>38100</xdr:colOff>
      <xdr:row>52</xdr:row>
      <xdr:rowOff>161924</xdr:rowOff>
    </xdr:to>
    <xdr:graphicFrame macro="">
      <xdr:nvGraphicFramePr>
        <xdr:cNvPr id="5" name="ToAge_DiscRates_Chart">
          <a:extLst>
            <a:ext uri="{FF2B5EF4-FFF2-40B4-BE49-F238E27FC236}">
              <a16:creationId xmlns:a16="http://schemas.microsoft.com/office/drawing/2014/main" id="{F97525EC-BB23-4D7D-AFC3-DE3D300E3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190500</xdr:rowOff>
        </xdr:from>
        <xdr:to>
          <xdr:col>4</xdr:col>
          <xdr:colOff>1095375</xdr:colOff>
          <xdr:row>2</xdr:row>
          <xdr:rowOff>28575</xdr:rowOff>
        </xdr:to>
        <xdr:sp macro="" textlink="">
          <xdr:nvSpPr>
            <xdr:cNvPr id="1025" name="WLE_FrozenRates_Togg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0</xdr:row>
          <xdr:rowOff>200025</xdr:rowOff>
        </xdr:from>
        <xdr:to>
          <xdr:col>10</xdr:col>
          <xdr:colOff>123825</xdr:colOff>
          <xdr:row>2</xdr:row>
          <xdr:rowOff>9525</xdr:rowOff>
        </xdr:to>
        <xdr:sp macro="" textlink="">
          <xdr:nvSpPr>
            <xdr:cNvPr id="1026" name="ToAge_FrozenRates_Toggl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33</xdr:row>
          <xdr:rowOff>152400</xdr:rowOff>
        </xdr:from>
        <xdr:to>
          <xdr:col>3</xdr:col>
          <xdr:colOff>2695575</xdr:colOff>
          <xdr:row>35</xdr:row>
          <xdr:rowOff>9525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C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Freeze Current Rates</a:t>
              </a:r>
            </a:p>
          </xdr:txBody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65425AF-3080-4719-82DA-E65A049ADE48}" autoFormatId="16" applyNumberFormats="0" applyBorderFormats="0" applyFontFormats="0" applyPatternFormats="0" applyAlignmentFormats="0" applyWidthHeightFormats="0">
  <queryTableRefresh nextId="4">
    <queryTableFields count="3">
      <queryTableField id="1" name="Year" tableColumnId="1"/>
      <queryTableField id="2" name="Time To Marity" tableColumnId="2"/>
      <queryTableField id="3" name="Discount Rate (Nominal)" tableColumnId="3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62DB2E5-64AE-A740-9CB0-F5421F9792DD}" name="Table17" displayName="Table17" ref="F2:G40" totalsRowShown="0" headerRowDxfId="18" dataDxfId="16" headerRowBorderDxfId="17" tableBorderDxfId="15">
  <autoFilter ref="F2:G40" xr:uid="{87538414-6763-4762-BBF9-804546B5DEDD}"/>
  <tableColumns count="2">
    <tableColumn id="1" xr3:uid="{0C030725-2329-F44D-930F-375C013EE175}" name="Worksheet Name" dataDxfId="14"/>
    <tableColumn id="2" xr3:uid="{2060DBB4-7255-ED41-8D4D-9A30CE6BE3B1}" name="Table Name" dataDxfId="13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407F55-E1F5-444F-BA6A-2C71EE32AA0D}" name="Table19" displayName="Table19" ref="I2:J40" totalsRowShown="0" headerRowDxfId="12" dataDxfId="10" headerRowBorderDxfId="11" tableBorderDxfId="9">
  <autoFilter ref="I2:J40" xr:uid="{D75A3BDE-F911-4A92-A4BD-22AB3C491593}"/>
  <tableColumns count="2">
    <tableColumn id="1" xr3:uid="{6FB64C21-1841-7C47-A951-0664ACA36D17}" name="Worksheet Name" dataDxfId="8"/>
    <tableColumn id="2" xr3:uid="{453A281E-983A-1F4E-90B1-FDDDFD508457}" name="Chart Name" dataDxf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D3A9A14-F72A-4F64-911B-9DACABCA03C4}" name="Table4" displayName="Table4" ref="A2:D124" totalsRowShown="0" headerRowDxfId="6" headerRowBorderDxfId="5" tableBorderDxfId="4" headerRowCellStyle="Normal 2">
  <autoFilter ref="A2:D124" xr:uid="{1D3A9A14-F72A-4F64-911B-9DACABCA03C4}"/>
  <sortState xmlns:xlrd2="http://schemas.microsoft.com/office/spreadsheetml/2017/richdata2" ref="A3:D124">
    <sortCondition ref="A2:A124"/>
  </sortState>
  <tableColumns count="4">
    <tableColumn id="1" xr3:uid="{9AAD1071-2784-40C5-A1FB-E6ED5A12ACE4}" name="Variable Name" dataDxfId="3" dataCellStyle="Normal 2"/>
    <tableColumn id="2" xr3:uid="{36B1F0DE-30E0-4B2E-B4AF-2A4E88053A3C}" name="Worksheet Name" dataDxfId="2" dataCellStyle="Normal 2"/>
    <tableColumn id="3" xr3:uid="{BDFA1931-96E0-49E1-9B0A-EA50418B3A1F}" name="Cell Reference" dataDxfId="1" dataCellStyle="Normal 2"/>
    <tableColumn id="4" xr3:uid="{4885EFF1-E377-47AD-A694-79A8DF5516EE}" name="Live Cell Value" dataDxfId="0" dataCellStyle="Normal 2">
      <calculatedColumnFormula array="1">IF(OR(IF(OR(A3="", B3="", C3=""), "", INDIRECT("'" &amp; B3 &amp; "'!" &amp; C3))=0, IF(OR(A3="", B3="", C3=""), "", INDIRECT("'" &amp; B3 &amp; "'!" &amp; C3))=""),"",INDIRECT("'" &amp; B3 &amp; "'!" &amp; C3))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5BA94F-F2EA-4AAE-942B-F73F6553BE39}" name="Bloomberg_DiscRates_Table" displayName="Bloomberg_DiscRates_Table" ref="A2:C32" tableType="queryTable" totalsRowShown="0" headerRowDxfId="23" dataDxfId="22">
  <autoFilter ref="A2:C32" xr:uid="{D25BA94F-F2EA-4AAE-942B-F73F6553BE39}"/>
  <tableColumns count="3">
    <tableColumn id="1" xr3:uid="{C1A8695F-31C6-45EB-A63A-D4556CD17CBE}" uniqueName="1" name="Year" queryTableFieldId="1" dataDxfId="21"/>
    <tableColumn id="2" xr3:uid="{0C883D22-FCA4-4161-892C-EF72796B8A2D}" uniqueName="2" name="Time To Marity" queryTableFieldId="2" dataDxfId="20"/>
    <tableColumn id="3" xr3:uid="{B219988D-00A9-4D12-9B24-7CA341ADC811}" uniqueName="3" name="Discount Rate (Nominal)" queryTableFieldId="3" dataDxfId="1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8043C-EFFD-294C-BBBC-5F51232E9A8D}">
  <sheetPr codeName="Sheet1">
    <tabColor rgb="FF00B0F0"/>
  </sheetPr>
  <dimension ref="A1:J124"/>
  <sheetViews>
    <sheetView topLeftCell="A4" workbookViewId="0">
      <selection activeCell="D3" sqref="D3"/>
    </sheetView>
  </sheetViews>
  <sheetFormatPr defaultColWidth="8.85546875" defaultRowHeight="12.75" x14ac:dyDescent="0.2"/>
  <cols>
    <col min="1" max="1" width="37.7109375" style="48" bestFit="1" customWidth="1"/>
    <col min="2" max="2" width="22.85546875" style="48" bestFit="1" customWidth="1"/>
    <col min="3" max="3" width="17.28515625" style="48" customWidth="1"/>
    <col min="4" max="4" width="20.7109375" style="48" customWidth="1"/>
    <col min="5" max="5" width="8.85546875" style="48"/>
    <col min="6" max="6" width="26.28515625" style="48" customWidth="1"/>
    <col min="7" max="7" width="34.28515625" style="48" customWidth="1"/>
    <col min="8" max="8" width="8.85546875" style="48"/>
    <col min="9" max="9" width="31.42578125" style="48" bestFit="1" customWidth="1"/>
    <col min="10" max="10" width="25.140625" style="48" customWidth="1"/>
    <col min="11" max="16384" width="8.85546875" style="48"/>
  </cols>
  <sheetData>
    <row r="1" spans="1:10" ht="21" x14ac:dyDescent="0.2">
      <c r="A1" s="147" t="s">
        <v>153</v>
      </c>
      <c r="B1" s="148"/>
      <c r="C1" s="148"/>
      <c r="D1" s="149"/>
      <c r="F1" s="150" t="str" cm="1">
        <f t="array" aca="1" ref="F1" ca="1">_xlfn.TEXTAFTER(_xlfn.TEXTBEFORE(CELL("filename",A1),"]"),"[") &amp; " TABLES"</f>
        <v>PV2_Current.xlsm TABLES</v>
      </c>
      <c r="G1" s="151"/>
      <c r="H1" s="49"/>
      <c r="I1" s="152" t="str" cm="1">
        <f t="array" aca="1" ref="I1" ca="1">_xlfn.TEXTAFTER(_xlfn.TEXTBEFORE(CELL("filename",D1),"]"),"[") &amp; " CHARTS"</f>
        <v>PV2_Current.xlsm CHARTS</v>
      </c>
      <c r="J1" s="153"/>
    </row>
    <row r="2" spans="1:10" ht="15.75" x14ac:dyDescent="0.2">
      <c r="A2" s="101" t="s">
        <v>154</v>
      </c>
      <c r="B2" s="50" t="s">
        <v>155</v>
      </c>
      <c r="C2" s="50" t="s">
        <v>156</v>
      </c>
      <c r="D2" s="107" t="s">
        <v>157</v>
      </c>
      <c r="F2" s="51" t="s">
        <v>155</v>
      </c>
      <c r="G2" s="52" t="s">
        <v>158</v>
      </c>
      <c r="I2" s="53" t="s">
        <v>155</v>
      </c>
      <c r="J2" s="54" t="s">
        <v>159</v>
      </c>
    </row>
    <row r="3" spans="1:10" ht="15" x14ac:dyDescent="0.25">
      <c r="A3" s="116" t="s">
        <v>180</v>
      </c>
      <c r="B3" s="67" t="s">
        <v>181</v>
      </c>
      <c r="C3" s="67" t="s">
        <v>175</v>
      </c>
      <c r="D3" s="110" t="str" cm="1">
        <f t="array" aca="1" ref="D3" ca="1">IF(OR(IF(OR(A3="", B3="", C3=""), "", INDIRECT("'" &amp; B3 &amp; "'!" &amp; C3))=0, IF(OR(A3="", B3="", C3=""), "", INDIRECT("'" &amp; B3 &amp; "'!" &amp; C3))=""),"",INDIRECT("'" &amp; B3 &amp; "'!" &amp; C3))</f>
        <v/>
      </c>
      <c r="F3" s="56"/>
      <c r="G3" s="57"/>
      <c r="I3" s="58" t="s">
        <v>310</v>
      </c>
      <c r="J3" s="59" t="s">
        <v>331</v>
      </c>
    </row>
    <row r="4" spans="1:10" ht="15" x14ac:dyDescent="0.25">
      <c r="A4" s="105" t="s">
        <v>305</v>
      </c>
      <c r="B4" s="72" t="s">
        <v>181</v>
      </c>
      <c r="C4" s="144" t="s">
        <v>329</v>
      </c>
      <c r="D4" s="135" cm="1">
        <f t="array" aca="1" ref="D4" ca="1">IF(OR(IF(OR(A4="", B4="", C4=""), "", INDIRECT("'" &amp; B4 &amp; "'!" &amp; C4))=0, IF(OR(A4="", B4="", C4=""), "", INDIRECT("'" &amp; B4 &amp; "'!" &amp; C4))=""),"",INDIRECT("'" &amp; B4 &amp; "'!" &amp; C4))</f>
        <v>0.25</v>
      </c>
      <c r="F4" s="61"/>
      <c r="G4" s="62"/>
      <c r="I4" s="63" t="s">
        <v>310</v>
      </c>
      <c r="J4" s="64" t="s">
        <v>332</v>
      </c>
    </row>
    <row r="5" spans="1:10" ht="15" x14ac:dyDescent="0.25">
      <c r="A5" s="102" t="s">
        <v>182</v>
      </c>
      <c r="B5" s="60" t="s">
        <v>181</v>
      </c>
      <c r="C5" s="118" t="s">
        <v>177</v>
      </c>
      <c r="D5" s="111" t="str" cm="1">
        <f t="array" aca="1" ref="D5" ca="1">IF(OR(IF(OR(A5="", B5="", C5=""), "", INDIRECT("'" &amp; B5 &amp; "'!" &amp; C5))=0, IF(OR(A5="", B5="", C5=""), "", INDIRECT("'" &amp; B5 &amp; "'!" &amp; C5))=""),"",INDIRECT("'" &amp; B5 &amp; "'!" &amp; C5))</f>
        <v/>
      </c>
      <c r="F5" s="61"/>
      <c r="G5" s="62"/>
      <c r="I5" s="63"/>
      <c r="J5" s="64"/>
    </row>
    <row r="6" spans="1:10" ht="15" x14ac:dyDescent="0.25">
      <c r="A6" s="103" t="s">
        <v>184</v>
      </c>
      <c r="B6" s="65" t="s">
        <v>181</v>
      </c>
      <c r="C6" s="55" t="s">
        <v>241</v>
      </c>
      <c r="D6" s="110" t="str" cm="1">
        <f t="array" aca="1" ref="D6" ca="1">IF(OR(IF(OR(A6="", B6="", C6=""), "", INDIRECT("'" &amp; B6 &amp; "'!" &amp; C6))=0, IF(OR(A6="", B6="", C6=""), "", INDIRECT("'" &amp; B6 &amp; "'!" &amp; C6))=""),"",INDIRECT("'" &amp; B6 &amp; "'!" &amp; C6))</f>
        <v/>
      </c>
      <c r="F6" s="61"/>
      <c r="G6" s="62"/>
      <c r="I6" s="63"/>
      <c r="J6" s="64"/>
    </row>
    <row r="7" spans="1:10" ht="15" x14ac:dyDescent="0.25">
      <c r="A7" s="102" t="s">
        <v>224</v>
      </c>
      <c r="B7" s="60" t="s">
        <v>181</v>
      </c>
      <c r="C7" s="118" t="s">
        <v>242</v>
      </c>
      <c r="D7" s="112" t="str" cm="1">
        <f t="array" aca="1" ref="D7" ca="1">IF(OR(IF(OR(A7="", B7="", C7=""), "", INDIRECT("'" &amp; B7 &amp; "'!" &amp; C7))=0, IF(OR(A7="", B7="", C7=""), "", INDIRECT("'" &amp; B7 &amp; "'!" &amp; C7))=""),"",INDIRECT("'" &amp; B7 &amp; "'!" &amp; C7))</f>
        <v/>
      </c>
      <c r="F7" s="61"/>
      <c r="G7" s="62"/>
      <c r="I7" s="63"/>
      <c r="J7" s="64"/>
    </row>
    <row r="8" spans="1:10" ht="15" x14ac:dyDescent="0.25">
      <c r="A8" s="103" t="s">
        <v>183</v>
      </c>
      <c r="B8" s="65" t="s">
        <v>181</v>
      </c>
      <c r="C8" s="55" t="s">
        <v>239</v>
      </c>
      <c r="D8" s="110" t="str" cm="1">
        <f t="array" aca="1" ref="D8" ca="1">IF(OR(IF(OR(A8="", B8="", C8=""), "", INDIRECT("'" &amp; B8 &amp; "'!" &amp; C8))=0, IF(OR(A8="", B8="", C8=""), "", INDIRECT("'" &amp; B8 &amp; "'!" &amp; C8))=""),"",INDIRECT("'" &amp; B8 &amp; "'!" &amp; C8))</f>
        <v/>
      </c>
      <c r="F8" s="61"/>
      <c r="G8" s="62"/>
      <c r="I8" s="63"/>
      <c r="J8" s="64"/>
    </row>
    <row r="9" spans="1:10" ht="15" x14ac:dyDescent="0.25">
      <c r="A9" s="102" t="s">
        <v>223</v>
      </c>
      <c r="B9" s="60" t="s">
        <v>181</v>
      </c>
      <c r="C9" s="118" t="s">
        <v>240</v>
      </c>
      <c r="D9" s="112" t="str" cm="1">
        <f t="array" aca="1" ref="D9" ca="1">IF(OR(IF(OR(A9="", B9="", C9=""), "", INDIRECT("'" &amp; B9 &amp; "'!" &amp; C9))=0, IF(OR(A9="", B9="", C9=""), "", INDIRECT("'" &amp; B9 &amp; "'!" &amp; C9))=""),"",INDIRECT("'" &amp; B9 &amp; "'!" &amp; C9))</f>
        <v/>
      </c>
      <c r="F9" s="61"/>
      <c r="G9" s="62"/>
      <c r="I9" s="63"/>
      <c r="J9" s="64"/>
    </row>
    <row r="10" spans="1:10" ht="15" x14ac:dyDescent="0.25">
      <c r="A10" s="103" t="s">
        <v>186</v>
      </c>
      <c r="B10" s="65" t="s">
        <v>181</v>
      </c>
      <c r="C10" s="55" t="s">
        <v>243</v>
      </c>
      <c r="D10" s="110" t="str" cm="1">
        <f t="array" aca="1" ref="D10" ca="1">IF(OR(IF(OR(A10="", B10="", C10=""), "", INDIRECT("'" &amp; B10 &amp; "'!" &amp; C10))=0, IF(OR(A10="", B10="", C10=""), "", INDIRECT("'" &amp; B10 &amp; "'!" &amp; C10))=""),"",INDIRECT("'" &amp; B10 &amp; "'!" &amp; C10))</f>
        <v/>
      </c>
      <c r="F10" s="61"/>
      <c r="G10" s="62"/>
      <c r="I10" s="63"/>
      <c r="J10" s="64"/>
    </row>
    <row r="11" spans="1:10" ht="15" x14ac:dyDescent="0.25">
      <c r="A11" s="102" t="s">
        <v>226</v>
      </c>
      <c r="B11" s="60" t="s">
        <v>181</v>
      </c>
      <c r="C11" s="60" t="s">
        <v>244</v>
      </c>
      <c r="D11" s="112" t="str" cm="1">
        <f t="array" aca="1" ref="D11" ca="1">IF(OR(IF(OR(A11="", B11="", C11=""), "", INDIRECT("'" &amp; B11 &amp; "'!" &amp; C11))=0, IF(OR(A11="", B11="", C11=""), "", INDIRECT("'" &amp; B11 &amp; "'!" &amp; C11))=""),"",INDIRECT("'" &amp; B11 &amp; "'!" &amp; C11))</f>
        <v/>
      </c>
      <c r="F11" s="61"/>
      <c r="G11" s="62"/>
      <c r="I11" s="63"/>
      <c r="J11" s="64"/>
    </row>
    <row r="12" spans="1:10" ht="15" x14ac:dyDescent="0.25">
      <c r="A12" s="104" t="s">
        <v>173</v>
      </c>
      <c r="B12" s="66" t="s">
        <v>174</v>
      </c>
      <c r="C12" s="66" t="s">
        <v>175</v>
      </c>
      <c r="D12" s="110" cm="1">
        <f t="array" aca="1" ref="D12" ca="1">IF(OR(IF(OR(A12="", B12="", C12=""), "", INDIRECT("'" &amp; B12 &amp; "'!" &amp; C12))=0, IF(OR(A12="", B12="", C12=""), "", INDIRECT("'" &amp; B12 &amp; "'!" &amp; C12))=""),"",INDIRECT("'" &amp; B12 &amp; "'!" &amp; C12))</f>
        <v>100000</v>
      </c>
      <c r="F12" s="61"/>
      <c r="G12" s="62"/>
      <c r="I12" s="63"/>
      <c r="J12" s="64"/>
    </row>
    <row r="13" spans="1:10" ht="15" x14ac:dyDescent="0.25">
      <c r="A13" s="106" t="s">
        <v>300</v>
      </c>
      <c r="B13" s="73" t="s">
        <v>174</v>
      </c>
      <c r="C13" s="73" t="s">
        <v>329</v>
      </c>
      <c r="D13" s="134" cm="1">
        <f t="array" aca="1" ref="D13" ca="1">IF(OR(IF(OR(A13="", B13="", C13=""), "", INDIRECT("'" &amp; B13 &amp; "'!" &amp; C13))=0, IF(OR(A13="", B13="", C13=""), "", INDIRECT("'" &amp; B13 &amp; "'!" &amp; C13))=""),"",INDIRECT("'" &amp; B13 &amp; "'!" &amp; C13))</f>
        <v>0.25</v>
      </c>
      <c r="F13" s="61"/>
      <c r="G13" s="62"/>
      <c r="I13" s="63"/>
      <c r="J13" s="64"/>
    </row>
    <row r="14" spans="1:10" ht="15" x14ac:dyDescent="0.25">
      <c r="A14" s="102" t="s">
        <v>176</v>
      </c>
      <c r="B14" s="60" t="s">
        <v>174</v>
      </c>
      <c r="C14" s="60" t="s">
        <v>177</v>
      </c>
      <c r="D14" s="111" cm="1">
        <f t="array" aca="1" ref="D14" ca="1">IF(OR(IF(OR(A14="", B14="", C14=""), "", INDIRECT("'" &amp; B14 &amp; "'!" &amp; C14))=0, IF(OR(A14="", B14="", C14=""), "", INDIRECT("'" &amp; B14 &amp; "'!" &amp; C14))=""),"",INDIRECT("'" &amp; B14 &amp; "'!" &amp; C14))</f>
        <v>0.02</v>
      </c>
      <c r="F14" s="61"/>
      <c r="G14" s="62"/>
      <c r="I14" s="63"/>
      <c r="J14" s="64"/>
    </row>
    <row r="15" spans="1:10" ht="15" x14ac:dyDescent="0.25">
      <c r="A15" s="103" t="s">
        <v>179</v>
      </c>
      <c r="B15" s="65" t="s">
        <v>174</v>
      </c>
      <c r="C15" s="65" t="s">
        <v>241</v>
      </c>
      <c r="D15" s="110" cm="1">
        <f t="array" aca="1" ref="D15" ca="1">IF(OR(IF(OR(A15="", B15="", C15=""), "", INDIRECT("'" &amp; B15 &amp; "'!" &amp; C15))=0, IF(OR(A15="", B15="", C15=""), "", INDIRECT("'" &amp; B15 &amp; "'!" &amp; C15))=""),"",INDIRECT("'" &amp; B15 &amp; "'!" &amp; C15))</f>
        <v>3289923.1776453508</v>
      </c>
      <c r="F15" s="61"/>
      <c r="G15" s="62"/>
      <c r="I15" s="63"/>
      <c r="J15" s="64"/>
    </row>
    <row r="16" spans="1:10" ht="15" x14ac:dyDescent="0.25">
      <c r="A16" s="102" t="s">
        <v>222</v>
      </c>
      <c r="B16" s="60" t="s">
        <v>174</v>
      </c>
      <c r="C16" s="60" t="s">
        <v>242</v>
      </c>
      <c r="D16" s="112" cm="1">
        <f t="array" aca="1" ref="D16" ca="1">IF(OR(IF(OR(A16="", B16="", C16=""), "", INDIRECT("'" &amp; B16 &amp; "'!" &amp; C16))=0, IF(OR(A16="", B16="", C16=""), "", INDIRECT("'" &amp; B16 &amp; "'!" &amp; C16))=""),"",INDIRECT("'" &amp; B16 &amp; "'!" &amp; C16))</f>
        <v>2467442.3832340129</v>
      </c>
      <c r="F16" s="61"/>
      <c r="G16" s="62"/>
      <c r="I16" s="63"/>
      <c r="J16" s="64"/>
    </row>
    <row r="17" spans="1:10" ht="15" x14ac:dyDescent="0.25">
      <c r="A17" s="103" t="s">
        <v>178</v>
      </c>
      <c r="B17" s="65" t="s">
        <v>174</v>
      </c>
      <c r="C17" s="65" t="s">
        <v>239</v>
      </c>
      <c r="D17" s="110" cm="1">
        <f t="array" aca="1" ref="D17" ca="1">IF(OR(IF(OR(A17="", B17="", C17=""), "", INDIRECT("'" &amp; B17 &amp; "'!" &amp; C17))=0, IF(OR(A17="", B17="", C17=""), "", INDIRECT("'" &amp; B17 &amp; "'!" &amp; C17))=""),"",INDIRECT("'" &amp; B17 &amp; "'!" &amp; C17))</f>
        <v>306800</v>
      </c>
      <c r="F17" s="61"/>
      <c r="G17" s="62"/>
      <c r="I17" s="63"/>
      <c r="J17" s="64"/>
    </row>
    <row r="18" spans="1:10" ht="15" x14ac:dyDescent="0.25">
      <c r="A18" s="102" t="s">
        <v>221</v>
      </c>
      <c r="B18" s="60" t="s">
        <v>174</v>
      </c>
      <c r="C18" s="60" t="s">
        <v>240</v>
      </c>
      <c r="D18" s="112" cm="1">
        <f t="array" aca="1" ref="D18" ca="1">IF(OR(IF(OR(A18="", B18="", C18=""), "", INDIRECT("'" &amp; B18 &amp; "'!" &amp; C18))=0, IF(OR(A18="", B18="", C18=""), "", INDIRECT("'" &amp; B18 &amp; "'!" &amp; C18))=""),"",INDIRECT("'" &amp; B18 &amp; "'!" &amp; C18))</f>
        <v>230100</v>
      </c>
      <c r="F18" s="61"/>
      <c r="G18" s="62"/>
      <c r="I18" s="63"/>
      <c r="J18" s="64"/>
    </row>
    <row r="19" spans="1:10" ht="15" x14ac:dyDescent="0.25">
      <c r="A19" s="103" t="s">
        <v>185</v>
      </c>
      <c r="B19" s="65" t="s">
        <v>174</v>
      </c>
      <c r="C19" s="65" t="s">
        <v>243</v>
      </c>
      <c r="D19" s="110" cm="1">
        <f t="array" aca="1" ref="D19" ca="1">IF(OR(IF(OR(A19="", B19="", C19=""), "", INDIRECT("'" &amp; B19 &amp; "'!" &amp; C19))=0, IF(OR(A19="", B19="", C19=""), "", INDIRECT("'" &amp; B19 &amp; "'!" &amp; C19))=""),"",INDIRECT("'" &amp; B19 &amp; "'!" &amp; C19))</f>
        <v>3596723.1776453508</v>
      </c>
      <c r="F19" s="61"/>
      <c r="G19" s="62"/>
      <c r="I19" s="63"/>
      <c r="J19" s="64"/>
    </row>
    <row r="20" spans="1:10" ht="15" x14ac:dyDescent="0.25">
      <c r="A20" s="102" t="s">
        <v>225</v>
      </c>
      <c r="B20" s="60" t="s">
        <v>174</v>
      </c>
      <c r="C20" s="60" t="s">
        <v>244</v>
      </c>
      <c r="D20" s="112" cm="1">
        <f t="array" aca="1" ref="D20" ca="1">IF(OR(IF(OR(A20="", B20="", C20=""), "", INDIRECT("'" &amp; B20 &amp; "'!" &amp; C20))=0, IF(OR(A20="", B20="", C20=""), "", INDIRECT("'" &amp; B20 &amp; "'!" &amp; C20))=""),"",INDIRECT("'" &amp; B20 &amp; "'!" &amp; C20))</f>
        <v>2697542.3832340129</v>
      </c>
      <c r="F20" s="61"/>
      <c r="G20" s="62"/>
      <c r="I20" s="63"/>
      <c r="J20" s="64"/>
    </row>
    <row r="21" spans="1:10" ht="15" x14ac:dyDescent="0.25">
      <c r="A21" s="104" t="s">
        <v>192</v>
      </c>
      <c r="B21" s="66" t="s">
        <v>193</v>
      </c>
      <c r="C21" s="66" t="s">
        <v>175</v>
      </c>
      <c r="D21" s="110" t="str" cm="1">
        <f t="array" aca="1" ref="D21" ca="1">IF(OR(IF(OR(A21="", B21="", C21=""), "", INDIRECT("'" &amp; B21 &amp; "'!" &amp; C21))=0, IF(OR(A21="", B21="", C21=""), "", INDIRECT("'" &amp; B21 &amp; "'!" &amp; C21))=""),"",INDIRECT("'" &amp; B21 &amp; "'!" &amp; C21))</f>
        <v/>
      </c>
      <c r="F21" s="61"/>
      <c r="G21" s="62"/>
      <c r="I21" s="63"/>
      <c r="J21" s="64"/>
    </row>
    <row r="22" spans="1:10" ht="15" x14ac:dyDescent="0.25">
      <c r="A22" s="106" t="s">
        <v>306</v>
      </c>
      <c r="B22" s="73" t="s">
        <v>193</v>
      </c>
      <c r="C22" s="73" t="s">
        <v>329</v>
      </c>
      <c r="D22" s="134" cm="1">
        <f t="array" aca="1" ref="D22" ca="1">IF(OR(IF(OR(A22="", B22="", C22=""), "", INDIRECT("'" &amp; B22 &amp; "'!" &amp; C22))=0, IF(OR(A22="", B22="", C22=""), "", INDIRECT("'" &amp; B22 &amp; "'!" &amp; C22))=""),"",INDIRECT("'" &amp; B22 &amp; "'!" &amp; C22))</f>
        <v>0.25</v>
      </c>
      <c r="F22" s="61"/>
      <c r="G22" s="62"/>
      <c r="I22" s="63"/>
      <c r="J22" s="64"/>
    </row>
    <row r="23" spans="1:10" ht="15" x14ac:dyDescent="0.25">
      <c r="A23" s="102" t="s">
        <v>194</v>
      </c>
      <c r="B23" s="60" t="s">
        <v>193</v>
      </c>
      <c r="C23" s="60" t="s">
        <v>177</v>
      </c>
      <c r="D23" s="111" t="str" cm="1">
        <f t="array" aca="1" ref="D23" ca="1">IF(OR(IF(OR(A23="", B23="", C23=""), "", INDIRECT("'" &amp; B23 &amp; "'!" &amp; C23))=0, IF(OR(A23="", B23="", C23=""), "", INDIRECT("'" &amp; B23 &amp; "'!" &amp; C23))=""),"",INDIRECT("'" &amp; B23 &amp; "'!" &amp; C23))</f>
        <v/>
      </c>
      <c r="F23" s="61"/>
      <c r="G23" s="62"/>
      <c r="I23" s="63"/>
      <c r="J23" s="64"/>
    </row>
    <row r="24" spans="1:10" ht="15" x14ac:dyDescent="0.25">
      <c r="A24" s="103" t="s">
        <v>196</v>
      </c>
      <c r="B24" s="65" t="s">
        <v>193</v>
      </c>
      <c r="C24" s="65" t="s">
        <v>241</v>
      </c>
      <c r="D24" s="110" t="str" cm="1">
        <f t="array" aca="1" ref="D24" ca="1">IF(OR(IF(OR(A24="", B24="", C24=""), "", INDIRECT("'" &amp; B24 &amp; "'!" &amp; C24))=0, IF(OR(A24="", B24="", C24=""), "", INDIRECT("'" &amp; B24 &amp; "'!" &amp; C24))=""),"",INDIRECT("'" &amp; B24 &amp; "'!" &amp; C24))</f>
        <v/>
      </c>
      <c r="F24" s="61"/>
      <c r="G24" s="62"/>
      <c r="I24" s="63"/>
      <c r="J24" s="64"/>
    </row>
    <row r="25" spans="1:10" ht="15" x14ac:dyDescent="0.25">
      <c r="A25" s="102" t="s">
        <v>230</v>
      </c>
      <c r="B25" s="60" t="s">
        <v>193</v>
      </c>
      <c r="C25" s="60" t="s">
        <v>242</v>
      </c>
      <c r="D25" s="112" t="str" cm="1">
        <f t="array" aca="1" ref="D25" ca="1">IF(OR(IF(OR(A25="", B25="", C25=""), "", INDIRECT("'" &amp; B25 &amp; "'!" &amp; C25))=0, IF(OR(A25="", B25="", C25=""), "", INDIRECT("'" &amp; B25 &amp; "'!" &amp; C25))=""),"",INDIRECT("'" &amp; B25 &amp; "'!" &amp; C25))</f>
        <v/>
      </c>
      <c r="F25" s="61"/>
      <c r="G25" s="62"/>
      <c r="I25" s="63"/>
      <c r="J25" s="64"/>
    </row>
    <row r="26" spans="1:10" ht="15" x14ac:dyDescent="0.25">
      <c r="A26" s="103" t="s">
        <v>195</v>
      </c>
      <c r="B26" s="65" t="s">
        <v>193</v>
      </c>
      <c r="C26" s="65" t="s">
        <v>239</v>
      </c>
      <c r="D26" s="110" t="str" cm="1">
        <f t="array" aca="1" ref="D26" ca="1">IF(OR(IF(OR(A26="", B26="", C26=""), "", INDIRECT("'" &amp; B26 &amp; "'!" &amp; C26))=0, IF(OR(A26="", B26="", C26=""), "", INDIRECT("'" &amp; B26 &amp; "'!" &amp; C26))=""),"",INDIRECT("'" &amp; B26 &amp; "'!" &amp; C26))</f>
        <v/>
      </c>
      <c r="F26" s="61"/>
      <c r="G26" s="62"/>
      <c r="I26" s="63"/>
      <c r="J26" s="64"/>
    </row>
    <row r="27" spans="1:10" ht="15" x14ac:dyDescent="0.25">
      <c r="A27" s="102" t="s">
        <v>229</v>
      </c>
      <c r="B27" s="60" t="s">
        <v>193</v>
      </c>
      <c r="C27" s="60" t="s">
        <v>240</v>
      </c>
      <c r="D27" s="112" t="str" cm="1">
        <f t="array" aca="1" ref="D27" ca="1">IF(OR(IF(OR(A27="", B27="", C27=""), "", INDIRECT("'" &amp; B27 &amp; "'!" &amp; C27))=0, IF(OR(A27="", B27="", C27=""), "", INDIRECT("'" &amp; B27 &amp; "'!" &amp; C27))=""),"",INDIRECT("'" &amp; B27 &amp; "'!" &amp; C27))</f>
        <v/>
      </c>
      <c r="F27" s="61"/>
      <c r="G27" s="62"/>
      <c r="I27" s="63"/>
      <c r="J27" s="64"/>
    </row>
    <row r="28" spans="1:10" ht="15" x14ac:dyDescent="0.25">
      <c r="A28" s="103" t="s">
        <v>200</v>
      </c>
      <c r="B28" s="65" t="s">
        <v>193</v>
      </c>
      <c r="C28" s="65" t="s">
        <v>243</v>
      </c>
      <c r="D28" s="110" t="str" cm="1">
        <f t="array" aca="1" ref="D28" ca="1">IF(OR(IF(OR(A28="", B28="", C28=""), "", INDIRECT("'" &amp; B28 &amp; "'!" &amp; C28))=0, IF(OR(A28="", B28="", C28=""), "", INDIRECT("'" &amp; B28 &amp; "'!" &amp; C28))=""),"",INDIRECT("'" &amp; B28 &amp; "'!" &amp; C28))</f>
        <v/>
      </c>
      <c r="F28" s="61"/>
      <c r="G28" s="62"/>
      <c r="I28" s="63"/>
      <c r="J28" s="64"/>
    </row>
    <row r="29" spans="1:10" ht="15" x14ac:dyDescent="0.25">
      <c r="A29" s="102" t="s">
        <v>232</v>
      </c>
      <c r="B29" s="60" t="s">
        <v>193</v>
      </c>
      <c r="C29" s="60" t="s">
        <v>244</v>
      </c>
      <c r="D29" s="112" t="str" cm="1">
        <f t="array" aca="1" ref="D29" ca="1">IF(OR(IF(OR(A29="", B29="", C29=""), "", INDIRECT("'" &amp; B29 &amp; "'!" &amp; C29))=0, IF(OR(A29="", B29="", C29=""), "", INDIRECT("'" &amp; B29 &amp; "'!" &amp; C29))=""),"",INDIRECT("'" &amp; B29 &amp; "'!" &amp; C29))</f>
        <v/>
      </c>
      <c r="F29" s="61"/>
      <c r="G29" s="62"/>
      <c r="I29" s="63"/>
      <c r="J29" s="64"/>
    </row>
    <row r="30" spans="1:10" ht="15" x14ac:dyDescent="0.25">
      <c r="A30" s="104" t="s">
        <v>187</v>
      </c>
      <c r="B30" s="66" t="s">
        <v>188</v>
      </c>
      <c r="C30" s="66" t="s">
        <v>175</v>
      </c>
      <c r="D30" s="110" t="str" cm="1">
        <f t="array" aca="1" ref="D30" ca="1">IF(OR(IF(OR(A30="", B30="", C30=""), "", INDIRECT("'" &amp; B30 &amp; "'!" &amp; C30))=0, IF(OR(A30="", B30="", C30=""), "", INDIRECT("'" &amp; B30 &amp; "'!" &amp; C30))=""),"",INDIRECT("'" &amp; B30 &amp; "'!" &amp; C30))</f>
        <v/>
      </c>
      <c r="F30" s="61"/>
      <c r="G30" s="62"/>
      <c r="I30" s="63"/>
      <c r="J30" s="64"/>
    </row>
    <row r="31" spans="1:10" ht="15" x14ac:dyDescent="0.25">
      <c r="A31" s="105" t="s">
        <v>301</v>
      </c>
      <c r="B31" s="72" t="s">
        <v>188</v>
      </c>
      <c r="C31" s="72" t="s">
        <v>329</v>
      </c>
      <c r="D31" s="135" cm="1">
        <f t="array" aca="1" ref="D31" ca="1">IF(OR(IF(OR(A31="", B31="", C31=""), "", INDIRECT("'" &amp; B31 &amp; "'!" &amp; C31))=0, IF(OR(A31="", B31="", C31=""), "", INDIRECT("'" &amp; B31 &amp; "'!" &amp; C31))=""),"",INDIRECT("'" &amp; B31 &amp; "'!" &amp; C31))</f>
        <v>0.25</v>
      </c>
      <c r="F31" s="61"/>
      <c r="G31" s="62"/>
      <c r="I31" s="63"/>
      <c r="J31" s="64"/>
    </row>
    <row r="32" spans="1:10" ht="15" x14ac:dyDescent="0.25">
      <c r="A32" s="102" t="s">
        <v>189</v>
      </c>
      <c r="B32" s="60" t="s">
        <v>188</v>
      </c>
      <c r="C32" s="60" t="s">
        <v>177</v>
      </c>
      <c r="D32" s="111" t="str" cm="1">
        <f t="array" aca="1" ref="D32" ca="1">IF(OR(IF(OR(A32="", B32="", C32=""), "", INDIRECT("'" &amp; B32 &amp; "'!" &amp; C32))=0, IF(OR(A32="", B32="", C32=""), "", INDIRECT("'" &amp; B32 &amp; "'!" &amp; C32))=""),"",INDIRECT("'" &amp; B32 &amp; "'!" &amp; C32))</f>
        <v/>
      </c>
      <c r="F32" s="61"/>
      <c r="G32" s="62"/>
      <c r="I32" s="63"/>
      <c r="J32" s="64"/>
    </row>
    <row r="33" spans="1:10" ht="15" x14ac:dyDescent="0.25">
      <c r="A33" s="103" t="s">
        <v>191</v>
      </c>
      <c r="B33" s="65" t="s">
        <v>188</v>
      </c>
      <c r="C33" s="65" t="s">
        <v>241</v>
      </c>
      <c r="D33" s="110" t="str" cm="1">
        <f t="array" aca="1" ref="D33" ca="1">IF(OR(IF(OR(A33="", B33="", C33=""), "", INDIRECT("'" &amp; B33 &amp; "'!" &amp; C33))=0, IF(OR(A33="", B33="", C33=""), "", INDIRECT("'" &amp; B33 &amp; "'!" &amp; C33))=""),"",INDIRECT("'" &amp; B33 &amp; "'!" &amp; C33))</f>
        <v/>
      </c>
      <c r="F33" s="61"/>
      <c r="G33" s="62"/>
      <c r="I33" s="63"/>
      <c r="J33" s="64"/>
    </row>
    <row r="34" spans="1:10" ht="15" x14ac:dyDescent="0.25">
      <c r="A34" s="102" t="s">
        <v>228</v>
      </c>
      <c r="B34" s="60" t="s">
        <v>188</v>
      </c>
      <c r="C34" s="60" t="s">
        <v>242</v>
      </c>
      <c r="D34" s="112" t="str" cm="1">
        <f t="array" aca="1" ref="D34" ca="1">IF(OR(IF(OR(A34="", B34="", C34=""), "", INDIRECT("'" &amp; B34 &amp; "'!" &amp; C34))=0, IF(OR(A34="", B34="", C34=""), "", INDIRECT("'" &amp; B34 &amp; "'!" &amp; C34))=""),"",INDIRECT("'" &amp; B34 &amp; "'!" &amp; C34))</f>
        <v/>
      </c>
      <c r="F34" s="61"/>
      <c r="G34" s="62"/>
      <c r="I34" s="63"/>
      <c r="J34" s="64"/>
    </row>
    <row r="35" spans="1:10" ht="15" x14ac:dyDescent="0.25">
      <c r="A35" s="103" t="s">
        <v>190</v>
      </c>
      <c r="B35" s="65" t="s">
        <v>188</v>
      </c>
      <c r="C35" s="65" t="s">
        <v>239</v>
      </c>
      <c r="D35" s="110" t="str" cm="1">
        <f t="array" aca="1" ref="D35" ca="1">IF(OR(IF(OR(A35="", B35="", C35=""), "", INDIRECT("'" &amp; B35 &amp; "'!" &amp; C35))=0, IF(OR(A35="", B35="", C35=""), "", INDIRECT("'" &amp; B35 &amp; "'!" &amp; C35))=""),"",INDIRECT("'" &amp; B35 &amp; "'!" &amp; C35))</f>
        <v/>
      </c>
      <c r="F35" s="61"/>
      <c r="G35" s="62"/>
      <c r="I35" s="63"/>
      <c r="J35" s="64"/>
    </row>
    <row r="36" spans="1:10" ht="15" x14ac:dyDescent="0.25">
      <c r="A36" s="102" t="s">
        <v>227</v>
      </c>
      <c r="B36" s="60" t="s">
        <v>188</v>
      </c>
      <c r="C36" s="60" t="s">
        <v>240</v>
      </c>
      <c r="D36" s="112" t="str" cm="1">
        <f t="array" aca="1" ref="D36" ca="1">IF(OR(IF(OR(A36="", B36="", C36=""), "", INDIRECT("'" &amp; B36 &amp; "'!" &amp; C36))=0, IF(OR(A36="", B36="", C36=""), "", INDIRECT("'" &amp; B36 &amp; "'!" &amp; C36))=""),"",INDIRECT("'" &amp; B36 &amp; "'!" &amp; C36))</f>
        <v/>
      </c>
      <c r="F36" s="61"/>
      <c r="G36" s="62"/>
      <c r="I36" s="63"/>
      <c r="J36" s="64"/>
    </row>
    <row r="37" spans="1:10" ht="15" x14ac:dyDescent="0.25">
      <c r="A37" s="103" t="s">
        <v>197</v>
      </c>
      <c r="B37" s="65" t="s">
        <v>188</v>
      </c>
      <c r="C37" s="65" t="s">
        <v>243</v>
      </c>
      <c r="D37" s="110" t="str" cm="1">
        <f t="array" aca="1" ref="D37" ca="1">IF(OR(IF(OR(A37="", B37="", C37=""), "", INDIRECT("'" &amp; B37 &amp; "'!" &amp; C37))=0, IF(OR(A37="", B37="", C37=""), "", INDIRECT("'" &amp; B37 &amp; "'!" &amp; C37))=""),"",INDIRECT("'" &amp; B37 &amp; "'!" &amp; C37))</f>
        <v/>
      </c>
      <c r="F37" s="61"/>
      <c r="G37" s="62"/>
      <c r="I37" s="63"/>
      <c r="J37" s="64"/>
    </row>
    <row r="38" spans="1:10" ht="15" x14ac:dyDescent="0.25">
      <c r="A38" s="102" t="s">
        <v>231</v>
      </c>
      <c r="B38" s="60" t="s">
        <v>188</v>
      </c>
      <c r="C38" s="60" t="s">
        <v>244</v>
      </c>
      <c r="D38" s="112" t="str" cm="1">
        <f t="array" aca="1" ref="D38" ca="1">IF(OR(IF(OR(A38="", B38="", C38=""), "", INDIRECT("'" &amp; B38 &amp; "'!" &amp; C38))=0, IF(OR(A38="", B38="", C38=""), "", INDIRECT("'" &amp; B38 &amp; "'!" &amp; C38))=""),"",INDIRECT("'" &amp; B38 &amp; "'!" &amp; C38))</f>
        <v/>
      </c>
      <c r="F38" s="61"/>
      <c r="G38" s="62"/>
      <c r="I38" s="63"/>
      <c r="J38" s="64"/>
    </row>
    <row r="39" spans="1:10" ht="15" x14ac:dyDescent="0.25">
      <c r="A39" s="104" t="s">
        <v>206</v>
      </c>
      <c r="B39" s="66" t="s">
        <v>207</v>
      </c>
      <c r="C39" s="66" t="s">
        <v>175</v>
      </c>
      <c r="D39" s="110" t="str" cm="1">
        <f t="array" aca="1" ref="D39" ca="1">IF(OR(IF(OR(A39="", B39="", C39=""), "", INDIRECT("'" &amp; B39 &amp; "'!" &amp; C39))=0, IF(OR(A39="", B39="", C39=""), "", INDIRECT("'" &amp; B39 &amp; "'!" &amp; C39))=""),"",INDIRECT("'" &amp; B39 &amp; "'!" &amp; C39))</f>
        <v/>
      </c>
      <c r="F39" s="61"/>
      <c r="G39" s="62"/>
      <c r="I39" s="63"/>
      <c r="J39" s="64"/>
    </row>
    <row r="40" spans="1:10" ht="15.75" thickBot="1" x14ac:dyDescent="0.3">
      <c r="A40" s="105" t="s">
        <v>307</v>
      </c>
      <c r="B40" s="72" t="s">
        <v>207</v>
      </c>
      <c r="C40" s="72" t="s">
        <v>329</v>
      </c>
      <c r="D40" s="135" cm="1">
        <f t="array" aca="1" ref="D40" ca="1">IF(OR(IF(OR(A40="", B40="", C40=""), "", INDIRECT("'" &amp; B40 &amp; "'!" &amp; C40))=0, IF(OR(A40="", B40="", C40=""), "", INDIRECT("'" &amp; B40 &amp; "'!" &amp; C40))=""),"",INDIRECT("'" &amp; B40 &amp; "'!" &amp; C40))</f>
        <v>0.25</v>
      </c>
      <c r="F40" s="68"/>
      <c r="G40" s="69"/>
      <c r="I40" s="70"/>
      <c r="J40" s="71"/>
    </row>
    <row r="41" spans="1:10" ht="15" x14ac:dyDescent="0.2">
      <c r="A41" s="102" t="s">
        <v>208</v>
      </c>
      <c r="B41" s="60" t="s">
        <v>207</v>
      </c>
      <c r="C41" s="60" t="s">
        <v>177</v>
      </c>
      <c r="D41" s="111" t="str" cm="1">
        <f t="array" aca="1" ref="D41" ca="1">IF(OR(IF(OR(A41="", B41="", C41=""), "", INDIRECT("'" &amp; B41 &amp; "'!" &amp; C41))=0, IF(OR(A41="", B41="", C41=""), "", INDIRECT("'" &amp; B41 &amp; "'!" &amp; C41))=""),"",INDIRECT("'" &amp; B41 &amp; "'!" &amp; C41))</f>
        <v/>
      </c>
    </row>
    <row r="42" spans="1:10" ht="15" x14ac:dyDescent="0.2">
      <c r="A42" s="103" t="s">
        <v>210</v>
      </c>
      <c r="B42" s="65" t="s">
        <v>207</v>
      </c>
      <c r="C42" s="65" t="s">
        <v>241</v>
      </c>
      <c r="D42" s="110" t="str" cm="1">
        <f t="array" aca="1" ref="D42" ca="1">IF(OR(IF(OR(A42="", B42="", C42=""), "", INDIRECT("'" &amp; B42 &amp; "'!" &amp; C42))=0, IF(OR(A42="", B42="", C42=""), "", INDIRECT("'" &amp; B42 &amp; "'!" &amp; C42))=""),"",INDIRECT("'" &amp; B42 &amp; "'!" &amp; C42))</f>
        <v/>
      </c>
    </row>
    <row r="43" spans="1:10" ht="15" x14ac:dyDescent="0.2">
      <c r="A43" s="102" t="s">
        <v>236</v>
      </c>
      <c r="B43" s="60" t="s">
        <v>207</v>
      </c>
      <c r="C43" s="60" t="s">
        <v>242</v>
      </c>
      <c r="D43" s="112" t="str" cm="1">
        <f t="array" aca="1" ref="D43" ca="1">IF(OR(IF(OR(A43="", B43="", C43=""), "", INDIRECT("'" &amp; B43 &amp; "'!" &amp; C43))=0, IF(OR(A43="", B43="", C43=""), "", INDIRECT("'" &amp; B43 &amp; "'!" &amp; C43))=""),"",INDIRECT("'" &amp; B43 &amp; "'!" &amp; C43))</f>
        <v/>
      </c>
    </row>
    <row r="44" spans="1:10" ht="15" x14ac:dyDescent="0.2">
      <c r="A44" s="103" t="s">
        <v>209</v>
      </c>
      <c r="B44" s="65" t="s">
        <v>207</v>
      </c>
      <c r="C44" s="65" t="s">
        <v>239</v>
      </c>
      <c r="D44" s="110" t="str" cm="1">
        <f t="array" aca="1" ref="D44" ca="1">IF(OR(IF(OR(A44="", B44="", C44=""), "", INDIRECT("'" &amp; B44 &amp; "'!" &amp; C44))=0, IF(OR(A44="", B44="", C44=""), "", INDIRECT("'" &amp; B44 &amp; "'!" &amp; C44))=""),"",INDIRECT("'" &amp; B44 &amp; "'!" &amp; C44))</f>
        <v/>
      </c>
      <c r="F44" s="48" t="s">
        <v>198</v>
      </c>
    </row>
    <row r="45" spans="1:10" ht="15" x14ac:dyDescent="0.2">
      <c r="A45" s="102" t="s">
        <v>235</v>
      </c>
      <c r="B45" s="60" t="s">
        <v>207</v>
      </c>
      <c r="C45" s="60" t="s">
        <v>240</v>
      </c>
      <c r="D45" s="112" t="str" cm="1">
        <f t="array" aca="1" ref="D45" ca="1">IF(OR(IF(OR(A45="", B45="", C45=""), "", INDIRECT("'" &amp; B45 &amp; "'!" &amp; C45))=0, IF(OR(A45="", B45="", C45=""), "", INDIRECT("'" &amp; B45 &amp; "'!" &amp; C45))=""),"",INDIRECT("'" &amp; B45 &amp; "'!" &amp; C45))</f>
        <v/>
      </c>
      <c r="F45" s="48" t="s">
        <v>199</v>
      </c>
    </row>
    <row r="46" spans="1:10" ht="15" x14ac:dyDescent="0.2">
      <c r="A46" s="103" t="s">
        <v>212</v>
      </c>
      <c r="B46" s="65" t="s">
        <v>207</v>
      </c>
      <c r="C46" s="65" t="s">
        <v>243</v>
      </c>
      <c r="D46" s="110" t="str" cm="1">
        <f t="array" aca="1" ref="D46" ca="1">IF(OR(IF(OR(A46="", B46="", C46=""), "", INDIRECT("'" &amp; B46 &amp; "'!" &amp; C46))=0, IF(OR(A46="", B46="", C46=""), "", INDIRECT("'" &amp; B46 &amp; "'!" &amp; C46))=""),"",INDIRECT("'" &amp; B46 &amp; "'!" &amp; C46))</f>
        <v/>
      </c>
    </row>
    <row r="47" spans="1:10" ht="15" x14ac:dyDescent="0.2">
      <c r="A47" s="102" t="s">
        <v>238</v>
      </c>
      <c r="B47" s="60" t="s">
        <v>207</v>
      </c>
      <c r="C47" s="60" t="s">
        <v>244</v>
      </c>
      <c r="D47" s="112" t="str" cm="1">
        <f t="array" aca="1" ref="D47" ca="1">IF(OR(IF(OR(A47="", B47="", C47=""), "", INDIRECT("'" &amp; B47 &amp; "'!" &amp; C47))=0, IF(OR(A47="", B47="", C47=""), "", INDIRECT("'" &amp; B47 &amp; "'!" &amp; C47))=""),"",INDIRECT("'" &amp; B47 &amp; "'!" &amp; C47))</f>
        <v/>
      </c>
    </row>
    <row r="48" spans="1:10" ht="15" x14ac:dyDescent="0.2">
      <c r="A48" s="104" t="s">
        <v>201</v>
      </c>
      <c r="B48" s="66" t="s">
        <v>202</v>
      </c>
      <c r="C48" s="66" t="s">
        <v>175</v>
      </c>
      <c r="D48" s="110" t="str" cm="1">
        <f t="array" aca="1" ref="D48" ca="1">IF(OR(IF(OR(A48="", B48="", C48=""), "", INDIRECT("'" &amp; B48 &amp; "'!" &amp; C48))=0, IF(OR(A48="", B48="", C48=""), "", INDIRECT("'" &amp; B48 &amp; "'!" &amp; C48))=""),"",INDIRECT("'" &amp; B48 &amp; "'!" &amp; C48))</f>
        <v/>
      </c>
    </row>
    <row r="49" spans="1:4" ht="15" x14ac:dyDescent="0.2">
      <c r="A49" s="106" t="s">
        <v>302</v>
      </c>
      <c r="B49" s="73" t="s">
        <v>202</v>
      </c>
      <c r="C49" s="73" t="s">
        <v>329</v>
      </c>
      <c r="D49" s="134" cm="1">
        <f t="array" aca="1" ref="D49" ca="1">IF(OR(IF(OR(A49="", B49="", C49=""), "", INDIRECT("'" &amp; B49 &amp; "'!" &amp; C49))=0, IF(OR(A49="", B49="", C49=""), "", INDIRECT("'" &amp; B49 &amp; "'!" &amp; C49))=""),"",INDIRECT("'" &amp; B49 &amp; "'!" &amp; C49))</f>
        <v>0.25</v>
      </c>
    </row>
    <row r="50" spans="1:4" ht="15" x14ac:dyDescent="0.2">
      <c r="A50" s="102" t="s">
        <v>203</v>
      </c>
      <c r="B50" s="60" t="s">
        <v>202</v>
      </c>
      <c r="C50" s="60" t="s">
        <v>177</v>
      </c>
      <c r="D50" s="111" t="str" cm="1">
        <f t="array" aca="1" ref="D50" ca="1">IF(OR(IF(OR(A50="", B50="", C50=""), "", INDIRECT("'" &amp; B50 &amp; "'!" &amp; C50))=0, IF(OR(A50="", B50="", C50=""), "", INDIRECT("'" &amp; B50 &amp; "'!" &amp; C50))=""),"",INDIRECT("'" &amp; B50 &amp; "'!" &amp; C50))</f>
        <v/>
      </c>
    </row>
    <row r="51" spans="1:4" ht="15" x14ac:dyDescent="0.2">
      <c r="A51" s="103" t="s">
        <v>205</v>
      </c>
      <c r="B51" s="65" t="s">
        <v>202</v>
      </c>
      <c r="C51" s="65" t="s">
        <v>241</v>
      </c>
      <c r="D51" s="110" t="str" cm="1">
        <f t="array" aca="1" ref="D51" ca="1">IF(OR(IF(OR(A51="", B51="", C51=""), "", INDIRECT("'" &amp; B51 &amp; "'!" &amp; C51))=0, IF(OR(A51="", B51="", C51=""), "", INDIRECT("'" &amp; B51 &amp; "'!" &amp; C51))=""),"",INDIRECT("'" &amp; B51 &amp; "'!" &amp; C51))</f>
        <v/>
      </c>
    </row>
    <row r="52" spans="1:4" ht="15" x14ac:dyDescent="0.2">
      <c r="A52" s="102" t="s">
        <v>234</v>
      </c>
      <c r="B52" s="60" t="s">
        <v>202</v>
      </c>
      <c r="C52" s="60" t="s">
        <v>242</v>
      </c>
      <c r="D52" s="112" t="str" cm="1">
        <f t="array" aca="1" ref="D52" ca="1">IF(OR(IF(OR(A52="", B52="", C52=""), "", INDIRECT("'" &amp; B52 &amp; "'!" &amp; C52))=0, IF(OR(A52="", B52="", C52=""), "", INDIRECT("'" &amp; B52 &amp; "'!" &amp; C52))=""),"",INDIRECT("'" &amp; B52 &amp; "'!" &amp; C52))</f>
        <v/>
      </c>
    </row>
    <row r="53" spans="1:4" ht="15" x14ac:dyDescent="0.2">
      <c r="A53" s="103" t="s">
        <v>204</v>
      </c>
      <c r="B53" s="65" t="s">
        <v>202</v>
      </c>
      <c r="C53" s="65" t="s">
        <v>239</v>
      </c>
      <c r="D53" s="110" t="str" cm="1">
        <f t="array" aca="1" ref="D53" ca="1">IF(OR(IF(OR(A53="", B53="", C53=""), "", INDIRECT("'" &amp; B53 &amp; "'!" &amp; C53))=0, IF(OR(A53="", B53="", C53=""), "", INDIRECT("'" &amp; B53 &amp; "'!" &amp; C53))=""),"",INDIRECT("'" &amp; B53 &amp; "'!" &amp; C53))</f>
        <v/>
      </c>
    </row>
    <row r="54" spans="1:4" ht="15" x14ac:dyDescent="0.2">
      <c r="A54" s="102" t="s">
        <v>233</v>
      </c>
      <c r="B54" s="60" t="s">
        <v>202</v>
      </c>
      <c r="C54" s="60" t="s">
        <v>240</v>
      </c>
      <c r="D54" s="112" t="str" cm="1">
        <f t="array" aca="1" ref="D54" ca="1">IF(OR(IF(OR(A54="", B54="", C54=""), "", INDIRECT("'" &amp; B54 &amp; "'!" &amp; C54))=0, IF(OR(A54="", B54="", C54=""), "", INDIRECT("'" &amp; B54 &amp; "'!" &amp; C54))=""),"",INDIRECT("'" &amp; B54 &amp; "'!" &amp; C54))</f>
        <v/>
      </c>
    </row>
    <row r="55" spans="1:4" ht="15" x14ac:dyDescent="0.2">
      <c r="A55" s="103" t="s">
        <v>211</v>
      </c>
      <c r="B55" s="65" t="s">
        <v>202</v>
      </c>
      <c r="C55" s="65" t="s">
        <v>243</v>
      </c>
      <c r="D55" s="110" t="str" cm="1">
        <f t="array" aca="1" ref="D55" ca="1">IF(OR(IF(OR(A55="", B55="", C55=""), "", INDIRECT("'" &amp; B55 &amp; "'!" &amp; C55))=0, IF(OR(A55="", B55="", C55=""), "", INDIRECT("'" &amp; B55 &amp; "'!" &amp; C55))=""),"",INDIRECT("'" &amp; B55 &amp; "'!" &amp; C55))</f>
        <v/>
      </c>
    </row>
    <row r="56" spans="1:4" ht="15" x14ac:dyDescent="0.2">
      <c r="A56" s="102" t="s">
        <v>237</v>
      </c>
      <c r="B56" s="60" t="s">
        <v>202</v>
      </c>
      <c r="C56" s="60" t="s">
        <v>244</v>
      </c>
      <c r="D56" s="112" t="str" cm="1">
        <f t="array" aca="1" ref="D56" ca="1">IF(OR(IF(OR(A56="", B56="", C56=""), "", INDIRECT("'" &amp; B56 &amp; "'!" &amp; C56))=0, IF(OR(A56="", B56="", C56=""), "", INDIRECT("'" &amp; B56 &amp; "'!" &amp; C56))=""),"",INDIRECT("'" &amp; B56 &amp; "'!" &amp; C56))</f>
        <v/>
      </c>
    </row>
    <row r="57" spans="1:4" ht="15" x14ac:dyDescent="0.2">
      <c r="A57" s="103" t="s">
        <v>288</v>
      </c>
      <c r="B57" s="65" t="s">
        <v>160</v>
      </c>
      <c r="C57" s="65" t="s">
        <v>161</v>
      </c>
      <c r="D57" s="108" cm="1">
        <f t="array" aca="1" ref="D57" ca="1">IF(OR(IF(OR(A57="", B57="", C57=""), "", INDIRECT("'" &amp; B57 &amp; "'!" &amp; C57))=0, IF(OR(A57="", B57="", C57=""), "", INDIRECT("'" &amp; B57 &amp; "'!" &amp; C57))=""),"",INDIRECT("'" &amp; B57 &amp; "'!" &amp; C57))</f>
        <v>22.93</v>
      </c>
    </row>
    <row r="58" spans="1:4" ht="15" x14ac:dyDescent="0.2">
      <c r="A58" s="103" t="s">
        <v>296</v>
      </c>
      <c r="B58" s="65" t="s">
        <v>160</v>
      </c>
      <c r="C58" s="65" t="s">
        <v>169</v>
      </c>
      <c r="D58" s="108" cm="1">
        <f t="array" aca="1" ref="D58" ca="1">IF(OR(IF(OR(A58="", B58="", C58=""), "", INDIRECT("'" &amp; B58 &amp; "'!" &amp; C58))=0, IF(OR(A58="", B58="", C58=""), "", INDIRECT("'" &amp; B58 &amp; "'!" &amp; C58))=""),"",INDIRECT("'" &amp; B58 &amp; "'!" &amp; C58))</f>
        <v>80</v>
      </c>
    </row>
    <row r="59" spans="1:4" ht="15" x14ac:dyDescent="0.2">
      <c r="A59" s="102" t="s">
        <v>289</v>
      </c>
      <c r="B59" s="60" t="s">
        <v>160</v>
      </c>
      <c r="C59" s="117" t="s">
        <v>162</v>
      </c>
      <c r="D59" s="109" cm="1">
        <f t="array" aca="1" ref="D59" ca="1">IF(OR(IF(OR(A59="", B59="", C59=""), "", INDIRECT("'" &amp; B59 &amp; "'!" &amp; C59))=0, IF(OR(A59="", B59="", C59=""), "", INDIRECT("'" &amp; B59 &amp; "'!" &amp; C59))=""),"",INDIRECT("'" &amp; B59 &amp; "'!" &amp; C59))</f>
        <v>25</v>
      </c>
    </row>
    <row r="60" spans="1:4" ht="15" x14ac:dyDescent="0.2">
      <c r="A60" s="103" t="s">
        <v>290</v>
      </c>
      <c r="B60" s="65" t="s">
        <v>160</v>
      </c>
      <c r="C60" s="65" t="s">
        <v>163</v>
      </c>
      <c r="D60" s="108" cm="1">
        <f t="array" aca="1" ref="D60" ca="1">IF(OR(IF(OR(A60="", B60="", C60=""), "", INDIRECT("'" &amp; B60 &amp; "'!" &amp; C60))=0, IF(OR(A60="", B60="", C60=""), "", INDIRECT("'" &amp; B60 &amp; "'!" &amp; C60))=""),"",INDIRECT("'" &amp; B60 &amp; "'!" &amp; C60))</f>
        <v>54.9</v>
      </c>
    </row>
    <row r="61" spans="1:4" ht="15" x14ac:dyDescent="0.2">
      <c r="A61" s="102" t="s">
        <v>291</v>
      </c>
      <c r="B61" s="60" t="s">
        <v>160</v>
      </c>
      <c r="C61" s="117" t="s">
        <v>164</v>
      </c>
      <c r="D61" s="109" cm="1">
        <f t="array" aca="1" ref="D61" ca="1">IF(OR(IF(OR(A61="", B61="", C61=""), "", INDIRECT("'" &amp; B61 &amp; "'!" &amp; C61))=0, IF(OR(A61="", B61="", C61=""), "", INDIRECT("'" &amp; B61 &amp; "'!" &amp; C61))=""),"",INDIRECT("'" &amp; B61 &amp; "'!" &amp; C61))</f>
        <v>52.83</v>
      </c>
    </row>
    <row r="62" spans="1:4" ht="15" x14ac:dyDescent="0.2">
      <c r="A62" s="102" t="s">
        <v>297</v>
      </c>
      <c r="B62" s="60" t="s">
        <v>160</v>
      </c>
      <c r="C62" s="60" t="s">
        <v>170</v>
      </c>
      <c r="D62" s="109" cm="1">
        <f t="array" aca="1" ref="D62" ca="1">IF(OR(IF(OR(A62="", B62="", C62=""), "", INDIRECT("'" &amp; B62 &amp; "'!" &amp; C62))=0, IF(OR(A62="", B62="", C62=""), "", INDIRECT("'" &amp; B62 &amp; "'!" &amp; C62))=""),"",INDIRECT("'" &amp; B62 &amp; "'!" &amp; C62))</f>
        <v>55</v>
      </c>
    </row>
    <row r="63" spans="1:4" ht="15" x14ac:dyDescent="0.2">
      <c r="A63" s="104" t="s">
        <v>298</v>
      </c>
      <c r="B63" s="66" t="s">
        <v>160</v>
      </c>
      <c r="C63" s="66" t="s">
        <v>171</v>
      </c>
      <c r="D63" s="108" cm="1">
        <f t="array" aca="1" ref="D63" ca="1">IF(OR(IF(OR(A63="", B63="", C63=""), "", INDIRECT("'" &amp; B63 &amp; "'!" &amp; C63))=0, IF(OR(A63="", B63="", C63=""), "", INDIRECT("'" &amp; B63 &amp; "'!" &amp; C63))=""),"",INDIRECT("'" &amp; B63 &amp; "'!" &amp; C63))</f>
        <v>55</v>
      </c>
    </row>
    <row r="64" spans="1:4" ht="15" x14ac:dyDescent="0.2">
      <c r="A64" s="102" t="s">
        <v>299</v>
      </c>
      <c r="B64" s="60" t="s">
        <v>160</v>
      </c>
      <c r="C64" s="60" t="s">
        <v>172</v>
      </c>
      <c r="D64" s="109" t="str" cm="1">
        <f t="array" aca="1" ref="D64" ca="1">IF(OR(IF(OR(A64="", B64="", C64=""), "", INDIRECT("'" &amp; B64 &amp; "'!" &amp; C64))=0, IF(OR(A64="", B64="", C64=""), "", INDIRECT("'" &amp; B64 &amp; "'!" &amp; C64))=""),"",INDIRECT("'" &amp; B64 &amp; "'!" &amp; C64))</f>
        <v/>
      </c>
    </row>
    <row r="65" spans="1:4" ht="15" x14ac:dyDescent="0.2">
      <c r="A65" s="103" t="s">
        <v>292</v>
      </c>
      <c r="B65" s="65" t="s">
        <v>160</v>
      </c>
      <c r="C65" s="65" t="s">
        <v>165</v>
      </c>
      <c r="D65" s="108" cm="1">
        <f t="array" aca="1" ref="D65" ca="1">IF(OR(IF(OR(A65="", B65="", C65=""), "", INDIRECT("'" &amp; B65 &amp; "'!" &amp; C65))=0, IF(OR(A65="", B65="", C65=""), "", INDIRECT("'" &amp; B65 &amp; "'!" &amp; C65))=""),"",INDIRECT("'" &amp; B65 &amp; "'!" &amp; C65))</f>
        <v>37.26</v>
      </c>
    </row>
    <row r="66" spans="1:4" ht="15" x14ac:dyDescent="0.2">
      <c r="A66" s="102" t="s">
        <v>293</v>
      </c>
      <c r="B66" s="60" t="s">
        <v>160</v>
      </c>
      <c r="C66" s="117" t="s">
        <v>166</v>
      </c>
      <c r="D66" s="109" cm="1">
        <f t="array" aca="1" ref="D66" ca="1">IF(OR(IF(OR(A66="", B66="", C66=""), "", INDIRECT("'" &amp; B66 &amp; "'!" &amp; C66))=0, IF(OR(A66="", B66="", C66=""), "", INDIRECT("'" &amp; B66 &amp; "'!" &amp; C66))=""),"",INDIRECT("'" &amp; B66 &amp; "'!" &amp; C66))</f>
        <v>35.19</v>
      </c>
    </row>
    <row r="67" spans="1:4" ht="15" x14ac:dyDescent="0.2">
      <c r="A67" s="104" t="s">
        <v>294</v>
      </c>
      <c r="B67" s="66" t="s">
        <v>160</v>
      </c>
      <c r="C67" s="66" t="s">
        <v>167</v>
      </c>
      <c r="D67" s="108" cm="1">
        <f t="array" aca="1" ref="D67" ca="1">IF(OR(IF(OR(A67="", B67="", C67=""), "", INDIRECT("'" &amp; B67 &amp; "'!" &amp; C67))=0, IF(OR(A67="", B67="", C67=""), "", INDIRECT("'" &amp; B67 &amp; "'!" &amp; C67))=""),"",INDIRECT("'" &amp; B67 &amp; "'!" &amp; C67))</f>
        <v>35</v>
      </c>
    </row>
    <row r="68" spans="1:4" ht="15" x14ac:dyDescent="0.2">
      <c r="A68" s="102" t="s">
        <v>295</v>
      </c>
      <c r="B68" s="60" t="s">
        <v>160</v>
      </c>
      <c r="C68" s="117" t="s">
        <v>168</v>
      </c>
      <c r="D68" s="109" cm="1">
        <f t="array" aca="1" ref="D68" ca="1">IF(OR(IF(OR(A68="", B68="", C68=""), "", INDIRECT("'" &amp; B68 &amp; "'!" &amp; C68))=0, IF(OR(A68="", B68="", C68=""), "", INDIRECT("'" &amp; B68 &amp; "'!" &amp; C68))=""),"",INDIRECT("'" &amp; B68 &amp; "'!" &amp; C68))</f>
        <v>0.18999999999999773</v>
      </c>
    </row>
    <row r="69" spans="1:4" ht="15" x14ac:dyDescent="0.2">
      <c r="A69" s="104" t="s">
        <v>215</v>
      </c>
      <c r="B69" s="66" t="s">
        <v>325</v>
      </c>
      <c r="C69" s="66" t="s">
        <v>175</v>
      </c>
      <c r="D69" s="110" t="str" cm="1">
        <f t="array" aca="1" ref="D69" ca="1">IF(OR(IF(OR(A69="", B69="", C69=""), "", INDIRECT("'" &amp; B69 &amp; "'!" &amp; C69))=0, IF(OR(A69="", B69="", C69=""), "", INDIRECT("'" &amp; B69 &amp; "'!" &amp; C69))=""),"",INDIRECT("'" &amp; B69 &amp; "'!" &amp; C69))</f>
        <v/>
      </c>
    </row>
    <row r="70" spans="1:4" ht="15" x14ac:dyDescent="0.2">
      <c r="A70" s="106" t="s">
        <v>308</v>
      </c>
      <c r="B70" s="73" t="s">
        <v>325</v>
      </c>
      <c r="C70" s="73" t="s">
        <v>329</v>
      </c>
      <c r="D70" s="134" cm="1">
        <f t="array" aca="1" ref="D70" ca="1">IF(OR(IF(OR(A70="", B70="", C70=""), "", INDIRECT("'" &amp; B70 &amp; "'!" &amp; C70))=0, IF(OR(A70="", B70="", C70=""), "", INDIRECT("'" &amp; B70 &amp; "'!" &amp; C70))=""),"",INDIRECT("'" &amp; B70 &amp; "'!" &amp; C70))</f>
        <v>0.25</v>
      </c>
    </row>
    <row r="71" spans="1:4" ht="15" x14ac:dyDescent="0.2">
      <c r="A71" s="102" t="s">
        <v>216</v>
      </c>
      <c r="B71" s="60" t="s">
        <v>325</v>
      </c>
      <c r="C71" s="60" t="s">
        <v>177</v>
      </c>
      <c r="D71" s="111" t="str" cm="1">
        <f t="array" aca="1" ref="D71" ca="1">IF(OR(IF(OR(A71="", B71="", C71=""), "", INDIRECT("'" &amp; B71 &amp; "'!" &amp; C71))=0, IF(OR(A71="", B71="", C71=""), "", INDIRECT("'" &amp; B71 &amp; "'!" &amp; C71))=""),"",INDIRECT("'" &amp; B71 &amp; "'!" &amp; C71))</f>
        <v/>
      </c>
    </row>
    <row r="72" spans="1:4" ht="15" x14ac:dyDescent="0.2">
      <c r="A72" s="103" t="s">
        <v>260</v>
      </c>
      <c r="B72" s="65" t="s">
        <v>325</v>
      </c>
      <c r="C72" s="65" t="s">
        <v>241</v>
      </c>
      <c r="D72" s="110" t="str" cm="1">
        <f t="array" aca="1" ref="D72" ca="1">IF(OR(IF(OR(A72="", B72="", C72=""), "", INDIRECT("'" &amp; B72 &amp; "'!" &amp; C72))=0, IF(OR(A72="", B72="", C72=""), "", INDIRECT("'" &amp; B72 &amp; "'!" &amp; C72))=""),"",INDIRECT("'" &amp; B72 &amp; "'!" &amp; C72))</f>
        <v/>
      </c>
    </row>
    <row r="73" spans="1:4" ht="15" x14ac:dyDescent="0.2">
      <c r="A73" s="102" t="s">
        <v>261</v>
      </c>
      <c r="B73" s="60" t="s">
        <v>325</v>
      </c>
      <c r="C73" s="60" t="s">
        <v>242</v>
      </c>
      <c r="D73" s="112" t="str" cm="1">
        <f t="array" aca="1" ref="D73" ca="1">IF(OR(IF(OR(A73="", B73="", C73=""), "", INDIRECT("'" &amp; B73 &amp; "'!" &amp; C73))=0, IF(OR(A73="", B73="", C73=""), "", INDIRECT("'" &amp; B73 &amp; "'!" &amp; C73))=""),"",INDIRECT("'" &amp; B73 &amp; "'!" &amp; C73))</f>
        <v/>
      </c>
    </row>
    <row r="74" spans="1:4" ht="15" x14ac:dyDescent="0.2">
      <c r="A74" s="103" t="s">
        <v>258</v>
      </c>
      <c r="B74" s="65" t="s">
        <v>325</v>
      </c>
      <c r="C74" s="65" t="s">
        <v>239</v>
      </c>
      <c r="D74" s="110" t="str" cm="1">
        <f t="array" aca="1" ref="D74" ca="1">IF(OR(IF(OR(A74="", B74="", C74=""), "", INDIRECT("'" &amp; B74 &amp; "'!" &amp; C74))=0, IF(OR(A74="", B74="", C74=""), "", INDIRECT("'" &amp; B74 &amp; "'!" &amp; C74))=""),"",INDIRECT("'" &amp; B74 &amp; "'!" &amp; C74))</f>
        <v/>
      </c>
    </row>
    <row r="75" spans="1:4" ht="15" x14ac:dyDescent="0.2">
      <c r="A75" s="102" t="s">
        <v>259</v>
      </c>
      <c r="B75" s="60" t="s">
        <v>325</v>
      </c>
      <c r="C75" s="60" t="s">
        <v>240</v>
      </c>
      <c r="D75" s="112" t="str" cm="1">
        <f t="array" aca="1" ref="D75" ca="1">IF(OR(IF(OR(A75="", B75="", C75=""), "", INDIRECT("'" &amp; B75 &amp; "'!" &amp; C75))=0, IF(OR(A75="", B75="", C75=""), "", INDIRECT("'" &amp; B75 &amp; "'!" &amp; C75))=""),"",INDIRECT("'" &amp; B75 &amp; "'!" &amp; C75))</f>
        <v/>
      </c>
    </row>
    <row r="76" spans="1:4" ht="15" x14ac:dyDescent="0.2">
      <c r="A76" s="106" t="s">
        <v>264</v>
      </c>
      <c r="B76" s="65" t="s">
        <v>325</v>
      </c>
      <c r="C76" s="73" t="s">
        <v>243</v>
      </c>
      <c r="D76" s="110" t="str" cm="1">
        <f t="array" aca="1" ref="D76" ca="1">IF(OR(IF(OR(A76="", B76="", C76=""), "", INDIRECT("'" &amp; B76 &amp; "'!" &amp; C76))=0, IF(OR(A76="", B76="", C76=""), "", INDIRECT("'" &amp; B76 &amp; "'!" &amp; C76))=""),"",INDIRECT("'" &amp; B76 &amp; "'!" &amp; C76))</f>
        <v/>
      </c>
    </row>
    <row r="77" spans="1:4" ht="15" x14ac:dyDescent="0.2">
      <c r="A77" s="105" t="s">
        <v>253</v>
      </c>
      <c r="B77" s="60" t="s">
        <v>325</v>
      </c>
      <c r="C77" s="72" t="s">
        <v>244</v>
      </c>
      <c r="D77" s="112" t="str" cm="1">
        <f t="array" aca="1" ref="D77" ca="1">IF(OR(IF(OR(A77="", B77="", C77=""), "", INDIRECT("'" &amp; B77 &amp; "'!" &amp; C77))=0, IF(OR(A77="", B77="", C77=""), "", INDIRECT("'" &amp; B77 &amp; "'!" &amp; C77))=""),"",INDIRECT("'" &amp; B77 &amp; "'!" &amp; C77))</f>
        <v/>
      </c>
    </row>
    <row r="78" spans="1:4" ht="15" x14ac:dyDescent="0.2">
      <c r="A78" s="104" t="s">
        <v>213</v>
      </c>
      <c r="B78" s="66" t="s">
        <v>326</v>
      </c>
      <c r="C78" s="66" t="s">
        <v>175</v>
      </c>
      <c r="D78" s="110" t="str" cm="1">
        <f t="array" aca="1" ref="D78" ca="1">IF(OR(IF(OR(A78="", B78="", C78=""), "", INDIRECT("'" &amp; B78 &amp; "'!" &amp; C78))=0, IF(OR(A78="", B78="", C78=""), "", INDIRECT("'" &amp; B78 &amp; "'!" &amp; C78))=""),"",INDIRECT("'" &amp; B78 &amp; "'!" &amp; C78))</f>
        <v/>
      </c>
    </row>
    <row r="79" spans="1:4" ht="15" x14ac:dyDescent="0.2">
      <c r="A79" s="105" t="s">
        <v>303</v>
      </c>
      <c r="B79" s="72" t="s">
        <v>326</v>
      </c>
      <c r="C79" s="72" t="s">
        <v>329</v>
      </c>
      <c r="D79" s="135" cm="1">
        <f t="array" aca="1" ref="D79" ca="1">IF(OR(IF(OR(A79="", B79="", C79=""), "", INDIRECT("'" &amp; B79 &amp; "'!" &amp; C79))=0, IF(OR(A79="", B79="", C79=""), "", INDIRECT("'" &amp; B79 &amp; "'!" &amp; C79))=""),"",INDIRECT("'" &amp; B79 &amp; "'!" &amp; C79))</f>
        <v>0.25</v>
      </c>
    </row>
    <row r="80" spans="1:4" ht="15" x14ac:dyDescent="0.2">
      <c r="A80" s="102" t="s">
        <v>214</v>
      </c>
      <c r="B80" s="60" t="s">
        <v>326</v>
      </c>
      <c r="C80" s="60" t="s">
        <v>177</v>
      </c>
      <c r="D80" s="111" t="str" cm="1">
        <f t="array" aca="1" ref="D80" ca="1">IF(OR(IF(OR(A80="", B80="", C80=""), "", INDIRECT("'" &amp; B80 &amp; "'!" &amp; C80))=0, IF(OR(A80="", B80="", C80=""), "", INDIRECT("'" &amp; B80 &amp; "'!" &amp; C80))=""),"",INDIRECT("'" &amp; B80 &amp; "'!" &amp; C80))</f>
        <v/>
      </c>
    </row>
    <row r="81" spans="1:4" ht="15" x14ac:dyDescent="0.2">
      <c r="A81" s="103" t="s">
        <v>256</v>
      </c>
      <c r="B81" s="65" t="s">
        <v>326</v>
      </c>
      <c r="C81" s="65" t="s">
        <v>241</v>
      </c>
      <c r="D81" s="110" t="str" cm="1">
        <f t="array" aca="1" ref="D81" ca="1">IF(OR(IF(OR(A81="", B81="", C81=""), "", INDIRECT("'" &amp; B81 &amp; "'!" &amp; C81))=0, IF(OR(A81="", B81="", C81=""), "", INDIRECT("'" &amp; B81 &amp; "'!" &amp; C81))=""),"",INDIRECT("'" &amp; B81 &amp; "'!" &amp; C81))</f>
        <v/>
      </c>
    </row>
    <row r="82" spans="1:4" ht="15" x14ac:dyDescent="0.2">
      <c r="A82" s="102" t="s">
        <v>257</v>
      </c>
      <c r="B82" s="60" t="s">
        <v>326</v>
      </c>
      <c r="C82" s="60" t="s">
        <v>242</v>
      </c>
      <c r="D82" s="112" t="str" cm="1">
        <f t="array" aca="1" ref="D82" ca="1">IF(OR(IF(OR(A82="", B82="", C82=""), "", INDIRECT("'" &amp; B82 &amp; "'!" &amp; C82))=0, IF(OR(A82="", B82="", C82=""), "", INDIRECT("'" &amp; B82 &amp; "'!" &amp; C82))=""),"",INDIRECT("'" &amp; B82 &amp; "'!" &amp; C82))</f>
        <v/>
      </c>
    </row>
    <row r="83" spans="1:4" ht="15" x14ac:dyDescent="0.2">
      <c r="A83" s="103" t="s">
        <v>254</v>
      </c>
      <c r="B83" s="65" t="s">
        <v>326</v>
      </c>
      <c r="C83" s="65" t="s">
        <v>239</v>
      </c>
      <c r="D83" s="110" t="str" cm="1">
        <f t="array" aca="1" ref="D83" ca="1">IF(OR(IF(OR(A83="", B83="", C83=""), "", INDIRECT("'" &amp; B83 &amp; "'!" &amp; C83))=0, IF(OR(A83="", B83="", C83=""), "", INDIRECT("'" &amp; B83 &amp; "'!" &amp; C83))=""),"",INDIRECT("'" &amp; B83 &amp; "'!" &amp; C83))</f>
        <v/>
      </c>
    </row>
    <row r="84" spans="1:4" ht="15" x14ac:dyDescent="0.2">
      <c r="A84" s="102" t="s">
        <v>255</v>
      </c>
      <c r="B84" s="60" t="s">
        <v>326</v>
      </c>
      <c r="C84" s="60" t="s">
        <v>240</v>
      </c>
      <c r="D84" s="112" t="str" cm="1">
        <f t="array" aca="1" ref="D84" ca="1">IF(OR(IF(OR(A84="", B84="", C84=""), "", INDIRECT("'" &amp; B84 &amp; "'!" &amp; C84))=0, IF(OR(A84="", B84="", C84=""), "", INDIRECT("'" &amp; B84 &amp; "'!" &amp; C84))=""),"",INDIRECT("'" &amp; B84 &amp; "'!" &amp; C84))</f>
        <v/>
      </c>
    </row>
    <row r="85" spans="1:4" ht="15" x14ac:dyDescent="0.2">
      <c r="A85" s="103" t="s">
        <v>262</v>
      </c>
      <c r="B85" s="65" t="s">
        <v>326</v>
      </c>
      <c r="C85" s="65" t="s">
        <v>243</v>
      </c>
      <c r="D85" s="110" t="str" cm="1">
        <f t="array" aca="1" ref="D85" ca="1">IF(OR(IF(OR(A85="", B85="", C85=""), "", INDIRECT("'" &amp; B85 &amp; "'!" &amp; C85))=0, IF(OR(A85="", B85="", C85=""), "", INDIRECT("'" &amp; B85 &amp; "'!" &amp; C85))=""),"",INDIRECT("'" &amp; B85 &amp; "'!" &amp; C85))</f>
        <v/>
      </c>
    </row>
    <row r="86" spans="1:4" ht="15" x14ac:dyDescent="0.2">
      <c r="A86" s="105" t="s">
        <v>263</v>
      </c>
      <c r="B86" s="60" t="s">
        <v>326</v>
      </c>
      <c r="C86" s="72" t="s">
        <v>244</v>
      </c>
      <c r="D86" s="112" t="str" cm="1">
        <f t="array" aca="1" ref="D86" ca="1">IF(OR(IF(OR(A86="", B86="", C86=""), "", INDIRECT("'" &amp; B86 &amp; "'!" &amp; C86))=0, IF(OR(A86="", B86="", C86=""), "", INDIRECT("'" &amp; B86 &amp; "'!" &amp; C86))=""),"",INDIRECT("'" &amp; B86 &amp; "'!" &amp; C86))</f>
        <v/>
      </c>
    </row>
    <row r="87" spans="1:4" ht="15" x14ac:dyDescent="0.2">
      <c r="A87" s="104" t="s">
        <v>219</v>
      </c>
      <c r="B87" s="66" t="s">
        <v>327</v>
      </c>
      <c r="C87" s="66" t="s">
        <v>175</v>
      </c>
      <c r="D87" s="110" t="str" cm="1">
        <f t="array" aca="1" ref="D87" ca="1">IF(OR(IF(OR(A87="", B87="", C87=""), "", INDIRECT("'" &amp; B87 &amp; "'!" &amp; C87))=0, IF(OR(A87="", B87="", C87=""), "", INDIRECT("'" &amp; B87 &amp; "'!" &amp; C87))=""),"",INDIRECT("'" &amp; B87 &amp; "'!" &amp; C87))</f>
        <v/>
      </c>
    </row>
    <row r="88" spans="1:4" ht="15" x14ac:dyDescent="0.2">
      <c r="A88" s="105" t="s">
        <v>309</v>
      </c>
      <c r="B88" s="72" t="s">
        <v>327</v>
      </c>
      <c r="C88" s="72" t="s">
        <v>329</v>
      </c>
      <c r="D88" s="135" cm="1">
        <f t="array" aca="1" ref="D88" ca="1">IF(OR(IF(OR(A88="", B88="", C88=""), "", INDIRECT("'" &amp; B88 &amp; "'!" &amp; C88))=0, IF(OR(A88="", B88="", C88=""), "", INDIRECT("'" &amp; B88 &amp; "'!" &amp; C88))=""),"",INDIRECT("'" &amp; B88 &amp; "'!" &amp; C88))</f>
        <v>0.25</v>
      </c>
    </row>
    <row r="89" spans="1:4" ht="15" x14ac:dyDescent="0.2">
      <c r="A89" s="102" t="s">
        <v>220</v>
      </c>
      <c r="B89" s="60" t="s">
        <v>327</v>
      </c>
      <c r="C89" s="60" t="s">
        <v>177</v>
      </c>
      <c r="D89" s="111" t="str" cm="1">
        <f t="array" aca="1" ref="D89" ca="1">IF(OR(IF(OR(A89="", B89="", C89=""), "", INDIRECT("'" &amp; B89 &amp; "'!" &amp; C89))=0, IF(OR(A89="", B89="", C89=""), "", INDIRECT("'" &amp; B89 &amp; "'!" &amp; C89))=""),"",INDIRECT("'" &amp; B89 &amp; "'!" &amp; C89))</f>
        <v/>
      </c>
    </row>
    <row r="90" spans="1:4" ht="15" x14ac:dyDescent="0.2">
      <c r="A90" s="103" t="s">
        <v>247</v>
      </c>
      <c r="B90" s="73" t="s">
        <v>327</v>
      </c>
      <c r="C90" s="73" t="s">
        <v>241</v>
      </c>
      <c r="D90" s="110" t="str" cm="1">
        <f t="array" aca="1" ref="D90" ca="1">IF(OR(IF(OR(A90="", B90="", C90=""), "", INDIRECT("'" &amp; B90 &amp; "'!" &amp; C90))=0, IF(OR(A90="", B90="", C90=""), "", INDIRECT("'" &amp; B90 &amp; "'!" &amp; C90))=""),"",INDIRECT("'" &amp; B90 &amp; "'!" &amp; C90))</f>
        <v/>
      </c>
    </row>
    <row r="91" spans="1:4" ht="15" x14ac:dyDescent="0.2">
      <c r="A91" s="102" t="s">
        <v>248</v>
      </c>
      <c r="B91" s="72" t="s">
        <v>327</v>
      </c>
      <c r="C91" s="72" t="s">
        <v>242</v>
      </c>
      <c r="D91" s="112" t="str" cm="1">
        <f t="array" aca="1" ref="D91" ca="1">IF(OR(IF(OR(A91="", B91="", C91=""), "", INDIRECT("'" &amp; B91 &amp; "'!" &amp; C91))=0, IF(OR(A91="", B91="", C91=""), "", INDIRECT("'" &amp; B91 &amp; "'!" &amp; C91))=""),"",INDIRECT("'" &amp; B91 &amp; "'!" &amp; C91))</f>
        <v/>
      </c>
    </row>
    <row r="92" spans="1:4" ht="15" x14ac:dyDescent="0.2">
      <c r="A92" s="103" t="s">
        <v>245</v>
      </c>
      <c r="B92" s="73" t="s">
        <v>327</v>
      </c>
      <c r="C92" s="73" t="s">
        <v>239</v>
      </c>
      <c r="D92" s="110" t="str" cm="1">
        <f t="array" aca="1" ref="D92" ca="1">IF(OR(IF(OR(A92="", B92="", C92=""), "", INDIRECT("'" &amp; B92 &amp; "'!" &amp; C92))=0, IF(OR(A92="", B92="", C92=""), "", INDIRECT("'" &amp; B92 &amp; "'!" &amp; C92))=""),"",INDIRECT("'" &amp; B92 &amp; "'!" &amp; C92))</f>
        <v/>
      </c>
    </row>
    <row r="93" spans="1:4" ht="15" x14ac:dyDescent="0.2">
      <c r="A93" s="102" t="s">
        <v>246</v>
      </c>
      <c r="B93" s="72" t="s">
        <v>327</v>
      </c>
      <c r="C93" s="72" t="s">
        <v>240</v>
      </c>
      <c r="D93" s="112" t="str" cm="1">
        <f t="array" aca="1" ref="D93" ca="1">IF(OR(IF(OR(A93="", B93="", C93=""), "", INDIRECT("'" &amp; B93 &amp; "'!" &amp; C93))=0, IF(OR(A93="", B93="", C93=""), "", INDIRECT("'" &amp; B93 &amp; "'!" &amp; C93))=""),"",INDIRECT("'" &amp; B93 &amp; "'!" &amp; C93))</f>
        <v/>
      </c>
    </row>
    <row r="94" spans="1:4" ht="15" x14ac:dyDescent="0.2">
      <c r="A94" s="106" t="s">
        <v>251</v>
      </c>
      <c r="B94" s="73" t="s">
        <v>327</v>
      </c>
      <c r="C94" s="73" t="s">
        <v>243</v>
      </c>
      <c r="D94" s="110" t="str" cm="1">
        <f t="array" aca="1" ref="D94" ca="1">IF(OR(IF(OR(A94="", B94="", C94=""), "", INDIRECT("'" &amp; B94 &amp; "'!" &amp; C94))=0, IF(OR(A94="", B94="", C94=""), "", INDIRECT("'" &amp; B94 &amp; "'!" &amp; C94))=""),"",INDIRECT("'" &amp; B94 &amp; "'!" &amp; C94))</f>
        <v/>
      </c>
    </row>
    <row r="95" spans="1:4" ht="15" x14ac:dyDescent="0.2">
      <c r="A95" s="105" t="s">
        <v>252</v>
      </c>
      <c r="B95" s="72" t="s">
        <v>327</v>
      </c>
      <c r="C95" s="72" t="s">
        <v>244</v>
      </c>
      <c r="D95" s="112" t="str" cm="1">
        <f t="array" aca="1" ref="D95" ca="1">IF(OR(IF(OR(A95="", B95="", C95=""), "", INDIRECT("'" &amp; B95 &amp; "'!" &amp; C95))=0, IF(OR(A95="", B95="", C95=""), "", INDIRECT("'" &amp; B95 &amp; "'!" &amp; C95))=""),"",INDIRECT("'" &amp; B95 &amp; "'!" &amp; C95))</f>
        <v/>
      </c>
    </row>
    <row r="96" spans="1:4" ht="15" x14ac:dyDescent="0.2">
      <c r="A96" s="104" t="s">
        <v>217</v>
      </c>
      <c r="B96" s="66" t="s">
        <v>328</v>
      </c>
      <c r="C96" s="66" t="s">
        <v>175</v>
      </c>
      <c r="D96" s="110" t="str" cm="1">
        <f t="array" aca="1" ref="D96" ca="1">IF(OR(IF(OR(A96="", B96="", C96=""), "", INDIRECT("'" &amp; B96 &amp; "'!" &amp; C96))=0, IF(OR(A96="", B96="", C96=""), "", INDIRECT("'" &amp; B96 &amp; "'!" &amp; C96))=""),"",INDIRECT("'" &amp; B96 &amp; "'!" &amp; C96))</f>
        <v/>
      </c>
    </row>
    <row r="97" spans="1:4" ht="15" x14ac:dyDescent="0.2">
      <c r="A97" s="106" t="s">
        <v>304</v>
      </c>
      <c r="B97" s="73" t="s">
        <v>328</v>
      </c>
      <c r="C97" s="73" t="s">
        <v>329</v>
      </c>
      <c r="D97" s="134" cm="1">
        <f t="array" aca="1" ref="D97" ca="1">IF(OR(IF(OR(A97="", B97="", C97=""), "", INDIRECT("'" &amp; B97 &amp; "'!" &amp; C97))=0, IF(OR(A97="", B97="", C97=""), "", INDIRECT("'" &amp; B97 &amp; "'!" &amp; C97))=""),"",INDIRECT("'" &amp; B97 &amp; "'!" &amp; C97))</f>
        <v>0.25</v>
      </c>
    </row>
    <row r="98" spans="1:4" ht="15" x14ac:dyDescent="0.2">
      <c r="A98" s="102" t="s">
        <v>218</v>
      </c>
      <c r="B98" s="60" t="s">
        <v>328</v>
      </c>
      <c r="C98" s="60" t="s">
        <v>177</v>
      </c>
      <c r="D98" s="111" t="str" cm="1">
        <f t="array" aca="1" ref="D98" ca="1">IF(OR(IF(OR(A98="", B98="", C98=""), "", INDIRECT("'" &amp; B98 &amp; "'!" &amp; C98))=0, IF(OR(A98="", B98="", C98=""), "", INDIRECT("'" &amp; B98 &amp; "'!" &amp; C98))=""),"",INDIRECT("'" &amp; B98 &amp; "'!" &amp; C98))</f>
        <v/>
      </c>
    </row>
    <row r="99" spans="1:4" ht="15" x14ac:dyDescent="0.2">
      <c r="A99" s="103" t="s">
        <v>267</v>
      </c>
      <c r="B99" s="73" t="s">
        <v>328</v>
      </c>
      <c r="C99" s="73" t="s">
        <v>241</v>
      </c>
      <c r="D99" s="110" t="str" cm="1">
        <f t="array" aca="1" ref="D99" ca="1">IF(OR(IF(OR(A99="", B99="", C99=""), "", INDIRECT("'" &amp; B99 &amp; "'!" &amp; C99))=0, IF(OR(A99="", B99="", C99=""), "", INDIRECT("'" &amp; B99 &amp; "'!" &amp; C99))=""),"",INDIRECT("'" &amp; B99 &amp; "'!" &amp; C99))</f>
        <v/>
      </c>
    </row>
    <row r="100" spans="1:4" ht="15" x14ac:dyDescent="0.2">
      <c r="A100" s="102" t="s">
        <v>268</v>
      </c>
      <c r="B100" s="72" t="s">
        <v>328</v>
      </c>
      <c r="C100" s="72" t="s">
        <v>242</v>
      </c>
      <c r="D100" s="112" t="str" cm="1">
        <f t="array" aca="1" ref="D100" ca="1">IF(OR(IF(OR(A100="", B100="", C100=""), "", INDIRECT("'" &amp; B100 &amp; "'!" &amp; C100))=0, IF(OR(A100="", B100="", C100=""), "", INDIRECT("'" &amp; B100 &amp; "'!" &amp; C100))=""),"",INDIRECT("'" &amp; B100 &amp; "'!" &amp; C100))</f>
        <v/>
      </c>
    </row>
    <row r="101" spans="1:4" ht="15" x14ac:dyDescent="0.2">
      <c r="A101" s="103" t="s">
        <v>265</v>
      </c>
      <c r="B101" s="73" t="s">
        <v>328</v>
      </c>
      <c r="C101" s="73" t="s">
        <v>239</v>
      </c>
      <c r="D101" s="110" t="str" cm="1">
        <f t="array" aca="1" ref="D101" ca="1">IF(OR(IF(OR(A101="", B101="", C101=""), "", INDIRECT("'" &amp; B101 &amp; "'!" &amp; C101))=0, IF(OR(A101="", B101="", C101=""), "", INDIRECT("'" &amp; B101 &amp; "'!" &amp; C101))=""),"",INDIRECT("'" &amp; B101 &amp; "'!" &amp; C101))</f>
        <v/>
      </c>
    </row>
    <row r="102" spans="1:4" ht="15" x14ac:dyDescent="0.2">
      <c r="A102" s="102" t="s">
        <v>266</v>
      </c>
      <c r="B102" s="72" t="s">
        <v>328</v>
      </c>
      <c r="C102" s="72" t="s">
        <v>240</v>
      </c>
      <c r="D102" s="112" t="str" cm="1">
        <f t="array" aca="1" ref="D102" ca="1">IF(OR(IF(OR(A102="", B102="", C102=""), "", INDIRECT("'" &amp; B102 &amp; "'!" &amp; C102))=0, IF(OR(A102="", B102="", C102=""), "", INDIRECT("'" &amp; B102 &amp; "'!" &amp; C102))=""),"",INDIRECT("'" &amp; B102 &amp; "'!" &amp; C102))</f>
        <v/>
      </c>
    </row>
    <row r="103" spans="1:4" ht="15" x14ac:dyDescent="0.2">
      <c r="A103" s="103" t="s">
        <v>249</v>
      </c>
      <c r="B103" s="73" t="s">
        <v>328</v>
      </c>
      <c r="C103" s="73" t="s">
        <v>243</v>
      </c>
      <c r="D103" s="110" t="str" cm="1">
        <f t="array" aca="1" ref="D103" ca="1">IF(OR(IF(OR(A103="", B103="", C103=""), "", INDIRECT("'" &amp; B103 &amp; "'!" &amp; C103))=0, IF(OR(A103="", B103="", C103=""), "", INDIRECT("'" &amp; B103 &amp; "'!" &amp; C103))=""),"",INDIRECT("'" &amp; B103 &amp; "'!" &amp; C103))</f>
        <v/>
      </c>
    </row>
    <row r="104" spans="1:4" ht="15" x14ac:dyDescent="0.2">
      <c r="A104" s="105" t="s">
        <v>250</v>
      </c>
      <c r="B104" s="72" t="s">
        <v>328</v>
      </c>
      <c r="C104" s="72" t="s">
        <v>244</v>
      </c>
      <c r="D104" s="112" t="str" cm="1">
        <f t="array" aca="1" ref="D104" ca="1">IF(OR(IF(OR(A104="", B104="", C104=""), "", INDIRECT("'" &amp; B104 &amp; "'!" &amp; C104))=0, IF(OR(A104="", B104="", C104=""), "", INDIRECT("'" &amp; B104 &amp; "'!" &amp; C104))=""),"",INDIRECT("'" &amp; B104 &amp; "'!" &amp; C104))</f>
        <v/>
      </c>
    </row>
    <row r="105" spans="1:4" ht="15" x14ac:dyDescent="0.2">
      <c r="A105" s="105" t="s">
        <v>375</v>
      </c>
      <c r="B105" s="72" t="s">
        <v>365</v>
      </c>
      <c r="C105" s="72" t="s">
        <v>379</v>
      </c>
      <c r="D105" s="109" cm="1">
        <f t="array" aca="1" ref="D105" ca="1">IF(OR(IF(OR(A105="", B105="", C105=""), "", INDIRECT("'" &amp; B105 &amp; "'!" &amp; C105))=0, IF(OR(A105="", B105="", C105=""), "", INDIRECT("'" &amp; B105 &amp; "'!" &amp; C105))=""),"",INDIRECT("'" &amp; B105 &amp; "'!" &amp; C105))</f>
        <v>2081</v>
      </c>
    </row>
    <row r="106" spans="1:4" ht="15" x14ac:dyDescent="0.2">
      <c r="A106" s="105" t="s">
        <v>369</v>
      </c>
      <c r="B106" s="72" t="s">
        <v>365</v>
      </c>
      <c r="C106" s="72" t="s">
        <v>367</v>
      </c>
      <c r="D106" s="109" cm="1">
        <f t="array" aca="1" ref="D106" ca="1">IF(OR(IF(OR(A106="", B106="", C106=""), "", INDIRECT("'" &amp; B106 &amp; "'!" &amp; C106))=0, IF(OR(A106="", B106="", C106=""), "", INDIRECT("'" &amp; B106 &amp; "'!" &amp; C106))=""),"",INDIRECT("'" &amp; B106 &amp; "'!" &amp; C106))</f>
        <v>4.4660000000000002</v>
      </c>
    </row>
    <row r="107" spans="1:4" ht="15" x14ac:dyDescent="0.2">
      <c r="A107" s="105" t="s">
        <v>377</v>
      </c>
      <c r="B107" s="72" t="s">
        <v>365</v>
      </c>
      <c r="C107" s="72" t="s">
        <v>380</v>
      </c>
      <c r="D107" s="109" cm="1">
        <f t="array" aca="1" ref="D107" ca="1">IF(OR(IF(OR(A107="", B107="", C107=""), "", INDIRECT("'" &amp; B107 &amp; "'!" &amp; C107))=0, IF(OR(A107="", B107="", C107=""), "", INDIRECT("'" &amp; B107 &amp; "'!" &amp; C107))=""),"",INDIRECT("'" &amp; B107 &amp; "'!" &amp; C107))</f>
        <v>2081</v>
      </c>
    </row>
    <row r="108" spans="1:4" ht="15" x14ac:dyDescent="0.2">
      <c r="A108" s="106" t="s">
        <v>374</v>
      </c>
      <c r="B108" s="73" t="s">
        <v>365</v>
      </c>
      <c r="C108" s="73" t="s">
        <v>378</v>
      </c>
      <c r="D108" s="108" cm="1">
        <f t="array" aca="1" ref="D108" ca="1">IF(OR(IF(OR(A108="", B108="", C108=""), "", INDIRECT("'" &amp; B108 &amp; "'!" &amp; C108))=0, IF(OR(A108="", B108="", C108=""), "", INDIRECT("'" &amp; B108 &amp; "'!" &amp; C108))=""),"",INDIRECT("'" &amp; B108 &amp; "'!" &amp; C108))</f>
        <v>2026</v>
      </c>
    </row>
    <row r="109" spans="1:4" ht="15" x14ac:dyDescent="0.2">
      <c r="A109" s="106" t="s">
        <v>368</v>
      </c>
      <c r="B109" s="73" t="s">
        <v>365</v>
      </c>
      <c r="C109" s="73" t="s">
        <v>366</v>
      </c>
      <c r="D109" s="108" cm="1">
        <f t="array" aca="1" ref="D109" ca="1">IF(OR(IF(OR(A109="", B109="", C109=""), "", INDIRECT("'" &amp; B109 &amp; "'!" &amp; C109))=0, IF(OR(A109="", B109="", C109=""), "", INDIRECT("'" &amp; B109 &amp; "'!" &amp; C109))=""),"",INDIRECT("'" &amp; B109 &amp; "'!" &amp; C109))</f>
        <v>2.581</v>
      </c>
    </row>
    <row r="110" spans="1:4" ht="15" x14ac:dyDescent="0.2">
      <c r="A110" s="105" t="s">
        <v>373</v>
      </c>
      <c r="B110" s="72" t="s">
        <v>365</v>
      </c>
      <c r="C110" s="72" t="s">
        <v>163</v>
      </c>
      <c r="D110" s="109" cm="1">
        <f t="array" aca="1" ref="D110" ca="1">IF(OR(IF(OR(A110="", B110="", C110=""), "", INDIRECT("'" &amp; B110 &amp; "'!" &amp; C110))=0, IF(OR(A110="", B110="", C110=""), "", INDIRECT("'" &amp; B110 &amp; "'!" &amp; C110))=""),"",INDIRECT("'" &amp; B110 &amp; "'!" &amp; C110))</f>
        <v>2061</v>
      </c>
    </row>
    <row r="111" spans="1:4" ht="15" x14ac:dyDescent="0.2">
      <c r="A111" s="120" t="s">
        <v>371</v>
      </c>
      <c r="B111" s="72" t="s">
        <v>365</v>
      </c>
      <c r="C111" s="72" t="s">
        <v>167</v>
      </c>
      <c r="D111" s="109" cm="1">
        <f t="array" aca="1" ref="D111" ca="1">IF(OR(IF(OR(A111="", B111="", C111=""), "", INDIRECT("'" &amp; B111 &amp; "'!" &amp; C111))=0, IF(OR(A111="", B111="", C111=""), "", INDIRECT("'" &amp; B111 &amp; "'!" &amp; C111))=""),"",INDIRECT("'" &amp; B111 &amp; "'!" &amp; C111))</f>
        <v>4.4660000000000002</v>
      </c>
    </row>
    <row r="112" spans="1:4" ht="15" x14ac:dyDescent="0.2">
      <c r="A112" s="106" t="s">
        <v>376</v>
      </c>
      <c r="B112" s="73" t="s">
        <v>365</v>
      </c>
      <c r="C112" s="73" t="s">
        <v>164</v>
      </c>
      <c r="D112" s="108" cm="1">
        <f t="array" aca="1" ref="D112" ca="1">IF(OR(IF(OR(A112="", B112="", C112=""), "", INDIRECT("'" &amp; B112 &amp; "'!" &amp; C112))=0, IF(OR(A112="", B112="", C112=""), "", INDIRECT("'" &amp; B112 &amp; "'!" &amp; C112))=""),"",INDIRECT("'" &amp; B112 &amp; "'!" &amp; C112))</f>
        <v>2062</v>
      </c>
    </row>
    <row r="113" spans="1:4" ht="15" x14ac:dyDescent="0.2">
      <c r="A113" s="106" t="s">
        <v>372</v>
      </c>
      <c r="B113" s="73" t="s">
        <v>365</v>
      </c>
      <c r="C113" s="73" t="s">
        <v>162</v>
      </c>
      <c r="D113" s="108" cm="1">
        <f t="array" aca="1" ref="D113" ca="1">IF(OR(IF(OR(A113="", B113="", C113=""), "", INDIRECT("'" &amp; B113 &amp; "'!" &amp; C113))=0, IF(OR(A113="", B113="", C113=""), "", INDIRECT("'" &amp; B113 &amp; "'!" &amp; C113))=""),"",INDIRECT("'" &amp; B113 &amp; "'!" &amp; C113))</f>
        <v>2026</v>
      </c>
    </row>
    <row r="114" spans="1:4" ht="15" x14ac:dyDescent="0.2">
      <c r="A114" s="104" t="s">
        <v>370</v>
      </c>
      <c r="B114" s="73" t="s">
        <v>365</v>
      </c>
      <c r="C114" s="73" t="s">
        <v>166</v>
      </c>
      <c r="D114" s="108" cm="1">
        <f t="array" aca="1" ref="D114" ca="1">IF(OR(IF(OR(A114="", B114="", C114=""), "", INDIRECT("'" &amp; B114 &amp; "'!" &amp; C114))=0, IF(OR(A114="", B114="", C114=""), "", INDIRECT("'" &amp; B114 &amp; "'!" &amp; C114))=""),"",INDIRECT("'" &amp; B114 &amp; "'!" &amp; C114))</f>
        <v>2.581</v>
      </c>
    </row>
    <row r="115" spans="1:4" ht="15" x14ac:dyDescent="0.2">
      <c r="A115" s="106"/>
      <c r="B115" s="73"/>
      <c r="C115" s="73"/>
      <c r="D115" s="119" t="str" cm="1">
        <f t="array" aca="1" ref="D115" ca="1">IF(OR(IF(OR(A115="", B115="", C115=""), "", INDIRECT("'" &amp; B115 &amp; "'!" &amp; C115))=0, IF(OR(A115="", B115="", C115=""), "", INDIRECT("'" &amp; B115 &amp; "'!" &amp; C115))=""),"",INDIRECT("'" &amp; B115 &amp; "'!" &amp; C115))</f>
        <v/>
      </c>
    </row>
    <row r="116" spans="1:4" ht="15" x14ac:dyDescent="0.2">
      <c r="A116" s="105"/>
      <c r="B116" s="72"/>
      <c r="C116" s="72"/>
      <c r="D116" s="109" t="str" cm="1">
        <f t="array" aca="1" ref="D116" ca="1">IF(OR(IF(OR(A116="", B116="", C116=""), "", INDIRECT("'" &amp; B116 &amp; "'!" &amp; C116))=0, IF(OR(A116="", B116="", C116=""), "", INDIRECT("'" &amp; B116 &amp; "'!" &amp; C116))=""),"",INDIRECT("'" &amp; B116 &amp; "'!" &amp; C116))</f>
        <v/>
      </c>
    </row>
    <row r="117" spans="1:4" ht="15" x14ac:dyDescent="0.2">
      <c r="A117" s="106"/>
      <c r="B117" s="73"/>
      <c r="C117" s="73"/>
      <c r="D117" s="108" t="str" cm="1">
        <f t="array" aca="1" ref="D117" ca="1">IF(OR(IF(OR(A117="", B117="", C117=""), "", INDIRECT("'" &amp; B117 &amp; "'!" &amp; C117))=0, IF(OR(A117="", B117="", C117=""), "", INDIRECT("'" &amp; B117 &amp; "'!" &amp; C117))=""),"",INDIRECT("'" &amp; B117 &amp; "'!" &amp; C117))</f>
        <v/>
      </c>
    </row>
    <row r="118" spans="1:4" ht="15" x14ac:dyDescent="0.2">
      <c r="A118" s="105"/>
      <c r="B118" s="72"/>
      <c r="C118" s="72"/>
      <c r="D118" s="109" t="str" cm="1">
        <f t="array" aca="1" ref="D118" ca="1">IF(OR(IF(OR(A118="", B118="", C118=""), "", INDIRECT("'" &amp; B118 &amp; "'!" &amp; C118))=0, IF(OR(A118="", B118="", C118=""), "", INDIRECT("'" &amp; B118 &amp; "'!" &amp; C118))=""),"",INDIRECT("'" &amp; B118 &amp; "'!" &amp; C118))</f>
        <v/>
      </c>
    </row>
    <row r="119" spans="1:4" ht="15" x14ac:dyDescent="0.2">
      <c r="A119" s="106"/>
      <c r="B119" s="73"/>
      <c r="C119" s="73"/>
      <c r="D119" s="108" t="str" cm="1">
        <f t="array" aca="1" ref="D119" ca="1">IF(OR(IF(OR(A119="", B119="", C119=""), "", INDIRECT("'" &amp; B119 &amp; "'!" &amp; C119))=0, IF(OR(A119="", B119="", C119=""), "", INDIRECT("'" &amp; B119 &amp; "'!" &amp; C119))=""),"",INDIRECT("'" &amp; B119 &amp; "'!" &amp; C119))</f>
        <v/>
      </c>
    </row>
    <row r="120" spans="1:4" ht="15" x14ac:dyDescent="0.2">
      <c r="A120" s="105"/>
      <c r="B120" s="72"/>
      <c r="C120" s="72"/>
      <c r="D120" s="109" t="str" cm="1">
        <f t="array" aca="1" ref="D120" ca="1">IF(OR(IF(OR(A120="", B120="", C120=""), "", INDIRECT("'" &amp; B120 &amp; "'!" &amp; C120))=0, IF(OR(A120="", B120="", C120=""), "", INDIRECT("'" &amp; B120 &amp; "'!" &amp; C120))=""),"",INDIRECT("'" &amp; B120 &amp; "'!" &amp; C120))</f>
        <v/>
      </c>
    </row>
    <row r="121" spans="1:4" ht="15" x14ac:dyDescent="0.2">
      <c r="A121" s="106"/>
      <c r="B121" s="73"/>
      <c r="C121" s="73"/>
      <c r="D121" s="108" t="str" cm="1">
        <f t="array" aca="1" ref="D121" ca="1">IF(OR(IF(OR(A121="", B121="", C121=""), "", INDIRECT("'" &amp; B121 &amp; "'!" &amp; C121))=0, IF(OR(A121="", B121="", C121=""), "", INDIRECT("'" &amp; B121 &amp; "'!" &amp; C121))=""),"",INDIRECT("'" &amp; B121 &amp; "'!" &amp; C121))</f>
        <v/>
      </c>
    </row>
    <row r="122" spans="1:4" ht="15" x14ac:dyDescent="0.2">
      <c r="A122" s="105"/>
      <c r="B122" s="72"/>
      <c r="C122" s="72"/>
      <c r="D122" s="109" t="str" cm="1">
        <f t="array" aca="1" ref="D122" ca="1">IF(OR(IF(OR(A122="", B122="", C122=""), "", INDIRECT("'" &amp; B122 &amp; "'!" &amp; C122))=0, IF(OR(A122="", B122="", C122=""), "", INDIRECT("'" &amp; B122 &amp; "'!" &amp; C122))=""),"",INDIRECT("'" &amp; B122 &amp; "'!" &amp; C122))</f>
        <v/>
      </c>
    </row>
    <row r="123" spans="1:4" ht="15" x14ac:dyDescent="0.2">
      <c r="A123" s="106"/>
      <c r="B123" s="73"/>
      <c r="C123" s="73"/>
      <c r="D123" s="108" t="str" cm="1">
        <f t="array" aca="1" ref="D123" ca="1">IF(OR(IF(OR(A123="", B123="", C123=""), "", INDIRECT("'" &amp; B123 &amp; "'!" &amp; C123))=0, IF(OR(A123="", B123="", C123=""), "", INDIRECT("'" &amp; B123 &amp; "'!" &amp; C123))=""),"",INDIRECT("'" &amp; B123 &amp; "'!" &amp; C123))</f>
        <v/>
      </c>
    </row>
    <row r="124" spans="1:4" ht="15" x14ac:dyDescent="0.2">
      <c r="A124" s="113"/>
      <c r="B124" s="114"/>
      <c r="C124" s="114"/>
      <c r="D124" s="115" t="str" cm="1">
        <f t="array" aca="1" ref="D124" ca="1">IF(OR(IF(OR(A124="", B124="", C124=""), "", INDIRECT("'" &amp; B124 &amp; "'!" &amp; C124))=0, IF(OR(A124="", B124="", C124=""), "", INDIRECT("'" &amp; B124 &amp; "'!" &amp; C124))=""),"",INDIRECT("'" &amp; B124 &amp; "'!" &amp; C124))</f>
        <v/>
      </c>
    </row>
  </sheetData>
  <mergeCells count="3">
    <mergeCell ref="A1:D1"/>
    <mergeCell ref="F1:G1"/>
    <mergeCell ref="I1:J1"/>
  </mergeCells>
  <pageMargins left="0.7" right="0.7" top="0.75" bottom="0.75" header="0.3" footer="0.3"/>
  <pageSetup orientation="portrait" verticalDpi="0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A6402-B233-409D-BC46-F71ECF57F60E}">
  <sheetPr codeName="Sheet2">
    <tabColor rgb="FF4472C4"/>
  </sheetPr>
  <dimension ref="A1:S81"/>
  <sheetViews>
    <sheetView topLeftCell="A13" workbookViewId="0">
      <selection activeCell="B27" sqref="B27"/>
    </sheetView>
  </sheetViews>
  <sheetFormatPr defaultColWidth="8.85546875" defaultRowHeight="12.75" x14ac:dyDescent="0.2"/>
  <cols>
    <col min="1" max="1" width="35.42578125" customWidth="1"/>
    <col min="2" max="2" width="21.28515625" customWidth="1"/>
    <col min="3" max="3" width="12.42578125" customWidth="1"/>
    <col min="5" max="5" width="15.85546875" customWidth="1"/>
    <col min="6" max="6" width="14.42578125" customWidth="1"/>
    <col min="7" max="7" width="11.7109375" customWidth="1"/>
    <col min="10" max="10" width="14.85546875" customWidth="1"/>
    <col min="14" max="14" width="15.85546875" customWidth="1"/>
    <col min="16" max="16" width="12.85546875" customWidth="1"/>
    <col min="18" max="18" width="11.140625" customWidth="1"/>
  </cols>
  <sheetData>
    <row r="1" spans="1:19" ht="18" x14ac:dyDescent="0.25">
      <c r="A1" s="156" t="s">
        <v>79</v>
      </c>
      <c r="B1" s="156"/>
      <c r="C1" s="156"/>
      <c r="D1" s="156"/>
      <c r="K1" s="8"/>
      <c r="L1" s="8"/>
    </row>
    <row r="2" spans="1:19" ht="15.75" x14ac:dyDescent="0.25">
      <c r="F2" s="39" t="s">
        <v>0</v>
      </c>
      <c r="G2" s="40" t="s">
        <v>152</v>
      </c>
      <c r="K2" s="8"/>
      <c r="L2" s="8"/>
    </row>
    <row r="3" spans="1:19" ht="15.75" x14ac:dyDescent="0.25">
      <c r="A3" t="s">
        <v>80</v>
      </c>
      <c r="B3" s="47" t="s">
        <v>330</v>
      </c>
      <c r="F3" s="41">
        <v>2018</v>
      </c>
      <c r="G3" s="43"/>
      <c r="K3" s="8"/>
      <c r="L3" s="8"/>
    </row>
    <row r="4" spans="1:19" ht="15.75" x14ac:dyDescent="0.25">
      <c r="A4" t="s">
        <v>81</v>
      </c>
      <c r="B4" s="45">
        <v>37206</v>
      </c>
      <c r="F4" s="41">
        <v>2019</v>
      </c>
      <c r="G4" s="43"/>
      <c r="K4" s="8"/>
      <c r="L4" s="8"/>
      <c r="M4" s="8"/>
    </row>
    <row r="5" spans="1:19" ht="15.75" x14ac:dyDescent="0.25">
      <c r="A5" t="s">
        <v>82</v>
      </c>
      <c r="B5" s="45">
        <v>45581</v>
      </c>
      <c r="F5" s="41">
        <v>2020</v>
      </c>
      <c r="G5" s="43"/>
      <c r="K5" s="8"/>
      <c r="L5" s="8"/>
    </row>
    <row r="6" spans="1:19" ht="15.75" x14ac:dyDescent="0.25">
      <c r="A6" t="s">
        <v>83</v>
      </c>
      <c r="B6" s="45">
        <v>46337</v>
      </c>
      <c r="F6" s="41">
        <v>2021</v>
      </c>
      <c r="G6" s="43"/>
      <c r="Q6" s="8"/>
      <c r="S6" s="8"/>
    </row>
    <row r="7" spans="1:19" ht="15.75" x14ac:dyDescent="0.25">
      <c r="A7" t="s">
        <v>105</v>
      </c>
      <c r="B7" s="46">
        <v>80</v>
      </c>
      <c r="F7" s="41">
        <v>2022</v>
      </c>
      <c r="G7" s="43"/>
      <c r="O7" s="10"/>
      <c r="Q7" s="8"/>
    </row>
    <row r="8" spans="1:19" ht="15.75" x14ac:dyDescent="0.25">
      <c r="A8" t="s">
        <v>84</v>
      </c>
      <c r="B8" s="47" t="s">
        <v>69</v>
      </c>
      <c r="F8" s="41">
        <v>2023</v>
      </c>
      <c r="G8" s="43"/>
      <c r="O8" s="10"/>
      <c r="Q8" s="8"/>
      <c r="S8" s="8"/>
    </row>
    <row r="9" spans="1:19" ht="15.75" x14ac:dyDescent="0.25">
      <c r="A9" t="s">
        <v>85</v>
      </c>
      <c r="B9" s="137" t="s">
        <v>68</v>
      </c>
      <c r="F9" s="41">
        <v>2024</v>
      </c>
      <c r="G9" s="43"/>
      <c r="Q9" s="8"/>
    </row>
    <row r="10" spans="1:19" ht="15.75" x14ac:dyDescent="0.25">
      <c r="A10" t="s">
        <v>86</v>
      </c>
      <c r="B10" s="142">
        <v>100000</v>
      </c>
      <c r="F10" s="42">
        <v>2025</v>
      </c>
      <c r="G10" s="44"/>
      <c r="O10" s="8"/>
      <c r="Q10" s="8"/>
    </row>
    <row r="11" spans="1:19" ht="15.75" x14ac:dyDescent="0.25">
      <c r="Q11" s="8"/>
    </row>
    <row r="12" spans="1:19" ht="15.75" x14ac:dyDescent="0.25">
      <c r="A12" s="157" t="s">
        <v>87</v>
      </c>
      <c r="B12" s="158"/>
      <c r="C12" s="158"/>
      <c r="D12" s="159"/>
      <c r="Q12" s="8"/>
    </row>
    <row r="13" spans="1:19" ht="15.75" x14ac:dyDescent="0.25">
      <c r="A13" t="s">
        <v>88</v>
      </c>
      <c r="B13" s="141">
        <f>IF(OR(B5="",B4=""),"",ROUND((B5-B4)/365.25,2))</f>
        <v>22.93</v>
      </c>
      <c r="Q13" s="8"/>
    </row>
    <row r="14" spans="1:19" ht="15.75" x14ac:dyDescent="0.25">
      <c r="A14" t="s">
        <v>89</v>
      </c>
      <c r="B14" s="141">
        <f>IF(OR(B6="",B4=""),"",ROUND((B6-B4)/365.25,2))</f>
        <v>25</v>
      </c>
      <c r="Q14" s="8"/>
    </row>
    <row r="15" spans="1:19" ht="15.75" x14ac:dyDescent="0.25">
      <c r="A15" t="s">
        <v>90</v>
      </c>
      <c r="B15" s="141">
        <f>IF(B13="","",IF(UPPER(B8)="F",ROUND(_xlfn.XLOOKUP(INT(B13),LE_F!A:A,LE_F!B:B,""),2),IF(UPPER(B8)="M",ROUND(_xlfn.XLOOKUP(INT(B13),LE_M!A:A,LE_M!B:B,""),2),"")))</f>
        <v>54.9</v>
      </c>
      <c r="Q15" s="8"/>
    </row>
    <row r="16" spans="1:19" ht="15.75" x14ac:dyDescent="0.25">
      <c r="A16" t="s">
        <v>91</v>
      </c>
      <c r="B16" s="141">
        <f>IF(OR(B15="",B13="",B14=""),"",ROUND(B15-(B14-B13),2))</f>
        <v>52.83</v>
      </c>
      <c r="O16" s="8"/>
    </row>
    <row r="17" spans="1:15" ht="15.75" x14ac:dyDescent="0.25">
      <c r="A17" t="s">
        <v>92</v>
      </c>
      <c r="B17" s="141" cm="1">
        <f t="array" ref="B17">IF(OR(B8="",B9="",B13=""),"",ROUND(_xlfn.XLOOKUP(1,(WLE!A:A=B9)*(WLE!B:B=UPPER(LEFT(B8,1)))*(WLE!C:C=INT(B13)),WLE!D:D,""),2))</f>
        <v>37.26</v>
      </c>
      <c r="O17" s="8"/>
    </row>
    <row r="18" spans="1:15" ht="15.75" x14ac:dyDescent="0.25">
      <c r="A18" t="s">
        <v>93</v>
      </c>
      <c r="B18" s="141">
        <f>IF(OR(B17="",B13="",B14=""),"",ROUND(MAX(0,B17-(B14-B13)),2))</f>
        <v>35.19</v>
      </c>
      <c r="O18" s="8"/>
    </row>
    <row r="19" spans="1:15" ht="15.75" x14ac:dyDescent="0.25">
      <c r="A19" t="s">
        <v>94</v>
      </c>
      <c r="B19" s="143">
        <f>IF(B18="","",INT(B18))</f>
        <v>35</v>
      </c>
      <c r="O19" s="8"/>
    </row>
    <row r="20" spans="1:15" ht="15.75" x14ac:dyDescent="0.25">
      <c r="A20" t="s">
        <v>95</v>
      </c>
      <c r="B20" s="141">
        <f>IF(B18="","",B18-INT(B18))</f>
        <v>0.18999999999999773</v>
      </c>
      <c r="O20" s="8"/>
    </row>
    <row r="21" spans="1:15" ht="15.75" x14ac:dyDescent="0.25">
      <c r="A21" t="s">
        <v>106</v>
      </c>
      <c r="B21" s="141">
        <f>MAX(0, B7 - B14)</f>
        <v>55</v>
      </c>
      <c r="O21" s="8"/>
    </row>
    <row r="22" spans="1:15" x14ac:dyDescent="0.2">
      <c r="A22" t="s">
        <v>107</v>
      </c>
      <c r="B22" s="143">
        <f>INT(B21)</f>
        <v>55</v>
      </c>
    </row>
    <row r="23" spans="1:15" ht="15.75" x14ac:dyDescent="0.25">
      <c r="A23" t="s">
        <v>108</v>
      </c>
      <c r="B23" s="141">
        <f>B21-B22</f>
        <v>0</v>
      </c>
      <c r="O23" s="8"/>
    </row>
    <row r="24" spans="1:15" ht="15.75" x14ac:dyDescent="0.25">
      <c r="A24" t="s">
        <v>110</v>
      </c>
      <c r="B24" s="141">
        <f>ROUND((B6-B5)/365.25,2)</f>
        <v>2.0699999999999998</v>
      </c>
      <c r="O24" s="8"/>
    </row>
    <row r="25" spans="1:15" x14ac:dyDescent="0.2">
      <c r="A25" t="s">
        <v>111</v>
      </c>
      <c r="B25" s="143">
        <f>INT(B24)</f>
        <v>2</v>
      </c>
    </row>
    <row r="26" spans="1:15" x14ac:dyDescent="0.2">
      <c r="A26" s="160" t="s">
        <v>96</v>
      </c>
      <c r="B26" s="161"/>
      <c r="C26" s="161"/>
      <c r="D26" s="162"/>
    </row>
    <row r="27" spans="1:15" x14ac:dyDescent="0.2">
      <c r="A27" t="s">
        <v>97</v>
      </c>
      <c r="B27" s="29">
        <v>0</v>
      </c>
    </row>
    <row r="28" spans="1:15" x14ac:dyDescent="0.2">
      <c r="A28" t="s">
        <v>121</v>
      </c>
      <c r="B28" s="74" t="s">
        <v>148</v>
      </c>
      <c r="C28" s="30" t="s">
        <v>125</v>
      </c>
    </row>
    <row r="29" spans="1:15" x14ac:dyDescent="0.2">
      <c r="A29" t="s">
        <v>124</v>
      </c>
      <c r="B29" s="29">
        <v>0</v>
      </c>
    </row>
    <row r="31" spans="1:15" x14ac:dyDescent="0.2">
      <c r="A31" s="154" t="s">
        <v>98</v>
      </c>
      <c r="B31" s="155"/>
      <c r="C31" s="155"/>
      <c r="D31" s="155"/>
    </row>
    <row r="32" spans="1:15" ht="13.35" customHeight="1" x14ac:dyDescent="0.2"/>
    <row r="33" spans="1:10" x14ac:dyDescent="0.2">
      <c r="A33" s="32" t="s">
        <v>131</v>
      </c>
    </row>
    <row r="34" spans="1:10" x14ac:dyDescent="0.2">
      <c r="A34" t="s">
        <v>132</v>
      </c>
    </row>
    <row r="35" spans="1:10" x14ac:dyDescent="0.2">
      <c r="A35" t="s">
        <v>133</v>
      </c>
      <c r="B35" s="6">
        <f>'Base 1 PV Loss WLE'!G14</f>
        <v>306800</v>
      </c>
    </row>
    <row r="36" spans="1:10" x14ac:dyDescent="0.2">
      <c r="A36" t="s">
        <v>134</v>
      </c>
      <c r="B36" s="6">
        <f>'Base 1 PV Loss WLE'!G68</f>
        <v>3289923.1776453508</v>
      </c>
    </row>
    <row r="37" spans="1:10" x14ac:dyDescent="0.2">
      <c r="A37" s="18" t="s">
        <v>135</v>
      </c>
      <c r="B37" s="6">
        <f>'Base 1 PV Loss WLE'!G70</f>
        <v>3596723.1776453508</v>
      </c>
    </row>
    <row r="38" spans="1:10" x14ac:dyDescent="0.2">
      <c r="A38" t="s">
        <v>136</v>
      </c>
      <c r="B38" s="6"/>
    </row>
    <row r="39" spans="1:10" x14ac:dyDescent="0.2">
      <c r="A39" t="s">
        <v>133</v>
      </c>
      <c r="B39" s="6">
        <f>'Base 1 PV Loss To Age'!G14</f>
        <v>0</v>
      </c>
    </row>
    <row r="40" spans="1:10" x14ac:dyDescent="0.2">
      <c r="A40" t="s">
        <v>134</v>
      </c>
      <c r="B40" s="6">
        <f>'Base 1 PV Loss To Age'!G68</f>
        <v>0</v>
      </c>
    </row>
    <row r="41" spans="1:10" x14ac:dyDescent="0.2">
      <c r="A41" s="18" t="s">
        <v>137</v>
      </c>
      <c r="B41" s="6">
        <f>'Base 1 PV Loss To Age'!G70</f>
        <v>0</v>
      </c>
      <c r="G41" s="7"/>
    </row>
    <row r="43" spans="1:10" x14ac:dyDescent="0.2">
      <c r="A43" s="24" t="s">
        <v>138</v>
      </c>
    </row>
    <row r="44" spans="1:10" x14ac:dyDescent="0.2">
      <c r="A44" t="s">
        <v>132</v>
      </c>
    </row>
    <row r="45" spans="1:10" x14ac:dyDescent="0.2">
      <c r="A45" t="s">
        <v>133</v>
      </c>
      <c r="B45" s="6">
        <f>'Base 2 PV Loss WLE'!G14</f>
        <v>0</v>
      </c>
    </row>
    <row r="46" spans="1:10" x14ac:dyDescent="0.2">
      <c r="A46" t="s">
        <v>134</v>
      </c>
      <c r="B46" s="6">
        <f>'Base 2 PV Loss WLE'!G68</f>
        <v>0</v>
      </c>
      <c r="J46" s="7"/>
    </row>
    <row r="47" spans="1:10" x14ac:dyDescent="0.2">
      <c r="A47" s="18" t="s">
        <v>135</v>
      </c>
      <c r="B47" s="6">
        <f>'Base 2 PV Loss WLE'!G70</f>
        <v>0</v>
      </c>
      <c r="J47" s="7"/>
    </row>
    <row r="48" spans="1:10" x14ac:dyDescent="0.2">
      <c r="A48" t="s">
        <v>136</v>
      </c>
      <c r="B48" s="6"/>
      <c r="J48" s="7"/>
    </row>
    <row r="49" spans="1:10" x14ac:dyDescent="0.2">
      <c r="A49" t="s">
        <v>133</v>
      </c>
      <c r="B49" s="6">
        <f>'Base 2 PV Loss To Age'!G14</f>
        <v>0</v>
      </c>
    </row>
    <row r="50" spans="1:10" x14ac:dyDescent="0.2">
      <c r="A50" t="s">
        <v>134</v>
      </c>
      <c r="B50" s="6">
        <f>'Base 2 PV Loss To Age'!G68</f>
        <v>0</v>
      </c>
    </row>
    <row r="51" spans="1:10" x14ac:dyDescent="0.2">
      <c r="A51" s="18" t="s">
        <v>137</v>
      </c>
      <c r="B51" s="6">
        <f>'Base 2 PV Loss To Age'!G70</f>
        <v>0</v>
      </c>
    </row>
    <row r="53" spans="1:10" x14ac:dyDescent="0.2">
      <c r="A53" s="33" t="s">
        <v>139</v>
      </c>
      <c r="C53" s="7"/>
      <c r="J53" s="7"/>
    </row>
    <row r="54" spans="1:10" x14ac:dyDescent="0.2">
      <c r="A54" t="s">
        <v>132</v>
      </c>
      <c r="C54" s="7"/>
    </row>
    <row r="55" spans="1:10" x14ac:dyDescent="0.2">
      <c r="A55" t="s">
        <v>133</v>
      </c>
      <c r="B55" s="6">
        <f>'Base 3 PV Loss WLE'!G14</f>
        <v>0</v>
      </c>
      <c r="C55" s="7"/>
    </row>
    <row r="56" spans="1:10" x14ac:dyDescent="0.2">
      <c r="A56" t="s">
        <v>134</v>
      </c>
      <c r="B56" s="6">
        <f>'Base 3 PV Loss WLE'!G68</f>
        <v>0</v>
      </c>
    </row>
    <row r="57" spans="1:10" x14ac:dyDescent="0.2">
      <c r="A57" s="18" t="s">
        <v>135</v>
      </c>
      <c r="B57" s="6">
        <f>'Base 3 PV Loss WLE'!G70</f>
        <v>0</v>
      </c>
    </row>
    <row r="58" spans="1:10" x14ac:dyDescent="0.2">
      <c r="A58" t="s">
        <v>136</v>
      </c>
      <c r="B58" s="6"/>
      <c r="C58" s="7"/>
    </row>
    <row r="59" spans="1:10" x14ac:dyDescent="0.2">
      <c r="A59" t="s">
        <v>133</v>
      </c>
      <c r="B59" s="6">
        <f>'Base 3 PV Loss To Age'!G14</f>
        <v>0</v>
      </c>
      <c r="C59" s="7"/>
    </row>
    <row r="60" spans="1:10" x14ac:dyDescent="0.2">
      <c r="A60" t="s">
        <v>134</v>
      </c>
      <c r="B60" s="6">
        <f>'Base 3 PV Loss To Age'!G68</f>
        <v>0</v>
      </c>
    </row>
    <row r="61" spans="1:10" x14ac:dyDescent="0.2">
      <c r="A61" s="18" t="s">
        <v>137</v>
      </c>
      <c r="B61" s="6">
        <f>'Base 3 PV Loss To Age'!G70</f>
        <v>0</v>
      </c>
      <c r="C61" s="7"/>
    </row>
    <row r="62" spans="1:10" x14ac:dyDescent="0.2">
      <c r="C62" s="7"/>
    </row>
    <row r="63" spans="1:10" x14ac:dyDescent="0.2">
      <c r="A63" s="34" t="s">
        <v>144</v>
      </c>
    </row>
    <row r="64" spans="1:10" x14ac:dyDescent="0.2">
      <c r="A64" t="s">
        <v>132</v>
      </c>
      <c r="C64" s="7"/>
    </row>
    <row r="65" spans="1:2" x14ac:dyDescent="0.2">
      <c r="A65" s="18" t="s">
        <v>133</v>
      </c>
      <c r="B65" s="6">
        <f>'Credit 1 PV Loss WLE'!G14</f>
        <v>0</v>
      </c>
    </row>
    <row r="66" spans="1:2" x14ac:dyDescent="0.2">
      <c r="A66" t="s">
        <v>134</v>
      </c>
      <c r="B66" s="6">
        <f>'Credit 1 PV Loss WLE'!G68</f>
        <v>0</v>
      </c>
    </row>
    <row r="67" spans="1:2" x14ac:dyDescent="0.2">
      <c r="A67" s="18" t="s">
        <v>135</v>
      </c>
      <c r="B67" s="23">
        <f>'Credit 1 PV Loss WLE'!G70</f>
        <v>0</v>
      </c>
    </row>
    <row r="68" spans="1:2" x14ac:dyDescent="0.2">
      <c r="A68" t="s">
        <v>136</v>
      </c>
    </row>
    <row r="69" spans="1:2" x14ac:dyDescent="0.2">
      <c r="A69" s="18" t="s">
        <v>133</v>
      </c>
      <c r="B69" s="6">
        <f>'Credit 1 PV Loss to Age'!G14</f>
        <v>0</v>
      </c>
    </row>
    <row r="70" spans="1:2" x14ac:dyDescent="0.2">
      <c r="A70" t="s">
        <v>134</v>
      </c>
      <c r="B70" s="6">
        <f>'Credit 1 PV Loss to Age'!G68</f>
        <v>0</v>
      </c>
    </row>
    <row r="71" spans="1:2" x14ac:dyDescent="0.2">
      <c r="A71" s="18" t="s">
        <v>137</v>
      </c>
      <c r="B71" s="23">
        <f>'Credit 1 PV Loss to Age'!G70</f>
        <v>0</v>
      </c>
    </row>
    <row r="73" spans="1:2" x14ac:dyDescent="0.2">
      <c r="A73" s="35" t="s">
        <v>145</v>
      </c>
    </row>
    <row r="74" spans="1:2" x14ac:dyDescent="0.2">
      <c r="A74" t="s">
        <v>132</v>
      </c>
    </row>
    <row r="75" spans="1:2" x14ac:dyDescent="0.2">
      <c r="A75" s="18" t="s">
        <v>133</v>
      </c>
      <c r="B75" s="6">
        <f>'Credit 2 PV Loss WLE'!G14</f>
        <v>0</v>
      </c>
    </row>
    <row r="76" spans="1:2" x14ac:dyDescent="0.2">
      <c r="A76" t="s">
        <v>134</v>
      </c>
      <c r="B76" s="6">
        <f>'Credit 2 PV Loss WLE'!G68</f>
        <v>0</v>
      </c>
    </row>
    <row r="77" spans="1:2" x14ac:dyDescent="0.2">
      <c r="A77" s="18" t="s">
        <v>135</v>
      </c>
      <c r="B77" s="23">
        <f>'Credit 2 PV Loss WLE'!G70</f>
        <v>0</v>
      </c>
    </row>
    <row r="78" spans="1:2" x14ac:dyDescent="0.2">
      <c r="A78" t="s">
        <v>136</v>
      </c>
    </row>
    <row r="79" spans="1:2" x14ac:dyDescent="0.2">
      <c r="A79" s="18" t="s">
        <v>133</v>
      </c>
      <c r="B79" s="6">
        <f>'Credit 2 PV Loss To Age'!G14</f>
        <v>0</v>
      </c>
    </row>
    <row r="80" spans="1:2" x14ac:dyDescent="0.2">
      <c r="A80" t="s">
        <v>134</v>
      </c>
      <c r="B80" s="6">
        <f>'Credit 2 PV Loss To Age'!G68</f>
        <v>0</v>
      </c>
    </row>
    <row r="81" spans="1:2" x14ac:dyDescent="0.2">
      <c r="A81" s="18" t="s">
        <v>137</v>
      </c>
      <c r="B81" s="23">
        <f>'Credit 2 PV Loss To Age'!G70</f>
        <v>0</v>
      </c>
    </row>
  </sheetData>
  <mergeCells count="4">
    <mergeCell ref="A31:D31"/>
    <mergeCell ref="A1:D1"/>
    <mergeCell ref="A12:D12"/>
    <mergeCell ref="A26:D26"/>
  </mergeCells>
  <phoneticPr fontId="0" type="noConversion"/>
  <dataValidations disablePrompts="1" count="3">
    <dataValidation type="list" allowBlank="1" showInputMessage="1" showErrorMessage="1" sqref="B28" xr:uid="{538D03BE-50D6-475B-B155-93A8C8C6ED02}">
      <formula1>"CPI Adjustment,No Adjustment,Custom Rate"</formula1>
    </dataValidation>
    <dataValidation type="list" allowBlank="1" showInputMessage="1" showErrorMessage="1" sqref="B9" xr:uid="{355B3624-D816-463D-AC94-E8591D129290}">
      <formula1>"All-Education,No Education to 9th,10th to 12th Grade,GED,HSD,Some College,Associates Degree,Bachelor's Degree,Master's Degree,Professional or Doctoral"</formula1>
    </dataValidation>
    <dataValidation type="list" allowBlank="1" showInputMessage="1" showErrorMessage="1" sqref="B8" xr:uid="{2114CDF5-A574-CD4B-A6DE-EB1D11317149}">
      <formula1>"M,F"</formula1>
    </dataValidation>
  </dataValidations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55918-5A98-4EF6-AA0A-D9428659AB74}">
  <sheetPr codeName="Sheet3">
    <tabColor rgb="FF70AD47"/>
  </sheetPr>
  <dimension ref="A1:AJ78"/>
  <sheetViews>
    <sheetView workbookViewId="0">
      <selection activeCell="G13" sqref="G13"/>
    </sheetView>
  </sheetViews>
  <sheetFormatPr defaultColWidth="8.85546875" defaultRowHeight="12.75" x14ac:dyDescent="0.2"/>
  <cols>
    <col min="1" max="1" width="14" customWidth="1"/>
    <col min="2" max="2" width="16" customWidth="1"/>
    <col min="3" max="3" width="21.28515625" customWidth="1"/>
    <col min="4" max="4" width="17.85546875" customWidth="1"/>
    <col min="5" max="5" width="21.28515625" customWidth="1"/>
    <col min="6" max="6" width="19.42578125" customWidth="1"/>
    <col min="7" max="7" width="23.140625" customWidth="1"/>
    <col min="8" max="8" width="13.42578125" customWidth="1"/>
    <col min="11" max="11" width="11.140625" customWidth="1"/>
  </cols>
  <sheetData>
    <row r="1" spans="1:36" ht="30" customHeight="1" x14ac:dyDescent="0.25">
      <c r="A1" s="156" t="s">
        <v>140</v>
      </c>
      <c r="B1" s="156"/>
      <c r="C1" s="156"/>
      <c r="D1" s="156"/>
      <c r="E1" s="156"/>
      <c r="F1" s="156"/>
      <c r="G1" s="156"/>
      <c r="AE1" s="3"/>
      <c r="AF1" s="5"/>
      <c r="AG1" s="5"/>
      <c r="AH1" s="1"/>
    </row>
    <row r="2" spans="1:36" x14ac:dyDescent="0.2">
      <c r="AE2" s="1"/>
      <c r="AF2" s="1"/>
      <c r="AG2" s="1"/>
      <c r="AI2" s="7"/>
      <c r="AJ2" s="9"/>
    </row>
    <row r="3" spans="1:36" x14ac:dyDescent="0.2">
      <c r="A3" t="s">
        <v>99</v>
      </c>
      <c r="B3" s="31">
        <v>100000</v>
      </c>
      <c r="C3" s="25" t="s">
        <v>123</v>
      </c>
      <c r="D3" t="s">
        <v>97</v>
      </c>
      <c r="E3" s="29">
        <v>0.02</v>
      </c>
      <c r="F3" t="s">
        <v>123</v>
      </c>
      <c r="AE3" s="4"/>
      <c r="AF3" s="2"/>
      <c r="AG3" s="2"/>
    </row>
    <row r="4" spans="1:36" x14ac:dyDescent="0.2">
      <c r="A4" t="s">
        <v>93</v>
      </c>
      <c r="B4" s="140">
        <f>'Case Inputs'!B18</f>
        <v>35.19</v>
      </c>
      <c r="D4" t="s">
        <v>100</v>
      </c>
      <c r="E4" s="20">
        <f>'Case Inputs'!B19</f>
        <v>35</v>
      </c>
      <c r="AE4" s="2"/>
      <c r="AF4" s="2"/>
      <c r="AG4" s="2"/>
    </row>
    <row r="5" spans="1:36" x14ac:dyDescent="0.2">
      <c r="A5" t="s">
        <v>101</v>
      </c>
      <c r="B5" s="140">
        <f>'Case Inputs'!B20</f>
        <v>0.18999999999999773</v>
      </c>
      <c r="D5" s="7" t="s">
        <v>149</v>
      </c>
      <c r="E5" s="87">
        <v>0.25</v>
      </c>
      <c r="F5" s="38" t="b">
        <v>1</v>
      </c>
      <c r="G5" s="30" t="s">
        <v>151</v>
      </c>
      <c r="AE5" s="6"/>
      <c r="AF5" s="6"/>
    </row>
    <row r="6" spans="1:36" x14ac:dyDescent="0.2">
      <c r="AE6" s="6"/>
      <c r="AF6" s="6"/>
    </row>
    <row r="7" spans="1:36" x14ac:dyDescent="0.2">
      <c r="A7" s="163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6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6" x14ac:dyDescent="0.2">
      <c r="A9">
        <f>YEAR('Case Inputs'!$B$5)</f>
        <v>2024</v>
      </c>
      <c r="B9">
        <f>YEAR('Case Inputs'!$B$5)</f>
        <v>2024</v>
      </c>
      <c r="C9" s="6">
        <f>$B$3</f>
        <v>100000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 s="28">
        <f>ROUND((DATE(YEAR('Case Inputs'!$B$5),12,31)-'Case Inputs'!$B$5)/365,3)</f>
        <v>0.20799999999999999</v>
      </c>
      <c r="G9" s="6">
        <f>C9*F9</f>
        <v>20800</v>
      </c>
      <c r="H9" s="6">
        <f>IF($F$5=TRUE,G9*(1-$E$5),G9)</f>
        <v>15600</v>
      </c>
      <c r="AE9" s="6"/>
      <c r="AF9" s="6"/>
    </row>
    <row r="10" spans="1:36" x14ac:dyDescent="0.2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100000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 s="28">
        <v>1</v>
      </c>
      <c r="G10" s="6">
        <f>C10*F10</f>
        <v>100000</v>
      </c>
      <c r="H10" s="6">
        <f>IF($F$5=TRUE,G10*(1-$E$5),G10)</f>
        <v>75000</v>
      </c>
      <c r="AE10" s="6"/>
      <c r="AF10" s="6"/>
    </row>
    <row r="11" spans="1:36" x14ac:dyDescent="0.2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100000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 s="28">
        <v>1</v>
      </c>
      <c r="G11" s="6">
        <f>C11*F11</f>
        <v>100000</v>
      </c>
      <c r="H11" s="6">
        <f>IF($F$5=TRUE,G11*(1-$E$5),G11)</f>
        <v>75000</v>
      </c>
      <c r="AE11" s="6"/>
      <c r="AF11" s="6"/>
    </row>
    <row r="12" spans="1:36" x14ac:dyDescent="0.2">
      <c r="A12">
        <f>YEAR('Case Inputs'!$B$6)</f>
        <v>2026</v>
      </c>
      <c r="B12">
        <f>YEAR('Case Inputs'!$B$6)</f>
        <v>2026</v>
      </c>
      <c r="C12" s="6">
        <f>C11*E12</f>
        <v>100000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 s="28">
        <f>ROUND(('Case Inputs'!$B$6-DATE(YEAR('Case Inputs'!$B$6),1,1))/365,3)</f>
        <v>0.86</v>
      </c>
      <c r="G12" s="6">
        <f>C12*F12</f>
        <v>86000</v>
      </c>
      <c r="H12" s="6">
        <f>IF($F$5=TRUE,G12*(1-$E$5),G12)</f>
        <v>64500</v>
      </c>
      <c r="AE12" s="6"/>
      <c r="AF12" s="6"/>
    </row>
    <row r="13" spans="1:36" x14ac:dyDescent="0.2">
      <c r="D13" s="28"/>
      <c r="AE13" s="6"/>
      <c r="AF13" s="6"/>
    </row>
    <row r="14" spans="1:36" x14ac:dyDescent="0.2">
      <c r="A14" s="18" t="s">
        <v>114</v>
      </c>
      <c r="D14" s="28"/>
      <c r="G14" s="23">
        <f>SUM(G9:G12)</f>
        <v>306800</v>
      </c>
      <c r="H14" s="23">
        <f>SUM(H9:H12)</f>
        <v>230100</v>
      </c>
      <c r="AE14" s="6"/>
      <c r="AF14" s="6"/>
    </row>
    <row r="15" spans="1:36" x14ac:dyDescent="0.2">
      <c r="AE15" s="6"/>
      <c r="AF15" s="6"/>
    </row>
    <row r="16" spans="1:36" x14ac:dyDescent="0.2">
      <c r="A16" s="164" t="s">
        <v>115</v>
      </c>
      <c r="B16" s="164"/>
      <c r="C16" s="164"/>
      <c r="D16" s="164"/>
      <c r="E16" s="164"/>
      <c r="F16" s="164"/>
      <c r="G16" s="164"/>
      <c r="AE16" s="6"/>
      <c r="AF16" s="6"/>
    </row>
    <row r="17" spans="1:32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102000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99415.20467836257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99415.20467836257</v>
      </c>
      <c r="H17" s="6" cm="1">
        <f t="array" ref="H17">_xlfn.IFS(A17="","",AND(A17&lt;&gt;"",$F$5=TRUE),G17*(1-$E$5))</f>
        <v>74561.403508771924</v>
      </c>
      <c r="AE17" s="6"/>
      <c r="AF17" s="6"/>
    </row>
    <row r="18" spans="1:32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104040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98833.829212407247</v>
      </c>
      <c r="F18" s="19">
        <f t="shared" si="2"/>
        <v>1</v>
      </c>
      <c r="G18" s="6">
        <f t="shared" si="3"/>
        <v>98833.829212407247</v>
      </c>
      <c r="H18" s="6" cm="1">
        <f t="array" ref="H18">_xlfn.IFS(A18="","",AND(A18&lt;&gt;"",$F$5=TRUE),G18*(1-$E$5))</f>
        <v>74125.371909305439</v>
      </c>
      <c r="AE18" s="6"/>
      <c r="AF18" s="6"/>
    </row>
    <row r="19" spans="1:32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106120.79999999999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98255.853602977935</v>
      </c>
      <c r="F19" s="19">
        <f t="shared" si="2"/>
        <v>1</v>
      </c>
      <c r="G19" s="6">
        <f t="shared" si="3"/>
        <v>98255.853602977935</v>
      </c>
      <c r="H19" s="6" cm="1">
        <f t="array" ref="H19">_xlfn.IFS(A19="","",AND(A19&lt;&gt;"",$F$5=TRUE),G19*(1-$E$5))</f>
        <v>73691.890202233451</v>
      </c>
      <c r="AE19" s="6"/>
      <c r="AF19" s="6"/>
    </row>
    <row r="20" spans="1:32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108243.216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97681.257967872822</v>
      </c>
      <c r="F20" s="19">
        <f t="shared" si="2"/>
        <v>1</v>
      </c>
      <c r="G20" s="6">
        <f t="shared" si="3"/>
        <v>97681.257967872822</v>
      </c>
      <c r="H20" s="6" cm="1">
        <f t="array" ref="H20">_xlfn.IFS(A20="","",AND(A20&lt;&gt;"",$F$5=TRUE),G20*(1-$E$5))</f>
        <v>73260.943475904613</v>
      </c>
      <c r="AE20" s="6"/>
      <c r="AF20" s="6"/>
    </row>
    <row r="21" spans="1:32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110408.08032000001</v>
      </c>
      <c r="D21" s="9">
        <f>IF(A21="","",ROUND(IFERROR(INDEX('Discount Rates'!$C:$C,MATCH(TEXT(B21,"0"),'Discount Rates'!$A:$A,0))/100,0),3))</f>
        <v>2.7E-2</v>
      </c>
      <c r="E21" s="6">
        <f t="shared" si="1"/>
        <v>96638.157435874338</v>
      </c>
      <c r="F21" s="19">
        <f t="shared" si="2"/>
        <v>1</v>
      </c>
      <c r="G21" s="6">
        <f t="shared" si="3"/>
        <v>96638.157435874338</v>
      </c>
      <c r="H21" s="6" cm="1">
        <f t="array" ref="H21">_xlfn.IFS(A21="","",AND(A21&lt;&gt;"",$F$5=TRUE),G21*(1-$E$5))</f>
        <v>72478.618076905754</v>
      </c>
      <c r="AE21" s="6"/>
      <c r="AF21" s="6"/>
    </row>
    <row r="22" spans="1:32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112616.24192640001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95420.643846653518</v>
      </c>
      <c r="F22" s="19">
        <f t="shared" si="2"/>
        <v>1</v>
      </c>
      <c r="G22" s="6">
        <f t="shared" si="3"/>
        <v>95420.643846653518</v>
      </c>
      <c r="H22" s="6" cm="1">
        <f t="array" ref="H22">_xlfn.IFS(A22="","",AND(A22&lt;&gt;"",$F$5=TRUE),G22*(1-$E$5))</f>
        <v>71565.482884990139</v>
      </c>
      <c r="AE22" s="6"/>
      <c r="AF22" s="6"/>
    </row>
    <row r="23" spans="1:32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114868.56676492798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94035.876946657183</v>
      </c>
      <c r="F23" s="19">
        <f t="shared" si="2"/>
        <v>1</v>
      </c>
      <c r="G23" s="6">
        <f t="shared" si="3"/>
        <v>94035.876946657183</v>
      </c>
      <c r="H23" s="6" cm="1">
        <f t="array" ref="H23">_xlfn.IFS(A23="","",AND(A23&lt;&gt;"",$F$5=TRUE),G23*(1-$E$5))</f>
        <v>70526.907709992884</v>
      </c>
      <c r="AE23" s="6"/>
      <c r="AF23" s="6"/>
    </row>
    <row r="24" spans="1:32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117165.93810022656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93213.405719718503</v>
      </c>
      <c r="F24" s="19">
        <f t="shared" si="2"/>
        <v>1</v>
      </c>
      <c r="G24" s="6">
        <f t="shared" si="3"/>
        <v>93213.405719718503</v>
      </c>
      <c r="H24" s="6" cm="1">
        <f t="array" ref="H24">_xlfn.IFS(A24="","",AND(A24&lt;&gt;"",$F$5=TRUE),G24*(1-$E$5))</f>
        <v>69910.054289788881</v>
      </c>
      <c r="AE24" s="6"/>
      <c r="AF24" s="6"/>
    </row>
    <row r="25" spans="1:32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119509.25686223108</v>
      </c>
      <c r="D25" s="9">
        <f>IF(A25="","",ROUND(IFERROR(INDEX('Discount Rates'!$C:$C,MATCH(TEXT(B25,"0"),'Discount Rates'!$A:$A,0))/100,0),3))</f>
        <v>0.03</v>
      </c>
      <c r="E25" s="6">
        <f t="shared" si="1"/>
        <v>91593.894129166321</v>
      </c>
      <c r="F25" s="19">
        <f t="shared" si="2"/>
        <v>1</v>
      </c>
      <c r="G25" s="6">
        <f t="shared" si="3"/>
        <v>91593.894129166321</v>
      </c>
      <c r="H25" s="6" cm="1">
        <f t="array" ref="H25">_xlfn.IFS(A25="","",AND(A25&lt;&gt;"",$F$5=TRUE),G25*(1-$E$5))</f>
        <v>68695.420596874741</v>
      </c>
      <c r="AE25" s="6"/>
      <c r="AF25" s="6"/>
    </row>
    <row r="26" spans="1:32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121899.4419994757</v>
      </c>
      <c r="D26" s="9">
        <f>IF(A26="","",ROUND(IFERROR(INDEX('Discount Rates'!$C:$C,MATCH(TEXT(B26,"0"),'Discount Rates'!$A:$A,0))/100,0),3))</f>
        <v>3.1E-2</v>
      </c>
      <c r="E26" s="6">
        <f t="shared" si="1"/>
        <v>89828.689691734282</v>
      </c>
      <c r="F26" s="19">
        <f t="shared" si="2"/>
        <v>1</v>
      </c>
      <c r="G26" s="6">
        <f t="shared" si="3"/>
        <v>89828.689691734282</v>
      </c>
      <c r="H26" s="6" cm="1">
        <f t="array" ref="H26">_xlfn.IFS(A26="","",AND(A26&lt;&gt;"",$F$5=TRUE),G26*(1-$E$5))</f>
        <v>67371.517268800715</v>
      </c>
      <c r="AE26" s="6"/>
      <c r="AF26" s="6"/>
    </row>
    <row r="27" spans="1:32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124337.4308394652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87927.600001172483</v>
      </c>
      <c r="F27" s="19">
        <f t="shared" si="2"/>
        <v>1</v>
      </c>
      <c r="G27" s="6">
        <f t="shared" si="3"/>
        <v>87927.600001172483</v>
      </c>
      <c r="H27" s="6" cm="1">
        <f t="array" ref="H27">_xlfn.IFS(A27="","",AND(A27&lt;&gt;"",$F$5=TRUE),G27*(1-$E$5))</f>
        <v>65945.700000879355</v>
      </c>
      <c r="AE27" s="6"/>
      <c r="AF27" s="6"/>
    </row>
    <row r="28" spans="1:32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126824.17945625453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85900.996695065915</v>
      </c>
      <c r="F28" s="19">
        <f t="shared" si="2"/>
        <v>1</v>
      </c>
      <c r="G28" s="6">
        <f t="shared" si="3"/>
        <v>85900.996695065915</v>
      </c>
      <c r="H28" s="6" cm="1">
        <f t="array" ref="H28">_xlfn.IFS(A28="","",AND(A28&lt;&gt;"",$F$5=TRUE),G28*(1-$E$5))</f>
        <v>64425.747521299432</v>
      </c>
      <c r="AE28" s="6"/>
      <c r="AF28" s="6"/>
    </row>
    <row r="29" spans="1:32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129360.66304537961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83759.722349048054</v>
      </c>
      <c r="F29" s="19">
        <f t="shared" si="2"/>
        <v>1</v>
      </c>
      <c r="G29" s="6">
        <f t="shared" si="3"/>
        <v>83759.722349048054</v>
      </c>
      <c r="H29" s="6" cm="1">
        <f t="array" ref="H29">_xlfn.IFS(A29="","",AND(A29&lt;&gt;"",$F$5=TRUE),G29*(1-$E$5))</f>
        <v>62819.791761786037</v>
      </c>
      <c r="AE29" s="6"/>
      <c r="AF29" s="6"/>
    </row>
    <row r="30" spans="1:32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131947.87630628722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81514.995247703118</v>
      </c>
      <c r="F30" s="19">
        <f t="shared" si="2"/>
        <v>1</v>
      </c>
      <c r="G30" s="6">
        <f t="shared" si="3"/>
        <v>81514.995247703118</v>
      </c>
      <c r="H30" s="6" cm="1">
        <f t="array" ref="H30">_xlfn.IFS(A30="","",AND(A30&lt;&gt;"",$F$5=TRUE),G30*(1-$E$5))</f>
        <v>61136.246435777342</v>
      </c>
      <c r="AE30" s="6"/>
      <c r="AF30" s="6"/>
    </row>
    <row r="31" spans="1:32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134586.83383241293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80333.618504982776</v>
      </c>
      <c r="F31" s="19">
        <f t="shared" si="2"/>
        <v>1</v>
      </c>
      <c r="G31" s="6">
        <f t="shared" si="3"/>
        <v>80333.618504982776</v>
      </c>
      <c r="H31" s="6" cm="1">
        <f t="array" ref="H31">_xlfn.IFS(A31="","",AND(A31&lt;&gt;"",$F$5=TRUE),G31*(1-$E$5))</f>
        <v>60250.213878737079</v>
      </c>
      <c r="AE31" s="6"/>
      <c r="AF31" s="6"/>
    </row>
    <row r="32" spans="1:32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137278.57050906122</v>
      </c>
      <c r="D32" s="9">
        <f>IF(A32="","",IFERROR(INDEX('Discount Rates'!$C:$C,MATCH(TEXT(B32,"0"),'Discount Rates'!$A:$A,0))/100,0))</f>
        <v>3.6089999999999997E-2</v>
      </c>
      <c r="E32" s="6">
        <f t="shared" si="1"/>
        <v>77847.206950265812</v>
      </c>
      <c r="F32" s="19">
        <f t="shared" ref="F32:F48" si="4">IF(A32="","",IF(A32&lt;=$E$4,1,IF(A32=$E$4+1,$B$5,0)))</f>
        <v>1</v>
      </c>
      <c r="G32" s="6">
        <f t="shared" si="3"/>
        <v>77847.206950265812</v>
      </c>
      <c r="H32" s="6" cm="1">
        <f t="array" ref="H32">_xlfn.IFS(A32="","",AND(A32&lt;&gt;"",$F$5=TRUE),G32*(1-$E$5))</f>
        <v>58385.405212699363</v>
      </c>
      <c r="AE32" s="6"/>
      <c r="AF32" s="6"/>
    </row>
    <row r="33" spans="1:32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140024.14191924245</v>
      </c>
      <c r="D33" s="9">
        <f>IF(A33="","",IFERROR(INDEX('Discount Rates'!$C:$C,MATCH(TEXT(B33,"0"),'Discount Rates'!$A:$A,0))/100,0))</f>
        <v>3.7409999999999999E-2</v>
      </c>
      <c r="E33" s="6">
        <f t="shared" si="1"/>
        <v>74997.296760896264</v>
      </c>
      <c r="F33" s="19">
        <f t="shared" si="4"/>
        <v>1</v>
      </c>
      <c r="G33" s="6">
        <f t="shared" si="3"/>
        <v>74997.296760896264</v>
      </c>
      <c r="H33" s="6" cm="1">
        <f t="array" ref="H33">_xlfn.IFS(A33="","",AND(A33&lt;&gt;"",$F$5=TRUE),G33*(1-$E$5))</f>
        <v>56247.972570672195</v>
      </c>
      <c r="AE33" s="6"/>
      <c r="AF33" s="6"/>
    </row>
    <row r="34" spans="1:32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142824.62475762726</v>
      </c>
      <c r="D34" s="9">
        <f>IF(A34="","",IFERROR(INDEX('Discount Rates'!$C:$C,MATCH(TEXT(B34,"0"),'Discount Rates'!$A:$A,0))/100,0))</f>
        <v>3.8730000000000001E-2</v>
      </c>
      <c r="E34" s="6">
        <f t="shared" si="1"/>
        <v>72070.070105490508</v>
      </c>
      <c r="F34" s="19">
        <f t="shared" si="4"/>
        <v>1</v>
      </c>
      <c r="G34" s="6">
        <f t="shared" si="3"/>
        <v>72070.070105490508</v>
      </c>
      <c r="H34" s="6" cm="1">
        <f t="array" ref="H34">_xlfn.IFS(A34="","",AND(A34&lt;&gt;"",$F$5=TRUE),G34*(1-$E$5))</f>
        <v>54052.552579117881</v>
      </c>
      <c r="AE34" s="6"/>
      <c r="AF34" s="6"/>
    </row>
    <row r="35" spans="1:32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145681.1172527798</v>
      </c>
      <c r="D35" s="9">
        <f>IF(A35="","",IFERROR(INDEX('Discount Rates'!$C:$C,MATCH(TEXT(B35,"0"),'Discount Rates'!$A:$A,0))/100,0))</f>
        <v>4.0099999999999997E-2</v>
      </c>
      <c r="E35" s="6">
        <f t="shared" si="1"/>
        <v>69020.234791502793</v>
      </c>
      <c r="F35" s="19">
        <f t="shared" si="4"/>
        <v>1</v>
      </c>
      <c r="G35" s="6">
        <f t="shared" si="3"/>
        <v>69020.234791502793</v>
      </c>
      <c r="H35" s="6" cm="1">
        <f t="array" ref="H35">_xlfn.IFS(A35="","",AND(A35&lt;&gt;"",$F$5=TRUE),G35*(1-$E$5))</f>
        <v>51765.176093627095</v>
      </c>
      <c r="AE35" s="6"/>
      <c r="AF35" s="6"/>
    </row>
    <row r="36" spans="1:32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148594.73959783543</v>
      </c>
      <c r="D36" s="9">
        <f>IF(A36="","",IFERROR(INDEX('Discount Rates'!$C:$C,MATCH(TEXT(B36,"0"),'Discount Rates'!$A:$A,0))/100,0))</f>
        <v>4.1329999999999999E-2</v>
      </c>
      <c r="E36" s="6">
        <f t="shared" si="1"/>
        <v>66105.231325071873</v>
      </c>
      <c r="F36" s="19">
        <f t="shared" si="4"/>
        <v>1</v>
      </c>
      <c r="G36" s="6">
        <f t="shared" si="3"/>
        <v>66105.231325071873</v>
      </c>
      <c r="H36" s="6" cm="1">
        <f t="array" ref="H36">_xlfn.IFS(A36="","",AND(A36&lt;&gt;"",$F$5=TRUE),G36*(1-$E$5))</f>
        <v>49578.923493803901</v>
      </c>
      <c r="AE36" s="6"/>
      <c r="AF36" s="6"/>
    </row>
    <row r="37" spans="1:32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151566.63438979213</v>
      </c>
      <c r="D37" s="9">
        <f>IF(A37="","",IFERROR(INDEX('Discount Rates'!$C:$C,MATCH(TEXT(B37,"0"),'Discount Rates'!$A:$A,0))/100,0))</f>
        <v>4.2140000000000004E-2</v>
      </c>
      <c r="E37" s="6">
        <f t="shared" si="1"/>
        <v>63702.463905118035</v>
      </c>
      <c r="F37" s="19">
        <f t="shared" si="4"/>
        <v>1</v>
      </c>
      <c r="G37" s="6">
        <f t="shared" si="3"/>
        <v>63702.463905118035</v>
      </c>
      <c r="H37" s="6" cm="1">
        <f t="array" ref="H37">_xlfn.IFS(A37="","",AND(A37&lt;&gt;"",$F$5=TRUE),G37*(1-$E$5))</f>
        <v>47776.847928838528</v>
      </c>
      <c r="AE37" s="6"/>
      <c r="AF37" s="6"/>
    </row>
    <row r="38" spans="1:32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154597.96707758796</v>
      </c>
      <c r="D38" s="9">
        <f>IF(A38="","",IFERROR(INDEX('Discount Rates'!$C:$C,MATCH(TEXT(B38,"0"),'Discount Rates'!$A:$A,0))/100,0))</f>
        <v>4.2800000000000005E-2</v>
      </c>
      <c r="E38" s="6">
        <f t="shared" si="1"/>
        <v>61486.713990879965</v>
      </c>
      <c r="F38" s="19">
        <f t="shared" si="4"/>
        <v>1</v>
      </c>
      <c r="G38" s="6">
        <f t="shared" si="3"/>
        <v>61486.713990879965</v>
      </c>
      <c r="H38" s="6" cm="1">
        <f t="array" ref="H38">_xlfn.IFS(A38="","",AND(A38&lt;&gt;"",$F$5=TRUE),G38*(1-$E$5))</f>
        <v>46115.035493159972</v>
      </c>
      <c r="AE38" s="6"/>
      <c r="AF38" s="6"/>
    </row>
    <row r="39" spans="1:32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157689.92641913969</v>
      </c>
      <c r="D39" s="9">
        <f>IF(A39="","",IFERROR(INDEX('Discount Rates'!$C:$C,MATCH(TEXT(B39,"0"),'Discount Rates'!$A:$A,0))/100,0))</f>
        <v>4.3250000000000004E-2</v>
      </c>
      <c r="E39" s="6">
        <f t="shared" si="1"/>
        <v>59548.510478986558</v>
      </c>
      <c r="F39" s="19">
        <f t="shared" si="4"/>
        <v>1</v>
      </c>
      <c r="G39" s="6">
        <f t="shared" si="3"/>
        <v>59548.510478986558</v>
      </c>
      <c r="H39" s="6" cm="1">
        <f t="array" ref="H39">_xlfn.IFS(A39="","",AND(A39&lt;&gt;"",$F$5=TRUE),G39*(1-$E$5))</f>
        <v>44661.382859239922</v>
      </c>
      <c r="AE39" s="6"/>
      <c r="AF39" s="6"/>
    </row>
    <row r="40" spans="1:32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160843.72494752251</v>
      </c>
      <c r="D40" s="9">
        <f>IF(A40="","",IFERROR(INDEX('Discount Rates'!$C:$C,MATCH(TEXT(B40,"0"),'Discount Rates'!$A:$A,0))/100,0))</f>
        <v>4.3769999999999996E-2</v>
      </c>
      <c r="E40" s="6">
        <f t="shared" si="1"/>
        <v>57529.245326259414</v>
      </c>
      <c r="F40" s="19">
        <f t="shared" si="4"/>
        <v>1</v>
      </c>
      <c r="G40" s="6">
        <f t="shared" si="3"/>
        <v>57529.245326259414</v>
      </c>
      <c r="H40" s="6" cm="1">
        <f t="array" ref="H40">_xlfn.IFS(A40="","",AND(A40&lt;&gt;"",$F$5=TRUE),G40*(1-$E$5))</f>
        <v>43146.933994694562</v>
      </c>
      <c r="AE40" s="6"/>
      <c r="AF40" s="6"/>
    </row>
    <row r="41" spans="1:32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164060.59944647294</v>
      </c>
      <c r="D41" s="9">
        <f>IF(A41="","",IFERROR(INDEX('Discount Rates'!$C:$C,MATCH(TEXT(B41,"0"),'Discount Rates'!$A:$A,0))/100,0))</f>
        <v>4.3990000000000001E-2</v>
      </c>
      <c r="E41" s="6">
        <f t="shared" si="1"/>
        <v>55923.690769333443</v>
      </c>
      <c r="F41" s="19">
        <f t="shared" si="4"/>
        <v>1</v>
      </c>
      <c r="G41" s="6">
        <f t="shared" si="3"/>
        <v>55923.690769333443</v>
      </c>
      <c r="H41" s="6" cm="1">
        <f t="array" ref="H41">_xlfn.IFS(A41="","",AND(A41&lt;&gt;"",$F$5=TRUE),G41*(1-$E$5))</f>
        <v>41942.768077000081</v>
      </c>
      <c r="AE41" s="6"/>
      <c r="AF41" s="6"/>
    </row>
    <row r="42" spans="1:32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167341.81143540243</v>
      </c>
      <c r="D42" s="9">
        <f>IF(A42="","",IFERROR(INDEX('Discount Rates'!$C:$C,MATCH(TEXT(B42,"0"),'Discount Rates'!$A:$A,0))/100,0))</f>
        <v>4.4219999999999995E-2</v>
      </c>
      <c r="E42" s="6">
        <f t="shared" si="1"/>
        <v>54326.569665980911</v>
      </c>
      <c r="F42" s="19">
        <f t="shared" si="4"/>
        <v>1</v>
      </c>
      <c r="G42" s="6">
        <f t="shared" si="3"/>
        <v>54326.569665980911</v>
      </c>
      <c r="H42" s="6" cm="1">
        <f t="array" ref="H42">_xlfn.IFS(A42="","",AND(A42&lt;&gt;"",$F$5=TRUE),G42*(1-$E$5))</f>
        <v>40744.927249485685</v>
      </c>
      <c r="AE42" s="6"/>
      <c r="AF42" s="6"/>
    </row>
    <row r="43" spans="1:32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170688.64766411044</v>
      </c>
      <c r="D43" s="9">
        <f>IF(A43="","",IFERROR(INDEX('Discount Rates'!$C:$C,MATCH(TEXT(B43,"0"),'Discount Rates'!$A:$A,0))/100,0))</f>
        <v>4.4359999999999997E-2</v>
      </c>
      <c r="E43" s="6">
        <f t="shared" si="1"/>
        <v>52874.763661005454</v>
      </c>
      <c r="F43" s="19">
        <f t="shared" si="4"/>
        <v>1</v>
      </c>
      <c r="G43" s="6">
        <f t="shared" si="3"/>
        <v>52874.763661005454</v>
      </c>
      <c r="H43" s="6" cm="1">
        <f t="array" ref="H43">_xlfn.IFS(A43="","",AND(A43&lt;&gt;"",$F$5=TRUE),G43*(1-$E$5))</f>
        <v>39656.072745754092</v>
      </c>
      <c r="AE43" s="6"/>
      <c r="AF43" s="6"/>
    </row>
    <row r="44" spans="1:32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174102.42061739269</v>
      </c>
      <c r="D44" s="9">
        <f>IF(A44="","",IFERROR(INDEX('Discount Rates'!$C:$C,MATCH(TEXT(B44,"0"),'Discount Rates'!$A:$A,0))/100,0))</f>
        <v>4.4600000000000001E-2</v>
      </c>
      <c r="E44" s="6">
        <f t="shared" si="1"/>
        <v>51310.259052813519</v>
      </c>
      <c r="F44" s="19">
        <f t="shared" si="4"/>
        <v>1</v>
      </c>
      <c r="G44" s="6">
        <f t="shared" si="3"/>
        <v>51310.259052813519</v>
      </c>
      <c r="H44" s="6" cm="1">
        <f t="array" ref="H44">_xlfn.IFS(A44="","",AND(A44&lt;&gt;"",$F$5=TRUE),G44*(1-$E$5))</f>
        <v>38482.694289610139</v>
      </c>
      <c r="AE44" s="6"/>
      <c r="AF44" s="6"/>
    </row>
    <row r="45" spans="1:32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177584.46902974052</v>
      </c>
      <c r="D45" s="9">
        <f>IF(A45="","",IFERROR(INDEX('Discount Rates'!$C:$C,MATCH(TEXT(B45,"0"),'Discount Rates'!$A:$A,0))/100,0))</f>
        <v>4.4660000000000005E-2</v>
      </c>
      <c r="E45" s="6">
        <f t="shared" si="1"/>
        <v>50018.535286761326</v>
      </c>
      <c r="F45" s="19">
        <f t="shared" si="4"/>
        <v>1</v>
      </c>
      <c r="G45" s="6">
        <f t="shared" si="3"/>
        <v>50018.535286761326</v>
      </c>
      <c r="H45" s="6" cm="1">
        <f t="array" ref="H45">_xlfn.IFS(A45="","",AND(A45&lt;&gt;"",$F$5=TRUE),G45*(1-$E$5))</f>
        <v>37513.901465070994</v>
      </c>
      <c r="AE45" s="6"/>
      <c r="AF45" s="6"/>
    </row>
    <row r="46" spans="1:32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181136.15841033534</v>
      </c>
      <c r="D46" s="9">
        <f>IF(A46="","",IFERROR(INDEX('Discount Rates'!$C:$C,MATCH(TEXT(B46,"0"),'Discount Rates'!$A:$A,0))/100,0))</f>
        <v>4.4859999999999997E-2</v>
      </c>
      <c r="E46" s="6">
        <f t="shared" si="1"/>
        <v>48558.140363573213</v>
      </c>
      <c r="F46" s="19">
        <f t="shared" si="4"/>
        <v>1</v>
      </c>
      <c r="G46" s="6">
        <f t="shared" si="3"/>
        <v>48558.140363573213</v>
      </c>
      <c r="H46" s="6" cm="1">
        <f t="array" ref="H46">_xlfn.IFS(A46="","",AND(A46&lt;&gt;"",$F$5=TRUE),G46*(1-$E$5))</f>
        <v>36418.60527267991</v>
      </c>
      <c r="AE46" s="6"/>
      <c r="AF46" s="6"/>
    </row>
    <row r="47" spans="1:32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184758.881578542</v>
      </c>
      <c r="D47" s="9">
        <f>IF(A47="","",IFERROR(INDEX('Discount Rates'!$C:$C,MATCH(TEXT(B47,"0"),'Discount Rates'!$A:$A,0))/100,0))</f>
        <v>0</v>
      </c>
      <c r="E47" s="6">
        <f t="shared" si="1"/>
        <v>184758.881578542</v>
      </c>
      <c r="F47" s="19">
        <f t="shared" si="4"/>
        <v>1</v>
      </c>
      <c r="G47" s="6">
        <f t="shared" si="3"/>
        <v>184758.881578542</v>
      </c>
      <c r="H47" s="6" cm="1">
        <f t="array" ref="H47">_xlfn.IFS(A47="","",AND(A47&lt;&gt;"",$F$5=TRUE),G47*(1-$E$5))</f>
        <v>138569.16118390649</v>
      </c>
      <c r="AE47" s="6"/>
      <c r="AF47" s="6"/>
    </row>
    <row r="48" spans="1:32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188454.0592101129</v>
      </c>
      <c r="D48" s="9">
        <f>IF(A48="","",IFERROR(INDEX('Discount Rates'!$C:$C,MATCH(TEXT(B48,"0"),'Discount Rates'!$A:$A,0))/100,0))</f>
        <v>0</v>
      </c>
      <c r="E48" s="6">
        <f t="shared" si="1"/>
        <v>188454.0592101129</v>
      </c>
      <c r="F48" s="19">
        <f t="shared" si="4"/>
        <v>1</v>
      </c>
      <c r="G48" s="6">
        <f t="shared" si="3"/>
        <v>188454.0592101129</v>
      </c>
      <c r="H48" s="6" cm="1">
        <f t="array" ref="H48">_xlfn.IFS(A48="","",AND(A48&lt;&gt;"",$F$5=TRUE),G48*(1-$E$5))</f>
        <v>141340.54440758468</v>
      </c>
      <c r="AE48" s="6"/>
      <c r="AF48" s="6"/>
    </row>
    <row r="49" spans="1:32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192223.14039431515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192223.14039431515</v>
      </c>
      <c r="F49" s="19">
        <f t="shared" ref="F49:F66" si="7">IF(A49="","",IF(A49&lt;=$E$4,1,IF(A49=$E$4+1,$B$5,0)))</f>
        <v>1</v>
      </c>
      <c r="G49" s="6">
        <f t="shared" ref="G49:G66" si="8">IF(A49="","",E49*F49)</f>
        <v>192223.14039431515</v>
      </c>
      <c r="H49" s="6" cm="1">
        <f t="array" ref="H49">_xlfn.IFS(A49="","",AND(A49&lt;&gt;"",$F$5=TRUE),G49*(1-$E$5))</f>
        <v>144167.35529573637</v>
      </c>
      <c r="AE49" s="6"/>
      <c r="AF49" s="6"/>
    </row>
    <row r="50" spans="1:32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196067.60320220146</v>
      </c>
      <c r="D50" s="9">
        <f>IF(A50="","",IFERROR(INDEX('Discount Rates'!$C:$C,MATCH(TEXT(B50,"0"),'Discount Rates'!$A:$A,0))/100,0))</f>
        <v>0</v>
      </c>
      <c r="E50" s="6">
        <f t="shared" si="6"/>
        <v>196067.60320220146</v>
      </c>
      <c r="F50" s="19">
        <f t="shared" si="7"/>
        <v>1</v>
      </c>
      <c r="G50" s="6">
        <f t="shared" si="8"/>
        <v>196067.60320220146</v>
      </c>
      <c r="H50" s="6" cm="1">
        <f t="array" ref="H50">_xlfn.IFS(A50="","",AND(A50&lt;&gt;"",$F$5=TRUE),G50*(1-$E$5))</f>
        <v>147050.7024016511</v>
      </c>
      <c r="AE50" s="6"/>
      <c r="AF50" s="6"/>
    </row>
    <row r="51" spans="1:32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199988.95526624547</v>
      </c>
      <c r="D51" s="9">
        <f>IF(A51="","",IFERROR(INDEX('Discount Rates'!$C:$C,MATCH(TEXT(B51,"0"),'Discount Rates'!$A:$A,0))/100,0))</f>
        <v>0</v>
      </c>
      <c r="E51" s="6">
        <f t="shared" si="6"/>
        <v>199988.95526624547</v>
      </c>
      <c r="F51" s="19">
        <f t="shared" si="7"/>
        <v>1</v>
      </c>
      <c r="G51" s="6">
        <f t="shared" si="8"/>
        <v>199988.95526624547</v>
      </c>
      <c r="H51" s="6" cm="1">
        <f t="array" ref="H51">_xlfn.IFS(A51="","",AND(A51&lt;&gt;"",$F$5=TRUE),G51*(1-$E$5))</f>
        <v>149991.71644968411</v>
      </c>
      <c r="AE51" s="6"/>
      <c r="AF51" s="6"/>
    </row>
    <row r="52" spans="1:32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203988.73437157038</v>
      </c>
      <c r="D52" s="9">
        <f>IF(A52="","",IFERROR(INDEX('Discount Rates'!$C:$C,MATCH(TEXT(B52,"0"),'Discount Rates'!$A:$A,0))/100,0))</f>
        <v>0</v>
      </c>
      <c r="E52" s="6">
        <f t="shared" si="6"/>
        <v>203988.73437157038</v>
      </c>
      <c r="F52" s="19">
        <f t="shared" si="7"/>
        <v>0.18999999999999773</v>
      </c>
      <c r="G52" s="6">
        <f t="shared" si="8"/>
        <v>38757.859530597911</v>
      </c>
      <c r="H52" s="6" cm="1">
        <f t="array" ref="H52">_xlfn.IFS(A52="","",AND(A52&lt;&gt;"",$F$5=TRUE),G52*(1-$E$5))</f>
        <v>29068.394647948433</v>
      </c>
      <c r="AE52" s="6"/>
      <c r="AF52" s="6"/>
    </row>
    <row r="53" spans="1:32" x14ac:dyDescent="0.2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2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2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2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2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2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2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2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2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2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2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2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2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2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2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2">
      <c r="A68" s="18" t="s">
        <v>104</v>
      </c>
      <c r="E68" s="22">
        <f>SUM(E17:E66)</f>
        <v>3455154.0524863233</v>
      </c>
      <c r="F68" s="22"/>
      <c r="G68" s="22">
        <f>SUM(G17:G66)</f>
        <v>3289923.1776453508</v>
      </c>
      <c r="H68" s="23">
        <f>SUM(H17:H67)</f>
        <v>2467442.3832340129</v>
      </c>
      <c r="AE68" s="2"/>
      <c r="AF68" s="2"/>
    </row>
    <row r="69" spans="1:32" x14ac:dyDescent="0.2">
      <c r="AE69" s="2"/>
      <c r="AF69" s="2"/>
    </row>
    <row r="70" spans="1:32" x14ac:dyDescent="0.2">
      <c r="A70" s="21" t="s">
        <v>116</v>
      </c>
      <c r="B70" s="27"/>
      <c r="C70" s="27"/>
      <c r="D70" s="27"/>
      <c r="E70" s="27"/>
      <c r="F70" s="27"/>
      <c r="G70" s="22">
        <f>G14+G68</f>
        <v>3596723.1776453508</v>
      </c>
      <c r="H70" s="23">
        <f>H14+H68</f>
        <v>2697542.3832340129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honeticPr fontId="0" type="noConversion"/>
  <pageMargins left="0.75" right="0.75" top="1" bottom="1" header="0.5" footer="0.5"/>
  <pageSetup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8C618-288B-4C3D-8542-A895435817E9}">
  <sheetPr codeName="Sheet4">
    <tabColor rgb="FF70AD47"/>
  </sheetPr>
  <dimension ref="A1:AJ78"/>
  <sheetViews>
    <sheetView workbookViewId="0">
      <selection activeCell="F5" sqref="F5"/>
    </sheetView>
  </sheetViews>
  <sheetFormatPr defaultColWidth="8.85546875" defaultRowHeight="12.75" x14ac:dyDescent="0.2"/>
  <cols>
    <col min="1" max="1" width="18.85546875" customWidth="1"/>
    <col min="2" max="2" width="16" customWidth="1"/>
    <col min="3" max="3" width="10.85546875" customWidth="1"/>
    <col min="4" max="4" width="15.28515625" bestFit="1" customWidth="1"/>
    <col min="5" max="5" width="13" customWidth="1"/>
    <col min="6" max="6" width="14.28515625" bestFit="1" customWidth="1"/>
    <col min="7" max="7" width="13.28515625" customWidth="1"/>
    <col min="8" max="8" width="11.140625" bestFit="1" customWidth="1"/>
    <col min="11" max="11" width="11.140625" customWidth="1"/>
  </cols>
  <sheetData>
    <row r="1" spans="1:36" ht="30" customHeight="1" x14ac:dyDescent="0.25">
      <c r="A1" s="156" t="s">
        <v>141</v>
      </c>
      <c r="B1" s="156"/>
      <c r="C1" s="156"/>
      <c r="D1" s="156"/>
      <c r="E1" s="156"/>
      <c r="F1" s="156"/>
      <c r="G1" s="156"/>
      <c r="AE1" s="3"/>
      <c r="AF1" s="5"/>
      <c r="AG1" s="5"/>
      <c r="AH1" s="1"/>
    </row>
    <row r="2" spans="1:36" x14ac:dyDescent="0.2">
      <c r="AE2" s="1"/>
      <c r="AF2" s="1"/>
      <c r="AG2" s="1"/>
      <c r="AI2" s="7"/>
      <c r="AJ2" s="9"/>
    </row>
    <row r="3" spans="1:36" x14ac:dyDescent="0.2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2">
      <c r="A4" t="s">
        <v>109</v>
      </c>
      <c r="B4" s="140">
        <f>'Case Inputs'!B21</f>
        <v>55</v>
      </c>
      <c r="D4" t="s">
        <v>100</v>
      </c>
      <c r="E4" s="20">
        <f>'Case Inputs'!B22</f>
        <v>55</v>
      </c>
      <c r="AE4" s="2"/>
      <c r="AF4" s="2"/>
      <c r="AG4" s="2"/>
    </row>
    <row r="5" spans="1:36" x14ac:dyDescent="0.2">
      <c r="A5" t="s">
        <v>101</v>
      </c>
      <c r="B5" s="140">
        <f>'Case Inputs'!B23</f>
        <v>0</v>
      </c>
      <c r="D5" t="s">
        <v>149</v>
      </c>
      <c r="E5" s="37">
        <v>0.25</v>
      </c>
      <c r="F5" t="b">
        <v>1</v>
      </c>
      <c r="G5" s="30" t="s">
        <v>151</v>
      </c>
      <c r="AE5" s="6"/>
      <c r="AF5" s="6"/>
    </row>
    <row r="6" spans="1:36" x14ac:dyDescent="0.2">
      <c r="AE6" s="6"/>
      <c r="AF6" s="6"/>
    </row>
    <row r="7" spans="1:36" x14ac:dyDescent="0.2">
      <c r="A7" s="163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6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6" x14ac:dyDescent="0.2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2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2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2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2">
      <c r="D13" s="28"/>
      <c r="AE13" s="6"/>
      <c r="AF13" s="6"/>
    </row>
    <row r="14" spans="1:36" x14ac:dyDescent="0.2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2">
      <c r="AE15" s="6"/>
      <c r="AF15" s="6"/>
    </row>
    <row r="16" spans="1:36" x14ac:dyDescent="0.2">
      <c r="A16" s="164" t="s">
        <v>117</v>
      </c>
      <c r="B16" s="164"/>
      <c r="C16" s="164"/>
      <c r="D16" s="164"/>
      <c r="E16" s="164"/>
      <c r="F16" s="164"/>
      <c r="G16" s="164"/>
      <c r="AE16" s="6"/>
      <c r="AF16" s="6"/>
    </row>
    <row r="17" spans="1:32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2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  <c r="AE53" s="6"/>
      <c r="AF53" s="6"/>
    </row>
    <row r="54" spans="1:32" x14ac:dyDescent="0.2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  <c r="AE54" s="6"/>
      <c r="AF54" s="6"/>
    </row>
    <row r="55" spans="1:32" x14ac:dyDescent="0.2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  <c r="AE55" s="6"/>
      <c r="AF55" s="6"/>
    </row>
    <row r="56" spans="1:32" x14ac:dyDescent="0.2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  <c r="AE56" s="6"/>
      <c r="AF56" s="6"/>
    </row>
    <row r="57" spans="1:32" x14ac:dyDescent="0.2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  <c r="AE57" s="6"/>
      <c r="AF57" s="6"/>
    </row>
    <row r="58" spans="1:32" x14ac:dyDescent="0.2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  <c r="AE58" s="6"/>
      <c r="AF58" s="6"/>
    </row>
    <row r="59" spans="1:32" x14ac:dyDescent="0.2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  <c r="AE59" s="6"/>
      <c r="AF59" s="6"/>
    </row>
    <row r="60" spans="1:32" x14ac:dyDescent="0.2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  <c r="AE60" s="6"/>
      <c r="AF60" s="6"/>
    </row>
    <row r="61" spans="1:32" x14ac:dyDescent="0.2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  <c r="AE61" s="6"/>
      <c r="AF61" s="6"/>
    </row>
    <row r="62" spans="1:32" x14ac:dyDescent="0.2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  <c r="AE62" s="6"/>
      <c r="AF62" s="6"/>
    </row>
    <row r="63" spans="1:32" x14ac:dyDescent="0.2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  <c r="AE63" s="6"/>
      <c r="AF63" s="6"/>
    </row>
    <row r="64" spans="1:32" x14ac:dyDescent="0.2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  <c r="AE64" s="6"/>
      <c r="AF64" s="6"/>
    </row>
    <row r="65" spans="1:32" x14ac:dyDescent="0.2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  <c r="AE65" s="6"/>
      <c r="AF65" s="6"/>
    </row>
    <row r="66" spans="1:32" x14ac:dyDescent="0.2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  <c r="AE66" s="6"/>
      <c r="AF66" s="6"/>
    </row>
    <row r="67" spans="1:32" x14ac:dyDescent="0.2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2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2">
      <c r="AE69" s="2"/>
      <c r="AF69" s="2"/>
    </row>
    <row r="70" spans="1:32" x14ac:dyDescent="0.2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2C8DC-AAAD-4807-8282-CF5B6F44558B}">
  <sheetPr codeName="Sheet5">
    <tabColor rgb="FF4472C4"/>
  </sheetPr>
  <dimension ref="A1:AJ78"/>
  <sheetViews>
    <sheetView workbookViewId="0">
      <selection activeCell="B5" sqref="B5"/>
    </sheetView>
  </sheetViews>
  <sheetFormatPr defaultColWidth="8.85546875" defaultRowHeight="12.75" x14ac:dyDescent="0.2"/>
  <cols>
    <col min="1" max="1" width="14.140625" customWidth="1"/>
    <col min="2" max="2" width="16" customWidth="1"/>
    <col min="3" max="3" width="21.28515625" customWidth="1"/>
    <col min="4" max="4" width="17.85546875" customWidth="1"/>
    <col min="5" max="5" width="21.28515625" customWidth="1"/>
    <col min="6" max="6" width="19.42578125" customWidth="1"/>
    <col min="7" max="7" width="23.140625" customWidth="1"/>
    <col min="8" max="8" width="11.140625" bestFit="1" customWidth="1"/>
    <col min="11" max="11" width="11.140625" customWidth="1"/>
  </cols>
  <sheetData>
    <row r="1" spans="1:36" ht="30" customHeight="1" x14ac:dyDescent="0.25">
      <c r="A1" s="156" t="s">
        <v>127</v>
      </c>
      <c r="B1" s="156"/>
      <c r="C1" s="156"/>
      <c r="D1" s="156"/>
      <c r="E1" s="156"/>
      <c r="F1" s="156"/>
      <c r="G1" s="156"/>
      <c r="AE1" s="3"/>
      <c r="AF1" s="5"/>
      <c r="AG1" s="5"/>
      <c r="AH1" s="1"/>
    </row>
    <row r="2" spans="1:36" x14ac:dyDescent="0.2">
      <c r="AE2" s="1"/>
      <c r="AF2" s="1"/>
      <c r="AG2" s="1"/>
      <c r="AI2" s="7"/>
      <c r="AJ2" s="9"/>
    </row>
    <row r="3" spans="1:36" x14ac:dyDescent="0.2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2">
      <c r="A4" t="s">
        <v>93</v>
      </c>
      <c r="B4" s="140">
        <f>'Case Inputs'!B18</f>
        <v>35.19</v>
      </c>
      <c r="D4" t="s">
        <v>100</v>
      </c>
      <c r="E4" s="20">
        <f>'Case Inputs'!B19</f>
        <v>35</v>
      </c>
      <c r="AE4" s="2"/>
      <c r="AF4" s="2"/>
      <c r="AG4" s="2"/>
    </row>
    <row r="5" spans="1:36" x14ac:dyDescent="0.2">
      <c r="A5" t="s">
        <v>101</v>
      </c>
      <c r="B5" s="140">
        <f>'Case Inputs'!B20</f>
        <v>0.18999999999999773</v>
      </c>
      <c r="D5" t="s">
        <v>149</v>
      </c>
      <c r="E5" s="37">
        <v>0.25</v>
      </c>
      <c r="F5" t="b">
        <v>1</v>
      </c>
      <c r="G5" s="30" t="s">
        <v>151</v>
      </c>
      <c r="AE5" s="6"/>
      <c r="AF5" s="6"/>
    </row>
    <row r="6" spans="1:36" x14ac:dyDescent="0.2">
      <c r="AE6" s="6"/>
      <c r="AF6" s="6"/>
    </row>
    <row r="7" spans="1:36" x14ac:dyDescent="0.2">
      <c r="A7" s="163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6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6" x14ac:dyDescent="0.2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2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2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2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2">
      <c r="D13" s="28"/>
      <c r="AE13" s="6"/>
      <c r="AF13" s="6"/>
    </row>
    <row r="14" spans="1:36" x14ac:dyDescent="0.2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2">
      <c r="AE15" s="6"/>
      <c r="AF15" s="6"/>
    </row>
    <row r="16" spans="1:36" x14ac:dyDescent="0.2">
      <c r="A16" s="164" t="s">
        <v>115</v>
      </c>
      <c r="B16" s="164"/>
      <c r="C16" s="164"/>
      <c r="D16" s="164"/>
      <c r="E16" s="164"/>
      <c r="F16" s="164"/>
      <c r="G16" s="164"/>
      <c r="AE16" s="6"/>
      <c r="AF16" s="6"/>
    </row>
    <row r="17" spans="1:32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0.18999999999999773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2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2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2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2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2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2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2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2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2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2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2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2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2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2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2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2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2">
      <c r="AE69" s="2"/>
      <c r="AF69" s="2"/>
    </row>
    <row r="70" spans="1:32" x14ac:dyDescent="0.2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128-0E71-4D94-900F-3B2DC6A0D3F8}">
  <sheetPr codeName="Sheet6">
    <tabColor rgb="FF4472C4"/>
  </sheetPr>
  <dimension ref="A1:AJ78"/>
  <sheetViews>
    <sheetView workbookViewId="0">
      <selection activeCell="B4" sqref="B4:B5"/>
    </sheetView>
  </sheetViews>
  <sheetFormatPr defaultColWidth="8.85546875" defaultRowHeight="12.75" x14ac:dyDescent="0.2"/>
  <cols>
    <col min="2" max="2" width="16" customWidth="1"/>
    <col min="3" max="3" width="21.28515625" customWidth="1"/>
    <col min="4" max="4" width="17.85546875" customWidth="1"/>
    <col min="5" max="5" width="21.28515625" customWidth="1"/>
    <col min="6" max="6" width="19.42578125" customWidth="1"/>
    <col min="7" max="7" width="23.140625" customWidth="1"/>
    <col min="8" max="8" width="11.140625" bestFit="1" customWidth="1"/>
    <col min="11" max="11" width="11.140625" customWidth="1"/>
  </cols>
  <sheetData>
    <row r="1" spans="1:36" ht="30" customHeight="1" x14ac:dyDescent="0.25">
      <c r="A1" s="156" t="s">
        <v>128</v>
      </c>
      <c r="B1" s="156"/>
      <c r="C1" s="156"/>
      <c r="D1" s="156"/>
      <c r="E1" s="156"/>
      <c r="F1" s="156"/>
      <c r="G1" s="156"/>
      <c r="AE1" s="3"/>
      <c r="AF1" s="5"/>
      <c r="AG1" s="5"/>
      <c r="AH1" s="1"/>
    </row>
    <row r="2" spans="1:36" x14ac:dyDescent="0.2">
      <c r="AE2" s="1"/>
      <c r="AF2" s="1"/>
      <c r="AG2" s="1"/>
      <c r="AI2" s="7"/>
      <c r="AJ2" s="9"/>
    </row>
    <row r="3" spans="1:36" x14ac:dyDescent="0.2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2">
      <c r="A4" t="s">
        <v>109</v>
      </c>
      <c r="B4" s="140">
        <f>'Case Inputs'!B21</f>
        <v>55</v>
      </c>
      <c r="D4" t="s">
        <v>100</v>
      </c>
      <c r="E4" s="20">
        <f>'Case Inputs'!B22</f>
        <v>55</v>
      </c>
      <c r="AE4" s="2"/>
      <c r="AF4" s="2"/>
      <c r="AG4" s="2"/>
    </row>
    <row r="5" spans="1:36" x14ac:dyDescent="0.2">
      <c r="A5" t="s">
        <v>101</v>
      </c>
      <c r="B5" s="140">
        <f>'Case Inputs'!B23</f>
        <v>0</v>
      </c>
      <c r="D5" t="s">
        <v>149</v>
      </c>
      <c r="E5" s="37">
        <v>0.25</v>
      </c>
      <c r="F5" t="b">
        <v>1</v>
      </c>
      <c r="G5" s="30" t="s">
        <v>151</v>
      </c>
      <c r="AE5" s="6"/>
      <c r="AF5" s="6"/>
    </row>
    <row r="6" spans="1:36" x14ac:dyDescent="0.2">
      <c r="AE6" s="6"/>
      <c r="AF6" s="6"/>
    </row>
    <row r="7" spans="1:36" x14ac:dyDescent="0.2">
      <c r="A7" s="163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6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6" x14ac:dyDescent="0.2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2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2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2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2">
      <c r="D13" s="28"/>
      <c r="AE13" s="6"/>
      <c r="AF13" s="6"/>
    </row>
    <row r="14" spans="1:36" x14ac:dyDescent="0.2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2">
      <c r="AE15" s="6"/>
      <c r="AF15" s="6"/>
    </row>
    <row r="16" spans="1:36" x14ac:dyDescent="0.2">
      <c r="A16" s="165" t="s">
        <v>147</v>
      </c>
      <c r="B16" s="164"/>
      <c r="C16" s="164"/>
      <c r="D16" s="164"/>
      <c r="E16" s="164"/>
      <c r="F16" s="164"/>
      <c r="G16" s="164"/>
      <c r="AE16" s="6"/>
      <c r="AF16" s="6"/>
    </row>
    <row r="17" spans="1:32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2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  <c r="AE53" s="6"/>
      <c r="AF53" s="6"/>
    </row>
    <row r="54" spans="1:32" x14ac:dyDescent="0.2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  <c r="AE54" s="6"/>
      <c r="AF54" s="6"/>
    </row>
    <row r="55" spans="1:32" x14ac:dyDescent="0.2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  <c r="AE55" s="6"/>
      <c r="AF55" s="6"/>
    </row>
    <row r="56" spans="1:32" x14ac:dyDescent="0.2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  <c r="AE56" s="6"/>
      <c r="AF56" s="6"/>
    </row>
    <row r="57" spans="1:32" x14ac:dyDescent="0.2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  <c r="AE57" s="6"/>
      <c r="AF57" s="6"/>
    </row>
    <row r="58" spans="1:32" x14ac:dyDescent="0.2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  <c r="AE58" s="6"/>
      <c r="AF58" s="6"/>
    </row>
    <row r="59" spans="1:32" x14ac:dyDescent="0.2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  <c r="AE59" s="6"/>
      <c r="AF59" s="6"/>
    </row>
    <row r="60" spans="1:32" x14ac:dyDescent="0.2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  <c r="AE60" s="6"/>
      <c r="AF60" s="6"/>
    </row>
    <row r="61" spans="1:32" x14ac:dyDescent="0.2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  <c r="AE61" s="6"/>
      <c r="AF61" s="6"/>
    </row>
    <row r="62" spans="1:32" x14ac:dyDescent="0.2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  <c r="AE62" s="6"/>
      <c r="AF62" s="6"/>
    </row>
    <row r="63" spans="1:32" x14ac:dyDescent="0.2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  <c r="AE63" s="6"/>
      <c r="AF63" s="6"/>
    </row>
    <row r="64" spans="1:32" x14ac:dyDescent="0.2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  <c r="AE64" s="6"/>
      <c r="AF64" s="6"/>
    </row>
    <row r="65" spans="1:32" x14ac:dyDescent="0.2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  <c r="AE65" s="6"/>
      <c r="AF65" s="6"/>
    </row>
    <row r="66" spans="1:32" x14ac:dyDescent="0.2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  <c r="AE66" s="6"/>
      <c r="AF66" s="6"/>
    </row>
    <row r="67" spans="1:32" x14ac:dyDescent="0.2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2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2">
      <c r="AE69" s="2"/>
      <c r="AF69" s="2"/>
    </row>
    <row r="70" spans="1:32" x14ac:dyDescent="0.2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BF030-A350-451A-8A4A-19BD843F0232}">
  <sheetPr codeName="Sheet7">
    <tabColor rgb="FFED7D31"/>
  </sheetPr>
  <dimension ref="A1:AJ78"/>
  <sheetViews>
    <sheetView workbookViewId="0">
      <selection activeCell="K39" sqref="K39"/>
    </sheetView>
  </sheetViews>
  <sheetFormatPr defaultColWidth="8.85546875" defaultRowHeight="12.75" x14ac:dyDescent="0.2"/>
  <cols>
    <col min="2" max="2" width="16" customWidth="1"/>
    <col min="3" max="3" width="21.28515625" customWidth="1"/>
    <col min="4" max="4" width="17.85546875" customWidth="1"/>
    <col min="5" max="5" width="21.28515625" customWidth="1"/>
    <col min="6" max="6" width="19.42578125" customWidth="1"/>
    <col min="7" max="7" width="23.140625" customWidth="1"/>
    <col min="8" max="8" width="11.140625" bestFit="1" customWidth="1"/>
    <col min="11" max="11" width="11.140625" customWidth="1"/>
  </cols>
  <sheetData>
    <row r="1" spans="1:36" ht="30" customHeight="1" x14ac:dyDescent="0.25">
      <c r="A1" s="156" t="s">
        <v>129</v>
      </c>
      <c r="B1" s="156"/>
      <c r="C1" s="156"/>
      <c r="D1" s="156"/>
      <c r="E1" s="156"/>
      <c r="F1" s="156"/>
      <c r="G1" s="156"/>
      <c r="AE1" s="3"/>
      <c r="AF1" s="5"/>
      <c r="AG1" s="5"/>
      <c r="AH1" s="1"/>
    </row>
    <row r="2" spans="1:36" x14ac:dyDescent="0.2">
      <c r="AE2" s="1"/>
      <c r="AF2" s="1"/>
      <c r="AG2" s="1"/>
      <c r="AI2" s="7"/>
      <c r="AJ2" s="9"/>
    </row>
    <row r="3" spans="1:36" x14ac:dyDescent="0.2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2">
      <c r="A4" t="s">
        <v>93</v>
      </c>
      <c r="B4" s="140">
        <f>'Case Inputs'!B18</f>
        <v>35.19</v>
      </c>
      <c r="D4" t="s">
        <v>100</v>
      </c>
      <c r="E4" s="20">
        <f>'Case Inputs'!B19</f>
        <v>35</v>
      </c>
      <c r="AE4" s="2"/>
      <c r="AF4" s="2"/>
      <c r="AG4" s="2"/>
    </row>
    <row r="5" spans="1:36" x14ac:dyDescent="0.2">
      <c r="A5" t="s">
        <v>101</v>
      </c>
      <c r="B5" s="140">
        <f>'Case Inputs'!B20</f>
        <v>0.18999999999999773</v>
      </c>
      <c r="D5" t="s">
        <v>149</v>
      </c>
      <c r="E5" s="37">
        <v>0.25</v>
      </c>
      <c r="F5" t="b">
        <v>1</v>
      </c>
      <c r="G5" s="30" t="s">
        <v>151</v>
      </c>
      <c r="AE5" s="6"/>
      <c r="AF5" s="6"/>
    </row>
    <row r="6" spans="1:36" x14ac:dyDescent="0.2">
      <c r="AE6" s="6"/>
      <c r="AF6" s="6"/>
    </row>
    <row r="7" spans="1:36" x14ac:dyDescent="0.2">
      <c r="A7" s="163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6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6" x14ac:dyDescent="0.2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2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2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2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2">
      <c r="D13" s="28"/>
      <c r="AE13" s="6"/>
      <c r="AF13" s="6"/>
    </row>
    <row r="14" spans="1:36" x14ac:dyDescent="0.2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2">
      <c r="AE15" s="6"/>
      <c r="AF15" s="6"/>
    </row>
    <row r="16" spans="1:36" x14ac:dyDescent="0.2">
      <c r="A16" s="164" t="s">
        <v>115</v>
      </c>
      <c r="B16" s="164"/>
      <c r="C16" s="164"/>
      <c r="D16" s="164"/>
      <c r="E16" s="164"/>
      <c r="F16" s="164"/>
      <c r="G16" s="164"/>
      <c r="AE16" s="6"/>
      <c r="AF16" s="6"/>
    </row>
    <row r="17" spans="1:32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0.18999999999999773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2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2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2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2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2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2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2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2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2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2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2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2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2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2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2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2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2">
      <c r="AE69" s="2"/>
      <c r="AF69" s="2"/>
    </row>
    <row r="70" spans="1:32" x14ac:dyDescent="0.2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4BB08-9652-4A2C-B6D8-632E8A1C494F}">
  <sheetPr codeName="Sheet8">
    <tabColor rgb="FFED7D31"/>
  </sheetPr>
  <dimension ref="A1:AJ78"/>
  <sheetViews>
    <sheetView workbookViewId="0">
      <selection activeCell="K21" sqref="K21"/>
    </sheetView>
  </sheetViews>
  <sheetFormatPr defaultColWidth="8.85546875" defaultRowHeight="12.75" x14ac:dyDescent="0.2"/>
  <cols>
    <col min="2" max="2" width="16" customWidth="1"/>
    <col min="3" max="3" width="21.28515625" customWidth="1"/>
    <col min="4" max="4" width="17.85546875" customWidth="1"/>
    <col min="5" max="5" width="21.28515625" customWidth="1"/>
    <col min="6" max="6" width="19.42578125" customWidth="1"/>
    <col min="7" max="7" width="23.140625" customWidth="1"/>
    <col min="8" max="8" width="11.140625" bestFit="1" customWidth="1"/>
    <col min="11" max="11" width="11.140625" customWidth="1"/>
  </cols>
  <sheetData>
    <row r="1" spans="1:36" ht="30" customHeight="1" x14ac:dyDescent="0.25">
      <c r="A1" s="156" t="s">
        <v>130</v>
      </c>
      <c r="B1" s="156"/>
      <c r="C1" s="156"/>
      <c r="D1" s="156"/>
      <c r="E1" s="156"/>
      <c r="F1" s="156"/>
      <c r="G1" s="156"/>
      <c r="AE1" s="3"/>
      <c r="AF1" s="5"/>
      <c r="AG1" s="5"/>
      <c r="AH1" s="1"/>
    </row>
    <row r="2" spans="1:36" x14ac:dyDescent="0.2">
      <c r="AE2" s="1"/>
      <c r="AF2" s="1"/>
      <c r="AG2" s="1"/>
      <c r="AI2" s="7"/>
      <c r="AJ2" s="9"/>
    </row>
    <row r="3" spans="1:36" x14ac:dyDescent="0.2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2">
      <c r="A4" t="s">
        <v>109</v>
      </c>
      <c r="B4" s="19">
        <f>'Case Inputs'!B21</f>
        <v>55</v>
      </c>
      <c r="D4" t="s">
        <v>100</v>
      </c>
      <c r="E4" s="20">
        <f>'Case Inputs'!B22</f>
        <v>55</v>
      </c>
      <c r="AE4" s="2"/>
      <c r="AF4" s="2"/>
      <c r="AG4" s="2"/>
    </row>
    <row r="5" spans="1:36" x14ac:dyDescent="0.2">
      <c r="A5" t="s">
        <v>101</v>
      </c>
      <c r="B5" s="19">
        <f>'Case Inputs'!B23</f>
        <v>0</v>
      </c>
      <c r="D5" t="s">
        <v>149</v>
      </c>
      <c r="E5" s="37">
        <v>0.25</v>
      </c>
      <c r="F5" t="b">
        <v>1</v>
      </c>
      <c r="G5" s="30" t="s">
        <v>151</v>
      </c>
      <c r="AE5" s="6"/>
      <c r="AF5" s="6"/>
    </row>
    <row r="6" spans="1:36" x14ac:dyDescent="0.2">
      <c r="AE6" s="6"/>
      <c r="AF6" s="6"/>
    </row>
    <row r="7" spans="1:36" x14ac:dyDescent="0.2">
      <c r="A7" s="163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6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6" x14ac:dyDescent="0.2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2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2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2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2">
      <c r="D13" s="28"/>
      <c r="AE13" s="6"/>
      <c r="AF13" s="6"/>
    </row>
    <row r="14" spans="1:36" x14ac:dyDescent="0.2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2">
      <c r="AE15" s="6"/>
      <c r="AF15" s="6"/>
    </row>
    <row r="16" spans="1:36" x14ac:dyDescent="0.2">
      <c r="A16" s="164" t="s">
        <v>117</v>
      </c>
      <c r="B16" s="164"/>
      <c r="C16" s="164"/>
      <c r="D16" s="164"/>
      <c r="E16" s="164"/>
      <c r="F16" s="164"/>
      <c r="G16" s="164"/>
      <c r="AE16" s="6"/>
      <c r="AF16" s="6"/>
    </row>
    <row r="17" spans="1:32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2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  <c r="AE53" s="6"/>
      <c r="AF53" s="6"/>
    </row>
    <row r="54" spans="1:32" x14ac:dyDescent="0.2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  <c r="AE54" s="6"/>
      <c r="AF54" s="6"/>
    </row>
    <row r="55" spans="1:32" x14ac:dyDescent="0.2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  <c r="AE55" s="6"/>
      <c r="AF55" s="6"/>
    </row>
    <row r="56" spans="1:32" x14ac:dyDescent="0.2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  <c r="AE56" s="6"/>
      <c r="AF56" s="6"/>
    </row>
    <row r="57" spans="1:32" x14ac:dyDescent="0.2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  <c r="AE57" s="6"/>
      <c r="AF57" s="6"/>
    </row>
    <row r="58" spans="1:32" x14ac:dyDescent="0.2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  <c r="AE58" s="6"/>
      <c r="AF58" s="6"/>
    </row>
    <row r="59" spans="1:32" x14ac:dyDescent="0.2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  <c r="AE59" s="6"/>
      <c r="AF59" s="6"/>
    </row>
    <row r="60" spans="1:32" x14ac:dyDescent="0.2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  <c r="AE60" s="6"/>
      <c r="AF60" s="6"/>
    </row>
    <row r="61" spans="1:32" x14ac:dyDescent="0.2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  <c r="AE61" s="6"/>
      <c r="AF61" s="6"/>
    </row>
    <row r="62" spans="1:32" x14ac:dyDescent="0.2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  <c r="AE62" s="6"/>
      <c r="AF62" s="6"/>
    </row>
    <row r="63" spans="1:32" x14ac:dyDescent="0.2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  <c r="AE63" s="6"/>
      <c r="AF63" s="6"/>
    </row>
    <row r="64" spans="1:32" x14ac:dyDescent="0.2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  <c r="AE64" s="6"/>
      <c r="AF64" s="6"/>
    </row>
    <row r="65" spans="1:32" x14ac:dyDescent="0.2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  <c r="AE65" s="6"/>
      <c r="AF65" s="6"/>
    </row>
    <row r="66" spans="1:32" x14ac:dyDescent="0.2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  <c r="AE66" s="6"/>
      <c r="AF66" s="6"/>
    </row>
    <row r="67" spans="1:32" x14ac:dyDescent="0.2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2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2">
      <c r="AE69" s="2"/>
      <c r="AF69" s="2"/>
    </row>
    <row r="70" spans="1:32" x14ac:dyDescent="0.2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74CE8-0F34-4A7F-895B-FD5075848C35}">
  <sheetPr codeName="Sheet9">
    <tabColor rgb="FF9933FF"/>
  </sheetPr>
  <dimension ref="A1:AF70"/>
  <sheetViews>
    <sheetView workbookViewId="0">
      <selection activeCell="A2" sqref="A2"/>
    </sheetView>
  </sheetViews>
  <sheetFormatPr defaultColWidth="8.85546875" defaultRowHeight="12.75" x14ac:dyDescent="0.2"/>
  <cols>
    <col min="1" max="1" width="34.42578125" bestFit="1" customWidth="1"/>
    <col min="2" max="2" width="14.140625" bestFit="1" customWidth="1"/>
    <col min="3" max="3" width="12.42578125" bestFit="1" customWidth="1"/>
    <col min="4" max="4" width="16" bestFit="1" customWidth="1"/>
    <col min="5" max="5" width="13.28515625" bestFit="1" customWidth="1"/>
    <col min="6" max="6" width="15.140625" bestFit="1" customWidth="1"/>
    <col min="7" max="7" width="13.42578125" bestFit="1" customWidth="1"/>
    <col min="8" max="8" width="9.28515625" bestFit="1" customWidth="1"/>
  </cols>
  <sheetData>
    <row r="1" spans="1:32" ht="18" x14ac:dyDescent="0.25">
      <c r="A1" s="166" t="s">
        <v>382</v>
      </c>
      <c r="B1" s="155"/>
      <c r="C1" s="155"/>
      <c r="D1" s="155"/>
      <c r="E1" s="155"/>
      <c r="F1" s="155"/>
      <c r="G1" s="155"/>
    </row>
    <row r="3" spans="1:32" x14ac:dyDescent="0.2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2">
      <c r="A4" t="s">
        <v>93</v>
      </c>
      <c r="B4">
        <f>'Case Inputs'!B18</f>
        <v>35.19</v>
      </c>
      <c r="D4" t="s">
        <v>100</v>
      </c>
      <c r="E4">
        <f>'Case Inputs'!B19</f>
        <v>35</v>
      </c>
    </row>
    <row r="5" spans="1:32" x14ac:dyDescent="0.2">
      <c r="A5" t="s">
        <v>101</v>
      </c>
      <c r="B5">
        <f>'Case Inputs'!B20</f>
        <v>0.18999999999999773</v>
      </c>
      <c r="D5" t="s">
        <v>149</v>
      </c>
      <c r="E5" s="37">
        <v>0.25</v>
      </c>
      <c r="F5" t="b">
        <v>1</v>
      </c>
      <c r="G5" s="30" t="s">
        <v>151</v>
      </c>
    </row>
    <row r="7" spans="1:32" x14ac:dyDescent="0.2">
      <c r="A7" s="163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2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2" x14ac:dyDescent="0.2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2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2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2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2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2">
      <c r="A16" s="167" t="s">
        <v>115</v>
      </c>
      <c r="B16" s="167"/>
      <c r="C16" s="167"/>
      <c r="D16" s="167"/>
      <c r="E16" s="167"/>
      <c r="F16" s="167"/>
      <c r="G16" s="167"/>
    </row>
    <row r="17" spans="1:8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0.18999999999999773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2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</row>
    <row r="54" spans="1:8" x14ac:dyDescent="0.2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</row>
    <row r="55" spans="1:8" x14ac:dyDescent="0.2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</row>
    <row r="56" spans="1:8" x14ac:dyDescent="0.2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</row>
    <row r="57" spans="1:8" x14ac:dyDescent="0.2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</row>
    <row r="58" spans="1:8" x14ac:dyDescent="0.2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</row>
    <row r="59" spans="1:8" x14ac:dyDescent="0.2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</row>
    <row r="60" spans="1:8" x14ac:dyDescent="0.2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</row>
    <row r="61" spans="1:8" x14ac:dyDescent="0.2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</row>
    <row r="62" spans="1:8" x14ac:dyDescent="0.2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</row>
    <row r="63" spans="1:8" x14ac:dyDescent="0.2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</row>
    <row r="64" spans="1:8" x14ac:dyDescent="0.2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</row>
    <row r="65" spans="1:8" x14ac:dyDescent="0.2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</row>
    <row r="66" spans="1:8" x14ac:dyDescent="0.2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</row>
    <row r="67" spans="1:8" x14ac:dyDescent="0.2">
      <c r="H67" s="6" t="str" cm="1">
        <f t="array" ref="H67">_xlfn.IFS(A67="","",AND(A67&lt;&gt;"",$F$5=TRUE),G67*(1-$E$5))</f>
        <v/>
      </c>
    </row>
    <row r="68" spans="1:8" x14ac:dyDescent="0.2">
      <c r="A68" s="18" t="s">
        <v>104</v>
      </c>
      <c r="E68" s="23">
        <f>SUM(E17:E66)</f>
        <v>0</v>
      </c>
      <c r="G68" s="23">
        <f>SUM(G17:G66)</f>
        <v>0</v>
      </c>
      <c r="H68" s="23">
        <f>SUM(H17:H67)</f>
        <v>0</v>
      </c>
    </row>
    <row r="70" spans="1:8" x14ac:dyDescent="0.2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69F1-1E0D-46B8-9FB0-BCED903B8835}">
  <sheetPr codeName="Sheet10">
    <tabColor rgb="FF9933FF"/>
  </sheetPr>
  <dimension ref="A1:AF70"/>
  <sheetViews>
    <sheetView workbookViewId="0">
      <selection activeCell="A2" sqref="A2"/>
    </sheetView>
  </sheetViews>
  <sheetFormatPr defaultColWidth="8.85546875" defaultRowHeight="12.75" x14ac:dyDescent="0.2"/>
  <cols>
    <col min="1" max="1" width="34.42578125" bestFit="1" customWidth="1"/>
    <col min="2" max="2" width="13.140625" bestFit="1" customWidth="1"/>
    <col min="3" max="3" width="12.42578125" bestFit="1" customWidth="1"/>
    <col min="4" max="4" width="16" bestFit="1" customWidth="1"/>
    <col min="5" max="5" width="13.28515625" bestFit="1" customWidth="1"/>
    <col min="6" max="6" width="15.140625" bestFit="1" customWidth="1"/>
    <col min="7" max="7" width="13.42578125" bestFit="1" customWidth="1"/>
  </cols>
  <sheetData>
    <row r="1" spans="1:32" ht="18" x14ac:dyDescent="0.25">
      <c r="A1" s="166" t="s">
        <v>381</v>
      </c>
      <c r="B1" s="155"/>
      <c r="C1" s="155"/>
      <c r="D1" s="155"/>
      <c r="E1" s="155"/>
      <c r="F1" s="155"/>
      <c r="G1" s="155"/>
    </row>
    <row r="3" spans="1:32" x14ac:dyDescent="0.2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2">
      <c r="A4" t="s">
        <v>109</v>
      </c>
      <c r="B4">
        <f>'Case Inputs'!B21</f>
        <v>55</v>
      </c>
      <c r="D4" t="s">
        <v>100</v>
      </c>
      <c r="E4">
        <f>'Case Inputs'!B22</f>
        <v>55</v>
      </c>
    </row>
    <row r="5" spans="1:32" x14ac:dyDescent="0.2">
      <c r="A5" t="s">
        <v>101</v>
      </c>
      <c r="B5">
        <f>'Case Inputs'!B23</f>
        <v>0</v>
      </c>
      <c r="D5" t="s">
        <v>149</v>
      </c>
      <c r="E5" s="37">
        <v>0.25</v>
      </c>
      <c r="F5" t="b">
        <v>1</v>
      </c>
      <c r="G5" s="30" t="s">
        <v>151</v>
      </c>
    </row>
    <row r="7" spans="1:32" x14ac:dyDescent="0.2">
      <c r="A7" s="163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2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2" x14ac:dyDescent="0.2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2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2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2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2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2">
      <c r="A16" s="167" t="s">
        <v>146</v>
      </c>
      <c r="B16" s="167"/>
      <c r="C16" s="167"/>
      <c r="D16" s="167"/>
      <c r="E16" s="167"/>
      <c r="F16" s="167"/>
      <c r="G16" s="167"/>
    </row>
    <row r="17" spans="1:8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2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</row>
    <row r="54" spans="1:8" x14ac:dyDescent="0.2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</row>
    <row r="55" spans="1:8" x14ac:dyDescent="0.2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</row>
    <row r="56" spans="1:8" x14ac:dyDescent="0.2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</row>
    <row r="57" spans="1:8" x14ac:dyDescent="0.2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</row>
    <row r="58" spans="1:8" x14ac:dyDescent="0.2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</row>
    <row r="59" spans="1:8" x14ac:dyDescent="0.2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</row>
    <row r="60" spans="1:8" x14ac:dyDescent="0.2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</row>
    <row r="61" spans="1:8" x14ac:dyDescent="0.2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</row>
    <row r="62" spans="1:8" x14ac:dyDescent="0.2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</row>
    <row r="63" spans="1:8" x14ac:dyDescent="0.2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</row>
    <row r="64" spans="1:8" x14ac:dyDescent="0.2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</row>
    <row r="65" spans="1:8" x14ac:dyDescent="0.2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</row>
    <row r="66" spans="1:8" x14ac:dyDescent="0.2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</row>
    <row r="67" spans="1:8" x14ac:dyDescent="0.2">
      <c r="H67" s="6" t="str" cm="1">
        <f t="array" ref="H67">_xlfn.IFS(A67="","",AND(A67&lt;&gt;"",$F$5=TRUE),G67*(1-$E$5))</f>
        <v/>
      </c>
    </row>
    <row r="68" spans="1:8" x14ac:dyDescent="0.2">
      <c r="A68" s="18" t="s">
        <v>104</v>
      </c>
      <c r="E68" s="23">
        <f>SUM(E17:E66)</f>
        <v>0</v>
      </c>
      <c r="G68" s="23">
        <f>SUM(G17:G66)</f>
        <v>0</v>
      </c>
      <c r="H68" s="23">
        <f>SUM(H17:H67)</f>
        <v>0</v>
      </c>
    </row>
    <row r="70" spans="1:8" x14ac:dyDescent="0.2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59882-B387-428E-97DE-3645F2D902E7}">
  <sheetPr codeName="Sheet11">
    <tabColor rgb="FFCC0000"/>
  </sheetPr>
  <dimension ref="A1:AF70"/>
  <sheetViews>
    <sheetView workbookViewId="0">
      <selection sqref="A1:G1"/>
    </sheetView>
  </sheetViews>
  <sheetFormatPr defaultColWidth="8.85546875" defaultRowHeight="12.75" x14ac:dyDescent="0.2"/>
  <cols>
    <col min="1" max="1" width="34.42578125" bestFit="1" customWidth="1"/>
    <col min="2" max="2" width="13.140625" bestFit="1" customWidth="1"/>
    <col min="3" max="3" width="12.42578125" bestFit="1" customWidth="1"/>
    <col min="4" max="4" width="14.85546875" bestFit="1" customWidth="1"/>
    <col min="5" max="5" width="13.28515625" bestFit="1" customWidth="1"/>
    <col min="6" max="6" width="15.140625" bestFit="1" customWidth="1"/>
    <col min="7" max="7" width="13.42578125" bestFit="1" customWidth="1"/>
  </cols>
  <sheetData>
    <row r="1" spans="1:32" ht="18" x14ac:dyDescent="0.25">
      <c r="A1" s="166" t="s">
        <v>142</v>
      </c>
      <c r="B1" s="155"/>
      <c r="C1" s="155"/>
      <c r="D1" s="155"/>
      <c r="E1" s="155"/>
      <c r="F1" s="155"/>
      <c r="G1" s="155"/>
    </row>
    <row r="3" spans="1:32" x14ac:dyDescent="0.2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2">
      <c r="A4" t="s">
        <v>93</v>
      </c>
      <c r="B4">
        <f>'Case Inputs'!B18</f>
        <v>35.19</v>
      </c>
      <c r="D4" t="s">
        <v>100</v>
      </c>
      <c r="E4">
        <f>'Case Inputs'!B19</f>
        <v>35</v>
      </c>
    </row>
    <row r="5" spans="1:32" x14ac:dyDescent="0.2">
      <c r="A5" t="s">
        <v>101</v>
      </c>
      <c r="B5">
        <f>'Case Inputs'!B20</f>
        <v>0.18999999999999773</v>
      </c>
      <c r="D5" t="s">
        <v>149</v>
      </c>
      <c r="E5" s="37">
        <v>0.25</v>
      </c>
      <c r="F5" t="b">
        <v>1</v>
      </c>
      <c r="G5" s="30" t="s">
        <v>151</v>
      </c>
    </row>
    <row r="7" spans="1:32" x14ac:dyDescent="0.2">
      <c r="A7" s="163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2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2" x14ac:dyDescent="0.2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2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2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2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2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2">
      <c r="A16" s="167" t="s">
        <v>115</v>
      </c>
      <c r="B16" s="167"/>
      <c r="C16" s="167"/>
      <c r="D16" s="167"/>
      <c r="E16" s="167"/>
      <c r="F16" s="167"/>
      <c r="G16" s="167"/>
    </row>
    <row r="17" spans="1:8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0.18999999999999773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2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</row>
    <row r="54" spans="1:8" x14ac:dyDescent="0.2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</row>
    <row r="55" spans="1:8" x14ac:dyDescent="0.2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</row>
    <row r="56" spans="1:8" x14ac:dyDescent="0.2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</row>
    <row r="57" spans="1:8" x14ac:dyDescent="0.2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</row>
    <row r="58" spans="1:8" x14ac:dyDescent="0.2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</row>
    <row r="59" spans="1:8" x14ac:dyDescent="0.2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</row>
    <row r="60" spans="1:8" x14ac:dyDescent="0.2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</row>
    <row r="61" spans="1:8" x14ac:dyDescent="0.2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</row>
    <row r="62" spans="1:8" x14ac:dyDescent="0.2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</row>
    <row r="63" spans="1:8" x14ac:dyDescent="0.2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</row>
    <row r="64" spans="1:8" x14ac:dyDescent="0.2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</row>
    <row r="65" spans="1:8" x14ac:dyDescent="0.2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</row>
    <row r="66" spans="1:8" x14ac:dyDescent="0.2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</row>
    <row r="67" spans="1:8" x14ac:dyDescent="0.2">
      <c r="H67" s="6" t="str" cm="1">
        <f t="array" ref="H67">_xlfn.IFS(A67="","",AND(A67&lt;&gt;"",$F$5=TRUE),G67*(1-$E$5))</f>
        <v/>
      </c>
    </row>
    <row r="68" spans="1:8" x14ac:dyDescent="0.2">
      <c r="A68" s="18" t="s">
        <v>104</v>
      </c>
      <c r="E68" s="23">
        <f>SUM(E17:E66)</f>
        <v>0</v>
      </c>
      <c r="F68" s="23"/>
      <c r="G68" s="23">
        <f>SUM(G17:G66)</f>
        <v>0</v>
      </c>
      <c r="H68" s="23">
        <f>SUM(H17:H67)</f>
        <v>0</v>
      </c>
    </row>
    <row r="70" spans="1:8" x14ac:dyDescent="0.2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E43C0-9BDA-4174-9772-0BBC9604BF8E}">
  <sheetPr codeName="Sheet12">
    <tabColor rgb="FFCC0000"/>
  </sheetPr>
  <dimension ref="A1:AF70"/>
  <sheetViews>
    <sheetView workbookViewId="0">
      <selection sqref="A1:G1"/>
    </sheetView>
  </sheetViews>
  <sheetFormatPr defaultColWidth="8.85546875" defaultRowHeight="12.75" x14ac:dyDescent="0.2"/>
  <cols>
    <col min="1" max="1" width="34.42578125" bestFit="1" customWidth="1"/>
    <col min="2" max="2" width="13.140625" bestFit="1" customWidth="1"/>
    <col min="3" max="3" width="12.42578125" bestFit="1" customWidth="1"/>
    <col min="4" max="4" width="14.85546875" bestFit="1" customWidth="1"/>
    <col min="5" max="5" width="13.28515625" bestFit="1" customWidth="1"/>
    <col min="6" max="6" width="15.140625" bestFit="1" customWidth="1"/>
    <col min="7" max="7" width="13.42578125" bestFit="1" customWidth="1"/>
  </cols>
  <sheetData>
    <row r="1" spans="1:32" ht="18" x14ac:dyDescent="0.25">
      <c r="A1" s="166" t="s">
        <v>143</v>
      </c>
      <c r="B1" s="155"/>
      <c r="C1" s="155"/>
      <c r="D1" s="155"/>
      <c r="E1" s="155"/>
      <c r="F1" s="155"/>
      <c r="G1" s="155"/>
    </row>
    <row r="3" spans="1:32" x14ac:dyDescent="0.2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2">
      <c r="A4" t="s">
        <v>109</v>
      </c>
      <c r="B4">
        <f>'Case Inputs'!B21</f>
        <v>55</v>
      </c>
      <c r="D4" t="s">
        <v>100</v>
      </c>
      <c r="E4">
        <f>'Case Inputs'!B22</f>
        <v>55</v>
      </c>
    </row>
    <row r="5" spans="1:32" x14ac:dyDescent="0.2">
      <c r="A5" t="s">
        <v>101</v>
      </c>
      <c r="B5">
        <f>'Case Inputs'!B23</f>
        <v>0</v>
      </c>
      <c r="D5" t="s">
        <v>149</v>
      </c>
      <c r="E5" s="37">
        <v>0.25</v>
      </c>
      <c r="F5" t="b">
        <v>1</v>
      </c>
      <c r="G5" s="30" t="s">
        <v>151</v>
      </c>
    </row>
    <row r="7" spans="1:32" x14ac:dyDescent="0.2">
      <c r="A7" s="163" t="s">
        <v>112</v>
      </c>
      <c r="B7" s="155"/>
      <c r="C7" s="155"/>
      <c r="D7" s="155"/>
      <c r="E7" s="155"/>
      <c r="F7" s="155"/>
      <c r="G7" s="155"/>
      <c r="AE7" s="6"/>
      <c r="AF7" s="6"/>
    </row>
    <row r="8" spans="1:32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2" x14ac:dyDescent="0.2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2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2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2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2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2">
      <c r="A16" s="167" t="s">
        <v>146</v>
      </c>
      <c r="B16" s="167"/>
      <c r="C16" s="167"/>
      <c r="D16" s="167"/>
      <c r="E16" s="167"/>
      <c r="F16" s="167"/>
      <c r="G16" s="167"/>
    </row>
    <row r="17" spans="1:8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2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</row>
    <row r="54" spans="1:8" x14ac:dyDescent="0.2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</row>
    <row r="55" spans="1:8" x14ac:dyDescent="0.2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</row>
    <row r="56" spans="1:8" x14ac:dyDescent="0.2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</row>
    <row r="57" spans="1:8" x14ac:dyDescent="0.2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</row>
    <row r="58" spans="1:8" x14ac:dyDescent="0.2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</row>
    <row r="59" spans="1:8" x14ac:dyDescent="0.2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</row>
    <row r="60" spans="1:8" x14ac:dyDescent="0.2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</row>
    <row r="61" spans="1:8" x14ac:dyDescent="0.2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</row>
    <row r="62" spans="1:8" x14ac:dyDescent="0.2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</row>
    <row r="63" spans="1:8" x14ac:dyDescent="0.2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</row>
    <row r="64" spans="1:8" x14ac:dyDescent="0.2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</row>
    <row r="65" spans="1:8" x14ac:dyDescent="0.2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</row>
    <row r="66" spans="1:8" x14ac:dyDescent="0.2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</row>
    <row r="67" spans="1:8" x14ac:dyDescent="0.2">
      <c r="H67" s="6" t="str" cm="1">
        <f t="array" ref="H67">_xlfn.IFS(A67="","",AND(A67&lt;&gt;"",$F$5=TRUE),G67*(1-$E$5))</f>
        <v/>
      </c>
    </row>
    <row r="68" spans="1:8" x14ac:dyDescent="0.2">
      <c r="A68" s="18" t="s">
        <v>104</v>
      </c>
      <c r="E68" s="23">
        <f>SUM(E17:E66)</f>
        <v>0</v>
      </c>
      <c r="F68" s="23"/>
      <c r="G68" s="23">
        <f>SUM(G17:G66)</f>
        <v>0</v>
      </c>
      <c r="H68" s="23">
        <f>SUM(H17:H67)</f>
        <v>0</v>
      </c>
    </row>
    <row r="70" spans="1:8" x14ac:dyDescent="0.2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D08F0-EAC2-4D4E-9B1D-27B8E5CC2C36}">
  <sheetPr codeName="Sheet13">
    <tabColor rgb="FF7030A0"/>
  </sheetPr>
  <dimension ref="A1:V66"/>
  <sheetViews>
    <sheetView tabSelected="1" workbookViewId="0">
      <selection activeCell="D9" sqref="D9"/>
    </sheetView>
  </sheetViews>
  <sheetFormatPr defaultColWidth="8.85546875" defaultRowHeight="12.75" x14ac:dyDescent="0.2"/>
  <cols>
    <col min="1" max="1" width="7.42578125" bestFit="1" customWidth="1"/>
    <col min="2" max="2" width="17" bestFit="1" customWidth="1"/>
    <col min="3" max="3" width="25.42578125" bestFit="1" customWidth="1"/>
    <col min="4" max="4" width="42.28515625" customWidth="1"/>
    <col min="5" max="5" width="17.42578125" customWidth="1"/>
    <col min="6" max="6" width="16.85546875" customWidth="1"/>
    <col min="7" max="7" width="14.7109375" bestFit="1" customWidth="1"/>
    <col min="8" max="8" width="23.140625" bestFit="1" customWidth="1"/>
    <col min="9" max="9" width="26.140625" bestFit="1" customWidth="1"/>
    <col min="10" max="10" width="16.7109375" customWidth="1"/>
    <col min="11" max="11" width="15.85546875" customWidth="1"/>
    <col min="12" max="12" width="14.7109375" bestFit="1" customWidth="1"/>
    <col min="13" max="13" width="23.140625" bestFit="1" customWidth="1"/>
    <col min="14" max="14" width="23.7109375" bestFit="1" customWidth="1"/>
    <col min="15" max="15" width="17.28515625" customWidth="1"/>
    <col min="16" max="16" width="15.140625" customWidth="1"/>
    <col min="17" max="17" width="16.7109375" customWidth="1"/>
    <col min="18" max="18" width="13.7109375" customWidth="1"/>
    <col min="19" max="19" width="11.140625" customWidth="1"/>
    <col min="20" max="20" width="22.7109375" customWidth="1"/>
    <col min="21" max="22" width="24.85546875" customWidth="1"/>
    <col min="25" max="25" width="17" bestFit="1" customWidth="1"/>
    <col min="26" max="26" width="25.42578125" bestFit="1" customWidth="1"/>
    <col min="27" max="27" width="24.85546875" customWidth="1"/>
  </cols>
  <sheetData>
    <row r="1" spans="1:22" ht="16.5" customHeight="1" x14ac:dyDescent="0.25">
      <c r="A1" s="146" t="s">
        <v>269</v>
      </c>
      <c r="B1" s="146"/>
      <c r="C1" s="146"/>
      <c r="D1" s="100" t="s">
        <v>322</v>
      </c>
      <c r="F1" s="146" t="s">
        <v>272</v>
      </c>
      <c r="G1" s="146"/>
      <c r="H1" s="146"/>
      <c r="I1" s="146"/>
      <c r="K1" s="146" t="s">
        <v>273</v>
      </c>
      <c r="L1" s="146"/>
      <c r="M1" s="146"/>
      <c r="N1" s="146"/>
      <c r="S1" s="75"/>
      <c r="T1" s="77"/>
      <c r="U1" s="77"/>
      <c r="V1" s="77"/>
    </row>
    <row r="2" spans="1:22" x14ac:dyDescent="0.2">
      <c r="A2" s="24" t="s">
        <v>0</v>
      </c>
      <c r="B2" s="24" t="s">
        <v>4</v>
      </c>
      <c r="C2" s="24" t="s">
        <v>5</v>
      </c>
      <c r="D2" s="121" t="str">
        <f>IF(HelperCells!$B$3&lt;&gt;"","Updated: " &amp; TEXT(HelperCells!$B$3, "mm/dd/yyyy hh:mm am/pm"),"")</f>
        <v>Updated: 05/21/2026 09:15 AM</v>
      </c>
      <c r="E2" s="85" t="b">
        <v>0</v>
      </c>
      <c r="F2" s="83" t="s">
        <v>0</v>
      </c>
      <c r="G2" s="78" t="s">
        <v>4</v>
      </c>
      <c r="H2" s="78" t="s">
        <v>5</v>
      </c>
      <c r="I2" s="78" t="s">
        <v>364</v>
      </c>
      <c r="J2" s="85" t="b">
        <v>0</v>
      </c>
      <c r="K2" s="79" t="s">
        <v>0</v>
      </c>
      <c r="L2" s="80" t="s">
        <v>4</v>
      </c>
      <c r="M2" s="80" t="s">
        <v>5</v>
      </c>
      <c r="N2" s="80" t="s">
        <v>364</v>
      </c>
      <c r="S2" s="76"/>
      <c r="T2" s="76"/>
      <c r="U2" s="76"/>
      <c r="V2" s="76"/>
    </row>
    <row r="3" spans="1:22" x14ac:dyDescent="0.2">
      <c r="A3" t="s">
        <v>7</v>
      </c>
      <c r="B3" t="s">
        <v>6</v>
      </c>
      <c r="C3" t="s">
        <v>287</v>
      </c>
      <c r="F3" s="84" cm="1">
        <f t="array" ref="F3:F32">_xlfn._xlws.FILTER(VALUE(_xlfn.VALUETOTEXT(A$3:A$32)),VALUE(_xlfn.VALUETOTEXT($A$3:$A$32))&lt;=HelperCells!$B$16)</f>
        <v>2027</v>
      </c>
      <c r="G3" s="84" cm="1">
        <f t="array" ref="G3:G32">_xlfn._xlws.FILTER(VALUE(_xlfn.VALUETOTEXT(B$3:B$32)),VALUE(_xlfn.VALUETOTEXT($A$3:$A$32))&lt;=HelperCells!$B$16)</f>
        <v>1</v>
      </c>
      <c r="H3" s="82" cm="1">
        <f t="array" ref="H3:H32">_xlfn._xlws.FILTER(VALUE(_xlfn.VALUETOTEXT(C$3:C$32)),VALUE(_xlfn.VALUETOTEXT($A$3:$A$32))&lt;=HelperCells!$B$16)</f>
        <v>2.581</v>
      </c>
      <c r="I3" s="139">
        <f>IF(H3&lt;&gt;"",H3/100,"")</f>
        <v>2.581E-2</v>
      </c>
      <c r="K3" s="84" cm="1">
        <f t="array" ref="K3:K32">_xlfn._xlws.FILTER(VALUE(_xlfn.VALUETOTEXT(A$3:A$32)),VALUE(_xlfn.VALUETOTEXT($A$3:$A$32))&lt;=HelperCells!$B$29)</f>
        <v>2027</v>
      </c>
      <c r="L3" s="84" cm="1">
        <f t="array" ref="L3:L32">_xlfn._xlws.FILTER(VALUE(_xlfn.VALUETOTEXT(B$3:B$32)),VALUE(_xlfn.VALUETOTEXT($A$3:$A$32))&lt;=HelperCells!$B$29)</f>
        <v>1</v>
      </c>
      <c r="M3" s="82" cm="1">
        <f t="array" ref="M3:M32">_xlfn._xlws.FILTER(VALUE(_xlfn.VALUETOTEXT(C$3:C$32)),VALUE(_xlfn.VALUETOTEXT($A$3:$A$32))&lt;=HelperCells!$B$29)</f>
        <v>2.581</v>
      </c>
      <c r="N3" s="139">
        <f>IF(M3&lt;&gt;"",M3/100,"")</f>
        <v>2.581E-2</v>
      </c>
    </row>
    <row r="4" spans="1:22" x14ac:dyDescent="0.2">
      <c r="A4" t="s">
        <v>9</v>
      </c>
      <c r="B4" t="s">
        <v>8</v>
      </c>
      <c r="C4" t="s">
        <v>338</v>
      </c>
      <c r="D4" s="90"/>
      <c r="F4" s="84">
        <v>2028</v>
      </c>
      <c r="G4" s="81">
        <v>2</v>
      </c>
      <c r="H4" s="82">
        <v>2.5760000000000001</v>
      </c>
      <c r="I4" s="139">
        <f t="shared" ref="I4:I33" si="0">IF(H4&lt;&gt;"",H4/100,"")</f>
        <v>2.5760000000000002E-2</v>
      </c>
      <c r="K4" s="81">
        <v>2028</v>
      </c>
      <c r="L4" s="81">
        <v>2</v>
      </c>
      <c r="M4" s="82">
        <v>2.5760000000000001</v>
      </c>
      <c r="N4" s="139">
        <f t="shared" ref="N4:N33" si="1">IF(M4&lt;&gt;"",M4/100,"")</f>
        <v>2.5760000000000002E-2</v>
      </c>
    </row>
    <row r="5" spans="1:22" x14ac:dyDescent="0.2">
      <c r="A5" t="s">
        <v>11</v>
      </c>
      <c r="B5" t="s">
        <v>10</v>
      </c>
      <c r="C5" t="s">
        <v>339</v>
      </c>
      <c r="F5" s="84">
        <v>2029</v>
      </c>
      <c r="G5" s="81">
        <v>3</v>
      </c>
      <c r="H5" s="82">
        <v>2.58</v>
      </c>
      <c r="I5" s="139">
        <f t="shared" si="0"/>
        <v>2.58E-2</v>
      </c>
      <c r="K5" s="81">
        <v>2029</v>
      </c>
      <c r="L5" s="81">
        <v>3</v>
      </c>
      <c r="M5" s="82">
        <v>2.58</v>
      </c>
      <c r="N5" s="139">
        <f t="shared" si="1"/>
        <v>2.58E-2</v>
      </c>
    </row>
    <row r="6" spans="1:22" x14ac:dyDescent="0.2">
      <c r="A6" t="s">
        <v>13</v>
      </c>
      <c r="B6" t="s">
        <v>12</v>
      </c>
      <c r="C6" t="s">
        <v>340</v>
      </c>
      <c r="F6" s="84">
        <v>2030</v>
      </c>
      <c r="G6" s="81">
        <v>4</v>
      </c>
      <c r="H6" s="82">
        <v>2.6259999999999999</v>
      </c>
      <c r="I6" s="139">
        <f t="shared" si="0"/>
        <v>2.6259999999999999E-2</v>
      </c>
      <c r="K6" s="81">
        <v>2030</v>
      </c>
      <c r="L6" s="81">
        <v>4</v>
      </c>
      <c r="M6" s="82">
        <v>2.6259999999999999</v>
      </c>
      <c r="N6" s="139">
        <f t="shared" si="1"/>
        <v>2.6259999999999999E-2</v>
      </c>
    </row>
    <row r="7" spans="1:22" x14ac:dyDescent="0.2">
      <c r="A7" t="s">
        <v>15</v>
      </c>
      <c r="B7" t="s">
        <v>14</v>
      </c>
      <c r="C7" t="s">
        <v>341</v>
      </c>
      <c r="F7" s="84">
        <v>2031</v>
      </c>
      <c r="G7" s="81">
        <v>5</v>
      </c>
      <c r="H7" s="82">
        <v>2.6779999999999999</v>
      </c>
      <c r="I7" s="139">
        <f t="shared" si="0"/>
        <v>2.6779999999999998E-2</v>
      </c>
      <c r="K7" s="81">
        <v>2031</v>
      </c>
      <c r="L7" s="81">
        <v>5</v>
      </c>
      <c r="M7" s="82">
        <v>2.6779999999999999</v>
      </c>
      <c r="N7" s="139">
        <f t="shared" si="1"/>
        <v>2.6779999999999998E-2</v>
      </c>
    </row>
    <row r="8" spans="1:22" x14ac:dyDescent="0.2">
      <c r="A8" t="s">
        <v>17</v>
      </c>
      <c r="B8" t="s">
        <v>16</v>
      </c>
      <c r="C8" t="s">
        <v>342</v>
      </c>
      <c r="F8" s="84">
        <v>2032</v>
      </c>
      <c r="G8" s="81">
        <v>6</v>
      </c>
      <c r="H8" s="82">
        <v>2.75</v>
      </c>
      <c r="I8" s="139">
        <f t="shared" si="0"/>
        <v>2.75E-2</v>
      </c>
      <c r="K8" s="81">
        <v>2032</v>
      </c>
      <c r="L8" s="81">
        <v>6</v>
      </c>
      <c r="M8" s="82">
        <v>2.75</v>
      </c>
      <c r="N8" s="139">
        <f t="shared" si="1"/>
        <v>2.75E-2</v>
      </c>
    </row>
    <row r="9" spans="1:22" x14ac:dyDescent="0.2">
      <c r="A9" t="s">
        <v>19</v>
      </c>
      <c r="B9" t="s">
        <v>18</v>
      </c>
      <c r="C9" t="s">
        <v>343</v>
      </c>
      <c r="F9" s="84">
        <v>2033</v>
      </c>
      <c r="G9" s="81">
        <v>7</v>
      </c>
      <c r="H9" s="82">
        <v>2.85</v>
      </c>
      <c r="I9" s="139">
        <f t="shared" si="0"/>
        <v>2.8500000000000001E-2</v>
      </c>
      <c r="K9" s="81">
        <v>2033</v>
      </c>
      <c r="L9" s="81">
        <v>7</v>
      </c>
      <c r="M9" s="82">
        <v>2.85</v>
      </c>
      <c r="N9" s="139">
        <f t="shared" si="1"/>
        <v>2.8500000000000001E-2</v>
      </c>
    </row>
    <row r="10" spans="1:22" x14ac:dyDescent="0.2">
      <c r="A10" t="s">
        <v>21</v>
      </c>
      <c r="B10" t="s">
        <v>20</v>
      </c>
      <c r="C10" t="s">
        <v>344</v>
      </c>
      <c r="F10" s="84">
        <v>2034</v>
      </c>
      <c r="G10" s="81">
        <v>8</v>
      </c>
      <c r="H10" s="82">
        <v>2.9140000000000001</v>
      </c>
      <c r="I10" s="139">
        <f t="shared" si="0"/>
        <v>2.9140000000000003E-2</v>
      </c>
      <c r="K10" s="81">
        <v>2034</v>
      </c>
      <c r="L10" s="81">
        <v>8</v>
      </c>
      <c r="M10" s="82">
        <v>2.9140000000000001</v>
      </c>
      <c r="N10" s="139">
        <f t="shared" si="1"/>
        <v>2.9140000000000003E-2</v>
      </c>
    </row>
    <row r="11" spans="1:22" x14ac:dyDescent="0.2">
      <c r="A11" t="s">
        <v>23</v>
      </c>
      <c r="B11" t="s">
        <v>22</v>
      </c>
      <c r="C11" t="s">
        <v>333</v>
      </c>
      <c r="F11" s="84">
        <v>2035</v>
      </c>
      <c r="G11" s="81">
        <v>9</v>
      </c>
      <c r="H11" s="82">
        <v>3.004</v>
      </c>
      <c r="I11" s="139">
        <f t="shared" si="0"/>
        <v>3.0040000000000001E-2</v>
      </c>
      <c r="K11" s="81">
        <v>2035</v>
      </c>
      <c r="L11" s="81">
        <v>9</v>
      </c>
      <c r="M11" s="82">
        <v>3.004</v>
      </c>
      <c r="N11" s="139">
        <f t="shared" si="1"/>
        <v>3.0040000000000001E-2</v>
      </c>
    </row>
    <row r="12" spans="1:22" x14ac:dyDescent="0.2">
      <c r="A12" t="s">
        <v>25</v>
      </c>
      <c r="B12" t="s">
        <v>24</v>
      </c>
      <c r="C12" t="s">
        <v>334</v>
      </c>
      <c r="F12" s="84">
        <v>2036</v>
      </c>
      <c r="G12" s="81">
        <v>10</v>
      </c>
      <c r="H12" s="82">
        <v>3.1080000000000001</v>
      </c>
      <c r="I12" s="139">
        <f t="shared" si="0"/>
        <v>3.108E-2</v>
      </c>
      <c r="K12" s="81">
        <v>2036</v>
      </c>
      <c r="L12" s="81">
        <v>10</v>
      </c>
      <c r="M12" s="82">
        <v>3.1080000000000001</v>
      </c>
      <c r="N12" s="139">
        <f t="shared" si="1"/>
        <v>3.108E-2</v>
      </c>
    </row>
    <row r="13" spans="1:22" x14ac:dyDescent="0.2">
      <c r="A13" t="s">
        <v>27</v>
      </c>
      <c r="B13" t="s">
        <v>26</v>
      </c>
      <c r="C13" t="s">
        <v>345</v>
      </c>
      <c r="F13" s="84">
        <v>2037</v>
      </c>
      <c r="G13" s="81">
        <v>11</v>
      </c>
      <c r="H13" s="82">
        <v>3.2</v>
      </c>
      <c r="I13" s="139">
        <f t="shared" si="0"/>
        <v>3.2000000000000001E-2</v>
      </c>
      <c r="K13" s="81">
        <v>2037</v>
      </c>
      <c r="L13" s="81">
        <v>11</v>
      </c>
      <c r="M13" s="82">
        <v>3.2</v>
      </c>
      <c r="N13" s="139">
        <f t="shared" si="1"/>
        <v>3.2000000000000001E-2</v>
      </c>
    </row>
    <row r="14" spans="1:22" x14ac:dyDescent="0.2">
      <c r="A14" t="s">
        <v>29</v>
      </c>
      <c r="B14" t="s">
        <v>28</v>
      </c>
      <c r="C14" t="s">
        <v>346</v>
      </c>
      <c r="F14" s="84">
        <v>2038</v>
      </c>
      <c r="G14" s="81">
        <v>12</v>
      </c>
      <c r="H14" s="82">
        <v>3.2970000000000002</v>
      </c>
      <c r="I14" s="139">
        <f t="shared" si="0"/>
        <v>3.2969999999999999E-2</v>
      </c>
      <c r="K14" s="81">
        <v>2038</v>
      </c>
      <c r="L14" s="81">
        <v>12</v>
      </c>
      <c r="M14" s="82">
        <v>3.2970000000000002</v>
      </c>
      <c r="N14" s="139">
        <f t="shared" si="1"/>
        <v>3.2969999999999999E-2</v>
      </c>
    </row>
    <row r="15" spans="1:22" x14ac:dyDescent="0.2">
      <c r="A15" t="s">
        <v>31</v>
      </c>
      <c r="B15" t="s">
        <v>30</v>
      </c>
      <c r="C15" t="s">
        <v>347</v>
      </c>
      <c r="F15" s="84">
        <v>2039</v>
      </c>
      <c r="G15" s="81">
        <v>13</v>
      </c>
      <c r="H15" s="82">
        <v>3.37</v>
      </c>
      <c r="I15" s="139">
        <f t="shared" si="0"/>
        <v>3.3700000000000001E-2</v>
      </c>
      <c r="K15" s="81">
        <v>2039</v>
      </c>
      <c r="L15" s="81">
        <v>13</v>
      </c>
      <c r="M15" s="82">
        <v>3.37</v>
      </c>
      <c r="N15" s="139">
        <f t="shared" si="1"/>
        <v>3.3700000000000001E-2</v>
      </c>
    </row>
    <row r="16" spans="1:22" x14ac:dyDescent="0.2">
      <c r="A16" t="s">
        <v>33</v>
      </c>
      <c r="B16" t="s">
        <v>32</v>
      </c>
      <c r="C16" t="s">
        <v>348</v>
      </c>
      <c r="F16" s="84">
        <v>2040</v>
      </c>
      <c r="G16" s="81">
        <v>14</v>
      </c>
      <c r="H16" s="82">
        <v>3.4510000000000001</v>
      </c>
      <c r="I16" s="139">
        <f t="shared" si="0"/>
        <v>3.4509999999999999E-2</v>
      </c>
      <c r="K16" s="81">
        <v>2040</v>
      </c>
      <c r="L16" s="81">
        <v>14</v>
      </c>
      <c r="M16" s="82">
        <v>3.4510000000000001</v>
      </c>
      <c r="N16" s="139">
        <f t="shared" si="1"/>
        <v>3.4509999999999999E-2</v>
      </c>
    </row>
    <row r="17" spans="1:14" x14ac:dyDescent="0.2">
      <c r="A17" t="s">
        <v>35</v>
      </c>
      <c r="B17" t="s">
        <v>34</v>
      </c>
      <c r="C17" t="s">
        <v>349</v>
      </c>
      <c r="F17" s="84">
        <v>2041</v>
      </c>
      <c r="G17" s="81">
        <v>15</v>
      </c>
      <c r="H17" s="82">
        <v>3.5009999999999999</v>
      </c>
      <c r="I17" s="139">
        <f t="shared" si="0"/>
        <v>3.5009999999999999E-2</v>
      </c>
      <c r="K17" s="81">
        <v>2041</v>
      </c>
      <c r="L17" s="81">
        <v>15</v>
      </c>
      <c r="M17" s="82">
        <v>3.5009999999999999</v>
      </c>
      <c r="N17" s="139">
        <f t="shared" si="1"/>
        <v>3.5009999999999999E-2</v>
      </c>
    </row>
    <row r="18" spans="1:14" x14ac:dyDescent="0.2">
      <c r="A18" t="s">
        <v>37</v>
      </c>
      <c r="B18" t="s">
        <v>36</v>
      </c>
      <c r="C18" t="s">
        <v>350</v>
      </c>
      <c r="F18" s="84">
        <v>2042</v>
      </c>
      <c r="G18" s="81">
        <v>16</v>
      </c>
      <c r="H18" s="82">
        <v>3.609</v>
      </c>
      <c r="I18" s="139">
        <f t="shared" si="0"/>
        <v>3.6089999999999997E-2</v>
      </c>
      <c r="K18" s="81">
        <v>2042</v>
      </c>
      <c r="L18" s="81">
        <v>16</v>
      </c>
      <c r="M18" s="82">
        <v>3.609</v>
      </c>
      <c r="N18" s="139">
        <f t="shared" si="1"/>
        <v>3.6089999999999997E-2</v>
      </c>
    </row>
    <row r="19" spans="1:14" x14ac:dyDescent="0.2">
      <c r="A19" t="s">
        <v>39</v>
      </c>
      <c r="B19" t="s">
        <v>38</v>
      </c>
      <c r="C19" t="s">
        <v>351</v>
      </c>
      <c r="F19" s="84">
        <v>2043</v>
      </c>
      <c r="G19" s="81">
        <v>17</v>
      </c>
      <c r="H19" s="82">
        <v>3.7410000000000001</v>
      </c>
      <c r="I19" s="139">
        <f t="shared" si="0"/>
        <v>3.7409999999999999E-2</v>
      </c>
      <c r="K19" s="81">
        <v>2043</v>
      </c>
      <c r="L19" s="81">
        <v>17</v>
      </c>
      <c r="M19" s="82">
        <v>3.7410000000000001</v>
      </c>
      <c r="N19" s="139">
        <f t="shared" si="1"/>
        <v>3.7409999999999999E-2</v>
      </c>
    </row>
    <row r="20" spans="1:14" x14ac:dyDescent="0.2">
      <c r="A20" t="s">
        <v>41</v>
      </c>
      <c r="B20" t="s">
        <v>40</v>
      </c>
      <c r="C20" t="s">
        <v>352</v>
      </c>
      <c r="F20" s="84">
        <v>2044</v>
      </c>
      <c r="G20" s="81">
        <v>18</v>
      </c>
      <c r="H20" s="82">
        <v>3.8730000000000002</v>
      </c>
      <c r="I20" s="139">
        <f t="shared" si="0"/>
        <v>3.8730000000000001E-2</v>
      </c>
      <c r="K20" s="81">
        <v>2044</v>
      </c>
      <c r="L20" s="81">
        <v>18</v>
      </c>
      <c r="M20" s="82">
        <v>3.8730000000000002</v>
      </c>
      <c r="N20" s="139">
        <f t="shared" si="1"/>
        <v>3.8730000000000001E-2</v>
      </c>
    </row>
    <row r="21" spans="1:14" x14ac:dyDescent="0.2">
      <c r="A21" t="s">
        <v>43</v>
      </c>
      <c r="B21" t="s">
        <v>42</v>
      </c>
      <c r="C21" t="s">
        <v>353</v>
      </c>
      <c r="F21" s="84">
        <v>2045</v>
      </c>
      <c r="G21" s="81">
        <v>19</v>
      </c>
      <c r="H21" s="82">
        <v>4.01</v>
      </c>
      <c r="I21" s="139">
        <f t="shared" si="0"/>
        <v>4.0099999999999997E-2</v>
      </c>
      <c r="K21" s="81">
        <v>2045</v>
      </c>
      <c r="L21" s="81">
        <v>19</v>
      </c>
      <c r="M21" s="82">
        <v>4.01</v>
      </c>
      <c r="N21" s="139">
        <f t="shared" si="1"/>
        <v>4.0099999999999997E-2</v>
      </c>
    </row>
    <row r="22" spans="1:14" x14ac:dyDescent="0.2">
      <c r="A22" t="s">
        <v>45</v>
      </c>
      <c r="B22" t="s">
        <v>44</v>
      </c>
      <c r="C22" t="s">
        <v>354</v>
      </c>
      <c r="F22" s="84">
        <v>2046</v>
      </c>
      <c r="G22" s="81">
        <v>20</v>
      </c>
      <c r="H22" s="82">
        <v>4.133</v>
      </c>
      <c r="I22" s="139">
        <f t="shared" si="0"/>
        <v>4.1329999999999999E-2</v>
      </c>
      <c r="K22" s="81">
        <v>2046</v>
      </c>
      <c r="L22" s="81">
        <v>20</v>
      </c>
      <c r="M22" s="82">
        <v>4.133</v>
      </c>
      <c r="N22" s="139">
        <f t="shared" si="1"/>
        <v>4.1329999999999999E-2</v>
      </c>
    </row>
    <row r="23" spans="1:14" x14ac:dyDescent="0.2">
      <c r="A23" t="s">
        <v>47</v>
      </c>
      <c r="B23" t="s">
        <v>46</v>
      </c>
      <c r="C23" t="s">
        <v>355</v>
      </c>
      <c r="F23" s="84">
        <v>2047</v>
      </c>
      <c r="G23" s="81">
        <v>21</v>
      </c>
      <c r="H23" s="82">
        <v>4.2140000000000004</v>
      </c>
      <c r="I23" s="139">
        <f t="shared" si="0"/>
        <v>4.2140000000000004E-2</v>
      </c>
      <c r="K23" s="81">
        <v>2047</v>
      </c>
      <c r="L23" s="81">
        <v>21</v>
      </c>
      <c r="M23" s="82">
        <v>4.2140000000000004</v>
      </c>
      <c r="N23" s="139">
        <f t="shared" si="1"/>
        <v>4.2140000000000004E-2</v>
      </c>
    </row>
    <row r="24" spans="1:14" x14ac:dyDescent="0.2">
      <c r="A24" t="s">
        <v>49</v>
      </c>
      <c r="B24" t="s">
        <v>48</v>
      </c>
      <c r="C24" t="s">
        <v>356</v>
      </c>
      <c r="F24" s="84">
        <v>2048</v>
      </c>
      <c r="G24" s="81">
        <v>22</v>
      </c>
      <c r="H24" s="82">
        <v>4.28</v>
      </c>
      <c r="I24" s="139">
        <f t="shared" si="0"/>
        <v>4.2800000000000005E-2</v>
      </c>
      <c r="K24" s="81">
        <v>2048</v>
      </c>
      <c r="L24" s="81">
        <v>22</v>
      </c>
      <c r="M24" s="82">
        <v>4.28</v>
      </c>
      <c r="N24" s="139">
        <f t="shared" si="1"/>
        <v>4.2800000000000005E-2</v>
      </c>
    </row>
    <row r="25" spans="1:14" x14ac:dyDescent="0.2">
      <c r="A25" t="s">
        <v>51</v>
      </c>
      <c r="B25" t="s">
        <v>50</v>
      </c>
      <c r="C25" t="s">
        <v>357</v>
      </c>
      <c r="F25" s="84">
        <v>2049</v>
      </c>
      <c r="G25" s="81">
        <v>23</v>
      </c>
      <c r="H25" s="82">
        <v>4.3250000000000002</v>
      </c>
      <c r="I25" s="139">
        <f t="shared" si="0"/>
        <v>4.3250000000000004E-2</v>
      </c>
      <c r="K25" s="81">
        <v>2049</v>
      </c>
      <c r="L25" s="81">
        <v>23</v>
      </c>
      <c r="M25" s="82">
        <v>4.3250000000000002</v>
      </c>
      <c r="N25" s="139">
        <f t="shared" si="1"/>
        <v>4.3250000000000004E-2</v>
      </c>
    </row>
    <row r="26" spans="1:14" x14ac:dyDescent="0.2">
      <c r="A26" t="s">
        <v>53</v>
      </c>
      <c r="B26" t="s">
        <v>52</v>
      </c>
      <c r="C26" t="s">
        <v>358</v>
      </c>
      <c r="F26" s="84">
        <v>2050</v>
      </c>
      <c r="G26" s="81">
        <v>24</v>
      </c>
      <c r="H26" s="82">
        <v>4.3769999999999998</v>
      </c>
      <c r="I26" s="139">
        <f t="shared" si="0"/>
        <v>4.3769999999999996E-2</v>
      </c>
      <c r="K26" s="81">
        <v>2050</v>
      </c>
      <c r="L26" s="81">
        <v>24</v>
      </c>
      <c r="M26" s="82">
        <v>4.3769999999999998</v>
      </c>
      <c r="N26" s="139">
        <f t="shared" si="1"/>
        <v>4.3769999999999996E-2</v>
      </c>
    </row>
    <row r="27" spans="1:14" x14ac:dyDescent="0.2">
      <c r="A27" t="s">
        <v>55</v>
      </c>
      <c r="B27" t="s">
        <v>54</v>
      </c>
      <c r="C27" t="s">
        <v>359</v>
      </c>
      <c r="F27" s="84">
        <v>2051</v>
      </c>
      <c r="G27" s="81">
        <v>25</v>
      </c>
      <c r="H27" s="82">
        <v>4.399</v>
      </c>
      <c r="I27" s="139">
        <f t="shared" si="0"/>
        <v>4.3990000000000001E-2</v>
      </c>
      <c r="K27" s="81">
        <v>2051</v>
      </c>
      <c r="L27" s="81">
        <v>25</v>
      </c>
      <c r="M27" s="82">
        <v>4.399</v>
      </c>
      <c r="N27" s="139">
        <f t="shared" si="1"/>
        <v>4.3990000000000001E-2</v>
      </c>
    </row>
    <row r="28" spans="1:14" x14ac:dyDescent="0.2">
      <c r="A28" t="s">
        <v>57</v>
      </c>
      <c r="B28" t="s">
        <v>56</v>
      </c>
      <c r="C28" t="s">
        <v>335</v>
      </c>
      <c r="F28" s="84">
        <v>2052</v>
      </c>
      <c r="G28" s="81">
        <v>26</v>
      </c>
      <c r="H28" s="82">
        <v>4.4219999999999997</v>
      </c>
      <c r="I28" s="139">
        <f t="shared" si="0"/>
        <v>4.4219999999999995E-2</v>
      </c>
      <c r="K28" s="81">
        <v>2052</v>
      </c>
      <c r="L28" s="81">
        <v>26</v>
      </c>
      <c r="M28" s="82">
        <v>4.4219999999999997</v>
      </c>
      <c r="N28" s="139">
        <f t="shared" si="1"/>
        <v>4.4219999999999995E-2</v>
      </c>
    </row>
    <row r="29" spans="1:14" x14ac:dyDescent="0.2">
      <c r="A29" t="s">
        <v>59</v>
      </c>
      <c r="B29" t="s">
        <v>58</v>
      </c>
      <c r="C29" t="s">
        <v>336</v>
      </c>
      <c r="F29" s="84">
        <v>2053</v>
      </c>
      <c r="G29" s="81">
        <v>27</v>
      </c>
      <c r="H29" s="82">
        <v>4.4359999999999999</v>
      </c>
      <c r="I29" s="139">
        <f t="shared" si="0"/>
        <v>4.4359999999999997E-2</v>
      </c>
      <c r="K29" s="81">
        <v>2053</v>
      </c>
      <c r="L29" s="81">
        <v>27</v>
      </c>
      <c r="M29" s="82">
        <v>4.4359999999999999</v>
      </c>
      <c r="N29" s="139">
        <f t="shared" si="1"/>
        <v>4.4359999999999997E-2</v>
      </c>
    </row>
    <row r="30" spans="1:14" x14ac:dyDescent="0.2">
      <c r="A30" t="s">
        <v>61</v>
      </c>
      <c r="B30" t="s">
        <v>60</v>
      </c>
      <c r="C30" t="s">
        <v>337</v>
      </c>
      <c r="F30" s="84">
        <v>2054</v>
      </c>
      <c r="G30" s="81">
        <v>28</v>
      </c>
      <c r="H30" s="82">
        <v>4.46</v>
      </c>
      <c r="I30" s="139">
        <f t="shared" si="0"/>
        <v>4.4600000000000001E-2</v>
      </c>
      <c r="K30" s="81">
        <v>2054</v>
      </c>
      <c r="L30" s="81">
        <v>28</v>
      </c>
      <c r="M30" s="82">
        <v>4.46</v>
      </c>
      <c r="N30" s="139">
        <f t="shared" si="1"/>
        <v>4.4600000000000001E-2</v>
      </c>
    </row>
    <row r="31" spans="1:14" x14ac:dyDescent="0.2">
      <c r="A31" t="s">
        <v>63</v>
      </c>
      <c r="B31" t="s">
        <v>62</v>
      </c>
      <c r="C31" t="s">
        <v>360</v>
      </c>
      <c r="F31" s="84">
        <v>2055</v>
      </c>
      <c r="G31" s="81">
        <v>29</v>
      </c>
      <c r="H31" s="82">
        <v>4.4660000000000002</v>
      </c>
      <c r="I31" s="139">
        <f t="shared" si="0"/>
        <v>4.4660000000000005E-2</v>
      </c>
      <c r="K31" s="81">
        <v>2055</v>
      </c>
      <c r="L31" s="81">
        <v>29</v>
      </c>
      <c r="M31" s="82">
        <v>4.4660000000000002</v>
      </c>
      <c r="N31" s="139">
        <f t="shared" si="1"/>
        <v>4.4660000000000005E-2</v>
      </c>
    </row>
    <row r="32" spans="1:14" x14ac:dyDescent="0.2">
      <c r="A32" t="s">
        <v>78</v>
      </c>
      <c r="B32" t="s">
        <v>64</v>
      </c>
      <c r="C32" t="s">
        <v>361</v>
      </c>
      <c r="F32" s="84">
        <v>2056</v>
      </c>
      <c r="G32" s="81">
        <v>30</v>
      </c>
      <c r="H32" s="82">
        <v>4.4859999999999998</v>
      </c>
      <c r="I32" s="139">
        <f t="shared" si="0"/>
        <v>4.4859999999999997E-2</v>
      </c>
      <c r="K32" s="81">
        <v>2056</v>
      </c>
      <c r="L32" s="81">
        <v>30</v>
      </c>
      <c r="M32" s="82">
        <v>4.4859999999999998</v>
      </c>
      <c r="N32" s="139">
        <f t="shared" si="1"/>
        <v>4.4859999999999997E-2</v>
      </c>
    </row>
    <row r="33" spans="1:14" x14ac:dyDescent="0.2">
      <c r="F33" s="86" t="str">
        <f>IF(F32&lt;&gt;"","*"&amp;F32+1,"")</f>
        <v>*2057</v>
      </c>
      <c r="G33" s="136" t="str">
        <f>IF(F33&lt;&gt;"","N/A","")</f>
        <v>N/A</v>
      </c>
      <c r="H33" s="86">
        <f>IF(F33&lt;&gt;"",H32,"")</f>
        <v>4.4859999999999998</v>
      </c>
      <c r="I33" s="139">
        <f t="shared" si="0"/>
        <v>4.4859999999999997E-2</v>
      </c>
      <c r="K33" t="str">
        <f>IF(K32&lt;&gt;"","*"&amp;K32+1,"")</f>
        <v>*2057</v>
      </c>
      <c r="L33" s="136" t="str">
        <f>IF(K33&lt;&gt;"","N/A","")</f>
        <v>N/A</v>
      </c>
      <c r="M33" s="86">
        <f>IF(K33&lt;&gt;"",M32,"")</f>
        <v>4.4859999999999998</v>
      </c>
      <c r="N33" s="139">
        <f t="shared" si="1"/>
        <v>4.4859999999999997E-2</v>
      </c>
    </row>
    <row r="35" spans="1:14" ht="16.5" customHeight="1" x14ac:dyDescent="0.2">
      <c r="A35" s="145" t="s">
        <v>286</v>
      </c>
      <c r="B35" s="145"/>
      <c r="C35" s="145"/>
      <c r="D35" s="85" t="b">
        <v>0</v>
      </c>
    </row>
    <row r="36" spans="1:14" ht="13.5" thickBot="1" x14ac:dyDescent="0.25">
      <c r="A36" s="88" t="s">
        <v>0</v>
      </c>
      <c r="B36" s="89" t="s">
        <v>4</v>
      </c>
      <c r="C36" s="89" t="s">
        <v>5</v>
      </c>
      <c r="D36" s="122" t="str">
        <f>IF(HelperCells!$B$2&lt;&gt;"","Updated: " &amp; TEXT(HelperCells!$B$2, "mm/dd/yyyy hh:mm AM/PM"),"")</f>
        <v/>
      </c>
    </row>
    <row r="37" spans="1:14" ht="13.5" thickTop="1" x14ac:dyDescent="0.2">
      <c r="A37" s="91"/>
      <c r="B37" s="92"/>
      <c r="C37" s="97"/>
    </row>
    <row r="38" spans="1:14" x14ac:dyDescent="0.2">
      <c r="A38" s="93"/>
      <c r="B38" s="94"/>
      <c r="C38" s="98"/>
    </row>
    <row r="39" spans="1:14" x14ac:dyDescent="0.2">
      <c r="A39" s="95"/>
      <c r="B39" s="96"/>
      <c r="C39" s="99"/>
    </row>
    <row r="40" spans="1:14" x14ac:dyDescent="0.2">
      <c r="A40" s="93"/>
      <c r="B40" s="94"/>
      <c r="C40" s="98"/>
    </row>
    <row r="41" spans="1:14" x14ac:dyDescent="0.2">
      <c r="A41" s="95"/>
      <c r="B41" s="96"/>
      <c r="C41" s="99"/>
    </row>
    <row r="42" spans="1:14" x14ac:dyDescent="0.2">
      <c r="A42" s="93"/>
      <c r="B42" s="94"/>
      <c r="C42" s="98"/>
    </row>
    <row r="43" spans="1:14" x14ac:dyDescent="0.2">
      <c r="A43" s="95"/>
      <c r="B43" s="96"/>
      <c r="C43" s="99"/>
    </row>
    <row r="44" spans="1:14" x14ac:dyDescent="0.2">
      <c r="A44" s="93"/>
      <c r="B44" s="94"/>
      <c r="C44" s="98"/>
    </row>
    <row r="45" spans="1:14" x14ac:dyDescent="0.2">
      <c r="A45" s="95"/>
      <c r="B45" s="96"/>
      <c r="C45" s="99"/>
    </row>
    <row r="46" spans="1:14" x14ac:dyDescent="0.2">
      <c r="A46" s="93"/>
      <c r="B46" s="94"/>
      <c r="C46" s="98"/>
    </row>
    <row r="47" spans="1:14" x14ac:dyDescent="0.2">
      <c r="A47" s="95"/>
      <c r="B47" s="96"/>
      <c r="C47" s="99"/>
    </row>
    <row r="48" spans="1:14" x14ac:dyDescent="0.2">
      <c r="A48" s="93"/>
      <c r="B48" s="94"/>
      <c r="C48" s="98"/>
    </row>
    <row r="49" spans="1:12" x14ac:dyDescent="0.2">
      <c r="A49" s="95"/>
      <c r="B49" s="96"/>
      <c r="C49" s="99"/>
    </row>
    <row r="50" spans="1:12" x14ac:dyDescent="0.2">
      <c r="A50" s="93"/>
      <c r="B50" s="94"/>
      <c r="C50" s="98"/>
    </row>
    <row r="51" spans="1:12" x14ac:dyDescent="0.2">
      <c r="A51" s="95"/>
      <c r="B51" s="96"/>
      <c r="C51" s="99"/>
    </row>
    <row r="52" spans="1:12" x14ac:dyDescent="0.2">
      <c r="A52" s="93"/>
      <c r="B52" s="94"/>
      <c r="C52" s="98"/>
    </row>
    <row r="53" spans="1:12" x14ac:dyDescent="0.2">
      <c r="A53" s="95"/>
      <c r="B53" s="96"/>
      <c r="C53" s="99"/>
    </row>
    <row r="54" spans="1:12" x14ac:dyDescent="0.2">
      <c r="A54" s="93"/>
      <c r="B54" s="94"/>
      <c r="C54" s="98"/>
    </row>
    <row r="55" spans="1:12" x14ac:dyDescent="0.2">
      <c r="A55" s="95"/>
      <c r="B55" s="96"/>
      <c r="C55" s="99"/>
      <c r="E55" s="7" t="s">
        <v>363</v>
      </c>
      <c r="L55" s="7" t="s">
        <v>362</v>
      </c>
    </row>
    <row r="56" spans="1:12" x14ac:dyDescent="0.2">
      <c r="A56" s="93"/>
      <c r="B56" s="94"/>
      <c r="C56" s="98"/>
    </row>
    <row r="57" spans="1:12" x14ac:dyDescent="0.2">
      <c r="A57" s="95"/>
      <c r="B57" s="96"/>
      <c r="C57" s="99"/>
    </row>
    <row r="58" spans="1:12" x14ac:dyDescent="0.2">
      <c r="A58" s="93"/>
      <c r="B58" s="94"/>
      <c r="C58" s="98"/>
    </row>
    <row r="59" spans="1:12" x14ac:dyDescent="0.2">
      <c r="A59" s="95"/>
      <c r="B59" s="96"/>
      <c r="C59" s="99"/>
    </row>
    <row r="60" spans="1:12" x14ac:dyDescent="0.2">
      <c r="A60" s="93"/>
      <c r="B60" s="94"/>
      <c r="C60" s="98"/>
    </row>
    <row r="61" spans="1:12" x14ac:dyDescent="0.2">
      <c r="A61" s="95"/>
      <c r="B61" s="96"/>
      <c r="C61" s="99"/>
    </row>
    <row r="62" spans="1:12" x14ac:dyDescent="0.2">
      <c r="A62" s="93"/>
      <c r="B62" s="94"/>
      <c r="C62" s="98"/>
    </row>
    <row r="63" spans="1:12" x14ac:dyDescent="0.2">
      <c r="A63" s="95"/>
      <c r="B63" s="96"/>
      <c r="C63" s="99"/>
    </row>
    <row r="64" spans="1:12" x14ac:dyDescent="0.2">
      <c r="A64" s="93"/>
      <c r="B64" s="94"/>
      <c r="C64" s="98"/>
    </row>
    <row r="65" spans="1:3" x14ac:dyDescent="0.2">
      <c r="A65" s="95"/>
      <c r="B65" s="96"/>
      <c r="C65" s="99"/>
    </row>
    <row r="66" spans="1:3" x14ac:dyDescent="0.2">
      <c r="A66" s="93"/>
      <c r="B66" s="94"/>
      <c r="C66" s="98"/>
    </row>
  </sheetData>
  <mergeCells count="4">
    <mergeCell ref="A35:C35"/>
    <mergeCell ref="A1:C1"/>
    <mergeCell ref="K1:N1"/>
    <mergeCell ref="F1:I1"/>
  </mergeCells>
  <conditionalFormatting sqref="F3:I33">
    <cfRule type="expression" dxfId="27" priority="6" stopIfTrue="1">
      <formula>AND($F3:$I3&lt;&gt;"", ISEVEN(ROW()))</formula>
    </cfRule>
    <cfRule type="expression" dxfId="26" priority="2">
      <formula>AND($F3:$I3&lt;&gt;"", ISODD(ROW()))</formula>
    </cfRule>
  </conditionalFormatting>
  <conditionalFormatting sqref="K3:N33">
    <cfRule type="expression" dxfId="25" priority="5">
      <formula>AND($K3:$N3&lt;&gt;"", ISODD(ROW()))</formula>
    </cfRule>
    <cfRule type="expression" dxfId="24" priority="1">
      <formula>AND($K3:$N3&lt;&gt;"", ISEVEN(ROW()))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WLE_FrozenRates_Toggle">
              <controlPr defaultSize="0" autoFill="0" autoLine="0" autoPict="0" macro="[0]!ToggleWLEFrozenRates">
                <anchor moveWithCells="1">
                  <from>
                    <xdr:col>4</xdr:col>
                    <xdr:colOff>28575</xdr:colOff>
                    <xdr:row>0</xdr:row>
                    <xdr:rowOff>190500</xdr:rowOff>
                  </from>
                  <to>
                    <xdr:col>4</xdr:col>
                    <xdr:colOff>1095375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oAge_FrozenRates_Toggle">
              <controlPr defaultSize="0" autoFill="0" autoLine="0" autoPict="0" macro="[0]!ToggleToAgeFrozenRates">
                <anchor moveWithCells="1">
                  <from>
                    <xdr:col>9</xdr:col>
                    <xdr:colOff>28575</xdr:colOff>
                    <xdr:row>0</xdr:row>
                    <xdr:rowOff>200025</xdr:rowOff>
                  </from>
                  <to>
                    <xdr:col>10</xdr:col>
                    <xdr:colOff>123825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[0]!ToggleBloombergRatesFreeze">
                <anchor moveWithCells="1">
                  <from>
                    <xdr:col>2</xdr:col>
                    <xdr:colOff>1905000</xdr:colOff>
                    <xdr:row>33</xdr:row>
                    <xdr:rowOff>152400</xdr:rowOff>
                  </from>
                  <to>
                    <xdr:col>3</xdr:col>
                    <xdr:colOff>2695575</xdr:colOff>
                    <xdr:row>35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B873F-0781-4BA6-AD2D-9C56411AAF19}">
  <sheetPr codeName="Sheet14">
    <tabColor rgb="FF808080"/>
  </sheetPr>
  <dimension ref="A1:B101"/>
  <sheetViews>
    <sheetView workbookViewId="0"/>
  </sheetViews>
  <sheetFormatPr defaultColWidth="8.85546875" defaultRowHeight="12.75" x14ac:dyDescent="0.2"/>
  <sheetData>
    <row r="1" spans="1:2" x14ac:dyDescent="0.2">
      <c r="A1">
        <v>0</v>
      </c>
      <c r="B1" s="11">
        <v>81.099999999999994</v>
      </c>
    </row>
    <row r="2" spans="1:2" x14ac:dyDescent="0.2">
      <c r="A2">
        <v>1</v>
      </c>
      <c r="B2" s="11">
        <v>80.5</v>
      </c>
    </row>
    <row r="3" spans="1:2" x14ac:dyDescent="0.2">
      <c r="A3">
        <v>2</v>
      </c>
      <c r="B3" s="11">
        <v>79.5</v>
      </c>
    </row>
    <row r="4" spans="1:2" x14ac:dyDescent="0.2">
      <c r="A4">
        <v>3</v>
      </c>
      <c r="B4" s="11">
        <v>78.5</v>
      </c>
    </row>
    <row r="5" spans="1:2" x14ac:dyDescent="0.2">
      <c r="A5">
        <v>4</v>
      </c>
      <c r="B5" s="11">
        <v>77.599999999999994</v>
      </c>
    </row>
    <row r="6" spans="1:2" x14ac:dyDescent="0.2">
      <c r="A6">
        <v>5</v>
      </c>
      <c r="B6" s="11">
        <v>76.599999999999994</v>
      </c>
    </row>
    <row r="7" spans="1:2" x14ac:dyDescent="0.2">
      <c r="A7">
        <v>6</v>
      </c>
      <c r="B7" s="11">
        <v>75.599999999999994</v>
      </c>
    </row>
    <row r="8" spans="1:2" x14ac:dyDescent="0.2">
      <c r="A8">
        <v>7</v>
      </c>
      <c r="B8" s="11">
        <v>74.599999999999994</v>
      </c>
    </row>
    <row r="9" spans="1:2" x14ac:dyDescent="0.2">
      <c r="A9">
        <v>8</v>
      </c>
      <c r="B9" s="11">
        <v>73.599999999999994</v>
      </c>
    </row>
    <row r="10" spans="1:2" x14ac:dyDescent="0.2">
      <c r="A10">
        <v>9</v>
      </c>
      <c r="B10" s="11">
        <v>72.599999999999994</v>
      </c>
    </row>
    <row r="11" spans="1:2" x14ac:dyDescent="0.2">
      <c r="A11">
        <v>10</v>
      </c>
      <c r="B11" s="11">
        <v>71.599999999999994</v>
      </c>
    </row>
    <row r="12" spans="1:2" x14ac:dyDescent="0.2">
      <c r="A12">
        <v>11</v>
      </c>
      <c r="B12" s="11">
        <v>70.599999999999994</v>
      </c>
    </row>
    <row r="13" spans="1:2" x14ac:dyDescent="0.2">
      <c r="A13">
        <v>12</v>
      </c>
      <c r="B13" s="11">
        <v>69.599999999999994</v>
      </c>
    </row>
    <row r="14" spans="1:2" x14ac:dyDescent="0.2">
      <c r="A14">
        <v>13</v>
      </c>
      <c r="B14" s="11">
        <v>68.599999999999994</v>
      </c>
    </row>
    <row r="15" spans="1:2" x14ac:dyDescent="0.2">
      <c r="A15">
        <v>14</v>
      </c>
      <c r="B15" s="11">
        <v>67.599999999999994</v>
      </c>
    </row>
    <row r="16" spans="1:2" x14ac:dyDescent="0.2">
      <c r="A16">
        <v>15</v>
      </c>
      <c r="B16" s="11">
        <v>66.7</v>
      </c>
    </row>
    <row r="17" spans="1:2" x14ac:dyDescent="0.2">
      <c r="A17">
        <v>16</v>
      </c>
      <c r="B17" s="11">
        <v>65.7</v>
      </c>
    </row>
    <row r="18" spans="1:2" x14ac:dyDescent="0.2">
      <c r="A18">
        <v>17</v>
      </c>
      <c r="B18" s="11">
        <v>64.7</v>
      </c>
    </row>
    <row r="19" spans="1:2" x14ac:dyDescent="0.2">
      <c r="A19">
        <v>18</v>
      </c>
      <c r="B19" s="11">
        <v>63.7</v>
      </c>
    </row>
    <row r="20" spans="1:2" x14ac:dyDescent="0.2">
      <c r="A20">
        <v>19</v>
      </c>
      <c r="B20" s="11">
        <v>62.7</v>
      </c>
    </row>
    <row r="21" spans="1:2" x14ac:dyDescent="0.2">
      <c r="A21">
        <v>20</v>
      </c>
      <c r="B21" s="11">
        <v>61.8</v>
      </c>
    </row>
    <row r="22" spans="1:2" x14ac:dyDescent="0.2">
      <c r="A22">
        <v>21</v>
      </c>
      <c r="B22" s="11">
        <v>60.8</v>
      </c>
    </row>
    <row r="23" spans="1:2" x14ac:dyDescent="0.2">
      <c r="A23">
        <v>22</v>
      </c>
      <c r="B23" s="11">
        <v>59.8</v>
      </c>
    </row>
    <row r="24" spans="1:2" x14ac:dyDescent="0.2">
      <c r="A24">
        <v>23</v>
      </c>
      <c r="B24" s="11">
        <v>58.9</v>
      </c>
    </row>
    <row r="25" spans="1:2" x14ac:dyDescent="0.2">
      <c r="A25">
        <v>24</v>
      </c>
      <c r="B25" s="11">
        <v>57.9</v>
      </c>
    </row>
    <row r="26" spans="1:2" x14ac:dyDescent="0.2">
      <c r="A26">
        <v>25</v>
      </c>
      <c r="B26" s="11">
        <v>56.9</v>
      </c>
    </row>
    <row r="27" spans="1:2" x14ac:dyDescent="0.2">
      <c r="A27">
        <v>26</v>
      </c>
      <c r="B27" s="11">
        <v>56</v>
      </c>
    </row>
    <row r="28" spans="1:2" x14ac:dyDescent="0.2">
      <c r="A28">
        <v>27</v>
      </c>
      <c r="B28" s="11">
        <v>55</v>
      </c>
    </row>
    <row r="29" spans="1:2" x14ac:dyDescent="0.2">
      <c r="A29">
        <v>28</v>
      </c>
      <c r="B29" s="11">
        <v>54</v>
      </c>
    </row>
    <row r="30" spans="1:2" x14ac:dyDescent="0.2">
      <c r="A30">
        <v>29</v>
      </c>
      <c r="B30" s="11">
        <v>53.1</v>
      </c>
    </row>
    <row r="31" spans="1:2" x14ac:dyDescent="0.2">
      <c r="A31">
        <v>30</v>
      </c>
      <c r="B31" s="11">
        <v>52.1</v>
      </c>
    </row>
    <row r="32" spans="1:2" x14ac:dyDescent="0.2">
      <c r="A32">
        <v>31</v>
      </c>
      <c r="B32" s="11">
        <v>51.2</v>
      </c>
    </row>
    <row r="33" spans="1:2" x14ac:dyDescent="0.2">
      <c r="A33">
        <v>32</v>
      </c>
      <c r="B33" s="11">
        <v>50.2</v>
      </c>
    </row>
    <row r="34" spans="1:2" x14ac:dyDescent="0.2">
      <c r="A34">
        <v>33</v>
      </c>
      <c r="B34" s="11">
        <v>49.3</v>
      </c>
    </row>
    <row r="35" spans="1:2" x14ac:dyDescent="0.2">
      <c r="A35">
        <v>34</v>
      </c>
      <c r="B35" s="11">
        <v>48.3</v>
      </c>
    </row>
    <row r="36" spans="1:2" x14ac:dyDescent="0.2">
      <c r="A36">
        <v>35</v>
      </c>
      <c r="B36" s="11">
        <v>47.4</v>
      </c>
    </row>
    <row r="37" spans="1:2" x14ac:dyDescent="0.2">
      <c r="A37">
        <v>36</v>
      </c>
      <c r="B37" s="11">
        <v>46.4</v>
      </c>
    </row>
    <row r="38" spans="1:2" x14ac:dyDescent="0.2">
      <c r="A38">
        <v>37</v>
      </c>
      <c r="B38" s="11">
        <v>45.5</v>
      </c>
    </row>
    <row r="39" spans="1:2" x14ac:dyDescent="0.2">
      <c r="A39">
        <v>38</v>
      </c>
      <c r="B39" s="11">
        <v>44.5</v>
      </c>
    </row>
    <row r="40" spans="1:2" x14ac:dyDescent="0.2">
      <c r="A40">
        <v>39</v>
      </c>
      <c r="B40" s="11">
        <v>43.6</v>
      </c>
    </row>
    <row r="41" spans="1:2" x14ac:dyDescent="0.2">
      <c r="A41">
        <v>40</v>
      </c>
      <c r="B41" s="11">
        <v>42.7</v>
      </c>
    </row>
    <row r="42" spans="1:2" x14ac:dyDescent="0.2">
      <c r="A42">
        <v>41</v>
      </c>
      <c r="B42" s="11">
        <v>41.7</v>
      </c>
    </row>
    <row r="43" spans="1:2" x14ac:dyDescent="0.2">
      <c r="A43">
        <v>42</v>
      </c>
      <c r="B43" s="11">
        <v>40.799999999999997</v>
      </c>
    </row>
    <row r="44" spans="1:2" x14ac:dyDescent="0.2">
      <c r="A44">
        <v>43</v>
      </c>
      <c r="B44" s="11">
        <v>39.9</v>
      </c>
    </row>
    <row r="45" spans="1:2" x14ac:dyDescent="0.2">
      <c r="A45">
        <v>44</v>
      </c>
      <c r="B45" s="11">
        <v>39</v>
      </c>
    </row>
    <row r="46" spans="1:2" x14ac:dyDescent="0.2">
      <c r="A46">
        <v>45</v>
      </c>
      <c r="B46" s="11">
        <v>38</v>
      </c>
    </row>
    <row r="47" spans="1:2" x14ac:dyDescent="0.2">
      <c r="A47">
        <v>46</v>
      </c>
      <c r="B47" s="11">
        <v>37.1</v>
      </c>
    </row>
    <row r="48" spans="1:2" x14ac:dyDescent="0.2">
      <c r="A48">
        <v>47</v>
      </c>
      <c r="B48" s="11">
        <v>36.200000000000003</v>
      </c>
    </row>
    <row r="49" spans="1:2" x14ac:dyDescent="0.2">
      <c r="A49">
        <v>48</v>
      </c>
      <c r="B49" s="11">
        <v>35.299999999999997</v>
      </c>
    </row>
    <row r="50" spans="1:2" x14ac:dyDescent="0.2">
      <c r="A50">
        <v>49</v>
      </c>
      <c r="B50" s="11">
        <v>34.4</v>
      </c>
    </row>
    <row r="51" spans="1:2" x14ac:dyDescent="0.2">
      <c r="A51">
        <v>50</v>
      </c>
      <c r="B51" s="11">
        <v>33.5</v>
      </c>
    </row>
    <row r="52" spans="1:2" x14ac:dyDescent="0.2">
      <c r="A52">
        <v>51</v>
      </c>
      <c r="B52" s="11">
        <v>32.6</v>
      </c>
    </row>
    <row r="53" spans="1:2" x14ac:dyDescent="0.2">
      <c r="A53">
        <v>52</v>
      </c>
      <c r="B53" s="11">
        <v>31.7</v>
      </c>
    </row>
    <row r="54" spans="1:2" x14ac:dyDescent="0.2">
      <c r="A54">
        <v>53</v>
      </c>
      <c r="B54" s="11">
        <v>30.8</v>
      </c>
    </row>
    <row r="55" spans="1:2" x14ac:dyDescent="0.2">
      <c r="A55">
        <v>54</v>
      </c>
      <c r="B55" s="11">
        <v>29.9</v>
      </c>
    </row>
    <row r="56" spans="1:2" x14ac:dyDescent="0.2">
      <c r="A56">
        <v>55</v>
      </c>
      <c r="B56" s="11">
        <v>29</v>
      </c>
    </row>
    <row r="57" spans="1:2" x14ac:dyDescent="0.2">
      <c r="A57">
        <v>56</v>
      </c>
      <c r="B57" s="11">
        <v>28.2</v>
      </c>
    </row>
    <row r="58" spans="1:2" x14ac:dyDescent="0.2">
      <c r="A58">
        <v>57</v>
      </c>
      <c r="B58" s="11">
        <v>27.3</v>
      </c>
    </row>
    <row r="59" spans="1:2" x14ac:dyDescent="0.2">
      <c r="A59">
        <v>58</v>
      </c>
      <c r="B59" s="11">
        <v>26.5</v>
      </c>
    </row>
    <row r="60" spans="1:2" x14ac:dyDescent="0.2">
      <c r="A60">
        <v>59</v>
      </c>
      <c r="B60" s="11">
        <v>25.6</v>
      </c>
    </row>
    <row r="61" spans="1:2" x14ac:dyDescent="0.2">
      <c r="A61">
        <v>60</v>
      </c>
      <c r="B61" s="11">
        <v>24.8</v>
      </c>
    </row>
    <row r="62" spans="1:2" x14ac:dyDescent="0.2">
      <c r="A62">
        <v>61</v>
      </c>
      <c r="B62" s="11">
        <v>23.9</v>
      </c>
    </row>
    <row r="63" spans="1:2" x14ac:dyDescent="0.2">
      <c r="A63">
        <v>62</v>
      </c>
      <c r="B63" s="11">
        <v>23.1</v>
      </c>
    </row>
    <row r="64" spans="1:2" x14ac:dyDescent="0.2">
      <c r="A64">
        <v>63</v>
      </c>
      <c r="B64" s="11">
        <v>22.3</v>
      </c>
    </row>
    <row r="65" spans="1:2" x14ac:dyDescent="0.2">
      <c r="A65">
        <v>64</v>
      </c>
      <c r="B65" s="11">
        <v>21.5</v>
      </c>
    </row>
    <row r="66" spans="1:2" x14ac:dyDescent="0.2">
      <c r="A66">
        <v>65</v>
      </c>
      <c r="B66" s="11">
        <v>20.7</v>
      </c>
    </row>
    <row r="67" spans="1:2" x14ac:dyDescent="0.2">
      <c r="A67">
        <v>66</v>
      </c>
      <c r="B67" s="11">
        <v>19.899999999999999</v>
      </c>
    </row>
    <row r="68" spans="1:2" x14ac:dyDescent="0.2">
      <c r="A68">
        <v>67</v>
      </c>
      <c r="B68" s="11">
        <v>19.100000000000001</v>
      </c>
    </row>
    <row r="69" spans="1:2" x14ac:dyDescent="0.2">
      <c r="A69">
        <v>68</v>
      </c>
      <c r="B69" s="11">
        <v>18.399999999999999</v>
      </c>
    </row>
    <row r="70" spans="1:2" x14ac:dyDescent="0.2">
      <c r="A70">
        <v>69</v>
      </c>
      <c r="B70" s="11">
        <v>17.600000000000001</v>
      </c>
    </row>
    <row r="71" spans="1:2" x14ac:dyDescent="0.2">
      <c r="A71">
        <v>70</v>
      </c>
      <c r="B71" s="11">
        <v>16.8</v>
      </c>
    </row>
    <row r="72" spans="1:2" x14ac:dyDescent="0.2">
      <c r="A72">
        <v>71</v>
      </c>
      <c r="B72" s="11">
        <v>16.100000000000001</v>
      </c>
    </row>
    <row r="73" spans="1:2" x14ac:dyDescent="0.2">
      <c r="A73">
        <v>72</v>
      </c>
      <c r="B73" s="11">
        <v>15.3</v>
      </c>
    </row>
    <row r="74" spans="1:2" x14ac:dyDescent="0.2">
      <c r="A74">
        <v>73</v>
      </c>
      <c r="B74" s="11">
        <v>14.6</v>
      </c>
    </row>
    <row r="75" spans="1:2" x14ac:dyDescent="0.2">
      <c r="A75">
        <v>74</v>
      </c>
      <c r="B75" s="11">
        <v>13.9</v>
      </c>
    </row>
    <row r="76" spans="1:2" x14ac:dyDescent="0.2">
      <c r="A76">
        <v>75</v>
      </c>
      <c r="B76" s="11">
        <v>13.2</v>
      </c>
    </row>
    <row r="77" spans="1:2" x14ac:dyDescent="0.2">
      <c r="A77">
        <v>76</v>
      </c>
      <c r="B77" s="11">
        <v>12.5</v>
      </c>
    </row>
    <row r="78" spans="1:2" x14ac:dyDescent="0.2">
      <c r="A78">
        <v>77</v>
      </c>
      <c r="B78" s="11">
        <v>11.8</v>
      </c>
    </row>
    <row r="79" spans="1:2" x14ac:dyDescent="0.2">
      <c r="A79">
        <v>78</v>
      </c>
      <c r="B79" s="11">
        <v>11.1</v>
      </c>
    </row>
    <row r="80" spans="1:2" x14ac:dyDescent="0.2">
      <c r="A80">
        <v>79</v>
      </c>
      <c r="B80" s="11">
        <v>10.5</v>
      </c>
    </row>
    <row r="81" spans="1:2" x14ac:dyDescent="0.2">
      <c r="A81">
        <v>80</v>
      </c>
      <c r="B81" s="11">
        <v>9.9</v>
      </c>
    </row>
    <row r="82" spans="1:2" x14ac:dyDescent="0.2">
      <c r="A82">
        <v>81</v>
      </c>
      <c r="B82" s="11">
        <v>9.1999999999999993</v>
      </c>
    </row>
    <row r="83" spans="1:2" x14ac:dyDescent="0.2">
      <c r="A83">
        <v>82</v>
      </c>
      <c r="B83" s="11">
        <v>8.6999999999999993</v>
      </c>
    </row>
    <row r="84" spans="1:2" x14ac:dyDescent="0.2">
      <c r="A84">
        <v>83</v>
      </c>
      <c r="B84" s="11">
        <v>8.1</v>
      </c>
    </row>
    <row r="85" spans="1:2" x14ac:dyDescent="0.2">
      <c r="A85">
        <v>84</v>
      </c>
      <c r="B85" s="11">
        <v>7.6</v>
      </c>
    </row>
    <row r="86" spans="1:2" x14ac:dyDescent="0.2">
      <c r="A86">
        <v>85</v>
      </c>
      <c r="B86" s="11">
        <v>7</v>
      </c>
    </row>
    <row r="87" spans="1:2" x14ac:dyDescent="0.2">
      <c r="A87">
        <v>86</v>
      </c>
      <c r="B87" s="11">
        <v>6.5</v>
      </c>
    </row>
    <row r="88" spans="1:2" x14ac:dyDescent="0.2">
      <c r="A88">
        <v>87</v>
      </c>
      <c r="B88" s="11">
        <v>6.1</v>
      </c>
    </row>
    <row r="89" spans="1:2" x14ac:dyDescent="0.2">
      <c r="A89">
        <v>88</v>
      </c>
      <c r="B89" s="11">
        <v>5.6</v>
      </c>
    </row>
    <row r="90" spans="1:2" x14ac:dyDescent="0.2">
      <c r="A90">
        <v>89</v>
      </c>
      <c r="B90" s="11">
        <v>5.2</v>
      </c>
    </row>
    <row r="91" spans="1:2" x14ac:dyDescent="0.2">
      <c r="A91">
        <v>90</v>
      </c>
      <c r="B91" s="11">
        <v>4.8</v>
      </c>
    </row>
    <row r="92" spans="1:2" x14ac:dyDescent="0.2">
      <c r="A92">
        <v>91</v>
      </c>
      <c r="B92" s="11">
        <v>4.5</v>
      </c>
    </row>
    <row r="93" spans="1:2" x14ac:dyDescent="0.2">
      <c r="A93">
        <v>92</v>
      </c>
      <c r="B93" s="11">
        <v>4.0999999999999996</v>
      </c>
    </row>
    <row r="94" spans="1:2" x14ac:dyDescent="0.2">
      <c r="A94">
        <v>93</v>
      </c>
      <c r="B94" s="11">
        <v>3.8</v>
      </c>
    </row>
    <row r="95" spans="1:2" x14ac:dyDescent="0.2">
      <c r="A95">
        <v>94</v>
      </c>
      <c r="B95" s="11">
        <v>3.5</v>
      </c>
    </row>
    <row r="96" spans="1:2" x14ac:dyDescent="0.2">
      <c r="A96">
        <v>95</v>
      </c>
      <c r="B96" s="11">
        <v>3.3</v>
      </c>
    </row>
    <row r="97" spans="1:2" x14ac:dyDescent="0.2">
      <c r="A97">
        <v>96</v>
      </c>
      <c r="B97" s="11">
        <v>3</v>
      </c>
    </row>
    <row r="98" spans="1:2" x14ac:dyDescent="0.2">
      <c r="A98">
        <v>97</v>
      </c>
      <c r="B98" s="11">
        <v>2.8</v>
      </c>
    </row>
    <row r="99" spans="1:2" x14ac:dyDescent="0.2">
      <c r="A99">
        <v>98</v>
      </c>
      <c r="B99" s="11">
        <v>2.6</v>
      </c>
    </row>
    <row r="100" spans="1:2" x14ac:dyDescent="0.2">
      <c r="A100">
        <v>99</v>
      </c>
      <c r="B100" s="11">
        <v>2.4</v>
      </c>
    </row>
    <row r="101" spans="1:2" x14ac:dyDescent="0.2">
      <c r="B101" s="11">
        <v>2.2999999999999998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EFD2E-F34F-4943-B677-81A93987E49B}">
  <sheetPr codeName="Sheet15">
    <tabColor rgb="FF808080"/>
  </sheetPr>
  <dimension ref="A1:B101"/>
  <sheetViews>
    <sheetView workbookViewId="0"/>
  </sheetViews>
  <sheetFormatPr defaultColWidth="8.85546875" defaultRowHeight="12.75" x14ac:dyDescent="0.2"/>
  <sheetData>
    <row r="1" spans="1:2" x14ac:dyDescent="0.2">
      <c r="A1">
        <v>0</v>
      </c>
      <c r="B1" s="11">
        <v>75.8</v>
      </c>
    </row>
    <row r="2" spans="1:2" x14ac:dyDescent="0.2">
      <c r="A2">
        <v>1</v>
      </c>
      <c r="B2" s="11">
        <v>75.3</v>
      </c>
    </row>
    <row r="3" spans="1:2" x14ac:dyDescent="0.2">
      <c r="A3">
        <v>2</v>
      </c>
      <c r="B3" s="11">
        <v>74.3</v>
      </c>
    </row>
    <row r="4" spans="1:2" x14ac:dyDescent="0.2">
      <c r="A4">
        <v>3</v>
      </c>
      <c r="B4" s="11">
        <v>73.3</v>
      </c>
    </row>
    <row r="5" spans="1:2" x14ac:dyDescent="0.2">
      <c r="A5">
        <v>4</v>
      </c>
      <c r="B5" s="11">
        <v>72.400000000000006</v>
      </c>
    </row>
    <row r="6" spans="1:2" x14ac:dyDescent="0.2">
      <c r="A6">
        <v>5</v>
      </c>
      <c r="B6" s="11">
        <v>71.400000000000006</v>
      </c>
    </row>
    <row r="7" spans="1:2" x14ac:dyDescent="0.2">
      <c r="A7">
        <v>6</v>
      </c>
      <c r="B7" s="11">
        <v>70.400000000000006</v>
      </c>
    </row>
    <row r="8" spans="1:2" x14ac:dyDescent="0.2">
      <c r="A8">
        <v>7</v>
      </c>
      <c r="B8" s="11">
        <v>69.400000000000006</v>
      </c>
    </row>
    <row r="9" spans="1:2" x14ac:dyDescent="0.2">
      <c r="A9">
        <v>8</v>
      </c>
      <c r="B9" s="11">
        <v>68.400000000000006</v>
      </c>
    </row>
    <row r="10" spans="1:2" x14ac:dyDescent="0.2">
      <c r="A10">
        <v>9</v>
      </c>
      <c r="B10" s="11">
        <v>67.400000000000006</v>
      </c>
    </row>
    <row r="11" spans="1:2" x14ac:dyDescent="0.2">
      <c r="A11">
        <v>10</v>
      </c>
      <c r="B11" s="11">
        <v>66.400000000000006</v>
      </c>
    </row>
    <row r="12" spans="1:2" x14ac:dyDescent="0.2">
      <c r="A12">
        <v>11</v>
      </c>
      <c r="B12" s="11">
        <v>65.400000000000006</v>
      </c>
    </row>
    <row r="13" spans="1:2" x14ac:dyDescent="0.2">
      <c r="A13">
        <v>12</v>
      </c>
      <c r="B13" s="11">
        <v>64.400000000000006</v>
      </c>
    </row>
    <row r="14" spans="1:2" x14ac:dyDescent="0.2">
      <c r="A14">
        <v>13</v>
      </c>
      <c r="B14" s="11">
        <v>63.4</v>
      </c>
    </row>
    <row r="15" spans="1:2" x14ac:dyDescent="0.2">
      <c r="A15">
        <v>14</v>
      </c>
      <c r="B15" s="11">
        <v>62.5</v>
      </c>
    </row>
    <row r="16" spans="1:2" x14ac:dyDescent="0.2">
      <c r="A16">
        <v>15</v>
      </c>
      <c r="B16" s="11">
        <v>61.5</v>
      </c>
    </row>
    <row r="17" spans="1:2" x14ac:dyDescent="0.2">
      <c r="A17">
        <v>16</v>
      </c>
      <c r="B17" s="11">
        <v>60.5</v>
      </c>
    </row>
    <row r="18" spans="1:2" x14ac:dyDescent="0.2">
      <c r="A18">
        <v>17</v>
      </c>
      <c r="B18" s="11">
        <v>59.6</v>
      </c>
    </row>
    <row r="19" spans="1:2" x14ac:dyDescent="0.2">
      <c r="A19">
        <v>18</v>
      </c>
      <c r="B19" s="11">
        <v>58.6</v>
      </c>
    </row>
    <row r="20" spans="1:2" x14ac:dyDescent="0.2">
      <c r="A20">
        <v>19</v>
      </c>
      <c r="B20" s="11">
        <v>57.7</v>
      </c>
    </row>
    <row r="21" spans="1:2" x14ac:dyDescent="0.2">
      <c r="A21">
        <v>20</v>
      </c>
      <c r="B21" s="11">
        <v>56.7</v>
      </c>
    </row>
    <row r="22" spans="1:2" x14ac:dyDescent="0.2">
      <c r="A22">
        <v>21</v>
      </c>
      <c r="B22" s="11">
        <v>55.8</v>
      </c>
    </row>
    <row r="23" spans="1:2" x14ac:dyDescent="0.2">
      <c r="A23">
        <v>22</v>
      </c>
      <c r="B23" s="11">
        <v>54.9</v>
      </c>
    </row>
    <row r="24" spans="1:2" x14ac:dyDescent="0.2">
      <c r="A24">
        <v>23</v>
      </c>
      <c r="B24" s="11">
        <v>53.9</v>
      </c>
    </row>
    <row r="25" spans="1:2" x14ac:dyDescent="0.2">
      <c r="A25">
        <v>24</v>
      </c>
      <c r="B25" s="11">
        <v>53</v>
      </c>
    </row>
    <row r="26" spans="1:2" x14ac:dyDescent="0.2">
      <c r="A26">
        <v>25</v>
      </c>
      <c r="B26" s="11">
        <v>52.1</v>
      </c>
    </row>
    <row r="27" spans="1:2" x14ac:dyDescent="0.2">
      <c r="A27">
        <v>26</v>
      </c>
      <c r="B27" s="11">
        <v>51.2</v>
      </c>
    </row>
    <row r="28" spans="1:2" x14ac:dyDescent="0.2">
      <c r="A28">
        <v>27</v>
      </c>
      <c r="B28" s="11">
        <v>50.3</v>
      </c>
    </row>
    <row r="29" spans="1:2" x14ac:dyDescent="0.2">
      <c r="A29">
        <v>28</v>
      </c>
      <c r="B29" s="11">
        <v>49.4</v>
      </c>
    </row>
    <row r="30" spans="1:2" x14ac:dyDescent="0.2">
      <c r="A30">
        <v>29</v>
      </c>
      <c r="B30" s="11">
        <v>48.4</v>
      </c>
    </row>
    <row r="31" spans="1:2" x14ac:dyDescent="0.2">
      <c r="A31">
        <v>30</v>
      </c>
      <c r="B31" s="11">
        <v>47.5</v>
      </c>
    </row>
    <row r="32" spans="1:2" x14ac:dyDescent="0.2">
      <c r="A32">
        <v>31</v>
      </c>
      <c r="B32" s="11">
        <v>46.6</v>
      </c>
    </row>
    <row r="33" spans="1:2" x14ac:dyDescent="0.2">
      <c r="A33">
        <v>32</v>
      </c>
      <c r="B33" s="11">
        <v>45.7</v>
      </c>
    </row>
    <row r="34" spans="1:2" x14ac:dyDescent="0.2">
      <c r="A34">
        <v>33</v>
      </c>
      <c r="B34" s="11">
        <v>44.9</v>
      </c>
    </row>
    <row r="35" spans="1:2" x14ac:dyDescent="0.2">
      <c r="A35">
        <v>34</v>
      </c>
      <c r="B35" s="11">
        <v>44</v>
      </c>
    </row>
    <row r="36" spans="1:2" x14ac:dyDescent="0.2">
      <c r="A36">
        <v>35</v>
      </c>
      <c r="B36" s="11">
        <v>43.1</v>
      </c>
    </row>
    <row r="37" spans="1:2" x14ac:dyDescent="0.2">
      <c r="A37">
        <v>36</v>
      </c>
      <c r="B37" s="11">
        <v>42.2</v>
      </c>
    </row>
    <row r="38" spans="1:2" x14ac:dyDescent="0.2">
      <c r="A38">
        <v>37</v>
      </c>
      <c r="B38" s="11">
        <v>41.3</v>
      </c>
    </row>
    <row r="39" spans="1:2" x14ac:dyDescent="0.2">
      <c r="A39">
        <v>38</v>
      </c>
      <c r="B39" s="11">
        <v>40.4</v>
      </c>
    </row>
    <row r="40" spans="1:2" x14ac:dyDescent="0.2">
      <c r="A40">
        <v>39</v>
      </c>
      <c r="B40" s="11">
        <v>39.5</v>
      </c>
    </row>
    <row r="41" spans="1:2" x14ac:dyDescent="0.2">
      <c r="A41">
        <v>40</v>
      </c>
      <c r="B41" s="11">
        <v>38.6</v>
      </c>
    </row>
    <row r="42" spans="1:2" x14ac:dyDescent="0.2">
      <c r="A42">
        <v>41</v>
      </c>
      <c r="B42" s="11">
        <v>37.799999999999997</v>
      </c>
    </row>
    <row r="43" spans="1:2" x14ac:dyDescent="0.2">
      <c r="A43">
        <v>42</v>
      </c>
      <c r="B43" s="11">
        <v>36.9</v>
      </c>
    </row>
    <row r="44" spans="1:2" x14ac:dyDescent="0.2">
      <c r="A44">
        <v>43</v>
      </c>
      <c r="B44" s="11">
        <v>36</v>
      </c>
    </row>
    <row r="45" spans="1:2" x14ac:dyDescent="0.2">
      <c r="A45">
        <v>44</v>
      </c>
      <c r="B45" s="11">
        <v>35.1</v>
      </c>
    </row>
    <row r="46" spans="1:2" x14ac:dyDescent="0.2">
      <c r="A46">
        <v>45</v>
      </c>
      <c r="B46" s="11">
        <v>34.299999999999997</v>
      </c>
    </row>
    <row r="47" spans="1:2" x14ac:dyDescent="0.2">
      <c r="A47">
        <v>46</v>
      </c>
      <c r="B47" s="11">
        <v>33.4</v>
      </c>
    </row>
    <row r="48" spans="1:2" x14ac:dyDescent="0.2">
      <c r="A48">
        <v>47</v>
      </c>
      <c r="B48" s="11">
        <v>32.5</v>
      </c>
    </row>
    <row r="49" spans="1:2" x14ac:dyDescent="0.2">
      <c r="A49">
        <v>48</v>
      </c>
      <c r="B49" s="11">
        <v>31.7</v>
      </c>
    </row>
    <row r="50" spans="1:2" x14ac:dyDescent="0.2">
      <c r="A50">
        <v>49</v>
      </c>
      <c r="B50" s="11">
        <v>30.8</v>
      </c>
    </row>
    <row r="51" spans="1:2" x14ac:dyDescent="0.2">
      <c r="A51">
        <v>50</v>
      </c>
      <c r="B51" s="11">
        <v>30</v>
      </c>
    </row>
    <row r="52" spans="1:2" x14ac:dyDescent="0.2">
      <c r="A52">
        <v>51</v>
      </c>
      <c r="B52" s="11">
        <v>29.1</v>
      </c>
    </row>
    <row r="53" spans="1:2" x14ac:dyDescent="0.2">
      <c r="A53">
        <v>52</v>
      </c>
      <c r="B53" s="11">
        <v>28.3</v>
      </c>
    </row>
    <row r="54" spans="1:2" x14ac:dyDescent="0.2">
      <c r="A54">
        <v>53</v>
      </c>
      <c r="B54" s="11">
        <v>27.4</v>
      </c>
    </row>
    <row r="55" spans="1:2" x14ac:dyDescent="0.2">
      <c r="A55">
        <v>54</v>
      </c>
      <c r="B55" s="11">
        <v>26.6</v>
      </c>
    </row>
    <row r="56" spans="1:2" x14ac:dyDescent="0.2">
      <c r="A56">
        <v>55</v>
      </c>
      <c r="B56" s="11">
        <v>25.8</v>
      </c>
    </row>
    <row r="57" spans="1:2" x14ac:dyDescent="0.2">
      <c r="A57">
        <v>56</v>
      </c>
      <c r="B57" s="11">
        <v>25</v>
      </c>
    </row>
    <row r="58" spans="1:2" x14ac:dyDescent="0.2">
      <c r="A58">
        <v>57</v>
      </c>
      <c r="B58" s="11">
        <v>24.2</v>
      </c>
    </row>
    <row r="59" spans="1:2" x14ac:dyDescent="0.2">
      <c r="A59">
        <v>58</v>
      </c>
      <c r="B59" s="11">
        <v>23.4</v>
      </c>
    </row>
    <row r="60" spans="1:2" x14ac:dyDescent="0.2">
      <c r="A60">
        <v>59</v>
      </c>
      <c r="B60" s="11">
        <v>22.6</v>
      </c>
    </row>
    <row r="61" spans="1:2" x14ac:dyDescent="0.2">
      <c r="A61">
        <v>60</v>
      </c>
      <c r="B61" s="11">
        <v>21.9</v>
      </c>
    </row>
    <row r="62" spans="1:2" x14ac:dyDescent="0.2">
      <c r="A62">
        <v>61</v>
      </c>
      <c r="B62" s="11">
        <v>21.1</v>
      </c>
    </row>
    <row r="63" spans="1:2" x14ac:dyDescent="0.2">
      <c r="A63">
        <v>62</v>
      </c>
      <c r="B63" s="11">
        <v>20.399999999999999</v>
      </c>
    </row>
    <row r="64" spans="1:2" x14ac:dyDescent="0.2">
      <c r="A64">
        <v>63</v>
      </c>
      <c r="B64" s="11">
        <v>19.600000000000001</v>
      </c>
    </row>
    <row r="65" spans="1:2" x14ac:dyDescent="0.2">
      <c r="A65">
        <v>64</v>
      </c>
      <c r="B65" s="11">
        <v>18.899999999999999</v>
      </c>
    </row>
    <row r="66" spans="1:2" x14ac:dyDescent="0.2">
      <c r="A66">
        <v>65</v>
      </c>
      <c r="B66" s="11">
        <v>18.2</v>
      </c>
    </row>
    <row r="67" spans="1:2" x14ac:dyDescent="0.2">
      <c r="A67">
        <v>66</v>
      </c>
      <c r="B67" s="11">
        <v>17.5</v>
      </c>
    </row>
    <row r="68" spans="1:2" x14ac:dyDescent="0.2">
      <c r="A68">
        <v>67</v>
      </c>
      <c r="B68" s="11">
        <v>16.8</v>
      </c>
    </row>
    <row r="69" spans="1:2" x14ac:dyDescent="0.2">
      <c r="A69">
        <v>68</v>
      </c>
      <c r="B69" s="11">
        <v>16.100000000000001</v>
      </c>
    </row>
    <row r="70" spans="1:2" x14ac:dyDescent="0.2">
      <c r="A70">
        <v>69</v>
      </c>
      <c r="B70" s="11">
        <v>15.4</v>
      </c>
    </row>
    <row r="71" spans="1:2" x14ac:dyDescent="0.2">
      <c r="A71">
        <v>70</v>
      </c>
      <c r="B71" s="11">
        <v>14.7</v>
      </c>
    </row>
    <row r="72" spans="1:2" x14ac:dyDescent="0.2">
      <c r="A72">
        <v>71</v>
      </c>
      <c r="B72" s="11">
        <v>14.1</v>
      </c>
    </row>
    <row r="73" spans="1:2" x14ac:dyDescent="0.2">
      <c r="A73">
        <v>72</v>
      </c>
      <c r="B73" s="11">
        <v>13.4</v>
      </c>
    </row>
    <row r="74" spans="1:2" x14ac:dyDescent="0.2">
      <c r="A74">
        <v>73</v>
      </c>
      <c r="B74" s="11">
        <v>12.8</v>
      </c>
    </row>
    <row r="75" spans="1:2" x14ac:dyDescent="0.2">
      <c r="A75">
        <v>74</v>
      </c>
      <c r="B75" s="11">
        <v>12.1</v>
      </c>
    </row>
    <row r="76" spans="1:2" x14ac:dyDescent="0.2">
      <c r="A76">
        <v>75</v>
      </c>
      <c r="B76" s="11">
        <v>11.5</v>
      </c>
    </row>
    <row r="77" spans="1:2" x14ac:dyDescent="0.2">
      <c r="A77">
        <v>76</v>
      </c>
      <c r="B77" s="11">
        <v>10.9</v>
      </c>
    </row>
    <row r="78" spans="1:2" x14ac:dyDescent="0.2">
      <c r="A78">
        <v>77</v>
      </c>
      <c r="B78" s="11">
        <v>10.3</v>
      </c>
    </row>
    <row r="79" spans="1:2" x14ac:dyDescent="0.2">
      <c r="A79">
        <v>78</v>
      </c>
      <c r="B79" s="11">
        <v>9.6999999999999993</v>
      </c>
    </row>
    <row r="80" spans="1:2" x14ac:dyDescent="0.2">
      <c r="A80">
        <v>79</v>
      </c>
      <c r="B80" s="11">
        <v>9.1</v>
      </c>
    </row>
    <row r="81" spans="1:2" x14ac:dyDescent="0.2">
      <c r="A81">
        <v>80</v>
      </c>
      <c r="B81" s="11">
        <v>8.5</v>
      </c>
    </row>
    <row r="82" spans="1:2" x14ac:dyDescent="0.2">
      <c r="A82">
        <v>81</v>
      </c>
      <c r="B82" s="11">
        <v>8</v>
      </c>
    </row>
    <row r="83" spans="1:2" x14ac:dyDescent="0.2">
      <c r="A83">
        <v>82</v>
      </c>
      <c r="B83" s="11">
        <v>7.5</v>
      </c>
    </row>
    <row r="84" spans="1:2" x14ac:dyDescent="0.2">
      <c r="A84">
        <v>83</v>
      </c>
      <c r="B84" s="11">
        <v>7</v>
      </c>
    </row>
    <row r="85" spans="1:2" x14ac:dyDescent="0.2">
      <c r="A85">
        <v>84</v>
      </c>
      <c r="B85" s="11">
        <v>6.5</v>
      </c>
    </row>
    <row r="86" spans="1:2" x14ac:dyDescent="0.2">
      <c r="A86">
        <v>85</v>
      </c>
      <c r="B86" s="11">
        <v>6.1</v>
      </c>
    </row>
    <row r="87" spans="1:2" x14ac:dyDescent="0.2">
      <c r="A87">
        <v>86</v>
      </c>
      <c r="B87" s="11">
        <v>5.6</v>
      </c>
    </row>
    <row r="88" spans="1:2" x14ac:dyDescent="0.2">
      <c r="A88">
        <v>87</v>
      </c>
      <c r="B88" s="11">
        <v>5.2</v>
      </c>
    </row>
    <row r="89" spans="1:2" x14ac:dyDescent="0.2">
      <c r="A89">
        <v>88</v>
      </c>
      <c r="B89" s="11">
        <v>4.8</v>
      </c>
    </row>
    <row r="90" spans="1:2" x14ac:dyDescent="0.2">
      <c r="A90">
        <v>89</v>
      </c>
      <c r="B90" s="11">
        <v>4.5</v>
      </c>
    </row>
    <row r="91" spans="1:2" x14ac:dyDescent="0.2">
      <c r="A91">
        <v>90</v>
      </c>
      <c r="B91" s="11">
        <v>4.0999999999999996</v>
      </c>
    </row>
    <row r="92" spans="1:2" x14ac:dyDescent="0.2">
      <c r="A92">
        <v>91</v>
      </c>
      <c r="B92" s="11">
        <v>3.8</v>
      </c>
    </row>
    <row r="93" spans="1:2" x14ac:dyDescent="0.2">
      <c r="A93">
        <v>92</v>
      </c>
      <c r="B93" s="11">
        <v>3.5</v>
      </c>
    </row>
    <row r="94" spans="1:2" x14ac:dyDescent="0.2">
      <c r="A94">
        <v>93</v>
      </c>
      <c r="B94" s="11">
        <v>3.3</v>
      </c>
    </row>
    <row r="95" spans="1:2" x14ac:dyDescent="0.2">
      <c r="A95">
        <v>94</v>
      </c>
      <c r="B95" s="11">
        <v>3</v>
      </c>
    </row>
    <row r="96" spans="1:2" x14ac:dyDescent="0.2">
      <c r="A96">
        <v>95</v>
      </c>
      <c r="B96" s="11">
        <v>2.8</v>
      </c>
    </row>
    <row r="97" spans="1:2" x14ac:dyDescent="0.2">
      <c r="A97">
        <v>96</v>
      </c>
      <c r="B97" s="11">
        <v>2.6</v>
      </c>
    </row>
    <row r="98" spans="1:2" x14ac:dyDescent="0.2">
      <c r="A98">
        <v>97</v>
      </c>
      <c r="B98" s="11">
        <v>2.5</v>
      </c>
    </row>
    <row r="99" spans="1:2" x14ac:dyDescent="0.2">
      <c r="A99">
        <v>98</v>
      </c>
      <c r="B99" s="11">
        <v>2.2999999999999998</v>
      </c>
    </row>
    <row r="100" spans="1:2" x14ac:dyDescent="0.2">
      <c r="A100">
        <v>99</v>
      </c>
      <c r="B100" s="11">
        <v>2.1</v>
      </c>
    </row>
    <row r="101" spans="1:2" x14ac:dyDescent="0.2">
      <c r="B101" s="11">
        <v>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513D7-0815-4D1F-B404-58EC3FDA40BF}">
  <sheetPr codeName="Sheet16">
    <tabColor rgb="FF808080"/>
  </sheetPr>
  <dimension ref="A1:E1413"/>
  <sheetViews>
    <sheetView workbookViewId="0"/>
  </sheetViews>
  <sheetFormatPr defaultColWidth="8.85546875" defaultRowHeight="12.75" x14ac:dyDescent="0.2"/>
  <cols>
    <col min="1" max="1" width="15.140625" customWidth="1"/>
  </cols>
  <sheetData>
    <row r="1" spans="1:5" x14ac:dyDescent="0.2">
      <c r="A1" s="12" t="s">
        <v>66</v>
      </c>
      <c r="B1" s="13" t="s">
        <v>65</v>
      </c>
      <c r="C1" s="13" t="s">
        <v>1</v>
      </c>
      <c r="D1" s="13" t="s">
        <v>67</v>
      </c>
    </row>
    <row r="2" spans="1:5" x14ac:dyDescent="0.2">
      <c r="A2" s="14" t="s">
        <v>68</v>
      </c>
      <c r="B2" s="15" t="s">
        <v>69</v>
      </c>
      <c r="C2" s="15">
        <v>18</v>
      </c>
      <c r="D2" s="15">
        <v>40.159999999999997</v>
      </c>
      <c r="E2" t="str" cm="1">
        <f t="array" ref="E2:E11">_xlfn.UNIQUE(WLE!A2:A1413)</f>
        <v>All-Education</v>
      </c>
    </row>
    <row r="3" spans="1:5" x14ac:dyDescent="0.2">
      <c r="A3" s="16" t="s">
        <v>68</v>
      </c>
      <c r="B3" s="17" t="s">
        <v>69</v>
      </c>
      <c r="C3" s="17">
        <v>19</v>
      </c>
      <c r="D3" s="17">
        <v>39.479999999999997</v>
      </c>
      <c r="E3" t="str">
        <v>No Education to 9th</v>
      </c>
    </row>
    <row r="4" spans="1:5" x14ac:dyDescent="0.2">
      <c r="A4" s="14" t="s">
        <v>68</v>
      </c>
      <c r="B4" s="15" t="s">
        <v>69</v>
      </c>
      <c r="C4" s="15">
        <v>20</v>
      </c>
      <c r="D4" s="15">
        <v>38.770000000000003</v>
      </c>
      <c r="E4" t="str">
        <v>10th to 12th Grade</v>
      </c>
    </row>
    <row r="5" spans="1:5" x14ac:dyDescent="0.2">
      <c r="A5" s="16" t="s">
        <v>68</v>
      </c>
      <c r="B5" s="17" t="s">
        <v>69</v>
      </c>
      <c r="C5" s="17">
        <v>21</v>
      </c>
      <c r="D5" s="17">
        <v>38.03</v>
      </c>
      <c r="E5" t="str">
        <v>GED</v>
      </c>
    </row>
    <row r="6" spans="1:5" x14ac:dyDescent="0.2">
      <c r="A6" s="14" t="s">
        <v>68</v>
      </c>
      <c r="B6" s="15" t="s">
        <v>69</v>
      </c>
      <c r="C6" s="15">
        <v>22</v>
      </c>
      <c r="D6" s="15">
        <v>37.26</v>
      </c>
      <c r="E6" t="str">
        <v>HSD</v>
      </c>
    </row>
    <row r="7" spans="1:5" x14ac:dyDescent="0.2">
      <c r="A7" s="16" t="s">
        <v>68</v>
      </c>
      <c r="B7" s="17" t="s">
        <v>69</v>
      </c>
      <c r="C7" s="17">
        <v>23</v>
      </c>
      <c r="D7" s="17">
        <v>36.49</v>
      </c>
      <c r="E7" t="str">
        <v>Some College</v>
      </c>
    </row>
    <row r="8" spans="1:5" x14ac:dyDescent="0.2">
      <c r="A8" s="14" t="s">
        <v>68</v>
      </c>
      <c r="B8" s="15" t="s">
        <v>69</v>
      </c>
      <c r="C8" s="15">
        <v>24</v>
      </c>
      <c r="D8" s="15">
        <v>35.69</v>
      </c>
      <c r="E8" t="str">
        <v>Associates Degree</v>
      </c>
    </row>
    <row r="9" spans="1:5" x14ac:dyDescent="0.2">
      <c r="A9" s="16" t="s">
        <v>68</v>
      </c>
      <c r="B9" s="17" t="s">
        <v>69</v>
      </c>
      <c r="C9" s="17">
        <v>25</v>
      </c>
      <c r="D9" s="17">
        <v>34.869999999999997</v>
      </c>
      <c r="E9" t="str">
        <v>Bachelor's Degree</v>
      </c>
    </row>
    <row r="10" spans="1:5" x14ac:dyDescent="0.2">
      <c r="A10" s="14" t="s">
        <v>68</v>
      </c>
      <c r="B10" s="15" t="s">
        <v>69</v>
      </c>
      <c r="C10" s="15">
        <v>26</v>
      </c>
      <c r="D10" s="15">
        <v>34.04</v>
      </c>
      <c r="E10" t="str">
        <v>Master's Degree</v>
      </c>
    </row>
    <row r="11" spans="1:5" x14ac:dyDescent="0.2">
      <c r="A11" s="16" t="s">
        <v>68</v>
      </c>
      <c r="B11" s="17" t="s">
        <v>69</v>
      </c>
      <c r="C11" s="17">
        <v>27</v>
      </c>
      <c r="D11" s="17">
        <v>33.200000000000003</v>
      </c>
      <c r="E11" t="str">
        <v>Professional or Doctoral</v>
      </c>
    </row>
    <row r="12" spans="1:5" x14ac:dyDescent="0.2">
      <c r="A12" s="14" t="s">
        <v>68</v>
      </c>
      <c r="B12" s="15" t="s">
        <v>69</v>
      </c>
      <c r="C12" s="15">
        <v>28</v>
      </c>
      <c r="D12" s="15">
        <v>32.36</v>
      </c>
    </row>
    <row r="13" spans="1:5" x14ac:dyDescent="0.2">
      <c r="A13" s="16" t="s">
        <v>68</v>
      </c>
      <c r="B13" s="17" t="s">
        <v>69</v>
      </c>
      <c r="C13" s="17">
        <v>29</v>
      </c>
      <c r="D13" s="17">
        <v>31.51</v>
      </c>
    </row>
    <row r="14" spans="1:5" x14ac:dyDescent="0.2">
      <c r="A14" s="14" t="s">
        <v>68</v>
      </c>
      <c r="B14" s="15" t="s">
        <v>69</v>
      </c>
      <c r="C14" s="15">
        <v>30</v>
      </c>
      <c r="D14" s="15">
        <v>30.66</v>
      </c>
    </row>
    <row r="15" spans="1:5" x14ac:dyDescent="0.2">
      <c r="A15" s="16" t="s">
        <v>68</v>
      </c>
      <c r="B15" s="17" t="s">
        <v>69</v>
      </c>
      <c r="C15" s="17">
        <v>31</v>
      </c>
      <c r="D15" s="17">
        <v>29.81</v>
      </c>
    </row>
    <row r="16" spans="1:5" x14ac:dyDescent="0.2">
      <c r="A16" s="14" t="s">
        <v>68</v>
      </c>
      <c r="B16" s="15" t="s">
        <v>69</v>
      </c>
      <c r="C16" s="15">
        <v>32</v>
      </c>
      <c r="D16" s="15">
        <v>28.94</v>
      </c>
    </row>
    <row r="17" spans="1:4" x14ac:dyDescent="0.2">
      <c r="A17" s="16" t="s">
        <v>68</v>
      </c>
      <c r="B17" s="17" t="s">
        <v>69</v>
      </c>
      <c r="C17" s="17">
        <v>33</v>
      </c>
      <c r="D17" s="17">
        <v>28.08</v>
      </c>
    </row>
    <row r="18" spans="1:4" x14ac:dyDescent="0.2">
      <c r="A18" s="14" t="s">
        <v>68</v>
      </c>
      <c r="B18" s="15" t="s">
        <v>69</v>
      </c>
      <c r="C18" s="15">
        <v>34</v>
      </c>
      <c r="D18" s="15">
        <v>27.23</v>
      </c>
    </row>
    <row r="19" spans="1:4" x14ac:dyDescent="0.2">
      <c r="A19" s="16" t="s">
        <v>68</v>
      </c>
      <c r="B19" s="17" t="s">
        <v>69</v>
      </c>
      <c r="C19" s="17">
        <v>35</v>
      </c>
      <c r="D19" s="17">
        <v>26.37</v>
      </c>
    </row>
    <row r="20" spans="1:4" x14ac:dyDescent="0.2">
      <c r="A20" s="14" t="s">
        <v>68</v>
      </c>
      <c r="B20" s="15" t="s">
        <v>69</v>
      </c>
      <c r="C20" s="15">
        <v>36</v>
      </c>
      <c r="D20" s="15">
        <v>25.52</v>
      </c>
    </row>
    <row r="21" spans="1:4" x14ac:dyDescent="0.2">
      <c r="A21" s="16" t="s">
        <v>68</v>
      </c>
      <c r="B21" s="17" t="s">
        <v>69</v>
      </c>
      <c r="C21" s="17">
        <v>37</v>
      </c>
      <c r="D21" s="17">
        <v>24.67</v>
      </c>
    </row>
    <row r="22" spans="1:4" x14ac:dyDescent="0.2">
      <c r="A22" s="14" t="s">
        <v>68</v>
      </c>
      <c r="B22" s="15" t="s">
        <v>69</v>
      </c>
      <c r="C22" s="15">
        <v>38</v>
      </c>
      <c r="D22" s="15">
        <v>23.83</v>
      </c>
    </row>
    <row r="23" spans="1:4" x14ac:dyDescent="0.2">
      <c r="A23" s="16" t="s">
        <v>68</v>
      </c>
      <c r="B23" s="17" t="s">
        <v>69</v>
      </c>
      <c r="C23" s="17">
        <v>39</v>
      </c>
      <c r="D23" s="17">
        <v>22.98</v>
      </c>
    </row>
    <row r="24" spans="1:4" x14ac:dyDescent="0.2">
      <c r="A24" s="14" t="s">
        <v>68</v>
      </c>
      <c r="B24" s="15" t="s">
        <v>69</v>
      </c>
      <c r="C24" s="15">
        <v>40</v>
      </c>
      <c r="D24" s="15">
        <v>22.14</v>
      </c>
    </row>
    <row r="25" spans="1:4" x14ac:dyDescent="0.2">
      <c r="A25" s="16" t="s">
        <v>68</v>
      </c>
      <c r="B25" s="17" t="s">
        <v>69</v>
      </c>
      <c r="C25" s="17">
        <v>41</v>
      </c>
      <c r="D25" s="17">
        <v>21.3</v>
      </c>
    </row>
    <row r="26" spans="1:4" x14ac:dyDescent="0.2">
      <c r="A26" s="14" t="s">
        <v>68</v>
      </c>
      <c r="B26" s="15" t="s">
        <v>69</v>
      </c>
      <c r="C26" s="15">
        <v>42</v>
      </c>
      <c r="D26" s="15">
        <v>20.46</v>
      </c>
    </row>
    <row r="27" spans="1:4" x14ac:dyDescent="0.2">
      <c r="A27" s="16" t="s">
        <v>68</v>
      </c>
      <c r="B27" s="17" t="s">
        <v>69</v>
      </c>
      <c r="C27" s="17">
        <v>43</v>
      </c>
      <c r="D27" s="17">
        <v>19.64</v>
      </c>
    </row>
    <row r="28" spans="1:4" x14ac:dyDescent="0.2">
      <c r="A28" s="14" t="s">
        <v>68</v>
      </c>
      <c r="B28" s="15" t="s">
        <v>69</v>
      </c>
      <c r="C28" s="15">
        <v>44</v>
      </c>
      <c r="D28" s="15">
        <v>18.82</v>
      </c>
    </row>
    <row r="29" spans="1:4" x14ac:dyDescent="0.2">
      <c r="A29" s="16" t="s">
        <v>68</v>
      </c>
      <c r="B29" s="17" t="s">
        <v>69</v>
      </c>
      <c r="C29" s="17">
        <v>45</v>
      </c>
      <c r="D29" s="17">
        <v>18.010000000000002</v>
      </c>
    </row>
    <row r="30" spans="1:4" x14ac:dyDescent="0.2">
      <c r="A30" s="14" t="s">
        <v>68</v>
      </c>
      <c r="B30" s="15" t="s">
        <v>69</v>
      </c>
      <c r="C30" s="15">
        <v>46</v>
      </c>
      <c r="D30" s="15">
        <v>17.22</v>
      </c>
    </row>
    <row r="31" spans="1:4" x14ac:dyDescent="0.2">
      <c r="A31" s="16" t="s">
        <v>68</v>
      </c>
      <c r="B31" s="17" t="s">
        <v>69</v>
      </c>
      <c r="C31" s="17">
        <v>47</v>
      </c>
      <c r="D31" s="17">
        <v>16.420000000000002</v>
      </c>
    </row>
    <row r="32" spans="1:4" x14ac:dyDescent="0.2">
      <c r="A32" s="14" t="s">
        <v>68</v>
      </c>
      <c r="B32" s="15" t="s">
        <v>69</v>
      </c>
      <c r="C32" s="15">
        <v>48</v>
      </c>
      <c r="D32" s="15">
        <v>15.64</v>
      </c>
    </row>
    <row r="33" spans="1:4" x14ac:dyDescent="0.2">
      <c r="A33" s="16" t="s">
        <v>68</v>
      </c>
      <c r="B33" s="17" t="s">
        <v>69</v>
      </c>
      <c r="C33" s="17">
        <v>49</v>
      </c>
      <c r="D33" s="17">
        <v>14.87</v>
      </c>
    </row>
    <row r="34" spans="1:4" x14ac:dyDescent="0.2">
      <c r="A34" s="14" t="s">
        <v>68</v>
      </c>
      <c r="B34" s="15" t="s">
        <v>69</v>
      </c>
      <c r="C34" s="15">
        <v>50</v>
      </c>
      <c r="D34" s="15">
        <v>14.13</v>
      </c>
    </row>
    <row r="35" spans="1:4" x14ac:dyDescent="0.2">
      <c r="A35" s="16" t="s">
        <v>68</v>
      </c>
      <c r="B35" s="17" t="s">
        <v>69</v>
      </c>
      <c r="C35" s="17">
        <v>51</v>
      </c>
      <c r="D35" s="17">
        <v>13.39</v>
      </c>
    </row>
    <row r="36" spans="1:4" x14ac:dyDescent="0.2">
      <c r="A36" s="14" t="s">
        <v>68</v>
      </c>
      <c r="B36" s="15" t="s">
        <v>69</v>
      </c>
      <c r="C36" s="15">
        <v>52</v>
      </c>
      <c r="D36" s="15">
        <v>12.66</v>
      </c>
    </row>
    <row r="37" spans="1:4" x14ac:dyDescent="0.2">
      <c r="A37" s="16" t="s">
        <v>68</v>
      </c>
      <c r="B37" s="17" t="s">
        <v>69</v>
      </c>
      <c r="C37" s="17">
        <v>53</v>
      </c>
      <c r="D37" s="17">
        <v>11.93</v>
      </c>
    </row>
    <row r="38" spans="1:4" x14ac:dyDescent="0.2">
      <c r="A38" s="14" t="s">
        <v>68</v>
      </c>
      <c r="B38" s="15" t="s">
        <v>69</v>
      </c>
      <c r="C38" s="15">
        <v>54</v>
      </c>
      <c r="D38" s="15">
        <v>11.22</v>
      </c>
    </row>
    <row r="39" spans="1:4" x14ac:dyDescent="0.2">
      <c r="A39" s="16" t="s">
        <v>68</v>
      </c>
      <c r="B39" s="17" t="s">
        <v>69</v>
      </c>
      <c r="C39" s="17">
        <v>55</v>
      </c>
      <c r="D39" s="17">
        <v>10.53</v>
      </c>
    </row>
    <row r="40" spans="1:4" x14ac:dyDescent="0.2">
      <c r="A40" s="14" t="s">
        <v>68</v>
      </c>
      <c r="B40" s="15" t="s">
        <v>69</v>
      </c>
      <c r="C40" s="15">
        <v>56</v>
      </c>
      <c r="D40" s="15">
        <v>9.8699999999999992</v>
      </c>
    </row>
    <row r="41" spans="1:4" x14ac:dyDescent="0.2">
      <c r="A41" s="16" t="s">
        <v>68</v>
      </c>
      <c r="B41" s="17" t="s">
        <v>69</v>
      </c>
      <c r="C41" s="17">
        <v>57</v>
      </c>
      <c r="D41" s="17">
        <v>9.2100000000000009</v>
      </c>
    </row>
    <row r="42" spans="1:4" x14ac:dyDescent="0.2">
      <c r="A42" s="14" t="s">
        <v>68</v>
      </c>
      <c r="B42" s="15" t="s">
        <v>69</v>
      </c>
      <c r="C42" s="15">
        <v>58</v>
      </c>
      <c r="D42" s="15">
        <v>8.58</v>
      </c>
    </row>
    <row r="43" spans="1:4" x14ac:dyDescent="0.2">
      <c r="A43" s="16" t="s">
        <v>68</v>
      </c>
      <c r="B43" s="17" t="s">
        <v>69</v>
      </c>
      <c r="C43" s="17">
        <v>59</v>
      </c>
      <c r="D43" s="17">
        <v>7.95</v>
      </c>
    </row>
    <row r="44" spans="1:4" x14ac:dyDescent="0.2">
      <c r="A44" s="14" t="s">
        <v>68</v>
      </c>
      <c r="B44" s="15" t="s">
        <v>69</v>
      </c>
      <c r="C44" s="15">
        <v>60</v>
      </c>
      <c r="D44" s="15">
        <v>7.36</v>
      </c>
    </row>
    <row r="45" spans="1:4" x14ac:dyDescent="0.2">
      <c r="A45" s="16" t="s">
        <v>68</v>
      </c>
      <c r="B45" s="17" t="s">
        <v>69</v>
      </c>
      <c r="C45" s="17">
        <v>61</v>
      </c>
      <c r="D45" s="17">
        <v>6.81</v>
      </c>
    </row>
    <row r="46" spans="1:4" x14ac:dyDescent="0.2">
      <c r="A46" s="14" t="s">
        <v>68</v>
      </c>
      <c r="B46" s="15" t="s">
        <v>69</v>
      </c>
      <c r="C46" s="15">
        <v>62</v>
      </c>
      <c r="D46" s="15">
        <v>6.33</v>
      </c>
    </row>
    <row r="47" spans="1:4" x14ac:dyDescent="0.2">
      <c r="A47" s="16" t="s">
        <v>68</v>
      </c>
      <c r="B47" s="17" t="s">
        <v>69</v>
      </c>
      <c r="C47" s="17">
        <v>63</v>
      </c>
      <c r="D47" s="17">
        <v>5.9</v>
      </c>
    </row>
    <row r="48" spans="1:4" x14ac:dyDescent="0.2">
      <c r="A48" s="14" t="s">
        <v>68</v>
      </c>
      <c r="B48" s="15" t="s">
        <v>69</v>
      </c>
      <c r="C48" s="15">
        <v>64</v>
      </c>
      <c r="D48" s="15">
        <v>5.51</v>
      </c>
    </row>
    <row r="49" spans="1:4" x14ac:dyDescent="0.2">
      <c r="A49" s="16" t="s">
        <v>68</v>
      </c>
      <c r="B49" s="17" t="s">
        <v>69</v>
      </c>
      <c r="C49" s="17">
        <v>65</v>
      </c>
      <c r="D49" s="17">
        <v>5.17</v>
      </c>
    </row>
    <row r="50" spans="1:4" x14ac:dyDescent="0.2">
      <c r="A50" s="14" t="s">
        <v>68</v>
      </c>
      <c r="B50" s="15" t="s">
        <v>69</v>
      </c>
      <c r="C50" s="15">
        <v>66</v>
      </c>
      <c r="D50" s="15">
        <v>4.8899999999999997</v>
      </c>
    </row>
    <row r="51" spans="1:4" x14ac:dyDescent="0.2">
      <c r="A51" s="16" t="s">
        <v>68</v>
      </c>
      <c r="B51" s="17" t="s">
        <v>69</v>
      </c>
      <c r="C51" s="17">
        <v>67</v>
      </c>
      <c r="D51" s="17">
        <v>4.6500000000000004</v>
      </c>
    </row>
    <row r="52" spans="1:4" x14ac:dyDescent="0.2">
      <c r="A52" s="14" t="s">
        <v>68</v>
      </c>
      <c r="B52" s="15" t="s">
        <v>69</v>
      </c>
      <c r="C52" s="15">
        <v>68</v>
      </c>
      <c r="D52" s="15">
        <v>4.43</v>
      </c>
    </row>
    <row r="53" spans="1:4" x14ac:dyDescent="0.2">
      <c r="A53" s="16" t="s">
        <v>68</v>
      </c>
      <c r="B53" s="17" t="s">
        <v>69</v>
      </c>
      <c r="C53" s="17">
        <v>69</v>
      </c>
      <c r="D53" s="17">
        <v>4.21</v>
      </c>
    </row>
    <row r="54" spans="1:4" x14ac:dyDescent="0.2">
      <c r="A54" s="14" t="s">
        <v>68</v>
      </c>
      <c r="B54" s="15" t="s">
        <v>69</v>
      </c>
      <c r="C54" s="15">
        <v>70</v>
      </c>
      <c r="D54" s="15">
        <v>4.01</v>
      </c>
    </row>
    <row r="55" spans="1:4" x14ac:dyDescent="0.2">
      <c r="A55" s="16" t="s">
        <v>68</v>
      </c>
      <c r="B55" s="17" t="s">
        <v>69</v>
      </c>
      <c r="C55" s="17">
        <v>71</v>
      </c>
      <c r="D55" s="17">
        <v>3.82</v>
      </c>
    </row>
    <row r="56" spans="1:4" x14ac:dyDescent="0.2">
      <c r="A56" s="14" t="s">
        <v>68</v>
      </c>
      <c r="B56" s="15" t="s">
        <v>69</v>
      </c>
      <c r="C56" s="15">
        <v>72</v>
      </c>
      <c r="D56" s="15">
        <v>3.65</v>
      </c>
    </row>
    <row r="57" spans="1:4" x14ac:dyDescent="0.2">
      <c r="A57" s="16" t="s">
        <v>68</v>
      </c>
      <c r="B57" s="17" t="s">
        <v>69</v>
      </c>
      <c r="C57" s="17">
        <v>73</v>
      </c>
      <c r="D57" s="17">
        <v>3.49</v>
      </c>
    </row>
    <row r="58" spans="1:4" x14ac:dyDescent="0.2">
      <c r="A58" s="14" t="s">
        <v>68</v>
      </c>
      <c r="B58" s="15" t="s">
        <v>69</v>
      </c>
      <c r="C58" s="15">
        <v>74</v>
      </c>
      <c r="D58" s="15">
        <v>3.34</v>
      </c>
    </row>
    <row r="59" spans="1:4" x14ac:dyDescent="0.2">
      <c r="A59" s="16" t="s">
        <v>68</v>
      </c>
      <c r="B59" s="17" t="s">
        <v>69</v>
      </c>
      <c r="C59" s="17">
        <v>75</v>
      </c>
      <c r="D59" s="17">
        <v>3.2</v>
      </c>
    </row>
    <row r="60" spans="1:4" x14ac:dyDescent="0.2">
      <c r="A60" s="14" t="s">
        <v>68</v>
      </c>
      <c r="B60" s="15" t="s">
        <v>69</v>
      </c>
      <c r="C60" s="15">
        <v>76</v>
      </c>
      <c r="D60" s="15">
        <v>3.07</v>
      </c>
    </row>
    <row r="61" spans="1:4" x14ac:dyDescent="0.2">
      <c r="A61" s="16" t="s">
        <v>68</v>
      </c>
      <c r="B61" s="17" t="s">
        <v>69</v>
      </c>
      <c r="C61" s="17">
        <v>77</v>
      </c>
      <c r="D61" s="17">
        <v>2.95</v>
      </c>
    </row>
    <row r="62" spans="1:4" x14ac:dyDescent="0.2">
      <c r="A62" s="14" t="s">
        <v>68</v>
      </c>
      <c r="B62" s="15" t="s">
        <v>69</v>
      </c>
      <c r="C62" s="15">
        <v>78</v>
      </c>
      <c r="D62" s="15">
        <v>2.83</v>
      </c>
    </row>
    <row r="63" spans="1:4" x14ac:dyDescent="0.2">
      <c r="A63" s="16" t="s">
        <v>68</v>
      </c>
      <c r="B63" s="17" t="s">
        <v>69</v>
      </c>
      <c r="C63" s="17">
        <v>79</v>
      </c>
      <c r="D63" s="17">
        <v>2.72</v>
      </c>
    </row>
    <row r="64" spans="1:4" x14ac:dyDescent="0.2">
      <c r="A64" s="14" t="s">
        <v>68</v>
      </c>
      <c r="B64" s="15" t="s">
        <v>69</v>
      </c>
      <c r="C64" s="15">
        <v>80</v>
      </c>
      <c r="D64" s="15">
        <v>2.62</v>
      </c>
    </row>
    <row r="65" spans="1:4" x14ac:dyDescent="0.2">
      <c r="A65" s="16" t="s">
        <v>68</v>
      </c>
      <c r="B65" s="17" t="s">
        <v>69</v>
      </c>
      <c r="C65" s="17">
        <v>81</v>
      </c>
      <c r="D65" s="17">
        <v>2.52</v>
      </c>
    </row>
    <row r="66" spans="1:4" x14ac:dyDescent="0.2">
      <c r="A66" s="14" t="s">
        <v>68</v>
      </c>
      <c r="B66" s="15" t="s">
        <v>69</v>
      </c>
      <c r="C66" s="15">
        <v>82</v>
      </c>
      <c r="D66" s="15">
        <v>2.42</v>
      </c>
    </row>
    <row r="67" spans="1:4" x14ac:dyDescent="0.2">
      <c r="A67" s="16" t="s">
        <v>68</v>
      </c>
      <c r="B67" s="17" t="s">
        <v>69</v>
      </c>
      <c r="C67" s="17">
        <v>83</v>
      </c>
      <c r="D67" s="17">
        <v>2.33</v>
      </c>
    </row>
    <row r="68" spans="1:4" x14ac:dyDescent="0.2">
      <c r="A68" s="14" t="s">
        <v>68</v>
      </c>
      <c r="B68" s="15" t="s">
        <v>69</v>
      </c>
      <c r="C68" s="15">
        <v>84</v>
      </c>
      <c r="D68" s="15">
        <v>2.2400000000000002</v>
      </c>
    </row>
    <row r="69" spans="1:4" x14ac:dyDescent="0.2">
      <c r="A69" s="16" t="s">
        <v>68</v>
      </c>
      <c r="B69" s="17" t="s">
        <v>69</v>
      </c>
      <c r="C69" s="17">
        <v>85</v>
      </c>
      <c r="D69" s="17">
        <v>2.15</v>
      </c>
    </row>
    <row r="70" spans="1:4" x14ac:dyDescent="0.2">
      <c r="A70" s="14" t="s">
        <v>68</v>
      </c>
      <c r="B70" s="15" t="s">
        <v>69</v>
      </c>
      <c r="C70" s="15">
        <v>86</v>
      </c>
      <c r="D70" s="15">
        <v>2.06</v>
      </c>
    </row>
    <row r="71" spans="1:4" x14ac:dyDescent="0.2">
      <c r="A71" s="16" t="s">
        <v>68</v>
      </c>
      <c r="B71" s="17" t="s">
        <v>69</v>
      </c>
      <c r="C71" s="17">
        <v>87</v>
      </c>
      <c r="D71" s="17">
        <v>1.97</v>
      </c>
    </row>
    <row r="72" spans="1:4" x14ac:dyDescent="0.2">
      <c r="A72" s="14" t="s">
        <v>68</v>
      </c>
      <c r="B72" s="15" t="s">
        <v>69</v>
      </c>
      <c r="C72" s="15">
        <v>88</v>
      </c>
      <c r="D72" s="15">
        <v>1.88</v>
      </c>
    </row>
    <row r="73" spans="1:4" x14ac:dyDescent="0.2">
      <c r="A73" s="16" t="s">
        <v>68</v>
      </c>
      <c r="B73" s="17" t="s">
        <v>69</v>
      </c>
      <c r="C73" s="17">
        <v>89</v>
      </c>
      <c r="D73" s="17">
        <v>1.79</v>
      </c>
    </row>
    <row r="74" spans="1:4" x14ac:dyDescent="0.2">
      <c r="A74" s="14" t="s">
        <v>68</v>
      </c>
      <c r="B74" s="15" t="s">
        <v>69</v>
      </c>
      <c r="C74" s="15">
        <v>90</v>
      </c>
      <c r="D74" s="15">
        <v>1.71</v>
      </c>
    </row>
    <row r="75" spans="1:4" x14ac:dyDescent="0.2">
      <c r="A75" s="16" t="s">
        <v>70</v>
      </c>
      <c r="B75" s="17" t="s">
        <v>69</v>
      </c>
      <c r="C75" s="17">
        <v>18</v>
      </c>
      <c r="D75" s="17">
        <v>29</v>
      </c>
    </row>
    <row r="76" spans="1:4" x14ac:dyDescent="0.2">
      <c r="A76" s="14" t="s">
        <v>70</v>
      </c>
      <c r="B76" s="15" t="s">
        <v>69</v>
      </c>
      <c r="C76" s="15">
        <v>19</v>
      </c>
      <c r="D76" s="15">
        <v>28.49</v>
      </c>
    </row>
    <row r="77" spans="1:4" x14ac:dyDescent="0.2">
      <c r="A77" s="16" t="s">
        <v>70</v>
      </c>
      <c r="B77" s="17" t="s">
        <v>69</v>
      </c>
      <c r="C77" s="17">
        <v>20</v>
      </c>
      <c r="D77" s="17">
        <v>27.98</v>
      </c>
    </row>
    <row r="78" spans="1:4" x14ac:dyDescent="0.2">
      <c r="A78" s="14" t="s">
        <v>70</v>
      </c>
      <c r="B78" s="15" t="s">
        <v>69</v>
      </c>
      <c r="C78" s="15">
        <v>21</v>
      </c>
      <c r="D78" s="15">
        <v>27.48</v>
      </c>
    </row>
    <row r="79" spans="1:4" x14ac:dyDescent="0.2">
      <c r="A79" s="16" t="s">
        <v>70</v>
      </c>
      <c r="B79" s="17" t="s">
        <v>69</v>
      </c>
      <c r="C79" s="17">
        <v>22</v>
      </c>
      <c r="D79" s="17">
        <v>26.98</v>
      </c>
    </row>
    <row r="80" spans="1:4" x14ac:dyDescent="0.2">
      <c r="A80" s="14" t="s">
        <v>70</v>
      </c>
      <c r="B80" s="15" t="s">
        <v>69</v>
      </c>
      <c r="C80" s="15">
        <v>23</v>
      </c>
      <c r="D80" s="15">
        <v>26.48</v>
      </c>
    </row>
    <row r="81" spans="1:4" x14ac:dyDescent="0.2">
      <c r="A81" s="16" t="s">
        <v>70</v>
      </c>
      <c r="B81" s="17" t="s">
        <v>69</v>
      </c>
      <c r="C81" s="17">
        <v>24</v>
      </c>
      <c r="D81" s="17">
        <v>25.98</v>
      </c>
    </row>
    <row r="82" spans="1:4" x14ac:dyDescent="0.2">
      <c r="A82" s="14" t="s">
        <v>70</v>
      </c>
      <c r="B82" s="15" t="s">
        <v>69</v>
      </c>
      <c r="C82" s="15">
        <v>25</v>
      </c>
      <c r="D82" s="15">
        <v>25.47</v>
      </c>
    </row>
    <row r="83" spans="1:4" x14ac:dyDescent="0.2">
      <c r="A83" s="16" t="s">
        <v>70</v>
      </c>
      <c r="B83" s="17" t="s">
        <v>69</v>
      </c>
      <c r="C83" s="17">
        <v>26</v>
      </c>
      <c r="D83" s="17">
        <v>24.96</v>
      </c>
    </row>
    <row r="84" spans="1:4" x14ac:dyDescent="0.2">
      <c r="A84" s="14" t="s">
        <v>70</v>
      </c>
      <c r="B84" s="15" t="s">
        <v>69</v>
      </c>
      <c r="C84" s="15">
        <v>27</v>
      </c>
      <c r="D84" s="15">
        <v>24.45</v>
      </c>
    </row>
    <row r="85" spans="1:4" x14ac:dyDescent="0.2">
      <c r="A85" s="16" t="s">
        <v>70</v>
      </c>
      <c r="B85" s="17" t="s">
        <v>69</v>
      </c>
      <c r="C85" s="17">
        <v>28</v>
      </c>
      <c r="D85" s="17">
        <v>23.93</v>
      </c>
    </row>
    <row r="86" spans="1:4" x14ac:dyDescent="0.2">
      <c r="A86" s="14" t="s">
        <v>70</v>
      </c>
      <c r="B86" s="15" t="s">
        <v>69</v>
      </c>
      <c r="C86" s="15">
        <v>29</v>
      </c>
      <c r="D86" s="15">
        <v>23.4</v>
      </c>
    </row>
    <row r="87" spans="1:4" x14ac:dyDescent="0.2">
      <c r="A87" s="16" t="s">
        <v>70</v>
      </c>
      <c r="B87" s="17" t="s">
        <v>69</v>
      </c>
      <c r="C87" s="17">
        <v>30</v>
      </c>
      <c r="D87" s="17">
        <v>22.88</v>
      </c>
    </row>
    <row r="88" spans="1:4" x14ac:dyDescent="0.2">
      <c r="A88" s="14" t="s">
        <v>70</v>
      </c>
      <c r="B88" s="15" t="s">
        <v>69</v>
      </c>
      <c r="C88" s="15">
        <v>31</v>
      </c>
      <c r="D88" s="15">
        <v>22.34</v>
      </c>
    </row>
    <row r="89" spans="1:4" x14ac:dyDescent="0.2">
      <c r="A89" s="16" t="s">
        <v>70</v>
      </c>
      <c r="B89" s="17" t="s">
        <v>69</v>
      </c>
      <c r="C89" s="17">
        <v>32</v>
      </c>
      <c r="D89" s="17">
        <v>21.8</v>
      </c>
    </row>
    <row r="90" spans="1:4" x14ac:dyDescent="0.2">
      <c r="A90" s="14" t="s">
        <v>70</v>
      </c>
      <c r="B90" s="15" t="s">
        <v>69</v>
      </c>
      <c r="C90" s="15">
        <v>33</v>
      </c>
      <c r="D90" s="15">
        <v>21.25</v>
      </c>
    </row>
    <row r="91" spans="1:4" x14ac:dyDescent="0.2">
      <c r="A91" s="16" t="s">
        <v>70</v>
      </c>
      <c r="B91" s="17" t="s">
        <v>69</v>
      </c>
      <c r="C91" s="17">
        <v>34</v>
      </c>
      <c r="D91" s="17">
        <v>20.68</v>
      </c>
    </row>
    <row r="92" spans="1:4" x14ac:dyDescent="0.2">
      <c r="A92" s="14" t="s">
        <v>70</v>
      </c>
      <c r="B92" s="15" t="s">
        <v>69</v>
      </c>
      <c r="C92" s="15">
        <v>35</v>
      </c>
      <c r="D92" s="15">
        <v>20.100000000000001</v>
      </c>
    </row>
    <row r="93" spans="1:4" x14ac:dyDescent="0.2">
      <c r="A93" s="16" t="s">
        <v>70</v>
      </c>
      <c r="B93" s="17" t="s">
        <v>69</v>
      </c>
      <c r="C93" s="17">
        <v>36</v>
      </c>
      <c r="D93" s="17">
        <v>19.5</v>
      </c>
    </row>
    <row r="94" spans="1:4" x14ac:dyDescent="0.2">
      <c r="A94" s="14" t="s">
        <v>70</v>
      </c>
      <c r="B94" s="15" t="s">
        <v>69</v>
      </c>
      <c r="C94" s="15">
        <v>37</v>
      </c>
      <c r="D94" s="15">
        <v>18.88</v>
      </c>
    </row>
    <row r="95" spans="1:4" x14ac:dyDescent="0.2">
      <c r="A95" s="16" t="s">
        <v>70</v>
      </c>
      <c r="B95" s="17" t="s">
        <v>69</v>
      </c>
      <c r="C95" s="17">
        <v>38</v>
      </c>
      <c r="D95" s="17">
        <v>18.239999999999998</v>
      </c>
    </row>
    <row r="96" spans="1:4" x14ac:dyDescent="0.2">
      <c r="A96" s="14" t="s">
        <v>70</v>
      </c>
      <c r="B96" s="15" t="s">
        <v>69</v>
      </c>
      <c r="C96" s="15">
        <v>39</v>
      </c>
      <c r="D96" s="15">
        <v>17.61</v>
      </c>
    </row>
    <row r="97" spans="1:4" x14ac:dyDescent="0.2">
      <c r="A97" s="16" t="s">
        <v>70</v>
      </c>
      <c r="B97" s="17" t="s">
        <v>69</v>
      </c>
      <c r="C97" s="17">
        <v>40</v>
      </c>
      <c r="D97" s="17">
        <v>16.97</v>
      </c>
    </row>
    <row r="98" spans="1:4" x14ac:dyDescent="0.2">
      <c r="A98" s="14" t="s">
        <v>70</v>
      </c>
      <c r="B98" s="15" t="s">
        <v>69</v>
      </c>
      <c r="C98" s="15">
        <v>41</v>
      </c>
      <c r="D98" s="15">
        <v>16.32</v>
      </c>
    </row>
    <row r="99" spans="1:4" x14ac:dyDescent="0.2">
      <c r="A99" s="16" t="s">
        <v>70</v>
      </c>
      <c r="B99" s="17" t="s">
        <v>69</v>
      </c>
      <c r="C99" s="17">
        <v>42</v>
      </c>
      <c r="D99" s="17">
        <v>15.69</v>
      </c>
    </row>
    <row r="100" spans="1:4" x14ac:dyDescent="0.2">
      <c r="A100" s="14" t="s">
        <v>70</v>
      </c>
      <c r="B100" s="15" t="s">
        <v>69</v>
      </c>
      <c r="C100" s="15">
        <v>43</v>
      </c>
      <c r="D100" s="15">
        <v>15.06</v>
      </c>
    </row>
    <row r="101" spans="1:4" x14ac:dyDescent="0.2">
      <c r="A101" s="16" t="s">
        <v>70</v>
      </c>
      <c r="B101" s="17" t="s">
        <v>69</v>
      </c>
      <c r="C101" s="17">
        <v>44</v>
      </c>
      <c r="D101" s="17">
        <v>14.43</v>
      </c>
    </row>
    <row r="102" spans="1:4" x14ac:dyDescent="0.2">
      <c r="A102" s="14" t="s">
        <v>70</v>
      </c>
      <c r="B102" s="15" t="s">
        <v>69</v>
      </c>
      <c r="C102" s="15">
        <v>45</v>
      </c>
      <c r="D102" s="15">
        <v>13.82</v>
      </c>
    </row>
    <row r="103" spans="1:4" x14ac:dyDescent="0.2">
      <c r="A103" s="16" t="s">
        <v>70</v>
      </c>
      <c r="B103" s="17" t="s">
        <v>69</v>
      </c>
      <c r="C103" s="17">
        <v>46</v>
      </c>
      <c r="D103" s="17">
        <v>13.22</v>
      </c>
    </row>
    <row r="104" spans="1:4" x14ac:dyDescent="0.2">
      <c r="A104" s="14" t="s">
        <v>70</v>
      </c>
      <c r="B104" s="15" t="s">
        <v>69</v>
      </c>
      <c r="C104" s="15">
        <v>47</v>
      </c>
      <c r="D104" s="15">
        <v>12.62</v>
      </c>
    </row>
    <row r="105" spans="1:4" x14ac:dyDescent="0.2">
      <c r="A105" s="16" t="s">
        <v>70</v>
      </c>
      <c r="B105" s="17" t="s">
        <v>69</v>
      </c>
      <c r="C105" s="17">
        <v>48</v>
      </c>
      <c r="D105" s="17">
        <v>12.04</v>
      </c>
    </row>
    <row r="106" spans="1:4" x14ac:dyDescent="0.2">
      <c r="A106" s="14" t="s">
        <v>70</v>
      </c>
      <c r="B106" s="15" t="s">
        <v>69</v>
      </c>
      <c r="C106" s="15">
        <v>49</v>
      </c>
      <c r="D106" s="15">
        <v>11.46</v>
      </c>
    </row>
    <row r="107" spans="1:4" x14ac:dyDescent="0.2">
      <c r="A107" s="16" t="s">
        <v>70</v>
      </c>
      <c r="B107" s="17" t="s">
        <v>69</v>
      </c>
      <c r="C107" s="17">
        <v>50</v>
      </c>
      <c r="D107" s="17">
        <v>10.89</v>
      </c>
    </row>
    <row r="108" spans="1:4" x14ac:dyDescent="0.2">
      <c r="A108" s="14" t="s">
        <v>70</v>
      </c>
      <c r="B108" s="15" t="s">
        <v>69</v>
      </c>
      <c r="C108" s="15">
        <v>51</v>
      </c>
      <c r="D108" s="15">
        <v>10.32</v>
      </c>
    </row>
    <row r="109" spans="1:4" x14ac:dyDescent="0.2">
      <c r="A109" s="16" t="s">
        <v>70</v>
      </c>
      <c r="B109" s="17" t="s">
        <v>69</v>
      </c>
      <c r="C109" s="17">
        <v>52</v>
      </c>
      <c r="D109" s="17">
        <v>9.77</v>
      </c>
    </row>
    <row r="110" spans="1:4" x14ac:dyDescent="0.2">
      <c r="A110" s="14" t="s">
        <v>70</v>
      </c>
      <c r="B110" s="15" t="s">
        <v>69</v>
      </c>
      <c r="C110" s="15">
        <v>53</v>
      </c>
      <c r="D110" s="15">
        <v>9.24</v>
      </c>
    </row>
    <row r="111" spans="1:4" x14ac:dyDescent="0.2">
      <c r="A111" s="16" t="s">
        <v>70</v>
      </c>
      <c r="B111" s="17" t="s">
        <v>69</v>
      </c>
      <c r="C111" s="17">
        <v>54</v>
      </c>
      <c r="D111" s="17">
        <v>8.7200000000000006</v>
      </c>
    </row>
    <row r="112" spans="1:4" x14ac:dyDescent="0.2">
      <c r="A112" s="14" t="s">
        <v>70</v>
      </c>
      <c r="B112" s="15" t="s">
        <v>69</v>
      </c>
      <c r="C112" s="15">
        <v>55</v>
      </c>
      <c r="D112" s="15">
        <v>8.2200000000000006</v>
      </c>
    </row>
    <row r="113" spans="1:4" x14ac:dyDescent="0.2">
      <c r="A113" s="16" t="s">
        <v>70</v>
      </c>
      <c r="B113" s="17" t="s">
        <v>69</v>
      </c>
      <c r="C113" s="17">
        <v>56</v>
      </c>
      <c r="D113" s="17">
        <v>7.76</v>
      </c>
    </row>
    <row r="114" spans="1:4" x14ac:dyDescent="0.2">
      <c r="A114" s="14" t="s">
        <v>70</v>
      </c>
      <c r="B114" s="15" t="s">
        <v>69</v>
      </c>
      <c r="C114" s="15">
        <v>57</v>
      </c>
      <c r="D114" s="15">
        <v>7.32</v>
      </c>
    </row>
    <row r="115" spans="1:4" x14ac:dyDescent="0.2">
      <c r="A115" s="16" t="s">
        <v>70</v>
      </c>
      <c r="B115" s="17" t="s">
        <v>69</v>
      </c>
      <c r="C115" s="17">
        <v>58</v>
      </c>
      <c r="D115" s="17">
        <v>6.9</v>
      </c>
    </row>
    <row r="116" spans="1:4" x14ac:dyDescent="0.2">
      <c r="A116" s="14" t="s">
        <v>70</v>
      </c>
      <c r="B116" s="15" t="s">
        <v>69</v>
      </c>
      <c r="C116" s="15">
        <v>59</v>
      </c>
      <c r="D116" s="15">
        <v>6.51</v>
      </c>
    </row>
    <row r="117" spans="1:4" x14ac:dyDescent="0.2">
      <c r="A117" s="16" t="s">
        <v>70</v>
      </c>
      <c r="B117" s="17" t="s">
        <v>69</v>
      </c>
      <c r="C117" s="17">
        <v>60</v>
      </c>
      <c r="D117" s="17">
        <v>6.14</v>
      </c>
    </row>
    <row r="118" spans="1:4" x14ac:dyDescent="0.2">
      <c r="A118" s="14" t="s">
        <v>70</v>
      </c>
      <c r="B118" s="15" t="s">
        <v>69</v>
      </c>
      <c r="C118" s="15">
        <v>61</v>
      </c>
      <c r="D118" s="15">
        <v>5.8</v>
      </c>
    </row>
    <row r="119" spans="1:4" x14ac:dyDescent="0.2">
      <c r="A119" s="16" t="s">
        <v>70</v>
      </c>
      <c r="B119" s="17" t="s">
        <v>69</v>
      </c>
      <c r="C119" s="17">
        <v>62</v>
      </c>
      <c r="D119" s="17">
        <v>5.48</v>
      </c>
    </row>
    <row r="120" spans="1:4" x14ac:dyDescent="0.2">
      <c r="A120" s="14" t="s">
        <v>70</v>
      </c>
      <c r="B120" s="15" t="s">
        <v>69</v>
      </c>
      <c r="C120" s="15">
        <v>63</v>
      </c>
      <c r="D120" s="15">
        <v>5.18</v>
      </c>
    </row>
    <row r="121" spans="1:4" x14ac:dyDescent="0.2">
      <c r="A121" s="16" t="s">
        <v>70</v>
      </c>
      <c r="B121" s="17" t="s">
        <v>69</v>
      </c>
      <c r="C121" s="17">
        <v>64</v>
      </c>
      <c r="D121" s="17">
        <v>4.9000000000000004</v>
      </c>
    </row>
    <row r="122" spans="1:4" x14ac:dyDescent="0.2">
      <c r="A122" s="14" t="s">
        <v>70</v>
      </c>
      <c r="B122" s="15" t="s">
        <v>69</v>
      </c>
      <c r="C122" s="15">
        <v>65</v>
      </c>
      <c r="D122" s="15">
        <v>4.6399999999999997</v>
      </c>
    </row>
    <row r="123" spans="1:4" x14ac:dyDescent="0.2">
      <c r="A123" s="16" t="s">
        <v>70</v>
      </c>
      <c r="B123" s="17" t="s">
        <v>69</v>
      </c>
      <c r="C123" s="17">
        <v>66</v>
      </c>
      <c r="D123" s="17">
        <v>4.38</v>
      </c>
    </row>
    <row r="124" spans="1:4" x14ac:dyDescent="0.2">
      <c r="A124" s="14" t="s">
        <v>70</v>
      </c>
      <c r="B124" s="15" t="s">
        <v>69</v>
      </c>
      <c r="C124" s="15">
        <v>67</v>
      </c>
      <c r="D124" s="15">
        <v>4.1500000000000004</v>
      </c>
    </row>
    <row r="125" spans="1:4" x14ac:dyDescent="0.2">
      <c r="A125" s="16" t="s">
        <v>70</v>
      </c>
      <c r="B125" s="17" t="s">
        <v>69</v>
      </c>
      <c r="C125" s="17">
        <v>68</v>
      </c>
      <c r="D125" s="17">
        <v>3.92</v>
      </c>
    </row>
    <row r="126" spans="1:4" x14ac:dyDescent="0.2">
      <c r="A126" s="14" t="s">
        <v>70</v>
      </c>
      <c r="B126" s="15" t="s">
        <v>69</v>
      </c>
      <c r="C126" s="15">
        <v>69</v>
      </c>
      <c r="D126" s="15">
        <v>3.71</v>
      </c>
    </row>
    <row r="127" spans="1:4" x14ac:dyDescent="0.2">
      <c r="A127" s="16" t="s">
        <v>70</v>
      </c>
      <c r="B127" s="17" t="s">
        <v>69</v>
      </c>
      <c r="C127" s="17">
        <v>70</v>
      </c>
      <c r="D127" s="17">
        <v>3.52</v>
      </c>
    </row>
    <row r="128" spans="1:4" x14ac:dyDescent="0.2">
      <c r="A128" s="14" t="s">
        <v>70</v>
      </c>
      <c r="B128" s="15" t="s">
        <v>69</v>
      </c>
      <c r="C128" s="15">
        <v>71</v>
      </c>
      <c r="D128" s="15">
        <v>3.33</v>
      </c>
    </row>
    <row r="129" spans="1:4" x14ac:dyDescent="0.2">
      <c r="A129" s="16" t="s">
        <v>70</v>
      </c>
      <c r="B129" s="17" t="s">
        <v>69</v>
      </c>
      <c r="C129" s="17">
        <v>72</v>
      </c>
      <c r="D129" s="17">
        <v>3.16</v>
      </c>
    </row>
    <row r="130" spans="1:4" x14ac:dyDescent="0.2">
      <c r="A130" s="14" t="s">
        <v>70</v>
      </c>
      <c r="B130" s="15" t="s">
        <v>69</v>
      </c>
      <c r="C130" s="15">
        <v>73</v>
      </c>
      <c r="D130" s="15">
        <v>3</v>
      </c>
    </row>
    <row r="131" spans="1:4" x14ac:dyDescent="0.2">
      <c r="A131" s="16" t="s">
        <v>70</v>
      </c>
      <c r="B131" s="17" t="s">
        <v>69</v>
      </c>
      <c r="C131" s="17">
        <v>74</v>
      </c>
      <c r="D131" s="17">
        <v>2.85</v>
      </c>
    </row>
    <row r="132" spans="1:4" x14ac:dyDescent="0.2">
      <c r="A132" s="14" t="s">
        <v>70</v>
      </c>
      <c r="B132" s="15" t="s">
        <v>69</v>
      </c>
      <c r="C132" s="15">
        <v>75</v>
      </c>
      <c r="D132" s="15">
        <v>2.71</v>
      </c>
    </row>
    <row r="133" spans="1:4" x14ac:dyDescent="0.2">
      <c r="A133" s="16" t="s">
        <v>70</v>
      </c>
      <c r="B133" s="17" t="s">
        <v>69</v>
      </c>
      <c r="C133" s="17">
        <v>76</v>
      </c>
      <c r="D133" s="17">
        <v>2.58</v>
      </c>
    </row>
    <row r="134" spans="1:4" x14ac:dyDescent="0.2">
      <c r="A134" s="14" t="s">
        <v>70</v>
      </c>
      <c r="B134" s="15" t="s">
        <v>69</v>
      </c>
      <c r="C134" s="15">
        <v>77</v>
      </c>
      <c r="D134" s="15">
        <v>2.4500000000000002</v>
      </c>
    </row>
    <row r="135" spans="1:4" x14ac:dyDescent="0.2">
      <c r="A135" s="16" t="s">
        <v>70</v>
      </c>
      <c r="B135" s="17" t="s">
        <v>69</v>
      </c>
      <c r="C135" s="17">
        <v>78</v>
      </c>
      <c r="D135" s="17">
        <v>2.33</v>
      </c>
    </row>
    <row r="136" spans="1:4" x14ac:dyDescent="0.2">
      <c r="A136" s="14" t="s">
        <v>70</v>
      </c>
      <c r="B136" s="15" t="s">
        <v>69</v>
      </c>
      <c r="C136" s="15">
        <v>79</v>
      </c>
      <c r="D136" s="15">
        <v>2.2200000000000002</v>
      </c>
    </row>
    <row r="137" spans="1:4" x14ac:dyDescent="0.2">
      <c r="A137" s="16" t="s">
        <v>70</v>
      </c>
      <c r="B137" s="17" t="s">
        <v>69</v>
      </c>
      <c r="C137" s="17">
        <v>80</v>
      </c>
      <c r="D137" s="17">
        <v>2.12</v>
      </c>
    </row>
    <row r="138" spans="1:4" x14ac:dyDescent="0.2">
      <c r="A138" s="14" t="s">
        <v>70</v>
      </c>
      <c r="B138" s="15" t="s">
        <v>69</v>
      </c>
      <c r="C138" s="15">
        <v>81</v>
      </c>
      <c r="D138" s="15">
        <v>2.02</v>
      </c>
    </row>
    <row r="139" spans="1:4" x14ac:dyDescent="0.2">
      <c r="A139" s="16" t="s">
        <v>70</v>
      </c>
      <c r="B139" s="17" t="s">
        <v>69</v>
      </c>
      <c r="C139" s="17">
        <v>82</v>
      </c>
      <c r="D139" s="17">
        <v>1.93</v>
      </c>
    </row>
    <row r="140" spans="1:4" x14ac:dyDescent="0.2">
      <c r="A140" s="14" t="s">
        <v>70</v>
      </c>
      <c r="B140" s="15" t="s">
        <v>69</v>
      </c>
      <c r="C140" s="15">
        <v>83</v>
      </c>
      <c r="D140" s="15">
        <v>1.84</v>
      </c>
    </row>
    <row r="141" spans="1:4" x14ac:dyDescent="0.2">
      <c r="A141" s="16" t="s">
        <v>70</v>
      </c>
      <c r="B141" s="17" t="s">
        <v>69</v>
      </c>
      <c r="C141" s="17">
        <v>84</v>
      </c>
      <c r="D141" s="17">
        <v>1.76</v>
      </c>
    </row>
    <row r="142" spans="1:4" x14ac:dyDescent="0.2">
      <c r="A142" s="14" t="s">
        <v>70</v>
      </c>
      <c r="B142" s="15" t="s">
        <v>69</v>
      </c>
      <c r="C142" s="15">
        <v>85</v>
      </c>
      <c r="D142" s="15">
        <v>1.68</v>
      </c>
    </row>
    <row r="143" spans="1:4" x14ac:dyDescent="0.2">
      <c r="A143" s="16" t="s">
        <v>70</v>
      </c>
      <c r="B143" s="17" t="s">
        <v>69</v>
      </c>
      <c r="C143" s="17">
        <v>86</v>
      </c>
      <c r="D143" s="17">
        <v>1.6</v>
      </c>
    </row>
    <row r="144" spans="1:4" x14ac:dyDescent="0.2">
      <c r="A144" s="14" t="s">
        <v>70</v>
      </c>
      <c r="B144" s="15" t="s">
        <v>69</v>
      </c>
      <c r="C144" s="15">
        <v>87</v>
      </c>
      <c r="D144" s="15">
        <v>1.53</v>
      </c>
    </row>
    <row r="145" spans="1:4" x14ac:dyDescent="0.2">
      <c r="A145" s="16" t="s">
        <v>70</v>
      </c>
      <c r="B145" s="17" t="s">
        <v>69</v>
      </c>
      <c r="C145" s="17">
        <v>88</v>
      </c>
      <c r="D145" s="17">
        <v>1.47</v>
      </c>
    </row>
    <row r="146" spans="1:4" x14ac:dyDescent="0.2">
      <c r="A146" s="14" t="s">
        <v>70</v>
      </c>
      <c r="B146" s="15" t="s">
        <v>69</v>
      </c>
      <c r="C146" s="15">
        <v>89</v>
      </c>
      <c r="D146" s="15">
        <v>1.4</v>
      </c>
    </row>
    <row r="147" spans="1:4" x14ac:dyDescent="0.2">
      <c r="A147" s="16" t="s">
        <v>70</v>
      </c>
      <c r="B147" s="17" t="s">
        <v>69</v>
      </c>
      <c r="C147" s="17">
        <v>90</v>
      </c>
      <c r="D147" s="17">
        <v>1.34</v>
      </c>
    </row>
    <row r="148" spans="1:4" x14ac:dyDescent="0.2">
      <c r="A148" s="14" t="s">
        <v>71</v>
      </c>
      <c r="B148" s="15" t="s">
        <v>69</v>
      </c>
      <c r="C148" s="15">
        <v>18</v>
      </c>
      <c r="D148" s="15">
        <v>29.74</v>
      </c>
    </row>
    <row r="149" spans="1:4" x14ac:dyDescent="0.2">
      <c r="A149" s="16" t="s">
        <v>71</v>
      </c>
      <c r="B149" s="17" t="s">
        <v>69</v>
      </c>
      <c r="C149" s="17">
        <v>19</v>
      </c>
      <c r="D149" s="17">
        <v>29.16</v>
      </c>
    </row>
    <row r="150" spans="1:4" x14ac:dyDescent="0.2">
      <c r="A150" s="14" t="s">
        <v>71</v>
      </c>
      <c r="B150" s="15" t="s">
        <v>69</v>
      </c>
      <c r="C150" s="15">
        <v>20</v>
      </c>
      <c r="D150" s="15">
        <v>28.6</v>
      </c>
    </row>
    <row r="151" spans="1:4" x14ac:dyDescent="0.2">
      <c r="A151" s="16" t="s">
        <v>71</v>
      </c>
      <c r="B151" s="17" t="s">
        <v>69</v>
      </c>
      <c r="C151" s="17">
        <v>21</v>
      </c>
      <c r="D151" s="17">
        <v>28.03</v>
      </c>
    </row>
    <row r="152" spans="1:4" x14ac:dyDescent="0.2">
      <c r="A152" s="14" t="s">
        <v>71</v>
      </c>
      <c r="B152" s="15" t="s">
        <v>69</v>
      </c>
      <c r="C152" s="15">
        <v>22</v>
      </c>
      <c r="D152" s="15">
        <v>27.47</v>
      </c>
    </row>
    <row r="153" spans="1:4" x14ac:dyDescent="0.2">
      <c r="A153" s="16" t="s">
        <v>71</v>
      </c>
      <c r="B153" s="17" t="s">
        <v>69</v>
      </c>
      <c r="C153" s="17">
        <v>23</v>
      </c>
      <c r="D153" s="17">
        <v>26.91</v>
      </c>
    </row>
    <row r="154" spans="1:4" x14ac:dyDescent="0.2">
      <c r="A154" s="14" t="s">
        <v>71</v>
      </c>
      <c r="B154" s="15" t="s">
        <v>69</v>
      </c>
      <c r="C154" s="15">
        <v>24</v>
      </c>
      <c r="D154" s="15">
        <v>26.36</v>
      </c>
    </row>
    <row r="155" spans="1:4" x14ac:dyDescent="0.2">
      <c r="A155" s="16" t="s">
        <v>71</v>
      </c>
      <c r="B155" s="17" t="s">
        <v>69</v>
      </c>
      <c r="C155" s="17">
        <v>25</v>
      </c>
      <c r="D155" s="17">
        <v>25.8</v>
      </c>
    </row>
    <row r="156" spans="1:4" x14ac:dyDescent="0.2">
      <c r="A156" s="14" t="s">
        <v>71</v>
      </c>
      <c r="B156" s="15" t="s">
        <v>69</v>
      </c>
      <c r="C156" s="15">
        <v>26</v>
      </c>
      <c r="D156" s="15">
        <v>25.24</v>
      </c>
    </row>
    <row r="157" spans="1:4" x14ac:dyDescent="0.2">
      <c r="A157" s="16" t="s">
        <v>71</v>
      </c>
      <c r="B157" s="17" t="s">
        <v>69</v>
      </c>
      <c r="C157" s="17">
        <v>27</v>
      </c>
      <c r="D157" s="17">
        <v>24.67</v>
      </c>
    </row>
    <row r="158" spans="1:4" x14ac:dyDescent="0.2">
      <c r="A158" s="14" t="s">
        <v>71</v>
      </c>
      <c r="B158" s="15" t="s">
        <v>69</v>
      </c>
      <c r="C158" s="15">
        <v>28</v>
      </c>
      <c r="D158" s="15">
        <v>24.1</v>
      </c>
    </row>
    <row r="159" spans="1:4" x14ac:dyDescent="0.2">
      <c r="A159" s="16" t="s">
        <v>71</v>
      </c>
      <c r="B159" s="17" t="s">
        <v>69</v>
      </c>
      <c r="C159" s="17">
        <v>29</v>
      </c>
      <c r="D159" s="17">
        <v>23.52</v>
      </c>
    </row>
    <row r="160" spans="1:4" x14ac:dyDescent="0.2">
      <c r="A160" s="14" t="s">
        <v>71</v>
      </c>
      <c r="B160" s="15" t="s">
        <v>69</v>
      </c>
      <c r="C160" s="15">
        <v>30</v>
      </c>
      <c r="D160" s="15">
        <v>22.93</v>
      </c>
    </row>
    <row r="161" spans="1:4" x14ac:dyDescent="0.2">
      <c r="A161" s="16" t="s">
        <v>71</v>
      </c>
      <c r="B161" s="17" t="s">
        <v>69</v>
      </c>
      <c r="C161" s="17">
        <v>31</v>
      </c>
      <c r="D161" s="17">
        <v>22.33</v>
      </c>
    </row>
    <row r="162" spans="1:4" x14ac:dyDescent="0.2">
      <c r="A162" s="14" t="s">
        <v>71</v>
      </c>
      <c r="B162" s="15" t="s">
        <v>69</v>
      </c>
      <c r="C162" s="15">
        <v>32</v>
      </c>
      <c r="D162" s="15">
        <v>21.71</v>
      </c>
    </row>
    <row r="163" spans="1:4" x14ac:dyDescent="0.2">
      <c r="A163" s="16" t="s">
        <v>71</v>
      </c>
      <c r="B163" s="17" t="s">
        <v>69</v>
      </c>
      <c r="C163" s="17">
        <v>33</v>
      </c>
      <c r="D163" s="17">
        <v>21.09</v>
      </c>
    </row>
    <row r="164" spans="1:4" x14ac:dyDescent="0.2">
      <c r="A164" s="14" t="s">
        <v>71</v>
      </c>
      <c r="B164" s="15" t="s">
        <v>69</v>
      </c>
      <c r="C164" s="15">
        <v>34</v>
      </c>
      <c r="D164" s="15">
        <v>20.45</v>
      </c>
    </row>
    <row r="165" spans="1:4" x14ac:dyDescent="0.2">
      <c r="A165" s="16" t="s">
        <v>71</v>
      </c>
      <c r="B165" s="17" t="s">
        <v>69</v>
      </c>
      <c r="C165" s="17">
        <v>35</v>
      </c>
      <c r="D165" s="17">
        <v>19.8</v>
      </c>
    </row>
    <row r="166" spans="1:4" x14ac:dyDescent="0.2">
      <c r="A166" s="14" t="s">
        <v>71</v>
      </c>
      <c r="B166" s="15" t="s">
        <v>69</v>
      </c>
      <c r="C166" s="15">
        <v>36</v>
      </c>
      <c r="D166" s="15">
        <v>19.149999999999999</v>
      </c>
    </row>
    <row r="167" spans="1:4" x14ac:dyDescent="0.2">
      <c r="A167" s="16" t="s">
        <v>71</v>
      </c>
      <c r="B167" s="17" t="s">
        <v>69</v>
      </c>
      <c r="C167" s="17">
        <v>37</v>
      </c>
      <c r="D167" s="17">
        <v>18.5</v>
      </c>
    </row>
    <row r="168" spans="1:4" x14ac:dyDescent="0.2">
      <c r="A168" s="14" t="s">
        <v>71</v>
      </c>
      <c r="B168" s="15" t="s">
        <v>69</v>
      </c>
      <c r="C168" s="15">
        <v>38</v>
      </c>
      <c r="D168" s="15">
        <v>17.850000000000001</v>
      </c>
    </row>
    <row r="169" spans="1:4" x14ac:dyDescent="0.2">
      <c r="A169" s="16" t="s">
        <v>71</v>
      </c>
      <c r="B169" s="17" t="s">
        <v>69</v>
      </c>
      <c r="C169" s="17">
        <v>39</v>
      </c>
      <c r="D169" s="17">
        <v>17.21</v>
      </c>
    </row>
    <row r="170" spans="1:4" x14ac:dyDescent="0.2">
      <c r="A170" s="14" t="s">
        <v>71</v>
      </c>
      <c r="B170" s="15" t="s">
        <v>69</v>
      </c>
      <c r="C170" s="15">
        <v>40</v>
      </c>
      <c r="D170" s="15">
        <v>16.57</v>
      </c>
    </row>
    <row r="171" spans="1:4" x14ac:dyDescent="0.2">
      <c r="A171" s="16" t="s">
        <v>71</v>
      </c>
      <c r="B171" s="17" t="s">
        <v>69</v>
      </c>
      <c r="C171" s="17">
        <v>41</v>
      </c>
      <c r="D171" s="17">
        <v>15.94</v>
      </c>
    </row>
    <row r="172" spans="1:4" x14ac:dyDescent="0.2">
      <c r="A172" s="14" t="s">
        <v>71</v>
      </c>
      <c r="B172" s="15" t="s">
        <v>69</v>
      </c>
      <c r="C172" s="15">
        <v>42</v>
      </c>
      <c r="D172" s="15">
        <v>15.31</v>
      </c>
    </row>
    <row r="173" spans="1:4" x14ac:dyDescent="0.2">
      <c r="A173" s="16" t="s">
        <v>71</v>
      </c>
      <c r="B173" s="17" t="s">
        <v>69</v>
      </c>
      <c r="C173" s="17">
        <v>43</v>
      </c>
      <c r="D173" s="17">
        <v>14.68</v>
      </c>
    </row>
    <row r="174" spans="1:4" x14ac:dyDescent="0.2">
      <c r="A174" s="14" t="s">
        <v>71</v>
      </c>
      <c r="B174" s="15" t="s">
        <v>69</v>
      </c>
      <c r="C174" s="15">
        <v>44</v>
      </c>
      <c r="D174" s="15">
        <v>14.06</v>
      </c>
    </row>
    <row r="175" spans="1:4" x14ac:dyDescent="0.2">
      <c r="A175" s="16" t="s">
        <v>71</v>
      </c>
      <c r="B175" s="17" t="s">
        <v>69</v>
      </c>
      <c r="C175" s="17">
        <v>45</v>
      </c>
      <c r="D175" s="17">
        <v>13.46</v>
      </c>
    </row>
    <row r="176" spans="1:4" x14ac:dyDescent="0.2">
      <c r="A176" s="14" t="s">
        <v>71</v>
      </c>
      <c r="B176" s="15" t="s">
        <v>69</v>
      </c>
      <c r="C176" s="15">
        <v>46</v>
      </c>
      <c r="D176" s="15">
        <v>12.87</v>
      </c>
    </row>
    <row r="177" spans="1:4" x14ac:dyDescent="0.2">
      <c r="A177" s="16" t="s">
        <v>71</v>
      </c>
      <c r="B177" s="17" t="s">
        <v>69</v>
      </c>
      <c r="C177" s="17">
        <v>47</v>
      </c>
      <c r="D177" s="17">
        <v>12.28</v>
      </c>
    </row>
    <row r="178" spans="1:4" x14ac:dyDescent="0.2">
      <c r="A178" s="14" t="s">
        <v>71</v>
      </c>
      <c r="B178" s="15" t="s">
        <v>69</v>
      </c>
      <c r="C178" s="15">
        <v>48</v>
      </c>
      <c r="D178" s="15">
        <v>11.72</v>
      </c>
    </row>
    <row r="179" spans="1:4" x14ac:dyDescent="0.2">
      <c r="A179" s="16" t="s">
        <v>71</v>
      </c>
      <c r="B179" s="17" t="s">
        <v>69</v>
      </c>
      <c r="C179" s="17">
        <v>49</v>
      </c>
      <c r="D179" s="17">
        <v>11.16</v>
      </c>
    </row>
    <row r="180" spans="1:4" x14ac:dyDescent="0.2">
      <c r="A180" s="14" t="s">
        <v>71</v>
      </c>
      <c r="B180" s="15" t="s">
        <v>69</v>
      </c>
      <c r="C180" s="15">
        <v>50</v>
      </c>
      <c r="D180" s="15">
        <v>10.62</v>
      </c>
    </row>
    <row r="181" spans="1:4" x14ac:dyDescent="0.2">
      <c r="A181" s="16" t="s">
        <v>71</v>
      </c>
      <c r="B181" s="17" t="s">
        <v>69</v>
      </c>
      <c r="C181" s="17">
        <v>51</v>
      </c>
      <c r="D181" s="17">
        <v>10.09</v>
      </c>
    </row>
    <row r="182" spans="1:4" x14ac:dyDescent="0.2">
      <c r="A182" s="14" t="s">
        <v>71</v>
      </c>
      <c r="B182" s="15" t="s">
        <v>69</v>
      </c>
      <c r="C182" s="15">
        <v>52</v>
      </c>
      <c r="D182" s="15">
        <v>9.57</v>
      </c>
    </row>
    <row r="183" spans="1:4" x14ac:dyDescent="0.2">
      <c r="A183" s="16" t="s">
        <v>71</v>
      </c>
      <c r="B183" s="17" t="s">
        <v>69</v>
      </c>
      <c r="C183" s="17">
        <v>53</v>
      </c>
      <c r="D183" s="17">
        <v>9.06</v>
      </c>
    </row>
    <row r="184" spans="1:4" x14ac:dyDescent="0.2">
      <c r="A184" s="14" t="s">
        <v>71</v>
      </c>
      <c r="B184" s="15" t="s">
        <v>69</v>
      </c>
      <c r="C184" s="15">
        <v>54</v>
      </c>
      <c r="D184" s="15">
        <v>8.56</v>
      </c>
    </row>
    <row r="185" spans="1:4" x14ac:dyDescent="0.2">
      <c r="A185" s="16" t="s">
        <v>71</v>
      </c>
      <c r="B185" s="17" t="s">
        <v>69</v>
      </c>
      <c r="C185" s="17">
        <v>55</v>
      </c>
      <c r="D185" s="17">
        <v>8.07</v>
      </c>
    </row>
    <row r="186" spans="1:4" x14ac:dyDescent="0.2">
      <c r="A186" s="14" t="s">
        <v>71</v>
      </c>
      <c r="B186" s="15" t="s">
        <v>69</v>
      </c>
      <c r="C186" s="15">
        <v>56</v>
      </c>
      <c r="D186" s="15">
        <v>7.59</v>
      </c>
    </row>
    <row r="187" spans="1:4" x14ac:dyDescent="0.2">
      <c r="A187" s="16" t="s">
        <v>71</v>
      </c>
      <c r="B187" s="17" t="s">
        <v>69</v>
      </c>
      <c r="C187" s="17">
        <v>57</v>
      </c>
      <c r="D187" s="17">
        <v>7.13</v>
      </c>
    </row>
    <row r="188" spans="1:4" x14ac:dyDescent="0.2">
      <c r="A188" s="14" t="s">
        <v>71</v>
      </c>
      <c r="B188" s="15" t="s">
        <v>69</v>
      </c>
      <c r="C188" s="15">
        <v>58</v>
      </c>
      <c r="D188" s="15">
        <v>6.69</v>
      </c>
    </row>
    <row r="189" spans="1:4" x14ac:dyDescent="0.2">
      <c r="A189" s="16" t="s">
        <v>71</v>
      </c>
      <c r="B189" s="17" t="s">
        <v>69</v>
      </c>
      <c r="C189" s="17">
        <v>59</v>
      </c>
      <c r="D189" s="17">
        <v>6.27</v>
      </c>
    </row>
    <row r="190" spans="1:4" x14ac:dyDescent="0.2">
      <c r="A190" s="14" t="s">
        <v>71</v>
      </c>
      <c r="B190" s="15" t="s">
        <v>69</v>
      </c>
      <c r="C190" s="15">
        <v>60</v>
      </c>
      <c r="D190" s="15">
        <v>5.89</v>
      </c>
    </row>
    <row r="191" spans="1:4" x14ac:dyDescent="0.2">
      <c r="A191" s="16" t="s">
        <v>71</v>
      </c>
      <c r="B191" s="17" t="s">
        <v>69</v>
      </c>
      <c r="C191" s="17">
        <v>61</v>
      </c>
      <c r="D191" s="17">
        <v>5.55</v>
      </c>
    </row>
    <row r="192" spans="1:4" x14ac:dyDescent="0.2">
      <c r="A192" s="14" t="s">
        <v>71</v>
      </c>
      <c r="B192" s="15" t="s">
        <v>69</v>
      </c>
      <c r="C192" s="15">
        <v>62</v>
      </c>
      <c r="D192" s="15">
        <v>5.24</v>
      </c>
    </row>
    <row r="193" spans="1:4" x14ac:dyDescent="0.2">
      <c r="A193" s="16" t="s">
        <v>71</v>
      </c>
      <c r="B193" s="17" t="s">
        <v>69</v>
      </c>
      <c r="C193" s="17">
        <v>63</v>
      </c>
      <c r="D193" s="17">
        <v>4.95</v>
      </c>
    </row>
    <row r="194" spans="1:4" x14ac:dyDescent="0.2">
      <c r="A194" s="14" t="s">
        <v>71</v>
      </c>
      <c r="B194" s="15" t="s">
        <v>69</v>
      </c>
      <c r="C194" s="15">
        <v>64</v>
      </c>
      <c r="D194" s="15">
        <v>4.6900000000000004</v>
      </c>
    </row>
    <row r="195" spans="1:4" x14ac:dyDescent="0.2">
      <c r="A195" s="16" t="s">
        <v>71</v>
      </c>
      <c r="B195" s="17" t="s">
        <v>69</v>
      </c>
      <c r="C195" s="17">
        <v>65</v>
      </c>
      <c r="D195" s="17">
        <v>4.45</v>
      </c>
    </row>
    <row r="196" spans="1:4" x14ac:dyDescent="0.2">
      <c r="A196" s="14" t="s">
        <v>71</v>
      </c>
      <c r="B196" s="15" t="s">
        <v>69</v>
      </c>
      <c r="C196" s="15">
        <v>66</v>
      </c>
      <c r="D196" s="15">
        <v>4.22</v>
      </c>
    </row>
    <row r="197" spans="1:4" x14ac:dyDescent="0.2">
      <c r="A197" s="16" t="s">
        <v>71</v>
      </c>
      <c r="B197" s="17" t="s">
        <v>69</v>
      </c>
      <c r="C197" s="17">
        <v>67</v>
      </c>
      <c r="D197" s="17">
        <v>4.01</v>
      </c>
    </row>
    <row r="198" spans="1:4" x14ac:dyDescent="0.2">
      <c r="A198" s="14" t="s">
        <v>71</v>
      </c>
      <c r="B198" s="15" t="s">
        <v>69</v>
      </c>
      <c r="C198" s="15">
        <v>68</v>
      </c>
      <c r="D198" s="15">
        <v>3.81</v>
      </c>
    </row>
    <row r="199" spans="1:4" x14ac:dyDescent="0.2">
      <c r="A199" s="16" t="s">
        <v>71</v>
      </c>
      <c r="B199" s="17" t="s">
        <v>69</v>
      </c>
      <c r="C199" s="17">
        <v>69</v>
      </c>
      <c r="D199" s="17">
        <v>3.62</v>
      </c>
    </row>
    <row r="200" spans="1:4" x14ac:dyDescent="0.2">
      <c r="A200" s="14" t="s">
        <v>71</v>
      </c>
      <c r="B200" s="15" t="s">
        <v>69</v>
      </c>
      <c r="C200" s="15">
        <v>70</v>
      </c>
      <c r="D200" s="15">
        <v>3.45</v>
      </c>
    </row>
    <row r="201" spans="1:4" x14ac:dyDescent="0.2">
      <c r="A201" s="16" t="s">
        <v>71</v>
      </c>
      <c r="B201" s="17" t="s">
        <v>69</v>
      </c>
      <c r="C201" s="17">
        <v>71</v>
      </c>
      <c r="D201" s="17">
        <v>3.28</v>
      </c>
    </row>
    <row r="202" spans="1:4" x14ac:dyDescent="0.2">
      <c r="A202" s="14" t="s">
        <v>71</v>
      </c>
      <c r="B202" s="15" t="s">
        <v>69</v>
      </c>
      <c r="C202" s="15">
        <v>72</v>
      </c>
      <c r="D202" s="15">
        <v>3.13</v>
      </c>
    </row>
    <row r="203" spans="1:4" x14ac:dyDescent="0.2">
      <c r="A203" s="16" t="s">
        <v>71</v>
      </c>
      <c r="B203" s="17" t="s">
        <v>69</v>
      </c>
      <c r="C203" s="17">
        <v>73</v>
      </c>
      <c r="D203" s="17">
        <v>2.99</v>
      </c>
    </row>
    <row r="204" spans="1:4" x14ac:dyDescent="0.2">
      <c r="A204" s="14" t="s">
        <v>71</v>
      </c>
      <c r="B204" s="15" t="s">
        <v>69</v>
      </c>
      <c r="C204" s="15">
        <v>74</v>
      </c>
      <c r="D204" s="15">
        <v>2.86</v>
      </c>
    </row>
    <row r="205" spans="1:4" x14ac:dyDescent="0.2">
      <c r="A205" s="16" t="s">
        <v>71</v>
      </c>
      <c r="B205" s="17" t="s">
        <v>69</v>
      </c>
      <c r="C205" s="17">
        <v>75</v>
      </c>
      <c r="D205" s="17">
        <v>2.74</v>
      </c>
    </row>
    <row r="206" spans="1:4" x14ac:dyDescent="0.2">
      <c r="A206" s="14" t="s">
        <v>71</v>
      </c>
      <c r="B206" s="15" t="s">
        <v>69</v>
      </c>
      <c r="C206" s="15">
        <v>76</v>
      </c>
      <c r="D206" s="15">
        <v>2.62</v>
      </c>
    </row>
    <row r="207" spans="1:4" x14ac:dyDescent="0.2">
      <c r="A207" s="16" t="s">
        <v>71</v>
      </c>
      <c r="B207" s="17" t="s">
        <v>69</v>
      </c>
      <c r="C207" s="17">
        <v>77</v>
      </c>
      <c r="D207" s="17">
        <v>2.5099999999999998</v>
      </c>
    </row>
    <row r="208" spans="1:4" x14ac:dyDescent="0.2">
      <c r="A208" s="14" t="s">
        <v>71</v>
      </c>
      <c r="B208" s="15" t="s">
        <v>69</v>
      </c>
      <c r="C208" s="15">
        <v>78</v>
      </c>
      <c r="D208" s="15">
        <v>2.41</v>
      </c>
    </row>
    <row r="209" spans="1:4" x14ac:dyDescent="0.2">
      <c r="A209" s="16" t="s">
        <v>71</v>
      </c>
      <c r="B209" s="17" t="s">
        <v>69</v>
      </c>
      <c r="C209" s="17">
        <v>79</v>
      </c>
      <c r="D209" s="17">
        <v>2.31</v>
      </c>
    </row>
    <row r="210" spans="1:4" x14ac:dyDescent="0.2">
      <c r="A210" s="14" t="s">
        <v>71</v>
      </c>
      <c r="B210" s="15" t="s">
        <v>69</v>
      </c>
      <c r="C210" s="15">
        <v>80</v>
      </c>
      <c r="D210" s="15">
        <v>2.21</v>
      </c>
    </row>
    <row r="211" spans="1:4" x14ac:dyDescent="0.2">
      <c r="A211" s="16" t="s">
        <v>71</v>
      </c>
      <c r="B211" s="17" t="s">
        <v>69</v>
      </c>
      <c r="C211" s="17">
        <v>81</v>
      </c>
      <c r="D211" s="17">
        <v>2.12</v>
      </c>
    </row>
    <row r="212" spans="1:4" x14ac:dyDescent="0.2">
      <c r="A212" s="14" t="s">
        <v>71</v>
      </c>
      <c r="B212" s="15" t="s">
        <v>69</v>
      </c>
      <c r="C212" s="15">
        <v>82</v>
      </c>
      <c r="D212" s="15">
        <v>2.0299999999999998</v>
      </c>
    </row>
    <row r="213" spans="1:4" x14ac:dyDescent="0.2">
      <c r="A213" s="16" t="s">
        <v>71</v>
      </c>
      <c r="B213" s="17" t="s">
        <v>69</v>
      </c>
      <c r="C213" s="17">
        <v>83</v>
      </c>
      <c r="D213" s="17">
        <v>1.95</v>
      </c>
    </row>
    <row r="214" spans="1:4" x14ac:dyDescent="0.2">
      <c r="A214" s="14" t="s">
        <v>71</v>
      </c>
      <c r="B214" s="15" t="s">
        <v>69</v>
      </c>
      <c r="C214" s="15">
        <v>84</v>
      </c>
      <c r="D214" s="15">
        <v>1.87</v>
      </c>
    </row>
    <row r="215" spans="1:4" x14ac:dyDescent="0.2">
      <c r="A215" s="16" t="s">
        <v>71</v>
      </c>
      <c r="B215" s="17" t="s">
        <v>69</v>
      </c>
      <c r="C215" s="17">
        <v>85</v>
      </c>
      <c r="D215" s="17">
        <v>1.79</v>
      </c>
    </row>
    <row r="216" spans="1:4" x14ac:dyDescent="0.2">
      <c r="A216" s="14" t="s">
        <v>71</v>
      </c>
      <c r="B216" s="15" t="s">
        <v>69</v>
      </c>
      <c r="C216" s="15">
        <v>86</v>
      </c>
      <c r="D216" s="15">
        <v>1.71</v>
      </c>
    </row>
    <row r="217" spans="1:4" x14ac:dyDescent="0.2">
      <c r="A217" s="16" t="s">
        <v>71</v>
      </c>
      <c r="B217" s="17" t="s">
        <v>69</v>
      </c>
      <c r="C217" s="17">
        <v>87</v>
      </c>
      <c r="D217" s="17">
        <v>1.64</v>
      </c>
    </row>
    <row r="218" spans="1:4" x14ac:dyDescent="0.2">
      <c r="A218" s="14" t="s">
        <v>71</v>
      </c>
      <c r="B218" s="15" t="s">
        <v>69</v>
      </c>
      <c r="C218" s="15">
        <v>88</v>
      </c>
      <c r="D218" s="15">
        <v>1.57</v>
      </c>
    </row>
    <row r="219" spans="1:4" x14ac:dyDescent="0.2">
      <c r="A219" s="16" t="s">
        <v>71</v>
      </c>
      <c r="B219" s="17" t="s">
        <v>69</v>
      </c>
      <c r="C219" s="17">
        <v>89</v>
      </c>
      <c r="D219" s="17">
        <v>1.51</v>
      </c>
    </row>
    <row r="220" spans="1:4" x14ac:dyDescent="0.2">
      <c r="A220" s="14" t="s">
        <v>71</v>
      </c>
      <c r="B220" s="15" t="s">
        <v>69</v>
      </c>
      <c r="C220" s="15">
        <v>90</v>
      </c>
      <c r="D220" s="15">
        <v>1.44</v>
      </c>
    </row>
    <row r="221" spans="1:4" x14ac:dyDescent="0.2">
      <c r="A221" s="16" t="s">
        <v>3</v>
      </c>
      <c r="B221" s="17" t="s">
        <v>69</v>
      </c>
      <c r="C221" s="17">
        <v>18</v>
      </c>
      <c r="D221" s="17">
        <v>33.33</v>
      </c>
    </row>
    <row r="222" spans="1:4" x14ac:dyDescent="0.2">
      <c r="A222" s="14" t="s">
        <v>3</v>
      </c>
      <c r="B222" s="15" t="s">
        <v>69</v>
      </c>
      <c r="C222" s="15">
        <v>19</v>
      </c>
      <c r="D222" s="15">
        <v>32.590000000000003</v>
      </c>
    </row>
    <row r="223" spans="1:4" x14ac:dyDescent="0.2">
      <c r="A223" s="16" t="s">
        <v>3</v>
      </c>
      <c r="B223" s="17" t="s">
        <v>69</v>
      </c>
      <c r="C223" s="17">
        <v>20</v>
      </c>
      <c r="D223" s="17">
        <v>31.85</v>
      </c>
    </row>
    <row r="224" spans="1:4" x14ac:dyDescent="0.2">
      <c r="A224" s="14" t="s">
        <v>3</v>
      </c>
      <c r="B224" s="15" t="s">
        <v>69</v>
      </c>
      <c r="C224" s="15">
        <v>21</v>
      </c>
      <c r="D224" s="15">
        <v>31.11</v>
      </c>
    </row>
    <row r="225" spans="1:4" x14ac:dyDescent="0.2">
      <c r="A225" s="16" t="s">
        <v>3</v>
      </c>
      <c r="B225" s="17" t="s">
        <v>69</v>
      </c>
      <c r="C225" s="17">
        <v>22</v>
      </c>
      <c r="D225" s="17">
        <v>30.37</v>
      </c>
    </row>
    <row r="226" spans="1:4" x14ac:dyDescent="0.2">
      <c r="A226" s="14" t="s">
        <v>3</v>
      </c>
      <c r="B226" s="15" t="s">
        <v>69</v>
      </c>
      <c r="C226" s="15">
        <v>23</v>
      </c>
      <c r="D226" s="15">
        <v>29.64</v>
      </c>
    </row>
    <row r="227" spans="1:4" x14ac:dyDescent="0.2">
      <c r="A227" s="16" t="s">
        <v>3</v>
      </c>
      <c r="B227" s="17" t="s">
        <v>69</v>
      </c>
      <c r="C227" s="17">
        <v>24</v>
      </c>
      <c r="D227" s="17">
        <v>28.9</v>
      </c>
    </row>
    <row r="228" spans="1:4" x14ac:dyDescent="0.2">
      <c r="A228" s="14" t="s">
        <v>3</v>
      </c>
      <c r="B228" s="15" t="s">
        <v>69</v>
      </c>
      <c r="C228" s="15">
        <v>25</v>
      </c>
      <c r="D228" s="15">
        <v>28.17</v>
      </c>
    </row>
    <row r="229" spans="1:4" x14ac:dyDescent="0.2">
      <c r="A229" s="16" t="s">
        <v>3</v>
      </c>
      <c r="B229" s="17" t="s">
        <v>69</v>
      </c>
      <c r="C229" s="17">
        <v>26</v>
      </c>
      <c r="D229" s="17">
        <v>27.43</v>
      </c>
    </row>
    <row r="230" spans="1:4" x14ac:dyDescent="0.2">
      <c r="A230" s="14" t="s">
        <v>3</v>
      </c>
      <c r="B230" s="15" t="s">
        <v>69</v>
      </c>
      <c r="C230" s="15">
        <v>27</v>
      </c>
      <c r="D230" s="15">
        <v>26.68</v>
      </c>
    </row>
    <row r="231" spans="1:4" x14ac:dyDescent="0.2">
      <c r="A231" s="16" t="s">
        <v>3</v>
      </c>
      <c r="B231" s="17" t="s">
        <v>69</v>
      </c>
      <c r="C231" s="17">
        <v>28</v>
      </c>
      <c r="D231" s="17">
        <v>25.94</v>
      </c>
    </row>
    <row r="232" spans="1:4" x14ac:dyDescent="0.2">
      <c r="A232" s="14" t="s">
        <v>3</v>
      </c>
      <c r="B232" s="15" t="s">
        <v>69</v>
      </c>
      <c r="C232" s="15">
        <v>29</v>
      </c>
      <c r="D232" s="15">
        <v>25.2</v>
      </c>
    </row>
    <row r="233" spans="1:4" x14ac:dyDescent="0.2">
      <c r="A233" s="16" t="s">
        <v>3</v>
      </c>
      <c r="B233" s="17" t="s">
        <v>69</v>
      </c>
      <c r="C233" s="17">
        <v>30</v>
      </c>
      <c r="D233" s="17">
        <v>24.46</v>
      </c>
    </row>
    <row r="234" spans="1:4" x14ac:dyDescent="0.2">
      <c r="A234" s="14" t="s">
        <v>3</v>
      </c>
      <c r="B234" s="15" t="s">
        <v>69</v>
      </c>
      <c r="C234" s="15">
        <v>31</v>
      </c>
      <c r="D234" s="15">
        <v>23.72</v>
      </c>
    </row>
    <row r="235" spans="1:4" x14ac:dyDescent="0.2">
      <c r="A235" s="16" t="s">
        <v>3</v>
      </c>
      <c r="B235" s="17" t="s">
        <v>69</v>
      </c>
      <c r="C235" s="17">
        <v>32</v>
      </c>
      <c r="D235" s="17">
        <v>22.99</v>
      </c>
    </row>
    <row r="236" spans="1:4" x14ac:dyDescent="0.2">
      <c r="A236" s="14" t="s">
        <v>3</v>
      </c>
      <c r="B236" s="15" t="s">
        <v>69</v>
      </c>
      <c r="C236" s="15">
        <v>33</v>
      </c>
      <c r="D236" s="15">
        <v>22.25</v>
      </c>
    </row>
    <row r="237" spans="1:4" x14ac:dyDescent="0.2">
      <c r="A237" s="16" t="s">
        <v>3</v>
      </c>
      <c r="B237" s="17" t="s">
        <v>69</v>
      </c>
      <c r="C237" s="17">
        <v>34</v>
      </c>
      <c r="D237" s="17">
        <v>21.51</v>
      </c>
    </row>
    <row r="238" spans="1:4" x14ac:dyDescent="0.2">
      <c r="A238" s="14" t="s">
        <v>3</v>
      </c>
      <c r="B238" s="15" t="s">
        <v>69</v>
      </c>
      <c r="C238" s="15">
        <v>35</v>
      </c>
      <c r="D238" s="15">
        <v>20.77</v>
      </c>
    </row>
    <row r="239" spans="1:4" x14ac:dyDescent="0.2">
      <c r="A239" s="16" t="s">
        <v>3</v>
      </c>
      <c r="B239" s="17" t="s">
        <v>69</v>
      </c>
      <c r="C239" s="17">
        <v>36</v>
      </c>
      <c r="D239" s="17">
        <v>20.04</v>
      </c>
    </row>
    <row r="240" spans="1:4" x14ac:dyDescent="0.2">
      <c r="A240" s="14" t="s">
        <v>3</v>
      </c>
      <c r="B240" s="15" t="s">
        <v>69</v>
      </c>
      <c r="C240" s="15">
        <v>37</v>
      </c>
      <c r="D240" s="15">
        <v>19.309999999999999</v>
      </c>
    </row>
    <row r="241" spans="1:4" x14ac:dyDescent="0.2">
      <c r="A241" s="16" t="s">
        <v>3</v>
      </c>
      <c r="B241" s="17" t="s">
        <v>69</v>
      </c>
      <c r="C241" s="17">
        <v>38</v>
      </c>
      <c r="D241" s="17">
        <v>18.579999999999998</v>
      </c>
    </row>
    <row r="242" spans="1:4" x14ac:dyDescent="0.2">
      <c r="A242" s="14" t="s">
        <v>3</v>
      </c>
      <c r="B242" s="15" t="s">
        <v>69</v>
      </c>
      <c r="C242" s="15">
        <v>39</v>
      </c>
      <c r="D242" s="15">
        <v>17.850000000000001</v>
      </c>
    </row>
    <row r="243" spans="1:4" x14ac:dyDescent="0.2">
      <c r="A243" s="16" t="s">
        <v>3</v>
      </c>
      <c r="B243" s="17" t="s">
        <v>69</v>
      </c>
      <c r="C243" s="17">
        <v>40</v>
      </c>
      <c r="D243" s="17">
        <v>17.13</v>
      </c>
    </row>
    <row r="244" spans="1:4" x14ac:dyDescent="0.2">
      <c r="A244" s="14" t="s">
        <v>3</v>
      </c>
      <c r="B244" s="15" t="s">
        <v>69</v>
      </c>
      <c r="C244" s="15">
        <v>41</v>
      </c>
      <c r="D244" s="15">
        <v>16.41</v>
      </c>
    </row>
    <row r="245" spans="1:4" x14ac:dyDescent="0.2">
      <c r="A245" s="16" t="s">
        <v>3</v>
      </c>
      <c r="B245" s="17" t="s">
        <v>69</v>
      </c>
      <c r="C245" s="17">
        <v>42</v>
      </c>
      <c r="D245" s="17">
        <v>15.71</v>
      </c>
    </row>
    <row r="246" spans="1:4" x14ac:dyDescent="0.2">
      <c r="A246" s="14" t="s">
        <v>3</v>
      </c>
      <c r="B246" s="15" t="s">
        <v>69</v>
      </c>
      <c r="C246" s="15">
        <v>43</v>
      </c>
      <c r="D246" s="15">
        <v>15.01</v>
      </c>
    </row>
    <row r="247" spans="1:4" x14ac:dyDescent="0.2">
      <c r="A247" s="16" t="s">
        <v>3</v>
      </c>
      <c r="B247" s="17" t="s">
        <v>69</v>
      </c>
      <c r="C247" s="17">
        <v>44</v>
      </c>
      <c r="D247" s="17">
        <v>14.33</v>
      </c>
    </row>
    <row r="248" spans="1:4" x14ac:dyDescent="0.2">
      <c r="A248" s="14" t="s">
        <v>3</v>
      </c>
      <c r="B248" s="15" t="s">
        <v>69</v>
      </c>
      <c r="C248" s="15">
        <v>45</v>
      </c>
      <c r="D248" s="15">
        <v>13.65</v>
      </c>
    </row>
    <row r="249" spans="1:4" x14ac:dyDescent="0.2">
      <c r="A249" s="16" t="s">
        <v>3</v>
      </c>
      <c r="B249" s="17" t="s">
        <v>69</v>
      </c>
      <c r="C249" s="17">
        <v>46</v>
      </c>
      <c r="D249" s="17">
        <v>12.98</v>
      </c>
    </row>
    <row r="250" spans="1:4" x14ac:dyDescent="0.2">
      <c r="A250" s="14" t="s">
        <v>3</v>
      </c>
      <c r="B250" s="15" t="s">
        <v>69</v>
      </c>
      <c r="C250" s="15">
        <v>47</v>
      </c>
      <c r="D250" s="15">
        <v>12.33</v>
      </c>
    </row>
    <row r="251" spans="1:4" x14ac:dyDescent="0.2">
      <c r="A251" s="16" t="s">
        <v>3</v>
      </c>
      <c r="B251" s="17" t="s">
        <v>69</v>
      </c>
      <c r="C251" s="17">
        <v>48</v>
      </c>
      <c r="D251" s="17">
        <v>11.69</v>
      </c>
    </row>
    <row r="252" spans="1:4" x14ac:dyDescent="0.2">
      <c r="A252" s="14" t="s">
        <v>3</v>
      </c>
      <c r="B252" s="15" t="s">
        <v>69</v>
      </c>
      <c r="C252" s="15">
        <v>49</v>
      </c>
      <c r="D252" s="15">
        <v>11.05</v>
      </c>
    </row>
    <row r="253" spans="1:4" x14ac:dyDescent="0.2">
      <c r="A253" s="16" t="s">
        <v>3</v>
      </c>
      <c r="B253" s="17" t="s">
        <v>69</v>
      </c>
      <c r="C253" s="17">
        <v>50</v>
      </c>
      <c r="D253" s="17">
        <v>10.41</v>
      </c>
    </row>
    <row r="254" spans="1:4" x14ac:dyDescent="0.2">
      <c r="A254" s="14" t="s">
        <v>3</v>
      </c>
      <c r="B254" s="15" t="s">
        <v>69</v>
      </c>
      <c r="C254" s="15">
        <v>51</v>
      </c>
      <c r="D254" s="15">
        <v>9.7899999999999991</v>
      </c>
    </row>
    <row r="255" spans="1:4" x14ac:dyDescent="0.2">
      <c r="A255" s="16" t="s">
        <v>3</v>
      </c>
      <c r="B255" s="17" t="s">
        <v>69</v>
      </c>
      <c r="C255" s="17">
        <v>52</v>
      </c>
      <c r="D255" s="17">
        <v>9.18</v>
      </c>
    </row>
    <row r="256" spans="1:4" x14ac:dyDescent="0.2">
      <c r="A256" s="14" t="s">
        <v>3</v>
      </c>
      <c r="B256" s="15" t="s">
        <v>69</v>
      </c>
      <c r="C256" s="15">
        <v>53</v>
      </c>
      <c r="D256" s="15">
        <v>8.6</v>
      </c>
    </row>
    <row r="257" spans="1:4" x14ac:dyDescent="0.2">
      <c r="A257" s="16" t="s">
        <v>3</v>
      </c>
      <c r="B257" s="17" t="s">
        <v>69</v>
      </c>
      <c r="C257" s="17">
        <v>54</v>
      </c>
      <c r="D257" s="17">
        <v>8.0500000000000007</v>
      </c>
    </row>
    <row r="258" spans="1:4" x14ac:dyDescent="0.2">
      <c r="A258" s="14" t="s">
        <v>3</v>
      </c>
      <c r="B258" s="15" t="s">
        <v>69</v>
      </c>
      <c r="C258" s="15">
        <v>55</v>
      </c>
      <c r="D258" s="15">
        <v>7.52</v>
      </c>
    </row>
    <row r="259" spans="1:4" x14ac:dyDescent="0.2">
      <c r="A259" s="16" t="s">
        <v>3</v>
      </c>
      <c r="B259" s="17" t="s">
        <v>69</v>
      </c>
      <c r="C259" s="17">
        <v>56</v>
      </c>
      <c r="D259" s="17">
        <v>7.01</v>
      </c>
    </row>
    <row r="260" spans="1:4" x14ac:dyDescent="0.2">
      <c r="A260" s="14" t="s">
        <v>3</v>
      </c>
      <c r="B260" s="15" t="s">
        <v>69</v>
      </c>
      <c r="C260" s="15">
        <v>57</v>
      </c>
      <c r="D260" s="15">
        <v>6.53</v>
      </c>
    </row>
    <row r="261" spans="1:4" x14ac:dyDescent="0.2">
      <c r="A261" s="16" t="s">
        <v>3</v>
      </c>
      <c r="B261" s="17" t="s">
        <v>69</v>
      </c>
      <c r="C261" s="17">
        <v>58</v>
      </c>
      <c r="D261" s="17">
        <v>6.08</v>
      </c>
    </row>
    <row r="262" spans="1:4" x14ac:dyDescent="0.2">
      <c r="A262" s="14" t="s">
        <v>3</v>
      </c>
      <c r="B262" s="15" t="s">
        <v>69</v>
      </c>
      <c r="C262" s="15">
        <v>59</v>
      </c>
      <c r="D262" s="15">
        <v>5.67</v>
      </c>
    </row>
    <row r="263" spans="1:4" x14ac:dyDescent="0.2">
      <c r="A263" s="16" t="s">
        <v>3</v>
      </c>
      <c r="B263" s="17" t="s">
        <v>69</v>
      </c>
      <c r="C263" s="17">
        <v>60</v>
      </c>
      <c r="D263" s="17">
        <v>5.31</v>
      </c>
    </row>
    <row r="264" spans="1:4" x14ac:dyDescent="0.2">
      <c r="A264" s="14" t="s">
        <v>3</v>
      </c>
      <c r="B264" s="15" t="s">
        <v>69</v>
      </c>
      <c r="C264" s="15">
        <v>61</v>
      </c>
      <c r="D264" s="15">
        <v>4.9800000000000004</v>
      </c>
    </row>
    <row r="265" spans="1:4" x14ac:dyDescent="0.2">
      <c r="A265" s="16" t="s">
        <v>3</v>
      </c>
      <c r="B265" s="17" t="s">
        <v>69</v>
      </c>
      <c r="C265" s="17">
        <v>62</v>
      </c>
      <c r="D265" s="17">
        <v>4.7</v>
      </c>
    </row>
    <row r="266" spans="1:4" x14ac:dyDescent="0.2">
      <c r="A266" s="14" t="s">
        <v>3</v>
      </c>
      <c r="B266" s="15" t="s">
        <v>69</v>
      </c>
      <c r="C266" s="15">
        <v>63</v>
      </c>
      <c r="D266" s="15">
        <v>4.4400000000000004</v>
      </c>
    </row>
    <row r="267" spans="1:4" x14ac:dyDescent="0.2">
      <c r="A267" s="16" t="s">
        <v>3</v>
      </c>
      <c r="B267" s="17" t="s">
        <v>69</v>
      </c>
      <c r="C267" s="17">
        <v>64</v>
      </c>
      <c r="D267" s="17">
        <v>4.22</v>
      </c>
    </row>
    <row r="268" spans="1:4" x14ac:dyDescent="0.2">
      <c r="A268" s="14" t="s">
        <v>3</v>
      </c>
      <c r="B268" s="15" t="s">
        <v>69</v>
      </c>
      <c r="C268" s="15">
        <v>65</v>
      </c>
      <c r="D268" s="15">
        <v>4</v>
      </c>
    </row>
    <row r="269" spans="1:4" x14ac:dyDescent="0.2">
      <c r="A269" s="16" t="s">
        <v>3</v>
      </c>
      <c r="B269" s="17" t="s">
        <v>69</v>
      </c>
      <c r="C269" s="17">
        <v>66</v>
      </c>
      <c r="D269" s="17">
        <v>3.8</v>
      </c>
    </row>
    <row r="270" spans="1:4" x14ac:dyDescent="0.2">
      <c r="A270" s="14" t="s">
        <v>3</v>
      </c>
      <c r="B270" s="15" t="s">
        <v>69</v>
      </c>
      <c r="C270" s="15">
        <v>67</v>
      </c>
      <c r="D270" s="15">
        <v>3.62</v>
      </c>
    </row>
    <row r="271" spans="1:4" x14ac:dyDescent="0.2">
      <c r="A271" s="16" t="s">
        <v>3</v>
      </c>
      <c r="B271" s="17" t="s">
        <v>69</v>
      </c>
      <c r="C271" s="17">
        <v>68</v>
      </c>
      <c r="D271" s="17">
        <v>3.45</v>
      </c>
    </row>
    <row r="272" spans="1:4" x14ac:dyDescent="0.2">
      <c r="A272" s="14" t="s">
        <v>3</v>
      </c>
      <c r="B272" s="15" t="s">
        <v>69</v>
      </c>
      <c r="C272" s="15">
        <v>69</v>
      </c>
      <c r="D272" s="15">
        <v>3.29</v>
      </c>
    </row>
    <row r="273" spans="1:4" x14ac:dyDescent="0.2">
      <c r="A273" s="16" t="s">
        <v>3</v>
      </c>
      <c r="B273" s="17" t="s">
        <v>69</v>
      </c>
      <c r="C273" s="17">
        <v>70</v>
      </c>
      <c r="D273" s="17">
        <v>3.15</v>
      </c>
    </row>
    <row r="274" spans="1:4" x14ac:dyDescent="0.2">
      <c r="A274" s="14" t="s">
        <v>3</v>
      </c>
      <c r="B274" s="15" t="s">
        <v>69</v>
      </c>
      <c r="C274" s="15">
        <v>71</v>
      </c>
      <c r="D274" s="15">
        <v>3.03</v>
      </c>
    </row>
    <row r="275" spans="1:4" x14ac:dyDescent="0.2">
      <c r="A275" s="16" t="s">
        <v>3</v>
      </c>
      <c r="B275" s="17" t="s">
        <v>69</v>
      </c>
      <c r="C275" s="17">
        <v>72</v>
      </c>
      <c r="D275" s="17">
        <v>2.91</v>
      </c>
    </row>
    <row r="276" spans="1:4" x14ac:dyDescent="0.2">
      <c r="A276" s="14" t="s">
        <v>3</v>
      </c>
      <c r="B276" s="15" t="s">
        <v>69</v>
      </c>
      <c r="C276" s="15">
        <v>73</v>
      </c>
      <c r="D276" s="15">
        <v>2.8</v>
      </c>
    </row>
    <row r="277" spans="1:4" x14ac:dyDescent="0.2">
      <c r="A277" s="16" t="s">
        <v>3</v>
      </c>
      <c r="B277" s="17" t="s">
        <v>69</v>
      </c>
      <c r="C277" s="17">
        <v>74</v>
      </c>
      <c r="D277" s="17">
        <v>2.69</v>
      </c>
    </row>
    <row r="278" spans="1:4" x14ac:dyDescent="0.2">
      <c r="A278" s="14" t="s">
        <v>3</v>
      </c>
      <c r="B278" s="15" t="s">
        <v>69</v>
      </c>
      <c r="C278" s="15">
        <v>75</v>
      </c>
      <c r="D278" s="15">
        <v>2.59</v>
      </c>
    </row>
    <row r="279" spans="1:4" x14ac:dyDescent="0.2">
      <c r="A279" s="16" t="s">
        <v>3</v>
      </c>
      <c r="B279" s="17" t="s">
        <v>69</v>
      </c>
      <c r="C279" s="17">
        <v>76</v>
      </c>
      <c r="D279" s="17">
        <v>2.5</v>
      </c>
    </row>
    <row r="280" spans="1:4" x14ac:dyDescent="0.2">
      <c r="A280" s="14" t="s">
        <v>3</v>
      </c>
      <c r="B280" s="15" t="s">
        <v>69</v>
      </c>
      <c r="C280" s="15">
        <v>77</v>
      </c>
      <c r="D280" s="15">
        <v>2.41</v>
      </c>
    </row>
    <row r="281" spans="1:4" x14ac:dyDescent="0.2">
      <c r="A281" s="16" t="s">
        <v>3</v>
      </c>
      <c r="B281" s="17" t="s">
        <v>69</v>
      </c>
      <c r="C281" s="17">
        <v>78</v>
      </c>
      <c r="D281" s="17">
        <v>2.3199999999999998</v>
      </c>
    </row>
    <row r="282" spans="1:4" x14ac:dyDescent="0.2">
      <c r="A282" s="14" t="s">
        <v>3</v>
      </c>
      <c r="B282" s="15" t="s">
        <v>69</v>
      </c>
      <c r="C282" s="15">
        <v>79</v>
      </c>
      <c r="D282" s="15">
        <v>2.2400000000000002</v>
      </c>
    </row>
    <row r="283" spans="1:4" x14ac:dyDescent="0.2">
      <c r="A283" s="16" t="s">
        <v>3</v>
      </c>
      <c r="B283" s="17" t="s">
        <v>69</v>
      </c>
      <c r="C283" s="17">
        <v>80</v>
      </c>
      <c r="D283" s="17">
        <v>2.16</v>
      </c>
    </row>
    <row r="284" spans="1:4" x14ac:dyDescent="0.2">
      <c r="A284" s="14" t="s">
        <v>3</v>
      </c>
      <c r="B284" s="15" t="s">
        <v>69</v>
      </c>
      <c r="C284" s="15">
        <v>81</v>
      </c>
      <c r="D284" s="15">
        <v>2.09</v>
      </c>
    </row>
    <row r="285" spans="1:4" x14ac:dyDescent="0.2">
      <c r="A285" s="16" t="s">
        <v>3</v>
      </c>
      <c r="B285" s="17" t="s">
        <v>69</v>
      </c>
      <c r="C285" s="17">
        <v>82</v>
      </c>
      <c r="D285" s="17">
        <v>2.0099999999999998</v>
      </c>
    </row>
    <row r="286" spans="1:4" x14ac:dyDescent="0.2">
      <c r="A286" s="14" t="s">
        <v>3</v>
      </c>
      <c r="B286" s="15" t="s">
        <v>69</v>
      </c>
      <c r="C286" s="15">
        <v>83</v>
      </c>
      <c r="D286" s="15">
        <v>1.94</v>
      </c>
    </row>
    <row r="287" spans="1:4" x14ac:dyDescent="0.2">
      <c r="A287" s="16" t="s">
        <v>3</v>
      </c>
      <c r="B287" s="17" t="s">
        <v>69</v>
      </c>
      <c r="C287" s="17">
        <v>84</v>
      </c>
      <c r="D287" s="17">
        <v>1.87</v>
      </c>
    </row>
    <row r="288" spans="1:4" x14ac:dyDescent="0.2">
      <c r="A288" s="14" t="s">
        <v>3</v>
      </c>
      <c r="B288" s="15" t="s">
        <v>69</v>
      </c>
      <c r="C288" s="15">
        <v>85</v>
      </c>
      <c r="D288" s="15">
        <v>1.81</v>
      </c>
    </row>
    <row r="289" spans="1:4" x14ac:dyDescent="0.2">
      <c r="A289" s="16" t="s">
        <v>3</v>
      </c>
      <c r="B289" s="17" t="s">
        <v>69</v>
      </c>
      <c r="C289" s="17">
        <v>86</v>
      </c>
      <c r="D289" s="17">
        <v>1.74</v>
      </c>
    </row>
    <row r="290" spans="1:4" x14ac:dyDescent="0.2">
      <c r="A290" s="14" t="s">
        <v>3</v>
      </c>
      <c r="B290" s="15" t="s">
        <v>69</v>
      </c>
      <c r="C290" s="15">
        <v>87</v>
      </c>
      <c r="D290" s="15">
        <v>1.67</v>
      </c>
    </row>
    <row r="291" spans="1:4" x14ac:dyDescent="0.2">
      <c r="A291" s="16" t="s">
        <v>3</v>
      </c>
      <c r="B291" s="17" t="s">
        <v>69</v>
      </c>
      <c r="C291" s="17">
        <v>88</v>
      </c>
      <c r="D291" s="17">
        <v>1.61</v>
      </c>
    </row>
    <row r="292" spans="1:4" x14ac:dyDescent="0.2">
      <c r="A292" s="14" t="s">
        <v>3</v>
      </c>
      <c r="B292" s="15" t="s">
        <v>69</v>
      </c>
      <c r="C292" s="15">
        <v>89</v>
      </c>
      <c r="D292" s="15">
        <v>1.55</v>
      </c>
    </row>
    <row r="293" spans="1:4" x14ac:dyDescent="0.2">
      <c r="A293" s="16" t="s">
        <v>3</v>
      </c>
      <c r="B293" s="17" t="s">
        <v>69</v>
      </c>
      <c r="C293" s="17">
        <v>90</v>
      </c>
      <c r="D293" s="17">
        <v>1.49</v>
      </c>
    </row>
    <row r="294" spans="1:4" x14ac:dyDescent="0.2">
      <c r="A294" s="14" t="s">
        <v>2</v>
      </c>
      <c r="B294" s="15" t="s">
        <v>69</v>
      </c>
      <c r="C294" s="15">
        <v>18</v>
      </c>
      <c r="D294" s="15">
        <v>37.869999999999997</v>
      </c>
    </row>
    <row r="295" spans="1:4" x14ac:dyDescent="0.2">
      <c r="A295" s="16" t="s">
        <v>2</v>
      </c>
      <c r="B295" s="17" t="s">
        <v>69</v>
      </c>
      <c r="C295" s="17">
        <v>19</v>
      </c>
      <c r="D295" s="17">
        <v>37.14</v>
      </c>
    </row>
    <row r="296" spans="1:4" x14ac:dyDescent="0.2">
      <c r="A296" s="14" t="s">
        <v>2</v>
      </c>
      <c r="B296" s="15" t="s">
        <v>69</v>
      </c>
      <c r="C296" s="15">
        <v>20</v>
      </c>
      <c r="D296" s="15">
        <v>36.39</v>
      </c>
    </row>
    <row r="297" spans="1:4" x14ac:dyDescent="0.2">
      <c r="A297" s="16" t="s">
        <v>2</v>
      </c>
      <c r="B297" s="17" t="s">
        <v>69</v>
      </c>
      <c r="C297" s="17">
        <v>21</v>
      </c>
      <c r="D297" s="17">
        <v>35.64</v>
      </c>
    </row>
    <row r="298" spans="1:4" x14ac:dyDescent="0.2">
      <c r="A298" s="14" t="s">
        <v>2</v>
      </c>
      <c r="B298" s="15" t="s">
        <v>69</v>
      </c>
      <c r="C298" s="15">
        <v>22</v>
      </c>
      <c r="D298" s="15">
        <v>34.89</v>
      </c>
    </row>
    <row r="299" spans="1:4" x14ac:dyDescent="0.2">
      <c r="A299" s="16" t="s">
        <v>2</v>
      </c>
      <c r="B299" s="17" t="s">
        <v>69</v>
      </c>
      <c r="C299" s="17">
        <v>23</v>
      </c>
      <c r="D299" s="17">
        <v>34.14</v>
      </c>
    </row>
    <row r="300" spans="1:4" x14ac:dyDescent="0.2">
      <c r="A300" s="14" t="s">
        <v>2</v>
      </c>
      <c r="B300" s="15" t="s">
        <v>69</v>
      </c>
      <c r="C300" s="15">
        <v>24</v>
      </c>
      <c r="D300" s="15">
        <v>33.369999999999997</v>
      </c>
    </row>
    <row r="301" spans="1:4" x14ac:dyDescent="0.2">
      <c r="A301" s="16" t="s">
        <v>2</v>
      </c>
      <c r="B301" s="17" t="s">
        <v>69</v>
      </c>
      <c r="C301" s="17">
        <v>25</v>
      </c>
      <c r="D301" s="17">
        <v>32.6</v>
      </c>
    </row>
    <row r="302" spans="1:4" x14ac:dyDescent="0.2">
      <c r="A302" s="14" t="s">
        <v>2</v>
      </c>
      <c r="B302" s="15" t="s">
        <v>69</v>
      </c>
      <c r="C302" s="15">
        <v>26</v>
      </c>
      <c r="D302" s="15">
        <v>31.81</v>
      </c>
    </row>
    <row r="303" spans="1:4" x14ac:dyDescent="0.2">
      <c r="A303" s="16" t="s">
        <v>2</v>
      </c>
      <c r="B303" s="17" t="s">
        <v>69</v>
      </c>
      <c r="C303" s="17">
        <v>27</v>
      </c>
      <c r="D303" s="17">
        <v>31.02</v>
      </c>
    </row>
    <row r="304" spans="1:4" x14ac:dyDescent="0.2">
      <c r="A304" s="14" t="s">
        <v>2</v>
      </c>
      <c r="B304" s="15" t="s">
        <v>69</v>
      </c>
      <c r="C304" s="15">
        <v>28</v>
      </c>
      <c r="D304" s="15">
        <v>30.23</v>
      </c>
    </row>
    <row r="305" spans="1:4" x14ac:dyDescent="0.2">
      <c r="A305" s="16" t="s">
        <v>2</v>
      </c>
      <c r="B305" s="17" t="s">
        <v>69</v>
      </c>
      <c r="C305" s="17">
        <v>29</v>
      </c>
      <c r="D305" s="17">
        <v>29.44</v>
      </c>
    </row>
    <row r="306" spans="1:4" x14ac:dyDescent="0.2">
      <c r="A306" s="14" t="s">
        <v>2</v>
      </c>
      <c r="B306" s="15" t="s">
        <v>69</v>
      </c>
      <c r="C306" s="15">
        <v>30</v>
      </c>
      <c r="D306" s="15">
        <v>28.64</v>
      </c>
    </row>
    <row r="307" spans="1:4" x14ac:dyDescent="0.2">
      <c r="A307" s="16" t="s">
        <v>2</v>
      </c>
      <c r="B307" s="17" t="s">
        <v>69</v>
      </c>
      <c r="C307" s="17">
        <v>31</v>
      </c>
      <c r="D307" s="17">
        <v>27.83</v>
      </c>
    </row>
    <row r="308" spans="1:4" x14ac:dyDescent="0.2">
      <c r="A308" s="14" t="s">
        <v>2</v>
      </c>
      <c r="B308" s="15" t="s">
        <v>69</v>
      </c>
      <c r="C308" s="15">
        <v>32</v>
      </c>
      <c r="D308" s="15">
        <v>27</v>
      </c>
    </row>
    <row r="309" spans="1:4" x14ac:dyDescent="0.2">
      <c r="A309" s="16" t="s">
        <v>2</v>
      </c>
      <c r="B309" s="17" t="s">
        <v>69</v>
      </c>
      <c r="C309" s="17">
        <v>33</v>
      </c>
      <c r="D309" s="17">
        <v>26.17</v>
      </c>
    </row>
    <row r="310" spans="1:4" x14ac:dyDescent="0.2">
      <c r="A310" s="14" t="s">
        <v>2</v>
      </c>
      <c r="B310" s="15" t="s">
        <v>69</v>
      </c>
      <c r="C310" s="15">
        <v>34</v>
      </c>
      <c r="D310" s="15">
        <v>25.34</v>
      </c>
    </row>
    <row r="311" spans="1:4" x14ac:dyDescent="0.2">
      <c r="A311" s="16" t="s">
        <v>2</v>
      </c>
      <c r="B311" s="17" t="s">
        <v>69</v>
      </c>
      <c r="C311" s="17">
        <v>35</v>
      </c>
      <c r="D311" s="17">
        <v>24.52</v>
      </c>
    </row>
    <row r="312" spans="1:4" x14ac:dyDescent="0.2">
      <c r="A312" s="14" t="s">
        <v>2</v>
      </c>
      <c r="B312" s="15" t="s">
        <v>69</v>
      </c>
      <c r="C312" s="15">
        <v>36</v>
      </c>
      <c r="D312" s="15">
        <v>23.7</v>
      </c>
    </row>
    <row r="313" spans="1:4" x14ac:dyDescent="0.2">
      <c r="A313" s="16" t="s">
        <v>2</v>
      </c>
      <c r="B313" s="17" t="s">
        <v>69</v>
      </c>
      <c r="C313" s="17">
        <v>37</v>
      </c>
      <c r="D313" s="17">
        <v>22.89</v>
      </c>
    </row>
    <row r="314" spans="1:4" x14ac:dyDescent="0.2">
      <c r="A314" s="14" t="s">
        <v>2</v>
      </c>
      <c r="B314" s="15" t="s">
        <v>69</v>
      </c>
      <c r="C314" s="15">
        <v>38</v>
      </c>
      <c r="D314" s="15">
        <v>22.08</v>
      </c>
    </row>
    <row r="315" spans="1:4" x14ac:dyDescent="0.2">
      <c r="A315" s="16" t="s">
        <v>2</v>
      </c>
      <c r="B315" s="17" t="s">
        <v>69</v>
      </c>
      <c r="C315" s="17">
        <v>39</v>
      </c>
      <c r="D315" s="17">
        <v>21.27</v>
      </c>
    </row>
    <row r="316" spans="1:4" x14ac:dyDescent="0.2">
      <c r="A316" s="14" t="s">
        <v>2</v>
      </c>
      <c r="B316" s="15" t="s">
        <v>69</v>
      </c>
      <c r="C316" s="15">
        <v>40</v>
      </c>
      <c r="D316" s="15">
        <v>20.48</v>
      </c>
    </row>
    <row r="317" spans="1:4" x14ac:dyDescent="0.2">
      <c r="A317" s="16" t="s">
        <v>2</v>
      </c>
      <c r="B317" s="17" t="s">
        <v>69</v>
      </c>
      <c r="C317" s="17">
        <v>41</v>
      </c>
      <c r="D317" s="17">
        <v>19.7</v>
      </c>
    </row>
    <row r="318" spans="1:4" x14ac:dyDescent="0.2">
      <c r="A318" s="14" t="s">
        <v>2</v>
      </c>
      <c r="B318" s="15" t="s">
        <v>69</v>
      </c>
      <c r="C318" s="15">
        <v>42</v>
      </c>
      <c r="D318" s="15">
        <v>18.93</v>
      </c>
    </row>
    <row r="319" spans="1:4" x14ac:dyDescent="0.2">
      <c r="A319" s="16" t="s">
        <v>2</v>
      </c>
      <c r="B319" s="17" t="s">
        <v>69</v>
      </c>
      <c r="C319" s="17">
        <v>43</v>
      </c>
      <c r="D319" s="17">
        <v>18.170000000000002</v>
      </c>
    </row>
    <row r="320" spans="1:4" x14ac:dyDescent="0.2">
      <c r="A320" s="14" t="s">
        <v>2</v>
      </c>
      <c r="B320" s="15" t="s">
        <v>69</v>
      </c>
      <c r="C320" s="15">
        <v>44</v>
      </c>
      <c r="D320" s="15">
        <v>17.41</v>
      </c>
    </row>
    <row r="321" spans="1:4" x14ac:dyDescent="0.2">
      <c r="A321" s="16" t="s">
        <v>2</v>
      </c>
      <c r="B321" s="17" t="s">
        <v>69</v>
      </c>
      <c r="C321" s="17">
        <v>45</v>
      </c>
      <c r="D321" s="17">
        <v>16.670000000000002</v>
      </c>
    </row>
    <row r="322" spans="1:4" x14ac:dyDescent="0.2">
      <c r="A322" s="14" t="s">
        <v>2</v>
      </c>
      <c r="B322" s="15" t="s">
        <v>69</v>
      </c>
      <c r="C322" s="15">
        <v>46</v>
      </c>
      <c r="D322" s="15">
        <v>15.93</v>
      </c>
    </row>
    <row r="323" spans="1:4" x14ac:dyDescent="0.2">
      <c r="A323" s="16" t="s">
        <v>2</v>
      </c>
      <c r="B323" s="17" t="s">
        <v>69</v>
      </c>
      <c r="C323" s="17">
        <v>47</v>
      </c>
      <c r="D323" s="17">
        <v>15.19</v>
      </c>
    </row>
    <row r="324" spans="1:4" x14ac:dyDescent="0.2">
      <c r="A324" s="14" t="s">
        <v>2</v>
      </c>
      <c r="B324" s="15" t="s">
        <v>69</v>
      </c>
      <c r="C324" s="15">
        <v>48</v>
      </c>
      <c r="D324" s="15">
        <v>14.46</v>
      </c>
    </row>
    <row r="325" spans="1:4" x14ac:dyDescent="0.2">
      <c r="A325" s="16" t="s">
        <v>2</v>
      </c>
      <c r="B325" s="17" t="s">
        <v>69</v>
      </c>
      <c r="C325" s="17">
        <v>49</v>
      </c>
      <c r="D325" s="17">
        <v>13.74</v>
      </c>
    </row>
    <row r="326" spans="1:4" x14ac:dyDescent="0.2">
      <c r="A326" s="14" t="s">
        <v>2</v>
      </c>
      <c r="B326" s="15" t="s">
        <v>69</v>
      </c>
      <c r="C326" s="15">
        <v>50</v>
      </c>
      <c r="D326" s="15">
        <v>13.06</v>
      </c>
    </row>
    <row r="327" spans="1:4" x14ac:dyDescent="0.2">
      <c r="A327" s="16" t="s">
        <v>2</v>
      </c>
      <c r="B327" s="17" t="s">
        <v>69</v>
      </c>
      <c r="C327" s="17">
        <v>51</v>
      </c>
      <c r="D327" s="17">
        <v>12.39</v>
      </c>
    </row>
    <row r="328" spans="1:4" x14ac:dyDescent="0.2">
      <c r="A328" s="14" t="s">
        <v>2</v>
      </c>
      <c r="B328" s="15" t="s">
        <v>69</v>
      </c>
      <c r="C328" s="15">
        <v>52</v>
      </c>
      <c r="D328" s="15">
        <v>11.72</v>
      </c>
    </row>
    <row r="329" spans="1:4" x14ac:dyDescent="0.2">
      <c r="A329" s="16" t="s">
        <v>2</v>
      </c>
      <c r="B329" s="17" t="s">
        <v>69</v>
      </c>
      <c r="C329" s="17">
        <v>53</v>
      </c>
      <c r="D329" s="17">
        <v>11.05</v>
      </c>
    </row>
    <row r="330" spans="1:4" x14ac:dyDescent="0.2">
      <c r="A330" s="14" t="s">
        <v>2</v>
      </c>
      <c r="B330" s="15" t="s">
        <v>69</v>
      </c>
      <c r="C330" s="15">
        <v>54</v>
      </c>
      <c r="D330" s="15">
        <v>10.39</v>
      </c>
    </row>
    <row r="331" spans="1:4" x14ac:dyDescent="0.2">
      <c r="A331" s="16" t="s">
        <v>2</v>
      </c>
      <c r="B331" s="17" t="s">
        <v>69</v>
      </c>
      <c r="C331" s="17">
        <v>55</v>
      </c>
      <c r="D331" s="17">
        <v>9.74</v>
      </c>
    </row>
    <row r="332" spans="1:4" x14ac:dyDescent="0.2">
      <c r="A332" s="14" t="s">
        <v>2</v>
      </c>
      <c r="B332" s="15" t="s">
        <v>69</v>
      </c>
      <c r="C332" s="15">
        <v>56</v>
      </c>
      <c r="D332" s="15">
        <v>9.11</v>
      </c>
    </row>
    <row r="333" spans="1:4" x14ac:dyDescent="0.2">
      <c r="A333" s="16" t="s">
        <v>2</v>
      </c>
      <c r="B333" s="17" t="s">
        <v>69</v>
      </c>
      <c r="C333" s="17">
        <v>57</v>
      </c>
      <c r="D333" s="17">
        <v>8.5</v>
      </c>
    </row>
    <row r="334" spans="1:4" x14ac:dyDescent="0.2">
      <c r="A334" s="14" t="s">
        <v>2</v>
      </c>
      <c r="B334" s="15" t="s">
        <v>69</v>
      </c>
      <c r="C334" s="15">
        <v>58</v>
      </c>
      <c r="D334" s="15">
        <v>7.89</v>
      </c>
    </row>
    <row r="335" spans="1:4" x14ac:dyDescent="0.2">
      <c r="A335" s="16" t="s">
        <v>2</v>
      </c>
      <c r="B335" s="17" t="s">
        <v>69</v>
      </c>
      <c r="C335" s="17">
        <v>59</v>
      </c>
      <c r="D335" s="17">
        <v>7.3</v>
      </c>
    </row>
    <row r="336" spans="1:4" x14ac:dyDescent="0.2">
      <c r="A336" s="14" t="s">
        <v>2</v>
      </c>
      <c r="B336" s="15" t="s">
        <v>69</v>
      </c>
      <c r="C336" s="15">
        <v>60</v>
      </c>
      <c r="D336" s="15">
        <v>6.73</v>
      </c>
    </row>
    <row r="337" spans="1:4" x14ac:dyDescent="0.2">
      <c r="A337" s="16" t="s">
        <v>2</v>
      </c>
      <c r="B337" s="17" t="s">
        <v>69</v>
      </c>
      <c r="C337" s="17">
        <v>61</v>
      </c>
      <c r="D337" s="17">
        <v>6.23</v>
      </c>
    </row>
    <row r="338" spans="1:4" x14ac:dyDescent="0.2">
      <c r="A338" s="14" t="s">
        <v>2</v>
      </c>
      <c r="B338" s="15" t="s">
        <v>69</v>
      </c>
      <c r="C338" s="15">
        <v>62</v>
      </c>
      <c r="D338" s="15">
        <v>5.8</v>
      </c>
    </row>
    <row r="339" spans="1:4" x14ac:dyDescent="0.2">
      <c r="A339" s="16" t="s">
        <v>2</v>
      </c>
      <c r="B339" s="17" t="s">
        <v>69</v>
      </c>
      <c r="C339" s="17">
        <v>63</v>
      </c>
      <c r="D339" s="17">
        <v>5.43</v>
      </c>
    </row>
    <row r="340" spans="1:4" x14ac:dyDescent="0.2">
      <c r="A340" s="14" t="s">
        <v>2</v>
      </c>
      <c r="B340" s="15" t="s">
        <v>69</v>
      </c>
      <c r="C340" s="15">
        <v>64</v>
      </c>
      <c r="D340" s="15">
        <v>5.1100000000000003</v>
      </c>
    </row>
    <row r="341" spans="1:4" x14ac:dyDescent="0.2">
      <c r="A341" s="16" t="s">
        <v>2</v>
      </c>
      <c r="B341" s="17" t="s">
        <v>69</v>
      </c>
      <c r="C341" s="17">
        <v>65</v>
      </c>
      <c r="D341" s="17">
        <v>4.82</v>
      </c>
    </row>
    <row r="342" spans="1:4" x14ac:dyDescent="0.2">
      <c r="A342" s="14" t="s">
        <v>2</v>
      </c>
      <c r="B342" s="15" t="s">
        <v>69</v>
      </c>
      <c r="C342" s="15">
        <v>66</v>
      </c>
      <c r="D342" s="15">
        <v>4.57</v>
      </c>
    </row>
    <row r="343" spans="1:4" x14ac:dyDescent="0.2">
      <c r="A343" s="16" t="s">
        <v>2</v>
      </c>
      <c r="B343" s="17" t="s">
        <v>69</v>
      </c>
      <c r="C343" s="17">
        <v>67</v>
      </c>
      <c r="D343" s="17">
        <v>4.3600000000000003</v>
      </c>
    </row>
    <row r="344" spans="1:4" x14ac:dyDescent="0.2">
      <c r="A344" s="14" t="s">
        <v>2</v>
      </c>
      <c r="B344" s="15" t="s">
        <v>69</v>
      </c>
      <c r="C344" s="15">
        <v>68</v>
      </c>
      <c r="D344" s="15">
        <v>4.17</v>
      </c>
    </row>
    <row r="345" spans="1:4" x14ac:dyDescent="0.2">
      <c r="A345" s="16" t="s">
        <v>2</v>
      </c>
      <c r="B345" s="17" t="s">
        <v>69</v>
      </c>
      <c r="C345" s="17">
        <v>69</v>
      </c>
      <c r="D345" s="17">
        <v>3.98</v>
      </c>
    </row>
    <row r="346" spans="1:4" x14ac:dyDescent="0.2">
      <c r="A346" s="14" t="s">
        <v>2</v>
      </c>
      <c r="B346" s="15" t="s">
        <v>69</v>
      </c>
      <c r="C346" s="15">
        <v>70</v>
      </c>
      <c r="D346" s="15">
        <v>3.8</v>
      </c>
    </row>
    <row r="347" spans="1:4" x14ac:dyDescent="0.2">
      <c r="A347" s="16" t="s">
        <v>2</v>
      </c>
      <c r="B347" s="17" t="s">
        <v>69</v>
      </c>
      <c r="C347" s="17">
        <v>71</v>
      </c>
      <c r="D347" s="17">
        <v>3.63</v>
      </c>
    </row>
    <row r="348" spans="1:4" x14ac:dyDescent="0.2">
      <c r="A348" s="14" t="s">
        <v>2</v>
      </c>
      <c r="B348" s="15" t="s">
        <v>69</v>
      </c>
      <c r="C348" s="15">
        <v>72</v>
      </c>
      <c r="D348" s="15">
        <v>3.47</v>
      </c>
    </row>
    <row r="349" spans="1:4" x14ac:dyDescent="0.2">
      <c r="A349" s="16" t="s">
        <v>2</v>
      </c>
      <c r="B349" s="17" t="s">
        <v>69</v>
      </c>
      <c r="C349" s="17">
        <v>73</v>
      </c>
      <c r="D349" s="17">
        <v>3.32</v>
      </c>
    </row>
    <row r="350" spans="1:4" x14ac:dyDescent="0.2">
      <c r="A350" s="14" t="s">
        <v>2</v>
      </c>
      <c r="B350" s="15" t="s">
        <v>69</v>
      </c>
      <c r="C350" s="15">
        <v>74</v>
      </c>
      <c r="D350" s="15">
        <v>3.18</v>
      </c>
    </row>
    <row r="351" spans="1:4" x14ac:dyDescent="0.2">
      <c r="A351" s="16" t="s">
        <v>2</v>
      </c>
      <c r="B351" s="17" t="s">
        <v>69</v>
      </c>
      <c r="C351" s="17">
        <v>75</v>
      </c>
      <c r="D351" s="17">
        <v>3.05</v>
      </c>
    </row>
    <row r="352" spans="1:4" x14ac:dyDescent="0.2">
      <c r="A352" s="14" t="s">
        <v>2</v>
      </c>
      <c r="B352" s="15" t="s">
        <v>69</v>
      </c>
      <c r="C352" s="15">
        <v>76</v>
      </c>
      <c r="D352" s="15">
        <v>2.93</v>
      </c>
    </row>
    <row r="353" spans="1:4" x14ac:dyDescent="0.2">
      <c r="A353" s="16" t="s">
        <v>2</v>
      </c>
      <c r="B353" s="17" t="s">
        <v>69</v>
      </c>
      <c r="C353" s="17">
        <v>77</v>
      </c>
      <c r="D353" s="17">
        <v>2.82</v>
      </c>
    </row>
    <row r="354" spans="1:4" x14ac:dyDescent="0.2">
      <c r="A354" s="14" t="s">
        <v>2</v>
      </c>
      <c r="B354" s="15" t="s">
        <v>69</v>
      </c>
      <c r="C354" s="15">
        <v>78</v>
      </c>
      <c r="D354" s="15">
        <v>2.7</v>
      </c>
    </row>
    <row r="355" spans="1:4" x14ac:dyDescent="0.2">
      <c r="A355" s="16" t="s">
        <v>2</v>
      </c>
      <c r="B355" s="17" t="s">
        <v>69</v>
      </c>
      <c r="C355" s="17">
        <v>79</v>
      </c>
      <c r="D355" s="17">
        <v>2.6</v>
      </c>
    </row>
    <row r="356" spans="1:4" x14ac:dyDescent="0.2">
      <c r="A356" s="14" t="s">
        <v>2</v>
      </c>
      <c r="B356" s="15" t="s">
        <v>69</v>
      </c>
      <c r="C356" s="15">
        <v>80</v>
      </c>
      <c r="D356" s="15">
        <v>2.5</v>
      </c>
    </row>
    <row r="357" spans="1:4" x14ac:dyDescent="0.2">
      <c r="A357" s="16" t="s">
        <v>2</v>
      </c>
      <c r="B357" s="17" t="s">
        <v>69</v>
      </c>
      <c r="C357" s="17">
        <v>81</v>
      </c>
      <c r="D357" s="17">
        <v>2.4</v>
      </c>
    </row>
    <row r="358" spans="1:4" x14ac:dyDescent="0.2">
      <c r="A358" s="14" t="s">
        <v>2</v>
      </c>
      <c r="B358" s="15" t="s">
        <v>69</v>
      </c>
      <c r="C358" s="15">
        <v>82</v>
      </c>
      <c r="D358" s="15">
        <v>2.2999999999999998</v>
      </c>
    </row>
    <row r="359" spans="1:4" x14ac:dyDescent="0.2">
      <c r="A359" s="16" t="s">
        <v>2</v>
      </c>
      <c r="B359" s="17" t="s">
        <v>69</v>
      </c>
      <c r="C359" s="17">
        <v>83</v>
      </c>
      <c r="D359" s="17">
        <v>2.21</v>
      </c>
    </row>
    <row r="360" spans="1:4" x14ac:dyDescent="0.2">
      <c r="A360" s="14" t="s">
        <v>2</v>
      </c>
      <c r="B360" s="15" t="s">
        <v>69</v>
      </c>
      <c r="C360" s="15">
        <v>84</v>
      </c>
      <c r="D360" s="15">
        <v>2.12</v>
      </c>
    </row>
    <row r="361" spans="1:4" x14ac:dyDescent="0.2">
      <c r="A361" s="16" t="s">
        <v>2</v>
      </c>
      <c r="B361" s="17" t="s">
        <v>69</v>
      </c>
      <c r="C361" s="17">
        <v>85</v>
      </c>
      <c r="D361" s="17">
        <v>2.04</v>
      </c>
    </row>
    <row r="362" spans="1:4" x14ac:dyDescent="0.2">
      <c r="A362" s="14" t="s">
        <v>2</v>
      </c>
      <c r="B362" s="15" t="s">
        <v>69</v>
      </c>
      <c r="C362" s="15">
        <v>86</v>
      </c>
      <c r="D362" s="15">
        <v>1.95</v>
      </c>
    </row>
    <row r="363" spans="1:4" x14ac:dyDescent="0.2">
      <c r="A363" s="16" t="s">
        <v>2</v>
      </c>
      <c r="B363" s="17" t="s">
        <v>69</v>
      </c>
      <c r="C363" s="17">
        <v>87</v>
      </c>
      <c r="D363" s="17">
        <v>1.87</v>
      </c>
    </row>
    <row r="364" spans="1:4" x14ac:dyDescent="0.2">
      <c r="A364" s="14" t="s">
        <v>2</v>
      </c>
      <c r="B364" s="15" t="s">
        <v>69</v>
      </c>
      <c r="C364" s="15">
        <v>88</v>
      </c>
      <c r="D364" s="15">
        <v>1.8</v>
      </c>
    </row>
    <row r="365" spans="1:4" x14ac:dyDescent="0.2">
      <c r="A365" s="16" t="s">
        <v>2</v>
      </c>
      <c r="B365" s="17" t="s">
        <v>69</v>
      </c>
      <c r="C365" s="17">
        <v>89</v>
      </c>
      <c r="D365" s="17">
        <v>1.72</v>
      </c>
    </row>
    <row r="366" spans="1:4" x14ac:dyDescent="0.2">
      <c r="A366" s="14" t="s">
        <v>2</v>
      </c>
      <c r="B366" s="15" t="s">
        <v>69</v>
      </c>
      <c r="C366" s="15">
        <v>90</v>
      </c>
      <c r="D366" s="15">
        <v>1.65</v>
      </c>
    </row>
    <row r="367" spans="1:4" x14ac:dyDescent="0.2">
      <c r="A367" s="16" t="s">
        <v>72</v>
      </c>
      <c r="B367" s="17" t="s">
        <v>69</v>
      </c>
      <c r="C367" s="17">
        <v>20</v>
      </c>
      <c r="D367" s="17">
        <v>38.54</v>
      </c>
    </row>
    <row r="368" spans="1:4" x14ac:dyDescent="0.2">
      <c r="A368" s="14" t="s">
        <v>72</v>
      </c>
      <c r="B368" s="15" t="s">
        <v>69</v>
      </c>
      <c r="C368" s="15">
        <v>21</v>
      </c>
      <c r="D368" s="15">
        <v>37.71</v>
      </c>
    </row>
    <row r="369" spans="1:4" x14ac:dyDescent="0.2">
      <c r="A369" s="16" t="s">
        <v>72</v>
      </c>
      <c r="B369" s="17" t="s">
        <v>69</v>
      </c>
      <c r="C369" s="17">
        <v>22</v>
      </c>
      <c r="D369" s="17">
        <v>36.89</v>
      </c>
    </row>
    <row r="370" spans="1:4" x14ac:dyDescent="0.2">
      <c r="A370" s="14" t="s">
        <v>72</v>
      </c>
      <c r="B370" s="15" t="s">
        <v>69</v>
      </c>
      <c r="C370" s="15">
        <v>23</v>
      </c>
      <c r="D370" s="15">
        <v>36.06</v>
      </c>
    </row>
    <row r="371" spans="1:4" x14ac:dyDescent="0.2">
      <c r="A371" s="16" t="s">
        <v>72</v>
      </c>
      <c r="B371" s="17" t="s">
        <v>69</v>
      </c>
      <c r="C371" s="17">
        <v>24</v>
      </c>
      <c r="D371" s="17">
        <v>35.229999999999997</v>
      </c>
    </row>
    <row r="372" spans="1:4" x14ac:dyDescent="0.2">
      <c r="A372" s="14" t="s">
        <v>72</v>
      </c>
      <c r="B372" s="15" t="s">
        <v>69</v>
      </c>
      <c r="C372" s="15">
        <v>25</v>
      </c>
      <c r="D372" s="15">
        <v>34.39</v>
      </c>
    </row>
    <row r="373" spans="1:4" x14ac:dyDescent="0.2">
      <c r="A373" s="16" t="s">
        <v>72</v>
      </c>
      <c r="B373" s="17" t="s">
        <v>69</v>
      </c>
      <c r="C373" s="17">
        <v>26</v>
      </c>
      <c r="D373" s="17">
        <v>33.54</v>
      </c>
    </row>
    <row r="374" spans="1:4" x14ac:dyDescent="0.2">
      <c r="A374" s="14" t="s">
        <v>72</v>
      </c>
      <c r="B374" s="15" t="s">
        <v>69</v>
      </c>
      <c r="C374" s="15">
        <v>27</v>
      </c>
      <c r="D374" s="15">
        <v>32.68</v>
      </c>
    </row>
    <row r="375" spans="1:4" x14ac:dyDescent="0.2">
      <c r="A375" s="16" t="s">
        <v>72</v>
      </c>
      <c r="B375" s="17" t="s">
        <v>69</v>
      </c>
      <c r="C375" s="17">
        <v>28</v>
      </c>
      <c r="D375" s="17">
        <v>31.81</v>
      </c>
    </row>
    <row r="376" spans="1:4" x14ac:dyDescent="0.2">
      <c r="A376" s="14" t="s">
        <v>72</v>
      </c>
      <c r="B376" s="15" t="s">
        <v>69</v>
      </c>
      <c r="C376" s="15">
        <v>29</v>
      </c>
      <c r="D376" s="15">
        <v>30.94</v>
      </c>
    </row>
    <row r="377" spans="1:4" x14ac:dyDescent="0.2">
      <c r="A377" s="16" t="s">
        <v>72</v>
      </c>
      <c r="B377" s="17" t="s">
        <v>69</v>
      </c>
      <c r="C377" s="17">
        <v>30</v>
      </c>
      <c r="D377" s="17">
        <v>30.08</v>
      </c>
    </row>
    <row r="378" spans="1:4" x14ac:dyDescent="0.2">
      <c r="A378" s="14" t="s">
        <v>72</v>
      </c>
      <c r="B378" s="15" t="s">
        <v>69</v>
      </c>
      <c r="C378" s="15">
        <v>31</v>
      </c>
      <c r="D378" s="15">
        <v>29.22</v>
      </c>
    </row>
    <row r="379" spans="1:4" x14ac:dyDescent="0.2">
      <c r="A379" s="16" t="s">
        <v>72</v>
      </c>
      <c r="B379" s="17" t="s">
        <v>69</v>
      </c>
      <c r="C379" s="17">
        <v>32</v>
      </c>
      <c r="D379" s="17">
        <v>28.36</v>
      </c>
    </row>
    <row r="380" spans="1:4" x14ac:dyDescent="0.2">
      <c r="A380" s="14" t="s">
        <v>72</v>
      </c>
      <c r="B380" s="15" t="s">
        <v>69</v>
      </c>
      <c r="C380" s="15">
        <v>33</v>
      </c>
      <c r="D380" s="15">
        <v>27.51</v>
      </c>
    </row>
    <row r="381" spans="1:4" x14ac:dyDescent="0.2">
      <c r="A381" s="16" t="s">
        <v>72</v>
      </c>
      <c r="B381" s="17" t="s">
        <v>69</v>
      </c>
      <c r="C381" s="17">
        <v>34</v>
      </c>
      <c r="D381" s="17">
        <v>26.67</v>
      </c>
    </row>
    <row r="382" spans="1:4" x14ac:dyDescent="0.2">
      <c r="A382" s="14" t="s">
        <v>72</v>
      </c>
      <c r="B382" s="15" t="s">
        <v>69</v>
      </c>
      <c r="C382" s="15">
        <v>35</v>
      </c>
      <c r="D382" s="15">
        <v>25.83</v>
      </c>
    </row>
    <row r="383" spans="1:4" x14ac:dyDescent="0.2">
      <c r="A383" s="16" t="s">
        <v>72</v>
      </c>
      <c r="B383" s="17" t="s">
        <v>69</v>
      </c>
      <c r="C383" s="17">
        <v>36</v>
      </c>
      <c r="D383" s="17">
        <v>25</v>
      </c>
    </row>
    <row r="384" spans="1:4" x14ac:dyDescent="0.2">
      <c r="A384" s="14" t="s">
        <v>72</v>
      </c>
      <c r="B384" s="15" t="s">
        <v>69</v>
      </c>
      <c r="C384" s="15">
        <v>37</v>
      </c>
      <c r="D384" s="15">
        <v>24.16</v>
      </c>
    </row>
    <row r="385" spans="1:4" x14ac:dyDescent="0.2">
      <c r="A385" s="16" t="s">
        <v>72</v>
      </c>
      <c r="B385" s="17" t="s">
        <v>69</v>
      </c>
      <c r="C385" s="17">
        <v>38</v>
      </c>
      <c r="D385" s="17">
        <v>23.32</v>
      </c>
    </row>
    <row r="386" spans="1:4" x14ac:dyDescent="0.2">
      <c r="A386" s="14" t="s">
        <v>72</v>
      </c>
      <c r="B386" s="15" t="s">
        <v>69</v>
      </c>
      <c r="C386" s="15">
        <v>39</v>
      </c>
      <c r="D386" s="15">
        <v>22.48</v>
      </c>
    </row>
    <row r="387" spans="1:4" x14ac:dyDescent="0.2">
      <c r="A387" s="16" t="s">
        <v>72</v>
      </c>
      <c r="B387" s="17" t="s">
        <v>69</v>
      </c>
      <c r="C387" s="17">
        <v>40</v>
      </c>
      <c r="D387" s="17">
        <v>21.63</v>
      </c>
    </row>
    <row r="388" spans="1:4" x14ac:dyDescent="0.2">
      <c r="A388" s="14" t="s">
        <v>72</v>
      </c>
      <c r="B388" s="15" t="s">
        <v>69</v>
      </c>
      <c r="C388" s="15">
        <v>41</v>
      </c>
      <c r="D388" s="15">
        <v>20.78</v>
      </c>
    </row>
    <row r="389" spans="1:4" x14ac:dyDescent="0.2">
      <c r="A389" s="16" t="s">
        <v>72</v>
      </c>
      <c r="B389" s="17" t="s">
        <v>69</v>
      </c>
      <c r="C389" s="17">
        <v>42</v>
      </c>
      <c r="D389" s="17">
        <v>19.940000000000001</v>
      </c>
    </row>
    <row r="390" spans="1:4" x14ac:dyDescent="0.2">
      <c r="A390" s="14" t="s">
        <v>72</v>
      </c>
      <c r="B390" s="15" t="s">
        <v>69</v>
      </c>
      <c r="C390" s="15">
        <v>43</v>
      </c>
      <c r="D390" s="15">
        <v>19.100000000000001</v>
      </c>
    </row>
    <row r="391" spans="1:4" x14ac:dyDescent="0.2">
      <c r="A391" s="16" t="s">
        <v>72</v>
      </c>
      <c r="B391" s="17" t="s">
        <v>69</v>
      </c>
      <c r="C391" s="17">
        <v>44</v>
      </c>
      <c r="D391" s="17">
        <v>18.27</v>
      </c>
    </row>
    <row r="392" spans="1:4" x14ac:dyDescent="0.2">
      <c r="A392" s="14" t="s">
        <v>72</v>
      </c>
      <c r="B392" s="15" t="s">
        <v>69</v>
      </c>
      <c r="C392" s="15">
        <v>45</v>
      </c>
      <c r="D392" s="15">
        <v>17.440000000000001</v>
      </c>
    </row>
    <row r="393" spans="1:4" x14ac:dyDescent="0.2">
      <c r="A393" s="16" t="s">
        <v>72</v>
      </c>
      <c r="B393" s="17" t="s">
        <v>69</v>
      </c>
      <c r="C393" s="17">
        <v>46</v>
      </c>
      <c r="D393" s="17">
        <v>16.63</v>
      </c>
    </row>
    <row r="394" spans="1:4" x14ac:dyDescent="0.2">
      <c r="A394" s="14" t="s">
        <v>72</v>
      </c>
      <c r="B394" s="15" t="s">
        <v>69</v>
      </c>
      <c r="C394" s="15">
        <v>47</v>
      </c>
      <c r="D394" s="15">
        <v>15.84</v>
      </c>
    </row>
    <row r="395" spans="1:4" x14ac:dyDescent="0.2">
      <c r="A395" s="16" t="s">
        <v>72</v>
      </c>
      <c r="B395" s="17" t="s">
        <v>69</v>
      </c>
      <c r="C395" s="17">
        <v>48</v>
      </c>
      <c r="D395" s="17">
        <v>15.06</v>
      </c>
    </row>
    <row r="396" spans="1:4" x14ac:dyDescent="0.2">
      <c r="A396" s="14" t="s">
        <v>72</v>
      </c>
      <c r="B396" s="15" t="s">
        <v>69</v>
      </c>
      <c r="C396" s="15">
        <v>49</v>
      </c>
      <c r="D396" s="15">
        <v>14.32</v>
      </c>
    </row>
    <row r="397" spans="1:4" x14ac:dyDescent="0.2">
      <c r="A397" s="16" t="s">
        <v>72</v>
      </c>
      <c r="B397" s="17" t="s">
        <v>69</v>
      </c>
      <c r="C397" s="17">
        <v>50</v>
      </c>
      <c r="D397" s="17">
        <v>13.59</v>
      </c>
    </row>
    <row r="398" spans="1:4" x14ac:dyDescent="0.2">
      <c r="A398" s="14" t="s">
        <v>72</v>
      </c>
      <c r="B398" s="15" t="s">
        <v>69</v>
      </c>
      <c r="C398" s="15">
        <v>51</v>
      </c>
      <c r="D398" s="15">
        <v>12.89</v>
      </c>
    </row>
    <row r="399" spans="1:4" x14ac:dyDescent="0.2">
      <c r="A399" s="16" t="s">
        <v>72</v>
      </c>
      <c r="B399" s="17" t="s">
        <v>69</v>
      </c>
      <c r="C399" s="17">
        <v>52</v>
      </c>
      <c r="D399" s="17">
        <v>12.19</v>
      </c>
    </row>
    <row r="400" spans="1:4" x14ac:dyDescent="0.2">
      <c r="A400" s="14" t="s">
        <v>72</v>
      </c>
      <c r="B400" s="15" t="s">
        <v>69</v>
      </c>
      <c r="C400" s="15">
        <v>53</v>
      </c>
      <c r="D400" s="15">
        <v>11.5</v>
      </c>
    </row>
    <row r="401" spans="1:4" x14ac:dyDescent="0.2">
      <c r="A401" s="16" t="s">
        <v>72</v>
      </c>
      <c r="B401" s="17" t="s">
        <v>69</v>
      </c>
      <c r="C401" s="17">
        <v>54</v>
      </c>
      <c r="D401" s="17">
        <v>10.82</v>
      </c>
    </row>
    <row r="402" spans="1:4" x14ac:dyDescent="0.2">
      <c r="A402" s="14" t="s">
        <v>72</v>
      </c>
      <c r="B402" s="15" t="s">
        <v>69</v>
      </c>
      <c r="C402" s="15">
        <v>55</v>
      </c>
      <c r="D402" s="15">
        <v>10.16</v>
      </c>
    </row>
    <row r="403" spans="1:4" x14ac:dyDescent="0.2">
      <c r="A403" s="16" t="s">
        <v>72</v>
      </c>
      <c r="B403" s="17" t="s">
        <v>69</v>
      </c>
      <c r="C403" s="17">
        <v>56</v>
      </c>
      <c r="D403" s="17">
        <v>9.52</v>
      </c>
    </row>
    <row r="404" spans="1:4" x14ac:dyDescent="0.2">
      <c r="A404" s="14" t="s">
        <v>72</v>
      </c>
      <c r="B404" s="15" t="s">
        <v>69</v>
      </c>
      <c r="C404" s="15">
        <v>57</v>
      </c>
      <c r="D404" s="15">
        <v>8.9</v>
      </c>
    </row>
    <row r="405" spans="1:4" x14ac:dyDescent="0.2">
      <c r="A405" s="16" t="s">
        <v>72</v>
      </c>
      <c r="B405" s="17" t="s">
        <v>69</v>
      </c>
      <c r="C405" s="17">
        <v>58</v>
      </c>
      <c r="D405" s="17">
        <v>8.3000000000000007</v>
      </c>
    </row>
    <row r="406" spans="1:4" x14ac:dyDescent="0.2">
      <c r="A406" s="14" t="s">
        <v>72</v>
      </c>
      <c r="B406" s="15" t="s">
        <v>69</v>
      </c>
      <c r="C406" s="15">
        <v>59</v>
      </c>
      <c r="D406" s="15">
        <v>7.71</v>
      </c>
    </row>
    <row r="407" spans="1:4" x14ac:dyDescent="0.2">
      <c r="A407" s="16" t="s">
        <v>72</v>
      </c>
      <c r="B407" s="17" t="s">
        <v>69</v>
      </c>
      <c r="C407" s="17">
        <v>60</v>
      </c>
      <c r="D407" s="17">
        <v>7.15</v>
      </c>
    </row>
    <row r="408" spans="1:4" x14ac:dyDescent="0.2">
      <c r="A408" s="14" t="s">
        <v>72</v>
      </c>
      <c r="B408" s="15" t="s">
        <v>69</v>
      </c>
      <c r="C408" s="15">
        <v>61</v>
      </c>
      <c r="D408" s="15">
        <v>6.63</v>
      </c>
    </row>
    <row r="409" spans="1:4" x14ac:dyDescent="0.2">
      <c r="A409" s="16" t="s">
        <v>72</v>
      </c>
      <c r="B409" s="17" t="s">
        <v>69</v>
      </c>
      <c r="C409" s="17">
        <v>62</v>
      </c>
      <c r="D409" s="17">
        <v>6.16</v>
      </c>
    </row>
    <row r="410" spans="1:4" x14ac:dyDescent="0.2">
      <c r="A410" s="14" t="s">
        <v>72</v>
      </c>
      <c r="B410" s="15" t="s">
        <v>69</v>
      </c>
      <c r="C410" s="15">
        <v>63</v>
      </c>
      <c r="D410" s="15">
        <v>5.73</v>
      </c>
    </row>
    <row r="411" spans="1:4" x14ac:dyDescent="0.2">
      <c r="A411" s="16" t="s">
        <v>72</v>
      </c>
      <c r="B411" s="17" t="s">
        <v>69</v>
      </c>
      <c r="C411" s="17">
        <v>64</v>
      </c>
      <c r="D411" s="17">
        <v>5.35</v>
      </c>
    </row>
    <row r="412" spans="1:4" x14ac:dyDescent="0.2">
      <c r="A412" s="14" t="s">
        <v>72</v>
      </c>
      <c r="B412" s="15" t="s">
        <v>69</v>
      </c>
      <c r="C412" s="15">
        <v>65</v>
      </c>
      <c r="D412" s="15">
        <v>5.0199999999999996</v>
      </c>
    </row>
    <row r="413" spans="1:4" x14ac:dyDescent="0.2">
      <c r="A413" s="16" t="s">
        <v>72</v>
      </c>
      <c r="B413" s="17" t="s">
        <v>69</v>
      </c>
      <c r="C413" s="17">
        <v>66</v>
      </c>
      <c r="D413" s="17">
        <v>4.71</v>
      </c>
    </row>
    <row r="414" spans="1:4" x14ac:dyDescent="0.2">
      <c r="A414" s="14" t="s">
        <v>72</v>
      </c>
      <c r="B414" s="15" t="s">
        <v>69</v>
      </c>
      <c r="C414" s="15">
        <v>67</v>
      </c>
      <c r="D414" s="15">
        <v>4.43</v>
      </c>
    </row>
    <row r="415" spans="1:4" x14ac:dyDescent="0.2">
      <c r="A415" s="16" t="s">
        <v>72</v>
      </c>
      <c r="B415" s="17" t="s">
        <v>69</v>
      </c>
      <c r="C415" s="17">
        <v>68</v>
      </c>
      <c r="D415" s="17">
        <v>4.16</v>
      </c>
    </row>
    <row r="416" spans="1:4" x14ac:dyDescent="0.2">
      <c r="A416" s="14" t="s">
        <v>72</v>
      </c>
      <c r="B416" s="15" t="s">
        <v>69</v>
      </c>
      <c r="C416" s="15">
        <v>69</v>
      </c>
      <c r="D416" s="15">
        <v>3.92</v>
      </c>
    </row>
    <row r="417" spans="1:4" x14ac:dyDescent="0.2">
      <c r="A417" s="16" t="s">
        <v>72</v>
      </c>
      <c r="B417" s="17" t="s">
        <v>69</v>
      </c>
      <c r="C417" s="17">
        <v>70</v>
      </c>
      <c r="D417" s="17">
        <v>3.7</v>
      </c>
    </row>
    <row r="418" spans="1:4" x14ac:dyDescent="0.2">
      <c r="A418" s="14" t="s">
        <v>72</v>
      </c>
      <c r="B418" s="15" t="s">
        <v>69</v>
      </c>
      <c r="C418" s="15">
        <v>71</v>
      </c>
      <c r="D418" s="15">
        <v>3.51</v>
      </c>
    </row>
    <row r="419" spans="1:4" x14ac:dyDescent="0.2">
      <c r="A419" s="16" t="s">
        <v>72</v>
      </c>
      <c r="B419" s="17" t="s">
        <v>69</v>
      </c>
      <c r="C419" s="17">
        <v>72</v>
      </c>
      <c r="D419" s="17">
        <v>3.33</v>
      </c>
    </row>
    <row r="420" spans="1:4" x14ac:dyDescent="0.2">
      <c r="A420" s="14" t="s">
        <v>72</v>
      </c>
      <c r="B420" s="15" t="s">
        <v>69</v>
      </c>
      <c r="C420" s="15">
        <v>73</v>
      </c>
      <c r="D420" s="15">
        <v>3.16</v>
      </c>
    </row>
    <row r="421" spans="1:4" x14ac:dyDescent="0.2">
      <c r="A421" s="16" t="s">
        <v>72</v>
      </c>
      <c r="B421" s="17" t="s">
        <v>69</v>
      </c>
      <c r="C421" s="17">
        <v>74</v>
      </c>
      <c r="D421" s="17">
        <v>3.01</v>
      </c>
    </row>
    <row r="422" spans="1:4" x14ac:dyDescent="0.2">
      <c r="A422" s="14" t="s">
        <v>72</v>
      </c>
      <c r="B422" s="15" t="s">
        <v>69</v>
      </c>
      <c r="C422" s="15">
        <v>75</v>
      </c>
      <c r="D422" s="15">
        <v>2.87</v>
      </c>
    </row>
    <row r="423" spans="1:4" x14ac:dyDescent="0.2">
      <c r="A423" s="16" t="s">
        <v>72</v>
      </c>
      <c r="B423" s="17" t="s">
        <v>69</v>
      </c>
      <c r="C423" s="17">
        <v>76</v>
      </c>
      <c r="D423" s="17">
        <v>2.74</v>
      </c>
    </row>
    <row r="424" spans="1:4" x14ac:dyDescent="0.2">
      <c r="A424" s="14" t="s">
        <v>72</v>
      </c>
      <c r="B424" s="15" t="s">
        <v>69</v>
      </c>
      <c r="C424" s="15">
        <v>77</v>
      </c>
      <c r="D424" s="15">
        <v>2.61</v>
      </c>
    </row>
    <row r="425" spans="1:4" x14ac:dyDescent="0.2">
      <c r="A425" s="16" t="s">
        <v>72</v>
      </c>
      <c r="B425" s="17" t="s">
        <v>69</v>
      </c>
      <c r="C425" s="17">
        <v>78</v>
      </c>
      <c r="D425" s="17">
        <v>2.4900000000000002</v>
      </c>
    </row>
    <row r="426" spans="1:4" x14ac:dyDescent="0.2">
      <c r="A426" s="14" t="s">
        <v>72</v>
      </c>
      <c r="B426" s="15" t="s">
        <v>69</v>
      </c>
      <c r="C426" s="15">
        <v>79</v>
      </c>
      <c r="D426" s="15">
        <v>2.37</v>
      </c>
    </row>
    <row r="427" spans="1:4" x14ac:dyDescent="0.2">
      <c r="A427" s="16" t="s">
        <v>72</v>
      </c>
      <c r="B427" s="17" t="s">
        <v>69</v>
      </c>
      <c r="C427" s="17">
        <v>80</v>
      </c>
      <c r="D427" s="17">
        <v>2.2599999999999998</v>
      </c>
    </row>
    <row r="428" spans="1:4" x14ac:dyDescent="0.2">
      <c r="A428" s="14" t="s">
        <v>72</v>
      </c>
      <c r="B428" s="15" t="s">
        <v>69</v>
      </c>
      <c r="C428" s="15">
        <v>81</v>
      </c>
      <c r="D428" s="15">
        <v>2.16</v>
      </c>
    </row>
    <row r="429" spans="1:4" x14ac:dyDescent="0.2">
      <c r="A429" s="16" t="s">
        <v>72</v>
      </c>
      <c r="B429" s="17" t="s">
        <v>69</v>
      </c>
      <c r="C429" s="17">
        <v>82</v>
      </c>
      <c r="D429" s="17">
        <v>2.06</v>
      </c>
    </row>
    <row r="430" spans="1:4" x14ac:dyDescent="0.2">
      <c r="A430" s="14" t="s">
        <v>72</v>
      </c>
      <c r="B430" s="15" t="s">
        <v>69</v>
      </c>
      <c r="C430" s="15">
        <v>83</v>
      </c>
      <c r="D430" s="15">
        <v>1.97</v>
      </c>
    </row>
    <row r="431" spans="1:4" x14ac:dyDescent="0.2">
      <c r="A431" s="16" t="s">
        <v>72</v>
      </c>
      <c r="B431" s="17" t="s">
        <v>69</v>
      </c>
      <c r="C431" s="17">
        <v>84</v>
      </c>
      <c r="D431" s="17">
        <v>1.89</v>
      </c>
    </row>
    <row r="432" spans="1:4" x14ac:dyDescent="0.2">
      <c r="A432" s="14" t="s">
        <v>72</v>
      </c>
      <c r="B432" s="15" t="s">
        <v>69</v>
      </c>
      <c r="C432" s="15">
        <v>85</v>
      </c>
      <c r="D432" s="15">
        <v>1.81</v>
      </c>
    </row>
    <row r="433" spans="1:4" x14ac:dyDescent="0.2">
      <c r="A433" s="16" t="s">
        <v>72</v>
      </c>
      <c r="B433" s="17" t="s">
        <v>69</v>
      </c>
      <c r="C433" s="17">
        <v>86</v>
      </c>
      <c r="D433" s="17">
        <v>1.73</v>
      </c>
    </row>
    <row r="434" spans="1:4" x14ac:dyDescent="0.2">
      <c r="A434" s="14" t="s">
        <v>72</v>
      </c>
      <c r="B434" s="15" t="s">
        <v>69</v>
      </c>
      <c r="C434" s="15">
        <v>87</v>
      </c>
      <c r="D434" s="15">
        <v>1.66</v>
      </c>
    </row>
    <row r="435" spans="1:4" x14ac:dyDescent="0.2">
      <c r="A435" s="16" t="s">
        <v>72</v>
      </c>
      <c r="B435" s="17" t="s">
        <v>69</v>
      </c>
      <c r="C435" s="17">
        <v>88</v>
      </c>
      <c r="D435" s="17">
        <v>1.59</v>
      </c>
    </row>
    <row r="436" spans="1:4" x14ac:dyDescent="0.2">
      <c r="A436" s="14" t="s">
        <v>72</v>
      </c>
      <c r="B436" s="15" t="s">
        <v>69</v>
      </c>
      <c r="C436" s="15">
        <v>89</v>
      </c>
      <c r="D436" s="15">
        <v>1.52</v>
      </c>
    </row>
    <row r="437" spans="1:4" x14ac:dyDescent="0.2">
      <c r="A437" s="16" t="s">
        <v>72</v>
      </c>
      <c r="B437" s="17" t="s">
        <v>69</v>
      </c>
      <c r="C437" s="17">
        <v>90</v>
      </c>
      <c r="D437" s="17">
        <v>1.46</v>
      </c>
    </row>
    <row r="438" spans="1:4" x14ac:dyDescent="0.2">
      <c r="A438" s="14" t="s">
        <v>73</v>
      </c>
      <c r="B438" s="15" t="s">
        <v>69</v>
      </c>
      <c r="C438" s="15">
        <v>21</v>
      </c>
      <c r="D438" s="15">
        <v>39.85</v>
      </c>
    </row>
    <row r="439" spans="1:4" x14ac:dyDescent="0.2">
      <c r="A439" s="16" t="s">
        <v>73</v>
      </c>
      <c r="B439" s="17" t="s">
        <v>69</v>
      </c>
      <c r="C439" s="17">
        <v>22</v>
      </c>
      <c r="D439" s="17">
        <v>38.94</v>
      </c>
    </row>
    <row r="440" spans="1:4" x14ac:dyDescent="0.2">
      <c r="A440" s="14" t="s">
        <v>73</v>
      </c>
      <c r="B440" s="15" t="s">
        <v>69</v>
      </c>
      <c r="C440" s="15">
        <v>23</v>
      </c>
      <c r="D440" s="15">
        <v>38.04</v>
      </c>
    </row>
    <row r="441" spans="1:4" x14ac:dyDescent="0.2">
      <c r="A441" s="16" t="s">
        <v>73</v>
      </c>
      <c r="B441" s="17" t="s">
        <v>69</v>
      </c>
      <c r="C441" s="17">
        <v>24</v>
      </c>
      <c r="D441" s="17">
        <v>37.14</v>
      </c>
    </row>
    <row r="442" spans="1:4" x14ac:dyDescent="0.2">
      <c r="A442" s="14" t="s">
        <v>73</v>
      </c>
      <c r="B442" s="15" t="s">
        <v>69</v>
      </c>
      <c r="C442" s="15">
        <v>25</v>
      </c>
      <c r="D442" s="15">
        <v>36.229999999999997</v>
      </c>
    </row>
    <row r="443" spans="1:4" x14ac:dyDescent="0.2">
      <c r="A443" s="16" t="s">
        <v>73</v>
      </c>
      <c r="B443" s="17" t="s">
        <v>69</v>
      </c>
      <c r="C443" s="17">
        <v>26</v>
      </c>
      <c r="D443" s="17">
        <v>35.33</v>
      </c>
    </row>
    <row r="444" spans="1:4" x14ac:dyDescent="0.2">
      <c r="A444" s="14" t="s">
        <v>73</v>
      </c>
      <c r="B444" s="15" t="s">
        <v>69</v>
      </c>
      <c r="C444" s="15">
        <v>27</v>
      </c>
      <c r="D444" s="15">
        <v>34.42</v>
      </c>
    </row>
    <row r="445" spans="1:4" x14ac:dyDescent="0.2">
      <c r="A445" s="16" t="s">
        <v>73</v>
      </c>
      <c r="B445" s="17" t="s">
        <v>69</v>
      </c>
      <c r="C445" s="17">
        <v>28</v>
      </c>
      <c r="D445" s="17">
        <v>33.51</v>
      </c>
    </row>
    <row r="446" spans="1:4" x14ac:dyDescent="0.2">
      <c r="A446" s="14" t="s">
        <v>73</v>
      </c>
      <c r="B446" s="15" t="s">
        <v>69</v>
      </c>
      <c r="C446" s="15">
        <v>29</v>
      </c>
      <c r="D446" s="15">
        <v>32.61</v>
      </c>
    </row>
    <row r="447" spans="1:4" x14ac:dyDescent="0.2">
      <c r="A447" s="16" t="s">
        <v>73</v>
      </c>
      <c r="B447" s="17" t="s">
        <v>69</v>
      </c>
      <c r="C447" s="17">
        <v>30</v>
      </c>
      <c r="D447" s="17">
        <v>31.7</v>
      </c>
    </row>
    <row r="448" spans="1:4" x14ac:dyDescent="0.2">
      <c r="A448" s="14" t="s">
        <v>73</v>
      </c>
      <c r="B448" s="15" t="s">
        <v>69</v>
      </c>
      <c r="C448" s="15">
        <v>31</v>
      </c>
      <c r="D448" s="15">
        <v>30.8</v>
      </c>
    </row>
    <row r="449" spans="1:4" x14ac:dyDescent="0.2">
      <c r="A449" s="16" t="s">
        <v>73</v>
      </c>
      <c r="B449" s="17" t="s">
        <v>69</v>
      </c>
      <c r="C449" s="17">
        <v>32</v>
      </c>
      <c r="D449" s="17">
        <v>29.89</v>
      </c>
    </row>
    <row r="450" spans="1:4" x14ac:dyDescent="0.2">
      <c r="A450" s="14" t="s">
        <v>73</v>
      </c>
      <c r="B450" s="15" t="s">
        <v>69</v>
      </c>
      <c r="C450" s="15">
        <v>33</v>
      </c>
      <c r="D450" s="15">
        <v>28.99</v>
      </c>
    </row>
    <row r="451" spans="1:4" x14ac:dyDescent="0.2">
      <c r="A451" s="16" t="s">
        <v>73</v>
      </c>
      <c r="B451" s="17" t="s">
        <v>69</v>
      </c>
      <c r="C451" s="17">
        <v>34</v>
      </c>
      <c r="D451" s="17">
        <v>28.09</v>
      </c>
    </row>
    <row r="452" spans="1:4" x14ac:dyDescent="0.2">
      <c r="A452" s="14" t="s">
        <v>73</v>
      </c>
      <c r="B452" s="15" t="s">
        <v>69</v>
      </c>
      <c r="C452" s="15">
        <v>35</v>
      </c>
      <c r="D452" s="15">
        <v>27.19</v>
      </c>
    </row>
    <row r="453" spans="1:4" x14ac:dyDescent="0.2">
      <c r="A453" s="16" t="s">
        <v>73</v>
      </c>
      <c r="B453" s="17" t="s">
        <v>69</v>
      </c>
      <c r="C453" s="17">
        <v>36</v>
      </c>
      <c r="D453" s="17">
        <v>26.29</v>
      </c>
    </row>
    <row r="454" spans="1:4" x14ac:dyDescent="0.2">
      <c r="A454" s="14" t="s">
        <v>73</v>
      </c>
      <c r="B454" s="15" t="s">
        <v>69</v>
      </c>
      <c r="C454" s="15">
        <v>37</v>
      </c>
      <c r="D454" s="15">
        <v>25.39</v>
      </c>
    </row>
    <row r="455" spans="1:4" x14ac:dyDescent="0.2">
      <c r="A455" s="16" t="s">
        <v>73</v>
      </c>
      <c r="B455" s="17" t="s">
        <v>69</v>
      </c>
      <c r="C455" s="17">
        <v>38</v>
      </c>
      <c r="D455" s="17">
        <v>24.5</v>
      </c>
    </row>
    <row r="456" spans="1:4" x14ac:dyDescent="0.2">
      <c r="A456" s="14" t="s">
        <v>73</v>
      </c>
      <c r="B456" s="15" t="s">
        <v>69</v>
      </c>
      <c r="C456" s="15">
        <v>39</v>
      </c>
      <c r="D456" s="15">
        <v>23.6</v>
      </c>
    </row>
    <row r="457" spans="1:4" x14ac:dyDescent="0.2">
      <c r="A457" s="16" t="s">
        <v>73</v>
      </c>
      <c r="B457" s="17" t="s">
        <v>69</v>
      </c>
      <c r="C457" s="17">
        <v>40</v>
      </c>
      <c r="D457" s="17">
        <v>22.72</v>
      </c>
    </row>
    <row r="458" spans="1:4" x14ac:dyDescent="0.2">
      <c r="A458" s="14" t="s">
        <v>73</v>
      </c>
      <c r="B458" s="15" t="s">
        <v>69</v>
      </c>
      <c r="C458" s="15">
        <v>41</v>
      </c>
      <c r="D458" s="15">
        <v>21.83</v>
      </c>
    </row>
    <row r="459" spans="1:4" x14ac:dyDescent="0.2">
      <c r="A459" s="16" t="s">
        <v>73</v>
      </c>
      <c r="B459" s="17" t="s">
        <v>69</v>
      </c>
      <c r="C459" s="17">
        <v>42</v>
      </c>
      <c r="D459" s="17">
        <v>20.96</v>
      </c>
    </row>
    <row r="460" spans="1:4" x14ac:dyDescent="0.2">
      <c r="A460" s="14" t="s">
        <v>73</v>
      </c>
      <c r="B460" s="15" t="s">
        <v>69</v>
      </c>
      <c r="C460" s="15">
        <v>43</v>
      </c>
      <c r="D460" s="15">
        <v>20.09</v>
      </c>
    </row>
    <row r="461" spans="1:4" x14ac:dyDescent="0.2">
      <c r="A461" s="16" t="s">
        <v>73</v>
      </c>
      <c r="B461" s="17" t="s">
        <v>69</v>
      </c>
      <c r="C461" s="17">
        <v>44</v>
      </c>
      <c r="D461" s="17">
        <v>19.23</v>
      </c>
    </row>
    <row r="462" spans="1:4" x14ac:dyDescent="0.2">
      <c r="A462" s="14" t="s">
        <v>73</v>
      </c>
      <c r="B462" s="15" t="s">
        <v>69</v>
      </c>
      <c r="C462" s="15">
        <v>45</v>
      </c>
      <c r="D462" s="15">
        <v>18.38</v>
      </c>
    </row>
    <row r="463" spans="1:4" x14ac:dyDescent="0.2">
      <c r="A463" s="16" t="s">
        <v>73</v>
      </c>
      <c r="B463" s="17" t="s">
        <v>69</v>
      </c>
      <c r="C463" s="17">
        <v>46</v>
      </c>
      <c r="D463" s="17">
        <v>17.54</v>
      </c>
    </row>
    <row r="464" spans="1:4" x14ac:dyDescent="0.2">
      <c r="A464" s="14" t="s">
        <v>73</v>
      </c>
      <c r="B464" s="15" t="s">
        <v>69</v>
      </c>
      <c r="C464" s="15">
        <v>47</v>
      </c>
      <c r="D464" s="15">
        <v>16.71</v>
      </c>
    </row>
    <row r="465" spans="1:4" x14ac:dyDescent="0.2">
      <c r="A465" s="16" t="s">
        <v>73</v>
      </c>
      <c r="B465" s="17" t="s">
        <v>69</v>
      </c>
      <c r="C465" s="17">
        <v>48</v>
      </c>
      <c r="D465" s="17">
        <v>15.89</v>
      </c>
    </row>
    <row r="466" spans="1:4" x14ac:dyDescent="0.2">
      <c r="A466" s="14" t="s">
        <v>73</v>
      </c>
      <c r="B466" s="15" t="s">
        <v>69</v>
      </c>
      <c r="C466" s="15">
        <v>49</v>
      </c>
      <c r="D466" s="15">
        <v>15.08</v>
      </c>
    </row>
    <row r="467" spans="1:4" x14ac:dyDescent="0.2">
      <c r="A467" s="16" t="s">
        <v>73</v>
      </c>
      <c r="B467" s="17" t="s">
        <v>69</v>
      </c>
      <c r="C467" s="17">
        <v>50</v>
      </c>
      <c r="D467" s="17">
        <v>14.27</v>
      </c>
    </row>
    <row r="468" spans="1:4" x14ac:dyDescent="0.2">
      <c r="A468" s="14" t="s">
        <v>73</v>
      </c>
      <c r="B468" s="15" t="s">
        <v>69</v>
      </c>
      <c r="C468" s="15">
        <v>51</v>
      </c>
      <c r="D468" s="15">
        <v>13.46</v>
      </c>
    </row>
    <row r="469" spans="1:4" x14ac:dyDescent="0.2">
      <c r="A469" s="16" t="s">
        <v>73</v>
      </c>
      <c r="B469" s="17" t="s">
        <v>69</v>
      </c>
      <c r="C469" s="17">
        <v>52</v>
      </c>
      <c r="D469" s="17">
        <v>12.64</v>
      </c>
    </row>
    <row r="470" spans="1:4" x14ac:dyDescent="0.2">
      <c r="A470" s="14" t="s">
        <v>73</v>
      </c>
      <c r="B470" s="15" t="s">
        <v>69</v>
      </c>
      <c r="C470" s="15">
        <v>53</v>
      </c>
      <c r="D470" s="15">
        <v>11.85</v>
      </c>
    </row>
    <row r="471" spans="1:4" x14ac:dyDescent="0.2">
      <c r="A471" s="16" t="s">
        <v>73</v>
      </c>
      <c r="B471" s="17" t="s">
        <v>69</v>
      </c>
      <c r="C471" s="17">
        <v>54</v>
      </c>
      <c r="D471" s="17">
        <v>11.09</v>
      </c>
    </row>
    <row r="472" spans="1:4" x14ac:dyDescent="0.2">
      <c r="A472" s="14" t="s">
        <v>73</v>
      </c>
      <c r="B472" s="15" t="s">
        <v>69</v>
      </c>
      <c r="C472" s="15">
        <v>55</v>
      </c>
      <c r="D472" s="15">
        <v>10.36</v>
      </c>
    </row>
    <row r="473" spans="1:4" x14ac:dyDescent="0.2">
      <c r="A473" s="16" t="s">
        <v>73</v>
      </c>
      <c r="B473" s="17" t="s">
        <v>69</v>
      </c>
      <c r="C473" s="17">
        <v>56</v>
      </c>
      <c r="D473" s="17">
        <v>9.64</v>
      </c>
    </row>
    <row r="474" spans="1:4" x14ac:dyDescent="0.2">
      <c r="A474" s="14" t="s">
        <v>73</v>
      </c>
      <c r="B474" s="15" t="s">
        <v>69</v>
      </c>
      <c r="C474" s="15">
        <v>57</v>
      </c>
      <c r="D474" s="15">
        <v>8.93</v>
      </c>
    </row>
    <row r="475" spans="1:4" x14ac:dyDescent="0.2">
      <c r="A475" s="16" t="s">
        <v>73</v>
      </c>
      <c r="B475" s="17" t="s">
        <v>69</v>
      </c>
      <c r="C475" s="17">
        <v>58</v>
      </c>
      <c r="D475" s="17">
        <v>8.23</v>
      </c>
    </row>
    <row r="476" spans="1:4" x14ac:dyDescent="0.2">
      <c r="A476" s="14" t="s">
        <v>73</v>
      </c>
      <c r="B476" s="15" t="s">
        <v>69</v>
      </c>
      <c r="C476" s="15">
        <v>59</v>
      </c>
      <c r="D476" s="15">
        <v>7.56</v>
      </c>
    </row>
    <row r="477" spans="1:4" x14ac:dyDescent="0.2">
      <c r="A477" s="16" t="s">
        <v>73</v>
      </c>
      <c r="B477" s="17" t="s">
        <v>69</v>
      </c>
      <c r="C477" s="17">
        <v>60</v>
      </c>
      <c r="D477" s="17">
        <v>6.92</v>
      </c>
    </row>
    <row r="478" spans="1:4" x14ac:dyDescent="0.2">
      <c r="A478" s="14" t="s">
        <v>73</v>
      </c>
      <c r="B478" s="15" t="s">
        <v>69</v>
      </c>
      <c r="C478" s="15">
        <v>61</v>
      </c>
      <c r="D478" s="15">
        <v>6.34</v>
      </c>
    </row>
    <row r="479" spans="1:4" x14ac:dyDescent="0.2">
      <c r="A479" s="16" t="s">
        <v>73</v>
      </c>
      <c r="B479" s="17" t="s">
        <v>69</v>
      </c>
      <c r="C479" s="17">
        <v>62</v>
      </c>
      <c r="D479" s="17">
        <v>5.83</v>
      </c>
    </row>
    <row r="480" spans="1:4" x14ac:dyDescent="0.2">
      <c r="A480" s="14" t="s">
        <v>73</v>
      </c>
      <c r="B480" s="15" t="s">
        <v>69</v>
      </c>
      <c r="C480" s="15">
        <v>63</v>
      </c>
      <c r="D480" s="15">
        <v>5.38</v>
      </c>
    </row>
    <row r="481" spans="1:4" x14ac:dyDescent="0.2">
      <c r="A481" s="16" t="s">
        <v>73</v>
      </c>
      <c r="B481" s="17" t="s">
        <v>69</v>
      </c>
      <c r="C481" s="17">
        <v>64</v>
      </c>
      <c r="D481" s="17">
        <v>4.99</v>
      </c>
    </row>
    <row r="482" spans="1:4" x14ac:dyDescent="0.2">
      <c r="A482" s="14" t="s">
        <v>73</v>
      </c>
      <c r="B482" s="15" t="s">
        <v>69</v>
      </c>
      <c r="C482" s="15">
        <v>65</v>
      </c>
      <c r="D482" s="15">
        <v>4.6500000000000004</v>
      </c>
    </row>
    <row r="483" spans="1:4" x14ac:dyDescent="0.2">
      <c r="A483" s="16" t="s">
        <v>73</v>
      </c>
      <c r="B483" s="17" t="s">
        <v>69</v>
      </c>
      <c r="C483" s="17">
        <v>66</v>
      </c>
      <c r="D483" s="17">
        <v>4.3600000000000003</v>
      </c>
    </row>
    <row r="484" spans="1:4" x14ac:dyDescent="0.2">
      <c r="A484" s="14" t="s">
        <v>73</v>
      </c>
      <c r="B484" s="15" t="s">
        <v>69</v>
      </c>
      <c r="C484" s="15">
        <v>67</v>
      </c>
      <c r="D484" s="15">
        <v>4.0999999999999996</v>
      </c>
    </row>
    <row r="485" spans="1:4" x14ac:dyDescent="0.2">
      <c r="A485" s="16" t="s">
        <v>73</v>
      </c>
      <c r="B485" s="17" t="s">
        <v>69</v>
      </c>
      <c r="C485" s="17">
        <v>68</v>
      </c>
      <c r="D485" s="17">
        <v>3.87</v>
      </c>
    </row>
    <row r="486" spans="1:4" x14ac:dyDescent="0.2">
      <c r="A486" s="14" t="s">
        <v>73</v>
      </c>
      <c r="B486" s="15" t="s">
        <v>69</v>
      </c>
      <c r="C486" s="15">
        <v>69</v>
      </c>
      <c r="D486" s="15">
        <v>3.64</v>
      </c>
    </row>
    <row r="487" spans="1:4" x14ac:dyDescent="0.2">
      <c r="A487" s="16" t="s">
        <v>73</v>
      </c>
      <c r="B487" s="17" t="s">
        <v>69</v>
      </c>
      <c r="C487" s="17">
        <v>70</v>
      </c>
      <c r="D487" s="17">
        <v>3.44</v>
      </c>
    </row>
    <row r="488" spans="1:4" x14ac:dyDescent="0.2">
      <c r="A488" s="14" t="s">
        <v>73</v>
      </c>
      <c r="B488" s="15" t="s">
        <v>69</v>
      </c>
      <c r="C488" s="15">
        <v>71</v>
      </c>
      <c r="D488" s="15">
        <v>3.24</v>
      </c>
    </row>
    <row r="489" spans="1:4" x14ac:dyDescent="0.2">
      <c r="A489" s="16" t="s">
        <v>73</v>
      </c>
      <c r="B489" s="17" t="s">
        <v>69</v>
      </c>
      <c r="C489" s="17">
        <v>72</v>
      </c>
      <c r="D489" s="17">
        <v>3.06</v>
      </c>
    </row>
    <row r="490" spans="1:4" x14ac:dyDescent="0.2">
      <c r="A490" s="14" t="s">
        <v>73</v>
      </c>
      <c r="B490" s="15" t="s">
        <v>69</v>
      </c>
      <c r="C490" s="15">
        <v>73</v>
      </c>
      <c r="D490" s="15">
        <v>2.9</v>
      </c>
    </row>
    <row r="491" spans="1:4" x14ac:dyDescent="0.2">
      <c r="A491" s="16" t="s">
        <v>73</v>
      </c>
      <c r="B491" s="17" t="s">
        <v>69</v>
      </c>
      <c r="C491" s="17">
        <v>74</v>
      </c>
      <c r="D491" s="17">
        <v>2.74</v>
      </c>
    </row>
    <row r="492" spans="1:4" x14ac:dyDescent="0.2">
      <c r="A492" s="14" t="s">
        <v>73</v>
      </c>
      <c r="B492" s="15" t="s">
        <v>69</v>
      </c>
      <c r="C492" s="15">
        <v>75</v>
      </c>
      <c r="D492" s="15">
        <v>2.6</v>
      </c>
    </row>
    <row r="493" spans="1:4" x14ac:dyDescent="0.2">
      <c r="A493" s="16" t="s">
        <v>73</v>
      </c>
      <c r="B493" s="17" t="s">
        <v>69</v>
      </c>
      <c r="C493" s="17">
        <v>76</v>
      </c>
      <c r="D493" s="17">
        <v>2.48</v>
      </c>
    </row>
    <row r="494" spans="1:4" x14ac:dyDescent="0.2">
      <c r="A494" s="14" t="s">
        <v>73</v>
      </c>
      <c r="B494" s="15" t="s">
        <v>69</v>
      </c>
      <c r="C494" s="15">
        <v>77</v>
      </c>
      <c r="D494" s="15">
        <v>2.36</v>
      </c>
    </row>
    <row r="495" spans="1:4" x14ac:dyDescent="0.2">
      <c r="A495" s="16" t="s">
        <v>73</v>
      </c>
      <c r="B495" s="17" t="s">
        <v>69</v>
      </c>
      <c r="C495" s="17">
        <v>78</v>
      </c>
      <c r="D495" s="17">
        <v>2.25</v>
      </c>
    </row>
    <row r="496" spans="1:4" x14ac:dyDescent="0.2">
      <c r="A496" s="14" t="s">
        <v>73</v>
      </c>
      <c r="B496" s="15" t="s">
        <v>69</v>
      </c>
      <c r="C496" s="15">
        <v>79</v>
      </c>
      <c r="D496" s="15">
        <v>2.16</v>
      </c>
    </row>
    <row r="497" spans="1:4" x14ac:dyDescent="0.2">
      <c r="A497" s="16" t="s">
        <v>73</v>
      </c>
      <c r="B497" s="17" t="s">
        <v>69</v>
      </c>
      <c r="C497" s="17">
        <v>80</v>
      </c>
      <c r="D497" s="17">
        <v>2.0699999999999998</v>
      </c>
    </row>
    <row r="498" spans="1:4" x14ac:dyDescent="0.2">
      <c r="A498" s="14" t="s">
        <v>73</v>
      </c>
      <c r="B498" s="15" t="s">
        <v>69</v>
      </c>
      <c r="C498" s="15">
        <v>81</v>
      </c>
      <c r="D498" s="15">
        <v>1.98</v>
      </c>
    </row>
    <row r="499" spans="1:4" x14ac:dyDescent="0.2">
      <c r="A499" s="16" t="s">
        <v>73</v>
      </c>
      <c r="B499" s="17" t="s">
        <v>69</v>
      </c>
      <c r="C499" s="17">
        <v>82</v>
      </c>
      <c r="D499" s="17">
        <v>1.91</v>
      </c>
    </row>
    <row r="500" spans="1:4" x14ac:dyDescent="0.2">
      <c r="A500" s="14" t="s">
        <v>73</v>
      </c>
      <c r="B500" s="15" t="s">
        <v>69</v>
      </c>
      <c r="C500" s="15">
        <v>83</v>
      </c>
      <c r="D500" s="15">
        <v>1.83</v>
      </c>
    </row>
    <row r="501" spans="1:4" x14ac:dyDescent="0.2">
      <c r="A501" s="16" t="s">
        <v>73</v>
      </c>
      <c r="B501" s="17" t="s">
        <v>69</v>
      </c>
      <c r="C501" s="17">
        <v>84</v>
      </c>
      <c r="D501" s="17">
        <v>1.76</v>
      </c>
    </row>
    <row r="502" spans="1:4" x14ac:dyDescent="0.2">
      <c r="A502" s="14" t="s">
        <v>73</v>
      </c>
      <c r="B502" s="15" t="s">
        <v>69</v>
      </c>
      <c r="C502" s="15">
        <v>85</v>
      </c>
      <c r="D502" s="15">
        <v>1.68</v>
      </c>
    </row>
    <row r="503" spans="1:4" x14ac:dyDescent="0.2">
      <c r="A503" s="16" t="s">
        <v>73</v>
      </c>
      <c r="B503" s="17" t="s">
        <v>69</v>
      </c>
      <c r="C503" s="17">
        <v>86</v>
      </c>
      <c r="D503" s="17">
        <v>1.61</v>
      </c>
    </row>
    <row r="504" spans="1:4" x14ac:dyDescent="0.2">
      <c r="A504" s="14" t="s">
        <v>73</v>
      </c>
      <c r="B504" s="15" t="s">
        <v>69</v>
      </c>
      <c r="C504" s="15">
        <v>87</v>
      </c>
      <c r="D504" s="15">
        <v>1.54</v>
      </c>
    </row>
    <row r="505" spans="1:4" x14ac:dyDescent="0.2">
      <c r="A505" s="16" t="s">
        <v>73</v>
      </c>
      <c r="B505" s="17" t="s">
        <v>69</v>
      </c>
      <c r="C505" s="17">
        <v>88</v>
      </c>
      <c r="D505" s="17">
        <v>1.48</v>
      </c>
    </row>
    <row r="506" spans="1:4" x14ac:dyDescent="0.2">
      <c r="A506" s="14" t="s">
        <v>73</v>
      </c>
      <c r="B506" s="15" t="s">
        <v>69</v>
      </c>
      <c r="C506" s="15">
        <v>89</v>
      </c>
      <c r="D506" s="15">
        <v>1.42</v>
      </c>
    </row>
    <row r="507" spans="1:4" x14ac:dyDescent="0.2">
      <c r="A507" s="16" t="s">
        <v>73</v>
      </c>
      <c r="B507" s="17" t="s">
        <v>69</v>
      </c>
      <c r="C507" s="17">
        <v>90</v>
      </c>
      <c r="D507" s="17">
        <v>1.36</v>
      </c>
    </row>
    <row r="508" spans="1:4" x14ac:dyDescent="0.2">
      <c r="A508" s="14" t="s">
        <v>74</v>
      </c>
      <c r="B508" s="15" t="s">
        <v>69</v>
      </c>
      <c r="C508" s="15">
        <v>22</v>
      </c>
      <c r="D508" s="15">
        <v>40.68</v>
      </c>
    </row>
    <row r="509" spans="1:4" x14ac:dyDescent="0.2">
      <c r="A509" s="16" t="s">
        <v>74</v>
      </c>
      <c r="B509" s="17" t="s">
        <v>69</v>
      </c>
      <c r="C509" s="17">
        <v>23</v>
      </c>
      <c r="D509" s="17">
        <v>39.81</v>
      </c>
    </row>
    <row r="510" spans="1:4" x14ac:dyDescent="0.2">
      <c r="A510" s="14" t="s">
        <v>74</v>
      </c>
      <c r="B510" s="15" t="s">
        <v>69</v>
      </c>
      <c r="C510" s="15">
        <v>24</v>
      </c>
      <c r="D510" s="15">
        <v>38.92</v>
      </c>
    </row>
    <row r="511" spans="1:4" x14ac:dyDescent="0.2">
      <c r="A511" s="16" t="s">
        <v>74</v>
      </c>
      <c r="B511" s="17" t="s">
        <v>69</v>
      </c>
      <c r="C511" s="17">
        <v>25</v>
      </c>
      <c r="D511" s="17">
        <v>38.03</v>
      </c>
    </row>
    <row r="512" spans="1:4" x14ac:dyDescent="0.2">
      <c r="A512" s="14" t="s">
        <v>74</v>
      </c>
      <c r="B512" s="15" t="s">
        <v>69</v>
      </c>
      <c r="C512" s="15">
        <v>26</v>
      </c>
      <c r="D512" s="15">
        <v>37.119999999999997</v>
      </c>
    </row>
    <row r="513" spans="1:4" x14ac:dyDescent="0.2">
      <c r="A513" s="16" t="s">
        <v>74</v>
      </c>
      <c r="B513" s="17" t="s">
        <v>69</v>
      </c>
      <c r="C513" s="17">
        <v>27</v>
      </c>
      <c r="D513" s="17">
        <v>36.22</v>
      </c>
    </row>
    <row r="514" spans="1:4" x14ac:dyDescent="0.2">
      <c r="A514" s="14" t="s">
        <v>74</v>
      </c>
      <c r="B514" s="15" t="s">
        <v>69</v>
      </c>
      <c r="C514" s="15">
        <v>28</v>
      </c>
      <c r="D514" s="15">
        <v>35.31</v>
      </c>
    </row>
    <row r="515" spans="1:4" x14ac:dyDescent="0.2">
      <c r="A515" s="16" t="s">
        <v>74</v>
      </c>
      <c r="B515" s="17" t="s">
        <v>69</v>
      </c>
      <c r="C515" s="17">
        <v>29</v>
      </c>
      <c r="D515" s="17">
        <v>34.4</v>
      </c>
    </row>
    <row r="516" spans="1:4" x14ac:dyDescent="0.2">
      <c r="A516" s="14" t="s">
        <v>74</v>
      </c>
      <c r="B516" s="15" t="s">
        <v>69</v>
      </c>
      <c r="C516" s="15">
        <v>30</v>
      </c>
      <c r="D516" s="15">
        <v>33.49</v>
      </c>
    </row>
    <row r="517" spans="1:4" x14ac:dyDescent="0.2">
      <c r="A517" s="16" t="s">
        <v>74</v>
      </c>
      <c r="B517" s="17" t="s">
        <v>69</v>
      </c>
      <c r="C517" s="17">
        <v>31</v>
      </c>
      <c r="D517" s="17">
        <v>32.58</v>
      </c>
    </row>
    <row r="518" spans="1:4" x14ac:dyDescent="0.2">
      <c r="A518" s="14" t="s">
        <v>74</v>
      </c>
      <c r="B518" s="15" t="s">
        <v>69</v>
      </c>
      <c r="C518" s="15">
        <v>32</v>
      </c>
      <c r="D518" s="15">
        <v>31.66</v>
      </c>
    </row>
    <row r="519" spans="1:4" x14ac:dyDescent="0.2">
      <c r="A519" s="16" t="s">
        <v>74</v>
      </c>
      <c r="B519" s="17" t="s">
        <v>69</v>
      </c>
      <c r="C519" s="17">
        <v>33</v>
      </c>
      <c r="D519" s="17">
        <v>30.74</v>
      </c>
    </row>
    <row r="520" spans="1:4" x14ac:dyDescent="0.2">
      <c r="A520" s="14" t="s">
        <v>74</v>
      </c>
      <c r="B520" s="15" t="s">
        <v>69</v>
      </c>
      <c r="C520" s="15">
        <v>34</v>
      </c>
      <c r="D520" s="15">
        <v>29.82</v>
      </c>
    </row>
    <row r="521" spans="1:4" x14ac:dyDescent="0.2">
      <c r="A521" s="16" t="s">
        <v>74</v>
      </c>
      <c r="B521" s="17" t="s">
        <v>69</v>
      </c>
      <c r="C521" s="17">
        <v>35</v>
      </c>
      <c r="D521" s="17">
        <v>28.9</v>
      </c>
    </row>
    <row r="522" spans="1:4" x14ac:dyDescent="0.2">
      <c r="A522" s="14" t="s">
        <v>74</v>
      </c>
      <c r="B522" s="15" t="s">
        <v>69</v>
      </c>
      <c r="C522" s="15">
        <v>36</v>
      </c>
      <c r="D522" s="15">
        <v>27.99</v>
      </c>
    </row>
    <row r="523" spans="1:4" x14ac:dyDescent="0.2">
      <c r="A523" s="16" t="s">
        <v>74</v>
      </c>
      <c r="B523" s="17" t="s">
        <v>69</v>
      </c>
      <c r="C523" s="17">
        <v>37</v>
      </c>
      <c r="D523" s="17">
        <v>27.08</v>
      </c>
    </row>
    <row r="524" spans="1:4" x14ac:dyDescent="0.2">
      <c r="A524" s="14" t="s">
        <v>74</v>
      </c>
      <c r="B524" s="15" t="s">
        <v>69</v>
      </c>
      <c r="C524" s="15">
        <v>38</v>
      </c>
      <c r="D524" s="15">
        <v>26.17</v>
      </c>
    </row>
    <row r="525" spans="1:4" x14ac:dyDescent="0.2">
      <c r="A525" s="16" t="s">
        <v>74</v>
      </c>
      <c r="B525" s="17" t="s">
        <v>69</v>
      </c>
      <c r="C525" s="17">
        <v>39</v>
      </c>
      <c r="D525" s="17">
        <v>25.26</v>
      </c>
    </row>
    <row r="526" spans="1:4" x14ac:dyDescent="0.2">
      <c r="A526" s="14" t="s">
        <v>74</v>
      </c>
      <c r="B526" s="15" t="s">
        <v>69</v>
      </c>
      <c r="C526" s="15">
        <v>40</v>
      </c>
      <c r="D526" s="15">
        <v>24.36</v>
      </c>
    </row>
    <row r="527" spans="1:4" x14ac:dyDescent="0.2">
      <c r="A527" s="16" t="s">
        <v>74</v>
      </c>
      <c r="B527" s="17" t="s">
        <v>69</v>
      </c>
      <c r="C527" s="17">
        <v>41</v>
      </c>
      <c r="D527" s="17">
        <v>23.46</v>
      </c>
    </row>
    <row r="528" spans="1:4" x14ac:dyDescent="0.2">
      <c r="A528" s="14" t="s">
        <v>74</v>
      </c>
      <c r="B528" s="15" t="s">
        <v>69</v>
      </c>
      <c r="C528" s="15">
        <v>42</v>
      </c>
      <c r="D528" s="15">
        <v>22.56</v>
      </c>
    </row>
    <row r="529" spans="1:4" x14ac:dyDescent="0.2">
      <c r="A529" s="16" t="s">
        <v>74</v>
      </c>
      <c r="B529" s="17" t="s">
        <v>69</v>
      </c>
      <c r="C529" s="17">
        <v>43</v>
      </c>
      <c r="D529" s="17">
        <v>21.67</v>
      </c>
    </row>
    <row r="530" spans="1:4" x14ac:dyDescent="0.2">
      <c r="A530" s="14" t="s">
        <v>74</v>
      </c>
      <c r="B530" s="15" t="s">
        <v>69</v>
      </c>
      <c r="C530" s="15">
        <v>44</v>
      </c>
      <c r="D530" s="15">
        <v>20.78</v>
      </c>
    </row>
    <row r="531" spans="1:4" x14ac:dyDescent="0.2">
      <c r="A531" s="16" t="s">
        <v>74</v>
      </c>
      <c r="B531" s="17" t="s">
        <v>69</v>
      </c>
      <c r="C531" s="17">
        <v>45</v>
      </c>
      <c r="D531" s="17">
        <v>19.899999999999999</v>
      </c>
    </row>
    <row r="532" spans="1:4" x14ac:dyDescent="0.2">
      <c r="A532" s="14" t="s">
        <v>74</v>
      </c>
      <c r="B532" s="15" t="s">
        <v>69</v>
      </c>
      <c r="C532" s="15">
        <v>46</v>
      </c>
      <c r="D532" s="15">
        <v>19.04</v>
      </c>
    </row>
    <row r="533" spans="1:4" x14ac:dyDescent="0.2">
      <c r="A533" s="16" t="s">
        <v>74</v>
      </c>
      <c r="B533" s="17" t="s">
        <v>69</v>
      </c>
      <c r="C533" s="17">
        <v>47</v>
      </c>
      <c r="D533" s="17">
        <v>18.170000000000002</v>
      </c>
    </row>
    <row r="534" spans="1:4" x14ac:dyDescent="0.2">
      <c r="A534" s="14" t="s">
        <v>74</v>
      </c>
      <c r="B534" s="15" t="s">
        <v>69</v>
      </c>
      <c r="C534" s="15">
        <v>48</v>
      </c>
      <c r="D534" s="15">
        <v>17.309999999999999</v>
      </c>
    </row>
    <row r="535" spans="1:4" x14ac:dyDescent="0.2">
      <c r="A535" s="16" t="s">
        <v>74</v>
      </c>
      <c r="B535" s="17" t="s">
        <v>69</v>
      </c>
      <c r="C535" s="17">
        <v>49</v>
      </c>
      <c r="D535" s="17">
        <v>16.45</v>
      </c>
    </row>
    <row r="536" spans="1:4" x14ac:dyDescent="0.2">
      <c r="A536" s="14" t="s">
        <v>74</v>
      </c>
      <c r="B536" s="15" t="s">
        <v>69</v>
      </c>
      <c r="C536" s="15">
        <v>50</v>
      </c>
      <c r="D536" s="15">
        <v>15.59</v>
      </c>
    </row>
    <row r="537" spans="1:4" x14ac:dyDescent="0.2">
      <c r="A537" s="16" t="s">
        <v>74</v>
      </c>
      <c r="B537" s="17" t="s">
        <v>69</v>
      </c>
      <c r="C537" s="17">
        <v>51</v>
      </c>
      <c r="D537" s="17">
        <v>14.75</v>
      </c>
    </row>
    <row r="538" spans="1:4" x14ac:dyDescent="0.2">
      <c r="A538" s="14" t="s">
        <v>74</v>
      </c>
      <c r="B538" s="15" t="s">
        <v>69</v>
      </c>
      <c r="C538" s="15">
        <v>52</v>
      </c>
      <c r="D538" s="15">
        <v>13.92</v>
      </c>
    </row>
    <row r="539" spans="1:4" x14ac:dyDescent="0.2">
      <c r="A539" s="16" t="s">
        <v>74</v>
      </c>
      <c r="B539" s="17" t="s">
        <v>69</v>
      </c>
      <c r="C539" s="17">
        <v>53</v>
      </c>
      <c r="D539" s="17">
        <v>13.1</v>
      </c>
    </row>
    <row r="540" spans="1:4" x14ac:dyDescent="0.2">
      <c r="A540" s="14" t="s">
        <v>74</v>
      </c>
      <c r="B540" s="15" t="s">
        <v>69</v>
      </c>
      <c r="C540" s="15">
        <v>54</v>
      </c>
      <c r="D540" s="15">
        <v>12.3</v>
      </c>
    </row>
    <row r="541" spans="1:4" x14ac:dyDescent="0.2">
      <c r="A541" s="16" t="s">
        <v>74</v>
      </c>
      <c r="B541" s="17" t="s">
        <v>69</v>
      </c>
      <c r="C541" s="17">
        <v>55</v>
      </c>
      <c r="D541" s="17">
        <v>11.5</v>
      </c>
    </row>
    <row r="542" spans="1:4" x14ac:dyDescent="0.2">
      <c r="A542" s="14" t="s">
        <v>74</v>
      </c>
      <c r="B542" s="15" t="s">
        <v>69</v>
      </c>
      <c r="C542" s="15">
        <v>56</v>
      </c>
      <c r="D542" s="15">
        <v>10.72</v>
      </c>
    </row>
    <row r="543" spans="1:4" x14ac:dyDescent="0.2">
      <c r="A543" s="16" t="s">
        <v>74</v>
      </c>
      <c r="B543" s="17" t="s">
        <v>69</v>
      </c>
      <c r="C543" s="17">
        <v>57</v>
      </c>
      <c r="D543" s="17">
        <v>9.9600000000000009</v>
      </c>
    </row>
    <row r="544" spans="1:4" x14ac:dyDescent="0.2">
      <c r="A544" s="14" t="s">
        <v>74</v>
      </c>
      <c r="B544" s="15" t="s">
        <v>69</v>
      </c>
      <c r="C544" s="15">
        <v>58</v>
      </c>
      <c r="D544" s="15">
        <v>9.2200000000000006</v>
      </c>
    </row>
    <row r="545" spans="1:4" x14ac:dyDescent="0.2">
      <c r="A545" s="16" t="s">
        <v>74</v>
      </c>
      <c r="B545" s="17" t="s">
        <v>69</v>
      </c>
      <c r="C545" s="17">
        <v>59</v>
      </c>
      <c r="D545" s="17">
        <v>8.52</v>
      </c>
    </row>
    <row r="546" spans="1:4" x14ac:dyDescent="0.2">
      <c r="A546" s="14" t="s">
        <v>74</v>
      </c>
      <c r="B546" s="15" t="s">
        <v>69</v>
      </c>
      <c r="C546" s="15">
        <v>60</v>
      </c>
      <c r="D546" s="15">
        <v>7.87</v>
      </c>
    </row>
    <row r="547" spans="1:4" x14ac:dyDescent="0.2">
      <c r="A547" s="16" t="s">
        <v>74</v>
      </c>
      <c r="B547" s="17" t="s">
        <v>69</v>
      </c>
      <c r="C547" s="17">
        <v>61</v>
      </c>
      <c r="D547" s="17">
        <v>7.26</v>
      </c>
    </row>
    <row r="548" spans="1:4" x14ac:dyDescent="0.2">
      <c r="A548" s="14" t="s">
        <v>74</v>
      </c>
      <c r="B548" s="15" t="s">
        <v>69</v>
      </c>
      <c r="C548" s="15">
        <v>62</v>
      </c>
      <c r="D548" s="15">
        <v>6.7</v>
      </c>
    </row>
    <row r="549" spans="1:4" x14ac:dyDescent="0.2">
      <c r="A549" s="16" t="s">
        <v>74</v>
      </c>
      <c r="B549" s="17" t="s">
        <v>69</v>
      </c>
      <c r="C549" s="17">
        <v>63</v>
      </c>
      <c r="D549" s="17">
        <v>6.19</v>
      </c>
    </row>
    <row r="550" spans="1:4" x14ac:dyDescent="0.2">
      <c r="A550" s="14" t="s">
        <v>74</v>
      </c>
      <c r="B550" s="15" t="s">
        <v>69</v>
      </c>
      <c r="C550" s="15">
        <v>64</v>
      </c>
      <c r="D550" s="15">
        <v>5.75</v>
      </c>
    </row>
    <row r="551" spans="1:4" x14ac:dyDescent="0.2">
      <c r="A551" s="16" t="s">
        <v>74</v>
      </c>
      <c r="B551" s="17" t="s">
        <v>69</v>
      </c>
      <c r="C551" s="17">
        <v>65</v>
      </c>
      <c r="D551" s="17">
        <v>5.39</v>
      </c>
    </row>
    <row r="552" spans="1:4" x14ac:dyDescent="0.2">
      <c r="A552" s="14" t="s">
        <v>74</v>
      </c>
      <c r="B552" s="15" t="s">
        <v>69</v>
      </c>
      <c r="C552" s="15">
        <v>66</v>
      </c>
      <c r="D552" s="15">
        <v>5.0999999999999996</v>
      </c>
    </row>
    <row r="553" spans="1:4" x14ac:dyDescent="0.2">
      <c r="A553" s="16" t="s">
        <v>74</v>
      </c>
      <c r="B553" s="17" t="s">
        <v>69</v>
      </c>
      <c r="C553" s="17">
        <v>67</v>
      </c>
      <c r="D553" s="17">
        <v>4.84</v>
      </c>
    </row>
    <row r="554" spans="1:4" x14ac:dyDescent="0.2">
      <c r="A554" s="14" t="s">
        <v>74</v>
      </c>
      <c r="B554" s="15" t="s">
        <v>69</v>
      </c>
      <c r="C554" s="15">
        <v>68</v>
      </c>
      <c r="D554" s="15">
        <v>4.5999999999999996</v>
      </c>
    </row>
    <row r="555" spans="1:4" x14ac:dyDescent="0.2">
      <c r="A555" s="16" t="s">
        <v>74</v>
      </c>
      <c r="B555" s="17" t="s">
        <v>69</v>
      </c>
      <c r="C555" s="17">
        <v>69</v>
      </c>
      <c r="D555" s="17">
        <v>4.37</v>
      </c>
    </row>
    <row r="556" spans="1:4" x14ac:dyDescent="0.2">
      <c r="A556" s="14" t="s">
        <v>74</v>
      </c>
      <c r="B556" s="15" t="s">
        <v>69</v>
      </c>
      <c r="C556" s="15">
        <v>70</v>
      </c>
      <c r="D556" s="15">
        <v>4.1500000000000004</v>
      </c>
    </row>
    <row r="557" spans="1:4" x14ac:dyDescent="0.2">
      <c r="A557" s="16" t="s">
        <v>74</v>
      </c>
      <c r="B557" s="17" t="s">
        <v>69</v>
      </c>
      <c r="C557" s="17">
        <v>71</v>
      </c>
      <c r="D557" s="17">
        <v>3.94</v>
      </c>
    </row>
    <row r="558" spans="1:4" x14ac:dyDescent="0.2">
      <c r="A558" s="14" t="s">
        <v>74</v>
      </c>
      <c r="B558" s="15" t="s">
        <v>69</v>
      </c>
      <c r="C558" s="15">
        <v>72</v>
      </c>
      <c r="D558" s="15">
        <v>3.74</v>
      </c>
    </row>
    <row r="559" spans="1:4" x14ac:dyDescent="0.2">
      <c r="A559" s="16" t="s">
        <v>74</v>
      </c>
      <c r="B559" s="17" t="s">
        <v>69</v>
      </c>
      <c r="C559" s="17">
        <v>73</v>
      </c>
      <c r="D559" s="17">
        <v>3.56</v>
      </c>
    </row>
    <row r="560" spans="1:4" x14ac:dyDescent="0.2">
      <c r="A560" s="14" t="s">
        <v>74</v>
      </c>
      <c r="B560" s="15" t="s">
        <v>69</v>
      </c>
      <c r="C560" s="15">
        <v>74</v>
      </c>
      <c r="D560" s="15">
        <v>3.39</v>
      </c>
    </row>
    <row r="561" spans="1:4" x14ac:dyDescent="0.2">
      <c r="A561" s="16" t="s">
        <v>74</v>
      </c>
      <c r="B561" s="17" t="s">
        <v>69</v>
      </c>
      <c r="C561" s="17">
        <v>75</v>
      </c>
      <c r="D561" s="17">
        <v>3.23</v>
      </c>
    </row>
    <row r="562" spans="1:4" x14ac:dyDescent="0.2">
      <c r="A562" s="14" t="s">
        <v>74</v>
      </c>
      <c r="B562" s="15" t="s">
        <v>69</v>
      </c>
      <c r="C562" s="15">
        <v>76</v>
      </c>
      <c r="D562" s="15">
        <v>3.09</v>
      </c>
    </row>
    <row r="563" spans="1:4" x14ac:dyDescent="0.2">
      <c r="A563" s="16" t="s">
        <v>74</v>
      </c>
      <c r="B563" s="17" t="s">
        <v>69</v>
      </c>
      <c r="C563" s="17">
        <v>77</v>
      </c>
      <c r="D563" s="17">
        <v>2.96</v>
      </c>
    </row>
    <row r="564" spans="1:4" x14ac:dyDescent="0.2">
      <c r="A564" s="14" t="s">
        <v>74</v>
      </c>
      <c r="B564" s="15" t="s">
        <v>69</v>
      </c>
      <c r="C564" s="15">
        <v>78</v>
      </c>
      <c r="D564" s="15">
        <v>2.83</v>
      </c>
    </row>
    <row r="565" spans="1:4" x14ac:dyDescent="0.2">
      <c r="A565" s="16" t="s">
        <v>74</v>
      </c>
      <c r="B565" s="17" t="s">
        <v>69</v>
      </c>
      <c r="C565" s="17">
        <v>79</v>
      </c>
      <c r="D565" s="17">
        <v>2.7</v>
      </c>
    </row>
    <row r="566" spans="1:4" x14ac:dyDescent="0.2">
      <c r="A566" s="14" t="s">
        <v>74</v>
      </c>
      <c r="B566" s="15" t="s">
        <v>69</v>
      </c>
      <c r="C566" s="15">
        <v>80</v>
      </c>
      <c r="D566" s="15">
        <v>2.58</v>
      </c>
    </row>
    <row r="567" spans="1:4" x14ac:dyDescent="0.2">
      <c r="A567" s="16" t="s">
        <v>74</v>
      </c>
      <c r="B567" s="17" t="s">
        <v>69</v>
      </c>
      <c r="C567" s="17">
        <v>81</v>
      </c>
      <c r="D567" s="17">
        <v>2.4700000000000002</v>
      </c>
    </row>
    <row r="568" spans="1:4" x14ac:dyDescent="0.2">
      <c r="A568" s="14" t="s">
        <v>74</v>
      </c>
      <c r="B568" s="15" t="s">
        <v>69</v>
      </c>
      <c r="C568" s="15">
        <v>82</v>
      </c>
      <c r="D568" s="15">
        <v>2.36</v>
      </c>
    </row>
    <row r="569" spans="1:4" x14ac:dyDescent="0.2">
      <c r="A569" s="16" t="s">
        <v>74</v>
      </c>
      <c r="B569" s="17" t="s">
        <v>69</v>
      </c>
      <c r="C569" s="17">
        <v>83</v>
      </c>
      <c r="D569" s="17">
        <v>2.2599999999999998</v>
      </c>
    </row>
    <row r="570" spans="1:4" x14ac:dyDescent="0.2">
      <c r="A570" s="14" t="s">
        <v>74</v>
      </c>
      <c r="B570" s="15" t="s">
        <v>69</v>
      </c>
      <c r="C570" s="15">
        <v>84</v>
      </c>
      <c r="D570" s="15">
        <v>2.16</v>
      </c>
    </row>
    <row r="571" spans="1:4" x14ac:dyDescent="0.2">
      <c r="A571" s="16" t="s">
        <v>74</v>
      </c>
      <c r="B571" s="17" t="s">
        <v>69</v>
      </c>
      <c r="C571" s="17">
        <v>85</v>
      </c>
      <c r="D571" s="17">
        <v>2.0699999999999998</v>
      </c>
    </row>
    <row r="572" spans="1:4" x14ac:dyDescent="0.2">
      <c r="A572" s="14" t="s">
        <v>74</v>
      </c>
      <c r="B572" s="15" t="s">
        <v>69</v>
      </c>
      <c r="C572" s="15">
        <v>86</v>
      </c>
      <c r="D572" s="15">
        <v>1.98</v>
      </c>
    </row>
    <row r="573" spans="1:4" x14ac:dyDescent="0.2">
      <c r="A573" s="16" t="s">
        <v>74</v>
      </c>
      <c r="B573" s="17" t="s">
        <v>69</v>
      </c>
      <c r="C573" s="17">
        <v>87</v>
      </c>
      <c r="D573" s="17">
        <v>1.89</v>
      </c>
    </row>
    <row r="574" spans="1:4" x14ac:dyDescent="0.2">
      <c r="A574" s="14" t="s">
        <v>74</v>
      </c>
      <c r="B574" s="15" t="s">
        <v>69</v>
      </c>
      <c r="C574" s="15">
        <v>88</v>
      </c>
      <c r="D574" s="15">
        <v>1.81</v>
      </c>
    </row>
    <row r="575" spans="1:4" x14ac:dyDescent="0.2">
      <c r="A575" s="16" t="s">
        <v>74</v>
      </c>
      <c r="B575" s="17" t="s">
        <v>69</v>
      </c>
      <c r="C575" s="17">
        <v>89</v>
      </c>
      <c r="D575" s="17">
        <v>1.73</v>
      </c>
    </row>
    <row r="576" spans="1:4" x14ac:dyDescent="0.2">
      <c r="A576" s="14" t="s">
        <v>74</v>
      </c>
      <c r="B576" s="15" t="s">
        <v>69</v>
      </c>
      <c r="C576" s="15">
        <v>90</v>
      </c>
      <c r="D576" s="15">
        <v>1.65</v>
      </c>
    </row>
    <row r="577" spans="1:4" x14ac:dyDescent="0.2">
      <c r="A577" s="16" t="s">
        <v>75</v>
      </c>
      <c r="B577" s="17" t="s">
        <v>69</v>
      </c>
      <c r="C577" s="17">
        <v>25</v>
      </c>
      <c r="D577" s="17">
        <v>38.659999999999997</v>
      </c>
    </row>
    <row r="578" spans="1:4" x14ac:dyDescent="0.2">
      <c r="A578" s="14" t="s">
        <v>75</v>
      </c>
      <c r="B578" s="15" t="s">
        <v>69</v>
      </c>
      <c r="C578" s="15">
        <v>26</v>
      </c>
      <c r="D578" s="15">
        <v>37.74</v>
      </c>
    </row>
    <row r="579" spans="1:4" x14ac:dyDescent="0.2">
      <c r="A579" s="16" t="s">
        <v>75</v>
      </c>
      <c r="B579" s="17" t="s">
        <v>69</v>
      </c>
      <c r="C579" s="17">
        <v>27</v>
      </c>
      <c r="D579" s="17">
        <v>36.82</v>
      </c>
    </row>
    <row r="580" spans="1:4" x14ac:dyDescent="0.2">
      <c r="A580" s="14" t="s">
        <v>75</v>
      </c>
      <c r="B580" s="15" t="s">
        <v>69</v>
      </c>
      <c r="C580" s="15">
        <v>28</v>
      </c>
      <c r="D580" s="15">
        <v>35.9</v>
      </c>
    </row>
    <row r="581" spans="1:4" x14ac:dyDescent="0.2">
      <c r="A581" s="16" t="s">
        <v>75</v>
      </c>
      <c r="B581" s="17" t="s">
        <v>69</v>
      </c>
      <c r="C581" s="17">
        <v>29</v>
      </c>
      <c r="D581" s="17">
        <v>34.97</v>
      </c>
    </row>
    <row r="582" spans="1:4" x14ac:dyDescent="0.2">
      <c r="A582" s="14" t="s">
        <v>75</v>
      </c>
      <c r="B582" s="15" t="s">
        <v>69</v>
      </c>
      <c r="C582" s="15">
        <v>30</v>
      </c>
      <c r="D582" s="15">
        <v>34.049999999999997</v>
      </c>
    </row>
    <row r="583" spans="1:4" x14ac:dyDescent="0.2">
      <c r="A583" s="16" t="s">
        <v>75</v>
      </c>
      <c r="B583" s="17" t="s">
        <v>69</v>
      </c>
      <c r="C583" s="17">
        <v>31</v>
      </c>
      <c r="D583" s="17">
        <v>33.119999999999997</v>
      </c>
    </row>
    <row r="584" spans="1:4" x14ac:dyDescent="0.2">
      <c r="A584" s="14" t="s">
        <v>75</v>
      </c>
      <c r="B584" s="15" t="s">
        <v>69</v>
      </c>
      <c r="C584" s="15">
        <v>32</v>
      </c>
      <c r="D584" s="15">
        <v>32.200000000000003</v>
      </c>
    </row>
    <row r="585" spans="1:4" x14ac:dyDescent="0.2">
      <c r="A585" s="16" t="s">
        <v>75</v>
      </c>
      <c r="B585" s="17" t="s">
        <v>69</v>
      </c>
      <c r="C585" s="17">
        <v>33</v>
      </c>
      <c r="D585" s="17">
        <v>31.28</v>
      </c>
    </row>
    <row r="586" spans="1:4" x14ac:dyDescent="0.2">
      <c r="A586" s="14" t="s">
        <v>75</v>
      </c>
      <c r="B586" s="15" t="s">
        <v>69</v>
      </c>
      <c r="C586" s="15">
        <v>34</v>
      </c>
      <c r="D586" s="15">
        <v>30.35</v>
      </c>
    </row>
    <row r="587" spans="1:4" x14ac:dyDescent="0.2">
      <c r="A587" s="16" t="s">
        <v>75</v>
      </c>
      <c r="B587" s="17" t="s">
        <v>69</v>
      </c>
      <c r="C587" s="17">
        <v>35</v>
      </c>
      <c r="D587" s="17">
        <v>29.43</v>
      </c>
    </row>
    <row r="588" spans="1:4" x14ac:dyDescent="0.2">
      <c r="A588" s="14" t="s">
        <v>75</v>
      </c>
      <c r="B588" s="15" t="s">
        <v>69</v>
      </c>
      <c r="C588" s="15">
        <v>36</v>
      </c>
      <c r="D588" s="15">
        <v>28.51</v>
      </c>
    </row>
    <row r="589" spans="1:4" x14ac:dyDescent="0.2">
      <c r="A589" s="16" t="s">
        <v>75</v>
      </c>
      <c r="B589" s="17" t="s">
        <v>69</v>
      </c>
      <c r="C589" s="17">
        <v>37</v>
      </c>
      <c r="D589" s="17">
        <v>27.6</v>
      </c>
    </row>
    <row r="590" spans="1:4" x14ac:dyDescent="0.2">
      <c r="A590" s="14" t="s">
        <v>75</v>
      </c>
      <c r="B590" s="15" t="s">
        <v>69</v>
      </c>
      <c r="C590" s="15">
        <v>38</v>
      </c>
      <c r="D590" s="15">
        <v>26.69</v>
      </c>
    </row>
    <row r="591" spans="1:4" x14ac:dyDescent="0.2">
      <c r="A591" s="16" t="s">
        <v>75</v>
      </c>
      <c r="B591" s="17" t="s">
        <v>69</v>
      </c>
      <c r="C591" s="17">
        <v>39</v>
      </c>
      <c r="D591" s="17">
        <v>25.77</v>
      </c>
    </row>
    <row r="592" spans="1:4" x14ac:dyDescent="0.2">
      <c r="A592" s="14" t="s">
        <v>75</v>
      </c>
      <c r="B592" s="15" t="s">
        <v>69</v>
      </c>
      <c r="C592" s="15">
        <v>40</v>
      </c>
      <c r="D592" s="15">
        <v>24.86</v>
      </c>
    </row>
    <row r="593" spans="1:4" x14ac:dyDescent="0.2">
      <c r="A593" s="16" t="s">
        <v>75</v>
      </c>
      <c r="B593" s="17" t="s">
        <v>69</v>
      </c>
      <c r="C593" s="17">
        <v>41</v>
      </c>
      <c r="D593" s="17">
        <v>23.94</v>
      </c>
    </row>
    <row r="594" spans="1:4" x14ac:dyDescent="0.2">
      <c r="A594" s="14" t="s">
        <v>75</v>
      </c>
      <c r="B594" s="15" t="s">
        <v>69</v>
      </c>
      <c r="C594" s="15">
        <v>42</v>
      </c>
      <c r="D594" s="15">
        <v>23.02</v>
      </c>
    </row>
    <row r="595" spans="1:4" x14ac:dyDescent="0.2">
      <c r="A595" s="16" t="s">
        <v>75</v>
      </c>
      <c r="B595" s="17" t="s">
        <v>69</v>
      </c>
      <c r="C595" s="17">
        <v>43</v>
      </c>
      <c r="D595" s="17">
        <v>22.11</v>
      </c>
    </row>
    <row r="596" spans="1:4" x14ac:dyDescent="0.2">
      <c r="A596" s="14" t="s">
        <v>75</v>
      </c>
      <c r="B596" s="15" t="s">
        <v>69</v>
      </c>
      <c r="C596" s="15">
        <v>44</v>
      </c>
      <c r="D596" s="15">
        <v>21.2</v>
      </c>
    </row>
    <row r="597" spans="1:4" x14ac:dyDescent="0.2">
      <c r="A597" s="16" t="s">
        <v>75</v>
      </c>
      <c r="B597" s="17" t="s">
        <v>69</v>
      </c>
      <c r="C597" s="17">
        <v>45</v>
      </c>
      <c r="D597" s="17">
        <v>20.29</v>
      </c>
    </row>
    <row r="598" spans="1:4" x14ac:dyDescent="0.2">
      <c r="A598" s="14" t="s">
        <v>75</v>
      </c>
      <c r="B598" s="15" t="s">
        <v>69</v>
      </c>
      <c r="C598" s="15">
        <v>46</v>
      </c>
      <c r="D598" s="15">
        <v>19.39</v>
      </c>
    </row>
    <row r="599" spans="1:4" x14ac:dyDescent="0.2">
      <c r="A599" s="16" t="s">
        <v>75</v>
      </c>
      <c r="B599" s="17" t="s">
        <v>69</v>
      </c>
      <c r="C599" s="17">
        <v>47</v>
      </c>
      <c r="D599" s="17">
        <v>18.510000000000002</v>
      </c>
    </row>
    <row r="600" spans="1:4" x14ac:dyDescent="0.2">
      <c r="A600" s="14" t="s">
        <v>75</v>
      </c>
      <c r="B600" s="15" t="s">
        <v>69</v>
      </c>
      <c r="C600" s="15">
        <v>48</v>
      </c>
      <c r="D600" s="15">
        <v>17.63</v>
      </c>
    </row>
    <row r="601" spans="1:4" x14ac:dyDescent="0.2">
      <c r="A601" s="16" t="s">
        <v>75</v>
      </c>
      <c r="B601" s="17" t="s">
        <v>69</v>
      </c>
      <c r="C601" s="17">
        <v>49</v>
      </c>
      <c r="D601" s="17">
        <v>16.75</v>
      </c>
    </row>
    <row r="602" spans="1:4" x14ac:dyDescent="0.2">
      <c r="A602" s="14" t="s">
        <v>75</v>
      </c>
      <c r="B602" s="15" t="s">
        <v>69</v>
      </c>
      <c r="C602" s="15">
        <v>50</v>
      </c>
      <c r="D602" s="15">
        <v>15.89</v>
      </c>
    </row>
    <row r="603" spans="1:4" x14ac:dyDescent="0.2">
      <c r="A603" s="16" t="s">
        <v>75</v>
      </c>
      <c r="B603" s="17" t="s">
        <v>69</v>
      </c>
      <c r="C603" s="17">
        <v>51</v>
      </c>
      <c r="D603" s="17">
        <v>15.02</v>
      </c>
    </row>
    <row r="604" spans="1:4" x14ac:dyDescent="0.2">
      <c r="A604" s="14" t="s">
        <v>75</v>
      </c>
      <c r="B604" s="15" t="s">
        <v>69</v>
      </c>
      <c r="C604" s="15">
        <v>52</v>
      </c>
      <c r="D604" s="15">
        <v>14.16</v>
      </c>
    </row>
    <row r="605" spans="1:4" x14ac:dyDescent="0.2">
      <c r="A605" s="16" t="s">
        <v>75</v>
      </c>
      <c r="B605" s="17" t="s">
        <v>69</v>
      </c>
      <c r="C605" s="17">
        <v>53</v>
      </c>
      <c r="D605" s="17">
        <v>13.31</v>
      </c>
    </row>
    <row r="606" spans="1:4" x14ac:dyDescent="0.2">
      <c r="A606" s="14" t="s">
        <v>75</v>
      </c>
      <c r="B606" s="15" t="s">
        <v>69</v>
      </c>
      <c r="C606" s="15">
        <v>54</v>
      </c>
      <c r="D606" s="15">
        <v>12.49</v>
      </c>
    </row>
    <row r="607" spans="1:4" x14ac:dyDescent="0.2">
      <c r="A607" s="16" t="s">
        <v>75</v>
      </c>
      <c r="B607" s="17" t="s">
        <v>69</v>
      </c>
      <c r="C607" s="17">
        <v>55</v>
      </c>
      <c r="D607" s="17">
        <v>11.69</v>
      </c>
    </row>
    <row r="608" spans="1:4" x14ac:dyDescent="0.2">
      <c r="A608" s="14" t="s">
        <v>75</v>
      </c>
      <c r="B608" s="15" t="s">
        <v>69</v>
      </c>
      <c r="C608" s="15">
        <v>56</v>
      </c>
      <c r="D608" s="15">
        <v>10.93</v>
      </c>
    </row>
    <row r="609" spans="1:4" x14ac:dyDescent="0.2">
      <c r="A609" s="16" t="s">
        <v>75</v>
      </c>
      <c r="B609" s="17" t="s">
        <v>69</v>
      </c>
      <c r="C609" s="17">
        <v>57</v>
      </c>
      <c r="D609" s="17">
        <v>10.19</v>
      </c>
    </row>
    <row r="610" spans="1:4" x14ac:dyDescent="0.2">
      <c r="A610" s="14" t="s">
        <v>75</v>
      </c>
      <c r="B610" s="15" t="s">
        <v>69</v>
      </c>
      <c r="C610" s="15">
        <v>58</v>
      </c>
      <c r="D610" s="15">
        <v>9.48</v>
      </c>
    </row>
    <row r="611" spans="1:4" x14ac:dyDescent="0.2">
      <c r="A611" s="16" t="s">
        <v>75</v>
      </c>
      <c r="B611" s="17" t="s">
        <v>69</v>
      </c>
      <c r="C611" s="17">
        <v>59</v>
      </c>
      <c r="D611" s="17">
        <v>8.7899999999999991</v>
      </c>
    </row>
    <row r="612" spans="1:4" x14ac:dyDescent="0.2">
      <c r="A612" s="14" t="s">
        <v>75</v>
      </c>
      <c r="B612" s="15" t="s">
        <v>69</v>
      </c>
      <c r="C612" s="15">
        <v>60</v>
      </c>
      <c r="D612" s="15">
        <v>8.1300000000000008</v>
      </c>
    </row>
    <row r="613" spans="1:4" x14ac:dyDescent="0.2">
      <c r="A613" s="16" t="s">
        <v>75</v>
      </c>
      <c r="B613" s="17" t="s">
        <v>69</v>
      </c>
      <c r="C613" s="17">
        <v>61</v>
      </c>
      <c r="D613" s="17">
        <v>7.52</v>
      </c>
    </row>
    <row r="614" spans="1:4" x14ac:dyDescent="0.2">
      <c r="A614" s="14" t="s">
        <v>75</v>
      </c>
      <c r="B614" s="15" t="s">
        <v>69</v>
      </c>
      <c r="C614" s="15">
        <v>62</v>
      </c>
      <c r="D614" s="15">
        <v>6.95</v>
      </c>
    </row>
    <row r="615" spans="1:4" x14ac:dyDescent="0.2">
      <c r="A615" s="16" t="s">
        <v>75</v>
      </c>
      <c r="B615" s="17" t="s">
        <v>69</v>
      </c>
      <c r="C615" s="17">
        <v>63</v>
      </c>
      <c r="D615" s="17">
        <v>6.43</v>
      </c>
    </row>
    <row r="616" spans="1:4" x14ac:dyDescent="0.2">
      <c r="A616" s="14" t="s">
        <v>75</v>
      </c>
      <c r="B616" s="15" t="s">
        <v>69</v>
      </c>
      <c r="C616" s="15">
        <v>64</v>
      </c>
      <c r="D616" s="15">
        <v>5.97</v>
      </c>
    </row>
    <row r="617" spans="1:4" x14ac:dyDescent="0.2">
      <c r="A617" s="16" t="s">
        <v>75</v>
      </c>
      <c r="B617" s="17" t="s">
        <v>69</v>
      </c>
      <c r="C617" s="17">
        <v>65</v>
      </c>
      <c r="D617" s="17">
        <v>5.56</v>
      </c>
    </row>
    <row r="618" spans="1:4" x14ac:dyDescent="0.2">
      <c r="A618" s="14" t="s">
        <v>75</v>
      </c>
      <c r="B618" s="15" t="s">
        <v>69</v>
      </c>
      <c r="C618" s="15">
        <v>66</v>
      </c>
      <c r="D618" s="15">
        <v>5.19</v>
      </c>
    </row>
    <row r="619" spans="1:4" x14ac:dyDescent="0.2">
      <c r="A619" s="16" t="s">
        <v>75</v>
      </c>
      <c r="B619" s="17" t="s">
        <v>69</v>
      </c>
      <c r="C619" s="17">
        <v>67</v>
      </c>
      <c r="D619" s="17">
        <v>4.8499999999999996</v>
      </c>
    </row>
    <row r="620" spans="1:4" x14ac:dyDescent="0.2">
      <c r="A620" s="14" t="s">
        <v>75</v>
      </c>
      <c r="B620" s="15" t="s">
        <v>69</v>
      </c>
      <c r="C620" s="15">
        <v>68</v>
      </c>
      <c r="D620" s="15">
        <v>4.53</v>
      </c>
    </row>
    <row r="621" spans="1:4" x14ac:dyDescent="0.2">
      <c r="A621" s="16" t="s">
        <v>75</v>
      </c>
      <c r="B621" s="17" t="s">
        <v>69</v>
      </c>
      <c r="C621" s="17">
        <v>69</v>
      </c>
      <c r="D621" s="17">
        <v>4.2300000000000004</v>
      </c>
    </row>
    <row r="622" spans="1:4" x14ac:dyDescent="0.2">
      <c r="A622" s="14" t="s">
        <v>75</v>
      </c>
      <c r="B622" s="15" t="s">
        <v>69</v>
      </c>
      <c r="C622" s="15">
        <v>70</v>
      </c>
      <c r="D622" s="15">
        <v>3.96</v>
      </c>
    </row>
    <row r="623" spans="1:4" x14ac:dyDescent="0.2">
      <c r="A623" s="16" t="s">
        <v>75</v>
      </c>
      <c r="B623" s="17" t="s">
        <v>69</v>
      </c>
      <c r="C623" s="17">
        <v>71</v>
      </c>
      <c r="D623" s="17">
        <v>3.71</v>
      </c>
    </row>
    <row r="624" spans="1:4" x14ac:dyDescent="0.2">
      <c r="A624" s="14" t="s">
        <v>75</v>
      </c>
      <c r="B624" s="15" t="s">
        <v>69</v>
      </c>
      <c r="C624" s="15">
        <v>72</v>
      </c>
      <c r="D624" s="15">
        <v>3.49</v>
      </c>
    </row>
    <row r="625" spans="1:4" x14ac:dyDescent="0.2">
      <c r="A625" s="16" t="s">
        <v>75</v>
      </c>
      <c r="B625" s="17" t="s">
        <v>69</v>
      </c>
      <c r="C625" s="17">
        <v>73</v>
      </c>
      <c r="D625" s="17">
        <v>3.28</v>
      </c>
    </row>
    <row r="626" spans="1:4" x14ac:dyDescent="0.2">
      <c r="A626" s="14" t="s">
        <v>75</v>
      </c>
      <c r="B626" s="15" t="s">
        <v>69</v>
      </c>
      <c r="C626" s="15">
        <v>74</v>
      </c>
      <c r="D626" s="15">
        <v>3.09</v>
      </c>
    </row>
    <row r="627" spans="1:4" x14ac:dyDescent="0.2">
      <c r="A627" s="16" t="s">
        <v>75</v>
      </c>
      <c r="B627" s="17" t="s">
        <v>69</v>
      </c>
      <c r="C627" s="17">
        <v>75</v>
      </c>
      <c r="D627" s="17">
        <v>2.91</v>
      </c>
    </row>
    <row r="628" spans="1:4" x14ac:dyDescent="0.2">
      <c r="A628" s="14" t="s">
        <v>75</v>
      </c>
      <c r="B628" s="15" t="s">
        <v>69</v>
      </c>
      <c r="C628" s="15">
        <v>76</v>
      </c>
      <c r="D628" s="15">
        <v>2.75</v>
      </c>
    </row>
    <row r="629" spans="1:4" x14ac:dyDescent="0.2">
      <c r="A629" s="16" t="s">
        <v>75</v>
      </c>
      <c r="B629" s="17" t="s">
        <v>69</v>
      </c>
      <c r="C629" s="17">
        <v>77</v>
      </c>
      <c r="D629" s="17">
        <v>2.61</v>
      </c>
    </row>
    <row r="630" spans="1:4" x14ac:dyDescent="0.2">
      <c r="A630" s="14" t="s">
        <v>75</v>
      </c>
      <c r="B630" s="15" t="s">
        <v>69</v>
      </c>
      <c r="C630" s="15">
        <v>78</v>
      </c>
      <c r="D630" s="15">
        <v>2.4700000000000002</v>
      </c>
    </row>
    <row r="631" spans="1:4" x14ac:dyDescent="0.2">
      <c r="A631" s="16" t="s">
        <v>75</v>
      </c>
      <c r="B631" s="17" t="s">
        <v>69</v>
      </c>
      <c r="C631" s="17">
        <v>79</v>
      </c>
      <c r="D631" s="17">
        <v>2.35</v>
      </c>
    </row>
    <row r="632" spans="1:4" x14ac:dyDescent="0.2">
      <c r="A632" s="14" t="s">
        <v>75</v>
      </c>
      <c r="B632" s="15" t="s">
        <v>69</v>
      </c>
      <c r="C632" s="15">
        <v>80</v>
      </c>
      <c r="D632" s="15">
        <v>2.2400000000000002</v>
      </c>
    </row>
    <row r="633" spans="1:4" x14ac:dyDescent="0.2">
      <c r="A633" s="16" t="s">
        <v>75</v>
      </c>
      <c r="B633" s="17" t="s">
        <v>69</v>
      </c>
      <c r="C633" s="17">
        <v>81</v>
      </c>
      <c r="D633" s="17">
        <v>2.14</v>
      </c>
    </row>
    <row r="634" spans="1:4" x14ac:dyDescent="0.2">
      <c r="A634" s="14" t="s">
        <v>75</v>
      </c>
      <c r="B634" s="15" t="s">
        <v>69</v>
      </c>
      <c r="C634" s="15">
        <v>82</v>
      </c>
      <c r="D634" s="15">
        <v>2.0499999999999998</v>
      </c>
    </row>
    <row r="635" spans="1:4" x14ac:dyDescent="0.2">
      <c r="A635" s="16" t="s">
        <v>75</v>
      </c>
      <c r="B635" s="17" t="s">
        <v>69</v>
      </c>
      <c r="C635" s="17">
        <v>83</v>
      </c>
      <c r="D635" s="17">
        <v>1.96</v>
      </c>
    </row>
    <row r="636" spans="1:4" x14ac:dyDescent="0.2">
      <c r="A636" s="14" t="s">
        <v>75</v>
      </c>
      <c r="B636" s="15" t="s">
        <v>69</v>
      </c>
      <c r="C636" s="15">
        <v>84</v>
      </c>
      <c r="D636" s="15">
        <v>1.88</v>
      </c>
    </row>
    <row r="637" spans="1:4" x14ac:dyDescent="0.2">
      <c r="A637" s="16" t="s">
        <v>75</v>
      </c>
      <c r="B637" s="17" t="s">
        <v>69</v>
      </c>
      <c r="C637" s="17">
        <v>85</v>
      </c>
      <c r="D637" s="17">
        <v>1.8</v>
      </c>
    </row>
    <row r="638" spans="1:4" x14ac:dyDescent="0.2">
      <c r="A638" s="14" t="s">
        <v>75</v>
      </c>
      <c r="B638" s="15" t="s">
        <v>69</v>
      </c>
      <c r="C638" s="15">
        <v>86</v>
      </c>
      <c r="D638" s="15">
        <v>1.72</v>
      </c>
    </row>
    <row r="639" spans="1:4" x14ac:dyDescent="0.2">
      <c r="A639" s="16" t="s">
        <v>75</v>
      </c>
      <c r="B639" s="17" t="s">
        <v>69</v>
      </c>
      <c r="C639" s="17">
        <v>87</v>
      </c>
      <c r="D639" s="17">
        <v>1.65</v>
      </c>
    </row>
    <row r="640" spans="1:4" x14ac:dyDescent="0.2">
      <c r="A640" s="14" t="s">
        <v>75</v>
      </c>
      <c r="B640" s="15" t="s">
        <v>69</v>
      </c>
      <c r="C640" s="15">
        <v>88</v>
      </c>
      <c r="D640" s="15">
        <v>1.58</v>
      </c>
    </row>
    <row r="641" spans="1:4" x14ac:dyDescent="0.2">
      <c r="A641" s="16" t="s">
        <v>75</v>
      </c>
      <c r="B641" s="17" t="s">
        <v>69</v>
      </c>
      <c r="C641" s="17">
        <v>89</v>
      </c>
      <c r="D641" s="17">
        <v>1.51</v>
      </c>
    </row>
    <row r="642" spans="1:4" x14ac:dyDescent="0.2">
      <c r="A642" s="14" t="s">
        <v>75</v>
      </c>
      <c r="B642" s="15" t="s">
        <v>69</v>
      </c>
      <c r="C642" s="15">
        <v>90</v>
      </c>
      <c r="D642" s="15">
        <v>1.45</v>
      </c>
    </row>
    <row r="643" spans="1:4" x14ac:dyDescent="0.2">
      <c r="A643" s="16" t="s">
        <v>76</v>
      </c>
      <c r="B643" s="17" t="s">
        <v>69</v>
      </c>
      <c r="C643" s="17">
        <v>26</v>
      </c>
      <c r="D643" s="17">
        <v>40.159999999999997</v>
      </c>
    </row>
    <row r="644" spans="1:4" x14ac:dyDescent="0.2">
      <c r="A644" s="14" t="s">
        <v>76</v>
      </c>
      <c r="B644" s="15" t="s">
        <v>69</v>
      </c>
      <c r="C644" s="15">
        <v>27</v>
      </c>
      <c r="D644" s="15">
        <v>39.24</v>
      </c>
    </row>
    <row r="645" spans="1:4" x14ac:dyDescent="0.2">
      <c r="A645" s="16" t="s">
        <v>76</v>
      </c>
      <c r="B645" s="17" t="s">
        <v>69</v>
      </c>
      <c r="C645" s="17">
        <v>28</v>
      </c>
      <c r="D645" s="17">
        <v>38.31</v>
      </c>
    </row>
    <row r="646" spans="1:4" x14ac:dyDescent="0.2">
      <c r="A646" s="14" t="s">
        <v>76</v>
      </c>
      <c r="B646" s="15" t="s">
        <v>69</v>
      </c>
      <c r="C646" s="15">
        <v>29</v>
      </c>
      <c r="D646" s="15">
        <v>37.39</v>
      </c>
    </row>
    <row r="647" spans="1:4" x14ac:dyDescent="0.2">
      <c r="A647" s="16" t="s">
        <v>76</v>
      </c>
      <c r="B647" s="17" t="s">
        <v>69</v>
      </c>
      <c r="C647" s="17">
        <v>30</v>
      </c>
      <c r="D647" s="17">
        <v>36.46</v>
      </c>
    </row>
    <row r="648" spans="1:4" x14ac:dyDescent="0.2">
      <c r="A648" s="14" t="s">
        <v>76</v>
      </c>
      <c r="B648" s="15" t="s">
        <v>69</v>
      </c>
      <c r="C648" s="15">
        <v>31</v>
      </c>
      <c r="D648" s="15">
        <v>35.54</v>
      </c>
    </row>
    <row r="649" spans="1:4" x14ac:dyDescent="0.2">
      <c r="A649" s="16" t="s">
        <v>76</v>
      </c>
      <c r="B649" s="17" t="s">
        <v>69</v>
      </c>
      <c r="C649" s="17">
        <v>32</v>
      </c>
      <c r="D649" s="17">
        <v>34.61</v>
      </c>
    </row>
    <row r="650" spans="1:4" x14ac:dyDescent="0.2">
      <c r="A650" s="14" t="s">
        <v>76</v>
      </c>
      <c r="B650" s="15" t="s">
        <v>69</v>
      </c>
      <c r="C650" s="15">
        <v>33</v>
      </c>
      <c r="D650" s="15">
        <v>33.68</v>
      </c>
    </row>
    <row r="651" spans="1:4" x14ac:dyDescent="0.2">
      <c r="A651" s="16" t="s">
        <v>76</v>
      </c>
      <c r="B651" s="17" t="s">
        <v>69</v>
      </c>
      <c r="C651" s="17">
        <v>34</v>
      </c>
      <c r="D651" s="17">
        <v>32.74</v>
      </c>
    </row>
    <row r="652" spans="1:4" x14ac:dyDescent="0.2">
      <c r="A652" s="14" t="s">
        <v>76</v>
      </c>
      <c r="B652" s="15" t="s">
        <v>69</v>
      </c>
      <c r="C652" s="15">
        <v>35</v>
      </c>
      <c r="D652" s="15">
        <v>31.81</v>
      </c>
    </row>
    <row r="653" spans="1:4" x14ac:dyDescent="0.2">
      <c r="A653" s="16" t="s">
        <v>76</v>
      </c>
      <c r="B653" s="17" t="s">
        <v>69</v>
      </c>
      <c r="C653" s="17">
        <v>36</v>
      </c>
      <c r="D653" s="17">
        <v>30.88</v>
      </c>
    </row>
    <row r="654" spans="1:4" x14ac:dyDescent="0.2">
      <c r="A654" s="14" t="s">
        <v>76</v>
      </c>
      <c r="B654" s="15" t="s">
        <v>69</v>
      </c>
      <c r="C654" s="15">
        <v>37</v>
      </c>
      <c r="D654" s="15">
        <v>29.94</v>
      </c>
    </row>
    <row r="655" spans="1:4" x14ac:dyDescent="0.2">
      <c r="A655" s="16" t="s">
        <v>76</v>
      </c>
      <c r="B655" s="17" t="s">
        <v>69</v>
      </c>
      <c r="C655" s="17">
        <v>38</v>
      </c>
      <c r="D655" s="17">
        <v>29.01</v>
      </c>
    </row>
    <row r="656" spans="1:4" x14ac:dyDescent="0.2">
      <c r="A656" s="14" t="s">
        <v>76</v>
      </c>
      <c r="B656" s="15" t="s">
        <v>69</v>
      </c>
      <c r="C656" s="15">
        <v>39</v>
      </c>
      <c r="D656" s="15">
        <v>28.07</v>
      </c>
    </row>
    <row r="657" spans="1:4" x14ac:dyDescent="0.2">
      <c r="A657" s="16" t="s">
        <v>76</v>
      </c>
      <c r="B657" s="17" t="s">
        <v>69</v>
      </c>
      <c r="C657" s="17">
        <v>40</v>
      </c>
      <c r="D657" s="17">
        <v>27.14</v>
      </c>
    </row>
    <row r="658" spans="1:4" x14ac:dyDescent="0.2">
      <c r="A658" s="14" t="s">
        <v>76</v>
      </c>
      <c r="B658" s="15" t="s">
        <v>69</v>
      </c>
      <c r="C658" s="15">
        <v>41</v>
      </c>
      <c r="D658" s="15">
        <v>26.21</v>
      </c>
    </row>
    <row r="659" spans="1:4" x14ac:dyDescent="0.2">
      <c r="A659" s="16" t="s">
        <v>76</v>
      </c>
      <c r="B659" s="17" t="s">
        <v>69</v>
      </c>
      <c r="C659" s="17">
        <v>42</v>
      </c>
      <c r="D659" s="17">
        <v>25.29</v>
      </c>
    </row>
    <row r="660" spans="1:4" x14ac:dyDescent="0.2">
      <c r="A660" s="14" t="s">
        <v>76</v>
      </c>
      <c r="B660" s="15" t="s">
        <v>69</v>
      </c>
      <c r="C660" s="15">
        <v>43</v>
      </c>
      <c r="D660" s="15">
        <v>24.37</v>
      </c>
    </row>
    <row r="661" spans="1:4" x14ac:dyDescent="0.2">
      <c r="A661" s="16" t="s">
        <v>76</v>
      </c>
      <c r="B661" s="17" t="s">
        <v>69</v>
      </c>
      <c r="C661" s="17">
        <v>44</v>
      </c>
      <c r="D661" s="17">
        <v>23.45</v>
      </c>
    </row>
    <row r="662" spans="1:4" x14ac:dyDescent="0.2">
      <c r="A662" s="14" t="s">
        <v>76</v>
      </c>
      <c r="B662" s="15" t="s">
        <v>69</v>
      </c>
      <c r="C662" s="15">
        <v>45</v>
      </c>
      <c r="D662" s="15">
        <v>22.54</v>
      </c>
    </row>
    <row r="663" spans="1:4" x14ac:dyDescent="0.2">
      <c r="A663" s="16" t="s">
        <v>76</v>
      </c>
      <c r="B663" s="17" t="s">
        <v>69</v>
      </c>
      <c r="C663" s="17">
        <v>46</v>
      </c>
      <c r="D663" s="17">
        <v>21.63</v>
      </c>
    </row>
    <row r="664" spans="1:4" x14ac:dyDescent="0.2">
      <c r="A664" s="14" t="s">
        <v>76</v>
      </c>
      <c r="B664" s="15" t="s">
        <v>69</v>
      </c>
      <c r="C664" s="15">
        <v>47</v>
      </c>
      <c r="D664" s="15">
        <v>20.73</v>
      </c>
    </row>
    <row r="665" spans="1:4" x14ac:dyDescent="0.2">
      <c r="A665" s="16" t="s">
        <v>76</v>
      </c>
      <c r="B665" s="17" t="s">
        <v>69</v>
      </c>
      <c r="C665" s="17">
        <v>48</v>
      </c>
      <c r="D665" s="17">
        <v>19.84</v>
      </c>
    </row>
    <row r="666" spans="1:4" x14ac:dyDescent="0.2">
      <c r="A666" s="14" t="s">
        <v>76</v>
      </c>
      <c r="B666" s="15" t="s">
        <v>69</v>
      </c>
      <c r="C666" s="15">
        <v>49</v>
      </c>
      <c r="D666" s="15">
        <v>18.96</v>
      </c>
    </row>
    <row r="667" spans="1:4" x14ac:dyDescent="0.2">
      <c r="A667" s="16" t="s">
        <v>76</v>
      </c>
      <c r="B667" s="17" t="s">
        <v>69</v>
      </c>
      <c r="C667" s="17">
        <v>50</v>
      </c>
      <c r="D667" s="17">
        <v>18.079999999999998</v>
      </c>
    </row>
    <row r="668" spans="1:4" x14ac:dyDescent="0.2">
      <c r="A668" s="14" t="s">
        <v>76</v>
      </c>
      <c r="B668" s="15" t="s">
        <v>69</v>
      </c>
      <c r="C668" s="15">
        <v>51</v>
      </c>
      <c r="D668" s="15">
        <v>17.22</v>
      </c>
    </row>
    <row r="669" spans="1:4" x14ac:dyDescent="0.2">
      <c r="A669" s="16" t="s">
        <v>76</v>
      </c>
      <c r="B669" s="17" t="s">
        <v>69</v>
      </c>
      <c r="C669" s="17">
        <v>52</v>
      </c>
      <c r="D669" s="17">
        <v>16.36</v>
      </c>
    </row>
    <row r="670" spans="1:4" x14ac:dyDescent="0.2">
      <c r="A670" s="14" t="s">
        <v>76</v>
      </c>
      <c r="B670" s="15" t="s">
        <v>69</v>
      </c>
      <c r="C670" s="15">
        <v>53</v>
      </c>
      <c r="D670" s="15">
        <v>15.51</v>
      </c>
    </row>
    <row r="671" spans="1:4" x14ac:dyDescent="0.2">
      <c r="A671" s="16" t="s">
        <v>76</v>
      </c>
      <c r="B671" s="17" t="s">
        <v>69</v>
      </c>
      <c r="C671" s="17">
        <v>54</v>
      </c>
      <c r="D671" s="17">
        <v>14.67</v>
      </c>
    </row>
    <row r="672" spans="1:4" x14ac:dyDescent="0.2">
      <c r="A672" s="14" t="s">
        <v>76</v>
      </c>
      <c r="B672" s="15" t="s">
        <v>69</v>
      </c>
      <c r="C672" s="15">
        <v>55</v>
      </c>
      <c r="D672" s="15">
        <v>13.84</v>
      </c>
    </row>
    <row r="673" spans="1:4" x14ac:dyDescent="0.2">
      <c r="A673" s="16" t="s">
        <v>76</v>
      </c>
      <c r="B673" s="17" t="s">
        <v>69</v>
      </c>
      <c r="C673" s="17">
        <v>56</v>
      </c>
      <c r="D673" s="17">
        <v>13.01</v>
      </c>
    </row>
    <row r="674" spans="1:4" x14ac:dyDescent="0.2">
      <c r="A674" s="14" t="s">
        <v>76</v>
      </c>
      <c r="B674" s="15" t="s">
        <v>69</v>
      </c>
      <c r="C674" s="15">
        <v>57</v>
      </c>
      <c r="D674" s="15">
        <v>12.19</v>
      </c>
    </row>
    <row r="675" spans="1:4" x14ac:dyDescent="0.2">
      <c r="A675" s="16" t="s">
        <v>76</v>
      </c>
      <c r="B675" s="17" t="s">
        <v>69</v>
      </c>
      <c r="C675" s="17">
        <v>58</v>
      </c>
      <c r="D675" s="17">
        <v>11.38</v>
      </c>
    </row>
    <row r="676" spans="1:4" x14ac:dyDescent="0.2">
      <c r="A676" s="14" t="s">
        <v>76</v>
      </c>
      <c r="B676" s="15" t="s">
        <v>69</v>
      </c>
      <c r="C676" s="15">
        <v>59</v>
      </c>
      <c r="D676" s="15">
        <v>10.61</v>
      </c>
    </row>
    <row r="677" spans="1:4" x14ac:dyDescent="0.2">
      <c r="A677" s="16" t="s">
        <v>76</v>
      </c>
      <c r="B677" s="17" t="s">
        <v>69</v>
      </c>
      <c r="C677" s="17">
        <v>60</v>
      </c>
      <c r="D677" s="17">
        <v>9.8699999999999992</v>
      </c>
    </row>
    <row r="678" spans="1:4" x14ac:dyDescent="0.2">
      <c r="A678" s="14" t="s">
        <v>76</v>
      </c>
      <c r="B678" s="15" t="s">
        <v>69</v>
      </c>
      <c r="C678" s="15">
        <v>61</v>
      </c>
      <c r="D678" s="15">
        <v>9.19</v>
      </c>
    </row>
    <row r="679" spans="1:4" x14ac:dyDescent="0.2">
      <c r="A679" s="16" t="s">
        <v>76</v>
      </c>
      <c r="B679" s="17" t="s">
        <v>69</v>
      </c>
      <c r="C679" s="17">
        <v>62</v>
      </c>
      <c r="D679" s="17">
        <v>8.57</v>
      </c>
    </row>
    <row r="680" spans="1:4" x14ac:dyDescent="0.2">
      <c r="A680" s="14" t="s">
        <v>76</v>
      </c>
      <c r="B680" s="15" t="s">
        <v>69</v>
      </c>
      <c r="C680" s="15">
        <v>63</v>
      </c>
      <c r="D680" s="15">
        <v>8</v>
      </c>
    </row>
    <row r="681" spans="1:4" x14ac:dyDescent="0.2">
      <c r="A681" s="16" t="s">
        <v>76</v>
      </c>
      <c r="B681" s="17" t="s">
        <v>69</v>
      </c>
      <c r="C681" s="17">
        <v>64</v>
      </c>
      <c r="D681" s="17">
        <v>7.48</v>
      </c>
    </row>
    <row r="682" spans="1:4" x14ac:dyDescent="0.2">
      <c r="A682" s="14" t="s">
        <v>76</v>
      </c>
      <c r="B682" s="15" t="s">
        <v>69</v>
      </c>
      <c r="C682" s="15">
        <v>65</v>
      </c>
      <c r="D682" s="15">
        <v>6.99</v>
      </c>
    </row>
    <row r="683" spans="1:4" x14ac:dyDescent="0.2">
      <c r="A683" s="16" t="s">
        <v>76</v>
      </c>
      <c r="B683" s="17" t="s">
        <v>69</v>
      </c>
      <c r="C683" s="17">
        <v>66</v>
      </c>
      <c r="D683" s="17">
        <v>6.53</v>
      </c>
    </row>
    <row r="684" spans="1:4" x14ac:dyDescent="0.2">
      <c r="A684" s="14" t="s">
        <v>76</v>
      </c>
      <c r="B684" s="15" t="s">
        <v>69</v>
      </c>
      <c r="C684" s="15">
        <v>67</v>
      </c>
      <c r="D684" s="15">
        <v>6.1</v>
      </c>
    </row>
    <row r="685" spans="1:4" x14ac:dyDescent="0.2">
      <c r="A685" s="16" t="s">
        <v>76</v>
      </c>
      <c r="B685" s="17" t="s">
        <v>69</v>
      </c>
      <c r="C685" s="17">
        <v>68</v>
      </c>
      <c r="D685" s="17">
        <v>5.7</v>
      </c>
    </row>
    <row r="686" spans="1:4" x14ac:dyDescent="0.2">
      <c r="A686" s="14" t="s">
        <v>76</v>
      </c>
      <c r="B686" s="15" t="s">
        <v>69</v>
      </c>
      <c r="C686" s="15">
        <v>69</v>
      </c>
      <c r="D686" s="15">
        <v>5.33</v>
      </c>
    </row>
    <row r="687" spans="1:4" x14ac:dyDescent="0.2">
      <c r="A687" s="16" t="s">
        <v>76</v>
      </c>
      <c r="B687" s="17" t="s">
        <v>69</v>
      </c>
      <c r="C687" s="17">
        <v>70</v>
      </c>
      <c r="D687" s="17">
        <v>4.99</v>
      </c>
    </row>
    <row r="688" spans="1:4" x14ac:dyDescent="0.2">
      <c r="A688" s="14" t="s">
        <v>76</v>
      </c>
      <c r="B688" s="15" t="s">
        <v>69</v>
      </c>
      <c r="C688" s="15">
        <v>71</v>
      </c>
      <c r="D688" s="15">
        <v>4.67</v>
      </c>
    </row>
    <row r="689" spans="1:4" x14ac:dyDescent="0.2">
      <c r="A689" s="16" t="s">
        <v>76</v>
      </c>
      <c r="B689" s="17" t="s">
        <v>69</v>
      </c>
      <c r="C689" s="17">
        <v>72</v>
      </c>
      <c r="D689" s="17">
        <v>4.38</v>
      </c>
    </row>
    <row r="690" spans="1:4" x14ac:dyDescent="0.2">
      <c r="A690" s="14" t="s">
        <v>76</v>
      </c>
      <c r="B690" s="15" t="s">
        <v>69</v>
      </c>
      <c r="C690" s="15">
        <v>73</v>
      </c>
      <c r="D690" s="15">
        <v>4.1100000000000003</v>
      </c>
    </row>
    <row r="691" spans="1:4" x14ac:dyDescent="0.2">
      <c r="A691" s="16" t="s">
        <v>76</v>
      </c>
      <c r="B691" s="17" t="s">
        <v>69</v>
      </c>
      <c r="C691" s="17">
        <v>74</v>
      </c>
      <c r="D691" s="17">
        <v>3.87</v>
      </c>
    </row>
    <row r="692" spans="1:4" x14ac:dyDescent="0.2">
      <c r="A692" s="14" t="s">
        <v>76</v>
      </c>
      <c r="B692" s="15" t="s">
        <v>69</v>
      </c>
      <c r="C692" s="15">
        <v>75</v>
      </c>
      <c r="D692" s="15">
        <v>3.64</v>
      </c>
    </row>
    <row r="693" spans="1:4" x14ac:dyDescent="0.2">
      <c r="A693" s="16" t="s">
        <v>76</v>
      </c>
      <c r="B693" s="17" t="s">
        <v>69</v>
      </c>
      <c r="C693" s="17">
        <v>76</v>
      </c>
      <c r="D693" s="17">
        <v>3.44</v>
      </c>
    </row>
    <row r="694" spans="1:4" x14ac:dyDescent="0.2">
      <c r="A694" s="14" t="s">
        <v>76</v>
      </c>
      <c r="B694" s="15" t="s">
        <v>69</v>
      </c>
      <c r="C694" s="15">
        <v>77</v>
      </c>
      <c r="D694" s="15">
        <v>3.25</v>
      </c>
    </row>
    <row r="695" spans="1:4" x14ac:dyDescent="0.2">
      <c r="A695" s="16" t="s">
        <v>76</v>
      </c>
      <c r="B695" s="17" t="s">
        <v>69</v>
      </c>
      <c r="C695" s="17">
        <v>78</v>
      </c>
      <c r="D695" s="17">
        <v>3.08</v>
      </c>
    </row>
    <row r="696" spans="1:4" x14ac:dyDescent="0.2">
      <c r="A696" s="14" t="s">
        <v>76</v>
      </c>
      <c r="B696" s="15" t="s">
        <v>69</v>
      </c>
      <c r="C696" s="15">
        <v>79</v>
      </c>
      <c r="D696" s="15">
        <v>2.92</v>
      </c>
    </row>
    <row r="697" spans="1:4" x14ac:dyDescent="0.2">
      <c r="A697" s="16" t="s">
        <v>76</v>
      </c>
      <c r="B697" s="17" t="s">
        <v>69</v>
      </c>
      <c r="C697" s="17">
        <v>80</v>
      </c>
      <c r="D697" s="17">
        <v>2.78</v>
      </c>
    </row>
    <row r="698" spans="1:4" x14ac:dyDescent="0.2">
      <c r="A698" s="14" t="s">
        <v>76</v>
      </c>
      <c r="B698" s="15" t="s">
        <v>69</v>
      </c>
      <c r="C698" s="15">
        <v>81</v>
      </c>
      <c r="D698" s="15">
        <v>2.64</v>
      </c>
    </row>
    <row r="699" spans="1:4" x14ac:dyDescent="0.2">
      <c r="A699" s="16" t="s">
        <v>76</v>
      </c>
      <c r="B699" s="17" t="s">
        <v>69</v>
      </c>
      <c r="C699" s="17">
        <v>82</v>
      </c>
      <c r="D699" s="17">
        <v>2.52</v>
      </c>
    </row>
    <row r="700" spans="1:4" x14ac:dyDescent="0.2">
      <c r="A700" s="14" t="s">
        <v>76</v>
      </c>
      <c r="B700" s="15" t="s">
        <v>69</v>
      </c>
      <c r="C700" s="15">
        <v>83</v>
      </c>
      <c r="D700" s="15">
        <v>2.4</v>
      </c>
    </row>
    <row r="701" spans="1:4" x14ac:dyDescent="0.2">
      <c r="A701" s="16" t="s">
        <v>76</v>
      </c>
      <c r="B701" s="17" t="s">
        <v>69</v>
      </c>
      <c r="C701" s="17">
        <v>84</v>
      </c>
      <c r="D701" s="17">
        <v>2.29</v>
      </c>
    </row>
    <row r="702" spans="1:4" x14ac:dyDescent="0.2">
      <c r="A702" s="14" t="s">
        <v>76</v>
      </c>
      <c r="B702" s="15" t="s">
        <v>69</v>
      </c>
      <c r="C702" s="15">
        <v>85</v>
      </c>
      <c r="D702" s="15">
        <v>2.1800000000000002</v>
      </c>
    </row>
    <row r="703" spans="1:4" x14ac:dyDescent="0.2">
      <c r="A703" s="16" t="s">
        <v>76</v>
      </c>
      <c r="B703" s="17" t="s">
        <v>69</v>
      </c>
      <c r="C703" s="17">
        <v>86</v>
      </c>
      <c r="D703" s="17">
        <v>2.0699999999999998</v>
      </c>
    </row>
    <row r="704" spans="1:4" x14ac:dyDescent="0.2">
      <c r="A704" s="14" t="s">
        <v>76</v>
      </c>
      <c r="B704" s="15" t="s">
        <v>69</v>
      </c>
      <c r="C704" s="15">
        <v>87</v>
      </c>
      <c r="D704" s="15">
        <v>1.97</v>
      </c>
    </row>
    <row r="705" spans="1:4" x14ac:dyDescent="0.2">
      <c r="A705" s="16" t="s">
        <v>76</v>
      </c>
      <c r="B705" s="17" t="s">
        <v>69</v>
      </c>
      <c r="C705" s="17">
        <v>88</v>
      </c>
      <c r="D705" s="17">
        <v>1.88</v>
      </c>
    </row>
    <row r="706" spans="1:4" x14ac:dyDescent="0.2">
      <c r="A706" s="14" t="s">
        <v>76</v>
      </c>
      <c r="B706" s="15" t="s">
        <v>69</v>
      </c>
      <c r="C706" s="15">
        <v>89</v>
      </c>
      <c r="D706" s="15">
        <v>1.79</v>
      </c>
    </row>
    <row r="707" spans="1:4" x14ac:dyDescent="0.2">
      <c r="A707" s="16" t="s">
        <v>76</v>
      </c>
      <c r="B707" s="17" t="s">
        <v>69</v>
      </c>
      <c r="C707" s="17">
        <v>90</v>
      </c>
      <c r="D707" s="17">
        <v>1.71</v>
      </c>
    </row>
    <row r="708" spans="1:4" x14ac:dyDescent="0.2">
      <c r="A708" s="14" t="s">
        <v>68</v>
      </c>
      <c r="B708" s="15" t="s">
        <v>77</v>
      </c>
      <c r="C708" s="15">
        <v>18</v>
      </c>
      <c r="D708" s="15">
        <v>35.71</v>
      </c>
    </row>
    <row r="709" spans="1:4" x14ac:dyDescent="0.2">
      <c r="A709" s="16" t="s">
        <v>68</v>
      </c>
      <c r="B709" s="17" t="s">
        <v>77</v>
      </c>
      <c r="C709" s="17">
        <v>19</v>
      </c>
      <c r="D709" s="17">
        <v>35.06</v>
      </c>
    </row>
    <row r="710" spans="1:4" x14ac:dyDescent="0.2">
      <c r="A710" s="14" t="s">
        <v>68</v>
      </c>
      <c r="B710" s="15" t="s">
        <v>77</v>
      </c>
      <c r="C710" s="15">
        <v>20</v>
      </c>
      <c r="D710" s="15">
        <v>34.4</v>
      </c>
    </row>
    <row r="711" spans="1:4" x14ac:dyDescent="0.2">
      <c r="A711" s="16" t="s">
        <v>68</v>
      </c>
      <c r="B711" s="17" t="s">
        <v>77</v>
      </c>
      <c r="C711" s="17">
        <v>21</v>
      </c>
      <c r="D711" s="17">
        <v>33.72</v>
      </c>
    </row>
    <row r="712" spans="1:4" x14ac:dyDescent="0.2">
      <c r="A712" s="14" t="s">
        <v>68</v>
      </c>
      <c r="B712" s="15" t="s">
        <v>77</v>
      </c>
      <c r="C712" s="15">
        <v>22</v>
      </c>
      <c r="D712" s="15">
        <v>33.03</v>
      </c>
    </row>
    <row r="713" spans="1:4" x14ac:dyDescent="0.2">
      <c r="A713" s="16" t="s">
        <v>68</v>
      </c>
      <c r="B713" s="17" t="s">
        <v>77</v>
      </c>
      <c r="C713" s="17">
        <v>23</v>
      </c>
      <c r="D713" s="17">
        <v>32.33</v>
      </c>
    </row>
    <row r="714" spans="1:4" x14ac:dyDescent="0.2">
      <c r="A714" s="14" t="s">
        <v>68</v>
      </c>
      <c r="B714" s="15" t="s">
        <v>77</v>
      </c>
      <c r="C714" s="15">
        <v>24</v>
      </c>
      <c r="D714" s="15">
        <v>31.61</v>
      </c>
    </row>
    <row r="715" spans="1:4" x14ac:dyDescent="0.2">
      <c r="A715" s="16" t="s">
        <v>68</v>
      </c>
      <c r="B715" s="17" t="s">
        <v>77</v>
      </c>
      <c r="C715" s="17">
        <v>25</v>
      </c>
      <c r="D715" s="17">
        <v>30.89</v>
      </c>
    </row>
    <row r="716" spans="1:4" x14ac:dyDescent="0.2">
      <c r="A716" s="14" t="s">
        <v>68</v>
      </c>
      <c r="B716" s="15" t="s">
        <v>77</v>
      </c>
      <c r="C716" s="15">
        <v>26</v>
      </c>
      <c r="D716" s="15">
        <v>30.15</v>
      </c>
    </row>
    <row r="717" spans="1:4" x14ac:dyDescent="0.2">
      <c r="A717" s="16" t="s">
        <v>68</v>
      </c>
      <c r="B717" s="17" t="s">
        <v>77</v>
      </c>
      <c r="C717" s="17">
        <v>27</v>
      </c>
      <c r="D717" s="17">
        <v>29.42</v>
      </c>
    </row>
    <row r="718" spans="1:4" x14ac:dyDescent="0.2">
      <c r="A718" s="14" t="s">
        <v>68</v>
      </c>
      <c r="B718" s="15" t="s">
        <v>77</v>
      </c>
      <c r="C718" s="15">
        <v>28</v>
      </c>
      <c r="D718" s="15">
        <v>28.69</v>
      </c>
    </row>
    <row r="719" spans="1:4" x14ac:dyDescent="0.2">
      <c r="A719" s="16" t="s">
        <v>68</v>
      </c>
      <c r="B719" s="17" t="s">
        <v>77</v>
      </c>
      <c r="C719" s="17">
        <v>29</v>
      </c>
      <c r="D719" s="17">
        <v>27.96</v>
      </c>
    </row>
    <row r="720" spans="1:4" x14ac:dyDescent="0.2">
      <c r="A720" s="14" t="s">
        <v>68</v>
      </c>
      <c r="B720" s="15" t="s">
        <v>77</v>
      </c>
      <c r="C720" s="15">
        <v>30</v>
      </c>
      <c r="D720" s="15">
        <v>27.22</v>
      </c>
    </row>
    <row r="721" spans="1:4" x14ac:dyDescent="0.2">
      <c r="A721" s="16" t="s">
        <v>68</v>
      </c>
      <c r="B721" s="17" t="s">
        <v>77</v>
      </c>
      <c r="C721" s="17">
        <v>31</v>
      </c>
      <c r="D721" s="17">
        <v>26.48</v>
      </c>
    </row>
    <row r="722" spans="1:4" x14ac:dyDescent="0.2">
      <c r="A722" s="14" t="s">
        <v>68</v>
      </c>
      <c r="B722" s="15" t="s">
        <v>77</v>
      </c>
      <c r="C722" s="15">
        <v>32</v>
      </c>
      <c r="D722" s="15">
        <v>25.74</v>
      </c>
    </row>
    <row r="723" spans="1:4" x14ac:dyDescent="0.2">
      <c r="A723" s="16" t="s">
        <v>68</v>
      </c>
      <c r="B723" s="17" t="s">
        <v>77</v>
      </c>
      <c r="C723" s="17">
        <v>33</v>
      </c>
      <c r="D723" s="17">
        <v>25.01</v>
      </c>
    </row>
    <row r="724" spans="1:4" x14ac:dyDescent="0.2">
      <c r="A724" s="14" t="s">
        <v>68</v>
      </c>
      <c r="B724" s="15" t="s">
        <v>77</v>
      </c>
      <c r="C724" s="15">
        <v>34</v>
      </c>
      <c r="D724" s="15">
        <v>24.29</v>
      </c>
    </row>
    <row r="725" spans="1:4" x14ac:dyDescent="0.2">
      <c r="A725" s="16" t="s">
        <v>68</v>
      </c>
      <c r="B725" s="17" t="s">
        <v>77</v>
      </c>
      <c r="C725" s="17">
        <v>35</v>
      </c>
      <c r="D725" s="17">
        <v>23.57</v>
      </c>
    </row>
    <row r="726" spans="1:4" x14ac:dyDescent="0.2">
      <c r="A726" s="14" t="s">
        <v>68</v>
      </c>
      <c r="B726" s="15" t="s">
        <v>77</v>
      </c>
      <c r="C726" s="15">
        <v>36</v>
      </c>
      <c r="D726" s="15">
        <v>22.85</v>
      </c>
    </row>
    <row r="727" spans="1:4" x14ac:dyDescent="0.2">
      <c r="A727" s="16" t="s">
        <v>68</v>
      </c>
      <c r="B727" s="17" t="s">
        <v>77</v>
      </c>
      <c r="C727" s="17">
        <v>37</v>
      </c>
      <c r="D727" s="17">
        <v>22.13</v>
      </c>
    </row>
    <row r="728" spans="1:4" x14ac:dyDescent="0.2">
      <c r="A728" s="14" t="s">
        <v>68</v>
      </c>
      <c r="B728" s="15" t="s">
        <v>77</v>
      </c>
      <c r="C728" s="15">
        <v>38</v>
      </c>
      <c r="D728" s="15">
        <v>21.4</v>
      </c>
    </row>
    <row r="729" spans="1:4" x14ac:dyDescent="0.2">
      <c r="A729" s="16" t="s">
        <v>68</v>
      </c>
      <c r="B729" s="17" t="s">
        <v>77</v>
      </c>
      <c r="C729" s="17">
        <v>39</v>
      </c>
      <c r="D729" s="17">
        <v>20.66</v>
      </c>
    </row>
    <row r="730" spans="1:4" x14ac:dyDescent="0.2">
      <c r="A730" s="14" t="s">
        <v>68</v>
      </c>
      <c r="B730" s="15" t="s">
        <v>77</v>
      </c>
      <c r="C730" s="15">
        <v>40</v>
      </c>
      <c r="D730" s="15">
        <v>19.920000000000002</v>
      </c>
    </row>
    <row r="731" spans="1:4" x14ac:dyDescent="0.2">
      <c r="A731" s="16" t="s">
        <v>68</v>
      </c>
      <c r="B731" s="17" t="s">
        <v>77</v>
      </c>
      <c r="C731" s="17">
        <v>41</v>
      </c>
      <c r="D731" s="17">
        <v>19.170000000000002</v>
      </c>
    </row>
    <row r="732" spans="1:4" x14ac:dyDescent="0.2">
      <c r="A732" s="14" t="s">
        <v>68</v>
      </c>
      <c r="B732" s="15" t="s">
        <v>77</v>
      </c>
      <c r="C732" s="15">
        <v>42</v>
      </c>
      <c r="D732" s="15">
        <v>18.420000000000002</v>
      </c>
    </row>
    <row r="733" spans="1:4" x14ac:dyDescent="0.2">
      <c r="A733" s="16" t="s">
        <v>68</v>
      </c>
      <c r="B733" s="17" t="s">
        <v>77</v>
      </c>
      <c r="C733" s="17">
        <v>43</v>
      </c>
      <c r="D733" s="17">
        <v>17.690000000000001</v>
      </c>
    </row>
    <row r="734" spans="1:4" x14ac:dyDescent="0.2">
      <c r="A734" s="14" t="s">
        <v>68</v>
      </c>
      <c r="B734" s="15" t="s">
        <v>77</v>
      </c>
      <c r="C734" s="15">
        <v>44</v>
      </c>
      <c r="D734" s="15">
        <v>16.98</v>
      </c>
    </row>
    <row r="735" spans="1:4" x14ac:dyDescent="0.2">
      <c r="A735" s="16" t="s">
        <v>68</v>
      </c>
      <c r="B735" s="17" t="s">
        <v>77</v>
      </c>
      <c r="C735" s="17">
        <v>45</v>
      </c>
      <c r="D735" s="17">
        <v>16.28</v>
      </c>
    </row>
    <row r="736" spans="1:4" x14ac:dyDescent="0.2">
      <c r="A736" s="14" t="s">
        <v>68</v>
      </c>
      <c r="B736" s="15" t="s">
        <v>77</v>
      </c>
      <c r="C736" s="15">
        <v>46</v>
      </c>
      <c r="D736" s="15">
        <v>15.59</v>
      </c>
    </row>
    <row r="737" spans="1:4" x14ac:dyDescent="0.2">
      <c r="A737" s="16" t="s">
        <v>68</v>
      </c>
      <c r="B737" s="17" t="s">
        <v>77</v>
      </c>
      <c r="C737" s="17">
        <v>47</v>
      </c>
      <c r="D737" s="17">
        <v>14.9</v>
      </c>
    </row>
    <row r="738" spans="1:4" x14ac:dyDescent="0.2">
      <c r="A738" s="14" t="s">
        <v>68</v>
      </c>
      <c r="B738" s="15" t="s">
        <v>77</v>
      </c>
      <c r="C738" s="15">
        <v>48</v>
      </c>
      <c r="D738" s="15">
        <v>14.2</v>
      </c>
    </row>
    <row r="739" spans="1:4" x14ac:dyDescent="0.2">
      <c r="A739" s="16" t="s">
        <v>68</v>
      </c>
      <c r="B739" s="17" t="s">
        <v>77</v>
      </c>
      <c r="C739" s="17">
        <v>49</v>
      </c>
      <c r="D739" s="17">
        <v>13.5</v>
      </c>
    </row>
    <row r="740" spans="1:4" x14ac:dyDescent="0.2">
      <c r="A740" s="14" t="s">
        <v>68</v>
      </c>
      <c r="B740" s="15" t="s">
        <v>77</v>
      </c>
      <c r="C740" s="15">
        <v>50</v>
      </c>
      <c r="D740" s="15">
        <v>12.81</v>
      </c>
    </row>
    <row r="741" spans="1:4" x14ac:dyDescent="0.2">
      <c r="A741" s="16" t="s">
        <v>68</v>
      </c>
      <c r="B741" s="17" t="s">
        <v>77</v>
      </c>
      <c r="C741" s="17">
        <v>51</v>
      </c>
      <c r="D741" s="17">
        <v>12.13</v>
      </c>
    </row>
    <row r="742" spans="1:4" x14ac:dyDescent="0.2">
      <c r="A742" s="14" t="s">
        <v>68</v>
      </c>
      <c r="B742" s="15" t="s">
        <v>77</v>
      </c>
      <c r="C742" s="15">
        <v>52</v>
      </c>
      <c r="D742" s="15">
        <v>11.46</v>
      </c>
    </row>
    <row r="743" spans="1:4" x14ac:dyDescent="0.2">
      <c r="A743" s="16" t="s">
        <v>68</v>
      </c>
      <c r="B743" s="17" t="s">
        <v>77</v>
      </c>
      <c r="C743" s="17">
        <v>53</v>
      </c>
      <c r="D743" s="17">
        <v>10.82</v>
      </c>
    </row>
    <row r="744" spans="1:4" x14ac:dyDescent="0.2">
      <c r="A744" s="14" t="s">
        <v>68</v>
      </c>
      <c r="B744" s="15" t="s">
        <v>77</v>
      </c>
      <c r="C744" s="15">
        <v>54</v>
      </c>
      <c r="D744" s="15">
        <v>10.18</v>
      </c>
    </row>
    <row r="745" spans="1:4" x14ac:dyDescent="0.2">
      <c r="A745" s="16" t="s">
        <v>68</v>
      </c>
      <c r="B745" s="17" t="s">
        <v>77</v>
      </c>
      <c r="C745" s="17">
        <v>55</v>
      </c>
      <c r="D745" s="17">
        <v>9.56</v>
      </c>
    </row>
    <row r="746" spans="1:4" x14ac:dyDescent="0.2">
      <c r="A746" s="14" t="s">
        <v>68</v>
      </c>
      <c r="B746" s="15" t="s">
        <v>77</v>
      </c>
      <c r="C746" s="15">
        <v>56</v>
      </c>
      <c r="D746" s="15">
        <v>8.9499999999999993</v>
      </c>
    </row>
    <row r="747" spans="1:4" x14ac:dyDescent="0.2">
      <c r="A747" s="16" t="s">
        <v>68</v>
      </c>
      <c r="B747" s="17" t="s">
        <v>77</v>
      </c>
      <c r="C747" s="17">
        <v>57</v>
      </c>
      <c r="D747" s="17">
        <v>8.34</v>
      </c>
    </row>
    <row r="748" spans="1:4" x14ac:dyDescent="0.2">
      <c r="A748" s="14" t="s">
        <v>68</v>
      </c>
      <c r="B748" s="15" t="s">
        <v>77</v>
      </c>
      <c r="C748" s="15">
        <v>58</v>
      </c>
      <c r="D748" s="15">
        <v>7.73</v>
      </c>
    </row>
    <row r="749" spans="1:4" x14ac:dyDescent="0.2">
      <c r="A749" s="16" t="s">
        <v>68</v>
      </c>
      <c r="B749" s="17" t="s">
        <v>77</v>
      </c>
      <c r="C749" s="17">
        <v>59</v>
      </c>
      <c r="D749" s="17">
        <v>7.15</v>
      </c>
    </row>
    <row r="750" spans="1:4" x14ac:dyDescent="0.2">
      <c r="A750" s="14" t="s">
        <v>68</v>
      </c>
      <c r="B750" s="15" t="s">
        <v>77</v>
      </c>
      <c r="C750" s="15">
        <v>60</v>
      </c>
      <c r="D750" s="15">
        <v>6.61</v>
      </c>
    </row>
    <row r="751" spans="1:4" x14ac:dyDescent="0.2">
      <c r="A751" s="16" t="s">
        <v>68</v>
      </c>
      <c r="B751" s="17" t="s">
        <v>77</v>
      </c>
      <c r="C751" s="17">
        <v>61</v>
      </c>
      <c r="D751" s="17">
        <v>6.12</v>
      </c>
    </row>
    <row r="752" spans="1:4" x14ac:dyDescent="0.2">
      <c r="A752" s="14" t="s">
        <v>68</v>
      </c>
      <c r="B752" s="15" t="s">
        <v>77</v>
      </c>
      <c r="C752" s="15">
        <v>62</v>
      </c>
      <c r="D752" s="15">
        <v>5.68</v>
      </c>
    </row>
    <row r="753" spans="1:4" x14ac:dyDescent="0.2">
      <c r="A753" s="16" t="s">
        <v>68</v>
      </c>
      <c r="B753" s="17" t="s">
        <v>77</v>
      </c>
      <c r="C753" s="17">
        <v>63</v>
      </c>
      <c r="D753" s="17">
        <v>5.28</v>
      </c>
    </row>
    <row r="754" spans="1:4" x14ac:dyDescent="0.2">
      <c r="A754" s="14" t="s">
        <v>68</v>
      </c>
      <c r="B754" s="15" t="s">
        <v>77</v>
      </c>
      <c r="C754" s="15">
        <v>64</v>
      </c>
      <c r="D754" s="15">
        <v>4.92</v>
      </c>
    </row>
    <row r="755" spans="1:4" x14ac:dyDescent="0.2">
      <c r="A755" s="16" t="s">
        <v>68</v>
      </c>
      <c r="B755" s="17" t="s">
        <v>77</v>
      </c>
      <c r="C755" s="17">
        <v>65</v>
      </c>
      <c r="D755" s="17">
        <v>4.62</v>
      </c>
    </row>
    <row r="756" spans="1:4" x14ac:dyDescent="0.2">
      <c r="A756" s="14" t="s">
        <v>68</v>
      </c>
      <c r="B756" s="15" t="s">
        <v>77</v>
      </c>
      <c r="C756" s="15">
        <v>66</v>
      </c>
      <c r="D756" s="15">
        <v>4.37</v>
      </c>
    </row>
    <row r="757" spans="1:4" x14ac:dyDescent="0.2">
      <c r="A757" s="16" t="s">
        <v>68</v>
      </c>
      <c r="B757" s="17" t="s">
        <v>77</v>
      </c>
      <c r="C757" s="17">
        <v>67</v>
      </c>
      <c r="D757" s="17">
        <v>4.17</v>
      </c>
    </row>
    <row r="758" spans="1:4" x14ac:dyDescent="0.2">
      <c r="A758" s="14" t="s">
        <v>68</v>
      </c>
      <c r="B758" s="15" t="s">
        <v>77</v>
      </c>
      <c r="C758" s="15">
        <v>68</v>
      </c>
      <c r="D758" s="15">
        <v>3.99</v>
      </c>
    </row>
    <row r="759" spans="1:4" x14ac:dyDescent="0.2">
      <c r="A759" s="16" t="s">
        <v>68</v>
      </c>
      <c r="B759" s="17" t="s">
        <v>77</v>
      </c>
      <c r="C759" s="17">
        <v>69</v>
      </c>
      <c r="D759" s="17">
        <v>3.82</v>
      </c>
    </row>
    <row r="760" spans="1:4" x14ac:dyDescent="0.2">
      <c r="A760" s="14" t="s">
        <v>68</v>
      </c>
      <c r="B760" s="15" t="s">
        <v>77</v>
      </c>
      <c r="C760" s="15">
        <v>70</v>
      </c>
      <c r="D760" s="15">
        <v>3.67</v>
      </c>
    </row>
    <row r="761" spans="1:4" x14ac:dyDescent="0.2">
      <c r="A761" s="16" t="s">
        <v>68</v>
      </c>
      <c r="B761" s="17" t="s">
        <v>77</v>
      </c>
      <c r="C761" s="17">
        <v>71</v>
      </c>
      <c r="D761" s="17">
        <v>3.52</v>
      </c>
    </row>
    <row r="762" spans="1:4" x14ac:dyDescent="0.2">
      <c r="A762" s="14" t="s">
        <v>68</v>
      </c>
      <c r="B762" s="15" t="s">
        <v>77</v>
      </c>
      <c r="C762" s="15">
        <v>72</v>
      </c>
      <c r="D762" s="15">
        <v>3.38</v>
      </c>
    </row>
    <row r="763" spans="1:4" x14ac:dyDescent="0.2">
      <c r="A763" s="16" t="s">
        <v>68</v>
      </c>
      <c r="B763" s="17" t="s">
        <v>77</v>
      </c>
      <c r="C763" s="17">
        <v>73</v>
      </c>
      <c r="D763" s="17">
        <v>3.25</v>
      </c>
    </row>
    <row r="764" spans="1:4" x14ac:dyDescent="0.2">
      <c r="A764" s="14" t="s">
        <v>68</v>
      </c>
      <c r="B764" s="15" t="s">
        <v>77</v>
      </c>
      <c r="C764" s="15">
        <v>74</v>
      </c>
      <c r="D764" s="15">
        <v>3.13</v>
      </c>
    </row>
    <row r="765" spans="1:4" x14ac:dyDescent="0.2">
      <c r="A765" s="16" t="s">
        <v>68</v>
      </c>
      <c r="B765" s="17" t="s">
        <v>77</v>
      </c>
      <c r="C765" s="17">
        <v>75</v>
      </c>
      <c r="D765" s="17">
        <v>3.02</v>
      </c>
    </row>
    <row r="766" spans="1:4" x14ac:dyDescent="0.2">
      <c r="A766" s="14" t="s">
        <v>68</v>
      </c>
      <c r="B766" s="15" t="s">
        <v>77</v>
      </c>
      <c r="C766" s="15">
        <v>76</v>
      </c>
      <c r="D766" s="15">
        <v>2.91</v>
      </c>
    </row>
    <row r="767" spans="1:4" x14ac:dyDescent="0.2">
      <c r="A767" s="16" t="s">
        <v>68</v>
      </c>
      <c r="B767" s="17" t="s">
        <v>77</v>
      </c>
      <c r="C767" s="17">
        <v>77</v>
      </c>
      <c r="D767" s="17">
        <v>2.81</v>
      </c>
    </row>
    <row r="768" spans="1:4" x14ac:dyDescent="0.2">
      <c r="A768" s="14" t="s">
        <v>68</v>
      </c>
      <c r="B768" s="15" t="s">
        <v>77</v>
      </c>
      <c r="C768" s="15">
        <v>78</v>
      </c>
      <c r="D768" s="15">
        <v>2.71</v>
      </c>
    </row>
    <row r="769" spans="1:4" x14ac:dyDescent="0.2">
      <c r="A769" s="16" t="s">
        <v>68</v>
      </c>
      <c r="B769" s="17" t="s">
        <v>77</v>
      </c>
      <c r="C769" s="17">
        <v>79</v>
      </c>
      <c r="D769" s="17">
        <v>2.62</v>
      </c>
    </row>
    <row r="770" spans="1:4" x14ac:dyDescent="0.2">
      <c r="A770" s="14" t="s">
        <v>68</v>
      </c>
      <c r="B770" s="15" t="s">
        <v>77</v>
      </c>
      <c r="C770" s="15">
        <v>80</v>
      </c>
      <c r="D770" s="15">
        <v>2.5299999999999998</v>
      </c>
    </row>
    <row r="771" spans="1:4" x14ac:dyDescent="0.2">
      <c r="A771" s="16" t="s">
        <v>68</v>
      </c>
      <c r="B771" s="17" t="s">
        <v>77</v>
      </c>
      <c r="C771" s="17">
        <v>81</v>
      </c>
      <c r="D771" s="17">
        <v>2.4500000000000002</v>
      </c>
    </row>
    <row r="772" spans="1:4" x14ac:dyDescent="0.2">
      <c r="A772" s="14" t="s">
        <v>68</v>
      </c>
      <c r="B772" s="15" t="s">
        <v>77</v>
      </c>
      <c r="C772" s="15">
        <v>82</v>
      </c>
      <c r="D772" s="15">
        <v>2.36</v>
      </c>
    </row>
    <row r="773" spans="1:4" x14ac:dyDescent="0.2">
      <c r="A773" s="16" t="s">
        <v>68</v>
      </c>
      <c r="B773" s="17" t="s">
        <v>77</v>
      </c>
      <c r="C773" s="17">
        <v>83</v>
      </c>
      <c r="D773" s="17">
        <v>2.27</v>
      </c>
    </row>
    <row r="774" spans="1:4" x14ac:dyDescent="0.2">
      <c r="A774" s="14" t="s">
        <v>68</v>
      </c>
      <c r="B774" s="15" t="s">
        <v>77</v>
      </c>
      <c r="C774" s="15">
        <v>84</v>
      </c>
      <c r="D774" s="15">
        <v>2.19</v>
      </c>
    </row>
    <row r="775" spans="1:4" x14ac:dyDescent="0.2">
      <c r="A775" s="16" t="s">
        <v>68</v>
      </c>
      <c r="B775" s="17" t="s">
        <v>77</v>
      </c>
      <c r="C775" s="17">
        <v>85</v>
      </c>
      <c r="D775" s="17">
        <v>2.11</v>
      </c>
    </row>
    <row r="776" spans="1:4" x14ac:dyDescent="0.2">
      <c r="A776" s="14" t="s">
        <v>68</v>
      </c>
      <c r="B776" s="15" t="s">
        <v>77</v>
      </c>
      <c r="C776" s="15">
        <v>86</v>
      </c>
      <c r="D776" s="15">
        <v>2.04</v>
      </c>
    </row>
    <row r="777" spans="1:4" x14ac:dyDescent="0.2">
      <c r="A777" s="16" t="s">
        <v>68</v>
      </c>
      <c r="B777" s="17" t="s">
        <v>77</v>
      </c>
      <c r="C777" s="17">
        <v>87</v>
      </c>
      <c r="D777" s="17">
        <v>1.96</v>
      </c>
    </row>
    <row r="778" spans="1:4" x14ac:dyDescent="0.2">
      <c r="A778" s="14" t="s">
        <v>68</v>
      </c>
      <c r="B778" s="15" t="s">
        <v>77</v>
      </c>
      <c r="C778" s="15">
        <v>88</v>
      </c>
      <c r="D778" s="15">
        <v>1.89</v>
      </c>
    </row>
    <row r="779" spans="1:4" x14ac:dyDescent="0.2">
      <c r="A779" s="16" t="s">
        <v>68</v>
      </c>
      <c r="B779" s="17" t="s">
        <v>77</v>
      </c>
      <c r="C779" s="17">
        <v>89</v>
      </c>
      <c r="D779" s="17">
        <v>1.83</v>
      </c>
    </row>
    <row r="780" spans="1:4" x14ac:dyDescent="0.2">
      <c r="A780" s="14" t="s">
        <v>68</v>
      </c>
      <c r="B780" s="15" t="s">
        <v>77</v>
      </c>
      <c r="C780" s="15">
        <v>90</v>
      </c>
      <c r="D780" s="15">
        <v>1.76</v>
      </c>
    </row>
    <row r="781" spans="1:4" x14ac:dyDescent="0.2">
      <c r="A781" s="16" t="s">
        <v>70</v>
      </c>
      <c r="B781" s="17" t="s">
        <v>77</v>
      </c>
      <c r="C781" s="17">
        <v>18</v>
      </c>
      <c r="D781" s="17">
        <v>19.55</v>
      </c>
    </row>
    <row r="782" spans="1:4" x14ac:dyDescent="0.2">
      <c r="A782" s="14" t="s">
        <v>70</v>
      </c>
      <c r="B782" s="15" t="s">
        <v>77</v>
      </c>
      <c r="C782" s="15">
        <v>19</v>
      </c>
      <c r="D782" s="15">
        <v>19.2</v>
      </c>
    </row>
    <row r="783" spans="1:4" x14ac:dyDescent="0.2">
      <c r="A783" s="16" t="s">
        <v>70</v>
      </c>
      <c r="B783" s="17" t="s">
        <v>77</v>
      </c>
      <c r="C783" s="17">
        <v>20</v>
      </c>
      <c r="D783" s="17">
        <v>18.850000000000001</v>
      </c>
    </row>
    <row r="784" spans="1:4" x14ac:dyDescent="0.2">
      <c r="A784" s="14" t="s">
        <v>70</v>
      </c>
      <c r="B784" s="15" t="s">
        <v>77</v>
      </c>
      <c r="C784" s="15">
        <v>21</v>
      </c>
      <c r="D784" s="15">
        <v>18.5</v>
      </c>
    </row>
    <row r="785" spans="1:4" x14ac:dyDescent="0.2">
      <c r="A785" s="16" t="s">
        <v>70</v>
      </c>
      <c r="B785" s="17" t="s">
        <v>77</v>
      </c>
      <c r="C785" s="17">
        <v>22</v>
      </c>
      <c r="D785" s="17">
        <v>18.149999999999999</v>
      </c>
    </row>
    <row r="786" spans="1:4" x14ac:dyDescent="0.2">
      <c r="A786" s="14" t="s">
        <v>70</v>
      </c>
      <c r="B786" s="15" t="s">
        <v>77</v>
      </c>
      <c r="C786" s="15">
        <v>23</v>
      </c>
      <c r="D786" s="15">
        <v>17.8</v>
      </c>
    </row>
    <row r="787" spans="1:4" x14ac:dyDescent="0.2">
      <c r="A787" s="16" t="s">
        <v>70</v>
      </c>
      <c r="B787" s="17" t="s">
        <v>77</v>
      </c>
      <c r="C787" s="17">
        <v>24</v>
      </c>
      <c r="D787" s="17">
        <v>17.46</v>
      </c>
    </row>
    <row r="788" spans="1:4" x14ac:dyDescent="0.2">
      <c r="A788" s="14" t="s">
        <v>70</v>
      </c>
      <c r="B788" s="15" t="s">
        <v>77</v>
      </c>
      <c r="C788" s="15">
        <v>25</v>
      </c>
      <c r="D788" s="15">
        <v>17.11</v>
      </c>
    </row>
    <row r="789" spans="1:4" x14ac:dyDescent="0.2">
      <c r="A789" s="16" t="s">
        <v>70</v>
      </c>
      <c r="B789" s="17" t="s">
        <v>77</v>
      </c>
      <c r="C789" s="17">
        <v>26</v>
      </c>
      <c r="D789" s="17">
        <v>16.77</v>
      </c>
    </row>
    <row r="790" spans="1:4" x14ac:dyDescent="0.2">
      <c r="A790" s="14" t="s">
        <v>70</v>
      </c>
      <c r="B790" s="15" t="s">
        <v>77</v>
      </c>
      <c r="C790" s="15">
        <v>27</v>
      </c>
      <c r="D790" s="15">
        <v>16.43</v>
      </c>
    </row>
    <row r="791" spans="1:4" x14ac:dyDescent="0.2">
      <c r="A791" s="16" t="s">
        <v>70</v>
      </c>
      <c r="B791" s="17" t="s">
        <v>77</v>
      </c>
      <c r="C791" s="17">
        <v>28</v>
      </c>
      <c r="D791" s="17">
        <v>16.100000000000001</v>
      </c>
    </row>
    <row r="792" spans="1:4" x14ac:dyDescent="0.2">
      <c r="A792" s="14" t="s">
        <v>70</v>
      </c>
      <c r="B792" s="15" t="s">
        <v>77</v>
      </c>
      <c r="C792" s="15">
        <v>29</v>
      </c>
      <c r="D792" s="15">
        <v>15.76</v>
      </c>
    </row>
    <row r="793" spans="1:4" x14ac:dyDescent="0.2">
      <c r="A793" s="16" t="s">
        <v>70</v>
      </c>
      <c r="B793" s="17" t="s">
        <v>77</v>
      </c>
      <c r="C793" s="17">
        <v>30</v>
      </c>
      <c r="D793" s="17">
        <v>15.43</v>
      </c>
    </row>
    <row r="794" spans="1:4" x14ac:dyDescent="0.2">
      <c r="A794" s="14" t="s">
        <v>70</v>
      </c>
      <c r="B794" s="15" t="s">
        <v>77</v>
      </c>
      <c r="C794" s="15">
        <v>31</v>
      </c>
      <c r="D794" s="15">
        <v>15.09</v>
      </c>
    </row>
    <row r="795" spans="1:4" x14ac:dyDescent="0.2">
      <c r="A795" s="16" t="s">
        <v>70</v>
      </c>
      <c r="B795" s="17" t="s">
        <v>77</v>
      </c>
      <c r="C795" s="17">
        <v>32</v>
      </c>
      <c r="D795" s="17">
        <v>14.76</v>
      </c>
    </row>
    <row r="796" spans="1:4" x14ac:dyDescent="0.2">
      <c r="A796" s="14" t="s">
        <v>70</v>
      </c>
      <c r="B796" s="15" t="s">
        <v>77</v>
      </c>
      <c r="C796" s="15">
        <v>33</v>
      </c>
      <c r="D796" s="15">
        <v>14.42</v>
      </c>
    </row>
    <row r="797" spans="1:4" x14ac:dyDescent="0.2">
      <c r="A797" s="16" t="s">
        <v>70</v>
      </c>
      <c r="B797" s="17" t="s">
        <v>77</v>
      </c>
      <c r="C797" s="17">
        <v>34</v>
      </c>
      <c r="D797" s="17">
        <v>14.08</v>
      </c>
    </row>
    <row r="798" spans="1:4" x14ac:dyDescent="0.2">
      <c r="A798" s="14" t="s">
        <v>70</v>
      </c>
      <c r="B798" s="15" t="s">
        <v>77</v>
      </c>
      <c r="C798" s="15">
        <v>35</v>
      </c>
      <c r="D798" s="15">
        <v>13.73</v>
      </c>
    </row>
    <row r="799" spans="1:4" x14ac:dyDescent="0.2">
      <c r="A799" s="16" t="s">
        <v>70</v>
      </c>
      <c r="B799" s="17" t="s">
        <v>77</v>
      </c>
      <c r="C799" s="17">
        <v>36</v>
      </c>
      <c r="D799" s="17">
        <v>13.38</v>
      </c>
    </row>
    <row r="800" spans="1:4" x14ac:dyDescent="0.2">
      <c r="A800" s="14" t="s">
        <v>70</v>
      </c>
      <c r="B800" s="15" t="s">
        <v>77</v>
      </c>
      <c r="C800" s="15">
        <v>37</v>
      </c>
      <c r="D800" s="15">
        <v>13.04</v>
      </c>
    </row>
    <row r="801" spans="1:4" x14ac:dyDescent="0.2">
      <c r="A801" s="16" t="s">
        <v>70</v>
      </c>
      <c r="B801" s="17" t="s">
        <v>77</v>
      </c>
      <c r="C801" s="17">
        <v>38</v>
      </c>
      <c r="D801" s="17">
        <v>12.68</v>
      </c>
    </row>
    <row r="802" spans="1:4" x14ac:dyDescent="0.2">
      <c r="A802" s="14" t="s">
        <v>70</v>
      </c>
      <c r="B802" s="15" t="s">
        <v>77</v>
      </c>
      <c r="C802" s="15">
        <v>39</v>
      </c>
      <c r="D802" s="15">
        <v>12.33</v>
      </c>
    </row>
    <row r="803" spans="1:4" x14ac:dyDescent="0.2">
      <c r="A803" s="16" t="s">
        <v>70</v>
      </c>
      <c r="B803" s="17" t="s">
        <v>77</v>
      </c>
      <c r="C803" s="17">
        <v>40</v>
      </c>
      <c r="D803" s="17">
        <v>11.96</v>
      </c>
    </row>
    <row r="804" spans="1:4" x14ac:dyDescent="0.2">
      <c r="A804" s="14" t="s">
        <v>70</v>
      </c>
      <c r="B804" s="15" t="s">
        <v>77</v>
      </c>
      <c r="C804" s="15">
        <v>41</v>
      </c>
      <c r="D804" s="15">
        <v>11.6</v>
      </c>
    </row>
    <row r="805" spans="1:4" x14ac:dyDescent="0.2">
      <c r="A805" s="16" t="s">
        <v>70</v>
      </c>
      <c r="B805" s="17" t="s">
        <v>77</v>
      </c>
      <c r="C805" s="17">
        <v>42</v>
      </c>
      <c r="D805" s="17">
        <v>11.24</v>
      </c>
    </row>
    <row r="806" spans="1:4" x14ac:dyDescent="0.2">
      <c r="A806" s="14" t="s">
        <v>70</v>
      </c>
      <c r="B806" s="15" t="s">
        <v>77</v>
      </c>
      <c r="C806" s="15">
        <v>43</v>
      </c>
      <c r="D806" s="15">
        <v>10.9</v>
      </c>
    </row>
    <row r="807" spans="1:4" x14ac:dyDescent="0.2">
      <c r="A807" s="16" t="s">
        <v>70</v>
      </c>
      <c r="B807" s="17" t="s">
        <v>77</v>
      </c>
      <c r="C807" s="17">
        <v>44</v>
      </c>
      <c r="D807" s="17">
        <v>10.59</v>
      </c>
    </row>
    <row r="808" spans="1:4" x14ac:dyDescent="0.2">
      <c r="A808" s="14" t="s">
        <v>70</v>
      </c>
      <c r="B808" s="15" t="s">
        <v>77</v>
      </c>
      <c r="C808" s="15">
        <v>45</v>
      </c>
      <c r="D808" s="15">
        <v>10.3</v>
      </c>
    </row>
    <row r="809" spans="1:4" x14ac:dyDescent="0.2">
      <c r="A809" s="16" t="s">
        <v>70</v>
      </c>
      <c r="B809" s="17" t="s">
        <v>77</v>
      </c>
      <c r="C809" s="17">
        <v>46</v>
      </c>
      <c r="D809" s="17">
        <v>10.039999999999999</v>
      </c>
    </row>
    <row r="810" spans="1:4" x14ac:dyDescent="0.2">
      <c r="A810" s="14" t="s">
        <v>70</v>
      </c>
      <c r="B810" s="15" t="s">
        <v>77</v>
      </c>
      <c r="C810" s="15">
        <v>47</v>
      </c>
      <c r="D810" s="15">
        <v>9.7899999999999991</v>
      </c>
    </row>
    <row r="811" spans="1:4" x14ac:dyDescent="0.2">
      <c r="A811" s="16" t="s">
        <v>70</v>
      </c>
      <c r="B811" s="17" t="s">
        <v>77</v>
      </c>
      <c r="C811" s="17">
        <v>48</v>
      </c>
      <c r="D811" s="17">
        <v>9.56</v>
      </c>
    </row>
    <row r="812" spans="1:4" x14ac:dyDescent="0.2">
      <c r="A812" s="14" t="s">
        <v>70</v>
      </c>
      <c r="B812" s="15" t="s">
        <v>77</v>
      </c>
      <c r="C812" s="15">
        <v>49</v>
      </c>
      <c r="D812" s="15">
        <v>9.31</v>
      </c>
    </row>
    <row r="813" spans="1:4" x14ac:dyDescent="0.2">
      <c r="A813" s="16" t="s">
        <v>70</v>
      </c>
      <c r="B813" s="17" t="s">
        <v>77</v>
      </c>
      <c r="C813" s="17">
        <v>50</v>
      </c>
      <c r="D813" s="17">
        <v>9.0399999999999991</v>
      </c>
    </row>
    <row r="814" spans="1:4" x14ac:dyDescent="0.2">
      <c r="A814" s="14" t="s">
        <v>70</v>
      </c>
      <c r="B814" s="15" t="s">
        <v>77</v>
      </c>
      <c r="C814" s="15">
        <v>51</v>
      </c>
      <c r="D814" s="15">
        <v>8.74</v>
      </c>
    </row>
    <row r="815" spans="1:4" x14ac:dyDescent="0.2">
      <c r="A815" s="16" t="s">
        <v>70</v>
      </c>
      <c r="B815" s="17" t="s">
        <v>77</v>
      </c>
      <c r="C815" s="17">
        <v>52</v>
      </c>
      <c r="D815" s="17">
        <v>8.4</v>
      </c>
    </row>
    <row r="816" spans="1:4" x14ac:dyDescent="0.2">
      <c r="A816" s="14" t="s">
        <v>70</v>
      </c>
      <c r="B816" s="15" t="s">
        <v>77</v>
      </c>
      <c r="C816" s="15">
        <v>53</v>
      </c>
      <c r="D816" s="15">
        <v>8.0299999999999994</v>
      </c>
    </row>
    <row r="817" spans="1:4" x14ac:dyDescent="0.2">
      <c r="A817" s="16" t="s">
        <v>70</v>
      </c>
      <c r="B817" s="17" t="s">
        <v>77</v>
      </c>
      <c r="C817" s="17">
        <v>54</v>
      </c>
      <c r="D817" s="17">
        <v>7.62</v>
      </c>
    </row>
    <row r="818" spans="1:4" x14ac:dyDescent="0.2">
      <c r="A818" s="14" t="s">
        <v>70</v>
      </c>
      <c r="B818" s="15" t="s">
        <v>77</v>
      </c>
      <c r="C818" s="15">
        <v>55</v>
      </c>
      <c r="D818" s="15">
        <v>7.2</v>
      </c>
    </row>
    <row r="819" spans="1:4" x14ac:dyDescent="0.2">
      <c r="A819" s="16" t="s">
        <v>70</v>
      </c>
      <c r="B819" s="17" t="s">
        <v>77</v>
      </c>
      <c r="C819" s="17">
        <v>56</v>
      </c>
      <c r="D819" s="17">
        <v>6.76</v>
      </c>
    </row>
    <row r="820" spans="1:4" x14ac:dyDescent="0.2">
      <c r="A820" s="14" t="s">
        <v>70</v>
      </c>
      <c r="B820" s="15" t="s">
        <v>77</v>
      </c>
      <c r="C820" s="15">
        <v>57</v>
      </c>
      <c r="D820" s="15">
        <v>6.33</v>
      </c>
    </row>
    <row r="821" spans="1:4" x14ac:dyDescent="0.2">
      <c r="A821" s="16" t="s">
        <v>70</v>
      </c>
      <c r="B821" s="17" t="s">
        <v>77</v>
      </c>
      <c r="C821" s="17">
        <v>58</v>
      </c>
      <c r="D821" s="17">
        <v>5.91</v>
      </c>
    </row>
    <row r="822" spans="1:4" x14ac:dyDescent="0.2">
      <c r="A822" s="14" t="s">
        <v>70</v>
      </c>
      <c r="B822" s="15" t="s">
        <v>77</v>
      </c>
      <c r="C822" s="15">
        <v>59</v>
      </c>
      <c r="D822" s="15">
        <v>5.53</v>
      </c>
    </row>
    <row r="823" spans="1:4" x14ac:dyDescent="0.2">
      <c r="A823" s="16" t="s">
        <v>70</v>
      </c>
      <c r="B823" s="17" t="s">
        <v>77</v>
      </c>
      <c r="C823" s="17">
        <v>60</v>
      </c>
      <c r="D823" s="17">
        <v>5.18</v>
      </c>
    </row>
    <row r="824" spans="1:4" x14ac:dyDescent="0.2">
      <c r="A824" s="14" t="s">
        <v>70</v>
      </c>
      <c r="B824" s="15" t="s">
        <v>77</v>
      </c>
      <c r="C824" s="15">
        <v>61</v>
      </c>
      <c r="D824" s="15">
        <v>4.87</v>
      </c>
    </row>
    <row r="825" spans="1:4" x14ac:dyDescent="0.2">
      <c r="A825" s="16" t="s">
        <v>70</v>
      </c>
      <c r="B825" s="17" t="s">
        <v>77</v>
      </c>
      <c r="C825" s="17">
        <v>62</v>
      </c>
      <c r="D825" s="17">
        <v>4.59</v>
      </c>
    </row>
    <row r="826" spans="1:4" x14ac:dyDescent="0.2">
      <c r="A826" s="14" t="s">
        <v>70</v>
      </c>
      <c r="B826" s="15" t="s">
        <v>77</v>
      </c>
      <c r="C826" s="15">
        <v>63</v>
      </c>
      <c r="D826" s="15">
        <v>4.3499999999999996</v>
      </c>
    </row>
    <row r="827" spans="1:4" x14ac:dyDescent="0.2">
      <c r="A827" s="16" t="s">
        <v>70</v>
      </c>
      <c r="B827" s="17" t="s">
        <v>77</v>
      </c>
      <c r="C827" s="17">
        <v>64</v>
      </c>
      <c r="D827" s="17">
        <v>4.1399999999999997</v>
      </c>
    </row>
    <row r="828" spans="1:4" x14ac:dyDescent="0.2">
      <c r="A828" s="14" t="s">
        <v>70</v>
      </c>
      <c r="B828" s="15" t="s">
        <v>77</v>
      </c>
      <c r="C828" s="15">
        <v>65</v>
      </c>
      <c r="D828" s="15">
        <v>3.95</v>
      </c>
    </row>
    <row r="829" spans="1:4" x14ac:dyDescent="0.2">
      <c r="A829" s="16" t="s">
        <v>70</v>
      </c>
      <c r="B829" s="17" t="s">
        <v>77</v>
      </c>
      <c r="C829" s="17">
        <v>66</v>
      </c>
      <c r="D829" s="17">
        <v>3.78</v>
      </c>
    </row>
    <row r="830" spans="1:4" x14ac:dyDescent="0.2">
      <c r="A830" s="14" t="s">
        <v>70</v>
      </c>
      <c r="B830" s="15" t="s">
        <v>77</v>
      </c>
      <c r="C830" s="15">
        <v>67</v>
      </c>
      <c r="D830" s="15">
        <v>3.63</v>
      </c>
    </row>
    <row r="831" spans="1:4" x14ac:dyDescent="0.2">
      <c r="A831" s="16" t="s">
        <v>70</v>
      </c>
      <c r="B831" s="17" t="s">
        <v>77</v>
      </c>
      <c r="C831" s="17">
        <v>68</v>
      </c>
      <c r="D831" s="17">
        <v>3.48</v>
      </c>
    </row>
    <row r="832" spans="1:4" x14ac:dyDescent="0.2">
      <c r="A832" s="14" t="s">
        <v>70</v>
      </c>
      <c r="B832" s="15" t="s">
        <v>77</v>
      </c>
      <c r="C832" s="15">
        <v>69</v>
      </c>
      <c r="D832" s="15">
        <v>3.34</v>
      </c>
    </row>
    <row r="833" spans="1:4" x14ac:dyDescent="0.2">
      <c r="A833" s="16" t="s">
        <v>70</v>
      </c>
      <c r="B833" s="17" t="s">
        <v>77</v>
      </c>
      <c r="C833" s="17">
        <v>70</v>
      </c>
      <c r="D833" s="17">
        <v>3.2</v>
      </c>
    </row>
    <row r="834" spans="1:4" x14ac:dyDescent="0.2">
      <c r="A834" s="14" t="s">
        <v>70</v>
      </c>
      <c r="B834" s="15" t="s">
        <v>77</v>
      </c>
      <c r="C834" s="15">
        <v>71</v>
      </c>
      <c r="D834" s="15">
        <v>3.05</v>
      </c>
    </row>
    <row r="835" spans="1:4" x14ac:dyDescent="0.2">
      <c r="A835" s="16" t="s">
        <v>70</v>
      </c>
      <c r="B835" s="17" t="s">
        <v>77</v>
      </c>
      <c r="C835" s="17">
        <v>72</v>
      </c>
      <c r="D835" s="17">
        <v>2.91</v>
      </c>
    </row>
    <row r="836" spans="1:4" x14ac:dyDescent="0.2">
      <c r="A836" s="14" t="s">
        <v>70</v>
      </c>
      <c r="B836" s="15" t="s">
        <v>77</v>
      </c>
      <c r="C836" s="15">
        <v>73</v>
      </c>
      <c r="D836" s="15">
        <v>2.78</v>
      </c>
    </row>
    <row r="837" spans="1:4" x14ac:dyDescent="0.2">
      <c r="A837" s="16" t="s">
        <v>70</v>
      </c>
      <c r="B837" s="17" t="s">
        <v>77</v>
      </c>
      <c r="C837" s="17">
        <v>74</v>
      </c>
      <c r="D837" s="17">
        <v>2.65</v>
      </c>
    </row>
    <row r="838" spans="1:4" x14ac:dyDescent="0.2">
      <c r="A838" s="14" t="s">
        <v>70</v>
      </c>
      <c r="B838" s="15" t="s">
        <v>77</v>
      </c>
      <c r="C838" s="15">
        <v>75</v>
      </c>
      <c r="D838" s="15">
        <v>2.54</v>
      </c>
    </row>
    <row r="839" spans="1:4" x14ac:dyDescent="0.2">
      <c r="A839" s="16" t="s">
        <v>70</v>
      </c>
      <c r="B839" s="17" t="s">
        <v>77</v>
      </c>
      <c r="C839" s="17">
        <v>76</v>
      </c>
      <c r="D839" s="17">
        <v>2.42</v>
      </c>
    </row>
    <row r="840" spans="1:4" x14ac:dyDescent="0.2">
      <c r="A840" s="14" t="s">
        <v>70</v>
      </c>
      <c r="B840" s="15" t="s">
        <v>77</v>
      </c>
      <c r="C840" s="15">
        <v>77</v>
      </c>
      <c r="D840" s="15">
        <v>2.3199999999999998</v>
      </c>
    </row>
    <row r="841" spans="1:4" x14ac:dyDescent="0.2">
      <c r="A841" s="16" t="s">
        <v>70</v>
      </c>
      <c r="B841" s="17" t="s">
        <v>77</v>
      </c>
      <c r="C841" s="17">
        <v>78</v>
      </c>
      <c r="D841" s="17">
        <v>2.2200000000000002</v>
      </c>
    </row>
    <row r="842" spans="1:4" x14ac:dyDescent="0.2">
      <c r="A842" s="14" t="s">
        <v>70</v>
      </c>
      <c r="B842" s="15" t="s">
        <v>77</v>
      </c>
      <c r="C842" s="15">
        <v>79</v>
      </c>
      <c r="D842" s="15">
        <v>2.12</v>
      </c>
    </row>
    <row r="843" spans="1:4" x14ac:dyDescent="0.2">
      <c r="A843" s="16" t="s">
        <v>70</v>
      </c>
      <c r="B843" s="17" t="s">
        <v>77</v>
      </c>
      <c r="C843" s="17">
        <v>80</v>
      </c>
      <c r="D843" s="17">
        <v>2.04</v>
      </c>
    </row>
    <row r="844" spans="1:4" x14ac:dyDescent="0.2">
      <c r="A844" s="14" t="s">
        <v>70</v>
      </c>
      <c r="B844" s="15" t="s">
        <v>77</v>
      </c>
      <c r="C844" s="15">
        <v>81</v>
      </c>
      <c r="D844" s="15">
        <v>1.95</v>
      </c>
    </row>
    <row r="845" spans="1:4" x14ac:dyDescent="0.2">
      <c r="A845" s="16" t="s">
        <v>70</v>
      </c>
      <c r="B845" s="17" t="s">
        <v>77</v>
      </c>
      <c r="C845" s="17">
        <v>82</v>
      </c>
      <c r="D845" s="17">
        <v>1.87</v>
      </c>
    </row>
    <row r="846" spans="1:4" x14ac:dyDescent="0.2">
      <c r="A846" s="14" t="s">
        <v>70</v>
      </c>
      <c r="B846" s="15" t="s">
        <v>77</v>
      </c>
      <c r="C846" s="15">
        <v>83</v>
      </c>
      <c r="D846" s="15">
        <v>1.79</v>
      </c>
    </row>
    <row r="847" spans="1:4" x14ac:dyDescent="0.2">
      <c r="A847" s="16" t="s">
        <v>70</v>
      </c>
      <c r="B847" s="17" t="s">
        <v>77</v>
      </c>
      <c r="C847" s="17">
        <v>84</v>
      </c>
      <c r="D847" s="17">
        <v>1.72</v>
      </c>
    </row>
    <row r="848" spans="1:4" x14ac:dyDescent="0.2">
      <c r="A848" s="14" t="s">
        <v>70</v>
      </c>
      <c r="B848" s="15" t="s">
        <v>77</v>
      </c>
      <c r="C848" s="15">
        <v>85</v>
      </c>
      <c r="D848" s="15">
        <v>1.65</v>
      </c>
    </row>
    <row r="849" spans="1:4" x14ac:dyDescent="0.2">
      <c r="A849" s="16" t="s">
        <v>70</v>
      </c>
      <c r="B849" s="17" t="s">
        <v>77</v>
      </c>
      <c r="C849" s="17">
        <v>86</v>
      </c>
      <c r="D849" s="17">
        <v>1.58</v>
      </c>
    </row>
    <row r="850" spans="1:4" x14ac:dyDescent="0.2">
      <c r="A850" s="14" t="s">
        <v>70</v>
      </c>
      <c r="B850" s="15" t="s">
        <v>77</v>
      </c>
      <c r="C850" s="15">
        <v>87</v>
      </c>
      <c r="D850" s="15">
        <v>1.52</v>
      </c>
    </row>
    <row r="851" spans="1:4" x14ac:dyDescent="0.2">
      <c r="A851" s="16" t="s">
        <v>70</v>
      </c>
      <c r="B851" s="17" t="s">
        <v>77</v>
      </c>
      <c r="C851" s="17">
        <v>88</v>
      </c>
      <c r="D851" s="17">
        <v>1.46</v>
      </c>
    </row>
    <row r="852" spans="1:4" x14ac:dyDescent="0.2">
      <c r="A852" s="14" t="s">
        <v>70</v>
      </c>
      <c r="B852" s="15" t="s">
        <v>77</v>
      </c>
      <c r="C852" s="15">
        <v>89</v>
      </c>
      <c r="D852" s="15">
        <v>1.4</v>
      </c>
    </row>
    <row r="853" spans="1:4" x14ac:dyDescent="0.2">
      <c r="A853" s="16" t="s">
        <v>70</v>
      </c>
      <c r="B853" s="17" t="s">
        <v>77</v>
      </c>
      <c r="C853" s="17">
        <v>90</v>
      </c>
      <c r="D853" s="17">
        <v>1.34</v>
      </c>
    </row>
    <row r="854" spans="1:4" x14ac:dyDescent="0.2">
      <c r="A854" s="14" t="s">
        <v>71</v>
      </c>
      <c r="B854" s="15" t="s">
        <v>77</v>
      </c>
      <c r="C854" s="15">
        <v>18</v>
      </c>
      <c r="D854" s="15">
        <v>22.01</v>
      </c>
    </row>
    <row r="855" spans="1:4" x14ac:dyDescent="0.2">
      <c r="A855" s="16" t="s">
        <v>71</v>
      </c>
      <c r="B855" s="17" t="s">
        <v>77</v>
      </c>
      <c r="C855" s="17">
        <v>19</v>
      </c>
      <c r="D855" s="17">
        <v>21.56</v>
      </c>
    </row>
    <row r="856" spans="1:4" x14ac:dyDescent="0.2">
      <c r="A856" s="14" t="s">
        <v>71</v>
      </c>
      <c r="B856" s="15" t="s">
        <v>77</v>
      </c>
      <c r="C856" s="15">
        <v>20</v>
      </c>
      <c r="D856" s="15">
        <v>21.12</v>
      </c>
    </row>
    <row r="857" spans="1:4" x14ac:dyDescent="0.2">
      <c r="A857" s="16" t="s">
        <v>71</v>
      </c>
      <c r="B857" s="17" t="s">
        <v>77</v>
      </c>
      <c r="C857" s="17">
        <v>21</v>
      </c>
      <c r="D857" s="17">
        <v>20.67</v>
      </c>
    </row>
    <row r="858" spans="1:4" x14ac:dyDescent="0.2">
      <c r="A858" s="14" t="s">
        <v>71</v>
      </c>
      <c r="B858" s="15" t="s">
        <v>77</v>
      </c>
      <c r="C858" s="15">
        <v>22</v>
      </c>
      <c r="D858" s="15">
        <v>20.23</v>
      </c>
    </row>
    <row r="859" spans="1:4" x14ac:dyDescent="0.2">
      <c r="A859" s="16" t="s">
        <v>71</v>
      </c>
      <c r="B859" s="17" t="s">
        <v>77</v>
      </c>
      <c r="C859" s="17">
        <v>23</v>
      </c>
      <c r="D859" s="17">
        <v>19.79</v>
      </c>
    </row>
    <row r="860" spans="1:4" x14ac:dyDescent="0.2">
      <c r="A860" s="14" t="s">
        <v>71</v>
      </c>
      <c r="B860" s="15" t="s">
        <v>77</v>
      </c>
      <c r="C860" s="15">
        <v>24</v>
      </c>
      <c r="D860" s="15">
        <v>19.34</v>
      </c>
    </row>
    <row r="861" spans="1:4" x14ac:dyDescent="0.2">
      <c r="A861" s="16" t="s">
        <v>71</v>
      </c>
      <c r="B861" s="17" t="s">
        <v>77</v>
      </c>
      <c r="C861" s="17">
        <v>25</v>
      </c>
      <c r="D861" s="17">
        <v>18.899999999999999</v>
      </c>
    </row>
    <row r="862" spans="1:4" x14ac:dyDescent="0.2">
      <c r="A862" s="14" t="s">
        <v>71</v>
      </c>
      <c r="B862" s="15" t="s">
        <v>77</v>
      </c>
      <c r="C862" s="15">
        <v>26</v>
      </c>
      <c r="D862" s="15">
        <v>18.46</v>
      </c>
    </row>
    <row r="863" spans="1:4" x14ac:dyDescent="0.2">
      <c r="A863" s="16" t="s">
        <v>71</v>
      </c>
      <c r="B863" s="17" t="s">
        <v>77</v>
      </c>
      <c r="C863" s="17">
        <v>27</v>
      </c>
      <c r="D863" s="17">
        <v>18.02</v>
      </c>
    </row>
    <row r="864" spans="1:4" x14ac:dyDescent="0.2">
      <c r="A864" s="14" t="s">
        <v>71</v>
      </c>
      <c r="B864" s="15" t="s">
        <v>77</v>
      </c>
      <c r="C864" s="15">
        <v>28</v>
      </c>
      <c r="D864" s="15">
        <v>17.579999999999998</v>
      </c>
    </row>
    <row r="865" spans="1:4" x14ac:dyDescent="0.2">
      <c r="A865" s="16" t="s">
        <v>71</v>
      </c>
      <c r="B865" s="17" t="s">
        <v>77</v>
      </c>
      <c r="C865" s="17">
        <v>29</v>
      </c>
      <c r="D865" s="17">
        <v>17.14</v>
      </c>
    </row>
    <row r="866" spans="1:4" x14ac:dyDescent="0.2">
      <c r="A866" s="14" t="s">
        <v>71</v>
      </c>
      <c r="B866" s="15" t="s">
        <v>77</v>
      </c>
      <c r="C866" s="15">
        <v>30</v>
      </c>
      <c r="D866" s="15">
        <v>16.7</v>
      </c>
    </row>
    <row r="867" spans="1:4" x14ac:dyDescent="0.2">
      <c r="A867" s="16" t="s">
        <v>71</v>
      </c>
      <c r="B867" s="17" t="s">
        <v>77</v>
      </c>
      <c r="C867" s="17">
        <v>31</v>
      </c>
      <c r="D867" s="17">
        <v>16.260000000000002</v>
      </c>
    </row>
    <row r="868" spans="1:4" x14ac:dyDescent="0.2">
      <c r="A868" s="14" t="s">
        <v>71</v>
      </c>
      <c r="B868" s="15" t="s">
        <v>77</v>
      </c>
      <c r="C868" s="15">
        <v>32</v>
      </c>
      <c r="D868" s="15">
        <v>15.81</v>
      </c>
    </row>
    <row r="869" spans="1:4" x14ac:dyDescent="0.2">
      <c r="A869" s="16" t="s">
        <v>71</v>
      </c>
      <c r="B869" s="17" t="s">
        <v>77</v>
      </c>
      <c r="C869" s="17">
        <v>33</v>
      </c>
      <c r="D869" s="17">
        <v>15.37</v>
      </c>
    </row>
    <row r="870" spans="1:4" x14ac:dyDescent="0.2">
      <c r="A870" s="14" t="s">
        <v>71</v>
      </c>
      <c r="B870" s="15" t="s">
        <v>77</v>
      </c>
      <c r="C870" s="15">
        <v>34</v>
      </c>
      <c r="D870" s="15">
        <v>14.92</v>
      </c>
    </row>
    <row r="871" spans="1:4" x14ac:dyDescent="0.2">
      <c r="A871" s="16" t="s">
        <v>71</v>
      </c>
      <c r="B871" s="17" t="s">
        <v>77</v>
      </c>
      <c r="C871" s="17">
        <v>35</v>
      </c>
      <c r="D871" s="17">
        <v>14.47</v>
      </c>
    </row>
    <row r="872" spans="1:4" x14ac:dyDescent="0.2">
      <c r="A872" s="14" t="s">
        <v>71</v>
      </c>
      <c r="B872" s="15" t="s">
        <v>77</v>
      </c>
      <c r="C872" s="15">
        <v>36</v>
      </c>
      <c r="D872" s="15">
        <v>14.02</v>
      </c>
    </row>
    <row r="873" spans="1:4" x14ac:dyDescent="0.2">
      <c r="A873" s="16" t="s">
        <v>71</v>
      </c>
      <c r="B873" s="17" t="s">
        <v>77</v>
      </c>
      <c r="C873" s="17">
        <v>37</v>
      </c>
      <c r="D873" s="17">
        <v>13.57</v>
      </c>
    </row>
    <row r="874" spans="1:4" x14ac:dyDescent="0.2">
      <c r="A874" s="14" t="s">
        <v>71</v>
      </c>
      <c r="B874" s="15" t="s">
        <v>77</v>
      </c>
      <c r="C874" s="15">
        <v>38</v>
      </c>
      <c r="D874" s="15">
        <v>13.12</v>
      </c>
    </row>
    <row r="875" spans="1:4" x14ac:dyDescent="0.2">
      <c r="A875" s="16" t="s">
        <v>71</v>
      </c>
      <c r="B875" s="17" t="s">
        <v>77</v>
      </c>
      <c r="C875" s="17">
        <v>39</v>
      </c>
      <c r="D875" s="17">
        <v>12.67</v>
      </c>
    </row>
    <row r="876" spans="1:4" x14ac:dyDescent="0.2">
      <c r="A876" s="14" t="s">
        <v>71</v>
      </c>
      <c r="B876" s="15" t="s">
        <v>77</v>
      </c>
      <c r="C876" s="15">
        <v>40</v>
      </c>
      <c r="D876" s="15">
        <v>12.23</v>
      </c>
    </row>
    <row r="877" spans="1:4" x14ac:dyDescent="0.2">
      <c r="A877" s="16" t="s">
        <v>71</v>
      </c>
      <c r="B877" s="17" t="s">
        <v>77</v>
      </c>
      <c r="C877" s="17">
        <v>41</v>
      </c>
      <c r="D877" s="17">
        <v>11.78</v>
      </c>
    </row>
    <row r="878" spans="1:4" x14ac:dyDescent="0.2">
      <c r="A878" s="14" t="s">
        <v>71</v>
      </c>
      <c r="B878" s="15" t="s">
        <v>77</v>
      </c>
      <c r="C878" s="15">
        <v>42</v>
      </c>
      <c r="D878" s="15">
        <v>11.34</v>
      </c>
    </row>
    <row r="879" spans="1:4" x14ac:dyDescent="0.2">
      <c r="A879" s="16" t="s">
        <v>71</v>
      </c>
      <c r="B879" s="17" t="s">
        <v>77</v>
      </c>
      <c r="C879" s="17">
        <v>43</v>
      </c>
      <c r="D879" s="17">
        <v>10.9</v>
      </c>
    </row>
    <row r="880" spans="1:4" x14ac:dyDescent="0.2">
      <c r="A880" s="14" t="s">
        <v>71</v>
      </c>
      <c r="B880" s="15" t="s">
        <v>77</v>
      </c>
      <c r="C880" s="15">
        <v>44</v>
      </c>
      <c r="D880" s="15">
        <v>10.47</v>
      </c>
    </row>
    <row r="881" spans="1:4" x14ac:dyDescent="0.2">
      <c r="A881" s="16" t="s">
        <v>71</v>
      </c>
      <c r="B881" s="17" t="s">
        <v>77</v>
      </c>
      <c r="C881" s="17">
        <v>45</v>
      </c>
      <c r="D881" s="17">
        <v>10.050000000000001</v>
      </c>
    </row>
    <row r="882" spans="1:4" x14ac:dyDescent="0.2">
      <c r="A882" s="14" t="s">
        <v>71</v>
      </c>
      <c r="B882" s="15" t="s">
        <v>77</v>
      </c>
      <c r="C882" s="15">
        <v>46</v>
      </c>
      <c r="D882" s="15">
        <v>9.6300000000000008</v>
      </c>
    </row>
    <row r="883" spans="1:4" x14ac:dyDescent="0.2">
      <c r="A883" s="16" t="s">
        <v>71</v>
      </c>
      <c r="B883" s="17" t="s">
        <v>77</v>
      </c>
      <c r="C883" s="17">
        <v>47</v>
      </c>
      <c r="D883" s="17">
        <v>9.23</v>
      </c>
    </row>
    <row r="884" spans="1:4" x14ac:dyDescent="0.2">
      <c r="A884" s="14" t="s">
        <v>71</v>
      </c>
      <c r="B884" s="15" t="s">
        <v>77</v>
      </c>
      <c r="C884" s="15">
        <v>48</v>
      </c>
      <c r="D884" s="15">
        <v>8.84</v>
      </c>
    </row>
    <row r="885" spans="1:4" x14ac:dyDescent="0.2">
      <c r="A885" s="16" t="s">
        <v>71</v>
      </c>
      <c r="B885" s="17" t="s">
        <v>77</v>
      </c>
      <c r="C885" s="17">
        <v>49</v>
      </c>
      <c r="D885" s="17">
        <v>8.4600000000000009</v>
      </c>
    </row>
    <row r="886" spans="1:4" x14ac:dyDescent="0.2">
      <c r="A886" s="14" t="s">
        <v>71</v>
      </c>
      <c r="B886" s="15" t="s">
        <v>77</v>
      </c>
      <c r="C886" s="15">
        <v>50</v>
      </c>
      <c r="D886" s="15">
        <v>8.09</v>
      </c>
    </row>
    <row r="887" spans="1:4" x14ac:dyDescent="0.2">
      <c r="A887" s="16" t="s">
        <v>71</v>
      </c>
      <c r="B887" s="17" t="s">
        <v>77</v>
      </c>
      <c r="C887" s="17">
        <v>51</v>
      </c>
      <c r="D887" s="17">
        <v>7.73</v>
      </c>
    </row>
    <row r="888" spans="1:4" x14ac:dyDescent="0.2">
      <c r="A888" s="14" t="s">
        <v>71</v>
      </c>
      <c r="B888" s="15" t="s">
        <v>77</v>
      </c>
      <c r="C888" s="15">
        <v>52</v>
      </c>
      <c r="D888" s="15">
        <v>7.38</v>
      </c>
    </row>
    <row r="889" spans="1:4" x14ac:dyDescent="0.2">
      <c r="A889" s="16" t="s">
        <v>71</v>
      </c>
      <c r="B889" s="17" t="s">
        <v>77</v>
      </c>
      <c r="C889" s="17">
        <v>53</v>
      </c>
      <c r="D889" s="17">
        <v>7.04</v>
      </c>
    </row>
    <row r="890" spans="1:4" x14ac:dyDescent="0.2">
      <c r="A890" s="14" t="s">
        <v>71</v>
      </c>
      <c r="B890" s="15" t="s">
        <v>77</v>
      </c>
      <c r="C890" s="15">
        <v>54</v>
      </c>
      <c r="D890" s="15">
        <v>6.71</v>
      </c>
    </row>
    <row r="891" spans="1:4" x14ac:dyDescent="0.2">
      <c r="A891" s="16" t="s">
        <v>71</v>
      </c>
      <c r="B891" s="17" t="s">
        <v>77</v>
      </c>
      <c r="C891" s="17">
        <v>55</v>
      </c>
      <c r="D891" s="17">
        <v>6.4</v>
      </c>
    </row>
    <row r="892" spans="1:4" x14ac:dyDescent="0.2">
      <c r="A892" s="14" t="s">
        <v>71</v>
      </c>
      <c r="B892" s="15" t="s">
        <v>77</v>
      </c>
      <c r="C892" s="15">
        <v>56</v>
      </c>
      <c r="D892" s="15">
        <v>6.1</v>
      </c>
    </row>
    <row r="893" spans="1:4" x14ac:dyDescent="0.2">
      <c r="A893" s="16" t="s">
        <v>71</v>
      </c>
      <c r="B893" s="17" t="s">
        <v>77</v>
      </c>
      <c r="C893" s="17">
        <v>57</v>
      </c>
      <c r="D893" s="17">
        <v>5.82</v>
      </c>
    </row>
    <row r="894" spans="1:4" x14ac:dyDescent="0.2">
      <c r="A894" s="14" t="s">
        <v>71</v>
      </c>
      <c r="B894" s="15" t="s">
        <v>77</v>
      </c>
      <c r="C894" s="15">
        <v>58</v>
      </c>
      <c r="D894" s="15">
        <v>5.54</v>
      </c>
    </row>
    <row r="895" spans="1:4" x14ac:dyDescent="0.2">
      <c r="A895" s="16" t="s">
        <v>71</v>
      </c>
      <c r="B895" s="17" t="s">
        <v>77</v>
      </c>
      <c r="C895" s="17">
        <v>59</v>
      </c>
      <c r="D895" s="17">
        <v>5.28</v>
      </c>
    </row>
    <row r="896" spans="1:4" x14ac:dyDescent="0.2">
      <c r="A896" s="14" t="s">
        <v>71</v>
      </c>
      <c r="B896" s="15" t="s">
        <v>77</v>
      </c>
      <c r="C896" s="15">
        <v>60</v>
      </c>
      <c r="D896" s="15">
        <v>5.04</v>
      </c>
    </row>
    <row r="897" spans="1:4" x14ac:dyDescent="0.2">
      <c r="A897" s="16" t="s">
        <v>71</v>
      </c>
      <c r="B897" s="17" t="s">
        <v>77</v>
      </c>
      <c r="C897" s="17">
        <v>61</v>
      </c>
      <c r="D897" s="17">
        <v>4.8</v>
      </c>
    </row>
    <row r="898" spans="1:4" x14ac:dyDescent="0.2">
      <c r="A898" s="14" t="s">
        <v>71</v>
      </c>
      <c r="B898" s="15" t="s">
        <v>77</v>
      </c>
      <c r="C898" s="15">
        <v>62</v>
      </c>
      <c r="D898" s="15">
        <v>4.58</v>
      </c>
    </row>
    <row r="899" spans="1:4" x14ac:dyDescent="0.2">
      <c r="A899" s="16" t="s">
        <v>71</v>
      </c>
      <c r="B899" s="17" t="s">
        <v>77</v>
      </c>
      <c r="C899" s="17">
        <v>63</v>
      </c>
      <c r="D899" s="17">
        <v>4.37</v>
      </c>
    </row>
    <row r="900" spans="1:4" x14ac:dyDescent="0.2">
      <c r="A900" s="14" t="s">
        <v>71</v>
      </c>
      <c r="B900" s="15" t="s">
        <v>77</v>
      </c>
      <c r="C900" s="15">
        <v>64</v>
      </c>
      <c r="D900" s="15">
        <v>4.17</v>
      </c>
    </row>
    <row r="901" spans="1:4" x14ac:dyDescent="0.2">
      <c r="A901" s="16" t="s">
        <v>71</v>
      </c>
      <c r="B901" s="17" t="s">
        <v>77</v>
      </c>
      <c r="C901" s="17">
        <v>65</v>
      </c>
      <c r="D901" s="17">
        <v>3.98</v>
      </c>
    </row>
    <row r="902" spans="1:4" x14ac:dyDescent="0.2">
      <c r="A902" s="14" t="s">
        <v>71</v>
      </c>
      <c r="B902" s="15" t="s">
        <v>77</v>
      </c>
      <c r="C902" s="15">
        <v>66</v>
      </c>
      <c r="D902" s="15">
        <v>3.8</v>
      </c>
    </row>
    <row r="903" spans="1:4" x14ac:dyDescent="0.2">
      <c r="A903" s="16" t="s">
        <v>71</v>
      </c>
      <c r="B903" s="17" t="s">
        <v>77</v>
      </c>
      <c r="C903" s="17">
        <v>67</v>
      </c>
      <c r="D903" s="17">
        <v>3.63</v>
      </c>
    </row>
    <row r="904" spans="1:4" x14ac:dyDescent="0.2">
      <c r="A904" s="14" t="s">
        <v>71</v>
      </c>
      <c r="B904" s="15" t="s">
        <v>77</v>
      </c>
      <c r="C904" s="15">
        <v>68</v>
      </c>
      <c r="D904" s="15">
        <v>3.47</v>
      </c>
    </row>
    <row r="905" spans="1:4" x14ac:dyDescent="0.2">
      <c r="A905" s="16" t="s">
        <v>71</v>
      </c>
      <c r="B905" s="17" t="s">
        <v>77</v>
      </c>
      <c r="C905" s="17">
        <v>69</v>
      </c>
      <c r="D905" s="17">
        <v>3.32</v>
      </c>
    </row>
    <row r="906" spans="1:4" x14ac:dyDescent="0.2">
      <c r="A906" s="14" t="s">
        <v>71</v>
      </c>
      <c r="B906" s="15" t="s">
        <v>77</v>
      </c>
      <c r="C906" s="15">
        <v>70</v>
      </c>
      <c r="D906" s="15">
        <v>3.18</v>
      </c>
    </row>
    <row r="907" spans="1:4" x14ac:dyDescent="0.2">
      <c r="A907" s="16" t="s">
        <v>71</v>
      </c>
      <c r="B907" s="17" t="s">
        <v>77</v>
      </c>
      <c r="C907" s="17">
        <v>71</v>
      </c>
      <c r="D907" s="17">
        <v>3.05</v>
      </c>
    </row>
    <row r="908" spans="1:4" x14ac:dyDescent="0.2">
      <c r="A908" s="14" t="s">
        <v>71</v>
      </c>
      <c r="B908" s="15" t="s">
        <v>77</v>
      </c>
      <c r="C908" s="15">
        <v>72</v>
      </c>
      <c r="D908" s="15">
        <v>2.92</v>
      </c>
    </row>
    <row r="909" spans="1:4" x14ac:dyDescent="0.2">
      <c r="A909" s="16" t="s">
        <v>71</v>
      </c>
      <c r="B909" s="17" t="s">
        <v>77</v>
      </c>
      <c r="C909" s="17">
        <v>73</v>
      </c>
      <c r="D909" s="17">
        <v>2.81</v>
      </c>
    </row>
    <row r="910" spans="1:4" x14ac:dyDescent="0.2">
      <c r="A910" s="14" t="s">
        <v>71</v>
      </c>
      <c r="B910" s="15" t="s">
        <v>77</v>
      </c>
      <c r="C910" s="15">
        <v>74</v>
      </c>
      <c r="D910" s="15">
        <v>2.7</v>
      </c>
    </row>
    <row r="911" spans="1:4" x14ac:dyDescent="0.2">
      <c r="A911" s="16" t="s">
        <v>71</v>
      </c>
      <c r="B911" s="17" t="s">
        <v>77</v>
      </c>
      <c r="C911" s="17">
        <v>75</v>
      </c>
      <c r="D911" s="17">
        <v>2.59</v>
      </c>
    </row>
    <row r="912" spans="1:4" x14ac:dyDescent="0.2">
      <c r="A912" s="14" t="s">
        <v>71</v>
      </c>
      <c r="B912" s="15" t="s">
        <v>77</v>
      </c>
      <c r="C912" s="15">
        <v>76</v>
      </c>
      <c r="D912" s="15">
        <v>2.5</v>
      </c>
    </row>
    <row r="913" spans="1:4" x14ac:dyDescent="0.2">
      <c r="A913" s="16" t="s">
        <v>71</v>
      </c>
      <c r="B913" s="17" t="s">
        <v>77</v>
      </c>
      <c r="C913" s="17">
        <v>77</v>
      </c>
      <c r="D913" s="17">
        <v>2.4</v>
      </c>
    </row>
    <row r="914" spans="1:4" x14ac:dyDescent="0.2">
      <c r="A914" s="14" t="s">
        <v>71</v>
      </c>
      <c r="B914" s="15" t="s">
        <v>77</v>
      </c>
      <c r="C914" s="15">
        <v>78</v>
      </c>
      <c r="D914" s="15">
        <v>2.3199999999999998</v>
      </c>
    </row>
    <row r="915" spans="1:4" x14ac:dyDescent="0.2">
      <c r="A915" s="16" t="s">
        <v>71</v>
      </c>
      <c r="B915" s="17" t="s">
        <v>77</v>
      </c>
      <c r="C915" s="17">
        <v>79</v>
      </c>
      <c r="D915" s="17">
        <v>2.23</v>
      </c>
    </row>
    <row r="916" spans="1:4" x14ac:dyDescent="0.2">
      <c r="A916" s="14" t="s">
        <v>71</v>
      </c>
      <c r="B916" s="15" t="s">
        <v>77</v>
      </c>
      <c r="C916" s="15">
        <v>80</v>
      </c>
      <c r="D916" s="15">
        <v>2.15</v>
      </c>
    </row>
    <row r="917" spans="1:4" x14ac:dyDescent="0.2">
      <c r="A917" s="16" t="s">
        <v>71</v>
      </c>
      <c r="B917" s="17" t="s">
        <v>77</v>
      </c>
      <c r="C917" s="17">
        <v>81</v>
      </c>
      <c r="D917" s="17">
        <v>2.08</v>
      </c>
    </row>
    <row r="918" spans="1:4" x14ac:dyDescent="0.2">
      <c r="A918" s="14" t="s">
        <v>71</v>
      </c>
      <c r="B918" s="15" t="s">
        <v>77</v>
      </c>
      <c r="C918" s="15">
        <v>82</v>
      </c>
      <c r="D918" s="15">
        <v>2.0099999999999998</v>
      </c>
    </row>
    <row r="919" spans="1:4" x14ac:dyDescent="0.2">
      <c r="A919" s="16" t="s">
        <v>71</v>
      </c>
      <c r="B919" s="17" t="s">
        <v>77</v>
      </c>
      <c r="C919" s="17">
        <v>83</v>
      </c>
      <c r="D919" s="17">
        <v>1.94</v>
      </c>
    </row>
    <row r="920" spans="1:4" x14ac:dyDescent="0.2">
      <c r="A920" s="14" t="s">
        <v>71</v>
      </c>
      <c r="B920" s="15" t="s">
        <v>77</v>
      </c>
      <c r="C920" s="15">
        <v>84</v>
      </c>
      <c r="D920" s="15">
        <v>1.87</v>
      </c>
    </row>
    <row r="921" spans="1:4" x14ac:dyDescent="0.2">
      <c r="A921" s="16" t="s">
        <v>71</v>
      </c>
      <c r="B921" s="17" t="s">
        <v>77</v>
      </c>
      <c r="C921" s="17">
        <v>85</v>
      </c>
      <c r="D921" s="17">
        <v>1.8</v>
      </c>
    </row>
    <row r="922" spans="1:4" x14ac:dyDescent="0.2">
      <c r="A922" s="14" t="s">
        <v>71</v>
      </c>
      <c r="B922" s="15" t="s">
        <v>77</v>
      </c>
      <c r="C922" s="15">
        <v>86</v>
      </c>
      <c r="D922" s="15">
        <v>1.74</v>
      </c>
    </row>
    <row r="923" spans="1:4" x14ac:dyDescent="0.2">
      <c r="A923" s="16" t="s">
        <v>71</v>
      </c>
      <c r="B923" s="17" t="s">
        <v>77</v>
      </c>
      <c r="C923" s="17">
        <v>87</v>
      </c>
      <c r="D923" s="17">
        <v>1.67</v>
      </c>
    </row>
    <row r="924" spans="1:4" x14ac:dyDescent="0.2">
      <c r="A924" s="14" t="s">
        <v>71</v>
      </c>
      <c r="B924" s="15" t="s">
        <v>77</v>
      </c>
      <c r="C924" s="15">
        <v>88</v>
      </c>
      <c r="D924" s="15">
        <v>1.61</v>
      </c>
    </row>
    <row r="925" spans="1:4" x14ac:dyDescent="0.2">
      <c r="A925" s="16" t="s">
        <v>71</v>
      </c>
      <c r="B925" s="17" t="s">
        <v>77</v>
      </c>
      <c r="C925" s="17">
        <v>89</v>
      </c>
      <c r="D925" s="17">
        <v>1.55</v>
      </c>
    </row>
    <row r="926" spans="1:4" x14ac:dyDescent="0.2">
      <c r="A926" s="14" t="s">
        <v>71</v>
      </c>
      <c r="B926" s="15" t="s">
        <v>77</v>
      </c>
      <c r="C926" s="15">
        <v>90</v>
      </c>
      <c r="D926" s="15">
        <v>1.49</v>
      </c>
    </row>
    <row r="927" spans="1:4" x14ac:dyDescent="0.2">
      <c r="A927" s="16" t="s">
        <v>3</v>
      </c>
      <c r="B927" s="17" t="s">
        <v>77</v>
      </c>
      <c r="C927" s="17">
        <v>18</v>
      </c>
      <c r="D927" s="17">
        <v>28.21</v>
      </c>
    </row>
    <row r="928" spans="1:4" x14ac:dyDescent="0.2">
      <c r="A928" s="14" t="s">
        <v>3</v>
      </c>
      <c r="B928" s="15" t="s">
        <v>77</v>
      </c>
      <c r="C928" s="15">
        <v>19</v>
      </c>
      <c r="D928" s="15">
        <v>27.68</v>
      </c>
    </row>
    <row r="929" spans="1:4" x14ac:dyDescent="0.2">
      <c r="A929" s="16" t="s">
        <v>3</v>
      </c>
      <c r="B929" s="17" t="s">
        <v>77</v>
      </c>
      <c r="C929" s="17">
        <v>20</v>
      </c>
      <c r="D929" s="17">
        <v>27.15</v>
      </c>
    </row>
    <row r="930" spans="1:4" x14ac:dyDescent="0.2">
      <c r="A930" s="14" t="s">
        <v>3</v>
      </c>
      <c r="B930" s="15" t="s">
        <v>77</v>
      </c>
      <c r="C930" s="15">
        <v>21</v>
      </c>
      <c r="D930" s="15">
        <v>26.61</v>
      </c>
    </row>
    <row r="931" spans="1:4" x14ac:dyDescent="0.2">
      <c r="A931" s="16" t="s">
        <v>3</v>
      </c>
      <c r="B931" s="17" t="s">
        <v>77</v>
      </c>
      <c r="C931" s="17">
        <v>22</v>
      </c>
      <c r="D931" s="17">
        <v>26.07</v>
      </c>
    </row>
    <row r="932" spans="1:4" x14ac:dyDescent="0.2">
      <c r="A932" s="14" t="s">
        <v>3</v>
      </c>
      <c r="B932" s="15" t="s">
        <v>77</v>
      </c>
      <c r="C932" s="15">
        <v>23</v>
      </c>
      <c r="D932" s="15">
        <v>25.53</v>
      </c>
    </row>
    <row r="933" spans="1:4" x14ac:dyDescent="0.2">
      <c r="A933" s="16" t="s">
        <v>3</v>
      </c>
      <c r="B933" s="17" t="s">
        <v>77</v>
      </c>
      <c r="C933" s="17">
        <v>24</v>
      </c>
      <c r="D933" s="17">
        <v>24.98</v>
      </c>
    </row>
    <row r="934" spans="1:4" x14ac:dyDescent="0.2">
      <c r="A934" s="14" t="s">
        <v>3</v>
      </c>
      <c r="B934" s="15" t="s">
        <v>77</v>
      </c>
      <c r="C934" s="15">
        <v>25</v>
      </c>
      <c r="D934" s="15">
        <v>24.43</v>
      </c>
    </row>
    <row r="935" spans="1:4" x14ac:dyDescent="0.2">
      <c r="A935" s="16" t="s">
        <v>3</v>
      </c>
      <c r="B935" s="17" t="s">
        <v>77</v>
      </c>
      <c r="C935" s="17">
        <v>26</v>
      </c>
      <c r="D935" s="17">
        <v>23.87</v>
      </c>
    </row>
    <row r="936" spans="1:4" x14ac:dyDescent="0.2">
      <c r="A936" s="14" t="s">
        <v>3</v>
      </c>
      <c r="B936" s="15" t="s">
        <v>77</v>
      </c>
      <c r="C936" s="15">
        <v>27</v>
      </c>
      <c r="D936" s="15">
        <v>23.3</v>
      </c>
    </row>
    <row r="937" spans="1:4" x14ac:dyDescent="0.2">
      <c r="A937" s="16" t="s">
        <v>3</v>
      </c>
      <c r="B937" s="17" t="s">
        <v>77</v>
      </c>
      <c r="C937" s="17">
        <v>28</v>
      </c>
      <c r="D937" s="17">
        <v>22.73</v>
      </c>
    </row>
    <row r="938" spans="1:4" x14ac:dyDescent="0.2">
      <c r="A938" s="14" t="s">
        <v>3</v>
      </c>
      <c r="B938" s="15" t="s">
        <v>77</v>
      </c>
      <c r="C938" s="15">
        <v>29</v>
      </c>
      <c r="D938" s="15">
        <v>22.14</v>
      </c>
    </row>
    <row r="939" spans="1:4" x14ac:dyDescent="0.2">
      <c r="A939" s="16" t="s">
        <v>3</v>
      </c>
      <c r="B939" s="17" t="s">
        <v>77</v>
      </c>
      <c r="C939" s="17">
        <v>30</v>
      </c>
      <c r="D939" s="17">
        <v>21.54</v>
      </c>
    </row>
    <row r="940" spans="1:4" x14ac:dyDescent="0.2">
      <c r="A940" s="14" t="s">
        <v>3</v>
      </c>
      <c r="B940" s="15" t="s">
        <v>77</v>
      </c>
      <c r="C940" s="15">
        <v>31</v>
      </c>
      <c r="D940" s="15">
        <v>20.93</v>
      </c>
    </row>
    <row r="941" spans="1:4" x14ac:dyDescent="0.2">
      <c r="A941" s="16" t="s">
        <v>3</v>
      </c>
      <c r="B941" s="17" t="s">
        <v>77</v>
      </c>
      <c r="C941" s="17">
        <v>32</v>
      </c>
      <c r="D941" s="17">
        <v>20.309999999999999</v>
      </c>
    </row>
    <row r="942" spans="1:4" x14ac:dyDescent="0.2">
      <c r="A942" s="14" t="s">
        <v>3</v>
      </c>
      <c r="B942" s="15" t="s">
        <v>77</v>
      </c>
      <c r="C942" s="15">
        <v>33</v>
      </c>
      <c r="D942" s="15">
        <v>19.68</v>
      </c>
    </row>
    <row r="943" spans="1:4" x14ac:dyDescent="0.2">
      <c r="A943" s="16" t="s">
        <v>3</v>
      </c>
      <c r="B943" s="17" t="s">
        <v>77</v>
      </c>
      <c r="C943" s="17">
        <v>34</v>
      </c>
      <c r="D943" s="17">
        <v>19.04</v>
      </c>
    </row>
    <row r="944" spans="1:4" x14ac:dyDescent="0.2">
      <c r="A944" s="14" t="s">
        <v>3</v>
      </c>
      <c r="B944" s="15" t="s">
        <v>77</v>
      </c>
      <c r="C944" s="15">
        <v>35</v>
      </c>
      <c r="D944" s="15">
        <v>18.399999999999999</v>
      </c>
    </row>
    <row r="945" spans="1:4" x14ac:dyDescent="0.2">
      <c r="A945" s="16" t="s">
        <v>3</v>
      </c>
      <c r="B945" s="17" t="s">
        <v>77</v>
      </c>
      <c r="C945" s="17">
        <v>36</v>
      </c>
      <c r="D945" s="17">
        <v>17.760000000000002</v>
      </c>
    </row>
    <row r="946" spans="1:4" x14ac:dyDescent="0.2">
      <c r="A946" s="14" t="s">
        <v>3</v>
      </c>
      <c r="B946" s="15" t="s">
        <v>77</v>
      </c>
      <c r="C946" s="15">
        <v>37</v>
      </c>
      <c r="D946" s="15">
        <v>17.11</v>
      </c>
    </row>
    <row r="947" spans="1:4" x14ac:dyDescent="0.2">
      <c r="A947" s="16" t="s">
        <v>3</v>
      </c>
      <c r="B947" s="17" t="s">
        <v>77</v>
      </c>
      <c r="C947" s="17">
        <v>38</v>
      </c>
      <c r="D947" s="17">
        <v>16.48</v>
      </c>
    </row>
    <row r="948" spans="1:4" x14ac:dyDescent="0.2">
      <c r="A948" s="14" t="s">
        <v>3</v>
      </c>
      <c r="B948" s="15" t="s">
        <v>77</v>
      </c>
      <c r="C948" s="15">
        <v>39</v>
      </c>
      <c r="D948" s="15">
        <v>15.85</v>
      </c>
    </row>
    <row r="949" spans="1:4" x14ac:dyDescent="0.2">
      <c r="A949" s="16" t="s">
        <v>3</v>
      </c>
      <c r="B949" s="17" t="s">
        <v>77</v>
      </c>
      <c r="C949" s="17">
        <v>40</v>
      </c>
      <c r="D949" s="17">
        <v>15.24</v>
      </c>
    </row>
    <row r="950" spans="1:4" x14ac:dyDescent="0.2">
      <c r="A950" s="14" t="s">
        <v>3</v>
      </c>
      <c r="B950" s="15" t="s">
        <v>77</v>
      </c>
      <c r="C950" s="15">
        <v>41</v>
      </c>
      <c r="D950" s="15">
        <v>14.66</v>
      </c>
    </row>
    <row r="951" spans="1:4" x14ac:dyDescent="0.2">
      <c r="A951" s="16" t="s">
        <v>3</v>
      </c>
      <c r="B951" s="17" t="s">
        <v>77</v>
      </c>
      <c r="C951" s="17">
        <v>42</v>
      </c>
      <c r="D951" s="17">
        <v>14.1</v>
      </c>
    </row>
    <row r="952" spans="1:4" x14ac:dyDescent="0.2">
      <c r="A952" s="14" t="s">
        <v>3</v>
      </c>
      <c r="B952" s="15" t="s">
        <v>77</v>
      </c>
      <c r="C952" s="15">
        <v>43</v>
      </c>
      <c r="D952" s="15">
        <v>13.58</v>
      </c>
    </row>
    <row r="953" spans="1:4" x14ac:dyDescent="0.2">
      <c r="A953" s="16" t="s">
        <v>3</v>
      </c>
      <c r="B953" s="17" t="s">
        <v>77</v>
      </c>
      <c r="C953" s="17">
        <v>44</v>
      </c>
      <c r="D953" s="17">
        <v>13.08</v>
      </c>
    </row>
    <row r="954" spans="1:4" x14ac:dyDescent="0.2">
      <c r="A954" s="14" t="s">
        <v>3</v>
      </c>
      <c r="B954" s="15" t="s">
        <v>77</v>
      </c>
      <c r="C954" s="15">
        <v>45</v>
      </c>
      <c r="D954" s="15">
        <v>12.62</v>
      </c>
    </row>
    <row r="955" spans="1:4" x14ac:dyDescent="0.2">
      <c r="A955" s="16" t="s">
        <v>3</v>
      </c>
      <c r="B955" s="17" t="s">
        <v>77</v>
      </c>
      <c r="C955" s="17">
        <v>46</v>
      </c>
      <c r="D955" s="17">
        <v>12.18</v>
      </c>
    </row>
    <row r="956" spans="1:4" x14ac:dyDescent="0.2">
      <c r="A956" s="14" t="s">
        <v>3</v>
      </c>
      <c r="B956" s="15" t="s">
        <v>77</v>
      </c>
      <c r="C956" s="15">
        <v>47</v>
      </c>
      <c r="D956" s="15">
        <v>11.76</v>
      </c>
    </row>
    <row r="957" spans="1:4" x14ac:dyDescent="0.2">
      <c r="A957" s="16" t="s">
        <v>3</v>
      </c>
      <c r="B957" s="17" t="s">
        <v>77</v>
      </c>
      <c r="C957" s="17">
        <v>48</v>
      </c>
      <c r="D957" s="17">
        <v>11.34</v>
      </c>
    </row>
    <row r="958" spans="1:4" x14ac:dyDescent="0.2">
      <c r="A958" s="14" t="s">
        <v>3</v>
      </c>
      <c r="B958" s="15" t="s">
        <v>77</v>
      </c>
      <c r="C958" s="15">
        <v>49</v>
      </c>
      <c r="D958" s="15">
        <v>10.92</v>
      </c>
    </row>
    <row r="959" spans="1:4" x14ac:dyDescent="0.2">
      <c r="A959" s="16" t="s">
        <v>3</v>
      </c>
      <c r="B959" s="17" t="s">
        <v>77</v>
      </c>
      <c r="C959" s="17">
        <v>50</v>
      </c>
      <c r="D959" s="17">
        <v>10.49</v>
      </c>
    </row>
    <row r="960" spans="1:4" x14ac:dyDescent="0.2">
      <c r="A960" s="14" t="s">
        <v>3</v>
      </c>
      <c r="B960" s="15" t="s">
        <v>77</v>
      </c>
      <c r="C960" s="15">
        <v>51</v>
      </c>
      <c r="D960" s="15">
        <v>10.029999999999999</v>
      </c>
    </row>
    <row r="961" spans="1:4" x14ac:dyDescent="0.2">
      <c r="A961" s="16" t="s">
        <v>3</v>
      </c>
      <c r="B961" s="17" t="s">
        <v>77</v>
      </c>
      <c r="C961" s="17">
        <v>52</v>
      </c>
      <c r="D961" s="17">
        <v>9.58</v>
      </c>
    </row>
    <row r="962" spans="1:4" x14ac:dyDescent="0.2">
      <c r="A962" s="14" t="s">
        <v>3</v>
      </c>
      <c r="B962" s="15" t="s">
        <v>77</v>
      </c>
      <c r="C962" s="15">
        <v>53</v>
      </c>
      <c r="D962" s="15">
        <v>9.11</v>
      </c>
    </row>
    <row r="963" spans="1:4" x14ac:dyDescent="0.2">
      <c r="A963" s="16" t="s">
        <v>3</v>
      </c>
      <c r="B963" s="17" t="s">
        <v>77</v>
      </c>
      <c r="C963" s="17">
        <v>54</v>
      </c>
      <c r="D963" s="17">
        <v>8.65</v>
      </c>
    </row>
    <row r="964" spans="1:4" x14ac:dyDescent="0.2">
      <c r="A964" s="14" t="s">
        <v>3</v>
      </c>
      <c r="B964" s="15" t="s">
        <v>77</v>
      </c>
      <c r="C964" s="15">
        <v>55</v>
      </c>
      <c r="D964" s="15">
        <v>8.18</v>
      </c>
    </row>
    <row r="965" spans="1:4" x14ac:dyDescent="0.2">
      <c r="A965" s="16" t="s">
        <v>3</v>
      </c>
      <c r="B965" s="17" t="s">
        <v>77</v>
      </c>
      <c r="C965" s="17">
        <v>56</v>
      </c>
      <c r="D965" s="17">
        <v>7.72</v>
      </c>
    </row>
    <row r="966" spans="1:4" x14ac:dyDescent="0.2">
      <c r="A966" s="14" t="s">
        <v>3</v>
      </c>
      <c r="B966" s="15" t="s">
        <v>77</v>
      </c>
      <c r="C966" s="15">
        <v>57</v>
      </c>
      <c r="D966" s="15">
        <v>7.26</v>
      </c>
    </row>
    <row r="967" spans="1:4" x14ac:dyDescent="0.2">
      <c r="A967" s="16" t="s">
        <v>3</v>
      </c>
      <c r="B967" s="17" t="s">
        <v>77</v>
      </c>
      <c r="C967" s="17">
        <v>58</v>
      </c>
      <c r="D967" s="17">
        <v>6.82</v>
      </c>
    </row>
    <row r="968" spans="1:4" x14ac:dyDescent="0.2">
      <c r="A968" s="14" t="s">
        <v>3</v>
      </c>
      <c r="B968" s="15" t="s">
        <v>77</v>
      </c>
      <c r="C968" s="15">
        <v>59</v>
      </c>
      <c r="D968" s="15">
        <v>6.41</v>
      </c>
    </row>
    <row r="969" spans="1:4" x14ac:dyDescent="0.2">
      <c r="A969" s="16" t="s">
        <v>3</v>
      </c>
      <c r="B969" s="17" t="s">
        <v>77</v>
      </c>
      <c r="C969" s="17">
        <v>60</v>
      </c>
      <c r="D969" s="17">
        <v>6.04</v>
      </c>
    </row>
    <row r="970" spans="1:4" x14ac:dyDescent="0.2">
      <c r="A970" s="14" t="s">
        <v>3</v>
      </c>
      <c r="B970" s="15" t="s">
        <v>77</v>
      </c>
      <c r="C970" s="15">
        <v>61</v>
      </c>
      <c r="D970" s="15">
        <v>5.71</v>
      </c>
    </row>
    <row r="971" spans="1:4" x14ac:dyDescent="0.2">
      <c r="A971" s="16" t="s">
        <v>3</v>
      </c>
      <c r="B971" s="17" t="s">
        <v>77</v>
      </c>
      <c r="C971" s="17">
        <v>62</v>
      </c>
      <c r="D971" s="17">
        <v>5.41</v>
      </c>
    </row>
    <row r="972" spans="1:4" x14ac:dyDescent="0.2">
      <c r="A972" s="14" t="s">
        <v>3</v>
      </c>
      <c r="B972" s="15" t="s">
        <v>77</v>
      </c>
      <c r="C972" s="15">
        <v>63</v>
      </c>
      <c r="D972" s="15">
        <v>5.14</v>
      </c>
    </row>
    <row r="973" spans="1:4" x14ac:dyDescent="0.2">
      <c r="A973" s="16" t="s">
        <v>3</v>
      </c>
      <c r="B973" s="17" t="s">
        <v>77</v>
      </c>
      <c r="C973" s="17">
        <v>64</v>
      </c>
      <c r="D973" s="17">
        <v>4.8899999999999997</v>
      </c>
    </row>
    <row r="974" spans="1:4" x14ac:dyDescent="0.2">
      <c r="A974" s="14" t="s">
        <v>3</v>
      </c>
      <c r="B974" s="15" t="s">
        <v>77</v>
      </c>
      <c r="C974" s="15">
        <v>65</v>
      </c>
      <c r="D974" s="15">
        <v>4.66</v>
      </c>
    </row>
    <row r="975" spans="1:4" x14ac:dyDescent="0.2">
      <c r="A975" s="16" t="s">
        <v>3</v>
      </c>
      <c r="B975" s="17" t="s">
        <v>77</v>
      </c>
      <c r="C975" s="17">
        <v>66</v>
      </c>
      <c r="D975" s="17">
        <v>4.46</v>
      </c>
    </row>
    <row r="976" spans="1:4" x14ac:dyDescent="0.2">
      <c r="A976" s="14" t="s">
        <v>3</v>
      </c>
      <c r="B976" s="15" t="s">
        <v>77</v>
      </c>
      <c r="C976" s="15">
        <v>67</v>
      </c>
      <c r="D976" s="15">
        <v>4.2699999999999996</v>
      </c>
    </row>
    <row r="977" spans="1:4" x14ac:dyDescent="0.2">
      <c r="A977" s="16" t="s">
        <v>3</v>
      </c>
      <c r="B977" s="17" t="s">
        <v>77</v>
      </c>
      <c r="C977" s="17">
        <v>68</v>
      </c>
      <c r="D977" s="17">
        <v>4.0999999999999996</v>
      </c>
    </row>
    <row r="978" spans="1:4" x14ac:dyDescent="0.2">
      <c r="A978" s="14" t="s">
        <v>3</v>
      </c>
      <c r="B978" s="15" t="s">
        <v>77</v>
      </c>
      <c r="C978" s="15">
        <v>69</v>
      </c>
      <c r="D978" s="15">
        <v>3.93</v>
      </c>
    </row>
    <row r="979" spans="1:4" x14ac:dyDescent="0.2">
      <c r="A979" s="16" t="s">
        <v>3</v>
      </c>
      <c r="B979" s="17" t="s">
        <v>77</v>
      </c>
      <c r="C979" s="17">
        <v>70</v>
      </c>
      <c r="D979" s="17">
        <v>3.78</v>
      </c>
    </row>
    <row r="980" spans="1:4" x14ac:dyDescent="0.2">
      <c r="A980" s="14" t="s">
        <v>3</v>
      </c>
      <c r="B980" s="15" t="s">
        <v>77</v>
      </c>
      <c r="C980" s="15">
        <v>71</v>
      </c>
      <c r="D980" s="15">
        <v>3.63</v>
      </c>
    </row>
    <row r="981" spans="1:4" x14ac:dyDescent="0.2">
      <c r="A981" s="16" t="s">
        <v>3</v>
      </c>
      <c r="B981" s="17" t="s">
        <v>77</v>
      </c>
      <c r="C981" s="17">
        <v>72</v>
      </c>
      <c r="D981" s="17">
        <v>3.49</v>
      </c>
    </row>
    <row r="982" spans="1:4" x14ac:dyDescent="0.2">
      <c r="A982" s="14" t="s">
        <v>3</v>
      </c>
      <c r="B982" s="15" t="s">
        <v>77</v>
      </c>
      <c r="C982" s="15">
        <v>73</v>
      </c>
      <c r="D982" s="15">
        <v>3.35</v>
      </c>
    </row>
    <row r="983" spans="1:4" x14ac:dyDescent="0.2">
      <c r="A983" s="16" t="s">
        <v>3</v>
      </c>
      <c r="B983" s="17" t="s">
        <v>77</v>
      </c>
      <c r="C983" s="17">
        <v>74</v>
      </c>
      <c r="D983" s="17">
        <v>3.23</v>
      </c>
    </row>
    <row r="984" spans="1:4" x14ac:dyDescent="0.2">
      <c r="A984" s="14" t="s">
        <v>3</v>
      </c>
      <c r="B984" s="15" t="s">
        <v>77</v>
      </c>
      <c r="C984" s="15">
        <v>75</v>
      </c>
      <c r="D984" s="15">
        <v>3.11</v>
      </c>
    </row>
    <row r="985" spans="1:4" x14ac:dyDescent="0.2">
      <c r="A985" s="16" t="s">
        <v>3</v>
      </c>
      <c r="B985" s="17" t="s">
        <v>77</v>
      </c>
      <c r="C985" s="17">
        <v>76</v>
      </c>
      <c r="D985" s="17">
        <v>2.99</v>
      </c>
    </row>
    <row r="986" spans="1:4" x14ac:dyDescent="0.2">
      <c r="A986" s="14" t="s">
        <v>3</v>
      </c>
      <c r="B986" s="15" t="s">
        <v>77</v>
      </c>
      <c r="C986" s="15">
        <v>77</v>
      </c>
      <c r="D986" s="15">
        <v>2.88</v>
      </c>
    </row>
    <row r="987" spans="1:4" x14ac:dyDescent="0.2">
      <c r="A987" s="16" t="s">
        <v>3</v>
      </c>
      <c r="B987" s="17" t="s">
        <v>77</v>
      </c>
      <c r="C987" s="17">
        <v>78</v>
      </c>
      <c r="D987" s="17">
        <v>2.78</v>
      </c>
    </row>
    <row r="988" spans="1:4" x14ac:dyDescent="0.2">
      <c r="A988" s="14" t="s">
        <v>3</v>
      </c>
      <c r="B988" s="15" t="s">
        <v>77</v>
      </c>
      <c r="C988" s="15">
        <v>79</v>
      </c>
      <c r="D988" s="15">
        <v>2.68</v>
      </c>
    </row>
    <row r="989" spans="1:4" x14ac:dyDescent="0.2">
      <c r="A989" s="16" t="s">
        <v>3</v>
      </c>
      <c r="B989" s="17" t="s">
        <v>77</v>
      </c>
      <c r="C989" s="17">
        <v>80</v>
      </c>
      <c r="D989" s="17">
        <v>2.58</v>
      </c>
    </row>
    <row r="990" spans="1:4" x14ac:dyDescent="0.2">
      <c r="A990" s="14" t="s">
        <v>3</v>
      </c>
      <c r="B990" s="15" t="s">
        <v>77</v>
      </c>
      <c r="C990" s="15">
        <v>81</v>
      </c>
      <c r="D990" s="15">
        <v>2.4900000000000002</v>
      </c>
    </row>
    <row r="991" spans="1:4" x14ac:dyDescent="0.2">
      <c r="A991" s="16" t="s">
        <v>3</v>
      </c>
      <c r="B991" s="17" t="s">
        <v>77</v>
      </c>
      <c r="C991" s="17">
        <v>82</v>
      </c>
      <c r="D991" s="17">
        <v>2.41</v>
      </c>
    </row>
    <row r="992" spans="1:4" x14ac:dyDescent="0.2">
      <c r="A992" s="14" t="s">
        <v>3</v>
      </c>
      <c r="B992" s="15" t="s">
        <v>77</v>
      </c>
      <c r="C992" s="15">
        <v>83</v>
      </c>
      <c r="D992" s="15">
        <v>2.3199999999999998</v>
      </c>
    </row>
    <row r="993" spans="1:4" x14ac:dyDescent="0.2">
      <c r="A993" s="16" t="s">
        <v>3</v>
      </c>
      <c r="B993" s="17" t="s">
        <v>77</v>
      </c>
      <c r="C993" s="17">
        <v>84</v>
      </c>
      <c r="D993" s="17">
        <v>2.23</v>
      </c>
    </row>
    <row r="994" spans="1:4" x14ac:dyDescent="0.2">
      <c r="A994" s="14" t="s">
        <v>3</v>
      </c>
      <c r="B994" s="15" t="s">
        <v>77</v>
      </c>
      <c r="C994" s="15">
        <v>85</v>
      </c>
      <c r="D994" s="15">
        <v>2.15</v>
      </c>
    </row>
    <row r="995" spans="1:4" x14ac:dyDescent="0.2">
      <c r="A995" s="16" t="s">
        <v>3</v>
      </c>
      <c r="B995" s="17" t="s">
        <v>77</v>
      </c>
      <c r="C995" s="17">
        <v>86</v>
      </c>
      <c r="D995" s="17">
        <v>2.06</v>
      </c>
    </row>
    <row r="996" spans="1:4" x14ac:dyDescent="0.2">
      <c r="A996" s="14" t="s">
        <v>3</v>
      </c>
      <c r="B996" s="15" t="s">
        <v>77</v>
      </c>
      <c r="C996" s="15">
        <v>87</v>
      </c>
      <c r="D996" s="15">
        <v>1.98</v>
      </c>
    </row>
    <row r="997" spans="1:4" x14ac:dyDescent="0.2">
      <c r="A997" s="16" t="s">
        <v>3</v>
      </c>
      <c r="B997" s="17" t="s">
        <v>77</v>
      </c>
      <c r="C997" s="17">
        <v>88</v>
      </c>
      <c r="D997" s="17">
        <v>1.9</v>
      </c>
    </row>
    <row r="998" spans="1:4" x14ac:dyDescent="0.2">
      <c r="A998" s="14" t="s">
        <v>3</v>
      </c>
      <c r="B998" s="15" t="s">
        <v>77</v>
      </c>
      <c r="C998" s="15">
        <v>89</v>
      </c>
      <c r="D998" s="15">
        <v>1.82</v>
      </c>
    </row>
    <row r="999" spans="1:4" x14ac:dyDescent="0.2">
      <c r="A999" s="16" t="s">
        <v>3</v>
      </c>
      <c r="B999" s="17" t="s">
        <v>77</v>
      </c>
      <c r="C999" s="17">
        <v>90</v>
      </c>
      <c r="D999" s="17">
        <v>1.74</v>
      </c>
    </row>
    <row r="1000" spans="1:4" x14ac:dyDescent="0.2">
      <c r="A1000" s="14" t="s">
        <v>2</v>
      </c>
      <c r="B1000" s="15" t="s">
        <v>77</v>
      </c>
      <c r="C1000" s="15">
        <v>18</v>
      </c>
      <c r="D1000" s="15">
        <v>32.1</v>
      </c>
    </row>
    <row r="1001" spans="1:4" x14ac:dyDescent="0.2">
      <c r="A1001" s="16" t="s">
        <v>2</v>
      </c>
      <c r="B1001" s="17" t="s">
        <v>77</v>
      </c>
      <c r="C1001" s="17">
        <v>19</v>
      </c>
      <c r="D1001" s="17">
        <v>31.4</v>
      </c>
    </row>
    <row r="1002" spans="1:4" x14ac:dyDescent="0.2">
      <c r="A1002" s="14" t="s">
        <v>2</v>
      </c>
      <c r="B1002" s="15" t="s">
        <v>77</v>
      </c>
      <c r="C1002" s="15">
        <v>20</v>
      </c>
      <c r="D1002" s="15">
        <v>30.71</v>
      </c>
    </row>
    <row r="1003" spans="1:4" x14ac:dyDescent="0.2">
      <c r="A1003" s="16" t="s">
        <v>2</v>
      </c>
      <c r="B1003" s="17" t="s">
        <v>77</v>
      </c>
      <c r="C1003" s="17">
        <v>21</v>
      </c>
      <c r="D1003" s="17">
        <v>30.04</v>
      </c>
    </row>
    <row r="1004" spans="1:4" x14ac:dyDescent="0.2">
      <c r="A1004" s="14" t="s">
        <v>2</v>
      </c>
      <c r="B1004" s="15" t="s">
        <v>77</v>
      </c>
      <c r="C1004" s="15">
        <v>22</v>
      </c>
      <c r="D1004" s="15">
        <v>29.37</v>
      </c>
    </row>
    <row r="1005" spans="1:4" x14ac:dyDescent="0.2">
      <c r="A1005" s="16" t="s">
        <v>2</v>
      </c>
      <c r="B1005" s="17" t="s">
        <v>77</v>
      </c>
      <c r="C1005" s="17">
        <v>23</v>
      </c>
      <c r="D1005" s="17">
        <v>28.71</v>
      </c>
    </row>
    <row r="1006" spans="1:4" x14ac:dyDescent="0.2">
      <c r="A1006" s="14" t="s">
        <v>2</v>
      </c>
      <c r="B1006" s="15" t="s">
        <v>77</v>
      </c>
      <c r="C1006" s="15">
        <v>24</v>
      </c>
      <c r="D1006" s="15">
        <v>28.06</v>
      </c>
    </row>
    <row r="1007" spans="1:4" x14ac:dyDescent="0.2">
      <c r="A1007" s="16" t="s">
        <v>2</v>
      </c>
      <c r="B1007" s="17" t="s">
        <v>77</v>
      </c>
      <c r="C1007" s="17">
        <v>25</v>
      </c>
      <c r="D1007" s="17">
        <v>27.42</v>
      </c>
    </row>
    <row r="1008" spans="1:4" x14ac:dyDescent="0.2">
      <c r="A1008" s="14" t="s">
        <v>2</v>
      </c>
      <c r="B1008" s="15" t="s">
        <v>77</v>
      </c>
      <c r="C1008" s="15">
        <v>26</v>
      </c>
      <c r="D1008" s="15">
        <v>26.79</v>
      </c>
    </row>
    <row r="1009" spans="1:4" x14ac:dyDescent="0.2">
      <c r="A1009" s="16" t="s">
        <v>2</v>
      </c>
      <c r="B1009" s="17" t="s">
        <v>77</v>
      </c>
      <c r="C1009" s="17">
        <v>27</v>
      </c>
      <c r="D1009" s="17">
        <v>26.16</v>
      </c>
    </row>
    <row r="1010" spans="1:4" x14ac:dyDescent="0.2">
      <c r="A1010" s="14" t="s">
        <v>2</v>
      </c>
      <c r="B1010" s="15" t="s">
        <v>77</v>
      </c>
      <c r="C1010" s="15">
        <v>28</v>
      </c>
      <c r="D1010" s="15">
        <v>25.54</v>
      </c>
    </row>
    <row r="1011" spans="1:4" x14ac:dyDescent="0.2">
      <c r="A1011" s="16" t="s">
        <v>2</v>
      </c>
      <c r="B1011" s="17" t="s">
        <v>77</v>
      </c>
      <c r="C1011" s="17">
        <v>29</v>
      </c>
      <c r="D1011" s="17">
        <v>24.92</v>
      </c>
    </row>
    <row r="1012" spans="1:4" x14ac:dyDescent="0.2">
      <c r="A1012" s="14" t="s">
        <v>2</v>
      </c>
      <c r="B1012" s="15" t="s">
        <v>77</v>
      </c>
      <c r="C1012" s="15">
        <v>30</v>
      </c>
      <c r="D1012" s="15">
        <v>24.3</v>
      </c>
    </row>
    <row r="1013" spans="1:4" x14ac:dyDescent="0.2">
      <c r="A1013" s="16" t="s">
        <v>2</v>
      </c>
      <c r="B1013" s="17" t="s">
        <v>77</v>
      </c>
      <c r="C1013" s="17">
        <v>31</v>
      </c>
      <c r="D1013" s="17">
        <v>23.68</v>
      </c>
    </row>
    <row r="1014" spans="1:4" x14ac:dyDescent="0.2">
      <c r="A1014" s="14" t="s">
        <v>2</v>
      </c>
      <c r="B1014" s="15" t="s">
        <v>77</v>
      </c>
      <c r="C1014" s="15">
        <v>32</v>
      </c>
      <c r="D1014" s="15">
        <v>23.06</v>
      </c>
    </row>
    <row r="1015" spans="1:4" x14ac:dyDescent="0.2">
      <c r="A1015" s="16" t="s">
        <v>2</v>
      </c>
      <c r="B1015" s="17" t="s">
        <v>77</v>
      </c>
      <c r="C1015" s="17">
        <v>33</v>
      </c>
      <c r="D1015" s="17">
        <v>22.45</v>
      </c>
    </row>
    <row r="1016" spans="1:4" x14ac:dyDescent="0.2">
      <c r="A1016" s="14" t="s">
        <v>2</v>
      </c>
      <c r="B1016" s="15" t="s">
        <v>77</v>
      </c>
      <c r="C1016" s="15">
        <v>34</v>
      </c>
      <c r="D1016" s="15">
        <v>21.83</v>
      </c>
    </row>
    <row r="1017" spans="1:4" x14ac:dyDescent="0.2">
      <c r="A1017" s="16" t="s">
        <v>2</v>
      </c>
      <c r="B1017" s="17" t="s">
        <v>77</v>
      </c>
      <c r="C1017" s="17">
        <v>35</v>
      </c>
      <c r="D1017" s="17">
        <v>21.2</v>
      </c>
    </row>
    <row r="1018" spans="1:4" x14ac:dyDescent="0.2">
      <c r="A1018" s="14" t="s">
        <v>2</v>
      </c>
      <c r="B1018" s="15" t="s">
        <v>77</v>
      </c>
      <c r="C1018" s="15">
        <v>36</v>
      </c>
      <c r="D1018" s="15">
        <v>20.57</v>
      </c>
    </row>
    <row r="1019" spans="1:4" x14ac:dyDescent="0.2">
      <c r="A1019" s="16" t="s">
        <v>2</v>
      </c>
      <c r="B1019" s="17" t="s">
        <v>77</v>
      </c>
      <c r="C1019" s="17">
        <v>37</v>
      </c>
      <c r="D1019" s="17">
        <v>19.940000000000001</v>
      </c>
    </row>
    <row r="1020" spans="1:4" x14ac:dyDescent="0.2">
      <c r="A1020" s="14" t="s">
        <v>2</v>
      </c>
      <c r="B1020" s="15" t="s">
        <v>77</v>
      </c>
      <c r="C1020" s="15">
        <v>38</v>
      </c>
      <c r="D1020" s="15">
        <v>19.3</v>
      </c>
    </row>
    <row r="1021" spans="1:4" x14ac:dyDescent="0.2">
      <c r="A1021" s="16" t="s">
        <v>2</v>
      </c>
      <c r="B1021" s="17" t="s">
        <v>77</v>
      </c>
      <c r="C1021" s="17">
        <v>39</v>
      </c>
      <c r="D1021" s="17">
        <v>18.66</v>
      </c>
    </row>
    <row r="1022" spans="1:4" x14ac:dyDescent="0.2">
      <c r="A1022" s="14" t="s">
        <v>2</v>
      </c>
      <c r="B1022" s="15" t="s">
        <v>77</v>
      </c>
      <c r="C1022" s="15">
        <v>40</v>
      </c>
      <c r="D1022" s="15">
        <v>18.02</v>
      </c>
    </row>
    <row r="1023" spans="1:4" x14ac:dyDescent="0.2">
      <c r="A1023" s="16" t="s">
        <v>2</v>
      </c>
      <c r="B1023" s="17" t="s">
        <v>77</v>
      </c>
      <c r="C1023" s="17">
        <v>41</v>
      </c>
      <c r="D1023" s="17">
        <v>17.37</v>
      </c>
    </row>
    <row r="1024" spans="1:4" x14ac:dyDescent="0.2">
      <c r="A1024" s="14" t="s">
        <v>2</v>
      </c>
      <c r="B1024" s="15" t="s">
        <v>77</v>
      </c>
      <c r="C1024" s="15">
        <v>42</v>
      </c>
      <c r="D1024" s="15">
        <v>16.72</v>
      </c>
    </row>
    <row r="1025" spans="1:4" x14ac:dyDescent="0.2">
      <c r="A1025" s="16" t="s">
        <v>2</v>
      </c>
      <c r="B1025" s="17" t="s">
        <v>77</v>
      </c>
      <c r="C1025" s="17">
        <v>43</v>
      </c>
      <c r="D1025" s="17">
        <v>16.079999999999998</v>
      </c>
    </row>
    <row r="1026" spans="1:4" x14ac:dyDescent="0.2">
      <c r="A1026" s="14" t="s">
        <v>2</v>
      </c>
      <c r="B1026" s="15" t="s">
        <v>77</v>
      </c>
      <c r="C1026" s="15">
        <v>44</v>
      </c>
      <c r="D1026" s="15">
        <v>15.44</v>
      </c>
    </row>
    <row r="1027" spans="1:4" x14ac:dyDescent="0.2">
      <c r="A1027" s="16" t="s">
        <v>2</v>
      </c>
      <c r="B1027" s="17" t="s">
        <v>77</v>
      </c>
      <c r="C1027" s="17">
        <v>45</v>
      </c>
      <c r="D1027" s="17">
        <v>14.8</v>
      </c>
    </row>
    <row r="1028" spans="1:4" x14ac:dyDescent="0.2">
      <c r="A1028" s="14" t="s">
        <v>2</v>
      </c>
      <c r="B1028" s="15" t="s">
        <v>77</v>
      </c>
      <c r="C1028" s="15">
        <v>46</v>
      </c>
      <c r="D1028" s="15">
        <v>14.16</v>
      </c>
    </row>
    <row r="1029" spans="1:4" x14ac:dyDescent="0.2">
      <c r="A1029" s="16" t="s">
        <v>2</v>
      </c>
      <c r="B1029" s="17" t="s">
        <v>77</v>
      </c>
      <c r="C1029" s="17">
        <v>47</v>
      </c>
      <c r="D1029" s="17">
        <v>13.53</v>
      </c>
    </row>
    <row r="1030" spans="1:4" x14ac:dyDescent="0.2">
      <c r="A1030" s="14" t="s">
        <v>2</v>
      </c>
      <c r="B1030" s="15" t="s">
        <v>77</v>
      </c>
      <c r="C1030" s="15">
        <v>48</v>
      </c>
      <c r="D1030" s="15">
        <v>12.89</v>
      </c>
    </row>
    <row r="1031" spans="1:4" x14ac:dyDescent="0.2">
      <c r="A1031" s="16" t="s">
        <v>2</v>
      </c>
      <c r="B1031" s="17" t="s">
        <v>77</v>
      </c>
      <c r="C1031" s="17">
        <v>49</v>
      </c>
      <c r="D1031" s="17">
        <v>12.26</v>
      </c>
    </row>
    <row r="1032" spans="1:4" x14ac:dyDescent="0.2">
      <c r="A1032" s="14" t="s">
        <v>2</v>
      </c>
      <c r="B1032" s="15" t="s">
        <v>77</v>
      </c>
      <c r="C1032" s="15">
        <v>50</v>
      </c>
      <c r="D1032" s="15">
        <v>11.63</v>
      </c>
    </row>
    <row r="1033" spans="1:4" x14ac:dyDescent="0.2">
      <c r="A1033" s="16" t="s">
        <v>2</v>
      </c>
      <c r="B1033" s="17" t="s">
        <v>77</v>
      </c>
      <c r="C1033" s="17">
        <v>51</v>
      </c>
      <c r="D1033" s="17">
        <v>11.02</v>
      </c>
    </row>
    <row r="1034" spans="1:4" x14ac:dyDescent="0.2">
      <c r="A1034" s="14" t="s">
        <v>2</v>
      </c>
      <c r="B1034" s="15" t="s">
        <v>77</v>
      </c>
      <c r="C1034" s="15">
        <v>52</v>
      </c>
      <c r="D1034" s="15">
        <v>10.43</v>
      </c>
    </row>
    <row r="1035" spans="1:4" x14ac:dyDescent="0.2">
      <c r="A1035" s="16" t="s">
        <v>2</v>
      </c>
      <c r="B1035" s="17" t="s">
        <v>77</v>
      </c>
      <c r="C1035" s="17">
        <v>53</v>
      </c>
      <c r="D1035" s="17">
        <v>9.85</v>
      </c>
    </row>
    <row r="1036" spans="1:4" x14ac:dyDescent="0.2">
      <c r="A1036" s="14" t="s">
        <v>2</v>
      </c>
      <c r="B1036" s="15" t="s">
        <v>77</v>
      </c>
      <c r="C1036" s="15">
        <v>54</v>
      </c>
      <c r="D1036" s="15">
        <v>9.2899999999999991</v>
      </c>
    </row>
    <row r="1037" spans="1:4" x14ac:dyDescent="0.2">
      <c r="A1037" s="16" t="s">
        <v>2</v>
      </c>
      <c r="B1037" s="17" t="s">
        <v>77</v>
      </c>
      <c r="C1037" s="17">
        <v>55</v>
      </c>
      <c r="D1037" s="17">
        <v>8.73</v>
      </c>
    </row>
    <row r="1038" spans="1:4" x14ac:dyDescent="0.2">
      <c r="A1038" s="14" t="s">
        <v>2</v>
      </c>
      <c r="B1038" s="15" t="s">
        <v>77</v>
      </c>
      <c r="C1038" s="15">
        <v>56</v>
      </c>
      <c r="D1038" s="15">
        <v>8.16</v>
      </c>
    </row>
    <row r="1039" spans="1:4" x14ac:dyDescent="0.2">
      <c r="A1039" s="16" t="s">
        <v>2</v>
      </c>
      <c r="B1039" s="17" t="s">
        <v>77</v>
      </c>
      <c r="C1039" s="17">
        <v>57</v>
      </c>
      <c r="D1039" s="17">
        <v>7.59</v>
      </c>
    </row>
    <row r="1040" spans="1:4" x14ac:dyDescent="0.2">
      <c r="A1040" s="14" t="s">
        <v>2</v>
      </c>
      <c r="B1040" s="15" t="s">
        <v>77</v>
      </c>
      <c r="C1040" s="15">
        <v>58</v>
      </c>
      <c r="D1040" s="15">
        <v>7.03</v>
      </c>
    </row>
    <row r="1041" spans="1:4" x14ac:dyDescent="0.2">
      <c r="A1041" s="16" t="s">
        <v>2</v>
      </c>
      <c r="B1041" s="17" t="s">
        <v>77</v>
      </c>
      <c r="C1041" s="17">
        <v>59</v>
      </c>
      <c r="D1041" s="17">
        <v>6.48</v>
      </c>
    </row>
    <row r="1042" spans="1:4" x14ac:dyDescent="0.2">
      <c r="A1042" s="14" t="s">
        <v>2</v>
      </c>
      <c r="B1042" s="15" t="s">
        <v>77</v>
      </c>
      <c r="C1042" s="15">
        <v>60</v>
      </c>
      <c r="D1042" s="15">
        <v>5.97</v>
      </c>
    </row>
    <row r="1043" spans="1:4" x14ac:dyDescent="0.2">
      <c r="A1043" s="16" t="s">
        <v>2</v>
      </c>
      <c r="B1043" s="17" t="s">
        <v>77</v>
      </c>
      <c r="C1043" s="17">
        <v>61</v>
      </c>
      <c r="D1043" s="17">
        <v>5.51</v>
      </c>
    </row>
    <row r="1044" spans="1:4" x14ac:dyDescent="0.2">
      <c r="A1044" s="14" t="s">
        <v>2</v>
      </c>
      <c r="B1044" s="15" t="s">
        <v>77</v>
      </c>
      <c r="C1044" s="15">
        <v>62</v>
      </c>
      <c r="D1044" s="15">
        <v>5.0999999999999996</v>
      </c>
    </row>
    <row r="1045" spans="1:4" x14ac:dyDescent="0.2">
      <c r="A1045" s="16" t="s">
        <v>2</v>
      </c>
      <c r="B1045" s="17" t="s">
        <v>77</v>
      </c>
      <c r="C1045" s="17">
        <v>63</v>
      </c>
      <c r="D1045" s="17">
        <v>4.74</v>
      </c>
    </row>
    <row r="1046" spans="1:4" x14ac:dyDescent="0.2">
      <c r="A1046" s="14" t="s">
        <v>2</v>
      </c>
      <c r="B1046" s="15" t="s">
        <v>77</v>
      </c>
      <c r="C1046" s="15">
        <v>64</v>
      </c>
      <c r="D1046" s="15">
        <v>4.42</v>
      </c>
    </row>
    <row r="1047" spans="1:4" x14ac:dyDescent="0.2">
      <c r="A1047" s="16" t="s">
        <v>2</v>
      </c>
      <c r="B1047" s="17" t="s">
        <v>77</v>
      </c>
      <c r="C1047" s="17">
        <v>65</v>
      </c>
      <c r="D1047" s="17">
        <v>4.1399999999999997</v>
      </c>
    </row>
    <row r="1048" spans="1:4" x14ac:dyDescent="0.2">
      <c r="A1048" s="14" t="s">
        <v>2</v>
      </c>
      <c r="B1048" s="15" t="s">
        <v>77</v>
      </c>
      <c r="C1048" s="15">
        <v>66</v>
      </c>
      <c r="D1048" s="15">
        <v>3.88</v>
      </c>
    </row>
    <row r="1049" spans="1:4" x14ac:dyDescent="0.2">
      <c r="A1049" s="16" t="s">
        <v>2</v>
      </c>
      <c r="B1049" s="17" t="s">
        <v>77</v>
      </c>
      <c r="C1049" s="17">
        <v>67</v>
      </c>
      <c r="D1049" s="17">
        <v>3.66</v>
      </c>
    </row>
    <row r="1050" spans="1:4" x14ac:dyDescent="0.2">
      <c r="A1050" s="14" t="s">
        <v>2</v>
      </c>
      <c r="B1050" s="15" t="s">
        <v>77</v>
      </c>
      <c r="C1050" s="15">
        <v>68</v>
      </c>
      <c r="D1050" s="15">
        <v>3.45</v>
      </c>
    </row>
    <row r="1051" spans="1:4" x14ac:dyDescent="0.2">
      <c r="A1051" s="16" t="s">
        <v>2</v>
      </c>
      <c r="B1051" s="17" t="s">
        <v>77</v>
      </c>
      <c r="C1051" s="17">
        <v>69</v>
      </c>
      <c r="D1051" s="17">
        <v>3.26</v>
      </c>
    </row>
    <row r="1052" spans="1:4" x14ac:dyDescent="0.2">
      <c r="A1052" s="14" t="s">
        <v>2</v>
      </c>
      <c r="B1052" s="15" t="s">
        <v>77</v>
      </c>
      <c r="C1052" s="15">
        <v>70</v>
      </c>
      <c r="D1052" s="15">
        <v>3.09</v>
      </c>
    </row>
    <row r="1053" spans="1:4" x14ac:dyDescent="0.2">
      <c r="A1053" s="16" t="s">
        <v>2</v>
      </c>
      <c r="B1053" s="17" t="s">
        <v>77</v>
      </c>
      <c r="C1053" s="17">
        <v>71</v>
      </c>
      <c r="D1053" s="17">
        <v>2.92</v>
      </c>
    </row>
    <row r="1054" spans="1:4" x14ac:dyDescent="0.2">
      <c r="A1054" s="14" t="s">
        <v>2</v>
      </c>
      <c r="B1054" s="15" t="s">
        <v>77</v>
      </c>
      <c r="C1054" s="15">
        <v>72</v>
      </c>
      <c r="D1054" s="15">
        <v>2.77</v>
      </c>
    </row>
    <row r="1055" spans="1:4" x14ac:dyDescent="0.2">
      <c r="A1055" s="16" t="s">
        <v>2</v>
      </c>
      <c r="B1055" s="17" t="s">
        <v>77</v>
      </c>
      <c r="C1055" s="17">
        <v>73</v>
      </c>
      <c r="D1055" s="17">
        <v>2.63</v>
      </c>
    </row>
    <row r="1056" spans="1:4" x14ac:dyDescent="0.2">
      <c r="A1056" s="14" t="s">
        <v>2</v>
      </c>
      <c r="B1056" s="15" t="s">
        <v>77</v>
      </c>
      <c r="C1056" s="15">
        <v>74</v>
      </c>
      <c r="D1056" s="15">
        <v>2.4900000000000002</v>
      </c>
    </row>
    <row r="1057" spans="1:4" x14ac:dyDescent="0.2">
      <c r="A1057" s="16" t="s">
        <v>2</v>
      </c>
      <c r="B1057" s="17" t="s">
        <v>77</v>
      </c>
      <c r="C1057" s="17">
        <v>75</v>
      </c>
      <c r="D1057" s="17">
        <v>2.37</v>
      </c>
    </row>
    <row r="1058" spans="1:4" x14ac:dyDescent="0.2">
      <c r="A1058" s="14" t="s">
        <v>2</v>
      </c>
      <c r="B1058" s="15" t="s">
        <v>77</v>
      </c>
      <c r="C1058" s="15">
        <v>76</v>
      </c>
      <c r="D1058" s="15">
        <v>2.2599999999999998</v>
      </c>
    </row>
    <row r="1059" spans="1:4" x14ac:dyDescent="0.2">
      <c r="A1059" s="16" t="s">
        <v>2</v>
      </c>
      <c r="B1059" s="17" t="s">
        <v>77</v>
      </c>
      <c r="C1059" s="17">
        <v>77</v>
      </c>
      <c r="D1059" s="17">
        <v>2.16</v>
      </c>
    </row>
    <row r="1060" spans="1:4" x14ac:dyDescent="0.2">
      <c r="A1060" s="14" t="s">
        <v>2</v>
      </c>
      <c r="B1060" s="15" t="s">
        <v>77</v>
      </c>
      <c r="C1060" s="15">
        <v>78</v>
      </c>
      <c r="D1060" s="15">
        <v>2.06</v>
      </c>
    </row>
    <row r="1061" spans="1:4" x14ac:dyDescent="0.2">
      <c r="A1061" s="16" t="s">
        <v>2</v>
      </c>
      <c r="B1061" s="17" t="s">
        <v>77</v>
      </c>
      <c r="C1061" s="17">
        <v>79</v>
      </c>
      <c r="D1061" s="17">
        <v>1.98</v>
      </c>
    </row>
    <row r="1062" spans="1:4" x14ac:dyDescent="0.2">
      <c r="A1062" s="14" t="s">
        <v>2</v>
      </c>
      <c r="B1062" s="15" t="s">
        <v>77</v>
      </c>
      <c r="C1062" s="15">
        <v>80</v>
      </c>
      <c r="D1062" s="15">
        <v>1.89</v>
      </c>
    </row>
    <row r="1063" spans="1:4" x14ac:dyDescent="0.2">
      <c r="A1063" s="16" t="s">
        <v>2</v>
      </c>
      <c r="B1063" s="17" t="s">
        <v>77</v>
      </c>
      <c r="C1063" s="17">
        <v>81</v>
      </c>
      <c r="D1063" s="17">
        <v>1.82</v>
      </c>
    </row>
    <row r="1064" spans="1:4" x14ac:dyDescent="0.2">
      <c r="A1064" s="14" t="s">
        <v>2</v>
      </c>
      <c r="B1064" s="15" t="s">
        <v>77</v>
      </c>
      <c r="C1064" s="15">
        <v>82</v>
      </c>
      <c r="D1064" s="15">
        <v>1.74</v>
      </c>
    </row>
    <row r="1065" spans="1:4" x14ac:dyDescent="0.2">
      <c r="A1065" s="16" t="s">
        <v>2</v>
      </c>
      <c r="B1065" s="17" t="s">
        <v>77</v>
      </c>
      <c r="C1065" s="17">
        <v>83</v>
      </c>
      <c r="D1065" s="17">
        <v>1.67</v>
      </c>
    </row>
    <row r="1066" spans="1:4" x14ac:dyDescent="0.2">
      <c r="A1066" s="14" t="s">
        <v>2</v>
      </c>
      <c r="B1066" s="15" t="s">
        <v>77</v>
      </c>
      <c r="C1066" s="15">
        <v>84</v>
      </c>
      <c r="D1066" s="15">
        <v>1.6</v>
      </c>
    </row>
    <row r="1067" spans="1:4" x14ac:dyDescent="0.2">
      <c r="A1067" s="16" t="s">
        <v>2</v>
      </c>
      <c r="B1067" s="17" t="s">
        <v>77</v>
      </c>
      <c r="C1067" s="17">
        <v>85</v>
      </c>
      <c r="D1067" s="17">
        <v>1.54</v>
      </c>
    </row>
    <row r="1068" spans="1:4" x14ac:dyDescent="0.2">
      <c r="A1068" s="14" t="s">
        <v>2</v>
      </c>
      <c r="B1068" s="15" t="s">
        <v>77</v>
      </c>
      <c r="C1068" s="15">
        <v>86</v>
      </c>
      <c r="D1068" s="15">
        <v>1.48</v>
      </c>
    </row>
    <row r="1069" spans="1:4" x14ac:dyDescent="0.2">
      <c r="A1069" s="16" t="s">
        <v>2</v>
      </c>
      <c r="B1069" s="17" t="s">
        <v>77</v>
      </c>
      <c r="C1069" s="17">
        <v>87</v>
      </c>
      <c r="D1069" s="17">
        <v>1.42</v>
      </c>
    </row>
    <row r="1070" spans="1:4" x14ac:dyDescent="0.2">
      <c r="A1070" s="14" t="s">
        <v>2</v>
      </c>
      <c r="B1070" s="15" t="s">
        <v>77</v>
      </c>
      <c r="C1070" s="15">
        <v>88</v>
      </c>
      <c r="D1070" s="15">
        <v>1.37</v>
      </c>
    </row>
    <row r="1071" spans="1:4" x14ac:dyDescent="0.2">
      <c r="A1071" s="16" t="s">
        <v>2</v>
      </c>
      <c r="B1071" s="17" t="s">
        <v>77</v>
      </c>
      <c r="C1071" s="17">
        <v>89</v>
      </c>
      <c r="D1071" s="17">
        <v>1.32</v>
      </c>
    </row>
    <row r="1072" spans="1:4" x14ac:dyDescent="0.2">
      <c r="A1072" s="14" t="s">
        <v>2</v>
      </c>
      <c r="B1072" s="15" t="s">
        <v>77</v>
      </c>
      <c r="C1072" s="15">
        <v>90</v>
      </c>
      <c r="D1072" s="15">
        <v>1.26</v>
      </c>
    </row>
    <row r="1073" spans="1:4" x14ac:dyDescent="0.2">
      <c r="A1073" s="16" t="s">
        <v>72</v>
      </c>
      <c r="B1073" s="17" t="s">
        <v>77</v>
      </c>
      <c r="C1073" s="17">
        <v>20</v>
      </c>
      <c r="D1073" s="17">
        <v>33.159999999999997</v>
      </c>
    </row>
    <row r="1074" spans="1:4" x14ac:dyDescent="0.2">
      <c r="A1074" s="14" t="s">
        <v>72</v>
      </c>
      <c r="B1074" s="15" t="s">
        <v>77</v>
      </c>
      <c r="C1074" s="15">
        <v>21</v>
      </c>
      <c r="D1074" s="15">
        <v>32.39</v>
      </c>
    </row>
    <row r="1075" spans="1:4" x14ac:dyDescent="0.2">
      <c r="A1075" s="16" t="s">
        <v>72</v>
      </c>
      <c r="B1075" s="17" t="s">
        <v>77</v>
      </c>
      <c r="C1075" s="17">
        <v>22</v>
      </c>
      <c r="D1075" s="17">
        <v>31.63</v>
      </c>
    </row>
    <row r="1076" spans="1:4" x14ac:dyDescent="0.2">
      <c r="A1076" s="14" t="s">
        <v>72</v>
      </c>
      <c r="B1076" s="15" t="s">
        <v>77</v>
      </c>
      <c r="C1076" s="15">
        <v>23</v>
      </c>
      <c r="D1076" s="15">
        <v>30.9</v>
      </c>
    </row>
    <row r="1077" spans="1:4" x14ac:dyDescent="0.2">
      <c r="A1077" s="16" t="s">
        <v>72</v>
      </c>
      <c r="B1077" s="17" t="s">
        <v>77</v>
      </c>
      <c r="C1077" s="17">
        <v>24</v>
      </c>
      <c r="D1077" s="17">
        <v>30.19</v>
      </c>
    </row>
    <row r="1078" spans="1:4" x14ac:dyDescent="0.2">
      <c r="A1078" s="14" t="s">
        <v>72</v>
      </c>
      <c r="B1078" s="15" t="s">
        <v>77</v>
      </c>
      <c r="C1078" s="15">
        <v>25</v>
      </c>
      <c r="D1078" s="15">
        <v>29.49</v>
      </c>
    </row>
    <row r="1079" spans="1:4" x14ac:dyDescent="0.2">
      <c r="A1079" s="16" t="s">
        <v>72</v>
      </c>
      <c r="B1079" s="17" t="s">
        <v>77</v>
      </c>
      <c r="C1079" s="17">
        <v>26</v>
      </c>
      <c r="D1079" s="17">
        <v>28.8</v>
      </c>
    </row>
    <row r="1080" spans="1:4" x14ac:dyDescent="0.2">
      <c r="A1080" s="14" t="s">
        <v>72</v>
      </c>
      <c r="B1080" s="15" t="s">
        <v>77</v>
      </c>
      <c r="C1080" s="15">
        <v>27</v>
      </c>
      <c r="D1080" s="15">
        <v>28.12</v>
      </c>
    </row>
    <row r="1081" spans="1:4" x14ac:dyDescent="0.2">
      <c r="A1081" s="16" t="s">
        <v>72</v>
      </c>
      <c r="B1081" s="17" t="s">
        <v>77</v>
      </c>
      <c r="C1081" s="17">
        <v>28</v>
      </c>
      <c r="D1081" s="17">
        <v>27.45</v>
      </c>
    </row>
    <row r="1082" spans="1:4" x14ac:dyDescent="0.2">
      <c r="A1082" s="14" t="s">
        <v>72</v>
      </c>
      <c r="B1082" s="15" t="s">
        <v>77</v>
      </c>
      <c r="C1082" s="15">
        <v>29</v>
      </c>
      <c r="D1082" s="15">
        <v>26.78</v>
      </c>
    </row>
    <row r="1083" spans="1:4" x14ac:dyDescent="0.2">
      <c r="A1083" s="16" t="s">
        <v>72</v>
      </c>
      <c r="B1083" s="17" t="s">
        <v>77</v>
      </c>
      <c r="C1083" s="17">
        <v>30</v>
      </c>
      <c r="D1083" s="17">
        <v>26.1</v>
      </c>
    </row>
    <row r="1084" spans="1:4" x14ac:dyDescent="0.2">
      <c r="A1084" s="14" t="s">
        <v>72</v>
      </c>
      <c r="B1084" s="15" t="s">
        <v>77</v>
      </c>
      <c r="C1084" s="15">
        <v>31</v>
      </c>
      <c r="D1084" s="15">
        <v>25.43</v>
      </c>
    </row>
    <row r="1085" spans="1:4" x14ac:dyDescent="0.2">
      <c r="A1085" s="16" t="s">
        <v>72</v>
      </c>
      <c r="B1085" s="17" t="s">
        <v>77</v>
      </c>
      <c r="C1085" s="17">
        <v>32</v>
      </c>
      <c r="D1085" s="17">
        <v>24.74</v>
      </c>
    </row>
    <row r="1086" spans="1:4" x14ac:dyDescent="0.2">
      <c r="A1086" s="14" t="s">
        <v>72</v>
      </c>
      <c r="B1086" s="15" t="s">
        <v>77</v>
      </c>
      <c r="C1086" s="15">
        <v>33</v>
      </c>
      <c r="D1086" s="15">
        <v>24.06</v>
      </c>
    </row>
    <row r="1087" spans="1:4" x14ac:dyDescent="0.2">
      <c r="A1087" s="16" t="s">
        <v>72</v>
      </c>
      <c r="B1087" s="17" t="s">
        <v>77</v>
      </c>
      <c r="C1087" s="17">
        <v>34</v>
      </c>
      <c r="D1087" s="17">
        <v>23.38</v>
      </c>
    </row>
    <row r="1088" spans="1:4" x14ac:dyDescent="0.2">
      <c r="A1088" s="14" t="s">
        <v>72</v>
      </c>
      <c r="B1088" s="15" t="s">
        <v>77</v>
      </c>
      <c r="C1088" s="15">
        <v>35</v>
      </c>
      <c r="D1088" s="15">
        <v>22.7</v>
      </c>
    </row>
    <row r="1089" spans="1:4" x14ac:dyDescent="0.2">
      <c r="A1089" s="16" t="s">
        <v>72</v>
      </c>
      <c r="B1089" s="17" t="s">
        <v>77</v>
      </c>
      <c r="C1089" s="17">
        <v>36</v>
      </c>
      <c r="D1089" s="17">
        <v>22.02</v>
      </c>
    </row>
    <row r="1090" spans="1:4" x14ac:dyDescent="0.2">
      <c r="A1090" s="14" t="s">
        <v>72</v>
      </c>
      <c r="B1090" s="15" t="s">
        <v>77</v>
      </c>
      <c r="C1090" s="15">
        <v>37</v>
      </c>
      <c r="D1090" s="15">
        <v>21.34</v>
      </c>
    </row>
    <row r="1091" spans="1:4" x14ac:dyDescent="0.2">
      <c r="A1091" s="16" t="s">
        <v>72</v>
      </c>
      <c r="B1091" s="17" t="s">
        <v>77</v>
      </c>
      <c r="C1091" s="17">
        <v>38</v>
      </c>
      <c r="D1091" s="17">
        <v>20.65</v>
      </c>
    </row>
    <row r="1092" spans="1:4" x14ac:dyDescent="0.2">
      <c r="A1092" s="14" t="s">
        <v>72</v>
      </c>
      <c r="B1092" s="15" t="s">
        <v>77</v>
      </c>
      <c r="C1092" s="15">
        <v>39</v>
      </c>
      <c r="D1092" s="15">
        <v>19.96</v>
      </c>
    </row>
    <row r="1093" spans="1:4" x14ac:dyDescent="0.2">
      <c r="A1093" s="16" t="s">
        <v>72</v>
      </c>
      <c r="B1093" s="17" t="s">
        <v>77</v>
      </c>
      <c r="C1093" s="17">
        <v>40</v>
      </c>
      <c r="D1093" s="17">
        <v>19.25</v>
      </c>
    </row>
    <row r="1094" spans="1:4" x14ac:dyDescent="0.2">
      <c r="A1094" s="14" t="s">
        <v>72</v>
      </c>
      <c r="B1094" s="15" t="s">
        <v>77</v>
      </c>
      <c r="C1094" s="15">
        <v>41</v>
      </c>
      <c r="D1094" s="15">
        <v>18.55</v>
      </c>
    </row>
    <row r="1095" spans="1:4" x14ac:dyDescent="0.2">
      <c r="A1095" s="16" t="s">
        <v>72</v>
      </c>
      <c r="B1095" s="17" t="s">
        <v>77</v>
      </c>
      <c r="C1095" s="17">
        <v>42</v>
      </c>
      <c r="D1095" s="17">
        <v>17.84</v>
      </c>
    </row>
    <row r="1096" spans="1:4" x14ac:dyDescent="0.2">
      <c r="A1096" s="14" t="s">
        <v>72</v>
      </c>
      <c r="B1096" s="15" t="s">
        <v>77</v>
      </c>
      <c r="C1096" s="15">
        <v>43</v>
      </c>
      <c r="D1096" s="15">
        <v>17.14</v>
      </c>
    </row>
    <row r="1097" spans="1:4" x14ac:dyDescent="0.2">
      <c r="A1097" s="16" t="s">
        <v>72</v>
      </c>
      <c r="B1097" s="17" t="s">
        <v>77</v>
      </c>
      <c r="C1097" s="17">
        <v>44</v>
      </c>
      <c r="D1097" s="17">
        <v>16.46</v>
      </c>
    </row>
    <row r="1098" spans="1:4" x14ac:dyDescent="0.2">
      <c r="A1098" s="14" t="s">
        <v>72</v>
      </c>
      <c r="B1098" s="15" t="s">
        <v>77</v>
      </c>
      <c r="C1098" s="15">
        <v>45</v>
      </c>
      <c r="D1098" s="15">
        <v>15.78</v>
      </c>
    </row>
    <row r="1099" spans="1:4" x14ac:dyDescent="0.2">
      <c r="A1099" s="16" t="s">
        <v>72</v>
      </c>
      <c r="B1099" s="17" t="s">
        <v>77</v>
      </c>
      <c r="C1099" s="17">
        <v>46</v>
      </c>
      <c r="D1099" s="17">
        <v>15.12</v>
      </c>
    </row>
    <row r="1100" spans="1:4" x14ac:dyDescent="0.2">
      <c r="A1100" s="14" t="s">
        <v>72</v>
      </c>
      <c r="B1100" s="15" t="s">
        <v>77</v>
      </c>
      <c r="C1100" s="15">
        <v>47</v>
      </c>
      <c r="D1100" s="15">
        <v>14.46</v>
      </c>
    </row>
    <row r="1101" spans="1:4" x14ac:dyDescent="0.2">
      <c r="A1101" s="16" t="s">
        <v>72</v>
      </c>
      <c r="B1101" s="17" t="s">
        <v>77</v>
      </c>
      <c r="C1101" s="17">
        <v>48</v>
      </c>
      <c r="D1101" s="17">
        <v>13.8</v>
      </c>
    </row>
    <row r="1102" spans="1:4" x14ac:dyDescent="0.2">
      <c r="A1102" s="14" t="s">
        <v>72</v>
      </c>
      <c r="B1102" s="15" t="s">
        <v>77</v>
      </c>
      <c r="C1102" s="15">
        <v>49</v>
      </c>
      <c r="D1102" s="15">
        <v>13.15</v>
      </c>
    </row>
    <row r="1103" spans="1:4" x14ac:dyDescent="0.2">
      <c r="A1103" s="16" t="s">
        <v>72</v>
      </c>
      <c r="B1103" s="17" t="s">
        <v>77</v>
      </c>
      <c r="C1103" s="17">
        <v>50</v>
      </c>
      <c r="D1103" s="17">
        <v>12.5</v>
      </c>
    </row>
    <row r="1104" spans="1:4" x14ac:dyDescent="0.2">
      <c r="A1104" s="14" t="s">
        <v>72</v>
      </c>
      <c r="B1104" s="15" t="s">
        <v>77</v>
      </c>
      <c r="C1104" s="15">
        <v>51</v>
      </c>
      <c r="D1104" s="15">
        <v>11.87</v>
      </c>
    </row>
    <row r="1105" spans="1:4" x14ac:dyDescent="0.2">
      <c r="A1105" s="16" t="s">
        <v>72</v>
      </c>
      <c r="B1105" s="17" t="s">
        <v>77</v>
      </c>
      <c r="C1105" s="17">
        <v>52</v>
      </c>
      <c r="D1105" s="17">
        <v>11.25</v>
      </c>
    </row>
    <row r="1106" spans="1:4" x14ac:dyDescent="0.2">
      <c r="A1106" s="14" t="s">
        <v>72</v>
      </c>
      <c r="B1106" s="15" t="s">
        <v>77</v>
      </c>
      <c r="C1106" s="15">
        <v>53</v>
      </c>
      <c r="D1106" s="15">
        <v>10.65</v>
      </c>
    </row>
    <row r="1107" spans="1:4" x14ac:dyDescent="0.2">
      <c r="A1107" s="16" t="s">
        <v>72</v>
      </c>
      <c r="B1107" s="17" t="s">
        <v>77</v>
      </c>
      <c r="C1107" s="17">
        <v>54</v>
      </c>
      <c r="D1107" s="17">
        <v>10.07</v>
      </c>
    </row>
    <row r="1108" spans="1:4" x14ac:dyDescent="0.2">
      <c r="A1108" s="14" t="s">
        <v>72</v>
      </c>
      <c r="B1108" s="15" t="s">
        <v>77</v>
      </c>
      <c r="C1108" s="15">
        <v>55</v>
      </c>
      <c r="D1108" s="15">
        <v>9.49</v>
      </c>
    </row>
    <row r="1109" spans="1:4" x14ac:dyDescent="0.2">
      <c r="A1109" s="16" t="s">
        <v>72</v>
      </c>
      <c r="B1109" s="17" t="s">
        <v>77</v>
      </c>
      <c r="C1109" s="17">
        <v>56</v>
      </c>
      <c r="D1109" s="17">
        <v>8.9</v>
      </c>
    </row>
    <row r="1110" spans="1:4" x14ac:dyDescent="0.2">
      <c r="A1110" s="14" t="s">
        <v>72</v>
      </c>
      <c r="B1110" s="15" t="s">
        <v>77</v>
      </c>
      <c r="C1110" s="15">
        <v>57</v>
      </c>
      <c r="D1110" s="15">
        <v>8.32</v>
      </c>
    </row>
    <row r="1111" spans="1:4" x14ac:dyDescent="0.2">
      <c r="A1111" s="16" t="s">
        <v>72</v>
      </c>
      <c r="B1111" s="17" t="s">
        <v>77</v>
      </c>
      <c r="C1111" s="17">
        <v>58</v>
      </c>
      <c r="D1111" s="17">
        <v>7.74</v>
      </c>
    </row>
    <row r="1112" spans="1:4" x14ac:dyDescent="0.2">
      <c r="A1112" s="14" t="s">
        <v>72</v>
      </c>
      <c r="B1112" s="15" t="s">
        <v>77</v>
      </c>
      <c r="C1112" s="15">
        <v>59</v>
      </c>
      <c r="D1112" s="15">
        <v>7.18</v>
      </c>
    </row>
    <row r="1113" spans="1:4" x14ac:dyDescent="0.2">
      <c r="A1113" s="16" t="s">
        <v>72</v>
      </c>
      <c r="B1113" s="17" t="s">
        <v>77</v>
      </c>
      <c r="C1113" s="17">
        <v>60</v>
      </c>
      <c r="D1113" s="17">
        <v>6.64</v>
      </c>
    </row>
    <row r="1114" spans="1:4" x14ac:dyDescent="0.2">
      <c r="A1114" s="14" t="s">
        <v>72</v>
      </c>
      <c r="B1114" s="15" t="s">
        <v>77</v>
      </c>
      <c r="C1114" s="15">
        <v>61</v>
      </c>
      <c r="D1114" s="15">
        <v>6.13</v>
      </c>
    </row>
    <row r="1115" spans="1:4" x14ac:dyDescent="0.2">
      <c r="A1115" s="16" t="s">
        <v>72</v>
      </c>
      <c r="B1115" s="17" t="s">
        <v>77</v>
      </c>
      <c r="C1115" s="17">
        <v>62</v>
      </c>
      <c r="D1115" s="17">
        <v>5.67</v>
      </c>
    </row>
    <row r="1116" spans="1:4" x14ac:dyDescent="0.2">
      <c r="A1116" s="14" t="s">
        <v>72</v>
      </c>
      <c r="B1116" s="15" t="s">
        <v>77</v>
      </c>
      <c r="C1116" s="15">
        <v>63</v>
      </c>
      <c r="D1116" s="15">
        <v>5.27</v>
      </c>
    </row>
    <row r="1117" spans="1:4" x14ac:dyDescent="0.2">
      <c r="A1117" s="16" t="s">
        <v>72</v>
      </c>
      <c r="B1117" s="17" t="s">
        <v>77</v>
      </c>
      <c r="C1117" s="17">
        <v>64</v>
      </c>
      <c r="D1117" s="17">
        <v>4.91</v>
      </c>
    </row>
    <row r="1118" spans="1:4" x14ac:dyDescent="0.2">
      <c r="A1118" s="14" t="s">
        <v>72</v>
      </c>
      <c r="B1118" s="15" t="s">
        <v>77</v>
      </c>
      <c r="C1118" s="15">
        <v>65</v>
      </c>
      <c r="D1118" s="15">
        <v>4.5999999999999996</v>
      </c>
    </row>
    <row r="1119" spans="1:4" x14ac:dyDescent="0.2">
      <c r="A1119" s="16" t="s">
        <v>72</v>
      </c>
      <c r="B1119" s="17" t="s">
        <v>77</v>
      </c>
      <c r="C1119" s="17">
        <v>66</v>
      </c>
      <c r="D1119" s="17">
        <v>4.33</v>
      </c>
    </row>
    <row r="1120" spans="1:4" x14ac:dyDescent="0.2">
      <c r="A1120" s="14" t="s">
        <v>72</v>
      </c>
      <c r="B1120" s="15" t="s">
        <v>77</v>
      </c>
      <c r="C1120" s="15">
        <v>67</v>
      </c>
      <c r="D1120" s="15">
        <v>4.09</v>
      </c>
    </row>
    <row r="1121" spans="1:4" x14ac:dyDescent="0.2">
      <c r="A1121" s="16" t="s">
        <v>72</v>
      </c>
      <c r="B1121" s="17" t="s">
        <v>77</v>
      </c>
      <c r="C1121" s="17">
        <v>68</v>
      </c>
      <c r="D1121" s="17">
        <v>3.88</v>
      </c>
    </row>
    <row r="1122" spans="1:4" x14ac:dyDescent="0.2">
      <c r="A1122" s="14" t="s">
        <v>72</v>
      </c>
      <c r="B1122" s="15" t="s">
        <v>77</v>
      </c>
      <c r="C1122" s="15">
        <v>69</v>
      </c>
      <c r="D1122" s="15">
        <v>3.7</v>
      </c>
    </row>
    <row r="1123" spans="1:4" x14ac:dyDescent="0.2">
      <c r="A1123" s="16" t="s">
        <v>72</v>
      </c>
      <c r="B1123" s="17" t="s">
        <v>77</v>
      </c>
      <c r="C1123" s="17">
        <v>70</v>
      </c>
      <c r="D1123" s="17">
        <v>3.52</v>
      </c>
    </row>
    <row r="1124" spans="1:4" x14ac:dyDescent="0.2">
      <c r="A1124" s="14" t="s">
        <v>72</v>
      </c>
      <c r="B1124" s="15" t="s">
        <v>77</v>
      </c>
      <c r="C1124" s="15">
        <v>71</v>
      </c>
      <c r="D1124" s="15">
        <v>3.35</v>
      </c>
    </row>
    <row r="1125" spans="1:4" x14ac:dyDescent="0.2">
      <c r="A1125" s="16" t="s">
        <v>72</v>
      </c>
      <c r="B1125" s="17" t="s">
        <v>77</v>
      </c>
      <c r="C1125" s="17">
        <v>72</v>
      </c>
      <c r="D1125" s="17">
        <v>3.2</v>
      </c>
    </row>
    <row r="1126" spans="1:4" x14ac:dyDescent="0.2">
      <c r="A1126" s="14" t="s">
        <v>72</v>
      </c>
      <c r="B1126" s="15" t="s">
        <v>77</v>
      </c>
      <c r="C1126" s="15">
        <v>73</v>
      </c>
      <c r="D1126" s="15">
        <v>3.05</v>
      </c>
    </row>
    <row r="1127" spans="1:4" x14ac:dyDescent="0.2">
      <c r="A1127" s="16" t="s">
        <v>72</v>
      </c>
      <c r="B1127" s="17" t="s">
        <v>77</v>
      </c>
      <c r="C1127" s="17">
        <v>74</v>
      </c>
      <c r="D1127" s="17">
        <v>2.91</v>
      </c>
    </row>
    <row r="1128" spans="1:4" x14ac:dyDescent="0.2">
      <c r="A1128" s="14" t="s">
        <v>72</v>
      </c>
      <c r="B1128" s="15" t="s">
        <v>77</v>
      </c>
      <c r="C1128" s="15">
        <v>75</v>
      </c>
      <c r="D1128" s="15">
        <v>2.79</v>
      </c>
    </row>
    <row r="1129" spans="1:4" x14ac:dyDescent="0.2">
      <c r="A1129" s="16" t="s">
        <v>72</v>
      </c>
      <c r="B1129" s="17" t="s">
        <v>77</v>
      </c>
      <c r="C1129" s="17">
        <v>76</v>
      </c>
      <c r="D1129" s="17">
        <v>2.67</v>
      </c>
    </row>
    <row r="1130" spans="1:4" x14ac:dyDescent="0.2">
      <c r="A1130" s="14" t="s">
        <v>72</v>
      </c>
      <c r="B1130" s="15" t="s">
        <v>77</v>
      </c>
      <c r="C1130" s="15">
        <v>77</v>
      </c>
      <c r="D1130" s="15">
        <v>2.56</v>
      </c>
    </row>
    <row r="1131" spans="1:4" x14ac:dyDescent="0.2">
      <c r="A1131" s="16" t="s">
        <v>72</v>
      </c>
      <c r="B1131" s="17" t="s">
        <v>77</v>
      </c>
      <c r="C1131" s="17">
        <v>78</v>
      </c>
      <c r="D1131" s="17">
        <v>2.46</v>
      </c>
    </row>
    <row r="1132" spans="1:4" x14ac:dyDescent="0.2">
      <c r="A1132" s="14" t="s">
        <v>72</v>
      </c>
      <c r="B1132" s="15" t="s">
        <v>77</v>
      </c>
      <c r="C1132" s="15">
        <v>79</v>
      </c>
      <c r="D1132" s="15">
        <v>2.36</v>
      </c>
    </row>
    <row r="1133" spans="1:4" x14ac:dyDescent="0.2">
      <c r="A1133" s="16" t="s">
        <v>72</v>
      </c>
      <c r="B1133" s="17" t="s">
        <v>77</v>
      </c>
      <c r="C1133" s="17">
        <v>80</v>
      </c>
      <c r="D1133" s="17">
        <v>2.2599999999999998</v>
      </c>
    </row>
    <row r="1134" spans="1:4" x14ac:dyDescent="0.2">
      <c r="A1134" s="14" t="s">
        <v>72</v>
      </c>
      <c r="B1134" s="15" t="s">
        <v>77</v>
      </c>
      <c r="C1134" s="15">
        <v>81</v>
      </c>
      <c r="D1134" s="15">
        <v>2.17</v>
      </c>
    </row>
    <row r="1135" spans="1:4" x14ac:dyDescent="0.2">
      <c r="A1135" s="16" t="s">
        <v>72</v>
      </c>
      <c r="B1135" s="17" t="s">
        <v>77</v>
      </c>
      <c r="C1135" s="17">
        <v>82</v>
      </c>
      <c r="D1135" s="17">
        <v>2.08</v>
      </c>
    </row>
    <row r="1136" spans="1:4" x14ac:dyDescent="0.2">
      <c r="A1136" s="14" t="s">
        <v>72</v>
      </c>
      <c r="B1136" s="15" t="s">
        <v>77</v>
      </c>
      <c r="C1136" s="15">
        <v>83</v>
      </c>
      <c r="D1136" s="15">
        <v>2</v>
      </c>
    </row>
    <row r="1137" spans="1:4" x14ac:dyDescent="0.2">
      <c r="A1137" s="16" t="s">
        <v>72</v>
      </c>
      <c r="B1137" s="17" t="s">
        <v>77</v>
      </c>
      <c r="C1137" s="17">
        <v>84</v>
      </c>
      <c r="D1137" s="17">
        <v>1.92</v>
      </c>
    </row>
    <row r="1138" spans="1:4" x14ac:dyDescent="0.2">
      <c r="A1138" s="14" t="s">
        <v>72</v>
      </c>
      <c r="B1138" s="15" t="s">
        <v>77</v>
      </c>
      <c r="C1138" s="15">
        <v>85</v>
      </c>
      <c r="D1138" s="15">
        <v>1.85</v>
      </c>
    </row>
    <row r="1139" spans="1:4" x14ac:dyDescent="0.2">
      <c r="A1139" s="16" t="s">
        <v>72</v>
      </c>
      <c r="B1139" s="17" t="s">
        <v>77</v>
      </c>
      <c r="C1139" s="17">
        <v>86</v>
      </c>
      <c r="D1139" s="17">
        <v>1.77</v>
      </c>
    </row>
    <row r="1140" spans="1:4" x14ac:dyDescent="0.2">
      <c r="A1140" s="14" t="s">
        <v>72</v>
      </c>
      <c r="B1140" s="15" t="s">
        <v>77</v>
      </c>
      <c r="C1140" s="15">
        <v>87</v>
      </c>
      <c r="D1140" s="15">
        <v>1.7</v>
      </c>
    </row>
    <row r="1141" spans="1:4" x14ac:dyDescent="0.2">
      <c r="A1141" s="16" t="s">
        <v>72</v>
      </c>
      <c r="B1141" s="17" t="s">
        <v>77</v>
      </c>
      <c r="C1141" s="17">
        <v>88</v>
      </c>
      <c r="D1141" s="17">
        <v>1.63</v>
      </c>
    </row>
    <row r="1142" spans="1:4" x14ac:dyDescent="0.2">
      <c r="A1142" s="14" t="s">
        <v>72</v>
      </c>
      <c r="B1142" s="15" t="s">
        <v>77</v>
      </c>
      <c r="C1142" s="15">
        <v>89</v>
      </c>
      <c r="D1142" s="15">
        <v>1.57</v>
      </c>
    </row>
    <row r="1143" spans="1:4" x14ac:dyDescent="0.2">
      <c r="A1143" s="16" t="s">
        <v>72</v>
      </c>
      <c r="B1143" s="17" t="s">
        <v>77</v>
      </c>
      <c r="C1143" s="17">
        <v>90</v>
      </c>
      <c r="D1143" s="17">
        <v>1.51</v>
      </c>
    </row>
    <row r="1144" spans="1:4" x14ac:dyDescent="0.2">
      <c r="A1144" s="14" t="s">
        <v>73</v>
      </c>
      <c r="B1144" s="15" t="s">
        <v>77</v>
      </c>
      <c r="C1144" s="15">
        <v>21</v>
      </c>
      <c r="D1144" s="15">
        <v>35.85</v>
      </c>
    </row>
    <row r="1145" spans="1:4" x14ac:dyDescent="0.2">
      <c r="A1145" s="16" t="s">
        <v>73</v>
      </c>
      <c r="B1145" s="17" t="s">
        <v>77</v>
      </c>
      <c r="C1145" s="17">
        <v>22</v>
      </c>
      <c r="D1145" s="17">
        <v>35.03</v>
      </c>
    </row>
    <row r="1146" spans="1:4" x14ac:dyDescent="0.2">
      <c r="A1146" s="14" t="s">
        <v>73</v>
      </c>
      <c r="B1146" s="15" t="s">
        <v>77</v>
      </c>
      <c r="C1146" s="15">
        <v>23</v>
      </c>
      <c r="D1146" s="15">
        <v>34.22</v>
      </c>
    </row>
    <row r="1147" spans="1:4" x14ac:dyDescent="0.2">
      <c r="A1147" s="16" t="s">
        <v>73</v>
      </c>
      <c r="B1147" s="17" t="s">
        <v>77</v>
      </c>
      <c r="C1147" s="17">
        <v>24</v>
      </c>
      <c r="D1147" s="17">
        <v>33.409999999999997</v>
      </c>
    </row>
    <row r="1148" spans="1:4" x14ac:dyDescent="0.2">
      <c r="A1148" s="14" t="s">
        <v>73</v>
      </c>
      <c r="B1148" s="15" t="s">
        <v>77</v>
      </c>
      <c r="C1148" s="15">
        <v>25</v>
      </c>
      <c r="D1148" s="15">
        <v>32.61</v>
      </c>
    </row>
    <row r="1149" spans="1:4" x14ac:dyDescent="0.2">
      <c r="A1149" s="16" t="s">
        <v>73</v>
      </c>
      <c r="B1149" s="17" t="s">
        <v>77</v>
      </c>
      <c r="C1149" s="17">
        <v>26</v>
      </c>
      <c r="D1149" s="17">
        <v>31.82</v>
      </c>
    </row>
    <row r="1150" spans="1:4" x14ac:dyDescent="0.2">
      <c r="A1150" s="14" t="s">
        <v>73</v>
      </c>
      <c r="B1150" s="15" t="s">
        <v>77</v>
      </c>
      <c r="C1150" s="15">
        <v>27</v>
      </c>
      <c r="D1150" s="15">
        <v>31.04</v>
      </c>
    </row>
    <row r="1151" spans="1:4" x14ac:dyDescent="0.2">
      <c r="A1151" s="16" t="s">
        <v>73</v>
      </c>
      <c r="B1151" s="17" t="s">
        <v>77</v>
      </c>
      <c r="C1151" s="17">
        <v>28</v>
      </c>
      <c r="D1151" s="17">
        <v>30.26</v>
      </c>
    </row>
    <row r="1152" spans="1:4" x14ac:dyDescent="0.2">
      <c r="A1152" s="14" t="s">
        <v>73</v>
      </c>
      <c r="B1152" s="15" t="s">
        <v>77</v>
      </c>
      <c r="C1152" s="15">
        <v>29</v>
      </c>
      <c r="D1152" s="15">
        <v>29.49</v>
      </c>
    </row>
    <row r="1153" spans="1:4" x14ac:dyDescent="0.2">
      <c r="A1153" s="16" t="s">
        <v>73</v>
      </c>
      <c r="B1153" s="17" t="s">
        <v>77</v>
      </c>
      <c r="C1153" s="17">
        <v>30</v>
      </c>
      <c r="D1153" s="17">
        <v>28.71</v>
      </c>
    </row>
    <row r="1154" spans="1:4" x14ac:dyDescent="0.2">
      <c r="A1154" s="14" t="s">
        <v>73</v>
      </c>
      <c r="B1154" s="15" t="s">
        <v>77</v>
      </c>
      <c r="C1154" s="15">
        <v>31</v>
      </c>
      <c r="D1154" s="15">
        <v>27.93</v>
      </c>
    </row>
    <row r="1155" spans="1:4" x14ac:dyDescent="0.2">
      <c r="A1155" s="16" t="s">
        <v>73</v>
      </c>
      <c r="B1155" s="17" t="s">
        <v>77</v>
      </c>
      <c r="C1155" s="17">
        <v>32</v>
      </c>
      <c r="D1155" s="17">
        <v>27.14</v>
      </c>
    </row>
    <row r="1156" spans="1:4" x14ac:dyDescent="0.2">
      <c r="A1156" s="14" t="s">
        <v>73</v>
      </c>
      <c r="B1156" s="15" t="s">
        <v>77</v>
      </c>
      <c r="C1156" s="15">
        <v>33</v>
      </c>
      <c r="D1156" s="15">
        <v>26.35</v>
      </c>
    </row>
    <row r="1157" spans="1:4" x14ac:dyDescent="0.2">
      <c r="A1157" s="16" t="s">
        <v>73</v>
      </c>
      <c r="B1157" s="17" t="s">
        <v>77</v>
      </c>
      <c r="C1157" s="17">
        <v>34</v>
      </c>
      <c r="D1157" s="17">
        <v>25.56</v>
      </c>
    </row>
    <row r="1158" spans="1:4" x14ac:dyDescent="0.2">
      <c r="A1158" s="14" t="s">
        <v>73</v>
      </c>
      <c r="B1158" s="15" t="s">
        <v>77</v>
      </c>
      <c r="C1158" s="15">
        <v>35</v>
      </c>
      <c r="D1158" s="15">
        <v>24.76</v>
      </c>
    </row>
    <row r="1159" spans="1:4" x14ac:dyDescent="0.2">
      <c r="A1159" s="16" t="s">
        <v>73</v>
      </c>
      <c r="B1159" s="17" t="s">
        <v>77</v>
      </c>
      <c r="C1159" s="17">
        <v>36</v>
      </c>
      <c r="D1159" s="17">
        <v>23.98</v>
      </c>
    </row>
    <row r="1160" spans="1:4" x14ac:dyDescent="0.2">
      <c r="A1160" s="14" t="s">
        <v>73</v>
      </c>
      <c r="B1160" s="15" t="s">
        <v>77</v>
      </c>
      <c r="C1160" s="15">
        <v>37</v>
      </c>
      <c r="D1160" s="15">
        <v>23.19</v>
      </c>
    </row>
    <row r="1161" spans="1:4" x14ac:dyDescent="0.2">
      <c r="A1161" s="16" t="s">
        <v>73</v>
      </c>
      <c r="B1161" s="17" t="s">
        <v>77</v>
      </c>
      <c r="C1161" s="17">
        <v>38</v>
      </c>
      <c r="D1161" s="17">
        <v>22.41</v>
      </c>
    </row>
    <row r="1162" spans="1:4" x14ac:dyDescent="0.2">
      <c r="A1162" s="14" t="s">
        <v>73</v>
      </c>
      <c r="B1162" s="15" t="s">
        <v>77</v>
      </c>
      <c r="C1162" s="15">
        <v>39</v>
      </c>
      <c r="D1162" s="15">
        <v>21.64</v>
      </c>
    </row>
    <row r="1163" spans="1:4" x14ac:dyDescent="0.2">
      <c r="A1163" s="16" t="s">
        <v>73</v>
      </c>
      <c r="B1163" s="17" t="s">
        <v>77</v>
      </c>
      <c r="C1163" s="17">
        <v>40</v>
      </c>
      <c r="D1163" s="17">
        <v>20.87</v>
      </c>
    </row>
    <row r="1164" spans="1:4" x14ac:dyDescent="0.2">
      <c r="A1164" s="14" t="s">
        <v>73</v>
      </c>
      <c r="B1164" s="15" t="s">
        <v>77</v>
      </c>
      <c r="C1164" s="15">
        <v>41</v>
      </c>
      <c r="D1164" s="15">
        <v>20.11</v>
      </c>
    </row>
    <row r="1165" spans="1:4" x14ac:dyDescent="0.2">
      <c r="A1165" s="16" t="s">
        <v>73</v>
      </c>
      <c r="B1165" s="17" t="s">
        <v>77</v>
      </c>
      <c r="C1165" s="17">
        <v>42</v>
      </c>
      <c r="D1165" s="17">
        <v>19.36</v>
      </c>
    </row>
    <row r="1166" spans="1:4" x14ac:dyDescent="0.2">
      <c r="A1166" s="14" t="s">
        <v>73</v>
      </c>
      <c r="B1166" s="15" t="s">
        <v>77</v>
      </c>
      <c r="C1166" s="15">
        <v>43</v>
      </c>
      <c r="D1166" s="15">
        <v>18.62</v>
      </c>
    </row>
    <row r="1167" spans="1:4" x14ac:dyDescent="0.2">
      <c r="A1167" s="16" t="s">
        <v>73</v>
      </c>
      <c r="B1167" s="17" t="s">
        <v>77</v>
      </c>
      <c r="C1167" s="17">
        <v>44</v>
      </c>
      <c r="D1167" s="17">
        <v>17.88</v>
      </c>
    </row>
    <row r="1168" spans="1:4" x14ac:dyDescent="0.2">
      <c r="A1168" s="14" t="s">
        <v>73</v>
      </c>
      <c r="B1168" s="15" t="s">
        <v>77</v>
      </c>
      <c r="C1168" s="15">
        <v>45</v>
      </c>
      <c r="D1168" s="15">
        <v>17.149999999999999</v>
      </c>
    </row>
    <row r="1169" spans="1:4" x14ac:dyDescent="0.2">
      <c r="A1169" s="16" t="s">
        <v>73</v>
      </c>
      <c r="B1169" s="17" t="s">
        <v>77</v>
      </c>
      <c r="C1169" s="17">
        <v>46</v>
      </c>
      <c r="D1169" s="17">
        <v>16.420000000000002</v>
      </c>
    </row>
    <row r="1170" spans="1:4" x14ac:dyDescent="0.2">
      <c r="A1170" s="14" t="s">
        <v>73</v>
      </c>
      <c r="B1170" s="15" t="s">
        <v>77</v>
      </c>
      <c r="C1170" s="15">
        <v>47</v>
      </c>
      <c r="D1170" s="15">
        <v>15.69</v>
      </c>
    </row>
    <row r="1171" spans="1:4" x14ac:dyDescent="0.2">
      <c r="A1171" s="16" t="s">
        <v>73</v>
      </c>
      <c r="B1171" s="17" t="s">
        <v>77</v>
      </c>
      <c r="C1171" s="17">
        <v>48</v>
      </c>
      <c r="D1171" s="17">
        <v>14.95</v>
      </c>
    </row>
    <row r="1172" spans="1:4" x14ac:dyDescent="0.2">
      <c r="A1172" s="14" t="s">
        <v>73</v>
      </c>
      <c r="B1172" s="15" t="s">
        <v>77</v>
      </c>
      <c r="C1172" s="15">
        <v>49</v>
      </c>
      <c r="D1172" s="15">
        <v>14.21</v>
      </c>
    </row>
    <row r="1173" spans="1:4" x14ac:dyDescent="0.2">
      <c r="A1173" s="16" t="s">
        <v>73</v>
      </c>
      <c r="B1173" s="17" t="s">
        <v>77</v>
      </c>
      <c r="C1173" s="17">
        <v>50</v>
      </c>
      <c r="D1173" s="17">
        <v>13.48</v>
      </c>
    </row>
    <row r="1174" spans="1:4" x14ac:dyDescent="0.2">
      <c r="A1174" s="14" t="s">
        <v>73</v>
      </c>
      <c r="B1174" s="15" t="s">
        <v>77</v>
      </c>
      <c r="C1174" s="15">
        <v>51</v>
      </c>
      <c r="D1174" s="15">
        <v>12.76</v>
      </c>
    </row>
    <row r="1175" spans="1:4" x14ac:dyDescent="0.2">
      <c r="A1175" s="16" t="s">
        <v>73</v>
      </c>
      <c r="B1175" s="17" t="s">
        <v>77</v>
      </c>
      <c r="C1175" s="17">
        <v>52</v>
      </c>
      <c r="D1175" s="17">
        <v>12.05</v>
      </c>
    </row>
    <row r="1176" spans="1:4" x14ac:dyDescent="0.2">
      <c r="A1176" s="14" t="s">
        <v>73</v>
      </c>
      <c r="B1176" s="15" t="s">
        <v>77</v>
      </c>
      <c r="C1176" s="15">
        <v>53</v>
      </c>
      <c r="D1176" s="15">
        <v>11.36</v>
      </c>
    </row>
    <row r="1177" spans="1:4" x14ac:dyDescent="0.2">
      <c r="A1177" s="16" t="s">
        <v>73</v>
      </c>
      <c r="B1177" s="17" t="s">
        <v>77</v>
      </c>
      <c r="C1177" s="17">
        <v>54</v>
      </c>
      <c r="D1177" s="17">
        <v>10.68</v>
      </c>
    </row>
    <row r="1178" spans="1:4" x14ac:dyDescent="0.2">
      <c r="A1178" s="14" t="s">
        <v>73</v>
      </c>
      <c r="B1178" s="15" t="s">
        <v>77</v>
      </c>
      <c r="C1178" s="15">
        <v>55</v>
      </c>
      <c r="D1178" s="15">
        <v>10.01</v>
      </c>
    </row>
    <row r="1179" spans="1:4" x14ac:dyDescent="0.2">
      <c r="A1179" s="16" t="s">
        <v>73</v>
      </c>
      <c r="B1179" s="17" t="s">
        <v>77</v>
      </c>
      <c r="C1179" s="17">
        <v>56</v>
      </c>
      <c r="D1179" s="17">
        <v>9.35</v>
      </c>
    </row>
    <row r="1180" spans="1:4" x14ac:dyDescent="0.2">
      <c r="A1180" s="14" t="s">
        <v>73</v>
      </c>
      <c r="B1180" s="15" t="s">
        <v>77</v>
      </c>
      <c r="C1180" s="15">
        <v>57</v>
      </c>
      <c r="D1180" s="15">
        <v>8.69</v>
      </c>
    </row>
    <row r="1181" spans="1:4" x14ac:dyDescent="0.2">
      <c r="A1181" s="16" t="s">
        <v>73</v>
      </c>
      <c r="B1181" s="17" t="s">
        <v>77</v>
      </c>
      <c r="C1181" s="17">
        <v>58</v>
      </c>
      <c r="D1181" s="17">
        <v>8.0500000000000007</v>
      </c>
    </row>
    <row r="1182" spans="1:4" x14ac:dyDescent="0.2">
      <c r="A1182" s="14" t="s">
        <v>73</v>
      </c>
      <c r="B1182" s="15" t="s">
        <v>77</v>
      </c>
      <c r="C1182" s="15">
        <v>59</v>
      </c>
      <c r="D1182" s="15">
        <v>7.45</v>
      </c>
    </row>
    <row r="1183" spans="1:4" x14ac:dyDescent="0.2">
      <c r="A1183" s="16" t="s">
        <v>73</v>
      </c>
      <c r="B1183" s="17" t="s">
        <v>77</v>
      </c>
      <c r="C1183" s="17">
        <v>60</v>
      </c>
      <c r="D1183" s="17">
        <v>6.92</v>
      </c>
    </row>
    <row r="1184" spans="1:4" x14ac:dyDescent="0.2">
      <c r="A1184" s="14" t="s">
        <v>73</v>
      </c>
      <c r="B1184" s="15" t="s">
        <v>77</v>
      </c>
      <c r="C1184" s="15">
        <v>61</v>
      </c>
      <c r="D1184" s="15">
        <v>6.45</v>
      </c>
    </row>
    <row r="1185" spans="1:4" x14ac:dyDescent="0.2">
      <c r="A1185" s="16" t="s">
        <v>73</v>
      </c>
      <c r="B1185" s="17" t="s">
        <v>77</v>
      </c>
      <c r="C1185" s="17">
        <v>62</v>
      </c>
      <c r="D1185" s="17">
        <v>6.02</v>
      </c>
    </row>
    <row r="1186" spans="1:4" x14ac:dyDescent="0.2">
      <c r="A1186" s="14" t="s">
        <v>73</v>
      </c>
      <c r="B1186" s="15" t="s">
        <v>77</v>
      </c>
      <c r="C1186" s="15">
        <v>63</v>
      </c>
      <c r="D1186" s="15">
        <v>5.64</v>
      </c>
    </row>
    <row r="1187" spans="1:4" x14ac:dyDescent="0.2">
      <c r="A1187" s="16" t="s">
        <v>73</v>
      </c>
      <c r="B1187" s="17" t="s">
        <v>77</v>
      </c>
      <c r="C1187" s="17">
        <v>64</v>
      </c>
      <c r="D1187" s="17">
        <v>5.31</v>
      </c>
    </row>
    <row r="1188" spans="1:4" x14ac:dyDescent="0.2">
      <c r="A1188" s="14" t="s">
        <v>73</v>
      </c>
      <c r="B1188" s="15" t="s">
        <v>77</v>
      </c>
      <c r="C1188" s="15">
        <v>65</v>
      </c>
      <c r="D1188" s="15">
        <v>5.0199999999999996</v>
      </c>
    </row>
    <row r="1189" spans="1:4" x14ac:dyDescent="0.2">
      <c r="A1189" s="16" t="s">
        <v>73</v>
      </c>
      <c r="B1189" s="17" t="s">
        <v>77</v>
      </c>
      <c r="C1189" s="17">
        <v>66</v>
      </c>
      <c r="D1189" s="17">
        <v>4.7699999999999996</v>
      </c>
    </row>
    <row r="1190" spans="1:4" x14ac:dyDescent="0.2">
      <c r="A1190" s="14" t="s">
        <v>73</v>
      </c>
      <c r="B1190" s="15" t="s">
        <v>77</v>
      </c>
      <c r="C1190" s="15">
        <v>67</v>
      </c>
      <c r="D1190" s="15">
        <v>4.54</v>
      </c>
    </row>
    <row r="1191" spans="1:4" x14ac:dyDescent="0.2">
      <c r="A1191" s="16" t="s">
        <v>73</v>
      </c>
      <c r="B1191" s="17" t="s">
        <v>77</v>
      </c>
      <c r="C1191" s="17">
        <v>68</v>
      </c>
      <c r="D1191" s="17">
        <v>4.32</v>
      </c>
    </row>
    <row r="1192" spans="1:4" x14ac:dyDescent="0.2">
      <c r="A1192" s="14" t="s">
        <v>73</v>
      </c>
      <c r="B1192" s="15" t="s">
        <v>77</v>
      </c>
      <c r="C1192" s="15">
        <v>69</v>
      </c>
      <c r="D1192" s="15">
        <v>4.1100000000000003</v>
      </c>
    </row>
    <row r="1193" spans="1:4" x14ac:dyDescent="0.2">
      <c r="A1193" s="16" t="s">
        <v>73</v>
      </c>
      <c r="B1193" s="17" t="s">
        <v>77</v>
      </c>
      <c r="C1193" s="17">
        <v>70</v>
      </c>
      <c r="D1193" s="17">
        <v>3.92</v>
      </c>
    </row>
    <row r="1194" spans="1:4" x14ac:dyDescent="0.2">
      <c r="A1194" s="14" t="s">
        <v>73</v>
      </c>
      <c r="B1194" s="15" t="s">
        <v>77</v>
      </c>
      <c r="C1194" s="15">
        <v>71</v>
      </c>
      <c r="D1194" s="15">
        <v>3.74</v>
      </c>
    </row>
    <row r="1195" spans="1:4" x14ac:dyDescent="0.2">
      <c r="A1195" s="16" t="s">
        <v>73</v>
      </c>
      <c r="B1195" s="17" t="s">
        <v>77</v>
      </c>
      <c r="C1195" s="17">
        <v>72</v>
      </c>
      <c r="D1195" s="17">
        <v>3.57</v>
      </c>
    </row>
    <row r="1196" spans="1:4" x14ac:dyDescent="0.2">
      <c r="A1196" s="14" t="s">
        <v>73</v>
      </c>
      <c r="B1196" s="15" t="s">
        <v>77</v>
      </c>
      <c r="C1196" s="15">
        <v>73</v>
      </c>
      <c r="D1196" s="15">
        <v>3.41</v>
      </c>
    </row>
    <row r="1197" spans="1:4" x14ac:dyDescent="0.2">
      <c r="A1197" s="16" t="s">
        <v>73</v>
      </c>
      <c r="B1197" s="17" t="s">
        <v>77</v>
      </c>
      <c r="C1197" s="17">
        <v>74</v>
      </c>
      <c r="D1197" s="17">
        <v>3.27</v>
      </c>
    </row>
    <row r="1198" spans="1:4" x14ac:dyDescent="0.2">
      <c r="A1198" s="14" t="s">
        <v>73</v>
      </c>
      <c r="B1198" s="15" t="s">
        <v>77</v>
      </c>
      <c r="C1198" s="15">
        <v>75</v>
      </c>
      <c r="D1198" s="15">
        <v>3.13</v>
      </c>
    </row>
    <row r="1199" spans="1:4" x14ac:dyDescent="0.2">
      <c r="A1199" s="16" t="s">
        <v>73</v>
      </c>
      <c r="B1199" s="17" t="s">
        <v>77</v>
      </c>
      <c r="C1199" s="17">
        <v>76</v>
      </c>
      <c r="D1199" s="17">
        <v>3</v>
      </c>
    </row>
    <row r="1200" spans="1:4" x14ac:dyDescent="0.2">
      <c r="A1200" s="14" t="s">
        <v>73</v>
      </c>
      <c r="B1200" s="15" t="s">
        <v>77</v>
      </c>
      <c r="C1200" s="15">
        <v>77</v>
      </c>
      <c r="D1200" s="15">
        <v>2.87</v>
      </c>
    </row>
    <row r="1201" spans="1:4" x14ac:dyDescent="0.2">
      <c r="A1201" s="16" t="s">
        <v>73</v>
      </c>
      <c r="B1201" s="17" t="s">
        <v>77</v>
      </c>
      <c r="C1201" s="17">
        <v>78</v>
      </c>
      <c r="D1201" s="17">
        <v>2.76</v>
      </c>
    </row>
    <row r="1202" spans="1:4" x14ac:dyDescent="0.2">
      <c r="A1202" s="14" t="s">
        <v>73</v>
      </c>
      <c r="B1202" s="15" t="s">
        <v>77</v>
      </c>
      <c r="C1202" s="15">
        <v>79</v>
      </c>
      <c r="D1202" s="15">
        <v>2.65</v>
      </c>
    </row>
    <row r="1203" spans="1:4" x14ac:dyDescent="0.2">
      <c r="A1203" s="16" t="s">
        <v>73</v>
      </c>
      <c r="B1203" s="17" t="s">
        <v>77</v>
      </c>
      <c r="C1203" s="17">
        <v>80</v>
      </c>
      <c r="D1203" s="17">
        <v>2.5499999999999998</v>
      </c>
    </row>
    <row r="1204" spans="1:4" x14ac:dyDescent="0.2">
      <c r="A1204" s="14" t="s">
        <v>73</v>
      </c>
      <c r="B1204" s="15" t="s">
        <v>77</v>
      </c>
      <c r="C1204" s="15">
        <v>81</v>
      </c>
      <c r="D1204" s="15">
        <v>2.4500000000000002</v>
      </c>
    </row>
    <row r="1205" spans="1:4" x14ac:dyDescent="0.2">
      <c r="A1205" s="16" t="s">
        <v>73</v>
      </c>
      <c r="B1205" s="17" t="s">
        <v>77</v>
      </c>
      <c r="C1205" s="17">
        <v>82</v>
      </c>
      <c r="D1205" s="17">
        <v>2.35</v>
      </c>
    </row>
    <row r="1206" spans="1:4" x14ac:dyDescent="0.2">
      <c r="A1206" s="14" t="s">
        <v>73</v>
      </c>
      <c r="B1206" s="15" t="s">
        <v>77</v>
      </c>
      <c r="C1206" s="15">
        <v>83</v>
      </c>
      <c r="D1206" s="15">
        <v>2.2599999999999998</v>
      </c>
    </row>
    <row r="1207" spans="1:4" x14ac:dyDescent="0.2">
      <c r="A1207" s="16" t="s">
        <v>73</v>
      </c>
      <c r="B1207" s="17" t="s">
        <v>77</v>
      </c>
      <c r="C1207" s="17">
        <v>84</v>
      </c>
      <c r="D1207" s="17">
        <v>2.1800000000000002</v>
      </c>
    </row>
    <row r="1208" spans="1:4" x14ac:dyDescent="0.2">
      <c r="A1208" s="14" t="s">
        <v>73</v>
      </c>
      <c r="B1208" s="15" t="s">
        <v>77</v>
      </c>
      <c r="C1208" s="15">
        <v>85</v>
      </c>
      <c r="D1208" s="15">
        <v>2.1</v>
      </c>
    </row>
    <row r="1209" spans="1:4" x14ac:dyDescent="0.2">
      <c r="A1209" s="16" t="s">
        <v>73</v>
      </c>
      <c r="B1209" s="17" t="s">
        <v>77</v>
      </c>
      <c r="C1209" s="17">
        <v>86</v>
      </c>
      <c r="D1209" s="17">
        <v>2.0099999999999998</v>
      </c>
    </row>
    <row r="1210" spans="1:4" x14ac:dyDescent="0.2">
      <c r="A1210" s="14" t="s">
        <v>73</v>
      </c>
      <c r="B1210" s="15" t="s">
        <v>77</v>
      </c>
      <c r="C1210" s="15">
        <v>87</v>
      </c>
      <c r="D1210" s="15">
        <v>1.93</v>
      </c>
    </row>
    <row r="1211" spans="1:4" x14ac:dyDescent="0.2">
      <c r="A1211" s="16" t="s">
        <v>73</v>
      </c>
      <c r="B1211" s="17" t="s">
        <v>77</v>
      </c>
      <c r="C1211" s="17">
        <v>88</v>
      </c>
      <c r="D1211" s="17">
        <v>1.85</v>
      </c>
    </row>
    <row r="1212" spans="1:4" x14ac:dyDescent="0.2">
      <c r="A1212" s="14" t="s">
        <v>73</v>
      </c>
      <c r="B1212" s="15" t="s">
        <v>77</v>
      </c>
      <c r="C1212" s="15">
        <v>89</v>
      </c>
      <c r="D1212" s="15">
        <v>1.78</v>
      </c>
    </row>
    <row r="1213" spans="1:4" x14ac:dyDescent="0.2">
      <c r="A1213" s="16" t="s">
        <v>73</v>
      </c>
      <c r="B1213" s="17" t="s">
        <v>77</v>
      </c>
      <c r="C1213" s="17">
        <v>90</v>
      </c>
      <c r="D1213" s="17">
        <v>1.71</v>
      </c>
    </row>
    <row r="1214" spans="1:4" x14ac:dyDescent="0.2">
      <c r="A1214" s="14" t="s">
        <v>74</v>
      </c>
      <c r="B1214" s="15" t="s">
        <v>77</v>
      </c>
      <c r="C1214" s="15">
        <v>22</v>
      </c>
      <c r="D1214" s="15">
        <v>36.67</v>
      </c>
    </row>
    <row r="1215" spans="1:4" x14ac:dyDescent="0.2">
      <c r="A1215" s="16" t="s">
        <v>74</v>
      </c>
      <c r="B1215" s="17" t="s">
        <v>77</v>
      </c>
      <c r="C1215" s="17">
        <v>23</v>
      </c>
      <c r="D1215" s="17">
        <v>35.75</v>
      </c>
    </row>
    <row r="1216" spans="1:4" x14ac:dyDescent="0.2">
      <c r="A1216" s="14" t="s">
        <v>74</v>
      </c>
      <c r="B1216" s="15" t="s">
        <v>77</v>
      </c>
      <c r="C1216" s="15">
        <v>24</v>
      </c>
      <c r="D1216" s="15">
        <v>34.85</v>
      </c>
    </row>
    <row r="1217" spans="1:4" x14ac:dyDescent="0.2">
      <c r="A1217" s="16" t="s">
        <v>74</v>
      </c>
      <c r="B1217" s="17" t="s">
        <v>77</v>
      </c>
      <c r="C1217" s="17">
        <v>25</v>
      </c>
      <c r="D1217" s="17">
        <v>33.950000000000003</v>
      </c>
    </row>
    <row r="1218" spans="1:4" x14ac:dyDescent="0.2">
      <c r="A1218" s="14" t="s">
        <v>74</v>
      </c>
      <c r="B1218" s="15" t="s">
        <v>77</v>
      </c>
      <c r="C1218" s="15">
        <v>26</v>
      </c>
      <c r="D1218" s="15">
        <v>33.07</v>
      </c>
    </row>
    <row r="1219" spans="1:4" x14ac:dyDescent="0.2">
      <c r="A1219" s="16" t="s">
        <v>74</v>
      </c>
      <c r="B1219" s="17" t="s">
        <v>77</v>
      </c>
      <c r="C1219" s="17">
        <v>27</v>
      </c>
      <c r="D1219" s="17">
        <v>32.21</v>
      </c>
    </row>
    <row r="1220" spans="1:4" x14ac:dyDescent="0.2">
      <c r="A1220" s="14" t="s">
        <v>74</v>
      </c>
      <c r="B1220" s="15" t="s">
        <v>77</v>
      </c>
      <c r="C1220" s="15">
        <v>28</v>
      </c>
      <c r="D1220" s="15">
        <v>31.37</v>
      </c>
    </row>
    <row r="1221" spans="1:4" x14ac:dyDescent="0.2">
      <c r="A1221" s="16" t="s">
        <v>74</v>
      </c>
      <c r="B1221" s="17" t="s">
        <v>77</v>
      </c>
      <c r="C1221" s="17">
        <v>29</v>
      </c>
      <c r="D1221" s="17">
        <v>30.54</v>
      </c>
    </row>
    <row r="1222" spans="1:4" x14ac:dyDescent="0.2">
      <c r="A1222" s="14" t="s">
        <v>74</v>
      </c>
      <c r="B1222" s="15" t="s">
        <v>77</v>
      </c>
      <c r="C1222" s="15">
        <v>30</v>
      </c>
      <c r="D1222" s="15">
        <v>29.73</v>
      </c>
    </row>
    <row r="1223" spans="1:4" x14ac:dyDescent="0.2">
      <c r="A1223" s="16" t="s">
        <v>74</v>
      </c>
      <c r="B1223" s="17" t="s">
        <v>77</v>
      </c>
      <c r="C1223" s="17">
        <v>31</v>
      </c>
      <c r="D1223" s="17">
        <v>28.93</v>
      </c>
    </row>
    <row r="1224" spans="1:4" x14ac:dyDescent="0.2">
      <c r="A1224" s="14" t="s">
        <v>74</v>
      </c>
      <c r="B1224" s="15" t="s">
        <v>77</v>
      </c>
      <c r="C1224" s="15">
        <v>32</v>
      </c>
      <c r="D1224" s="15">
        <v>28.15</v>
      </c>
    </row>
    <row r="1225" spans="1:4" x14ac:dyDescent="0.2">
      <c r="A1225" s="16" t="s">
        <v>74</v>
      </c>
      <c r="B1225" s="17" t="s">
        <v>77</v>
      </c>
      <c r="C1225" s="17">
        <v>33</v>
      </c>
      <c r="D1225" s="17">
        <v>27.38</v>
      </c>
    </row>
    <row r="1226" spans="1:4" x14ac:dyDescent="0.2">
      <c r="A1226" s="14" t="s">
        <v>74</v>
      </c>
      <c r="B1226" s="15" t="s">
        <v>77</v>
      </c>
      <c r="C1226" s="15">
        <v>34</v>
      </c>
      <c r="D1226" s="15">
        <v>26.61</v>
      </c>
    </row>
    <row r="1227" spans="1:4" x14ac:dyDescent="0.2">
      <c r="A1227" s="16" t="s">
        <v>74</v>
      </c>
      <c r="B1227" s="17" t="s">
        <v>77</v>
      </c>
      <c r="C1227" s="17">
        <v>35</v>
      </c>
      <c r="D1227" s="17">
        <v>25.85</v>
      </c>
    </row>
    <row r="1228" spans="1:4" x14ac:dyDescent="0.2">
      <c r="A1228" s="14" t="s">
        <v>74</v>
      </c>
      <c r="B1228" s="15" t="s">
        <v>77</v>
      </c>
      <c r="C1228" s="15">
        <v>36</v>
      </c>
      <c r="D1228" s="15">
        <v>25.08</v>
      </c>
    </row>
    <row r="1229" spans="1:4" x14ac:dyDescent="0.2">
      <c r="A1229" s="16" t="s">
        <v>74</v>
      </c>
      <c r="B1229" s="17" t="s">
        <v>77</v>
      </c>
      <c r="C1229" s="17">
        <v>37</v>
      </c>
      <c r="D1229" s="17">
        <v>24.31</v>
      </c>
    </row>
    <row r="1230" spans="1:4" x14ac:dyDescent="0.2">
      <c r="A1230" s="14" t="s">
        <v>74</v>
      </c>
      <c r="B1230" s="15" t="s">
        <v>77</v>
      </c>
      <c r="C1230" s="15">
        <v>38</v>
      </c>
      <c r="D1230" s="15">
        <v>23.52</v>
      </c>
    </row>
    <row r="1231" spans="1:4" x14ac:dyDescent="0.2">
      <c r="A1231" s="16" t="s">
        <v>74</v>
      </c>
      <c r="B1231" s="17" t="s">
        <v>77</v>
      </c>
      <c r="C1231" s="17">
        <v>39</v>
      </c>
      <c r="D1231" s="17">
        <v>22.74</v>
      </c>
    </row>
    <row r="1232" spans="1:4" x14ac:dyDescent="0.2">
      <c r="A1232" s="14" t="s">
        <v>74</v>
      </c>
      <c r="B1232" s="15" t="s">
        <v>77</v>
      </c>
      <c r="C1232" s="15">
        <v>40</v>
      </c>
      <c r="D1232" s="15">
        <v>21.94</v>
      </c>
    </row>
    <row r="1233" spans="1:4" x14ac:dyDescent="0.2">
      <c r="A1233" s="16" t="s">
        <v>74</v>
      </c>
      <c r="B1233" s="17" t="s">
        <v>77</v>
      </c>
      <c r="C1233" s="17">
        <v>41</v>
      </c>
      <c r="D1233" s="17">
        <v>21.15</v>
      </c>
    </row>
    <row r="1234" spans="1:4" x14ac:dyDescent="0.2">
      <c r="A1234" s="14" t="s">
        <v>74</v>
      </c>
      <c r="B1234" s="15" t="s">
        <v>77</v>
      </c>
      <c r="C1234" s="15">
        <v>42</v>
      </c>
      <c r="D1234" s="15">
        <v>20.350000000000001</v>
      </c>
    </row>
    <row r="1235" spans="1:4" x14ac:dyDescent="0.2">
      <c r="A1235" s="16" t="s">
        <v>74</v>
      </c>
      <c r="B1235" s="17" t="s">
        <v>77</v>
      </c>
      <c r="C1235" s="17">
        <v>43</v>
      </c>
      <c r="D1235" s="17">
        <v>19.559999999999999</v>
      </c>
    </row>
    <row r="1236" spans="1:4" x14ac:dyDescent="0.2">
      <c r="A1236" s="14" t="s">
        <v>74</v>
      </c>
      <c r="B1236" s="15" t="s">
        <v>77</v>
      </c>
      <c r="C1236" s="15">
        <v>44</v>
      </c>
      <c r="D1236" s="15">
        <v>18.760000000000002</v>
      </c>
    </row>
    <row r="1237" spans="1:4" x14ac:dyDescent="0.2">
      <c r="A1237" s="16" t="s">
        <v>74</v>
      </c>
      <c r="B1237" s="17" t="s">
        <v>77</v>
      </c>
      <c r="C1237" s="17">
        <v>45</v>
      </c>
      <c r="D1237" s="17">
        <v>17.96</v>
      </c>
    </row>
    <row r="1238" spans="1:4" x14ac:dyDescent="0.2">
      <c r="A1238" s="14" t="s">
        <v>74</v>
      </c>
      <c r="B1238" s="15" t="s">
        <v>77</v>
      </c>
      <c r="C1238" s="15">
        <v>46</v>
      </c>
      <c r="D1238" s="15">
        <v>17.170000000000002</v>
      </c>
    </row>
    <row r="1239" spans="1:4" x14ac:dyDescent="0.2">
      <c r="A1239" s="16" t="s">
        <v>74</v>
      </c>
      <c r="B1239" s="17" t="s">
        <v>77</v>
      </c>
      <c r="C1239" s="17">
        <v>47</v>
      </c>
      <c r="D1239" s="17">
        <v>16.37</v>
      </c>
    </row>
    <row r="1240" spans="1:4" x14ac:dyDescent="0.2">
      <c r="A1240" s="14" t="s">
        <v>74</v>
      </c>
      <c r="B1240" s="15" t="s">
        <v>77</v>
      </c>
      <c r="C1240" s="15">
        <v>48</v>
      </c>
      <c r="D1240" s="15">
        <v>15.58</v>
      </c>
    </row>
    <row r="1241" spans="1:4" x14ac:dyDescent="0.2">
      <c r="A1241" s="16" t="s">
        <v>74</v>
      </c>
      <c r="B1241" s="17" t="s">
        <v>77</v>
      </c>
      <c r="C1241" s="17">
        <v>49</v>
      </c>
      <c r="D1241" s="17">
        <v>14.79</v>
      </c>
    </row>
    <row r="1242" spans="1:4" x14ac:dyDescent="0.2">
      <c r="A1242" s="14" t="s">
        <v>74</v>
      </c>
      <c r="B1242" s="15" t="s">
        <v>77</v>
      </c>
      <c r="C1242" s="15">
        <v>50</v>
      </c>
      <c r="D1242" s="15">
        <v>14.01</v>
      </c>
    </row>
    <row r="1243" spans="1:4" x14ac:dyDescent="0.2">
      <c r="A1243" s="16" t="s">
        <v>74</v>
      </c>
      <c r="B1243" s="17" t="s">
        <v>77</v>
      </c>
      <c r="C1243" s="17">
        <v>51</v>
      </c>
      <c r="D1243" s="17">
        <v>13.24</v>
      </c>
    </row>
    <row r="1244" spans="1:4" x14ac:dyDescent="0.2">
      <c r="A1244" s="14" t="s">
        <v>74</v>
      </c>
      <c r="B1244" s="15" t="s">
        <v>77</v>
      </c>
      <c r="C1244" s="15">
        <v>52</v>
      </c>
      <c r="D1244" s="15">
        <v>12.48</v>
      </c>
    </row>
    <row r="1245" spans="1:4" x14ac:dyDescent="0.2">
      <c r="A1245" s="16" t="s">
        <v>74</v>
      </c>
      <c r="B1245" s="17" t="s">
        <v>77</v>
      </c>
      <c r="C1245" s="17">
        <v>53</v>
      </c>
      <c r="D1245" s="17">
        <v>11.73</v>
      </c>
    </row>
    <row r="1246" spans="1:4" x14ac:dyDescent="0.2">
      <c r="A1246" s="14" t="s">
        <v>74</v>
      </c>
      <c r="B1246" s="15" t="s">
        <v>77</v>
      </c>
      <c r="C1246" s="15">
        <v>54</v>
      </c>
      <c r="D1246" s="15">
        <v>11</v>
      </c>
    </row>
    <row r="1247" spans="1:4" x14ac:dyDescent="0.2">
      <c r="A1247" s="16" t="s">
        <v>74</v>
      </c>
      <c r="B1247" s="17" t="s">
        <v>77</v>
      </c>
      <c r="C1247" s="17">
        <v>55</v>
      </c>
      <c r="D1247" s="17">
        <v>10.29</v>
      </c>
    </row>
    <row r="1248" spans="1:4" x14ac:dyDescent="0.2">
      <c r="A1248" s="14" t="s">
        <v>74</v>
      </c>
      <c r="B1248" s="15" t="s">
        <v>77</v>
      </c>
      <c r="C1248" s="15">
        <v>56</v>
      </c>
      <c r="D1248" s="15">
        <v>9.6</v>
      </c>
    </row>
    <row r="1249" spans="1:4" x14ac:dyDescent="0.2">
      <c r="A1249" s="16" t="s">
        <v>74</v>
      </c>
      <c r="B1249" s="17" t="s">
        <v>77</v>
      </c>
      <c r="C1249" s="17">
        <v>57</v>
      </c>
      <c r="D1249" s="17">
        <v>8.93</v>
      </c>
    </row>
    <row r="1250" spans="1:4" x14ac:dyDescent="0.2">
      <c r="A1250" s="14" t="s">
        <v>74</v>
      </c>
      <c r="B1250" s="15" t="s">
        <v>77</v>
      </c>
      <c r="C1250" s="15">
        <v>58</v>
      </c>
      <c r="D1250" s="15">
        <v>8.2899999999999991</v>
      </c>
    </row>
    <row r="1251" spans="1:4" x14ac:dyDescent="0.2">
      <c r="A1251" s="16" t="s">
        <v>74</v>
      </c>
      <c r="B1251" s="17" t="s">
        <v>77</v>
      </c>
      <c r="C1251" s="17">
        <v>59</v>
      </c>
      <c r="D1251" s="17">
        <v>7.69</v>
      </c>
    </row>
    <row r="1252" spans="1:4" x14ac:dyDescent="0.2">
      <c r="A1252" s="14" t="s">
        <v>74</v>
      </c>
      <c r="B1252" s="15" t="s">
        <v>77</v>
      </c>
      <c r="C1252" s="15">
        <v>60</v>
      </c>
      <c r="D1252" s="15">
        <v>7.12</v>
      </c>
    </row>
    <row r="1253" spans="1:4" x14ac:dyDescent="0.2">
      <c r="A1253" s="16" t="s">
        <v>74</v>
      </c>
      <c r="B1253" s="17" t="s">
        <v>77</v>
      </c>
      <c r="C1253" s="17">
        <v>61</v>
      </c>
      <c r="D1253" s="17">
        <v>6.59</v>
      </c>
    </row>
    <row r="1254" spans="1:4" x14ac:dyDescent="0.2">
      <c r="A1254" s="14" t="s">
        <v>74</v>
      </c>
      <c r="B1254" s="15" t="s">
        <v>77</v>
      </c>
      <c r="C1254" s="15">
        <v>62</v>
      </c>
      <c r="D1254" s="15">
        <v>6.11</v>
      </c>
    </row>
    <row r="1255" spans="1:4" x14ac:dyDescent="0.2">
      <c r="A1255" s="16" t="s">
        <v>74</v>
      </c>
      <c r="B1255" s="17" t="s">
        <v>77</v>
      </c>
      <c r="C1255" s="17">
        <v>63</v>
      </c>
      <c r="D1255" s="17">
        <v>5.68</v>
      </c>
    </row>
    <row r="1256" spans="1:4" x14ac:dyDescent="0.2">
      <c r="A1256" s="14" t="s">
        <v>74</v>
      </c>
      <c r="B1256" s="15" t="s">
        <v>77</v>
      </c>
      <c r="C1256" s="15">
        <v>64</v>
      </c>
      <c r="D1256" s="15">
        <v>5.28</v>
      </c>
    </row>
    <row r="1257" spans="1:4" x14ac:dyDescent="0.2">
      <c r="A1257" s="16" t="s">
        <v>74</v>
      </c>
      <c r="B1257" s="17" t="s">
        <v>77</v>
      </c>
      <c r="C1257" s="17">
        <v>65</v>
      </c>
      <c r="D1257" s="17">
        <v>4.91</v>
      </c>
    </row>
    <row r="1258" spans="1:4" x14ac:dyDescent="0.2">
      <c r="A1258" s="14" t="s">
        <v>74</v>
      </c>
      <c r="B1258" s="15" t="s">
        <v>77</v>
      </c>
      <c r="C1258" s="15">
        <v>66</v>
      </c>
      <c r="D1258" s="15">
        <v>4.58</v>
      </c>
    </row>
    <row r="1259" spans="1:4" x14ac:dyDescent="0.2">
      <c r="A1259" s="16" t="s">
        <v>74</v>
      </c>
      <c r="B1259" s="17" t="s">
        <v>77</v>
      </c>
      <c r="C1259" s="17">
        <v>67</v>
      </c>
      <c r="D1259" s="17">
        <v>4.26</v>
      </c>
    </row>
    <row r="1260" spans="1:4" x14ac:dyDescent="0.2">
      <c r="A1260" s="14" t="s">
        <v>74</v>
      </c>
      <c r="B1260" s="15" t="s">
        <v>77</v>
      </c>
      <c r="C1260" s="15">
        <v>68</v>
      </c>
      <c r="D1260" s="15">
        <v>3.97</v>
      </c>
    </row>
    <row r="1261" spans="1:4" x14ac:dyDescent="0.2">
      <c r="A1261" s="16" t="s">
        <v>74</v>
      </c>
      <c r="B1261" s="17" t="s">
        <v>77</v>
      </c>
      <c r="C1261" s="17">
        <v>69</v>
      </c>
      <c r="D1261" s="17">
        <v>3.7</v>
      </c>
    </row>
    <row r="1262" spans="1:4" x14ac:dyDescent="0.2">
      <c r="A1262" s="14" t="s">
        <v>74</v>
      </c>
      <c r="B1262" s="15" t="s">
        <v>77</v>
      </c>
      <c r="C1262" s="15">
        <v>70</v>
      </c>
      <c r="D1262" s="15">
        <v>3.45</v>
      </c>
    </row>
    <row r="1263" spans="1:4" x14ac:dyDescent="0.2">
      <c r="A1263" s="16" t="s">
        <v>74</v>
      </c>
      <c r="B1263" s="17" t="s">
        <v>77</v>
      </c>
      <c r="C1263" s="17">
        <v>71</v>
      </c>
      <c r="D1263" s="17">
        <v>3.22</v>
      </c>
    </row>
    <row r="1264" spans="1:4" x14ac:dyDescent="0.2">
      <c r="A1264" s="14" t="s">
        <v>74</v>
      </c>
      <c r="B1264" s="15" t="s">
        <v>77</v>
      </c>
      <c r="C1264" s="15">
        <v>72</v>
      </c>
      <c r="D1264" s="15">
        <v>3.02</v>
      </c>
    </row>
    <row r="1265" spans="1:4" x14ac:dyDescent="0.2">
      <c r="A1265" s="16" t="s">
        <v>74</v>
      </c>
      <c r="B1265" s="17" t="s">
        <v>77</v>
      </c>
      <c r="C1265" s="17">
        <v>73</v>
      </c>
      <c r="D1265" s="17">
        <v>2.84</v>
      </c>
    </row>
    <row r="1266" spans="1:4" x14ac:dyDescent="0.2">
      <c r="A1266" s="14" t="s">
        <v>74</v>
      </c>
      <c r="B1266" s="15" t="s">
        <v>77</v>
      </c>
      <c r="C1266" s="15">
        <v>74</v>
      </c>
      <c r="D1266" s="15">
        <v>2.67</v>
      </c>
    </row>
    <row r="1267" spans="1:4" x14ac:dyDescent="0.2">
      <c r="A1267" s="16" t="s">
        <v>74</v>
      </c>
      <c r="B1267" s="17" t="s">
        <v>77</v>
      </c>
      <c r="C1267" s="17">
        <v>75</v>
      </c>
      <c r="D1267" s="17">
        <v>2.52</v>
      </c>
    </row>
    <row r="1268" spans="1:4" x14ac:dyDescent="0.2">
      <c r="A1268" s="14" t="s">
        <v>74</v>
      </c>
      <c r="B1268" s="15" t="s">
        <v>77</v>
      </c>
      <c r="C1268" s="15">
        <v>76</v>
      </c>
      <c r="D1268" s="15">
        <v>2.38</v>
      </c>
    </row>
    <row r="1269" spans="1:4" x14ac:dyDescent="0.2">
      <c r="A1269" s="16" t="s">
        <v>74</v>
      </c>
      <c r="B1269" s="17" t="s">
        <v>77</v>
      </c>
      <c r="C1269" s="17">
        <v>77</v>
      </c>
      <c r="D1269" s="17">
        <v>2.25</v>
      </c>
    </row>
    <row r="1270" spans="1:4" x14ac:dyDescent="0.2">
      <c r="A1270" s="14" t="s">
        <v>74</v>
      </c>
      <c r="B1270" s="15" t="s">
        <v>77</v>
      </c>
      <c r="C1270" s="15">
        <v>78</v>
      </c>
      <c r="D1270" s="15">
        <v>2.13</v>
      </c>
    </row>
    <row r="1271" spans="1:4" x14ac:dyDescent="0.2">
      <c r="A1271" s="16" t="s">
        <v>74</v>
      </c>
      <c r="B1271" s="17" t="s">
        <v>77</v>
      </c>
      <c r="C1271" s="17">
        <v>79</v>
      </c>
      <c r="D1271" s="17">
        <v>2.02</v>
      </c>
    </row>
    <row r="1272" spans="1:4" x14ac:dyDescent="0.2">
      <c r="A1272" s="14" t="s">
        <v>74</v>
      </c>
      <c r="B1272" s="15" t="s">
        <v>77</v>
      </c>
      <c r="C1272" s="15">
        <v>80</v>
      </c>
      <c r="D1272" s="15">
        <v>1.93</v>
      </c>
    </row>
    <row r="1273" spans="1:4" x14ac:dyDescent="0.2">
      <c r="A1273" s="16" t="s">
        <v>74</v>
      </c>
      <c r="B1273" s="17" t="s">
        <v>77</v>
      </c>
      <c r="C1273" s="17">
        <v>81</v>
      </c>
      <c r="D1273" s="17">
        <v>1.84</v>
      </c>
    </row>
    <row r="1274" spans="1:4" x14ac:dyDescent="0.2">
      <c r="A1274" s="14" t="s">
        <v>74</v>
      </c>
      <c r="B1274" s="15" t="s">
        <v>77</v>
      </c>
      <c r="C1274" s="15">
        <v>82</v>
      </c>
      <c r="D1274" s="15">
        <v>1.75</v>
      </c>
    </row>
    <row r="1275" spans="1:4" x14ac:dyDescent="0.2">
      <c r="A1275" s="16" t="s">
        <v>74</v>
      </c>
      <c r="B1275" s="17" t="s">
        <v>77</v>
      </c>
      <c r="C1275" s="17">
        <v>83</v>
      </c>
      <c r="D1275" s="17">
        <v>1.67</v>
      </c>
    </row>
    <row r="1276" spans="1:4" x14ac:dyDescent="0.2">
      <c r="A1276" s="14" t="s">
        <v>74</v>
      </c>
      <c r="B1276" s="15" t="s">
        <v>77</v>
      </c>
      <c r="C1276" s="15">
        <v>84</v>
      </c>
      <c r="D1276" s="15">
        <v>1.59</v>
      </c>
    </row>
    <row r="1277" spans="1:4" x14ac:dyDescent="0.2">
      <c r="A1277" s="16" t="s">
        <v>74</v>
      </c>
      <c r="B1277" s="17" t="s">
        <v>77</v>
      </c>
      <c r="C1277" s="17">
        <v>85</v>
      </c>
      <c r="D1277" s="17">
        <v>1.52</v>
      </c>
    </row>
    <row r="1278" spans="1:4" x14ac:dyDescent="0.2">
      <c r="A1278" s="14" t="s">
        <v>74</v>
      </c>
      <c r="B1278" s="15" t="s">
        <v>77</v>
      </c>
      <c r="C1278" s="15">
        <v>86</v>
      </c>
      <c r="D1278" s="15">
        <v>1.45</v>
      </c>
    </row>
    <row r="1279" spans="1:4" x14ac:dyDescent="0.2">
      <c r="A1279" s="16" t="s">
        <v>74</v>
      </c>
      <c r="B1279" s="17" t="s">
        <v>77</v>
      </c>
      <c r="C1279" s="17">
        <v>87</v>
      </c>
      <c r="D1279" s="17">
        <v>1.38</v>
      </c>
    </row>
    <row r="1280" spans="1:4" x14ac:dyDescent="0.2">
      <c r="A1280" s="14" t="s">
        <v>74</v>
      </c>
      <c r="B1280" s="15" t="s">
        <v>77</v>
      </c>
      <c r="C1280" s="15">
        <v>88</v>
      </c>
      <c r="D1280" s="15">
        <v>1.32</v>
      </c>
    </row>
    <row r="1281" spans="1:4" x14ac:dyDescent="0.2">
      <c r="A1281" s="16" t="s">
        <v>74</v>
      </c>
      <c r="B1281" s="17" t="s">
        <v>77</v>
      </c>
      <c r="C1281" s="17">
        <v>89</v>
      </c>
      <c r="D1281" s="17">
        <v>1.27</v>
      </c>
    </row>
    <row r="1282" spans="1:4" x14ac:dyDescent="0.2">
      <c r="A1282" s="14" t="s">
        <v>74</v>
      </c>
      <c r="B1282" s="15" t="s">
        <v>77</v>
      </c>
      <c r="C1282" s="15">
        <v>90</v>
      </c>
      <c r="D1282" s="15">
        <v>1.21</v>
      </c>
    </row>
    <row r="1283" spans="1:4" x14ac:dyDescent="0.2">
      <c r="A1283" s="16" t="s">
        <v>75</v>
      </c>
      <c r="B1283" s="17" t="s">
        <v>77</v>
      </c>
      <c r="C1283" s="17">
        <v>25</v>
      </c>
      <c r="D1283" s="17">
        <v>36.06</v>
      </c>
    </row>
    <row r="1284" spans="1:4" x14ac:dyDescent="0.2">
      <c r="A1284" s="14" t="s">
        <v>75</v>
      </c>
      <c r="B1284" s="15" t="s">
        <v>77</v>
      </c>
      <c r="C1284" s="15">
        <v>26</v>
      </c>
      <c r="D1284" s="15">
        <v>35.119999999999997</v>
      </c>
    </row>
    <row r="1285" spans="1:4" x14ac:dyDescent="0.2">
      <c r="A1285" s="16" t="s">
        <v>75</v>
      </c>
      <c r="B1285" s="17" t="s">
        <v>77</v>
      </c>
      <c r="C1285" s="17">
        <v>27</v>
      </c>
      <c r="D1285" s="17">
        <v>34.19</v>
      </c>
    </row>
    <row r="1286" spans="1:4" x14ac:dyDescent="0.2">
      <c r="A1286" s="14" t="s">
        <v>75</v>
      </c>
      <c r="B1286" s="15" t="s">
        <v>77</v>
      </c>
      <c r="C1286" s="15">
        <v>28</v>
      </c>
      <c r="D1286" s="15">
        <v>33.26</v>
      </c>
    </row>
    <row r="1287" spans="1:4" x14ac:dyDescent="0.2">
      <c r="A1287" s="16" t="s">
        <v>75</v>
      </c>
      <c r="B1287" s="17" t="s">
        <v>77</v>
      </c>
      <c r="C1287" s="17">
        <v>29</v>
      </c>
      <c r="D1287" s="17">
        <v>32.340000000000003</v>
      </c>
    </row>
    <row r="1288" spans="1:4" x14ac:dyDescent="0.2">
      <c r="A1288" s="14" t="s">
        <v>75</v>
      </c>
      <c r="B1288" s="15" t="s">
        <v>77</v>
      </c>
      <c r="C1288" s="15">
        <v>30</v>
      </c>
      <c r="D1288" s="15">
        <v>31.44</v>
      </c>
    </row>
    <row r="1289" spans="1:4" x14ac:dyDescent="0.2">
      <c r="A1289" s="16" t="s">
        <v>75</v>
      </c>
      <c r="B1289" s="17" t="s">
        <v>77</v>
      </c>
      <c r="C1289" s="17">
        <v>31</v>
      </c>
      <c r="D1289" s="17">
        <v>30.54</v>
      </c>
    </row>
    <row r="1290" spans="1:4" x14ac:dyDescent="0.2">
      <c r="A1290" s="14" t="s">
        <v>75</v>
      </c>
      <c r="B1290" s="15" t="s">
        <v>77</v>
      </c>
      <c r="C1290" s="15">
        <v>32</v>
      </c>
      <c r="D1290" s="15">
        <v>29.66</v>
      </c>
    </row>
    <row r="1291" spans="1:4" x14ac:dyDescent="0.2">
      <c r="A1291" s="16" t="s">
        <v>75</v>
      </c>
      <c r="B1291" s="17" t="s">
        <v>77</v>
      </c>
      <c r="C1291" s="17">
        <v>33</v>
      </c>
      <c r="D1291" s="17">
        <v>28.79</v>
      </c>
    </row>
    <row r="1292" spans="1:4" x14ac:dyDescent="0.2">
      <c r="A1292" s="14" t="s">
        <v>75</v>
      </c>
      <c r="B1292" s="15" t="s">
        <v>77</v>
      </c>
      <c r="C1292" s="15">
        <v>34</v>
      </c>
      <c r="D1292" s="15">
        <v>27.93</v>
      </c>
    </row>
    <row r="1293" spans="1:4" x14ac:dyDescent="0.2">
      <c r="A1293" s="16" t="s">
        <v>75</v>
      </c>
      <c r="B1293" s="17" t="s">
        <v>77</v>
      </c>
      <c r="C1293" s="17">
        <v>35</v>
      </c>
      <c r="D1293" s="17">
        <v>27.08</v>
      </c>
    </row>
    <row r="1294" spans="1:4" x14ac:dyDescent="0.2">
      <c r="A1294" s="14" t="s">
        <v>75</v>
      </c>
      <c r="B1294" s="15" t="s">
        <v>77</v>
      </c>
      <c r="C1294" s="15">
        <v>36</v>
      </c>
      <c r="D1294" s="15">
        <v>26.24</v>
      </c>
    </row>
    <row r="1295" spans="1:4" x14ac:dyDescent="0.2">
      <c r="A1295" s="16" t="s">
        <v>75</v>
      </c>
      <c r="B1295" s="17" t="s">
        <v>77</v>
      </c>
      <c r="C1295" s="17">
        <v>37</v>
      </c>
      <c r="D1295" s="17">
        <v>25.41</v>
      </c>
    </row>
    <row r="1296" spans="1:4" x14ac:dyDescent="0.2">
      <c r="A1296" s="14" t="s">
        <v>75</v>
      </c>
      <c r="B1296" s="15" t="s">
        <v>77</v>
      </c>
      <c r="C1296" s="15">
        <v>38</v>
      </c>
      <c r="D1296" s="15">
        <v>24.57</v>
      </c>
    </row>
    <row r="1297" spans="1:4" x14ac:dyDescent="0.2">
      <c r="A1297" s="16" t="s">
        <v>75</v>
      </c>
      <c r="B1297" s="17" t="s">
        <v>77</v>
      </c>
      <c r="C1297" s="17">
        <v>39</v>
      </c>
      <c r="D1297" s="17">
        <v>23.73</v>
      </c>
    </row>
    <row r="1298" spans="1:4" x14ac:dyDescent="0.2">
      <c r="A1298" s="14" t="s">
        <v>75</v>
      </c>
      <c r="B1298" s="15" t="s">
        <v>77</v>
      </c>
      <c r="C1298" s="15">
        <v>40</v>
      </c>
      <c r="D1298" s="15">
        <v>22.89</v>
      </c>
    </row>
    <row r="1299" spans="1:4" x14ac:dyDescent="0.2">
      <c r="A1299" s="16" t="s">
        <v>75</v>
      </c>
      <c r="B1299" s="17" t="s">
        <v>77</v>
      </c>
      <c r="C1299" s="17">
        <v>41</v>
      </c>
      <c r="D1299" s="17">
        <v>22.03</v>
      </c>
    </row>
    <row r="1300" spans="1:4" x14ac:dyDescent="0.2">
      <c r="A1300" s="14" t="s">
        <v>75</v>
      </c>
      <c r="B1300" s="15" t="s">
        <v>77</v>
      </c>
      <c r="C1300" s="15">
        <v>42</v>
      </c>
      <c r="D1300" s="15">
        <v>21.18</v>
      </c>
    </row>
    <row r="1301" spans="1:4" x14ac:dyDescent="0.2">
      <c r="A1301" s="16" t="s">
        <v>75</v>
      </c>
      <c r="B1301" s="17" t="s">
        <v>77</v>
      </c>
      <c r="C1301" s="17">
        <v>43</v>
      </c>
      <c r="D1301" s="17">
        <v>20.32</v>
      </c>
    </row>
    <row r="1302" spans="1:4" x14ac:dyDescent="0.2">
      <c r="A1302" s="14" t="s">
        <v>75</v>
      </c>
      <c r="B1302" s="15" t="s">
        <v>77</v>
      </c>
      <c r="C1302" s="15">
        <v>44</v>
      </c>
      <c r="D1302" s="15">
        <v>19.47</v>
      </c>
    </row>
    <row r="1303" spans="1:4" x14ac:dyDescent="0.2">
      <c r="A1303" s="16" t="s">
        <v>75</v>
      </c>
      <c r="B1303" s="17" t="s">
        <v>77</v>
      </c>
      <c r="C1303" s="17">
        <v>45</v>
      </c>
      <c r="D1303" s="17">
        <v>18.62</v>
      </c>
    </row>
    <row r="1304" spans="1:4" x14ac:dyDescent="0.2">
      <c r="A1304" s="14" t="s">
        <v>75</v>
      </c>
      <c r="B1304" s="15" t="s">
        <v>77</v>
      </c>
      <c r="C1304" s="15">
        <v>46</v>
      </c>
      <c r="D1304" s="15">
        <v>17.77</v>
      </c>
    </row>
    <row r="1305" spans="1:4" x14ac:dyDescent="0.2">
      <c r="A1305" s="16" t="s">
        <v>75</v>
      </c>
      <c r="B1305" s="17" t="s">
        <v>77</v>
      </c>
      <c r="C1305" s="17">
        <v>47</v>
      </c>
      <c r="D1305" s="17">
        <v>16.920000000000002</v>
      </c>
    </row>
    <row r="1306" spans="1:4" x14ac:dyDescent="0.2">
      <c r="A1306" s="14" t="s">
        <v>75</v>
      </c>
      <c r="B1306" s="15" t="s">
        <v>77</v>
      </c>
      <c r="C1306" s="15">
        <v>48</v>
      </c>
      <c r="D1306" s="15">
        <v>16.079999999999998</v>
      </c>
    </row>
    <row r="1307" spans="1:4" x14ac:dyDescent="0.2">
      <c r="A1307" s="16" t="s">
        <v>75</v>
      </c>
      <c r="B1307" s="17" t="s">
        <v>77</v>
      </c>
      <c r="C1307" s="17">
        <v>49</v>
      </c>
      <c r="D1307" s="17">
        <v>15.23</v>
      </c>
    </row>
    <row r="1308" spans="1:4" x14ac:dyDescent="0.2">
      <c r="A1308" s="14" t="s">
        <v>75</v>
      </c>
      <c r="B1308" s="15" t="s">
        <v>77</v>
      </c>
      <c r="C1308" s="15">
        <v>50</v>
      </c>
      <c r="D1308" s="15">
        <v>14.39</v>
      </c>
    </row>
    <row r="1309" spans="1:4" x14ac:dyDescent="0.2">
      <c r="A1309" s="16" t="s">
        <v>75</v>
      </c>
      <c r="B1309" s="17" t="s">
        <v>77</v>
      </c>
      <c r="C1309" s="17">
        <v>51</v>
      </c>
      <c r="D1309" s="17">
        <v>13.55</v>
      </c>
    </row>
    <row r="1310" spans="1:4" x14ac:dyDescent="0.2">
      <c r="A1310" s="14" t="s">
        <v>75</v>
      </c>
      <c r="B1310" s="15" t="s">
        <v>77</v>
      </c>
      <c r="C1310" s="15">
        <v>52</v>
      </c>
      <c r="D1310" s="15">
        <v>12.73</v>
      </c>
    </row>
    <row r="1311" spans="1:4" x14ac:dyDescent="0.2">
      <c r="A1311" s="16" t="s">
        <v>75</v>
      </c>
      <c r="B1311" s="17" t="s">
        <v>77</v>
      </c>
      <c r="C1311" s="17">
        <v>53</v>
      </c>
      <c r="D1311" s="17">
        <v>11.92</v>
      </c>
    </row>
    <row r="1312" spans="1:4" x14ac:dyDescent="0.2">
      <c r="A1312" s="14" t="s">
        <v>75</v>
      </c>
      <c r="B1312" s="15" t="s">
        <v>77</v>
      </c>
      <c r="C1312" s="15">
        <v>54</v>
      </c>
      <c r="D1312" s="15">
        <v>11.12</v>
      </c>
    </row>
    <row r="1313" spans="1:4" x14ac:dyDescent="0.2">
      <c r="A1313" s="16" t="s">
        <v>75</v>
      </c>
      <c r="B1313" s="17" t="s">
        <v>77</v>
      </c>
      <c r="C1313" s="17">
        <v>55</v>
      </c>
      <c r="D1313" s="17">
        <v>10.35</v>
      </c>
    </row>
    <row r="1314" spans="1:4" x14ac:dyDescent="0.2">
      <c r="A1314" s="14" t="s">
        <v>75</v>
      </c>
      <c r="B1314" s="15" t="s">
        <v>77</v>
      </c>
      <c r="C1314" s="15">
        <v>56</v>
      </c>
      <c r="D1314" s="15">
        <v>9.61</v>
      </c>
    </row>
    <row r="1315" spans="1:4" x14ac:dyDescent="0.2">
      <c r="A1315" s="16" t="s">
        <v>75</v>
      </c>
      <c r="B1315" s="17" t="s">
        <v>77</v>
      </c>
      <c r="C1315" s="17">
        <v>57</v>
      </c>
      <c r="D1315" s="17">
        <v>8.9</v>
      </c>
    </row>
    <row r="1316" spans="1:4" x14ac:dyDescent="0.2">
      <c r="A1316" s="14" t="s">
        <v>75</v>
      </c>
      <c r="B1316" s="15" t="s">
        <v>77</v>
      </c>
      <c r="C1316" s="15">
        <v>58</v>
      </c>
      <c r="D1316" s="15">
        <v>8.23</v>
      </c>
    </row>
    <row r="1317" spans="1:4" x14ac:dyDescent="0.2">
      <c r="A1317" s="16" t="s">
        <v>75</v>
      </c>
      <c r="B1317" s="17" t="s">
        <v>77</v>
      </c>
      <c r="C1317" s="17">
        <v>59</v>
      </c>
      <c r="D1317" s="17">
        <v>7.59</v>
      </c>
    </row>
    <row r="1318" spans="1:4" x14ac:dyDescent="0.2">
      <c r="A1318" s="14" t="s">
        <v>75</v>
      </c>
      <c r="B1318" s="15" t="s">
        <v>77</v>
      </c>
      <c r="C1318" s="15">
        <v>60</v>
      </c>
      <c r="D1318" s="15">
        <v>7.01</v>
      </c>
    </row>
    <row r="1319" spans="1:4" x14ac:dyDescent="0.2">
      <c r="A1319" s="16" t="s">
        <v>75</v>
      </c>
      <c r="B1319" s="17" t="s">
        <v>77</v>
      </c>
      <c r="C1319" s="17">
        <v>61</v>
      </c>
      <c r="D1319" s="17">
        <v>6.47</v>
      </c>
    </row>
    <row r="1320" spans="1:4" x14ac:dyDescent="0.2">
      <c r="A1320" s="14" t="s">
        <v>75</v>
      </c>
      <c r="B1320" s="15" t="s">
        <v>77</v>
      </c>
      <c r="C1320" s="15">
        <v>62</v>
      </c>
      <c r="D1320" s="15">
        <v>5.98</v>
      </c>
    </row>
    <row r="1321" spans="1:4" x14ac:dyDescent="0.2">
      <c r="A1321" s="16" t="s">
        <v>75</v>
      </c>
      <c r="B1321" s="17" t="s">
        <v>77</v>
      </c>
      <c r="C1321" s="17">
        <v>63</v>
      </c>
      <c r="D1321" s="17">
        <v>5.54</v>
      </c>
    </row>
    <row r="1322" spans="1:4" x14ac:dyDescent="0.2">
      <c r="A1322" s="14" t="s">
        <v>75</v>
      </c>
      <c r="B1322" s="15" t="s">
        <v>77</v>
      </c>
      <c r="C1322" s="15">
        <v>64</v>
      </c>
      <c r="D1322" s="15">
        <v>5.13</v>
      </c>
    </row>
    <row r="1323" spans="1:4" x14ac:dyDescent="0.2">
      <c r="A1323" s="16" t="s">
        <v>75</v>
      </c>
      <c r="B1323" s="17" t="s">
        <v>77</v>
      </c>
      <c r="C1323" s="17">
        <v>65</v>
      </c>
      <c r="D1323" s="17">
        <v>4.76</v>
      </c>
    </row>
    <row r="1324" spans="1:4" x14ac:dyDescent="0.2">
      <c r="A1324" s="14" t="s">
        <v>75</v>
      </c>
      <c r="B1324" s="15" t="s">
        <v>77</v>
      </c>
      <c r="C1324" s="15">
        <v>66</v>
      </c>
      <c r="D1324" s="15">
        <v>4.4400000000000004</v>
      </c>
    </row>
    <row r="1325" spans="1:4" x14ac:dyDescent="0.2">
      <c r="A1325" s="16" t="s">
        <v>75</v>
      </c>
      <c r="B1325" s="17" t="s">
        <v>77</v>
      </c>
      <c r="C1325" s="17">
        <v>67</v>
      </c>
      <c r="D1325" s="17">
        <v>4.1399999999999997</v>
      </c>
    </row>
    <row r="1326" spans="1:4" x14ac:dyDescent="0.2">
      <c r="A1326" s="14" t="s">
        <v>75</v>
      </c>
      <c r="B1326" s="15" t="s">
        <v>77</v>
      </c>
      <c r="C1326" s="15">
        <v>68</v>
      </c>
      <c r="D1326" s="15">
        <v>3.88</v>
      </c>
    </row>
    <row r="1327" spans="1:4" x14ac:dyDescent="0.2">
      <c r="A1327" s="16" t="s">
        <v>75</v>
      </c>
      <c r="B1327" s="17" t="s">
        <v>77</v>
      </c>
      <c r="C1327" s="17">
        <v>69</v>
      </c>
      <c r="D1327" s="17">
        <v>3.64</v>
      </c>
    </row>
    <row r="1328" spans="1:4" x14ac:dyDescent="0.2">
      <c r="A1328" s="14" t="s">
        <v>75</v>
      </c>
      <c r="B1328" s="15" t="s">
        <v>77</v>
      </c>
      <c r="C1328" s="15">
        <v>70</v>
      </c>
      <c r="D1328" s="15">
        <v>3.42</v>
      </c>
    </row>
    <row r="1329" spans="1:4" x14ac:dyDescent="0.2">
      <c r="A1329" s="16" t="s">
        <v>75</v>
      </c>
      <c r="B1329" s="17" t="s">
        <v>77</v>
      </c>
      <c r="C1329" s="17">
        <v>71</v>
      </c>
      <c r="D1329" s="17">
        <v>3.23</v>
      </c>
    </row>
    <row r="1330" spans="1:4" x14ac:dyDescent="0.2">
      <c r="A1330" s="14" t="s">
        <v>75</v>
      </c>
      <c r="B1330" s="15" t="s">
        <v>77</v>
      </c>
      <c r="C1330" s="15">
        <v>72</v>
      </c>
      <c r="D1330" s="15">
        <v>3.05</v>
      </c>
    </row>
    <row r="1331" spans="1:4" x14ac:dyDescent="0.2">
      <c r="A1331" s="16" t="s">
        <v>75</v>
      </c>
      <c r="B1331" s="17" t="s">
        <v>77</v>
      </c>
      <c r="C1331" s="17">
        <v>73</v>
      </c>
      <c r="D1331" s="17">
        <v>2.89</v>
      </c>
    </row>
    <row r="1332" spans="1:4" x14ac:dyDescent="0.2">
      <c r="A1332" s="14" t="s">
        <v>75</v>
      </c>
      <c r="B1332" s="15" t="s">
        <v>77</v>
      </c>
      <c r="C1332" s="15">
        <v>74</v>
      </c>
      <c r="D1332" s="15">
        <v>2.75</v>
      </c>
    </row>
    <row r="1333" spans="1:4" x14ac:dyDescent="0.2">
      <c r="A1333" s="16" t="s">
        <v>75</v>
      </c>
      <c r="B1333" s="17" t="s">
        <v>77</v>
      </c>
      <c r="C1333" s="17">
        <v>75</v>
      </c>
      <c r="D1333" s="17">
        <v>2.62</v>
      </c>
    </row>
    <row r="1334" spans="1:4" x14ac:dyDescent="0.2">
      <c r="A1334" s="14" t="s">
        <v>75</v>
      </c>
      <c r="B1334" s="15" t="s">
        <v>77</v>
      </c>
      <c r="C1334" s="15">
        <v>76</v>
      </c>
      <c r="D1334" s="15">
        <v>2.5</v>
      </c>
    </row>
    <row r="1335" spans="1:4" x14ac:dyDescent="0.2">
      <c r="A1335" s="16" t="s">
        <v>75</v>
      </c>
      <c r="B1335" s="17" t="s">
        <v>77</v>
      </c>
      <c r="C1335" s="17">
        <v>77</v>
      </c>
      <c r="D1335" s="17">
        <v>2.39</v>
      </c>
    </row>
    <row r="1336" spans="1:4" x14ac:dyDescent="0.2">
      <c r="A1336" s="14" t="s">
        <v>75</v>
      </c>
      <c r="B1336" s="15" t="s">
        <v>77</v>
      </c>
      <c r="C1336" s="15">
        <v>78</v>
      </c>
      <c r="D1336" s="15">
        <v>2.2799999999999998</v>
      </c>
    </row>
    <row r="1337" spans="1:4" x14ac:dyDescent="0.2">
      <c r="A1337" s="16" t="s">
        <v>75</v>
      </c>
      <c r="B1337" s="17" t="s">
        <v>77</v>
      </c>
      <c r="C1337" s="17">
        <v>79</v>
      </c>
      <c r="D1337" s="17">
        <v>2.1800000000000002</v>
      </c>
    </row>
    <row r="1338" spans="1:4" x14ac:dyDescent="0.2">
      <c r="A1338" s="14" t="s">
        <v>75</v>
      </c>
      <c r="B1338" s="15" t="s">
        <v>77</v>
      </c>
      <c r="C1338" s="15">
        <v>80</v>
      </c>
      <c r="D1338" s="15">
        <v>2.09</v>
      </c>
    </row>
    <row r="1339" spans="1:4" x14ac:dyDescent="0.2">
      <c r="A1339" s="16" t="s">
        <v>75</v>
      </c>
      <c r="B1339" s="17" t="s">
        <v>77</v>
      </c>
      <c r="C1339" s="17">
        <v>81</v>
      </c>
      <c r="D1339" s="17">
        <v>2</v>
      </c>
    </row>
    <row r="1340" spans="1:4" x14ac:dyDescent="0.2">
      <c r="A1340" s="14" t="s">
        <v>75</v>
      </c>
      <c r="B1340" s="15" t="s">
        <v>77</v>
      </c>
      <c r="C1340" s="15">
        <v>82</v>
      </c>
      <c r="D1340" s="15">
        <v>1.91</v>
      </c>
    </row>
    <row r="1341" spans="1:4" x14ac:dyDescent="0.2">
      <c r="A1341" s="16" t="s">
        <v>75</v>
      </c>
      <c r="B1341" s="17" t="s">
        <v>77</v>
      </c>
      <c r="C1341" s="17">
        <v>83</v>
      </c>
      <c r="D1341" s="17">
        <v>1.83</v>
      </c>
    </row>
    <row r="1342" spans="1:4" x14ac:dyDescent="0.2">
      <c r="A1342" s="14" t="s">
        <v>75</v>
      </c>
      <c r="B1342" s="15" t="s">
        <v>77</v>
      </c>
      <c r="C1342" s="15">
        <v>84</v>
      </c>
      <c r="D1342" s="15">
        <v>1.76</v>
      </c>
    </row>
    <row r="1343" spans="1:4" x14ac:dyDescent="0.2">
      <c r="A1343" s="16" t="s">
        <v>75</v>
      </c>
      <c r="B1343" s="17" t="s">
        <v>77</v>
      </c>
      <c r="C1343" s="17">
        <v>85</v>
      </c>
      <c r="D1343" s="17">
        <v>1.69</v>
      </c>
    </row>
    <row r="1344" spans="1:4" x14ac:dyDescent="0.2">
      <c r="A1344" s="14" t="s">
        <v>75</v>
      </c>
      <c r="B1344" s="15" t="s">
        <v>77</v>
      </c>
      <c r="C1344" s="15">
        <v>86</v>
      </c>
      <c r="D1344" s="15">
        <v>1.62</v>
      </c>
    </row>
    <row r="1345" spans="1:4" x14ac:dyDescent="0.2">
      <c r="A1345" s="16" t="s">
        <v>75</v>
      </c>
      <c r="B1345" s="17" t="s">
        <v>77</v>
      </c>
      <c r="C1345" s="17">
        <v>87</v>
      </c>
      <c r="D1345" s="17">
        <v>1.56</v>
      </c>
    </row>
    <row r="1346" spans="1:4" x14ac:dyDescent="0.2">
      <c r="A1346" s="14" t="s">
        <v>75</v>
      </c>
      <c r="B1346" s="15" t="s">
        <v>77</v>
      </c>
      <c r="C1346" s="15">
        <v>88</v>
      </c>
      <c r="D1346" s="15">
        <v>1.5</v>
      </c>
    </row>
    <row r="1347" spans="1:4" x14ac:dyDescent="0.2">
      <c r="A1347" s="16" t="s">
        <v>75</v>
      </c>
      <c r="B1347" s="17" t="s">
        <v>77</v>
      </c>
      <c r="C1347" s="17">
        <v>89</v>
      </c>
      <c r="D1347" s="17">
        <v>1.44</v>
      </c>
    </row>
    <row r="1348" spans="1:4" x14ac:dyDescent="0.2">
      <c r="A1348" s="14" t="s">
        <v>75</v>
      </c>
      <c r="B1348" s="15" t="s">
        <v>77</v>
      </c>
      <c r="C1348" s="15">
        <v>90</v>
      </c>
      <c r="D1348" s="15">
        <v>1.38</v>
      </c>
    </row>
    <row r="1349" spans="1:4" x14ac:dyDescent="0.2">
      <c r="A1349" s="16" t="s">
        <v>76</v>
      </c>
      <c r="B1349" s="17" t="s">
        <v>77</v>
      </c>
      <c r="C1349" s="17">
        <v>26</v>
      </c>
      <c r="D1349" s="17">
        <v>37.89</v>
      </c>
    </row>
    <row r="1350" spans="1:4" x14ac:dyDescent="0.2">
      <c r="A1350" s="14" t="s">
        <v>76</v>
      </c>
      <c r="B1350" s="15" t="s">
        <v>77</v>
      </c>
      <c r="C1350" s="15">
        <v>27</v>
      </c>
      <c r="D1350" s="15">
        <v>36.93</v>
      </c>
    </row>
    <row r="1351" spans="1:4" x14ac:dyDescent="0.2">
      <c r="A1351" s="16" t="s">
        <v>76</v>
      </c>
      <c r="B1351" s="17" t="s">
        <v>77</v>
      </c>
      <c r="C1351" s="17">
        <v>28</v>
      </c>
      <c r="D1351" s="17">
        <v>35.979999999999997</v>
      </c>
    </row>
    <row r="1352" spans="1:4" x14ac:dyDescent="0.2">
      <c r="A1352" s="14" t="s">
        <v>76</v>
      </c>
      <c r="B1352" s="15" t="s">
        <v>77</v>
      </c>
      <c r="C1352" s="15">
        <v>29</v>
      </c>
      <c r="D1352" s="15">
        <v>35.04</v>
      </c>
    </row>
    <row r="1353" spans="1:4" x14ac:dyDescent="0.2">
      <c r="A1353" s="16" t="s">
        <v>76</v>
      </c>
      <c r="B1353" s="17" t="s">
        <v>77</v>
      </c>
      <c r="C1353" s="17">
        <v>30</v>
      </c>
      <c r="D1353" s="17">
        <v>34.1</v>
      </c>
    </row>
    <row r="1354" spans="1:4" x14ac:dyDescent="0.2">
      <c r="A1354" s="14" t="s">
        <v>76</v>
      </c>
      <c r="B1354" s="15" t="s">
        <v>77</v>
      </c>
      <c r="C1354" s="15">
        <v>31</v>
      </c>
      <c r="D1354" s="15">
        <v>33.17</v>
      </c>
    </row>
    <row r="1355" spans="1:4" x14ac:dyDescent="0.2">
      <c r="A1355" s="16" t="s">
        <v>76</v>
      </c>
      <c r="B1355" s="17" t="s">
        <v>77</v>
      </c>
      <c r="C1355" s="17">
        <v>32</v>
      </c>
      <c r="D1355" s="17">
        <v>32.26</v>
      </c>
    </row>
    <row r="1356" spans="1:4" x14ac:dyDescent="0.2">
      <c r="A1356" s="14" t="s">
        <v>76</v>
      </c>
      <c r="B1356" s="15" t="s">
        <v>77</v>
      </c>
      <c r="C1356" s="15">
        <v>33</v>
      </c>
      <c r="D1356" s="15">
        <v>31.35</v>
      </c>
    </row>
    <row r="1357" spans="1:4" x14ac:dyDescent="0.2">
      <c r="A1357" s="16" t="s">
        <v>76</v>
      </c>
      <c r="B1357" s="17" t="s">
        <v>77</v>
      </c>
      <c r="C1357" s="17">
        <v>34</v>
      </c>
      <c r="D1357" s="17">
        <v>30.44</v>
      </c>
    </row>
    <row r="1358" spans="1:4" x14ac:dyDescent="0.2">
      <c r="A1358" s="14" t="s">
        <v>76</v>
      </c>
      <c r="B1358" s="15" t="s">
        <v>77</v>
      </c>
      <c r="C1358" s="15">
        <v>35</v>
      </c>
      <c r="D1358" s="15">
        <v>29.55</v>
      </c>
    </row>
    <row r="1359" spans="1:4" x14ac:dyDescent="0.2">
      <c r="A1359" s="16" t="s">
        <v>76</v>
      </c>
      <c r="B1359" s="17" t="s">
        <v>77</v>
      </c>
      <c r="C1359" s="17">
        <v>36</v>
      </c>
      <c r="D1359" s="17">
        <v>28.66</v>
      </c>
    </row>
    <row r="1360" spans="1:4" x14ac:dyDescent="0.2">
      <c r="A1360" s="14" t="s">
        <v>76</v>
      </c>
      <c r="B1360" s="15" t="s">
        <v>77</v>
      </c>
      <c r="C1360" s="15">
        <v>37</v>
      </c>
      <c r="D1360" s="15">
        <v>27.77</v>
      </c>
    </row>
    <row r="1361" spans="1:4" x14ac:dyDescent="0.2">
      <c r="A1361" s="16" t="s">
        <v>76</v>
      </c>
      <c r="B1361" s="17" t="s">
        <v>77</v>
      </c>
      <c r="C1361" s="17">
        <v>38</v>
      </c>
      <c r="D1361" s="17">
        <v>26.88</v>
      </c>
    </row>
    <row r="1362" spans="1:4" x14ac:dyDescent="0.2">
      <c r="A1362" s="14" t="s">
        <v>76</v>
      </c>
      <c r="B1362" s="15" t="s">
        <v>77</v>
      </c>
      <c r="C1362" s="15">
        <v>39</v>
      </c>
      <c r="D1362" s="15">
        <v>26</v>
      </c>
    </row>
    <row r="1363" spans="1:4" x14ac:dyDescent="0.2">
      <c r="A1363" s="16" t="s">
        <v>76</v>
      </c>
      <c r="B1363" s="17" t="s">
        <v>77</v>
      </c>
      <c r="C1363" s="17">
        <v>40</v>
      </c>
      <c r="D1363" s="17">
        <v>25.12</v>
      </c>
    </row>
    <row r="1364" spans="1:4" x14ac:dyDescent="0.2">
      <c r="A1364" s="14" t="s">
        <v>76</v>
      </c>
      <c r="B1364" s="15" t="s">
        <v>77</v>
      </c>
      <c r="C1364" s="15">
        <v>41</v>
      </c>
      <c r="D1364" s="15">
        <v>24.25</v>
      </c>
    </row>
    <row r="1365" spans="1:4" x14ac:dyDescent="0.2">
      <c r="A1365" s="16" t="s">
        <v>76</v>
      </c>
      <c r="B1365" s="17" t="s">
        <v>77</v>
      </c>
      <c r="C1365" s="17">
        <v>42</v>
      </c>
      <c r="D1365" s="17">
        <v>23.39</v>
      </c>
    </row>
    <row r="1366" spans="1:4" x14ac:dyDescent="0.2">
      <c r="A1366" s="14" t="s">
        <v>76</v>
      </c>
      <c r="B1366" s="15" t="s">
        <v>77</v>
      </c>
      <c r="C1366" s="15">
        <v>43</v>
      </c>
      <c r="D1366" s="15">
        <v>22.54</v>
      </c>
    </row>
    <row r="1367" spans="1:4" x14ac:dyDescent="0.2">
      <c r="A1367" s="16" t="s">
        <v>76</v>
      </c>
      <c r="B1367" s="17" t="s">
        <v>77</v>
      </c>
      <c r="C1367" s="17">
        <v>44</v>
      </c>
      <c r="D1367" s="17">
        <v>21.71</v>
      </c>
    </row>
    <row r="1368" spans="1:4" x14ac:dyDescent="0.2">
      <c r="A1368" s="14" t="s">
        <v>76</v>
      </c>
      <c r="B1368" s="15" t="s">
        <v>77</v>
      </c>
      <c r="C1368" s="15">
        <v>45</v>
      </c>
      <c r="D1368" s="15">
        <v>20.89</v>
      </c>
    </row>
    <row r="1369" spans="1:4" x14ac:dyDescent="0.2">
      <c r="A1369" s="16" t="s">
        <v>76</v>
      </c>
      <c r="B1369" s="17" t="s">
        <v>77</v>
      </c>
      <c r="C1369" s="17">
        <v>46</v>
      </c>
      <c r="D1369" s="17">
        <v>20.07</v>
      </c>
    </row>
    <row r="1370" spans="1:4" x14ac:dyDescent="0.2">
      <c r="A1370" s="14" t="s">
        <v>76</v>
      </c>
      <c r="B1370" s="15" t="s">
        <v>77</v>
      </c>
      <c r="C1370" s="15">
        <v>47</v>
      </c>
      <c r="D1370" s="15">
        <v>19.260000000000002</v>
      </c>
    </row>
    <row r="1371" spans="1:4" x14ac:dyDescent="0.2">
      <c r="A1371" s="16" t="s">
        <v>76</v>
      </c>
      <c r="B1371" s="17" t="s">
        <v>77</v>
      </c>
      <c r="C1371" s="17">
        <v>48</v>
      </c>
      <c r="D1371" s="17">
        <v>18.440000000000001</v>
      </c>
    </row>
    <row r="1372" spans="1:4" x14ac:dyDescent="0.2">
      <c r="A1372" s="14" t="s">
        <v>76</v>
      </c>
      <c r="B1372" s="15" t="s">
        <v>77</v>
      </c>
      <c r="C1372" s="15">
        <v>49</v>
      </c>
      <c r="D1372" s="15">
        <v>17.62</v>
      </c>
    </row>
    <row r="1373" spans="1:4" x14ac:dyDescent="0.2">
      <c r="A1373" s="16" t="s">
        <v>76</v>
      </c>
      <c r="B1373" s="17" t="s">
        <v>77</v>
      </c>
      <c r="C1373" s="17">
        <v>50</v>
      </c>
      <c r="D1373" s="17">
        <v>16.809999999999999</v>
      </c>
    </row>
    <row r="1374" spans="1:4" x14ac:dyDescent="0.2">
      <c r="A1374" s="14" t="s">
        <v>76</v>
      </c>
      <c r="B1374" s="15" t="s">
        <v>77</v>
      </c>
      <c r="C1374" s="15">
        <v>51</v>
      </c>
      <c r="D1374" s="15">
        <v>16</v>
      </c>
    </row>
    <row r="1375" spans="1:4" x14ac:dyDescent="0.2">
      <c r="A1375" s="16" t="s">
        <v>76</v>
      </c>
      <c r="B1375" s="17" t="s">
        <v>77</v>
      </c>
      <c r="C1375" s="17">
        <v>52</v>
      </c>
      <c r="D1375" s="17">
        <v>15.2</v>
      </c>
    </row>
    <row r="1376" spans="1:4" x14ac:dyDescent="0.2">
      <c r="A1376" s="14" t="s">
        <v>76</v>
      </c>
      <c r="B1376" s="15" t="s">
        <v>77</v>
      </c>
      <c r="C1376" s="15">
        <v>53</v>
      </c>
      <c r="D1376" s="15">
        <v>14.4</v>
      </c>
    </row>
    <row r="1377" spans="1:4" x14ac:dyDescent="0.2">
      <c r="A1377" s="16" t="s">
        <v>76</v>
      </c>
      <c r="B1377" s="17" t="s">
        <v>77</v>
      </c>
      <c r="C1377" s="17">
        <v>54</v>
      </c>
      <c r="D1377" s="17">
        <v>13.61</v>
      </c>
    </row>
    <row r="1378" spans="1:4" x14ac:dyDescent="0.2">
      <c r="A1378" s="14" t="s">
        <v>76</v>
      </c>
      <c r="B1378" s="15" t="s">
        <v>77</v>
      </c>
      <c r="C1378" s="15">
        <v>55</v>
      </c>
      <c r="D1378" s="15">
        <v>12.83</v>
      </c>
    </row>
    <row r="1379" spans="1:4" x14ac:dyDescent="0.2">
      <c r="A1379" s="16" t="s">
        <v>76</v>
      </c>
      <c r="B1379" s="17" t="s">
        <v>77</v>
      </c>
      <c r="C1379" s="17">
        <v>56</v>
      </c>
      <c r="D1379" s="17">
        <v>12.05</v>
      </c>
    </row>
    <row r="1380" spans="1:4" x14ac:dyDescent="0.2">
      <c r="A1380" s="14" t="s">
        <v>76</v>
      </c>
      <c r="B1380" s="15" t="s">
        <v>77</v>
      </c>
      <c r="C1380" s="15">
        <v>57</v>
      </c>
      <c r="D1380" s="15">
        <v>11.3</v>
      </c>
    </row>
    <row r="1381" spans="1:4" x14ac:dyDescent="0.2">
      <c r="A1381" s="16" t="s">
        <v>76</v>
      </c>
      <c r="B1381" s="17" t="s">
        <v>77</v>
      </c>
      <c r="C1381" s="17">
        <v>58</v>
      </c>
      <c r="D1381" s="17">
        <v>10.58</v>
      </c>
    </row>
    <row r="1382" spans="1:4" x14ac:dyDescent="0.2">
      <c r="A1382" s="14" t="s">
        <v>76</v>
      </c>
      <c r="B1382" s="15" t="s">
        <v>77</v>
      </c>
      <c r="C1382" s="15">
        <v>59</v>
      </c>
      <c r="D1382" s="15">
        <v>9.9</v>
      </c>
    </row>
    <row r="1383" spans="1:4" x14ac:dyDescent="0.2">
      <c r="A1383" s="16" t="s">
        <v>76</v>
      </c>
      <c r="B1383" s="17" t="s">
        <v>77</v>
      </c>
      <c r="C1383" s="17">
        <v>60</v>
      </c>
      <c r="D1383" s="17">
        <v>9.24</v>
      </c>
    </row>
    <row r="1384" spans="1:4" x14ac:dyDescent="0.2">
      <c r="A1384" s="14" t="s">
        <v>76</v>
      </c>
      <c r="B1384" s="15" t="s">
        <v>77</v>
      </c>
      <c r="C1384" s="15">
        <v>61</v>
      </c>
      <c r="D1384" s="15">
        <v>8.6199999999999992</v>
      </c>
    </row>
    <row r="1385" spans="1:4" x14ac:dyDescent="0.2">
      <c r="A1385" s="16" t="s">
        <v>76</v>
      </c>
      <c r="B1385" s="17" t="s">
        <v>77</v>
      </c>
      <c r="C1385" s="17">
        <v>62</v>
      </c>
      <c r="D1385" s="17">
        <v>8.0399999999999991</v>
      </c>
    </row>
    <row r="1386" spans="1:4" x14ac:dyDescent="0.2">
      <c r="A1386" s="14" t="s">
        <v>76</v>
      </c>
      <c r="B1386" s="15" t="s">
        <v>77</v>
      </c>
      <c r="C1386" s="15">
        <v>63</v>
      </c>
      <c r="D1386" s="15">
        <v>7.51</v>
      </c>
    </row>
    <row r="1387" spans="1:4" x14ac:dyDescent="0.2">
      <c r="A1387" s="16" t="s">
        <v>76</v>
      </c>
      <c r="B1387" s="17" t="s">
        <v>77</v>
      </c>
      <c r="C1387" s="17">
        <v>64</v>
      </c>
      <c r="D1387" s="17">
        <v>7.03</v>
      </c>
    </row>
    <row r="1388" spans="1:4" x14ac:dyDescent="0.2">
      <c r="A1388" s="14" t="s">
        <v>76</v>
      </c>
      <c r="B1388" s="15" t="s">
        <v>77</v>
      </c>
      <c r="C1388" s="15">
        <v>65</v>
      </c>
      <c r="D1388" s="15">
        <v>6.59</v>
      </c>
    </row>
    <row r="1389" spans="1:4" x14ac:dyDescent="0.2">
      <c r="A1389" s="16" t="s">
        <v>76</v>
      </c>
      <c r="B1389" s="17" t="s">
        <v>77</v>
      </c>
      <c r="C1389" s="17">
        <v>66</v>
      </c>
      <c r="D1389" s="17">
        <v>6.21</v>
      </c>
    </row>
    <row r="1390" spans="1:4" x14ac:dyDescent="0.2">
      <c r="A1390" s="14" t="s">
        <v>76</v>
      </c>
      <c r="B1390" s="15" t="s">
        <v>77</v>
      </c>
      <c r="C1390" s="15">
        <v>67</v>
      </c>
      <c r="D1390" s="15">
        <v>5.86</v>
      </c>
    </row>
    <row r="1391" spans="1:4" x14ac:dyDescent="0.2">
      <c r="A1391" s="16" t="s">
        <v>76</v>
      </c>
      <c r="B1391" s="17" t="s">
        <v>77</v>
      </c>
      <c r="C1391" s="17">
        <v>68</v>
      </c>
      <c r="D1391" s="17">
        <v>5.56</v>
      </c>
    </row>
    <row r="1392" spans="1:4" x14ac:dyDescent="0.2">
      <c r="A1392" s="14" t="s">
        <v>76</v>
      </c>
      <c r="B1392" s="15" t="s">
        <v>77</v>
      </c>
      <c r="C1392" s="15">
        <v>69</v>
      </c>
      <c r="D1392" s="15">
        <v>5.28</v>
      </c>
    </row>
    <row r="1393" spans="1:4" x14ac:dyDescent="0.2">
      <c r="A1393" s="16" t="s">
        <v>76</v>
      </c>
      <c r="B1393" s="17" t="s">
        <v>77</v>
      </c>
      <c r="C1393" s="17">
        <v>70</v>
      </c>
      <c r="D1393" s="17">
        <v>5.03</v>
      </c>
    </row>
    <row r="1394" spans="1:4" x14ac:dyDescent="0.2">
      <c r="A1394" s="14" t="s">
        <v>76</v>
      </c>
      <c r="B1394" s="15" t="s">
        <v>77</v>
      </c>
      <c r="C1394" s="15">
        <v>71</v>
      </c>
      <c r="D1394" s="15">
        <v>4.8099999999999996</v>
      </c>
    </row>
    <row r="1395" spans="1:4" x14ac:dyDescent="0.2">
      <c r="A1395" s="16" t="s">
        <v>76</v>
      </c>
      <c r="B1395" s="17" t="s">
        <v>77</v>
      </c>
      <c r="C1395" s="17">
        <v>72</v>
      </c>
      <c r="D1395" s="17">
        <v>4.6100000000000003</v>
      </c>
    </row>
    <row r="1396" spans="1:4" x14ac:dyDescent="0.2">
      <c r="A1396" s="14" t="s">
        <v>76</v>
      </c>
      <c r="B1396" s="15" t="s">
        <v>77</v>
      </c>
      <c r="C1396" s="15">
        <v>73</v>
      </c>
      <c r="D1396" s="15">
        <v>4.42</v>
      </c>
    </row>
    <row r="1397" spans="1:4" x14ac:dyDescent="0.2">
      <c r="A1397" s="16" t="s">
        <v>76</v>
      </c>
      <c r="B1397" s="17" t="s">
        <v>77</v>
      </c>
      <c r="C1397" s="17">
        <v>74</v>
      </c>
      <c r="D1397" s="17">
        <v>4.25</v>
      </c>
    </row>
    <row r="1398" spans="1:4" x14ac:dyDescent="0.2">
      <c r="A1398" s="14" t="s">
        <v>76</v>
      </c>
      <c r="B1398" s="15" t="s">
        <v>77</v>
      </c>
      <c r="C1398" s="15">
        <v>75</v>
      </c>
      <c r="D1398" s="15">
        <v>4.08</v>
      </c>
    </row>
    <row r="1399" spans="1:4" x14ac:dyDescent="0.2">
      <c r="A1399" s="16" t="s">
        <v>76</v>
      </c>
      <c r="B1399" s="17" t="s">
        <v>77</v>
      </c>
      <c r="C1399" s="17">
        <v>76</v>
      </c>
      <c r="D1399" s="17">
        <v>3.91</v>
      </c>
    </row>
    <row r="1400" spans="1:4" x14ac:dyDescent="0.2">
      <c r="A1400" s="14" t="s">
        <v>76</v>
      </c>
      <c r="B1400" s="15" t="s">
        <v>77</v>
      </c>
      <c r="C1400" s="15">
        <v>77</v>
      </c>
      <c r="D1400" s="15">
        <v>3.76</v>
      </c>
    </row>
    <row r="1401" spans="1:4" x14ac:dyDescent="0.2">
      <c r="A1401" s="16" t="s">
        <v>76</v>
      </c>
      <c r="B1401" s="17" t="s">
        <v>77</v>
      </c>
      <c r="C1401" s="17">
        <v>78</v>
      </c>
      <c r="D1401" s="17">
        <v>3.6</v>
      </c>
    </row>
    <row r="1402" spans="1:4" x14ac:dyDescent="0.2">
      <c r="A1402" s="14" t="s">
        <v>76</v>
      </c>
      <c r="B1402" s="15" t="s">
        <v>77</v>
      </c>
      <c r="C1402" s="15">
        <v>79</v>
      </c>
      <c r="D1402" s="15">
        <v>3.45</v>
      </c>
    </row>
    <row r="1403" spans="1:4" x14ac:dyDescent="0.2">
      <c r="A1403" s="16" t="s">
        <v>76</v>
      </c>
      <c r="B1403" s="17" t="s">
        <v>77</v>
      </c>
      <c r="C1403" s="17">
        <v>80</v>
      </c>
      <c r="D1403" s="17">
        <v>3.3</v>
      </c>
    </row>
    <row r="1404" spans="1:4" x14ac:dyDescent="0.2">
      <c r="A1404" s="14" t="s">
        <v>76</v>
      </c>
      <c r="B1404" s="15" t="s">
        <v>77</v>
      </c>
      <c r="C1404" s="15">
        <v>81</v>
      </c>
      <c r="D1404" s="15">
        <v>3.16</v>
      </c>
    </row>
    <row r="1405" spans="1:4" x14ac:dyDescent="0.2">
      <c r="A1405" s="16" t="s">
        <v>76</v>
      </c>
      <c r="B1405" s="17" t="s">
        <v>77</v>
      </c>
      <c r="C1405" s="17">
        <v>82</v>
      </c>
      <c r="D1405" s="17">
        <v>3.03</v>
      </c>
    </row>
    <row r="1406" spans="1:4" x14ac:dyDescent="0.2">
      <c r="A1406" s="14" t="s">
        <v>76</v>
      </c>
      <c r="B1406" s="15" t="s">
        <v>77</v>
      </c>
      <c r="C1406" s="15">
        <v>83</v>
      </c>
      <c r="D1406" s="15">
        <v>2.89</v>
      </c>
    </row>
    <row r="1407" spans="1:4" x14ac:dyDescent="0.2">
      <c r="A1407" s="16" t="s">
        <v>76</v>
      </c>
      <c r="B1407" s="17" t="s">
        <v>77</v>
      </c>
      <c r="C1407" s="17">
        <v>84</v>
      </c>
      <c r="D1407" s="17">
        <v>2.77</v>
      </c>
    </row>
    <row r="1408" spans="1:4" x14ac:dyDescent="0.2">
      <c r="A1408" s="14" t="s">
        <v>76</v>
      </c>
      <c r="B1408" s="15" t="s">
        <v>77</v>
      </c>
      <c r="C1408" s="15">
        <v>85</v>
      </c>
      <c r="D1408" s="15">
        <v>2.65</v>
      </c>
    </row>
    <row r="1409" spans="1:4" x14ac:dyDescent="0.2">
      <c r="A1409" s="16" t="s">
        <v>76</v>
      </c>
      <c r="B1409" s="17" t="s">
        <v>77</v>
      </c>
      <c r="C1409" s="17">
        <v>86</v>
      </c>
      <c r="D1409" s="17">
        <v>2.5299999999999998</v>
      </c>
    </row>
    <row r="1410" spans="1:4" x14ac:dyDescent="0.2">
      <c r="A1410" s="14" t="s">
        <v>76</v>
      </c>
      <c r="B1410" s="15" t="s">
        <v>77</v>
      </c>
      <c r="C1410" s="15">
        <v>87</v>
      </c>
      <c r="D1410" s="15">
        <v>2.4300000000000002</v>
      </c>
    </row>
    <row r="1411" spans="1:4" x14ac:dyDescent="0.2">
      <c r="A1411" s="16" t="s">
        <v>76</v>
      </c>
      <c r="B1411" s="17" t="s">
        <v>77</v>
      </c>
      <c r="C1411" s="17">
        <v>88</v>
      </c>
      <c r="D1411" s="17">
        <v>2.3199999999999998</v>
      </c>
    </row>
    <row r="1412" spans="1:4" x14ac:dyDescent="0.2">
      <c r="A1412" s="14" t="s">
        <v>76</v>
      </c>
      <c r="B1412" s="15" t="s">
        <v>77</v>
      </c>
      <c r="C1412" s="15">
        <v>89</v>
      </c>
      <c r="D1412" s="15">
        <v>2.2200000000000002</v>
      </c>
    </row>
    <row r="1413" spans="1:4" x14ac:dyDescent="0.2">
      <c r="A1413" s="16" t="s">
        <v>76</v>
      </c>
      <c r="B1413" s="17" t="s">
        <v>77</v>
      </c>
      <c r="C1413" s="17">
        <v>90</v>
      </c>
      <c r="D1413" s="17">
        <v>2.12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34F30-45A7-4262-868D-8F1BD177CD7F}">
  <sheetPr codeName="Sheet17"/>
  <dimension ref="A1:F43"/>
  <sheetViews>
    <sheetView workbookViewId="0"/>
  </sheetViews>
  <sheetFormatPr defaultColWidth="8.85546875" defaultRowHeight="12.75" x14ac:dyDescent="0.2"/>
  <sheetData>
    <row r="1" spans="1:6" x14ac:dyDescent="0.2">
      <c r="A1" s="24" t="s">
        <v>0</v>
      </c>
      <c r="B1" s="24" t="s">
        <v>118</v>
      </c>
      <c r="C1" s="24" t="s">
        <v>119</v>
      </c>
    </row>
    <row r="2" spans="1:6" x14ac:dyDescent="0.2">
      <c r="A2" s="20">
        <v>2023</v>
      </c>
      <c r="B2" s="20">
        <v>1</v>
      </c>
      <c r="C2" s="28">
        <v>299.17</v>
      </c>
      <c r="E2">
        <v>2023</v>
      </c>
      <c r="F2" s="28">
        <f>AVERAGEIF($A$2:$A$43,E2,$C$2:$C$43)</f>
        <v>304.69924999999995</v>
      </c>
    </row>
    <row r="3" spans="1:6" x14ac:dyDescent="0.2">
      <c r="A3" s="20">
        <v>2023</v>
      </c>
      <c r="B3" s="20">
        <v>2</v>
      </c>
      <c r="C3" s="28">
        <v>300.83999999999997</v>
      </c>
      <c r="E3">
        <v>2024</v>
      </c>
      <c r="F3" s="28">
        <f>AVERAGEIF($A$2:$A$43,E3,$C$2:$C$43)</f>
        <v>313.68883333333332</v>
      </c>
    </row>
    <row r="4" spans="1:6" x14ac:dyDescent="0.2">
      <c r="A4" s="20">
        <v>2023</v>
      </c>
      <c r="B4" s="20">
        <v>3</v>
      </c>
      <c r="C4" s="28">
        <v>301.80799999999999</v>
      </c>
      <c r="E4">
        <v>2025</v>
      </c>
      <c r="F4" s="28">
        <f>AVERAGEIF($A$2:$A$43,E4,$C$2:$C$43)</f>
        <v>322.32666666666665</v>
      </c>
    </row>
    <row r="5" spans="1:6" x14ac:dyDescent="0.2">
      <c r="A5" s="20">
        <v>2023</v>
      </c>
      <c r="B5" s="20">
        <v>4</v>
      </c>
      <c r="C5" s="28">
        <v>303.363</v>
      </c>
      <c r="E5">
        <v>2026</v>
      </c>
      <c r="F5" s="28">
        <f>AVERAGEIF($A$2:$A$43,E5,$C$2:$C$43)</f>
        <v>328.07416666666666</v>
      </c>
    </row>
    <row r="6" spans="1:6" x14ac:dyDescent="0.2">
      <c r="A6" s="20">
        <v>2023</v>
      </c>
      <c r="B6" s="20">
        <v>5</v>
      </c>
      <c r="C6" s="28">
        <v>304.12700000000001</v>
      </c>
      <c r="E6" t="s">
        <v>120</v>
      </c>
      <c r="F6" s="28" cm="1">
        <f t="array" ref="F6">IFERROR(INDEX($C$2:$C$43,MATCH(YEAR('Case Inputs'!$B$6)*100+MONTH('Case Inputs'!$B$6),$A$2:$A$43*100+$B$2:$B$43,0)),F5)</f>
        <v>328.07416666666666</v>
      </c>
    </row>
    <row r="7" spans="1:6" x14ac:dyDescent="0.2">
      <c r="A7" s="20">
        <v>2023</v>
      </c>
      <c r="B7" s="20">
        <v>6</v>
      </c>
      <c r="C7" s="28">
        <v>305.10899999999998</v>
      </c>
    </row>
    <row r="8" spans="1:6" x14ac:dyDescent="0.2">
      <c r="A8" s="20">
        <v>2023</v>
      </c>
      <c r="B8" s="20">
        <v>7</v>
      </c>
      <c r="C8" s="28">
        <v>305.69099999999997</v>
      </c>
    </row>
    <row r="9" spans="1:6" x14ac:dyDescent="0.2">
      <c r="A9" s="20">
        <v>2023</v>
      </c>
      <c r="B9" s="20">
        <v>8</v>
      </c>
      <c r="C9" s="28">
        <v>307.02600000000001</v>
      </c>
    </row>
    <row r="10" spans="1:6" x14ac:dyDescent="0.2">
      <c r="A10" s="20">
        <v>2023</v>
      </c>
      <c r="B10" s="20">
        <v>9</v>
      </c>
      <c r="C10" s="28">
        <v>307.78899999999999</v>
      </c>
    </row>
    <row r="11" spans="1:6" x14ac:dyDescent="0.2">
      <c r="A11" s="20">
        <v>2023</v>
      </c>
      <c r="B11" s="20">
        <v>10</v>
      </c>
      <c r="C11" s="28">
        <v>307.67099999999999</v>
      </c>
    </row>
    <row r="12" spans="1:6" x14ac:dyDescent="0.2">
      <c r="A12" s="20">
        <v>2023</v>
      </c>
      <c r="B12" s="20">
        <v>11</v>
      </c>
      <c r="C12" s="28">
        <v>307.05099999999999</v>
      </c>
    </row>
    <row r="13" spans="1:6" x14ac:dyDescent="0.2">
      <c r="A13" s="20">
        <v>2023</v>
      </c>
      <c r="B13" s="20">
        <v>12</v>
      </c>
      <c r="C13" s="28">
        <v>306.74599999999998</v>
      </c>
    </row>
    <row r="14" spans="1:6" x14ac:dyDescent="0.2">
      <c r="A14" s="20">
        <v>2024</v>
      </c>
      <c r="B14" s="20">
        <v>1</v>
      </c>
      <c r="C14" s="28">
        <v>308.41699999999997</v>
      </c>
    </row>
    <row r="15" spans="1:6" x14ac:dyDescent="0.2">
      <c r="A15" s="20">
        <v>2024</v>
      </c>
      <c r="B15" s="20">
        <v>2</v>
      </c>
      <c r="C15" s="28">
        <v>310.32600000000002</v>
      </c>
    </row>
    <row r="16" spans="1:6" x14ac:dyDescent="0.2">
      <c r="A16" s="20">
        <v>2024</v>
      </c>
      <c r="B16" s="20">
        <v>3</v>
      </c>
      <c r="C16" s="28">
        <v>312.33199999999999</v>
      </c>
    </row>
    <row r="17" spans="1:3" x14ac:dyDescent="0.2">
      <c r="A17" s="20">
        <v>2024</v>
      </c>
      <c r="B17" s="20">
        <v>4</v>
      </c>
      <c r="C17" s="28">
        <v>313.548</v>
      </c>
    </row>
    <row r="18" spans="1:3" x14ac:dyDescent="0.2">
      <c r="A18" s="20">
        <v>2024</v>
      </c>
      <c r="B18" s="20">
        <v>5</v>
      </c>
      <c r="C18" s="28">
        <v>314.06900000000002</v>
      </c>
    </row>
    <row r="19" spans="1:3" x14ac:dyDescent="0.2">
      <c r="A19" s="20">
        <v>2024</v>
      </c>
      <c r="B19" s="20">
        <v>6</v>
      </c>
      <c r="C19" s="28">
        <v>314.17500000000001</v>
      </c>
    </row>
    <row r="20" spans="1:3" x14ac:dyDescent="0.2">
      <c r="A20" s="20">
        <v>2024</v>
      </c>
      <c r="B20" s="20">
        <v>7</v>
      </c>
      <c r="C20" s="28">
        <v>314.54000000000002</v>
      </c>
    </row>
    <row r="21" spans="1:3" x14ac:dyDescent="0.2">
      <c r="A21" s="20">
        <v>2024</v>
      </c>
      <c r="B21" s="20">
        <v>8</v>
      </c>
      <c r="C21" s="28">
        <v>314.79599999999999</v>
      </c>
    </row>
    <row r="22" spans="1:3" x14ac:dyDescent="0.2">
      <c r="A22" s="20">
        <v>2024</v>
      </c>
      <c r="B22" s="20">
        <v>9</v>
      </c>
      <c r="C22" s="28">
        <v>315.30099999999999</v>
      </c>
    </row>
    <row r="23" spans="1:3" x14ac:dyDescent="0.2">
      <c r="A23" s="20">
        <v>2024</v>
      </c>
      <c r="B23" s="20">
        <v>10</v>
      </c>
      <c r="C23" s="28">
        <v>315.66399999999999</v>
      </c>
    </row>
    <row r="24" spans="1:3" x14ac:dyDescent="0.2">
      <c r="A24" s="20">
        <v>2024</v>
      </c>
      <c r="B24" s="20">
        <v>11</v>
      </c>
      <c r="C24" s="28">
        <v>315.49299999999999</v>
      </c>
    </row>
    <row r="25" spans="1:3" x14ac:dyDescent="0.2">
      <c r="A25" s="20">
        <v>2024</v>
      </c>
      <c r="B25" s="20">
        <v>12</v>
      </c>
      <c r="C25" s="28">
        <v>315.60500000000002</v>
      </c>
    </row>
    <row r="26" spans="1:3" x14ac:dyDescent="0.2">
      <c r="A26" s="20">
        <v>2025</v>
      </c>
      <c r="B26" s="20">
        <v>1</v>
      </c>
      <c r="C26" s="28">
        <v>317.81599999999997</v>
      </c>
    </row>
    <row r="27" spans="1:3" x14ac:dyDescent="0.2">
      <c r="A27" s="20">
        <v>2025</v>
      </c>
      <c r="B27" s="20">
        <v>2</v>
      </c>
      <c r="C27" s="28">
        <v>319.25400000000002</v>
      </c>
    </row>
    <row r="28" spans="1:3" x14ac:dyDescent="0.2">
      <c r="A28" s="20">
        <v>2025</v>
      </c>
      <c r="B28" s="20">
        <v>3</v>
      </c>
      <c r="C28" s="28">
        <v>320.428</v>
      </c>
    </row>
    <row r="29" spans="1:3" x14ac:dyDescent="0.2">
      <c r="A29" s="20">
        <v>2025</v>
      </c>
      <c r="B29" s="20">
        <v>4</v>
      </c>
      <c r="C29" s="28">
        <v>321.25</v>
      </c>
    </row>
    <row r="30" spans="1:3" x14ac:dyDescent="0.2">
      <c r="A30" s="20">
        <v>2025</v>
      </c>
      <c r="B30" s="20">
        <v>5</v>
      </c>
      <c r="C30" s="28">
        <v>321.78300000000002</v>
      </c>
    </row>
    <row r="31" spans="1:3" x14ac:dyDescent="0.2">
      <c r="A31" s="20">
        <v>2025</v>
      </c>
      <c r="B31" s="20">
        <v>6</v>
      </c>
      <c r="C31" s="28">
        <v>322.315</v>
      </c>
    </row>
    <row r="32" spans="1:3" x14ac:dyDescent="0.2">
      <c r="A32" s="20">
        <v>2025</v>
      </c>
      <c r="B32" s="20">
        <v>7</v>
      </c>
      <c r="C32" s="28">
        <v>322.84800000000001</v>
      </c>
    </row>
    <row r="33" spans="1:3" x14ac:dyDescent="0.2">
      <c r="A33" s="20">
        <v>2025</v>
      </c>
      <c r="B33" s="20">
        <v>8</v>
      </c>
      <c r="C33" s="28">
        <v>323.38</v>
      </c>
    </row>
    <row r="34" spans="1:3" x14ac:dyDescent="0.2">
      <c r="A34" s="20">
        <v>2025</v>
      </c>
      <c r="B34" s="20">
        <v>9</v>
      </c>
      <c r="C34" s="28">
        <v>323.91300000000001</v>
      </c>
    </row>
    <row r="35" spans="1:3" x14ac:dyDescent="0.2">
      <c r="A35" s="20">
        <v>2025</v>
      </c>
      <c r="B35" s="20">
        <v>10</v>
      </c>
      <c r="C35" s="28">
        <v>324.44499999999999</v>
      </c>
    </row>
    <row r="36" spans="1:3" x14ac:dyDescent="0.2">
      <c r="A36" s="20">
        <v>2025</v>
      </c>
      <c r="B36" s="20">
        <v>11</v>
      </c>
      <c r="C36" s="28">
        <v>324.97800000000001</v>
      </c>
    </row>
    <row r="37" spans="1:3" x14ac:dyDescent="0.2">
      <c r="A37" s="20">
        <v>2025</v>
      </c>
      <c r="B37" s="20">
        <v>12</v>
      </c>
      <c r="C37" s="28">
        <v>325.51</v>
      </c>
    </row>
    <row r="38" spans="1:3" x14ac:dyDescent="0.2">
      <c r="A38" s="20">
        <v>2026</v>
      </c>
      <c r="B38" s="20">
        <v>1</v>
      </c>
      <c r="C38" s="28">
        <v>326.58499999999998</v>
      </c>
    </row>
    <row r="39" spans="1:3" x14ac:dyDescent="0.2">
      <c r="A39" s="20">
        <v>2026</v>
      </c>
      <c r="B39" s="20">
        <v>2</v>
      </c>
      <c r="C39" s="28">
        <v>327.45999999999998</v>
      </c>
    </row>
    <row r="40" spans="1:3" x14ac:dyDescent="0.2">
      <c r="A40" s="20">
        <v>2026</v>
      </c>
      <c r="B40" s="20">
        <v>3</v>
      </c>
      <c r="C40" s="28">
        <v>328</v>
      </c>
    </row>
    <row r="41" spans="1:3" x14ac:dyDescent="0.2">
      <c r="A41" s="20">
        <v>2026</v>
      </c>
      <c r="B41" s="20">
        <v>4</v>
      </c>
      <c r="C41" s="28">
        <v>328.4</v>
      </c>
    </row>
    <row r="42" spans="1:3" x14ac:dyDescent="0.2">
      <c r="A42" s="20">
        <v>2026</v>
      </c>
      <c r="B42" s="20">
        <v>5</v>
      </c>
      <c r="C42" s="28">
        <v>328.8</v>
      </c>
    </row>
    <row r="43" spans="1:3" x14ac:dyDescent="0.2">
      <c r="A43" s="20">
        <v>2026</v>
      </c>
      <c r="B43" s="20">
        <v>6</v>
      </c>
      <c r="C43" s="28">
        <v>329.2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4C321-8B95-42C8-A4DD-7C6CFD06D058}">
  <sheetPr codeName="Sheet18">
    <tabColor theme="0" tint="-0.499984740745262"/>
  </sheetPr>
  <dimension ref="A1:B33"/>
  <sheetViews>
    <sheetView zoomScale="110" zoomScaleNormal="110" workbookViewId="0">
      <selection activeCell="H4" sqref="H4"/>
    </sheetView>
  </sheetViews>
  <sheetFormatPr defaultColWidth="8.85546875" defaultRowHeight="12.75" x14ac:dyDescent="0.2"/>
  <cols>
    <col min="1" max="1" width="26.7109375" bestFit="1" customWidth="1"/>
    <col min="2" max="2" width="52.85546875" customWidth="1"/>
  </cols>
  <sheetData>
    <row r="1" spans="1:2" x14ac:dyDescent="0.2">
      <c r="A1" s="168" t="s">
        <v>317</v>
      </c>
      <c r="B1" s="168"/>
    </row>
    <row r="2" spans="1:2" x14ac:dyDescent="0.2">
      <c r="A2" s="123" t="s">
        <v>319</v>
      </c>
      <c r="B2" s="124"/>
    </row>
    <row r="3" spans="1:2" x14ac:dyDescent="0.2">
      <c r="A3" s="123" t="s">
        <v>318</v>
      </c>
      <c r="B3" s="124">
        <v>46163.385428240741</v>
      </c>
    </row>
    <row r="4" spans="1:2" x14ac:dyDescent="0.2">
      <c r="A4" s="123" t="s">
        <v>323</v>
      </c>
      <c r="B4" s="126">
        <f>IF(ISNONTEXT(HelperCells!$B$19),HelperCells!$B$19/100,"WLE DR Table Empty")</f>
        <v>4.4660000000000005E-2</v>
      </c>
    </row>
    <row r="5" spans="1:2" x14ac:dyDescent="0.2">
      <c r="A5" s="123" t="s">
        <v>324</v>
      </c>
      <c r="B5" s="127">
        <f>IF(ISNONTEXT(HelperCells!$B$32),HelperCells!$B$32/100,"To Age DR Table Empty")</f>
        <v>4.4660000000000005E-2</v>
      </c>
    </row>
    <row r="6" spans="1:2" x14ac:dyDescent="0.2">
      <c r="A6" s="123" t="s">
        <v>320</v>
      </c>
      <c r="B6" s="125" t="str" cm="1">
        <f t="array" ref="B6">_xlfn.IFS(ISTEXT(HelperCells!$B$4),"WLE DR Table Empty",HelperCells!$B$15&gt;=MAX(VALUE(_xlfn.VALUETOTEXT('Discount Rates'!Bloomberg_DiscRates_YearColumn))), _xlfn.CONCAT("*Discount Rate of", " ", TEXT(HelperCells!$B$4,"0.0%"), " ", "continues through life expectancy"), HelperCells!$B$15&lt;MAX(VALUE(_xlfn.VALUETOTEXT('Discount Rates'!Bloomberg_DiscRates_YearColumn))), " ")</f>
        <v>*Discount Rate of 4.5% continues through life expectancy</v>
      </c>
    </row>
    <row r="7" spans="1:2" x14ac:dyDescent="0.2">
      <c r="A7" s="123" t="s">
        <v>321</v>
      </c>
      <c r="B7" s="125" t="str" cm="1">
        <f t="array" ref="B7">_xlfn.IFS(ISTEXT(HelperCells!$B$5),"To Age DR Table Empty",HelperCells!$B$28&gt;=MAX(VALUE(_xlfn.VALUETOTEXT('Discount Rates'!Bloomberg_DiscRates_YearColumn))),_xlfn.CONCAT("*Discount Rate of"," ",TEXT(HelperCells!$B$5,"0.0%")," ","continues through life expectancy"),HelperCells!$B$28&lt;MAX(VALUE(_xlfn.VALUETOTEXT('Discount Rates'!Bloomberg_DiscRates_YearColumn)))," ")</f>
        <v>*Discount Rate of 4.5% continues through life expectancy</v>
      </c>
    </row>
    <row r="8" spans="1:2" x14ac:dyDescent="0.2">
      <c r="A8" s="122"/>
      <c r="B8" s="122"/>
    </row>
    <row r="9" spans="1:2" x14ac:dyDescent="0.2">
      <c r="A9" s="169" t="s">
        <v>282</v>
      </c>
      <c r="B9" s="169"/>
    </row>
    <row r="10" spans="1:2" x14ac:dyDescent="0.2">
      <c r="A10" s="128" t="s">
        <v>284</v>
      </c>
      <c r="B10" s="138">
        <f>'Case Inputs'!B18</f>
        <v>35.19</v>
      </c>
    </row>
    <row r="11" spans="1:2" x14ac:dyDescent="0.2">
      <c r="A11" s="128" t="s">
        <v>270</v>
      </c>
      <c r="B11" s="138">
        <f>'Case Inputs'!B19</f>
        <v>35</v>
      </c>
    </row>
    <row r="12" spans="1:2" x14ac:dyDescent="0.2">
      <c r="A12" s="128" t="s">
        <v>271</v>
      </c>
      <c r="B12" s="138">
        <f>'Case Inputs'!B20</f>
        <v>0.18999999999999773</v>
      </c>
    </row>
    <row r="13" spans="1:2" x14ac:dyDescent="0.2">
      <c r="A13" s="122"/>
      <c r="B13" s="131"/>
    </row>
    <row r="14" spans="1:2" x14ac:dyDescent="0.2">
      <c r="A14" s="128" t="s">
        <v>277</v>
      </c>
      <c r="B14" s="125">
        <f>YEAR('Case Inputs'!B6)</f>
        <v>2026</v>
      </c>
    </row>
    <row r="15" spans="1:2" x14ac:dyDescent="0.2">
      <c r="A15" s="128" t="s">
        <v>276</v>
      </c>
      <c r="B15" s="130">
        <f>B14+B11</f>
        <v>2061</v>
      </c>
    </row>
    <row r="16" spans="1:2" x14ac:dyDescent="0.2">
      <c r="A16" s="128" t="s">
        <v>278</v>
      </c>
      <c r="B16" s="130">
        <f>IF(B12&gt;0,B15+1,B15)</f>
        <v>2062</v>
      </c>
    </row>
    <row r="17" spans="1:2" x14ac:dyDescent="0.2">
      <c r="A17" s="122"/>
      <c r="B17" s="132"/>
    </row>
    <row r="18" spans="1:2" x14ac:dyDescent="0.2">
      <c r="A18" s="128" t="s">
        <v>311</v>
      </c>
      <c r="B18" s="133">
        <f>IF('Discount Rates'!$F$3&lt;&gt;"",INDEX('Discount Rates'!$H$3:$H$32,MATCH(MIN(WLE_DiscRates_YearColumn),'Discount Rates'!$F$3:$F$32,0)),"WLE DR Table Empty")</f>
        <v>2.581</v>
      </c>
    </row>
    <row r="19" spans="1:2" x14ac:dyDescent="0.2">
      <c r="A19" s="128" t="s">
        <v>312</v>
      </c>
      <c r="B19" s="133" cm="1">
        <f t="array" ref="B19">_xlfn.IFS('Discount Rates'!$F$3="","WLE DR Table Empty",B16&lt;&gt;B15,INDEX('Discount Rates'!$H$3:$H$32,MATCH(MAX(WLE_DiscRates_YearColumn)-1,'Discount Rates'!$F$3:$F$32,0)),B16=B15,INDEX('Discount Rates'!$H$3:$H$32,MATCH(MAX(WLE_DiscRates_YearColumn),'Discount Rates'!$F$3:$F$32,0)))</f>
        <v>4.4660000000000002</v>
      </c>
    </row>
    <row r="20" spans="1:2" x14ac:dyDescent="0.2">
      <c r="A20" s="128" t="s">
        <v>313</v>
      </c>
      <c r="B20" s="133">
        <f>IF(B16&lt;&gt;B15,INDEX('Discount Rates'!$H$3:$H$32,MATCH(MAX(WLE_DiscRates_YearColumn),'Discount Rates'!$F$3:$F$32,0)),"N/A")</f>
        <v>4.4859999999999998</v>
      </c>
    </row>
    <row r="21" spans="1:2" x14ac:dyDescent="0.2">
      <c r="A21" s="122"/>
      <c r="B21" s="122"/>
    </row>
    <row r="22" spans="1:2" x14ac:dyDescent="0.2">
      <c r="A22" s="169" t="s">
        <v>283</v>
      </c>
      <c r="B22" s="169"/>
    </row>
    <row r="23" spans="1:2" x14ac:dyDescent="0.2">
      <c r="A23" s="128" t="s">
        <v>285</v>
      </c>
      <c r="B23" s="138">
        <f>'Case Inputs'!B21</f>
        <v>55</v>
      </c>
    </row>
    <row r="24" spans="1:2" x14ac:dyDescent="0.2">
      <c r="A24" s="128" t="s">
        <v>275</v>
      </c>
      <c r="B24" s="138">
        <f>'Case Inputs'!B22</f>
        <v>55</v>
      </c>
    </row>
    <row r="25" spans="1:2" x14ac:dyDescent="0.2">
      <c r="A25" s="128" t="s">
        <v>274</v>
      </c>
      <c r="B25" s="138">
        <f>ROUND('Case Inputs'!B23,1)</f>
        <v>0</v>
      </c>
    </row>
    <row r="26" spans="1:2" x14ac:dyDescent="0.2">
      <c r="A26" s="128"/>
      <c r="B26" s="129"/>
    </row>
    <row r="27" spans="1:2" x14ac:dyDescent="0.2">
      <c r="A27" s="128" t="s">
        <v>279</v>
      </c>
      <c r="B27" s="130">
        <f>YEAR('Case Inputs'!B6)</f>
        <v>2026</v>
      </c>
    </row>
    <row r="28" spans="1:2" x14ac:dyDescent="0.2">
      <c r="A28" s="128" t="s">
        <v>280</v>
      </c>
      <c r="B28" s="130">
        <f>B27+B24</f>
        <v>2081</v>
      </c>
    </row>
    <row r="29" spans="1:2" x14ac:dyDescent="0.2">
      <c r="A29" s="128" t="s">
        <v>281</v>
      </c>
      <c r="B29" s="130">
        <f>IF(B25&gt;0,B28+1,B28)</f>
        <v>2081</v>
      </c>
    </row>
    <row r="30" spans="1:2" x14ac:dyDescent="0.2">
      <c r="A30" s="122"/>
      <c r="B30" s="122"/>
    </row>
    <row r="31" spans="1:2" x14ac:dyDescent="0.2">
      <c r="A31" s="128" t="s">
        <v>314</v>
      </c>
      <c r="B31" s="133">
        <f>IF('Discount Rates'!$M$3&lt;&gt;"",INDEX('Discount Rates'!$M$3:$M$32,MATCH(MIN(ToAge_DiscRates_YearColumn),'Discount Rates'!$K$3:$K$32,0)),"To Age DR Table Empty")</f>
        <v>2.581</v>
      </c>
    </row>
    <row r="32" spans="1:2" x14ac:dyDescent="0.2">
      <c r="A32" s="128" t="s">
        <v>315</v>
      </c>
      <c r="B32" s="133" cm="1">
        <f t="array" ref="B32">_xlfn.IFS('Discount Rates'!$M$3="","To Age DR Table Empty",B25&lt;&gt;B24,INDEX('Discount Rates'!$M$3:$M$32,MATCH(MAX(ToAge_DiscRates_YearColumn)-1,'Discount Rates'!$K$3:$K$32,0)),B25=B24,INDEX('Discount Rates'!$M$3:$M$32,MATCH(MAX(ToAge_DiscRates_YearColumn),'Discount Rates'!$K$3:$K$32,0)))</f>
        <v>4.4660000000000002</v>
      </c>
    </row>
    <row r="33" spans="1:2" x14ac:dyDescent="0.2">
      <c r="A33" s="128" t="s">
        <v>316</v>
      </c>
      <c r="B33" s="133" cm="1">
        <f t="array" ref="B33">_xlfn.IFS(ISTEXT(B32),B32,B25&lt;&gt;B24,INDEX('Discount Rates'!$M$3:$M$32,MATCH(MAX(ToAge_DiscRates_YearColumn),'Discount Rates'!$K$3:$K$32,0)),B25=B24,"N/A")</f>
        <v>4.4859999999999998</v>
      </c>
    </row>
  </sheetData>
  <mergeCells count="3">
    <mergeCell ref="A1:B1"/>
    <mergeCell ref="A22:B22"/>
    <mergeCell ref="A9:B9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36D027-961D-4954-832D-B5236927FE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5</vt:i4>
      </vt:variant>
    </vt:vector>
  </HeadingPairs>
  <TitlesOfParts>
    <vt:vector size="23" baseType="lpstr">
      <vt:lpstr>REPORT_OUTPUTS</vt:lpstr>
      <vt:lpstr>Case Inputs</vt:lpstr>
      <vt:lpstr>Base 1 PV Loss WLE</vt:lpstr>
      <vt:lpstr>Base 1 PV Loss To Age</vt:lpstr>
      <vt:lpstr>Base 2 PV Loss WLE</vt:lpstr>
      <vt:lpstr>Base 2 PV Loss To Age</vt:lpstr>
      <vt:lpstr>Base 3 PV Loss WLE</vt:lpstr>
      <vt:lpstr>Base 3 PV Loss To Age</vt:lpstr>
      <vt:lpstr>Credit 1 PV Loss WLE</vt:lpstr>
      <vt:lpstr>Credit 1 PV Loss to Age</vt:lpstr>
      <vt:lpstr>Credit 2 PV Loss WLE</vt:lpstr>
      <vt:lpstr>Credit 2 PV Loss To Age</vt:lpstr>
      <vt:lpstr>Discount Rates</vt:lpstr>
      <vt:lpstr>LE_F</vt:lpstr>
      <vt:lpstr>LE_M</vt:lpstr>
      <vt:lpstr>WLE</vt:lpstr>
      <vt:lpstr>CPI Data</vt:lpstr>
      <vt:lpstr>HelperCells</vt:lpstr>
      <vt:lpstr>'Discount Rates'!Bloomberg_DiscRates_DiscRateColumn</vt:lpstr>
      <vt:lpstr>'Discount Rates'!Bloomberg_DiscRates_MarityColumn</vt:lpstr>
      <vt:lpstr>'Discount Rates'!Bloomberg_DiscRates_YearColumn</vt:lpstr>
      <vt:lpstr>ToAge_DiscRates_PercentageColumn</vt:lpstr>
      <vt:lpstr>WLE_DiscRates_PercentageColumn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Shael Wolfson</dc:creator>
  <cp:lastModifiedBy>Eric Bussey</cp:lastModifiedBy>
  <dcterms:created xsi:type="dcterms:W3CDTF">2004-06-21T16:25:42Z</dcterms:created>
  <dcterms:modified xsi:type="dcterms:W3CDTF">2026-05-22T19:56:02Z</dcterms:modified>
</cp:coreProperties>
</file>