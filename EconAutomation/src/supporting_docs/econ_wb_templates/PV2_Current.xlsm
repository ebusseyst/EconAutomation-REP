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3CA55559-757F-2A42-B618-17BD18CA0B02}" xr6:coauthVersionLast="47" xr6:coauthVersionMax="47" xr10:uidLastSave="{00000000-0000-0000-0000-000000000000}"/>
  <bookViews>
    <workbookView xWindow="0" yWindow="720" windowWidth="29040" windowHeight="15720" firstSheet="9" activeTab="12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PercentageColumn">'Discount Rates'!$N$3:$N$33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PercentageColumn">'Discount Rates'!$I$3:$I$33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3" l="1"/>
  <c r="B23" i="3"/>
  <c r="B22" i="3"/>
  <c r="B21" i="3"/>
  <c r="B20" i="3"/>
  <c r="B18" i="3"/>
  <c r="B16" i="3"/>
  <c r="B15" i="3"/>
  <c r="B14" i="3"/>
  <c r="B13" i="3"/>
  <c r="B17" i="3" s="1" a="1"/>
  <c r="B17" i="3" s="1"/>
  <c r="B14" i="36" l="1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5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I1" i="32" a="1"/>
  <c r="I1" i="32" s="1"/>
  <c r="F1" i="32" a="1"/>
  <c r="F1" i="32" s="1"/>
  <c r="D14" i="32" a="1"/>
  <c r="D88" i="32" a="1"/>
  <c r="D78" i="32" a="1"/>
  <c r="D59" i="32" a="1"/>
  <c r="D110" i="32" a="1"/>
  <c r="D97" i="32" a="1"/>
  <c r="D80" i="32" a="1"/>
  <c r="D40" i="32" a="1"/>
  <c r="D98" i="32" a="1"/>
  <c r="D4" i="32" a="1"/>
  <c r="D22" i="32" a="1"/>
  <c r="D113" i="32" a="1"/>
  <c r="D21" i="32" a="1"/>
  <c r="D111" i="32" a="1"/>
  <c r="D31" i="32" a="1"/>
  <c r="D69" i="32" a="1"/>
  <c r="D12" i="32" a="1"/>
  <c r="D71" i="32" a="1"/>
  <c r="D30" i="32" a="1"/>
  <c r="D48" i="32" a="1"/>
  <c r="D105" i="32" a="1"/>
  <c r="D50" i="32" a="1"/>
  <c r="D57" i="32" a="1"/>
  <c r="D32" i="32" a="1"/>
  <c r="D79" i="32" a="1"/>
  <c r="D39" i="32" a="1"/>
  <c r="D87" i="32" a="1"/>
  <c r="D89" i="32" a="1"/>
  <c r="D58" i="32" a="1"/>
  <c r="D114" i="32" a="1"/>
  <c r="D5" i="32" a="1"/>
  <c r="D49" i="32" a="1"/>
  <c r="D106" i="32" a="1"/>
  <c r="D23" i="32" a="1"/>
  <c r="D3" i="32" a="1"/>
  <c r="D108" i="32" a="1"/>
  <c r="D107" i="32" a="1"/>
  <c r="D112" i="32" a="1"/>
  <c r="D109" i="32" a="1"/>
  <c r="D41" i="32" a="1"/>
  <c r="D70" i="32" a="1"/>
  <c r="D13" i="32" a="1"/>
  <c r="D96" i="32" a="1"/>
  <c r="D109" i="32" l="1"/>
  <c r="D112" i="32"/>
  <c r="D107" i="32"/>
  <c r="D108" i="32"/>
  <c r="D106" i="32"/>
  <c r="D114" i="32"/>
  <c r="D105" i="32"/>
  <c r="D111" i="32"/>
  <c r="D113" i="32"/>
  <c r="D110" i="32"/>
  <c r="B4" i="21"/>
  <c r="B23" i="36"/>
  <c r="D32" i="32"/>
  <c r="D97" i="32"/>
  <c r="D39" i="32"/>
  <c r="D80" i="32"/>
  <c r="D50" i="32"/>
  <c r="D12" i="32"/>
  <c r="D88" i="32"/>
  <c r="D69" i="32"/>
  <c r="D30" i="32"/>
  <c r="D89" i="32"/>
  <c r="D5" i="32"/>
  <c r="D96" i="32"/>
  <c r="D57" i="32"/>
  <c r="D98" i="32"/>
  <c r="D14" i="32"/>
  <c r="D58" i="32"/>
  <c r="D70" i="32"/>
  <c r="D79" i="32"/>
  <c r="D49" i="32"/>
  <c r="D21" i="32"/>
  <c r="D40" i="32"/>
  <c r="D71" i="32"/>
  <c r="D4" i="32"/>
  <c r="D78" i="32"/>
  <c r="D41" i="32"/>
  <c r="D3" i="32"/>
  <c r="D31" i="32"/>
  <c r="D59" i="32"/>
  <c r="D23" i="32"/>
  <c r="D22" i="32"/>
  <c r="D87" i="32"/>
  <c r="D48" i="32"/>
  <c r="D13" i="32"/>
  <c r="G10" i="27"/>
  <c r="H10" i="27" s="1"/>
  <c r="C11" i="27"/>
  <c r="G14" i="30"/>
  <c r="H9" i="30"/>
  <c r="H14" i="30" s="1"/>
  <c r="H9" i="29"/>
  <c r="H14" i="29" s="1"/>
  <c r="G14" i="29"/>
  <c r="H9" i="28"/>
  <c r="H14" i="28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4" i="28"/>
  <c r="B4" i="26"/>
  <c r="B4" i="24"/>
  <c r="B4" i="30"/>
  <c r="D102" i="32" a="1"/>
  <c r="D62" i="32" a="1"/>
  <c r="D93" i="32" a="1"/>
  <c r="D75" i="32" a="1"/>
  <c r="B24" i="36" l="1"/>
  <c r="B28" i="36" s="1"/>
  <c r="D75" i="32"/>
  <c r="D102" i="32"/>
  <c r="D62" i="32"/>
  <c r="D93" i="32"/>
  <c r="G11" i="27"/>
  <c r="C12" i="27"/>
  <c r="G12" i="27" s="1"/>
  <c r="H12" i="27" s="1"/>
  <c r="B79" i="3"/>
  <c r="B75" i="3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61" i="32" a="1"/>
  <c r="D63" i="32" a="1"/>
  <c r="D74" i="32" a="1"/>
  <c r="D60" i="32" a="1"/>
  <c r="D101" i="32" a="1"/>
  <c r="D65" i="32" a="1"/>
  <c r="D92" i="32" a="1"/>
  <c r="D64" i="32" a="1"/>
  <c r="D36" i="32" a="1"/>
  <c r="B25" i="36" l="1"/>
  <c r="B29" i="36" s="1"/>
  <c r="B5" i="21"/>
  <c r="K3" i="6" a="1"/>
  <c r="M3" i="6" a="1"/>
  <c r="L3" i="6" a="1"/>
  <c r="L3" i="6" s="1"/>
  <c r="B5" i="24"/>
  <c r="B5" i="26"/>
  <c r="B5" i="28"/>
  <c r="B5" i="30"/>
  <c r="B10" i="36"/>
  <c r="B4" i="1"/>
  <c r="D63" i="32"/>
  <c r="D60" i="32"/>
  <c r="D65" i="32"/>
  <c r="D74" i="32"/>
  <c r="D92" i="32"/>
  <c r="D61" i="32"/>
  <c r="D64" i="32"/>
  <c r="D36" i="32"/>
  <c r="D101" i="32"/>
  <c r="G14" i="27"/>
  <c r="H11" i="27"/>
  <c r="H14" i="27" s="1"/>
  <c r="G14" i="26"/>
  <c r="H11" i="26"/>
  <c r="H14" i="26" s="1"/>
  <c r="G14" i="21"/>
  <c r="H11" i="21"/>
  <c r="H14" i="21" s="1"/>
  <c r="G14" i="1"/>
  <c r="H11" i="1"/>
  <c r="H14" i="1" s="1"/>
  <c r="B49" i="3"/>
  <c r="B45" i="3"/>
  <c r="H14" i="24"/>
  <c r="H12" i="25"/>
  <c r="H14" i="25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11" i="36" s="1"/>
  <c r="B4" i="23"/>
  <c r="B4" i="25"/>
  <c r="B4" i="27"/>
  <c r="B4" i="29"/>
  <c r="D45" i="32" a="1"/>
  <c r="D54" i="32" a="1"/>
  <c r="D35" i="32" a="1"/>
  <c r="D27" i="32" a="1"/>
  <c r="D18" i="32" a="1"/>
  <c r="D84" i="32" a="1"/>
  <c r="D9" i="32" a="1"/>
  <c r="D26" i="32" a="1"/>
  <c r="D66" i="32" a="1"/>
  <c r="K33" i="6" l="1"/>
  <c r="K3" i="6"/>
  <c r="N21" i="6"/>
  <c r="N31" i="6"/>
  <c r="N26" i="6"/>
  <c r="N23" i="6"/>
  <c r="N17" i="6"/>
  <c r="N16" i="6"/>
  <c r="N13" i="6"/>
  <c r="N9" i="6"/>
  <c r="N29" i="6"/>
  <c r="N25" i="6"/>
  <c r="N22" i="6"/>
  <c r="N18" i="6"/>
  <c r="N15" i="6"/>
  <c r="N14" i="6"/>
  <c r="N12" i="6"/>
  <c r="N11" i="6"/>
  <c r="N10" i="6"/>
  <c r="N8" i="6"/>
  <c r="N7" i="6"/>
  <c r="N6" i="6"/>
  <c r="N30" i="6"/>
  <c r="N27" i="6"/>
  <c r="N19" i="6"/>
  <c r="N4" i="6"/>
  <c r="N32" i="6"/>
  <c r="N28" i="6"/>
  <c r="N24" i="6"/>
  <c r="N20" i="6"/>
  <c r="N5" i="6"/>
  <c r="M3" i="6"/>
  <c r="B12" i="36"/>
  <c r="B5" i="1"/>
  <c r="D66" i="32"/>
  <c r="D84" i="32"/>
  <c r="D9" i="32"/>
  <c r="D35" i="32"/>
  <c r="D18" i="32"/>
  <c r="D27" i="32"/>
  <c r="D26" i="32"/>
  <c r="D54" i="32"/>
  <c r="D45" i="32"/>
  <c r="B65" i="3"/>
  <c r="B59" i="3"/>
  <c r="B39" i="3"/>
  <c r="B35" i="3"/>
  <c r="B55" i="3"/>
  <c r="B17" i="21"/>
  <c r="C17" i="21"/>
  <c r="D17" i="21"/>
  <c r="F17" i="21"/>
  <c r="B23" i="21"/>
  <c r="D23" i="21"/>
  <c r="F23" i="21"/>
  <c r="C23" i="21"/>
  <c r="C24" i="21"/>
  <c r="B24" i="21"/>
  <c r="F24" i="21"/>
  <c r="D24" i="21"/>
  <c r="E24" i="21" s="1"/>
  <c r="B25" i="21"/>
  <c r="D25" i="21"/>
  <c r="C25" i="21"/>
  <c r="F25" i="21"/>
  <c r="C28" i="21"/>
  <c r="B28" i="21"/>
  <c r="D28" i="21"/>
  <c r="E28" i="21" s="1"/>
  <c r="F28" i="21"/>
  <c r="B32" i="21"/>
  <c r="D32" i="21"/>
  <c r="F32" i="21"/>
  <c r="C32" i="2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F35" i="21"/>
  <c r="C38" i="21"/>
  <c r="F38" i="21"/>
  <c r="B38" i="21"/>
  <c r="D38" i="21"/>
  <c r="E38" i="21" s="1"/>
  <c r="B39" i="21"/>
  <c r="D39" i="21" s="1"/>
  <c r="C39" i="21"/>
  <c r="F39" i="21"/>
  <c r="C40" i="21"/>
  <c r="F40" i="21"/>
  <c r="B40" i="21"/>
  <c r="D40" i="21" s="1"/>
  <c r="C44" i="21"/>
  <c r="B44" i="21"/>
  <c r="D44" i="21" s="1"/>
  <c r="E44" i="21" s="1"/>
  <c r="F44" i="21"/>
  <c r="B46" i="21"/>
  <c r="D46" i="21" s="1"/>
  <c r="C46" i="21"/>
  <c r="F46" i="21"/>
  <c r="C47" i="21"/>
  <c r="F47" i="21"/>
  <c r="B47" i="21"/>
  <c r="D47" i="21"/>
  <c r="E47" i="21" s="1"/>
  <c r="B53" i="21"/>
  <c r="D53" i="21"/>
  <c r="F53" i="21"/>
  <c r="C53" i="2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E27" i="21" s="1"/>
  <c r="B52" i="21"/>
  <c r="F52" i="21"/>
  <c r="D52" i="21"/>
  <c r="C52" i="21"/>
  <c r="F29" i="21"/>
  <c r="B29" i="21"/>
  <c r="D29" i="21"/>
  <c r="C29" i="21"/>
  <c r="F45" i="21"/>
  <c r="C45" i="21"/>
  <c r="B45" i="21"/>
  <c r="D45" i="21"/>
  <c r="E45" i="21" s="1"/>
  <c r="F63" i="21"/>
  <c r="C63" i="21"/>
  <c r="B63" i="21"/>
  <c r="D63" i="21"/>
  <c r="E63" i="21" s="1"/>
  <c r="B50" i="21"/>
  <c r="D50" i="21"/>
  <c r="F50" i="21"/>
  <c r="C50" i="2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F18" i="21"/>
  <c r="B18" i="21"/>
  <c r="D18" i="21" s="1"/>
  <c r="C18" i="21"/>
  <c r="B19" i="21"/>
  <c r="D19" i="21" s="1"/>
  <c r="C19" i="21"/>
  <c r="F19" i="21"/>
  <c r="B20" i="21"/>
  <c r="D20" i="21" s="1"/>
  <c r="F20" i="21"/>
  <c r="C20" i="21"/>
  <c r="F21" i="21"/>
  <c r="B21" i="21"/>
  <c r="C21" i="21"/>
  <c r="D21" i="21"/>
  <c r="E21" i="21" s="1"/>
  <c r="C26" i="21"/>
  <c r="B26" i="21"/>
  <c r="D26" i="21"/>
  <c r="E26" i="21" s="1"/>
  <c r="F26" i="21"/>
  <c r="F30" i="21"/>
  <c r="C30" i="21"/>
  <c r="B30" i="21"/>
  <c r="D30" i="21" s="1"/>
  <c r="E30" i="21" s="1"/>
  <c r="B34" i="21"/>
  <c r="F34" i="21"/>
  <c r="C34" i="21"/>
  <c r="D34" i="21"/>
  <c r="C37" i="21"/>
  <c r="F37" i="21"/>
  <c r="B37" i="21"/>
  <c r="D37" i="21"/>
  <c r="E37" i="21" s="1"/>
  <c r="F41" i="21"/>
  <c r="C41" i="21"/>
  <c r="B41" i="21"/>
  <c r="D41" i="21"/>
  <c r="C42" i="21"/>
  <c r="F42" i="21"/>
  <c r="B42" i="21"/>
  <c r="D42" i="21" s="1"/>
  <c r="E42" i="21" s="1"/>
  <c r="B36" i="21"/>
  <c r="D36" i="21" s="1"/>
  <c r="C36" i="21"/>
  <c r="F36" i="21"/>
  <c r="F43" i="21"/>
  <c r="C43" i="21"/>
  <c r="B43" i="21"/>
  <c r="D43" i="21" s="1"/>
  <c r="E43" i="21" s="1"/>
  <c r="F48" i="21"/>
  <c r="B48" i="21"/>
  <c r="D48" i="21" s="1"/>
  <c r="C48" i="21"/>
  <c r="C49" i="21"/>
  <c r="B49" i="21"/>
  <c r="F49" i="21"/>
  <c r="D49" i="21"/>
  <c r="E49" i="21" s="1"/>
  <c r="B58" i="21"/>
  <c r="D58" i="21" s="1"/>
  <c r="C58" i="21"/>
  <c r="F58" i="21"/>
  <c r="C59" i="21"/>
  <c r="B59" i="21"/>
  <c r="F59" i="21"/>
  <c r="D59" i="21"/>
  <c r="E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C64" i="21"/>
  <c r="B64" i="21"/>
  <c r="D64" i="21" s="1"/>
  <c r="E64" i="21" s="1"/>
  <c r="F64" i="21"/>
  <c r="C65" i="21"/>
  <c r="F65" i="21"/>
  <c r="B65" i="21"/>
  <c r="D65" i="21"/>
  <c r="E65" i="21" s="1"/>
  <c r="C17" i="28"/>
  <c r="F17" i="28"/>
  <c r="B17" i="28"/>
  <c r="D17" i="28" s="1"/>
  <c r="E17" i="28" s="1"/>
  <c r="B18" i="28"/>
  <c r="D18" i="28" s="1"/>
  <c r="C18" i="28"/>
  <c r="F18" i="28"/>
  <c r="B26" i="28"/>
  <c r="D26" i="28" s="1"/>
  <c r="C26" i="28"/>
  <c r="F26" i="28"/>
  <c r="B27" i="28"/>
  <c r="C27" i="28"/>
  <c r="D27" i="28"/>
  <c r="E27" i="28" s="1"/>
  <c r="F27" i="28"/>
  <c r="B28" i="28"/>
  <c r="C28" i="28"/>
  <c r="D28" i="28"/>
  <c r="E28" i="28" s="1"/>
  <c r="F28" i="28"/>
  <c r="B29" i="28"/>
  <c r="C29" i="28"/>
  <c r="D29" i="28"/>
  <c r="E29" i="28" s="1"/>
  <c r="F29" i="28"/>
  <c r="B30" i="28"/>
  <c r="C30" i="28"/>
  <c r="D30" i="28"/>
  <c r="E30" i="28" s="1"/>
  <c r="F30" i="28"/>
  <c r="B31" i="28"/>
  <c r="C31" i="28"/>
  <c r="D31" i="28"/>
  <c r="E31" i="28" s="1"/>
  <c r="F31" i="28"/>
  <c r="B32" i="28"/>
  <c r="C32" i="28"/>
  <c r="D32" i="28"/>
  <c r="E32" i="28" s="1"/>
  <c r="F32" i="28"/>
  <c r="B33" i="28"/>
  <c r="C33" i="28"/>
  <c r="D33" i="28"/>
  <c r="E33" i="28" s="1"/>
  <c r="F33" i="28"/>
  <c r="B34" i="28"/>
  <c r="C34" i="28"/>
  <c r="D34" i="28"/>
  <c r="E34" i="28" s="1"/>
  <c r="F34" i="28"/>
  <c r="B35" i="28"/>
  <c r="D35" i="28" s="1"/>
  <c r="C35" i="28"/>
  <c r="F35" i="28"/>
  <c r="B36" i="28"/>
  <c r="C36" i="28"/>
  <c r="D36" i="28"/>
  <c r="E36" i="28" s="1"/>
  <c r="F36" i="28"/>
  <c r="B37" i="28"/>
  <c r="C37" i="28"/>
  <c r="D37" i="28"/>
  <c r="E37" i="28" s="1"/>
  <c r="F37" i="28"/>
  <c r="B38" i="28"/>
  <c r="C38" i="28"/>
  <c r="D38" i="28"/>
  <c r="E38" i="28" s="1"/>
  <c r="F38" i="28"/>
  <c r="B39" i="28"/>
  <c r="C39" i="28"/>
  <c r="D39" i="28"/>
  <c r="E39" i="28" s="1"/>
  <c r="F39" i="28"/>
  <c r="B40" i="28"/>
  <c r="C40" i="28"/>
  <c r="D40" i="28"/>
  <c r="E40" i="28" s="1"/>
  <c r="F40" i="28"/>
  <c r="B41" i="28"/>
  <c r="C41" i="28"/>
  <c r="D41" i="28"/>
  <c r="E41" i="28" s="1"/>
  <c r="F41" i="28"/>
  <c r="B42" i="28"/>
  <c r="C42" i="28"/>
  <c r="D42" i="28"/>
  <c r="E42" i="28" s="1"/>
  <c r="F42" i="28"/>
  <c r="B43" i="28"/>
  <c r="C43" i="28"/>
  <c r="D43" i="28"/>
  <c r="E43" i="28" s="1"/>
  <c r="F43" i="28"/>
  <c r="B44" i="28"/>
  <c r="C44" i="28"/>
  <c r="D44" i="28"/>
  <c r="E44" i="28" s="1"/>
  <c r="F44" i="28"/>
  <c r="B45" i="28"/>
  <c r="C45" i="28"/>
  <c r="D45" i="28"/>
  <c r="E45" i="28" s="1"/>
  <c r="F45" i="28"/>
  <c r="B46" i="28"/>
  <c r="D46" i="28" s="1"/>
  <c r="C46" i="28"/>
  <c r="F46" i="28"/>
  <c r="B47" i="28"/>
  <c r="C47" i="28"/>
  <c r="D47" i="28"/>
  <c r="E47" i="28" s="1"/>
  <c r="F47" i="28"/>
  <c r="B48" i="28"/>
  <c r="C48" i="28"/>
  <c r="D48" i="28"/>
  <c r="E48" i="28" s="1"/>
  <c r="F48" i="28"/>
  <c r="B49" i="28"/>
  <c r="C49" i="28"/>
  <c r="D49" i="28"/>
  <c r="E49" i="28" s="1"/>
  <c r="F49" i="28"/>
  <c r="B50" i="28"/>
  <c r="C50" i="28"/>
  <c r="D50" i="28"/>
  <c r="E50" i="28" s="1"/>
  <c r="F50" i="28"/>
  <c r="B51" i="28"/>
  <c r="C51" i="28"/>
  <c r="D51" i="28"/>
  <c r="E51" i="28" s="1"/>
  <c r="F51" i="28"/>
  <c r="B52" i="28"/>
  <c r="C52" i="28"/>
  <c r="D52" i="28"/>
  <c r="E52" i="28" s="1"/>
  <c r="F52" i="28"/>
  <c r="B53" i="28"/>
  <c r="C53" i="28"/>
  <c r="D53" i="28"/>
  <c r="E53" i="28" s="1"/>
  <c r="F53" i="28"/>
  <c r="B54" i="28"/>
  <c r="C54" i="28"/>
  <c r="D54" i="28"/>
  <c r="E54" i="28" s="1"/>
  <c r="F54" i="28"/>
  <c r="B55" i="28"/>
  <c r="C55" i="28"/>
  <c r="D55" i="28"/>
  <c r="E55" i="28" s="1"/>
  <c r="F55" i="28"/>
  <c r="B56" i="28"/>
  <c r="C56" i="28"/>
  <c r="D56" i="28"/>
  <c r="E56" i="28" s="1"/>
  <c r="F56" i="28"/>
  <c r="B57" i="28"/>
  <c r="C57" i="28"/>
  <c r="D57" i="28"/>
  <c r="E57" i="28" s="1"/>
  <c r="F57" i="28"/>
  <c r="C19" i="28"/>
  <c r="F19" i="28"/>
  <c r="B19" i="28"/>
  <c r="D19" i="28"/>
  <c r="E19" i="28" s="1"/>
  <c r="G19" i="28" s="1"/>
  <c r="H19" i="28" s="1" a="1"/>
  <c r="H19" i="28" s="1"/>
  <c r="B20" i="28"/>
  <c r="D20" i="28" s="1"/>
  <c r="C20" i="28"/>
  <c r="F20" i="28"/>
  <c r="C21" i="28"/>
  <c r="B21" i="28"/>
  <c r="D21" i="28"/>
  <c r="E21" i="28" s="1"/>
  <c r="F21" i="28"/>
  <c r="C22" i="28"/>
  <c r="B22" i="28"/>
  <c r="D22" i="28"/>
  <c r="E22" i="28" s="1"/>
  <c r="F22" i="28"/>
  <c r="F23" i="28"/>
  <c r="B23" i="28"/>
  <c r="D23" i="28" s="1"/>
  <c r="C23" i="28"/>
  <c r="F24" i="28"/>
  <c r="B24" i="28"/>
  <c r="D24" i="28" s="1"/>
  <c r="C24" i="28"/>
  <c r="B25" i="28"/>
  <c r="C25" i="28"/>
  <c r="D25" i="28"/>
  <c r="E25" i="28" s="1"/>
  <c r="F25" i="28"/>
  <c r="B58" i="28"/>
  <c r="C58" i="28"/>
  <c r="D58" i="28"/>
  <c r="E58" i="28" s="1"/>
  <c r="F58" i="28"/>
  <c r="B59" i="28"/>
  <c r="C59" i="28"/>
  <c r="D59" i="28"/>
  <c r="E59" i="28" s="1"/>
  <c r="F59" i="28"/>
  <c r="B60" i="28"/>
  <c r="C60" i="28"/>
  <c r="D60" i="28"/>
  <c r="E60" i="28" s="1"/>
  <c r="F60" i="28"/>
  <c r="B61" i="28"/>
  <c r="C61" i="28"/>
  <c r="D61" i="28"/>
  <c r="E61" i="28" s="1"/>
  <c r="F61" i="28"/>
  <c r="B62" i="28"/>
  <c r="C62" i="28"/>
  <c r="D62" i="28"/>
  <c r="E62" i="28" s="1"/>
  <c r="F62" i="28"/>
  <c r="B63" i="28"/>
  <c r="C63" i="28"/>
  <c r="D63" i="28"/>
  <c r="E63" i="28" s="1"/>
  <c r="F63" i="28"/>
  <c r="B64" i="28"/>
  <c r="C64" i="28"/>
  <c r="D64" i="28"/>
  <c r="E64" i="28" s="1"/>
  <c r="F64" i="28"/>
  <c r="B65" i="28"/>
  <c r="C65" i="28"/>
  <c r="D65" i="28"/>
  <c r="E65" i="28" s="1"/>
  <c r="F65" i="28"/>
  <c r="B66" i="28"/>
  <c r="C66" i="28"/>
  <c r="D66" i="28"/>
  <c r="E66" i="28" s="1"/>
  <c r="F66" i="28"/>
  <c r="C18" i="26"/>
  <c r="B18" i="26"/>
  <c r="D18" i="26" s="1"/>
  <c r="E18" i="26" s="1"/>
  <c r="F18" i="26"/>
  <c r="C19" i="26"/>
  <c r="B19" i="26"/>
  <c r="D19" i="26" s="1"/>
  <c r="E19" i="26" s="1"/>
  <c r="F19" i="26"/>
  <c r="B17" i="26"/>
  <c r="D17" i="26" s="1"/>
  <c r="F17" i="26"/>
  <c r="C17" i="26"/>
  <c r="B20" i="26"/>
  <c r="D20" i="26"/>
  <c r="F20" i="26"/>
  <c r="C20" i="26"/>
  <c r="B22" i="26"/>
  <c r="C22" i="26"/>
  <c r="D22" i="26"/>
  <c r="F22" i="26"/>
  <c r="F26" i="26"/>
  <c r="B26" i="26"/>
  <c r="C26" i="26"/>
  <c r="D26" i="26"/>
  <c r="E26" i="26" s="1"/>
  <c r="G26" i="26" s="1"/>
  <c r="H26" i="26" s="1" a="1"/>
  <c r="H26" i="26" s="1"/>
  <c r="C34" i="26"/>
  <c r="B34" i="26"/>
  <c r="D34" i="26"/>
  <c r="E34" i="26" s="1"/>
  <c r="F34" i="26"/>
  <c r="B36" i="26"/>
  <c r="C36" i="26"/>
  <c r="D36" i="26"/>
  <c r="E36" i="26" s="1"/>
  <c r="F36" i="26"/>
  <c r="B37" i="26"/>
  <c r="C37" i="26"/>
  <c r="D37" i="26"/>
  <c r="E37" i="26" s="1"/>
  <c r="F37" i="26"/>
  <c r="B38" i="26"/>
  <c r="D38" i="26" s="1"/>
  <c r="E38" i="26" s="1"/>
  <c r="C38" i="26"/>
  <c r="F38" i="26"/>
  <c r="C45" i="26"/>
  <c r="B45" i="26"/>
  <c r="D45" i="26"/>
  <c r="E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F51" i="26"/>
  <c r="F53" i="26"/>
  <c r="B53" i="26"/>
  <c r="D53" i="26" s="1"/>
  <c r="C53" i="26"/>
  <c r="B54" i="26"/>
  <c r="C54" i="26"/>
  <c r="D54" i="26"/>
  <c r="E54" i="26" s="1"/>
  <c r="F54" i="26"/>
  <c r="B55" i="26"/>
  <c r="C55" i="26"/>
  <c r="D55" i="26"/>
  <c r="E55" i="26" s="1"/>
  <c r="F55" i="26"/>
  <c r="B56" i="26"/>
  <c r="C56" i="26"/>
  <c r="D56" i="26"/>
  <c r="E56" i="26" s="1"/>
  <c r="F56" i="26"/>
  <c r="B57" i="26"/>
  <c r="C57" i="26"/>
  <c r="D57" i="26"/>
  <c r="E57" i="26" s="1"/>
  <c r="F57" i="26"/>
  <c r="B58" i="26"/>
  <c r="C58" i="26"/>
  <c r="D58" i="26"/>
  <c r="E58" i="26" s="1"/>
  <c r="F58" i="26"/>
  <c r="B59" i="26"/>
  <c r="C59" i="26"/>
  <c r="D59" i="26"/>
  <c r="E59" i="26" s="1"/>
  <c r="F59" i="26"/>
  <c r="B60" i="26"/>
  <c r="C60" i="26"/>
  <c r="D60" i="26"/>
  <c r="E60" i="26" s="1"/>
  <c r="F60" i="26"/>
  <c r="B61" i="26"/>
  <c r="C61" i="26"/>
  <c r="D61" i="26"/>
  <c r="E61" i="26" s="1"/>
  <c r="F61" i="26"/>
  <c r="B62" i="26"/>
  <c r="C62" i="26"/>
  <c r="D62" i="26"/>
  <c r="E62" i="26" s="1"/>
  <c r="F62" i="26"/>
  <c r="B63" i="26"/>
  <c r="D63" i="26" s="1"/>
  <c r="C63" i="26"/>
  <c r="F63" i="26"/>
  <c r="B64" i="26"/>
  <c r="D64" i="26" s="1"/>
  <c r="C64" i="26"/>
  <c r="F64" i="26"/>
  <c r="B65" i="26"/>
  <c r="D65" i="26" s="1"/>
  <c r="C65" i="26"/>
  <c r="F65" i="26"/>
  <c r="B66" i="26"/>
  <c r="C66" i="26"/>
  <c r="D66" i="26"/>
  <c r="E66" i="26" s="1"/>
  <c r="F66" i="26"/>
  <c r="F21" i="26"/>
  <c r="C21" i="26"/>
  <c r="B21" i="26"/>
  <c r="D21" i="26" s="1"/>
  <c r="E21" i="26" s="1"/>
  <c r="G21" i="26" s="1"/>
  <c r="H21" i="26" s="1" a="1"/>
  <c r="H21" i="26" s="1"/>
  <c r="B23" i="26"/>
  <c r="C23" i="26"/>
  <c r="D23" i="26"/>
  <c r="E23" i="26" s="1"/>
  <c r="F23" i="26"/>
  <c r="C24" i="26"/>
  <c r="B24" i="26"/>
  <c r="D24" i="26" s="1"/>
  <c r="E24" i="26" s="1"/>
  <c r="F24" i="26"/>
  <c r="C25" i="26"/>
  <c r="F25" i="26"/>
  <c r="B25" i="26"/>
  <c r="D25" i="26"/>
  <c r="E25" i="26" s="1"/>
  <c r="G25" i="26" s="1"/>
  <c r="H25" i="26" s="1" a="1"/>
  <c r="H25" i="26" s="1"/>
  <c r="C27" i="26"/>
  <c r="F27" i="26"/>
  <c r="B27" i="26"/>
  <c r="D27" i="26"/>
  <c r="E27" i="26" s="1"/>
  <c r="G27" i="26" s="1"/>
  <c r="H27" i="26" s="1" a="1"/>
  <c r="H27" i="26" s="1"/>
  <c r="C28" i="26"/>
  <c r="F28" i="26"/>
  <c r="B28" i="26"/>
  <c r="D28" i="26" s="1"/>
  <c r="E28" i="26" s="1"/>
  <c r="G28" i="26" s="1"/>
  <c r="H28" i="26" s="1" a="1"/>
  <c r="H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F30" i="26"/>
  <c r="C30" i="26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F44" i="26"/>
  <c r="B44" i="26"/>
  <c r="D44" i="26" s="1"/>
  <c r="B48" i="26"/>
  <c r="D48" i="26"/>
  <c r="C48" i="26"/>
  <c r="F48" i="26"/>
  <c r="B50" i="26"/>
  <c r="D50" i="26"/>
  <c r="F50" i="26"/>
  <c r="C50" i="26"/>
  <c r="F52" i="26"/>
  <c r="B52" i="26"/>
  <c r="D52" i="26" s="1"/>
  <c r="C52" i="26"/>
  <c r="B17" i="30"/>
  <c r="C17" i="30"/>
  <c r="D17" i="30"/>
  <c r="E17" i="30" s="1"/>
  <c r="F17" i="30"/>
  <c r="B18" i="30"/>
  <c r="C18" i="30"/>
  <c r="D18" i="30"/>
  <c r="E18" i="30" s="1"/>
  <c r="F18" i="30"/>
  <c r="B19" i="30"/>
  <c r="C19" i="30"/>
  <c r="D19" i="30"/>
  <c r="E19" i="30" s="1"/>
  <c r="F19" i="30"/>
  <c r="B20" i="30"/>
  <c r="C20" i="30"/>
  <c r="D20" i="30"/>
  <c r="E20" i="30" s="1"/>
  <c r="F20" i="30"/>
  <c r="B21" i="30"/>
  <c r="C21" i="30"/>
  <c r="D21" i="30"/>
  <c r="E21" i="30" s="1"/>
  <c r="F21" i="30"/>
  <c r="B22" i="30"/>
  <c r="C22" i="30"/>
  <c r="D22" i="30"/>
  <c r="E22" i="30" s="1"/>
  <c r="F22" i="30"/>
  <c r="B23" i="30"/>
  <c r="C23" i="30"/>
  <c r="D23" i="30"/>
  <c r="E23" i="30" s="1"/>
  <c r="F23" i="30"/>
  <c r="B24" i="30"/>
  <c r="C24" i="30"/>
  <c r="D24" i="30"/>
  <c r="E24" i="30" s="1"/>
  <c r="F24" i="30"/>
  <c r="B25" i="30"/>
  <c r="C25" i="30"/>
  <c r="D25" i="30"/>
  <c r="E25" i="30" s="1"/>
  <c r="F25" i="30"/>
  <c r="B26" i="30"/>
  <c r="C26" i="30"/>
  <c r="D26" i="30"/>
  <c r="E26" i="30" s="1"/>
  <c r="F26" i="30"/>
  <c r="B27" i="30"/>
  <c r="C27" i="30"/>
  <c r="D27" i="30"/>
  <c r="E27" i="30" s="1"/>
  <c r="F27" i="30"/>
  <c r="B28" i="30"/>
  <c r="C28" i="30"/>
  <c r="D28" i="30"/>
  <c r="E28" i="30" s="1"/>
  <c r="F28" i="30"/>
  <c r="B29" i="30"/>
  <c r="C29" i="30"/>
  <c r="D29" i="30"/>
  <c r="E29" i="30" s="1"/>
  <c r="G29" i="30" s="1"/>
  <c r="H29" i="30" s="1" a="1"/>
  <c r="H29" i="30" s="1"/>
  <c r="F29" i="30"/>
  <c r="B30" i="30"/>
  <c r="C30" i="30"/>
  <c r="D30" i="30"/>
  <c r="E30" i="30" s="1"/>
  <c r="F30" i="30"/>
  <c r="B31" i="30"/>
  <c r="C31" i="30"/>
  <c r="D31" i="30"/>
  <c r="E31" i="30" s="1"/>
  <c r="F31" i="30"/>
  <c r="B32" i="30"/>
  <c r="C32" i="30"/>
  <c r="D32" i="30"/>
  <c r="E32" i="30" s="1"/>
  <c r="F32" i="30"/>
  <c r="B33" i="30"/>
  <c r="C33" i="30"/>
  <c r="D33" i="30"/>
  <c r="E33" i="30" s="1"/>
  <c r="F33" i="30"/>
  <c r="B34" i="30"/>
  <c r="C34" i="30"/>
  <c r="D34" i="30"/>
  <c r="E34" i="30" s="1"/>
  <c r="F34" i="30"/>
  <c r="B35" i="30"/>
  <c r="C35" i="30"/>
  <c r="D35" i="30"/>
  <c r="E35" i="30" s="1"/>
  <c r="F35" i="30"/>
  <c r="B36" i="30"/>
  <c r="C36" i="30"/>
  <c r="D36" i="30"/>
  <c r="E36" i="30" s="1"/>
  <c r="F36" i="30"/>
  <c r="B37" i="30"/>
  <c r="C37" i="30"/>
  <c r="D37" i="30"/>
  <c r="E37" i="30" s="1"/>
  <c r="F37" i="30"/>
  <c r="B38" i="30"/>
  <c r="C38" i="30"/>
  <c r="D38" i="30"/>
  <c r="E38" i="30" s="1"/>
  <c r="F38" i="30"/>
  <c r="B39" i="30"/>
  <c r="C39" i="30"/>
  <c r="D39" i="30"/>
  <c r="E39" i="30" s="1"/>
  <c r="F39" i="30"/>
  <c r="B40" i="30"/>
  <c r="C40" i="30"/>
  <c r="D40" i="30"/>
  <c r="E40" i="30" s="1"/>
  <c r="F40" i="30"/>
  <c r="B41" i="30"/>
  <c r="C41" i="30"/>
  <c r="D41" i="30"/>
  <c r="E41" i="30" s="1"/>
  <c r="F41" i="30"/>
  <c r="B42" i="30"/>
  <c r="C42" i="30"/>
  <c r="D42" i="30"/>
  <c r="E42" i="30" s="1"/>
  <c r="F42" i="30"/>
  <c r="B43" i="30"/>
  <c r="C43" i="30"/>
  <c r="D43" i="30"/>
  <c r="E43" i="30" s="1"/>
  <c r="F43" i="30"/>
  <c r="B44" i="30"/>
  <c r="C44" i="30"/>
  <c r="D44" i="30"/>
  <c r="E44" i="30" s="1"/>
  <c r="F44" i="30"/>
  <c r="B45" i="30"/>
  <c r="C45" i="30"/>
  <c r="D45" i="30"/>
  <c r="E45" i="30" s="1"/>
  <c r="F45" i="30"/>
  <c r="B46" i="30"/>
  <c r="C46" i="30"/>
  <c r="D46" i="30"/>
  <c r="E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F48" i="30"/>
  <c r="B49" i="30"/>
  <c r="C49" i="30"/>
  <c r="D49" i="30"/>
  <c r="E49" i="30" s="1"/>
  <c r="F49" i="30"/>
  <c r="B50" i="30"/>
  <c r="C50" i="30"/>
  <c r="D50" i="30"/>
  <c r="E50" i="30" s="1"/>
  <c r="F50" i="30"/>
  <c r="B51" i="30"/>
  <c r="C51" i="30"/>
  <c r="D51" i="30"/>
  <c r="E51" i="30" s="1"/>
  <c r="F51" i="30"/>
  <c r="B52" i="30"/>
  <c r="C52" i="30"/>
  <c r="D52" i="30"/>
  <c r="E52" i="30" s="1"/>
  <c r="F52" i="30"/>
  <c r="B53" i="30"/>
  <c r="C53" i="30"/>
  <c r="D53" i="30"/>
  <c r="E53" i="30" s="1"/>
  <c r="F53" i="30"/>
  <c r="B54" i="30"/>
  <c r="C54" i="30"/>
  <c r="D54" i="30"/>
  <c r="E54" i="30" s="1"/>
  <c r="F54" i="30"/>
  <c r="B55" i="30"/>
  <c r="C55" i="30"/>
  <c r="D55" i="30"/>
  <c r="E55" i="30" s="1"/>
  <c r="F55" i="30"/>
  <c r="B56" i="30"/>
  <c r="C56" i="30"/>
  <c r="D56" i="30"/>
  <c r="E56" i="30" s="1"/>
  <c r="F56" i="30"/>
  <c r="B57" i="30"/>
  <c r="C57" i="30"/>
  <c r="D57" i="30"/>
  <c r="E57" i="30" s="1"/>
  <c r="F57" i="30"/>
  <c r="B58" i="30"/>
  <c r="C58" i="30"/>
  <c r="D58" i="30"/>
  <c r="E58" i="30" s="1"/>
  <c r="F58" i="30"/>
  <c r="B59" i="30"/>
  <c r="C59" i="30"/>
  <c r="D59" i="30"/>
  <c r="E59" i="30" s="1"/>
  <c r="F59" i="30"/>
  <c r="B60" i="30"/>
  <c r="C60" i="30"/>
  <c r="D60" i="30"/>
  <c r="E60" i="30" s="1"/>
  <c r="F60" i="30"/>
  <c r="B61" i="30"/>
  <c r="C61" i="30"/>
  <c r="D61" i="30"/>
  <c r="E61" i="30" s="1"/>
  <c r="F61" i="30"/>
  <c r="B62" i="30"/>
  <c r="C62" i="30"/>
  <c r="D62" i="30"/>
  <c r="E62" i="30" s="1"/>
  <c r="F62" i="30"/>
  <c r="B63" i="30"/>
  <c r="C63" i="30"/>
  <c r="D63" i="30"/>
  <c r="E63" i="30" s="1"/>
  <c r="F63" i="30"/>
  <c r="B64" i="30"/>
  <c r="C64" i="30"/>
  <c r="D64" i="30"/>
  <c r="E64" i="30" s="1"/>
  <c r="F64" i="30"/>
  <c r="B65" i="30"/>
  <c r="C65" i="30"/>
  <c r="D65" i="30"/>
  <c r="E65" i="30" s="1"/>
  <c r="F65" i="30"/>
  <c r="B66" i="30"/>
  <c r="C66" i="30"/>
  <c r="D66" i="30"/>
  <c r="E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F33" i="24"/>
  <c r="C34" i="24"/>
  <c r="B34" i="24"/>
  <c r="D34" i="24" s="1"/>
  <c r="F34" i="24"/>
  <c r="B37" i="24"/>
  <c r="D37" i="24"/>
  <c r="C37" i="24"/>
  <c r="F37" i="24"/>
  <c r="B20" i="24"/>
  <c r="D20" i="24" s="1"/>
  <c r="C20" i="24"/>
  <c r="F20" i="24"/>
  <c r="C21" i="24"/>
  <c r="B21" i="24"/>
  <c r="D21" i="24" s="1"/>
  <c r="E21" i="24" s="1"/>
  <c r="F21" i="24"/>
  <c r="C23" i="24"/>
  <c r="F23" i="24"/>
  <c r="B23" i="24"/>
  <c r="D23" i="24" s="1"/>
  <c r="E23" i="24" s="1"/>
  <c r="G23" i="24" s="1"/>
  <c r="H23" i="24" s="1" a="1"/>
  <c r="H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C39" i="24"/>
  <c r="F41" i="24"/>
  <c r="B41" i="24"/>
  <c r="D41" i="24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F50" i="24"/>
  <c r="B57" i="24"/>
  <c r="D57" i="24"/>
  <c r="F57" i="24"/>
  <c r="C57" i="24"/>
  <c r="B60" i="24"/>
  <c r="D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D65" i="24" s="1"/>
  <c r="E65" i="24" s="1"/>
  <c r="G65" i="24" s="1"/>
  <c r="H65" i="24" s="1" a="1"/>
  <c r="H65" i="24" s="1"/>
  <c r="F65" i="24"/>
  <c r="C65" i="24"/>
  <c r="B66" i="24"/>
  <c r="D66" i="24" s="1"/>
  <c r="C66" i="24"/>
  <c r="F66" i="24"/>
  <c r="B18" i="24"/>
  <c r="D18" i="24"/>
  <c r="C18" i="24"/>
  <c r="F18" i="24"/>
  <c r="C24" i="24"/>
  <c r="F24" i="24"/>
  <c r="B24" i="24"/>
  <c r="D24" i="24"/>
  <c r="E24" i="24" s="1"/>
  <c r="G24" i="24" s="1"/>
  <c r="H24" i="24" s="1" a="1"/>
  <c r="H24" i="24" s="1"/>
  <c r="B30" i="24"/>
  <c r="D30" i="24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C46" i="24"/>
  <c r="C48" i="24"/>
  <c r="B48" i="24"/>
  <c r="D48" i="24"/>
  <c r="E48" i="24" s="1"/>
  <c r="F48" i="24"/>
  <c r="C49" i="24"/>
  <c r="B49" i="24"/>
  <c r="D49" i="24" s="1"/>
  <c r="E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C55" i="24"/>
  <c r="C56" i="24"/>
  <c r="F56" i="24"/>
  <c r="B56" i="24"/>
  <c r="D56" i="24" s="1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F59" i="24"/>
  <c r="E4" i="1"/>
  <c r="E4" i="27"/>
  <c r="E4" i="23"/>
  <c r="E4" i="25"/>
  <c r="E4" i="29"/>
  <c r="B5" i="27"/>
  <c r="B5" i="25"/>
  <c r="B5" i="23"/>
  <c r="B5" i="29"/>
  <c r="D44" i="32" a="1"/>
  <c r="D8" i="32" a="1"/>
  <c r="D17" i="32" a="1"/>
  <c r="D83" i="32" a="1"/>
  <c r="D53" i="32" a="1"/>
  <c r="D68" i="32" a="1"/>
  <c r="D67" i="32" a="1"/>
  <c r="E26" i="28" l="1"/>
  <c r="G52" i="28"/>
  <c r="H52" i="28" s="1" a="1"/>
  <c r="H52" i="28" s="1"/>
  <c r="E40" i="21"/>
  <c r="G40" i="21" s="1"/>
  <c r="H40" i="21" s="1" a="1"/>
  <c r="H40" i="21" s="1"/>
  <c r="G31" i="28"/>
  <c r="H31" i="28" s="1" a="1"/>
  <c r="H31" i="28" s="1"/>
  <c r="E35" i="28"/>
  <c r="G35" i="28" s="1"/>
  <c r="H35" i="28" s="1" a="1"/>
  <c r="H35" i="28" s="1"/>
  <c r="G51" i="28"/>
  <c r="H51" i="28" s="1" a="1"/>
  <c r="H51" i="28" s="1"/>
  <c r="G45" i="26"/>
  <c r="H45" i="26" s="1" a="1"/>
  <c r="H45" i="26" s="1"/>
  <c r="G64" i="30"/>
  <c r="H64" i="30" s="1" a="1"/>
  <c r="H64" i="30" s="1"/>
  <c r="G30" i="30"/>
  <c r="H30" i="30" s="1" a="1"/>
  <c r="H30" i="30" s="1"/>
  <c r="G48" i="30"/>
  <c r="H48" i="30" s="1" a="1"/>
  <c r="H48" i="30" s="1"/>
  <c r="M33" i="6"/>
  <c r="N33" i="6" s="1"/>
  <c r="L33" i="6"/>
  <c r="B31" i="36"/>
  <c r="B32" i="36" a="1"/>
  <c r="B32" i="36" s="1"/>
  <c r="N3" i="6"/>
  <c r="E32" i="21"/>
  <c r="G32" i="21" s="1"/>
  <c r="H32" i="21" s="1" a="1"/>
  <c r="H32" i="21" s="1"/>
  <c r="E29" i="21"/>
  <c r="G29" i="21" s="1"/>
  <c r="H29" i="21" s="1" a="1"/>
  <c r="H29" i="21" s="1"/>
  <c r="E58" i="21"/>
  <c r="G58" i="21" s="1"/>
  <c r="H58" i="21" s="1" a="1"/>
  <c r="H58" i="21" s="1"/>
  <c r="G26" i="28"/>
  <c r="H26" i="28" s="1" a="1"/>
  <c r="H26" i="28" s="1"/>
  <c r="G27" i="28"/>
  <c r="H27" i="28" s="1" a="1"/>
  <c r="H27" i="28" s="1"/>
  <c r="G28" i="28"/>
  <c r="H28" i="28" s="1" a="1"/>
  <c r="H28" i="28" s="1"/>
  <c r="G29" i="28"/>
  <c r="H29" i="28" s="1" a="1"/>
  <c r="H29" i="28" s="1"/>
  <c r="G30" i="28"/>
  <c r="H30" i="28" s="1" a="1"/>
  <c r="H30" i="28" s="1"/>
  <c r="G36" i="28"/>
  <c r="H36" i="28" s="1" a="1"/>
  <c r="H36" i="28" s="1"/>
  <c r="G37" i="28"/>
  <c r="H37" i="28" s="1" a="1"/>
  <c r="H37" i="28" s="1"/>
  <c r="G39" i="28"/>
  <c r="H39" i="28" s="1" a="1"/>
  <c r="H39" i="28" s="1"/>
  <c r="G40" i="28"/>
  <c r="H40" i="28" s="1" a="1"/>
  <c r="H40" i="28" s="1"/>
  <c r="G41" i="28"/>
  <c r="H41" i="28" s="1" a="1"/>
  <c r="H41" i="28" s="1"/>
  <c r="G42" i="28"/>
  <c r="H42" i="28" s="1" a="1"/>
  <c r="H42" i="28" s="1"/>
  <c r="G43" i="28"/>
  <c r="H43" i="28" s="1" a="1"/>
  <c r="H43" i="28" s="1"/>
  <c r="G44" i="28"/>
  <c r="H44" i="28" s="1" a="1"/>
  <c r="H44" i="28" s="1"/>
  <c r="G45" i="28"/>
  <c r="H45" i="28" s="1" a="1"/>
  <c r="H45" i="28" s="1"/>
  <c r="G47" i="28"/>
  <c r="H47" i="28" s="1" a="1"/>
  <c r="H47" i="28" s="1"/>
  <c r="G48" i="28"/>
  <c r="H48" i="28" s="1" a="1"/>
  <c r="H48" i="28" s="1"/>
  <c r="G49" i="28"/>
  <c r="H49" i="28" s="1" a="1"/>
  <c r="H49" i="28" s="1"/>
  <c r="G50" i="28"/>
  <c r="H50" i="28" s="1" a="1"/>
  <c r="H50" i="28" s="1"/>
  <c r="G53" i="28"/>
  <c r="H53" i="28" s="1" a="1"/>
  <c r="H53" i="28" s="1"/>
  <c r="G54" i="28"/>
  <c r="H54" i="28" s="1" a="1"/>
  <c r="H54" i="28" s="1"/>
  <c r="G55" i="28"/>
  <c r="H55" i="28" s="1" a="1"/>
  <c r="H55" i="28" s="1"/>
  <c r="G56" i="28"/>
  <c r="H56" i="28" s="1" a="1"/>
  <c r="H56" i="28" s="1"/>
  <c r="G57" i="28"/>
  <c r="H57" i="28" s="1" a="1"/>
  <c r="H57" i="28" s="1"/>
  <c r="G21" i="28"/>
  <c r="H21" i="28" s="1" a="1"/>
  <c r="H21" i="28" s="1"/>
  <c r="G22" i="28"/>
  <c r="H22" i="28" s="1" a="1"/>
  <c r="H22" i="28" s="1"/>
  <c r="E23" i="28"/>
  <c r="G23" i="28" s="1"/>
  <c r="H23" i="28" s="1" a="1"/>
  <c r="H23" i="28" s="1"/>
  <c r="E24" i="28"/>
  <c r="G24" i="28" s="1"/>
  <c r="H24" i="28" s="1" a="1"/>
  <c r="H24" i="28" s="1"/>
  <c r="G25" i="28"/>
  <c r="H25" i="28" s="1" a="1"/>
  <c r="H25" i="28" s="1"/>
  <c r="G58" i="28"/>
  <c r="H58" i="28" s="1" a="1"/>
  <c r="H58" i="28" s="1"/>
  <c r="G59" i="28"/>
  <c r="H59" i="28" s="1" a="1"/>
  <c r="H59" i="28" s="1"/>
  <c r="G60" i="28"/>
  <c r="H60" i="28" s="1" a="1"/>
  <c r="H60" i="28" s="1"/>
  <c r="G61" i="28"/>
  <c r="H61" i="28" s="1" a="1"/>
  <c r="H61" i="28" s="1"/>
  <c r="G50" i="24"/>
  <c r="H50" i="24" s="1" a="1"/>
  <c r="H50" i="24" s="1"/>
  <c r="E57" i="24"/>
  <c r="G57" i="24" s="1"/>
  <c r="H57" i="24" s="1" a="1"/>
  <c r="H57" i="24" s="1"/>
  <c r="E60" i="24"/>
  <c r="G60" i="24" s="1"/>
  <c r="H60" i="24" s="1" a="1"/>
  <c r="H60" i="24" s="1"/>
  <c r="E66" i="24"/>
  <c r="G66" i="24" s="1"/>
  <c r="H66" i="24" s="1" a="1"/>
  <c r="H66" i="24" s="1"/>
  <c r="E30" i="24"/>
  <c r="G30" i="24" s="1"/>
  <c r="H30" i="24" s="1" a="1"/>
  <c r="H30" i="24" s="1"/>
  <c r="E36" i="24"/>
  <c r="G36" i="24" s="1"/>
  <c r="H36" i="24" s="1" a="1"/>
  <c r="H36" i="24" s="1"/>
  <c r="E46" i="24"/>
  <c r="G46" i="24" s="1"/>
  <c r="H46" i="24" s="1" a="1"/>
  <c r="H46" i="24" s="1"/>
  <c r="G48" i="24"/>
  <c r="H48" i="24" s="1" a="1"/>
  <c r="H48" i="24" s="1"/>
  <c r="G49" i="24"/>
  <c r="H49" i="24" s="1" a="1"/>
  <c r="H49" i="24" s="1"/>
  <c r="E55" i="24"/>
  <c r="G55" i="24" s="1"/>
  <c r="H55" i="24" s="1" a="1"/>
  <c r="H55" i="24" s="1"/>
  <c r="G25" i="24"/>
  <c r="H25" i="24" s="1" a="1"/>
  <c r="H25" i="24" s="1"/>
  <c r="G26" i="24"/>
  <c r="H26" i="24" s="1" a="1"/>
  <c r="H26" i="24" s="1"/>
  <c r="G59" i="24"/>
  <c r="H59" i="24" s="1" a="1"/>
  <c r="H59" i="24" s="1"/>
  <c r="E20" i="21"/>
  <c r="G20" i="21" s="1"/>
  <c r="H20" i="21" s="1" a="1"/>
  <c r="H20" i="21" s="1"/>
  <c r="E36" i="21"/>
  <c r="G36" i="21" s="1"/>
  <c r="H36" i="21" s="1" a="1"/>
  <c r="H36" i="21" s="1"/>
  <c r="G32" i="28"/>
  <c r="H32" i="28" s="1" a="1"/>
  <c r="H32" i="28" s="1"/>
  <c r="G33" i="28"/>
  <c r="H33" i="28" s="1" a="1"/>
  <c r="H33" i="28" s="1"/>
  <c r="G34" i="28"/>
  <c r="H34" i="28" s="1" a="1"/>
  <c r="H34" i="28" s="1"/>
  <c r="G62" i="28"/>
  <c r="H62" i="28" s="1" a="1"/>
  <c r="H62" i="28" s="1"/>
  <c r="G63" i="28"/>
  <c r="H63" i="28" s="1" a="1"/>
  <c r="H63" i="28" s="1"/>
  <c r="G64" i="28"/>
  <c r="H64" i="28" s="1" a="1"/>
  <c r="H64" i="28" s="1"/>
  <c r="G65" i="28"/>
  <c r="H65" i="28" s="1" a="1"/>
  <c r="H65" i="28" s="1"/>
  <c r="G66" i="28"/>
  <c r="H66" i="28" s="1" a="1"/>
  <c r="H66" i="28" s="1"/>
  <c r="G18" i="26"/>
  <c r="H18" i="26" s="1" a="1"/>
  <c r="H18" i="26" s="1"/>
  <c r="G19" i="26"/>
  <c r="H19" i="26" s="1" a="1"/>
  <c r="H19" i="26" s="1"/>
  <c r="G34" i="26"/>
  <c r="H34" i="26" s="1" a="1"/>
  <c r="H34" i="26" s="1"/>
  <c r="G36" i="26"/>
  <c r="H36" i="26" s="1" a="1"/>
  <c r="H36" i="26" s="1"/>
  <c r="G37" i="26"/>
  <c r="H37" i="26" s="1" a="1"/>
  <c r="H37" i="26" s="1"/>
  <c r="G38" i="26"/>
  <c r="H38" i="26" s="1" a="1"/>
  <c r="H38" i="26" s="1"/>
  <c r="G51" i="26"/>
  <c r="H51" i="26" s="1" a="1"/>
  <c r="H51" i="26" s="1"/>
  <c r="G54" i="26"/>
  <c r="H54" i="26" s="1" a="1"/>
  <c r="H54" i="26" s="1"/>
  <c r="G55" i="26"/>
  <c r="H55" i="26" s="1" a="1"/>
  <c r="H55" i="26" s="1"/>
  <c r="G56" i="26"/>
  <c r="H56" i="26" s="1" a="1"/>
  <c r="H56" i="26" s="1"/>
  <c r="G57" i="26"/>
  <c r="H57" i="26" s="1" a="1"/>
  <c r="H57" i="26" s="1"/>
  <c r="G58" i="26"/>
  <c r="H58" i="26" s="1" a="1"/>
  <c r="H58" i="26" s="1"/>
  <c r="G59" i="26"/>
  <c r="H59" i="26" s="1" a="1"/>
  <c r="H59" i="26" s="1"/>
  <c r="G60" i="26"/>
  <c r="H60" i="26" s="1" a="1"/>
  <c r="H60" i="26" s="1"/>
  <c r="G61" i="26"/>
  <c r="H61" i="26" s="1" a="1"/>
  <c r="H61" i="26" s="1"/>
  <c r="G62" i="26"/>
  <c r="H62" i="26" s="1" a="1"/>
  <c r="H62" i="26" s="1"/>
  <c r="E63" i="26"/>
  <c r="G63" i="26" s="1"/>
  <c r="H63" i="26" s="1" a="1"/>
  <c r="H63" i="26" s="1"/>
  <c r="E64" i="26"/>
  <c r="G64" i="26" s="1"/>
  <c r="H64" i="26" s="1" a="1"/>
  <c r="H64" i="26" s="1"/>
  <c r="E65" i="26"/>
  <c r="G65" i="26" s="1"/>
  <c r="H65" i="26" s="1" a="1"/>
  <c r="H65" i="26" s="1"/>
  <c r="G66" i="26"/>
  <c r="H66" i="26" s="1" a="1"/>
  <c r="H66" i="26" s="1"/>
  <c r="G23" i="26"/>
  <c r="H23" i="26" s="1" a="1"/>
  <c r="H23" i="26" s="1"/>
  <c r="G24" i="26"/>
  <c r="H24" i="26" s="1" a="1"/>
  <c r="H24" i="26" s="1"/>
  <c r="E30" i="26"/>
  <c r="G30" i="26" s="1"/>
  <c r="H30" i="26" s="1" a="1"/>
  <c r="H30" i="26" s="1"/>
  <c r="E33" i="26"/>
  <c r="G33" i="26" s="1"/>
  <c r="H33" i="26" s="1" a="1"/>
  <c r="H33" i="26" s="1"/>
  <c r="E40" i="26"/>
  <c r="G40" i="26" s="1"/>
  <c r="H40" i="26" s="1" a="1"/>
  <c r="H40" i="26" s="1"/>
  <c r="E50" i="26"/>
  <c r="G50" i="26" s="1"/>
  <c r="H50" i="26" s="1" a="1"/>
  <c r="H50" i="26" s="1"/>
  <c r="E52" i="26"/>
  <c r="G52" i="26" s="1"/>
  <c r="H52" i="26" s="1" a="1"/>
  <c r="H52" i="26" s="1"/>
  <c r="G18" i="30"/>
  <c r="H18" i="30" s="1" a="1"/>
  <c r="H18" i="30" s="1"/>
  <c r="G19" i="30"/>
  <c r="H19" i="30" s="1" a="1"/>
  <c r="H19" i="30" s="1"/>
  <c r="G20" i="30"/>
  <c r="H20" i="30" s="1" a="1"/>
  <c r="H20" i="30" s="1"/>
  <c r="G21" i="30"/>
  <c r="H21" i="30" s="1" a="1"/>
  <c r="H21" i="30" s="1"/>
  <c r="G22" i="30"/>
  <c r="H22" i="30" s="1" a="1"/>
  <c r="H22" i="30" s="1"/>
  <c r="G23" i="30"/>
  <c r="H23" i="30" s="1" a="1"/>
  <c r="H23" i="30" s="1"/>
  <c r="G24" i="30"/>
  <c r="H24" i="30" s="1" a="1"/>
  <c r="H24" i="30" s="1"/>
  <c r="G25" i="30"/>
  <c r="H25" i="30" s="1" a="1"/>
  <c r="H25" i="30" s="1"/>
  <c r="G26" i="30"/>
  <c r="H26" i="30" s="1" a="1"/>
  <c r="H26" i="30" s="1"/>
  <c r="G27" i="30"/>
  <c r="H27" i="30" s="1" a="1"/>
  <c r="H27" i="30" s="1"/>
  <c r="G28" i="30"/>
  <c r="H28" i="30" s="1" a="1"/>
  <c r="H28" i="30" s="1"/>
  <c r="G31" i="30"/>
  <c r="H31" i="30" s="1" a="1"/>
  <c r="H31" i="30" s="1"/>
  <c r="G32" i="30"/>
  <c r="H32" i="30" s="1" a="1"/>
  <c r="H32" i="30" s="1"/>
  <c r="G33" i="30"/>
  <c r="H33" i="30" s="1" a="1"/>
  <c r="H33" i="30" s="1"/>
  <c r="G34" i="30"/>
  <c r="H34" i="30" s="1" a="1"/>
  <c r="H34" i="30" s="1"/>
  <c r="G35" i="30"/>
  <c r="H35" i="30" s="1" a="1"/>
  <c r="H35" i="30" s="1"/>
  <c r="G36" i="30"/>
  <c r="H36" i="30" s="1" a="1"/>
  <c r="H36" i="30" s="1"/>
  <c r="G37" i="30"/>
  <c r="H37" i="30" s="1" a="1"/>
  <c r="H37" i="30" s="1"/>
  <c r="G38" i="30"/>
  <c r="H38" i="30" s="1" a="1"/>
  <c r="H38" i="30" s="1"/>
  <c r="G39" i="30"/>
  <c r="H39" i="30" s="1" a="1"/>
  <c r="H39" i="30" s="1"/>
  <c r="G40" i="30"/>
  <c r="H40" i="30" s="1" a="1"/>
  <c r="H40" i="30" s="1"/>
  <c r="G41" i="30"/>
  <c r="H41" i="30" s="1" a="1"/>
  <c r="H41" i="30" s="1"/>
  <c r="G42" i="30"/>
  <c r="H42" i="30" s="1" a="1"/>
  <c r="H42" i="30" s="1"/>
  <c r="G43" i="30"/>
  <c r="H43" i="30" s="1" a="1"/>
  <c r="H43" i="30" s="1"/>
  <c r="G44" i="30"/>
  <c r="H44" i="30" s="1" a="1"/>
  <c r="H44" i="30" s="1"/>
  <c r="G45" i="30"/>
  <c r="H45" i="30" s="1" a="1"/>
  <c r="H45" i="30" s="1"/>
  <c r="G46" i="30"/>
  <c r="H46" i="30" s="1" a="1"/>
  <c r="H46" i="30" s="1"/>
  <c r="G49" i="30"/>
  <c r="H49" i="30" s="1" a="1"/>
  <c r="H49" i="30" s="1"/>
  <c r="G50" i="30"/>
  <c r="H50" i="30" s="1" a="1"/>
  <c r="H50" i="30" s="1"/>
  <c r="G51" i="30"/>
  <c r="H51" i="30" s="1" a="1"/>
  <c r="H51" i="30" s="1"/>
  <c r="G52" i="30"/>
  <c r="H52" i="30" s="1" a="1"/>
  <c r="H52" i="30" s="1"/>
  <c r="G53" i="30"/>
  <c r="H53" i="30" s="1" a="1"/>
  <c r="H53" i="30" s="1"/>
  <c r="G54" i="30"/>
  <c r="H54" i="30" s="1" a="1"/>
  <c r="H54" i="30" s="1"/>
  <c r="G55" i="30"/>
  <c r="H55" i="30" s="1" a="1"/>
  <c r="H55" i="30" s="1"/>
  <c r="G56" i="30"/>
  <c r="H56" i="30" s="1" a="1"/>
  <c r="H56" i="30" s="1"/>
  <c r="G57" i="30"/>
  <c r="H57" i="30" s="1" a="1"/>
  <c r="H57" i="30" s="1"/>
  <c r="G58" i="30"/>
  <c r="H58" i="30" s="1" a="1"/>
  <c r="H58" i="30" s="1"/>
  <c r="G59" i="30"/>
  <c r="H59" i="30" s="1" a="1"/>
  <c r="H59" i="30" s="1"/>
  <c r="G60" i="30"/>
  <c r="H60" i="30" s="1" a="1"/>
  <c r="H60" i="30" s="1"/>
  <c r="G61" i="30"/>
  <c r="H61" i="30" s="1" a="1"/>
  <c r="H61" i="30" s="1"/>
  <c r="G62" i="30"/>
  <c r="H62" i="30" s="1" a="1"/>
  <c r="H62" i="30" s="1"/>
  <c r="G63" i="30"/>
  <c r="H63" i="30" s="1" a="1"/>
  <c r="H63" i="30" s="1"/>
  <c r="G65" i="30"/>
  <c r="H65" i="30" s="1" a="1"/>
  <c r="H65" i="30" s="1"/>
  <c r="G66" i="30"/>
  <c r="H66" i="30" s="1" a="1"/>
  <c r="H66" i="30" s="1"/>
  <c r="G33" i="24"/>
  <c r="H33" i="24" s="1" a="1"/>
  <c r="H33" i="24" s="1"/>
  <c r="E37" i="24"/>
  <c r="G37" i="24" s="1"/>
  <c r="H37" i="24" s="1" a="1"/>
  <c r="H37" i="24" s="1"/>
  <c r="G21" i="24"/>
  <c r="H21" i="24" s="1" a="1"/>
  <c r="H21" i="24" s="1"/>
  <c r="E39" i="24"/>
  <c r="G39" i="24" s="1"/>
  <c r="H39" i="24" s="1" a="1"/>
  <c r="H39" i="24" s="1"/>
  <c r="E41" i="24"/>
  <c r="G41" i="24" s="1"/>
  <c r="H41" i="24" s="1" a="1"/>
  <c r="H41" i="24" s="1"/>
  <c r="G44" i="21"/>
  <c r="H44" i="21" s="1" a="1"/>
  <c r="H44" i="21" s="1"/>
  <c r="G47" i="21"/>
  <c r="H47" i="21" s="1" a="1"/>
  <c r="H47" i="21" s="1"/>
  <c r="G26" i="21"/>
  <c r="H26" i="21" s="1" a="1"/>
  <c r="H26" i="21" s="1"/>
  <c r="G43" i="21"/>
  <c r="H43" i="21" s="1" a="1"/>
  <c r="H43" i="21" s="1"/>
  <c r="G37" i="21"/>
  <c r="H37" i="21" s="1" a="1"/>
  <c r="H37" i="21" s="1"/>
  <c r="G42" i="21"/>
  <c r="H42" i="21" s="1" a="1"/>
  <c r="H42" i="21" s="1"/>
  <c r="G57" i="21"/>
  <c r="H57" i="21" s="1" a="1"/>
  <c r="H57" i="21" s="1"/>
  <c r="G28" i="21"/>
  <c r="H28" i="21" s="1" a="1"/>
  <c r="H28" i="21" s="1"/>
  <c r="G30" i="21"/>
  <c r="H30" i="21" s="1" a="1"/>
  <c r="H30" i="21" s="1"/>
  <c r="G22" i="21"/>
  <c r="H22" i="21" s="1" a="1"/>
  <c r="H22" i="21" s="1"/>
  <c r="G38" i="21"/>
  <c r="H38" i="21" s="1" a="1"/>
  <c r="H38" i="21" s="1"/>
  <c r="G63" i="21"/>
  <c r="H63" i="21" s="1" a="1"/>
  <c r="H63" i="21" s="1"/>
  <c r="G59" i="21"/>
  <c r="H59" i="21" s="1" a="1"/>
  <c r="H59" i="21" s="1"/>
  <c r="G62" i="21"/>
  <c r="H62" i="21" s="1" a="1"/>
  <c r="H62" i="21" s="1"/>
  <c r="G65" i="21"/>
  <c r="H65" i="21" s="1" a="1"/>
  <c r="H65" i="21" s="1"/>
  <c r="G24" i="21"/>
  <c r="H24" i="21" s="1" a="1"/>
  <c r="H24" i="21" s="1"/>
  <c r="G35" i="21"/>
  <c r="H35" i="21" s="1" a="1"/>
  <c r="H35" i="21" s="1"/>
  <c r="G27" i="21"/>
  <c r="H27" i="21" s="1" a="1"/>
  <c r="H27" i="21" s="1"/>
  <c r="G45" i="21"/>
  <c r="H45" i="21" s="1" a="1"/>
  <c r="H45" i="21" s="1"/>
  <c r="G21" i="21"/>
  <c r="H21" i="21" s="1" a="1"/>
  <c r="H21" i="21" s="1"/>
  <c r="G49" i="21"/>
  <c r="H49" i="21" s="1" a="1"/>
  <c r="H49" i="21" s="1"/>
  <c r="G64" i="21"/>
  <c r="H64" i="21" s="1" a="1"/>
  <c r="H64" i="21" s="1"/>
  <c r="E20" i="26"/>
  <c r="G20" i="26" s="1"/>
  <c r="H20" i="26" s="1" a="1"/>
  <c r="H20" i="26" s="1"/>
  <c r="E46" i="21"/>
  <c r="G46" i="21" s="1"/>
  <c r="H46" i="21" s="1" a="1"/>
  <c r="H46" i="21" s="1"/>
  <c r="E53" i="26"/>
  <c r="G53" i="26" s="1"/>
  <c r="H53" i="26" s="1" a="1"/>
  <c r="H53" i="26" s="1"/>
  <c r="E39" i="21"/>
  <c r="G39" i="21" s="1"/>
  <c r="H39" i="21" s="1" a="1"/>
  <c r="H39" i="21" s="1"/>
  <c r="E50" i="21"/>
  <c r="G50" i="21" s="1"/>
  <c r="H50" i="21" s="1" a="1"/>
  <c r="H50" i="21" s="1"/>
  <c r="E53" i="21"/>
  <c r="G53" i="21" s="1"/>
  <c r="H53" i="21" s="1" a="1"/>
  <c r="H53" i="21" s="1"/>
  <c r="E23" i="21"/>
  <c r="G23" i="21" s="1"/>
  <c r="H23" i="21" s="1" a="1"/>
  <c r="H23" i="21" s="1"/>
  <c r="G38" i="28"/>
  <c r="H38" i="28" s="1" a="1"/>
  <c r="H38" i="28" s="1"/>
  <c r="E48" i="21"/>
  <c r="G48" i="21" s="1"/>
  <c r="H48" i="21" s="1" a="1"/>
  <c r="H48" i="21" s="1"/>
  <c r="E25" i="21"/>
  <c r="G25" i="21" s="1"/>
  <c r="H25" i="21" s="1" a="1"/>
  <c r="H25" i="21" s="1"/>
  <c r="D68" i="32"/>
  <c r="D53" i="32"/>
  <c r="D44" i="32"/>
  <c r="D83" i="32"/>
  <c r="D17" i="32"/>
  <c r="D8" i="32"/>
  <c r="D67" i="32"/>
  <c r="E48" i="26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B33" i="36" l="1" a="1"/>
  <c r="B33" i="36" s="1"/>
  <c r="B5" i="36"/>
  <c r="B7" i="36" s="1" a="1"/>
  <c r="B7" i="36" s="1"/>
  <c r="E68" i="21"/>
  <c r="G17" i="21"/>
  <c r="H17" i="21" s="1" a="1"/>
  <c r="H17" i="21" s="1"/>
  <c r="G20" i="28"/>
  <c r="E68" i="28"/>
  <c r="G47" i="24"/>
  <c r="E68" i="24"/>
  <c r="B17" i="1"/>
  <c r="C17" i="1"/>
  <c r="D17" i="1"/>
  <c r="E17" i="1" s="1"/>
  <c r="F17" i="1"/>
  <c r="B18" i="1"/>
  <c r="C18" i="1"/>
  <c r="D18" i="1"/>
  <c r="E18" i="1" s="1"/>
  <c r="F18" i="1"/>
  <c r="B19" i="1"/>
  <c r="C19" i="1"/>
  <c r="D19" i="1"/>
  <c r="E19" i="1" s="1"/>
  <c r="F19" i="1"/>
  <c r="B20" i="1"/>
  <c r="D20" i="1" s="1"/>
  <c r="C20" i="1"/>
  <c r="F20" i="1"/>
  <c r="B21" i="1"/>
  <c r="D21" i="1" s="1"/>
  <c r="C21" i="1"/>
  <c r="F21" i="1"/>
  <c r="B22" i="1"/>
  <c r="C22" i="1"/>
  <c r="D22" i="1"/>
  <c r="E22" i="1" s="1"/>
  <c r="F22" i="1"/>
  <c r="B23" i="1"/>
  <c r="D23" i="1" s="1"/>
  <c r="C23" i="1"/>
  <c r="F23" i="1"/>
  <c r="B24" i="1"/>
  <c r="D24" i="1" s="1"/>
  <c r="C24" i="1"/>
  <c r="F24" i="1"/>
  <c r="B25" i="1"/>
  <c r="D25" i="1" s="1"/>
  <c r="C25" i="1"/>
  <c r="F25" i="1"/>
  <c r="B26" i="1"/>
  <c r="D26" i="1" s="1"/>
  <c r="C26" i="1"/>
  <c r="F26" i="1"/>
  <c r="G56" i="1"/>
  <c r="H56" i="1" s="1" a="1"/>
  <c r="H56" i="1" s="1"/>
  <c r="B56" i="1"/>
  <c r="C56" i="1"/>
  <c r="F56" i="1"/>
  <c r="D56" i="1"/>
  <c r="E56" i="1"/>
  <c r="F31" i="1"/>
  <c r="B31" i="1"/>
  <c r="D31" i="1" s="1"/>
  <c r="C31" i="1"/>
  <c r="D64" i="1"/>
  <c r="C64" i="1"/>
  <c r="E64" i="1"/>
  <c r="G64" i="1"/>
  <c r="H64" i="1" s="1" a="1"/>
  <c r="H64" i="1" s="1"/>
  <c r="B64" i="1"/>
  <c r="F64" i="1"/>
  <c r="F28" i="1"/>
  <c r="B28" i="1"/>
  <c r="D28" i="1" s="1"/>
  <c r="C28" i="1"/>
  <c r="C29" i="1"/>
  <c r="B29" i="1"/>
  <c r="D29" i="1" s="1"/>
  <c r="F29" i="1"/>
  <c r="C33" i="1"/>
  <c r="B33" i="1"/>
  <c r="D33" i="1" s="1"/>
  <c r="F33" i="1"/>
  <c r="C35" i="1"/>
  <c r="F35" i="1"/>
  <c r="B35" i="1"/>
  <c r="D35" i="1" s="1"/>
  <c r="F37" i="1"/>
  <c r="B37" i="1"/>
  <c r="D37" i="1" s="1"/>
  <c r="C37" i="1"/>
  <c r="C40" i="1"/>
  <c r="F40" i="1"/>
  <c r="B40" i="1"/>
  <c r="D40" i="1" s="1"/>
  <c r="F45" i="1"/>
  <c r="B45" i="1"/>
  <c r="D45" i="1"/>
  <c r="C45" i="1"/>
  <c r="C48" i="1"/>
  <c r="B48" i="1"/>
  <c r="D48" i="1" s="1"/>
  <c r="E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 s="1"/>
  <c r="E27" i="1" s="1"/>
  <c r="F27" i="1"/>
  <c r="C30" i="1"/>
  <c r="B30" i="1"/>
  <c r="D30" i="1" s="1"/>
  <c r="F30" i="1"/>
  <c r="B39" i="1"/>
  <c r="D39" i="1" s="1"/>
  <c r="C39" i="1"/>
  <c r="F39" i="1"/>
  <c r="C43" i="1"/>
  <c r="B43" i="1"/>
  <c r="D43" i="1" s="1"/>
  <c r="E43" i="1" s="1"/>
  <c r="F43" i="1"/>
  <c r="F46" i="1"/>
  <c r="C46" i="1"/>
  <c r="B46" i="1"/>
  <c r="D46" i="1" s="1"/>
  <c r="C47" i="1"/>
  <c r="B47" i="1"/>
  <c r="D47" i="1" s="1"/>
  <c r="E47" i="1" s="1"/>
  <c r="F47" i="1"/>
  <c r="F50" i="1"/>
  <c r="B50" i="1"/>
  <c r="D50" i="1" s="1"/>
  <c r="C50" i="1"/>
  <c r="B52" i="1"/>
  <c r="D52" i="1" s="1"/>
  <c r="C52" i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C44" i="1"/>
  <c r="F44" i="1"/>
  <c r="F38" i="1"/>
  <c r="B38" i="1"/>
  <c r="C38" i="1"/>
  <c r="D38" i="1"/>
  <c r="F41" i="1"/>
  <c r="C41" i="1"/>
  <c r="B41" i="1"/>
  <c r="D41" i="1" s="1"/>
  <c r="E41" i="1" s="1"/>
  <c r="G41" i="1" s="1"/>
  <c r="H41" i="1" s="1" a="1"/>
  <c r="H41" i="1" s="1"/>
  <c r="F42" i="1"/>
  <c r="C42" i="1"/>
  <c r="B42" i="1"/>
  <c r="D42" i="1" s="1"/>
  <c r="C34" i="1"/>
  <c r="F34" i="1"/>
  <c r="B34" i="1"/>
  <c r="D34" i="1" s="1"/>
  <c r="C32" i="1"/>
  <c r="F32" i="1"/>
  <c r="B32" i="1"/>
  <c r="D32" i="1" s="1"/>
  <c r="C36" i="1"/>
  <c r="B36" i="1"/>
  <c r="D36" i="1" s="1"/>
  <c r="F36" i="1"/>
  <c r="B17" i="27"/>
  <c r="C17" i="27"/>
  <c r="D17" i="27"/>
  <c r="F17" i="27"/>
  <c r="B18" i="27"/>
  <c r="D18" i="27" s="1"/>
  <c r="C18" i="27"/>
  <c r="F18" i="27"/>
  <c r="B19" i="27"/>
  <c r="D19" i="27" s="1"/>
  <c r="C19" i="27"/>
  <c r="F19" i="27"/>
  <c r="B20" i="27"/>
  <c r="D20" i="27" s="1"/>
  <c r="C20" i="27"/>
  <c r="F20" i="27"/>
  <c r="B21" i="27"/>
  <c r="D21" i="27" s="1"/>
  <c r="C21" i="27"/>
  <c r="F21" i="27"/>
  <c r="B22" i="27"/>
  <c r="D22" i="27" s="1"/>
  <c r="C22" i="27"/>
  <c r="F22" i="27"/>
  <c r="B23" i="27"/>
  <c r="D23" i="27" s="1"/>
  <c r="C23" i="27"/>
  <c r="F23" i="27"/>
  <c r="B24" i="27"/>
  <c r="D24" i="27" s="1"/>
  <c r="C24" i="27"/>
  <c r="F24" i="27"/>
  <c r="B25" i="27"/>
  <c r="D25" i="27" s="1"/>
  <c r="C25" i="27"/>
  <c r="F25" i="27"/>
  <c r="B26" i="27"/>
  <c r="D26" i="27" s="1"/>
  <c r="C26" i="27"/>
  <c r="F26" i="27"/>
  <c r="B27" i="27"/>
  <c r="D27" i="27" s="1"/>
  <c r="C27" i="27"/>
  <c r="F27" i="27"/>
  <c r="B28" i="27"/>
  <c r="D28" i="27" s="1"/>
  <c r="C28" i="27"/>
  <c r="F28" i="27"/>
  <c r="B29" i="27"/>
  <c r="D29" i="27" s="1"/>
  <c r="C29" i="27"/>
  <c r="F29" i="27"/>
  <c r="B30" i="27"/>
  <c r="D30" i="27" s="1"/>
  <c r="C30" i="27"/>
  <c r="F30" i="27"/>
  <c r="B31" i="27"/>
  <c r="D31" i="27" s="1"/>
  <c r="C31" i="27"/>
  <c r="F31" i="27"/>
  <c r="B32" i="27"/>
  <c r="D32" i="27" s="1"/>
  <c r="C32" i="27"/>
  <c r="F32" i="27"/>
  <c r="B33" i="27"/>
  <c r="D33" i="27" s="1"/>
  <c r="C33" i="27"/>
  <c r="F33" i="27"/>
  <c r="B34" i="27"/>
  <c r="D34" i="27" s="1"/>
  <c r="C34" i="27"/>
  <c r="F34" i="27"/>
  <c r="B35" i="27"/>
  <c r="D35" i="27" s="1"/>
  <c r="C35" i="27"/>
  <c r="F35" i="27"/>
  <c r="B36" i="27"/>
  <c r="D36" i="27" s="1"/>
  <c r="C36" i="27"/>
  <c r="F36" i="27"/>
  <c r="B37" i="27"/>
  <c r="D37" i="27" s="1"/>
  <c r="C37" i="27"/>
  <c r="F37" i="27"/>
  <c r="B38" i="27"/>
  <c r="D38" i="27" s="1"/>
  <c r="C38" i="27"/>
  <c r="F38" i="27"/>
  <c r="B39" i="27"/>
  <c r="D39" i="27" s="1"/>
  <c r="C39" i="27"/>
  <c r="F39" i="27"/>
  <c r="B40" i="27"/>
  <c r="D40" i="27" s="1"/>
  <c r="C40" i="27"/>
  <c r="F40" i="27"/>
  <c r="B41" i="27"/>
  <c r="D41" i="27" s="1"/>
  <c r="C41" i="27"/>
  <c r="F41" i="27"/>
  <c r="B42" i="27"/>
  <c r="D42" i="27" s="1"/>
  <c r="C42" i="27"/>
  <c r="F42" i="27"/>
  <c r="B43" i="27"/>
  <c r="D43" i="27" s="1"/>
  <c r="C43" i="27"/>
  <c r="F43" i="27"/>
  <c r="B44" i="27"/>
  <c r="C44" i="27"/>
  <c r="D44" i="27"/>
  <c r="E44" i="27" s="1"/>
  <c r="F44" i="27"/>
  <c r="B45" i="27"/>
  <c r="D45" i="27" s="1"/>
  <c r="C45" i="27"/>
  <c r="F45" i="27"/>
  <c r="B46" i="27"/>
  <c r="D46" i="27" s="1"/>
  <c r="C46" i="27"/>
  <c r="F46" i="27"/>
  <c r="B47" i="27"/>
  <c r="D47" i="27" s="1"/>
  <c r="C47" i="27"/>
  <c r="F47" i="27"/>
  <c r="B48" i="27"/>
  <c r="D48" i="27" s="1"/>
  <c r="C48" i="27"/>
  <c r="F48" i="27"/>
  <c r="B49" i="27"/>
  <c r="D49" i="27" s="1"/>
  <c r="C49" i="27"/>
  <c r="F49" i="27"/>
  <c r="B50" i="27"/>
  <c r="D50" i="27" s="1"/>
  <c r="C50" i="27"/>
  <c r="F50" i="27"/>
  <c r="B51" i="27"/>
  <c r="D51" i="27" s="1"/>
  <c r="C51" i="27"/>
  <c r="F51" i="27"/>
  <c r="B52" i="27"/>
  <c r="C52" i="27"/>
  <c r="D52" i="27"/>
  <c r="E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D33" i="23" s="1"/>
  <c r="F33" i="23"/>
  <c r="C33" i="23"/>
  <c r="B34" i="23"/>
  <c r="D34" i="23" s="1"/>
  <c r="F34" i="23"/>
  <c r="C34" i="23"/>
  <c r="F37" i="23"/>
  <c r="C37" i="23"/>
  <c r="B37" i="23"/>
  <c r="D37" i="23" s="1"/>
  <c r="F43" i="23"/>
  <c r="B43" i="23"/>
  <c r="D43" i="23" s="1"/>
  <c r="C43" i="23"/>
  <c r="C44" i="23"/>
  <c r="F44" i="23"/>
  <c r="B44" i="23"/>
  <c r="D44" i="23" s="1"/>
  <c r="B46" i="23"/>
  <c r="D46" i="23" s="1"/>
  <c r="C46" i="23"/>
  <c r="F46" i="23"/>
  <c r="C49" i="23"/>
  <c r="B49" i="23"/>
  <c r="D49" i="23" s="1"/>
  <c r="E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 s="1"/>
  <c r="F20" i="23"/>
  <c r="C30" i="23"/>
  <c r="B30" i="23"/>
  <c r="D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 s="1"/>
  <c r="E36" i="23" s="1"/>
  <c r="F36" i="23"/>
  <c r="C41" i="23"/>
  <c r="F41" i="23"/>
  <c r="B41" i="23"/>
  <c r="D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F23" i="23"/>
  <c r="F29" i="23"/>
  <c r="C29" i="23"/>
  <c r="B29" i="23"/>
  <c r="D29" i="23" s="1"/>
  <c r="E29" i="23" s="1"/>
  <c r="B32" i="23"/>
  <c r="F32" i="23"/>
  <c r="C32" i="23"/>
  <c r="D32" i="23"/>
  <c r="B35" i="23"/>
  <c r="D35" i="23"/>
  <c r="C35" i="23"/>
  <c r="F35" i="23"/>
  <c r="B39" i="23"/>
  <c r="D39" i="23" s="1"/>
  <c r="F39" i="23"/>
  <c r="C39" i="23"/>
  <c r="B42" i="23"/>
  <c r="D42" i="23" s="1"/>
  <c r="C42" i="23"/>
  <c r="F42" i="23"/>
  <c r="F47" i="23"/>
  <c r="B47" i="23"/>
  <c r="D47" i="23" s="1"/>
  <c r="C47" i="23"/>
  <c r="C52" i="23"/>
  <c r="B52" i="23"/>
  <c r="D52" i="23"/>
  <c r="E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C26" i="23"/>
  <c r="F26" i="23"/>
  <c r="B38" i="23"/>
  <c r="D38" i="23" s="1"/>
  <c r="F38" i="23"/>
  <c r="C38" i="23"/>
  <c r="B45" i="23"/>
  <c r="D45" i="23" s="1"/>
  <c r="F45" i="23"/>
  <c r="C45" i="23"/>
  <c r="B48" i="23"/>
  <c r="D48" i="23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C18" i="23"/>
  <c r="F18" i="23"/>
  <c r="C24" i="23"/>
  <c r="B24" i="23"/>
  <c r="D24" i="23" s="1"/>
  <c r="E24" i="23" s="1"/>
  <c r="F24" i="23"/>
  <c r="C27" i="23"/>
  <c r="F27" i="23"/>
  <c r="B27" i="23"/>
  <c r="D27" i="23" s="1"/>
  <c r="C40" i="23"/>
  <c r="F40" i="23"/>
  <c r="B40" i="23"/>
  <c r="D40" i="23" s="1"/>
  <c r="E40" i="23" s="1"/>
  <c r="G40" i="23" s="1"/>
  <c r="H40" i="23" s="1" a="1"/>
  <c r="H40" i="23" s="1"/>
  <c r="B51" i="23"/>
  <c r="D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F41" i="25"/>
  <c r="B45" i="25"/>
  <c r="D45" i="25" s="1"/>
  <c r="F45" i="25"/>
  <c r="C45" i="25"/>
  <c r="C17" i="25"/>
  <c r="B17" i="25"/>
  <c r="D17" i="25" s="1"/>
  <c r="F17" i="25"/>
  <c r="B18" i="25"/>
  <c r="D18" i="25" s="1"/>
  <c r="F18" i="25"/>
  <c r="C18" i="25"/>
  <c r="C20" i="25"/>
  <c r="F20" i="25"/>
  <c r="B20" i="25"/>
  <c r="D20" i="25" s="1"/>
  <c r="C32" i="25"/>
  <c r="B32" i="25"/>
  <c r="D32" i="25" s="1"/>
  <c r="F32" i="25"/>
  <c r="B51" i="25"/>
  <c r="D51" i="25" s="1"/>
  <c r="C51" i="25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D21" i="25" s="1"/>
  <c r="F21" i="25"/>
  <c r="C21" i="25"/>
  <c r="C22" i="25"/>
  <c r="F22" i="25"/>
  <c r="B22" i="25"/>
  <c r="D22" i="25" s="1"/>
  <c r="F23" i="25"/>
  <c r="C23" i="25"/>
  <c r="B23" i="25"/>
  <c r="D23" i="25" s="1"/>
  <c r="F25" i="25"/>
  <c r="B25" i="25"/>
  <c r="D25" i="25" s="1"/>
  <c r="C25" i="25"/>
  <c r="C27" i="25"/>
  <c r="F27" i="25"/>
  <c r="B27" i="25"/>
  <c r="D27" i="25" s="1"/>
  <c r="C28" i="25"/>
  <c r="B28" i="25"/>
  <c r="D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C18" i="29"/>
  <c r="F18" i="29"/>
  <c r="B19" i="29"/>
  <c r="D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C29" i="29"/>
  <c r="F29" i="29"/>
  <c r="B30" i="29"/>
  <c r="D30" i="29" s="1"/>
  <c r="C30" i="29"/>
  <c r="F30" i="29"/>
  <c r="B31" i="29"/>
  <c r="D31" i="29" s="1"/>
  <c r="C31" i="29"/>
  <c r="F31" i="29"/>
  <c r="B32" i="29"/>
  <c r="D32" i="29" s="1"/>
  <c r="C32" i="29"/>
  <c r="F32" i="29"/>
  <c r="B33" i="29"/>
  <c r="D33" i="29" s="1"/>
  <c r="C33" i="29"/>
  <c r="F33" i="29"/>
  <c r="B34" i="29"/>
  <c r="D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E51" i="25" l="1"/>
  <c r="G51" i="25" s="1"/>
  <c r="H51" i="25" s="1" a="1"/>
  <c r="H51" i="25" s="1"/>
  <c r="E39" i="27"/>
  <c r="G39" i="27" s="1"/>
  <c r="H39" i="27" s="1" a="1"/>
  <c r="H39" i="27" s="1"/>
  <c r="E45" i="23"/>
  <c r="G45" i="23" s="1"/>
  <c r="H45" i="23" s="1" a="1"/>
  <c r="H45" i="23" s="1"/>
  <c r="E47" i="29"/>
  <c r="E20" i="1"/>
  <c r="G20" i="1" s="1"/>
  <c r="H20" i="1" s="1" a="1"/>
  <c r="H20" i="1" s="1"/>
  <c r="E23" i="1"/>
  <c r="G23" i="1" s="1"/>
  <c r="H23" i="1" s="1" a="1"/>
  <c r="H23" i="1" s="1"/>
  <c r="E24" i="1"/>
  <c r="G24" i="1" s="1"/>
  <c r="H24" i="1" s="1" a="1"/>
  <c r="H24" i="1" s="1"/>
  <c r="E25" i="1"/>
  <c r="G25" i="1" s="1"/>
  <c r="H25" i="1" s="1" a="1"/>
  <c r="H25" i="1" s="1"/>
  <c r="E26" i="1"/>
  <c r="G26" i="1" s="1"/>
  <c r="H26" i="1" s="1" a="1"/>
  <c r="H26" i="1" s="1"/>
  <c r="E31" i="1"/>
  <c r="G31" i="1" s="1"/>
  <c r="H31" i="1" s="1" a="1"/>
  <c r="H31" i="1" s="1"/>
  <c r="G48" i="1"/>
  <c r="H48" i="1" s="1" a="1"/>
  <c r="H48" i="1" s="1"/>
  <c r="E52" i="1"/>
  <c r="G52" i="1" s="1"/>
  <c r="H52" i="1" s="1" a="1"/>
  <c r="H52" i="1" s="1"/>
  <c r="E18" i="27"/>
  <c r="G18" i="27" s="1"/>
  <c r="H18" i="27" s="1" a="1"/>
  <c r="H18" i="27" s="1"/>
  <c r="E21" i="27"/>
  <c r="G21" i="27" s="1"/>
  <c r="H21" i="27" s="1" a="1"/>
  <c r="H21" i="27" s="1"/>
  <c r="E24" i="27"/>
  <c r="G24" i="27" s="1"/>
  <c r="H24" i="27" s="1" a="1"/>
  <c r="H24" i="27" s="1"/>
  <c r="E31" i="27"/>
  <c r="G31" i="27" s="1"/>
  <c r="H31" i="27" s="1" a="1"/>
  <c r="H31" i="27" s="1"/>
  <c r="E34" i="27"/>
  <c r="G34" i="27" s="1"/>
  <c r="H34" i="27" s="1" a="1"/>
  <c r="H34" i="27" s="1"/>
  <c r="E37" i="27"/>
  <c r="G37" i="27" s="1"/>
  <c r="H37" i="27" s="1" a="1"/>
  <c r="H37" i="27" s="1"/>
  <c r="E40" i="27"/>
  <c r="G40" i="27" s="1"/>
  <c r="H40" i="27" s="1" a="1"/>
  <c r="H40" i="27" s="1"/>
  <c r="E42" i="27"/>
  <c r="G42" i="27" s="1"/>
  <c r="H42" i="27" s="1" a="1"/>
  <c r="H42" i="27" s="1"/>
  <c r="E48" i="27"/>
  <c r="G48" i="27" s="1"/>
  <c r="H48" i="27" s="1" a="1"/>
  <c r="H48" i="27" s="1"/>
  <c r="E49" i="27"/>
  <c r="G49" i="27" s="1"/>
  <c r="H49" i="27" s="1" a="1"/>
  <c r="H49" i="27" s="1"/>
  <c r="E50" i="27"/>
  <c r="G50" i="27" s="1"/>
  <c r="H50" i="27" s="1" a="1"/>
  <c r="H50" i="27" s="1"/>
  <c r="E51" i="27"/>
  <c r="G51" i="27" s="1"/>
  <c r="H51" i="27" s="1" a="1"/>
  <c r="H51" i="27" s="1"/>
  <c r="G52" i="27"/>
  <c r="H52" i="27" s="1" a="1"/>
  <c r="H52" i="27" s="1"/>
  <c r="E46" i="23"/>
  <c r="G46" i="23" s="1"/>
  <c r="H46" i="23" s="1" a="1"/>
  <c r="H46" i="23" s="1"/>
  <c r="G36" i="23"/>
  <c r="H36" i="23" s="1" a="1"/>
  <c r="H36" i="23" s="1"/>
  <c r="E42" i="23"/>
  <c r="G42" i="23" s="1"/>
  <c r="H42" i="23" s="1" a="1"/>
  <c r="H42" i="23" s="1"/>
  <c r="E45" i="25"/>
  <c r="G45" i="25" s="1"/>
  <c r="H45" i="25" s="1" a="1"/>
  <c r="H45" i="25" s="1"/>
  <c r="E34" i="29"/>
  <c r="G34" i="29" s="1"/>
  <c r="H34" i="29" s="1" a="1"/>
  <c r="H34" i="29" s="1"/>
  <c r="G19" i="1"/>
  <c r="H19" i="1" s="1" a="1"/>
  <c r="H19" i="1" s="1"/>
  <c r="G43" i="1"/>
  <c r="H43" i="1" s="1" a="1"/>
  <c r="H43" i="1" s="1"/>
  <c r="G47" i="1"/>
  <c r="H47" i="1" s="1" a="1"/>
  <c r="H47" i="1" s="1"/>
  <c r="G22" i="1"/>
  <c r="H22" i="1" s="1" a="1"/>
  <c r="H22" i="1" s="1"/>
  <c r="G18" i="1"/>
  <c r="H18" i="1" s="1" a="1"/>
  <c r="H18" i="1" s="1"/>
  <c r="E47" i="23"/>
  <c r="G47" i="23" s="1"/>
  <c r="H47" i="23" s="1" a="1"/>
  <c r="H47" i="23" s="1"/>
  <c r="E46" i="27"/>
  <c r="G46" i="27" s="1"/>
  <c r="H46" i="27" s="1" a="1"/>
  <c r="H46" i="27" s="1"/>
  <c r="E43" i="27"/>
  <c r="G43" i="27" s="1"/>
  <c r="H43" i="27" s="1" a="1"/>
  <c r="H43" i="27" s="1"/>
  <c r="E32" i="1"/>
  <c r="G32" i="1" s="1"/>
  <c r="H32" i="1" s="1" a="1"/>
  <c r="H32" i="1" s="1"/>
  <c r="E30" i="1"/>
  <c r="G30" i="1" s="1"/>
  <c r="H30" i="1" s="1" a="1"/>
  <c r="H30" i="1" s="1"/>
  <c r="E35" i="1"/>
  <c r="G35" i="1" s="1"/>
  <c r="H35" i="1" s="1" a="1"/>
  <c r="H35" i="1" s="1"/>
  <c r="E28" i="1"/>
  <c r="G28" i="1" s="1"/>
  <c r="H28" i="1" s="1" a="1"/>
  <c r="H28" i="1" s="1"/>
  <c r="G17" i="1"/>
  <c r="H17" i="1" s="1" a="1"/>
  <c r="H17" i="1" s="1"/>
  <c r="E33" i="23"/>
  <c r="G33" i="23" s="1"/>
  <c r="H33" i="23" s="1" a="1"/>
  <c r="H33" i="23" s="1"/>
  <c r="G44" i="27"/>
  <c r="H44" i="27" s="1" a="1"/>
  <c r="H44" i="27" s="1"/>
  <c r="E26" i="27"/>
  <c r="G26" i="27" s="1"/>
  <c r="H26" i="27" s="1" a="1"/>
  <c r="H26" i="27" s="1"/>
  <c r="E23" i="27"/>
  <c r="G23" i="27" s="1"/>
  <c r="H23" i="27" s="1" a="1"/>
  <c r="H23" i="27" s="1"/>
  <c r="E20" i="27"/>
  <c r="G20" i="27" s="1"/>
  <c r="H20" i="27" s="1" a="1"/>
  <c r="H20" i="27" s="1"/>
  <c r="E41" i="27"/>
  <c r="G41" i="27" s="1"/>
  <c r="H41" i="27" s="1" a="1"/>
  <c r="H41" i="27" s="1"/>
  <c r="E35" i="27"/>
  <c r="G35" i="27" s="1"/>
  <c r="H35" i="27" s="1" a="1"/>
  <c r="H35" i="27" s="1"/>
  <c r="E32" i="27"/>
  <c r="G32" i="27" s="1"/>
  <c r="H32" i="27" s="1" a="1"/>
  <c r="H32" i="27" s="1"/>
  <c r="E29" i="27"/>
  <c r="G29" i="27" s="1"/>
  <c r="H29" i="27" s="1" a="1"/>
  <c r="H29" i="27" s="1"/>
  <c r="E42" i="1"/>
  <c r="G42" i="1" s="1"/>
  <c r="H42" i="1" s="1" a="1"/>
  <c r="H42" i="1" s="1"/>
  <c r="G29" i="23"/>
  <c r="H29" i="23" s="1" a="1"/>
  <c r="H29" i="23" s="1"/>
  <c r="G22" i="23"/>
  <c r="H22" i="23" s="1" a="1"/>
  <c r="H22" i="23" s="1"/>
  <c r="E36" i="1"/>
  <c r="G36" i="1" s="1"/>
  <c r="H36" i="1" s="1" a="1"/>
  <c r="H36" i="1" s="1"/>
  <c r="E21" i="1"/>
  <c r="G21" i="1" s="1"/>
  <c r="H21" i="1" s="1" a="1"/>
  <c r="H21" i="1" s="1"/>
  <c r="E28" i="25"/>
  <c r="G28" i="25" s="1"/>
  <c r="H28" i="25" s="1" a="1"/>
  <c r="H28" i="25" s="1"/>
  <c r="E17" i="25"/>
  <c r="G17" i="25" s="1"/>
  <c r="H17" i="25" s="1" a="1"/>
  <c r="H17" i="25" s="1"/>
  <c r="E25" i="27"/>
  <c r="G25" i="27" s="1"/>
  <c r="H25" i="27" s="1" a="1"/>
  <c r="H25" i="27" s="1"/>
  <c r="E19" i="27"/>
  <c r="G19" i="27" s="1"/>
  <c r="H19" i="27" s="1" a="1"/>
  <c r="H19" i="27" s="1"/>
  <c r="E44" i="1"/>
  <c r="G44" i="1" s="1"/>
  <c r="H44" i="1" s="1" a="1"/>
  <c r="H44" i="1" s="1"/>
  <c r="E39" i="1"/>
  <c r="G39" i="1" s="1"/>
  <c r="H39" i="1" s="1" a="1"/>
  <c r="H39" i="1" s="1"/>
  <c r="E32" i="29"/>
  <c r="G32" i="29" s="1"/>
  <c r="H32" i="29" s="1" a="1"/>
  <c r="H32" i="29" s="1"/>
  <c r="E20" i="25"/>
  <c r="G20" i="25" s="1"/>
  <c r="H20" i="25" s="1" a="1"/>
  <c r="H20" i="25" s="1"/>
  <c r="E35" i="25"/>
  <c r="G35" i="25" s="1"/>
  <c r="H35" i="25" s="1" a="1"/>
  <c r="H35" i="25" s="1"/>
  <c r="E41" i="23"/>
  <c r="G41" i="23" s="1"/>
  <c r="H41" i="23" s="1" a="1"/>
  <c r="H41" i="23" s="1"/>
  <c r="E17" i="27"/>
  <c r="G17" i="27" s="1"/>
  <c r="H17" i="27" s="1" a="1"/>
  <c r="H17" i="27" s="1"/>
  <c r="E29" i="1"/>
  <c r="G29" i="1" s="1"/>
  <c r="H29" i="1" s="1" a="1"/>
  <c r="H29" i="1" s="1"/>
  <c r="E26" i="29"/>
  <c r="G26" i="29" s="1"/>
  <c r="H26" i="29" s="1" a="1"/>
  <c r="H26" i="29" s="1"/>
  <c r="G41" i="25"/>
  <c r="H41" i="25" s="1" a="1"/>
  <c r="H41" i="25" s="1"/>
  <c r="G24" i="23"/>
  <c r="H24" i="23" s="1" a="1"/>
  <c r="H24" i="23" s="1"/>
  <c r="E30" i="23"/>
  <c r="G30" i="23" s="1"/>
  <c r="H30" i="23" s="1" a="1"/>
  <c r="H30" i="23" s="1"/>
  <c r="E44" i="23"/>
  <c r="G44" i="23" s="1"/>
  <c r="H44" i="23" s="1" a="1"/>
  <c r="H44" i="23" s="1"/>
  <c r="E28" i="27"/>
  <c r="G28" i="27" s="1"/>
  <c r="H28" i="27" s="1" a="1"/>
  <c r="H28" i="27" s="1"/>
  <c r="E22" i="27"/>
  <c r="G22" i="27" s="1"/>
  <c r="H22" i="27" s="1" a="1"/>
  <c r="H22" i="27" s="1"/>
  <c r="E29" i="29"/>
  <c r="G29" i="29" s="1"/>
  <c r="H29" i="29" s="1" a="1"/>
  <c r="H29" i="29" s="1"/>
  <c r="E19" i="29"/>
  <c r="G19" i="29" s="1"/>
  <c r="H19" i="29" s="1" a="1"/>
  <c r="H19" i="29" s="1"/>
  <c r="E23" i="25"/>
  <c r="G23" i="25" s="1"/>
  <c r="H23" i="25" s="1" a="1"/>
  <c r="H23" i="25" s="1"/>
  <c r="E51" i="23"/>
  <c r="G51" i="23" s="1"/>
  <c r="H51" i="23" s="1" a="1"/>
  <c r="H51" i="23" s="1"/>
  <c r="E23" i="23"/>
  <c r="G23" i="23" s="1"/>
  <c r="H23" i="23" s="1" a="1"/>
  <c r="H23" i="23" s="1"/>
  <c r="G47" i="29"/>
  <c r="H47" i="29" s="1" a="1"/>
  <c r="H47" i="29" s="1"/>
  <c r="E48" i="23"/>
  <c r="G48" i="23" s="1"/>
  <c r="H48" i="23" s="1" a="1"/>
  <c r="H48" i="23" s="1"/>
  <c r="G52" i="23"/>
  <c r="H52" i="23" s="1" a="1"/>
  <c r="H52" i="23" s="1"/>
  <c r="E47" i="27"/>
  <c r="G47" i="27" s="1"/>
  <c r="H47" i="27" s="1" a="1"/>
  <c r="H47" i="27" s="1"/>
  <c r="E27" i="27"/>
  <c r="G27" i="27" s="1"/>
  <c r="H27" i="27" s="1" a="1"/>
  <c r="H27" i="27" s="1"/>
  <c r="G27" i="1"/>
  <c r="H27" i="1" s="1" a="1"/>
  <c r="H27" i="1" s="1"/>
  <c r="E52" i="25"/>
  <c r="G52" i="25" s="1"/>
  <c r="H52" i="25" s="1" a="1"/>
  <c r="H52" i="25" s="1"/>
  <c r="E22" i="25"/>
  <c r="G22" i="25" s="1"/>
  <c r="H22" i="25" s="1" a="1"/>
  <c r="H22" i="25" s="1"/>
  <c r="E26" i="25"/>
  <c r="G26" i="25" s="1"/>
  <c r="H26" i="25" s="1" a="1"/>
  <c r="H26" i="25" s="1"/>
  <c r="E18" i="23"/>
  <c r="G18" i="23" s="1"/>
  <c r="H18" i="23" s="1" a="1"/>
  <c r="H18" i="23" s="1"/>
  <c r="E26" i="23"/>
  <c r="G26" i="23" s="1"/>
  <c r="H26" i="23" s="1" a="1"/>
  <c r="H26" i="23" s="1"/>
  <c r="G49" i="23"/>
  <c r="H49" i="23" s="1" a="1"/>
  <c r="H49" i="23" s="1"/>
  <c r="E43" i="23"/>
  <c r="G43" i="23" s="1"/>
  <c r="H43" i="23" s="1" a="1"/>
  <c r="H43" i="23" s="1"/>
  <c r="E36" i="27"/>
  <c r="G36" i="27" s="1"/>
  <c r="H36" i="27" s="1" a="1"/>
  <c r="H36" i="27" s="1"/>
  <c r="E33" i="27"/>
  <c r="G33" i="27" s="1"/>
  <c r="H33" i="27" s="1" a="1"/>
  <c r="H33" i="27" s="1"/>
  <c r="E30" i="27"/>
  <c r="G30" i="27" s="1"/>
  <c r="H30" i="27" s="1" a="1"/>
  <c r="H30" i="27" s="1"/>
  <c r="E52" i="29"/>
  <c r="G52" i="29" s="1"/>
  <c r="H52" i="29" s="1" a="1"/>
  <c r="H52" i="29" s="1"/>
  <c r="E18" i="29"/>
  <c r="G18" i="29" s="1"/>
  <c r="H18" i="29" s="1" a="1"/>
  <c r="H18" i="29" s="1"/>
  <c r="E31" i="29"/>
  <c r="G31" i="29" s="1"/>
  <c r="H31" i="29" s="1" a="1"/>
  <c r="H31" i="29" s="1"/>
  <c r="E40" i="25"/>
  <c r="G40" i="25" s="1"/>
  <c r="H40" i="25" s="1" a="1"/>
  <c r="H40" i="25" s="1"/>
  <c r="E27" i="25"/>
  <c r="G27" i="25" s="1"/>
  <c r="H27" i="25" s="1" a="1"/>
  <c r="H27" i="25" s="1"/>
  <c r="E33" i="1"/>
  <c r="G33" i="1" s="1"/>
  <c r="H33" i="1" s="1" a="1"/>
  <c r="H33" i="1" s="1"/>
  <c r="E34" i="23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G68" i="28"/>
  <c r="H47" i="24" a="1"/>
  <c r="H47" i="24" s="1"/>
  <c r="H68" i="24" s="1"/>
  <c r="H70" i="24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E38" i="27"/>
  <c r="G38" i="27" s="1"/>
  <c r="H38" i="27" s="1" a="1"/>
  <c r="H38" i="27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G68" i="21"/>
  <c r="B80" i="3"/>
  <c r="G70" i="30"/>
  <c r="H70" i="30"/>
  <c r="H68" i="26"/>
  <c r="G68" i="26"/>
  <c r="D95" i="32" a="1"/>
  <c r="D72" i="32" a="1"/>
  <c r="D29" i="32" a="1"/>
  <c r="D25" i="32" a="1"/>
  <c r="D6" i="32" a="1"/>
  <c r="D24" i="32" a="1"/>
  <c r="D7" i="32" a="1"/>
  <c r="D90" i="32" a="1"/>
  <c r="D91" i="32" a="1"/>
  <c r="D11" i="32" a="1"/>
  <c r="D73" i="32" a="1"/>
  <c r="D77" i="32" a="1"/>
  <c r="D77" i="32" l="1"/>
  <c r="D73" i="32"/>
  <c r="D6" i="32"/>
  <c r="D7" i="32"/>
  <c r="D25" i="32"/>
  <c r="D91" i="32"/>
  <c r="D90" i="32"/>
  <c r="D72" i="32"/>
  <c r="D24" i="32"/>
  <c r="D95" i="32"/>
  <c r="D11" i="32"/>
  <c r="D29" i="32"/>
  <c r="G45" i="27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B81" i="3"/>
  <c r="H70" i="26"/>
  <c r="B60" i="3"/>
  <c r="G70" i="26"/>
  <c r="D94" i="32" a="1"/>
  <c r="D42" i="32" a="1"/>
  <c r="D47" i="32" a="1"/>
  <c r="D76" i="32" a="1"/>
  <c r="D10" i="32" a="1"/>
  <c r="D43" i="32" a="1"/>
  <c r="D28" i="32" a="1"/>
  <c r="D10" i="32" l="1"/>
  <c r="D76" i="32"/>
  <c r="D47" i="32"/>
  <c r="D42" i="32"/>
  <c r="D43" i="32"/>
  <c r="D28" i="32"/>
  <c r="D94" i="32"/>
  <c r="H45" i="27" a="1"/>
  <c r="H45" i="27" s="1"/>
  <c r="H68" i="27" s="1"/>
  <c r="H70" i="27" s="1"/>
  <c r="G68" i="27"/>
  <c r="H17" i="23" a="1"/>
  <c r="H17" i="23" s="1"/>
  <c r="H68" i="23" s="1"/>
  <c r="H70" i="23" s="1"/>
  <c r="G68" i="23"/>
  <c r="H19" i="25" a="1"/>
  <c r="H19" i="25" s="1"/>
  <c r="H68" i="25" s="1"/>
  <c r="G68" i="25"/>
  <c r="B56" i="3" s="1"/>
  <c r="G68" i="29"/>
  <c r="H68" i="29"/>
  <c r="G68" i="1"/>
  <c r="H68" i="1"/>
  <c r="B61" i="3"/>
  <c r="D38" i="32" a="1"/>
  <c r="D82" i="32" a="1"/>
  <c r="D46" i="32" a="1"/>
  <c r="D34" i="32" a="1"/>
  <c r="D86" i="32" a="1"/>
  <c r="D38" i="32" l="1"/>
  <c r="D46" i="32"/>
  <c r="D86" i="32"/>
  <c r="D34" i="32"/>
  <c r="D82" i="32"/>
  <c r="B66" i="3"/>
  <c r="G70" i="27"/>
  <c r="B46" i="3"/>
  <c r="G70" i="23"/>
  <c r="G70" i="25"/>
  <c r="H70" i="25"/>
  <c r="G70" i="29"/>
  <c r="B76" i="3"/>
  <c r="H70" i="29"/>
  <c r="G70" i="1"/>
  <c r="B36" i="3"/>
  <c r="H70" i="1"/>
  <c r="D51" i="32" a="1"/>
  <c r="D15" i="32" a="1"/>
  <c r="D56" i="32" a="1"/>
  <c r="D100" i="32" a="1"/>
  <c r="D99" i="32" a="1"/>
  <c r="D52" i="32" a="1"/>
  <c r="D16" i="32" a="1"/>
  <c r="D20" i="32" a="1"/>
  <c r="D81" i="32" a="1"/>
  <c r="D104" i="32" a="1"/>
  <c r="D33" i="32" a="1"/>
  <c r="D104" i="32" l="1"/>
  <c r="D81" i="32"/>
  <c r="D99" i="32"/>
  <c r="D56" i="32"/>
  <c r="D52" i="32"/>
  <c r="D100" i="32"/>
  <c r="D33" i="32"/>
  <c r="D16" i="32"/>
  <c r="D20" i="32"/>
  <c r="D15" i="32"/>
  <c r="D51" i="32"/>
  <c r="B67" i="3"/>
  <c r="B47" i="3"/>
  <c r="B57" i="3"/>
  <c r="B77" i="3"/>
  <c r="B37" i="3"/>
  <c r="D19" i="32" a="1"/>
  <c r="D37" i="32" a="1"/>
  <c r="D85" i="32" a="1"/>
  <c r="D103" i="32" a="1"/>
  <c r="D55" i="32" a="1"/>
  <c r="D103" i="32" l="1"/>
  <c r="D55" i="32"/>
  <c r="D37" i="32"/>
  <c r="D85" i="32"/>
  <c r="D19" i="32"/>
  <c r="G3" i="6" a="1"/>
  <c r="G3" i="6" s="1"/>
  <c r="H3" i="6" a="1"/>
  <c r="B15" i="36"/>
  <c r="B16" i="36"/>
  <c r="F3" i="6" a="1"/>
  <c r="H3" i="6" l="1"/>
  <c r="I3" i="6" s="1"/>
  <c r="I19" i="6"/>
  <c r="I4" i="6"/>
  <c r="I6" i="6"/>
  <c r="I7" i="6"/>
  <c r="I9" i="6"/>
  <c r="I11" i="6"/>
  <c r="I13" i="6"/>
  <c r="I15" i="6"/>
  <c r="I16" i="6"/>
  <c r="I18" i="6"/>
  <c r="I21" i="6"/>
  <c r="I23" i="6"/>
  <c r="I25" i="6"/>
  <c r="I28" i="6"/>
  <c r="I31" i="6"/>
  <c r="I5" i="6"/>
  <c r="I8" i="6"/>
  <c r="I10" i="6"/>
  <c r="I12" i="6"/>
  <c r="I14" i="6"/>
  <c r="I17" i="6"/>
  <c r="I20" i="6"/>
  <c r="I22" i="6"/>
  <c r="I24" i="6"/>
  <c r="I26" i="6"/>
  <c r="I29" i="6"/>
  <c r="I30" i="6"/>
  <c r="I32" i="6"/>
  <c r="I27" i="6"/>
  <c r="F3" i="6"/>
  <c r="F33" i="6"/>
  <c r="B20" i="36" l="1"/>
  <c r="B19" i="36" a="1"/>
  <c r="B19" i="36" s="1"/>
  <c r="B4" i="36" s="1"/>
  <c r="B6" i="36" s="1" a="1"/>
  <c r="B6" i="36" s="1"/>
  <c r="B18" i="36"/>
  <c r="H33" i="6"/>
  <c r="I33" i="6" s="1"/>
  <c r="G3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<sst xmlns="http://schemas.openxmlformats.org/spreadsheetml/2006/main" count="3621" uniqueCount="383">
  <si>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</si>
  <si>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</si>
  <si>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</si>
  <si>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</si>
  <si>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</si>
  <si>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</si>
  <si>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</si>
  <si>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</si>
  <si>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</si>
  <si>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</si>
  <si>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</si>
  <si>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</si>
  <si>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</si>
  <si>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</si>
  <si>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</si>
  <si>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</si>
  <si>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</si>
  <si>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</si>
  <si>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</si>
  <si>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</si>
  <si>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</si>
  <si>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</si>
  <si>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</si>
  <si>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</si>
  <si>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</si>
  <si>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</si>
  <si>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</si>
  <si>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</si>
  <si>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</si>
  <si>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</si>
  <si>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</si>
  <si>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</si>
  <si>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</si>
  <si>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</si>
  <si>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</si>
  <si>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</si>
  <si>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</si>
  <si>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</si>
  <si>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</si>
  <si>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</si>
  <si>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</si>
  <si>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</si>
  <si>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</si>
  <si>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</si>
  <si>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</si>
  <si>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</si>
  <si>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</si>
  <si>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</si>
  <si>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</si>
  <si>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</si>
  <si>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</si>
  <si>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</si>
  <si>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</si>
  <si>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</si>
  <si>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</si>
  <si>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</si>
  <si>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</si>
  <si>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</si>
  <si>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</si>
  <si>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</si>
  <si>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</si>
  <si>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</si>
  <si>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</si>
  <si>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</si>
  <si>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</si>
  <si>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</si>
  <si>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</si>
  <si>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</si>
  <si>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</si>
  <si>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</si>
  <si>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</si>
  <si>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</si>
  <si>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</si>
  <si>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</si>
  <si>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</si>
  <si>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</si>
  <si>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</si>
  <si>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</si>
  <si>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</si>
  <si>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</si>
  <si>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</si>
  <si>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</si>
  <si>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</si>
  <si>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</si>
  <si>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</si>
  <si>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</si>
  <si>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</si>
  <si>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</si>
  <si>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</si>
  <si>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</si>
  <si>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</si>
  <si>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</si>
  <si>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</si>
  <si>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</si>
  <si>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</si>
  <si>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</si>
  <si>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</si>
  <si>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</si>
  <si>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</si>
  <si>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</si>
  <si>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</si>
  <si>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</si>
  <si>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</si>
  <si>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</si>
  <si>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</si>
  <si>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</si>
  <si>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</si>
  <si>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</si>
  <si>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</si>
  <si>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</si>
  <si>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</si>
  <si>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</si>
  <si>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</si>
  <si>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</si>
  <si>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</si>
  <si>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</si>
  <si>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</si>
  <si>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</si>
  <si>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</si>
  <si>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</si>
  <si>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</si>
  <si>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</si>
  <si>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</si>
  <si>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</si>
  <si>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</si>
  <si>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</si>
  <si>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</si>
  <si>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</si>
  <si>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</si>
  <si>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</si>
  <si>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</si>
  <si>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</si>
  <si>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</si>
  <si>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</si>
  <si>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</si>
  <si>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</si>
  <si>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</si>
  <si>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</si>
  <si>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</si>
  <si>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</si>
  <si>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</si>
  <si>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</si>
  <si>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4 WLE SCENARIO</t>
  </si>
  <si>
    <t>PRESENT VALUE LOSS - BASE 4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</si>
  <si>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</si>
  <si>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</si>
  <si>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</si>
  <si>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</si>
  <si>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</si>
  <si>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</si>
  <si>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</si>
  <si>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</si>
  <si>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</si>
  <si>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</si>
  <si>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</si>
  <si>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</si>
  <si>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</si>
  <si>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</si>
  <si>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</si>
  <si>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</si>
  <si>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</si>
  <si>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</si>
  <si>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</si>
  <si>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</si>
  <si>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B14</t>
  </si>
  <si>
    <t>B15</t>
  </si>
  <si>
    <t>B16</t>
  </si>
  <si>
    <t>B17</t>
  </si>
  <si>
    <t>B18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</si>
  <si>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</si>
  <si>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</si>
  <si>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</si>
  <si>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</si>
  <si>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</si>
  <si>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</si>
  <si>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</si>
  <si>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</si>
  <si>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</si>
  <si>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</si>
  <si>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</si>
  <si>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</si>
  <si>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</si>
  <si>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</si>
  <si>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</si>
  <si>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</si>
  <si>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</si>
  <si>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</si>
  <si>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</si>
  <si>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</si>
  <si>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</si>
  <si>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</si>
  <si>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</si>
  <si>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</si>
  <si>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</si>
  <si>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</si>
  <si>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</si>
  <si>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</si>
  <si>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</si>
  <si>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</si>
  <si>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</si>
  <si>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</si>
  <si>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</si>
  <si>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</si>
  <si>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</si>
  <si>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</si>
  <si>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</si>
  <si>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</si>
  <si>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</si>
  <si>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</si>
  <si>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</si>
  <si>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</si>
  <si>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</si>
  <si>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</si>
  <si>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</si>
  <si>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</si>
  <si>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</si>
  <si>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</si>
  <si>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</si>
  <si>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</si>
  <si>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</si>
  <si>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</si>
  <si>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</si>
  <si>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</si>
  <si>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</si>
  <si>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</si>
  <si>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</si>
  <si>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</si>
  <si>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</si>
  <si>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</si>
  <si>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</si>
  <si>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</si>
  <si>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</si>
  <si>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</si>
  <si>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</si>
  <si>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</si>
  <si>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</si>
  <si>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</si>
  <si>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</si>
  <si>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</si>
  <si>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</si>
  <si>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</si>
  <si>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</si>
  <si>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</si>
  <si>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</si>
  <si>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</si>
  <si>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</si>
  <si>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</si>
  <si>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</si>
  <si>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</si>
  <si>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</si>
  <si>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</si>
  <si>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</si>
  <si>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</si>
  <si>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</si>
  <si>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</si>
  <si>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</si>
  <si>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</si>
  <si>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</si>
  <si>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</si>
  <si>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</si>
  <si>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</si>
  <si>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</si>
  <si>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</si>
  <si>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</si>
  <si>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</si>
  <si>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</si>
  <si>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</si>
  <si>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</si>
  <si>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</si>
  <si>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</si>
  <si>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</si>
  <si>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</si>
  <si>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</si>
  <si>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</si>
  <si>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</si>
  <si>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</si>
  <si>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</si>
  <si>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</si>
  <si>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</si>
  <si>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</si>
  <si>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</si>
  <si>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</si>
  <si>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</si>
  <si>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</si>
  <si>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</si>
  <si>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</si>
  <si>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</si>
  <si>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</si>
  <si>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</si>
  <si>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</si>
  <si>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</si>
  <si>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</si>
  <si>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</si>
  <si>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</si>
  <si>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</si>
  <si>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</si>
  <si>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</si>
  <si>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</si>
  <si>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</si>
  <si>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</si>
  <si>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</si>
  <si>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</si>
  <si>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</si>
  <si>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</si>
  <si>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</si>
  <si>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</si>
  <si>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</si>
  <si>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</si>
  <si>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</si>
  <si>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</si>
  <si>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</si>
  <si>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</si>
  <si>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</si>
  <si>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</si>
  <si>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</si>
  <si>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</si>
  <si>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</si>
  <si>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</si>
  <si>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</si>
  <si>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</si>
  <si>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</si>
  <si>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</si>
  <si>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</si>
  <si>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</si>
  <si>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</si>
  <si>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</si>
  <si>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</si>
  <si>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</si>
  <si>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</si>
  <si>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</si>
  <si>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</si>
  <si>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</si>
  <si>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John Smith</t>
  </si>
  <si>
    <t>WLE_DiscRates_Chart</t>
  </si>
  <si>
    <t>ToAge_DiscRates_Chart</t>
  </si>
  <si>
    <t>3.004</t>
  </si>
  <si>
    <t>3.108</t>
  </si>
  <si>
    <t>4.422</t>
  </si>
  <si>
    <t>4.436</t>
  </si>
  <si>
    <t>4.460</t>
  </si>
  <si>
    <t>2.576</t>
  </si>
  <si>
    <t>2.580</t>
  </si>
  <si>
    <t>2.626</t>
  </si>
  <si>
    <t>2.678</t>
  </si>
  <si>
    <t>2.750</t>
  </si>
  <si>
    <t>2.850</t>
  </si>
  <si>
    <t>2.914</t>
  </si>
  <si>
    <t>3.200</t>
  </si>
  <si>
    <t>3.297</t>
  </si>
  <si>
    <t>3.370</t>
  </si>
  <si>
    <t>3.451</t>
  </si>
  <si>
    <t>3.501</t>
  </si>
  <si>
    <t>3.609</t>
  </si>
  <si>
    <t>3.741</t>
  </si>
  <si>
    <t>3.873</t>
  </si>
  <si>
    <t>4.010</t>
  </si>
  <si>
    <t>4.133</t>
  </si>
  <si>
    <t>4.214</t>
  </si>
  <si>
    <t>4.280</t>
  </si>
  <si>
    <t>4.325</t>
  </si>
  <si>
    <t>4.377</t>
  </si>
  <si>
    <t>4.399</t>
  </si>
  <si>
    <t>4.466</t>
  </si>
  <si>
    <t>4.486</t>
  </si>
  <si>
    <t>TO AGE</t>
  </si>
  <si>
    <t>WLE</t>
  </si>
  <si>
    <t>Discount Rate (Percentage)</t>
  </si>
  <si>
    <t>HelperCells</t>
  </si>
  <si>
    <t>B31</t>
  </si>
  <si>
    <t>B32</t>
  </si>
  <si>
    <t>PV2_toage_DR_year_min_disc_rate</t>
  </si>
  <si>
    <t>PV2_toage_DR_year_max_disc_rate</t>
  </si>
  <si>
    <t>PV2_WLE_DR_year_min_disc_rate</t>
  </si>
  <si>
    <t>PV2_WLE_DR_year_max_disc_rate</t>
  </si>
  <si>
    <t>PV2_WLE_DR_year_min</t>
  </si>
  <si>
    <t>PV2_WLE_DR_year_max</t>
  </si>
  <si>
    <t>PV2_toage_DR_year_min</t>
  </si>
  <si>
    <t>PV2_toage_DR_year_max</t>
  </si>
  <si>
    <t>PV2_WLE_DR_year_max_partial</t>
  </si>
  <si>
    <t>PV2_toage_DR_year_max_partial</t>
  </si>
  <si>
    <t>B27</t>
  </si>
  <si>
    <t>B28</t>
  </si>
  <si>
    <t>B29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</si>
</sst>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  <numFmt numFmtId="172" formatCode="0.00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sz val="8"/>
      <color rgb="FF000000"/>
      <name val="Segoe UI"/>
      <charset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5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70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1" borderId="0" xfId="0" applyFont="1" applyFill="1"/>
    <xf numFmtId="166" fontId="8" fillId="11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9" borderId="0" xfId="0" applyFont="1" applyFill="1"/>
    <xf numFmtId="0" fontId="0" fillId="11" borderId="0" xfId="0" applyFill="1"/>
    <xf numFmtId="169" fontId="0" fillId="0" borderId="0" xfId="0" applyNumberFormat="1"/>
    <xf numFmtId="10" fontId="0" fillId="12" borderId="0" xfId="0" applyNumberFormat="1" applyFill="1"/>
    <xf numFmtId="0" fontId="14" fillId="0" borderId="0" xfId="0" applyFont="1"/>
    <xf numFmtId="166" fontId="0" fillId="12" borderId="0" xfId="0" applyNumberFormat="1" applyFill="1"/>
    <xf numFmtId="0" fontId="11" fillId="15" borderId="0" xfId="0" applyFont="1" applyFill="1"/>
    <xf numFmtId="0" fontId="11" fillId="16" borderId="0" xfId="0" applyFont="1" applyFill="1"/>
    <xf numFmtId="0" fontId="15" fillId="17" borderId="0" xfId="0" applyFont="1" applyFill="1"/>
    <xf numFmtId="0" fontId="15" fillId="18" borderId="0" xfId="0" applyFont="1" applyFill="1"/>
    <xf numFmtId="0" fontId="0" fillId="19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44" fontId="19" fillId="0" borderId="6" xfId="4" applyFont="1" applyBorder="1"/>
    <xf numFmtId="44" fontId="19" fillId="0" borderId="8" xfId="4" applyFont="1" applyBorder="1"/>
    <xf numFmtId="167" fontId="0" fillId="8" borderId="0" xfId="0" applyNumberFormat="1" applyFill="1" applyAlignment="1">
      <alignment vertical="center"/>
    </xf>
    <xf numFmtId="1" fontId="0" fillId="12" borderId="0" xfId="0" applyNumberFormat="1" applyFill="1" applyAlignment="1">
      <alignment vertical="center"/>
    </xf>
    <xf numFmtId="0" fontId="3" fillId="8" borderId="0" xfId="0" applyFont="1" applyFill="1" applyAlignment="1">
      <alignment horizontal="right" vertical="center"/>
    </xf>
    <xf numFmtId="0" fontId="3" fillId="0" borderId="0" xfId="5"/>
    <xf numFmtId="0" fontId="3" fillId="0" borderId="0" xfId="5" applyAlignment="1">
      <alignment vertical="center"/>
    </xf>
    <xf numFmtId="0" fontId="21" fillId="23" borderId="16" xfId="5" applyFont="1" applyFill="1" applyBorder="1" applyAlignment="1">
      <alignment horizontal="center" vertical="center"/>
    </xf>
    <xf numFmtId="0" fontId="22" fillId="23" borderId="17" xfId="5" applyFont="1" applyFill="1" applyBorder="1" applyAlignment="1">
      <alignment horizontal="center" vertical="center"/>
    </xf>
    <xf numFmtId="0" fontId="22" fillId="23" borderId="18" xfId="5" applyFont="1" applyFill="1" applyBorder="1" applyAlignment="1">
      <alignment horizontal="center" vertical="center"/>
    </xf>
    <xf numFmtId="0" fontId="22" fillId="23" borderId="19" xfId="5" applyFont="1" applyFill="1" applyBorder="1" applyAlignment="1">
      <alignment horizontal="center" vertical="center"/>
    </xf>
    <xf numFmtId="0" fontId="22" fillId="23" borderId="20" xfId="5" applyFont="1" applyFill="1" applyBorder="1" applyAlignment="1">
      <alignment horizontal="center" vertical="center"/>
    </xf>
    <xf numFmtId="0" fontId="23" fillId="24" borderId="21" xfId="5" applyFont="1" applyFill="1" applyBorder="1" applyAlignment="1">
      <alignment horizontal="center" vertical="center"/>
    </xf>
    <xf numFmtId="0" fontId="24" fillId="0" borderId="22" xfId="5" applyFont="1" applyBorder="1" applyAlignment="1">
      <alignment horizont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 vertical="center"/>
    </xf>
    <xf numFmtId="0" fontId="24" fillId="0" borderId="25" xfId="5" applyFont="1" applyBorder="1" applyAlignment="1">
      <alignment horizontal="center" vertical="center"/>
    </xf>
    <xf numFmtId="0" fontId="23" fillId="26" borderId="26" xfId="5" applyFont="1" applyFill="1" applyBorder="1" applyAlignment="1">
      <alignment horizontal="center" vertical="center"/>
    </xf>
    <xf numFmtId="0" fontId="24" fillId="0" borderId="27" xfId="5" applyFont="1" applyBorder="1"/>
    <xf numFmtId="0" fontId="24" fillId="0" borderId="28" xfId="5" applyFont="1" applyBorder="1"/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3" fillId="24" borderId="26" xfId="5" applyFont="1" applyFill="1" applyBorder="1" applyAlignment="1">
      <alignment horizontal="center" vertical="center"/>
    </xf>
    <xf numFmtId="0" fontId="23" fillId="25" borderId="26" xfId="5" applyFont="1" applyFill="1" applyBorder="1" applyAlignment="1">
      <alignment horizontal="center" vertical="center"/>
    </xf>
    <xf numFmtId="0" fontId="23" fillId="25" borderId="21" xfId="5" applyFont="1" applyFill="1" applyBorder="1" applyAlignment="1">
      <alignment horizontal="center" vertical="center"/>
    </xf>
    <xf numFmtId="0" fontId="24" fillId="0" borderId="31" xfId="5" applyFont="1" applyBorder="1"/>
    <xf numFmtId="0" fontId="24" fillId="0" borderId="32" xfId="5" applyFont="1" applyBorder="1"/>
    <xf numFmtId="0" fontId="24" fillId="0" borderId="33" xfId="5" applyFont="1" applyBorder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24" fillId="25" borderId="26" xfId="5" applyFont="1" applyFill="1" applyBorder="1" applyAlignment="1">
      <alignment horizontal="center" vertical="center"/>
    </xf>
    <xf numFmtId="0" fontId="0" fillId="12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7" borderId="36" xfId="0" applyFont="1" applyFill="1" applyBorder="1"/>
    <xf numFmtId="0" fontId="11" fillId="28" borderId="0" xfId="0" applyFont="1" applyFill="1"/>
    <xf numFmtId="0" fontId="11" fillId="28" borderId="36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7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2" borderId="0" xfId="0" applyNumberFormat="1" applyFill="1"/>
    <xf numFmtId="0" fontId="28" fillId="30" borderId="0" xfId="0" applyFont="1" applyFill="1"/>
    <xf numFmtId="0" fontId="28" fillId="30" borderId="36" xfId="0" applyFont="1" applyFill="1" applyBorder="1"/>
    <xf numFmtId="0" fontId="12" fillId="0" borderId="0" xfId="0" applyFont="1" applyAlignment="1">
      <alignment wrapText="1"/>
    </xf>
    <xf numFmtId="0" fontId="26" fillId="31" borderId="37" xfId="0" applyFont="1" applyFill="1" applyBorder="1" applyAlignment="1">
      <alignment horizontal="left"/>
    </xf>
    <xf numFmtId="0" fontId="26" fillId="31" borderId="39" xfId="0" applyFont="1" applyFill="1" applyBorder="1" applyAlignment="1">
      <alignment horizontal="left"/>
    </xf>
    <xf numFmtId="0" fontId="26" fillId="29" borderId="38" xfId="0" applyFont="1" applyFill="1" applyBorder="1" applyAlignment="1">
      <alignment horizontal="left"/>
    </xf>
    <xf numFmtId="0" fontId="26" fillId="29" borderId="35" xfId="0" applyFont="1" applyFill="1" applyBorder="1" applyAlignment="1">
      <alignment horizontal="left"/>
    </xf>
    <xf numFmtId="0" fontId="26" fillId="31" borderId="38" xfId="0" applyFont="1" applyFill="1" applyBorder="1" applyAlignment="1">
      <alignment horizontal="left"/>
    </xf>
    <xf numFmtId="0" fontId="26" fillId="31" borderId="35" xfId="0" applyFont="1" applyFill="1" applyBorder="1" applyAlignment="1">
      <alignment horizontal="left"/>
    </xf>
    <xf numFmtId="169" fontId="26" fillId="31" borderId="39" xfId="0" applyNumberFormat="1" applyFont="1" applyFill="1" applyBorder="1" applyAlignment="1">
      <alignment horizontal="left"/>
    </xf>
    <xf numFmtId="169" fontId="26" fillId="29" borderId="35" xfId="0" applyNumberFormat="1" applyFont="1" applyFill="1" applyBorder="1" applyAlignment="1">
      <alignment horizontal="left"/>
    </xf>
    <xf numFmtId="169" fontId="26" fillId="31" borderId="35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3" borderId="40" xfId="5" applyFont="1" applyFill="1" applyBorder="1" applyAlignment="1">
      <alignment horizontal="center" vertical="center"/>
    </xf>
    <xf numFmtId="0" fontId="23" fillId="26" borderId="42" xfId="5" applyFont="1" applyFill="1" applyBorder="1" applyAlignment="1">
      <alignment horizontal="left" vertical="center"/>
    </xf>
    <xf numFmtId="0" fontId="23" fillId="24" borderId="42" xfId="5" applyFont="1" applyFill="1" applyBorder="1" applyAlignment="1">
      <alignment horizontal="left" vertical="center"/>
    </xf>
    <xf numFmtId="0" fontId="23" fillId="25" borderId="42" xfId="5" applyFont="1" applyFill="1" applyBorder="1" applyAlignment="1">
      <alignment horizontal="left" vertical="center"/>
    </xf>
    <xf numFmtId="0" fontId="24" fillId="6" borderId="42" xfId="5" applyFont="1" applyFill="1" applyBorder="1" applyAlignment="1">
      <alignment horizontal="left" vertical="center"/>
    </xf>
    <xf numFmtId="0" fontId="24" fillId="25" borderId="42" xfId="5" applyFont="1" applyFill="1" applyBorder="1" applyAlignment="1">
      <alignment horizontal="left" vertical="center"/>
    </xf>
    <xf numFmtId="0" fontId="21" fillId="23" borderId="3" xfId="5" applyFont="1" applyFill="1" applyBorder="1" applyAlignment="1">
      <alignment horizontal="center" vertical="center"/>
    </xf>
    <xf numFmtId="0" fontId="24" fillId="25" borderId="43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44" fontId="24" fillId="25" borderId="43" xfId="3" applyFont="1" applyFill="1" applyBorder="1" applyAlignment="1">
      <alignment horizontal="center" vertical="center"/>
    </xf>
    <xf numFmtId="10" fontId="24" fillId="6" borderId="43" xfId="6" applyNumberFormat="1" applyFont="1" applyFill="1" applyBorder="1" applyAlignment="1">
      <alignment horizontal="center" vertical="center"/>
    </xf>
    <xf numFmtId="44" fontId="24" fillId="6" borderId="43" xfId="3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left" vertical="center"/>
    </xf>
    <xf numFmtId="0" fontId="24" fillId="6" borderId="45" xfId="5" applyFont="1" applyFill="1" applyBorder="1" applyAlignment="1">
      <alignment horizontal="center" vertical="center"/>
    </xf>
    <xf numFmtId="0" fontId="24" fillId="6" borderId="46" xfId="5" applyFont="1" applyFill="1" applyBorder="1" applyAlignment="1">
      <alignment horizontal="center" vertical="center"/>
    </xf>
    <xf numFmtId="0" fontId="23" fillId="25" borderId="41" xfId="5" applyFont="1" applyFill="1" applyBorder="1" applyAlignment="1">
      <alignment horizontal="left" vertical="center"/>
    </xf>
    <xf numFmtId="0" fontId="23" fillId="6" borderId="26" xfId="5" applyFont="1" applyFill="1" applyBorder="1" applyAlignment="1">
      <alignment horizontal="center" vertical="center"/>
    </xf>
    <xf numFmtId="0" fontId="23" fillId="26" borderId="21" xfId="5" applyFont="1" applyFill="1" applyBorder="1" applyAlignment="1">
      <alignment horizontal="center" vertical="center"/>
    </xf>
    <xf numFmtId="9" fontId="24" fillId="25" borderId="43" xfId="6" applyFont="1" applyFill="1" applyBorder="1" applyAlignment="1">
      <alignment horizontal="center" vertical="center"/>
    </xf>
    <xf numFmtId="0" fontId="23" fillId="6" borderId="42" xfId="5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7" applyNumberFormat="1" applyFont="1" applyAlignment="1">
      <alignment horizontal="center"/>
    </xf>
    <xf numFmtId="171" fontId="30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5" fontId="30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5" fontId="30" fillId="0" borderId="0" xfId="0" applyNumberFormat="1" applyFont="1"/>
    <xf numFmtId="0" fontId="33" fillId="0" borderId="0" xfId="0" applyFont="1"/>
    <xf numFmtId="169" fontId="30" fillId="0" borderId="0" xfId="0" applyNumberFormat="1" applyFont="1" applyAlignment="1">
      <alignment horizontal="center"/>
    </xf>
    <xf numFmtId="9" fontId="24" fillId="25" borderId="43" xfId="5" applyNumberFormat="1" applyFont="1" applyFill="1" applyBorder="1" applyAlignment="1">
      <alignment horizontal="center" vertical="center"/>
    </xf>
    <xf numFmtId="9" fontId="24" fillId="6" borderId="43" xfId="5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0" fillId="8" borderId="0" xfId="0" applyFill="1" applyAlignment="1">
      <alignment horizontal="right" vertical="center"/>
    </xf>
    <xf numFmtId="2" fontId="30" fillId="0" borderId="0" xfId="0" applyNumberFormat="1" applyFont="1" applyAlignment="1">
      <alignment horizontal="center"/>
    </xf>
    <xf numFmtId="172" fontId="0" fillId="0" borderId="0" xfId="0" applyNumberFormat="1" applyAlignment="1">
      <alignment horizontal="left"/>
    </xf>
    <xf numFmtId="2" fontId="0" fillId="0" borderId="0" xfId="0" applyNumberFormat="1"/>
    <xf numFmtId="2" fontId="0" fillId="32" borderId="0" xfId="0" applyNumberFormat="1" applyFill="1" applyAlignment="1">
      <alignment vertical="center"/>
    </xf>
    <xf numFmtId="166" fontId="0" fillId="8" borderId="0" xfId="0" applyNumberFormat="1" applyFill="1" applyAlignment="1">
      <alignment vertical="center"/>
    </xf>
    <xf numFmtId="1" fontId="0" fillId="32" borderId="0" xfId="0" applyNumberFormat="1" applyFill="1" applyAlignment="1">
      <alignment vertical="center"/>
    </xf>
    <xf numFmtId="0" fontId="24" fillId="6" borderId="21" xfId="5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20" borderId="9" xfId="5" applyFont="1" applyFill="1" applyBorder="1" applyAlignment="1">
      <alignment horizontal="center" vertical="center"/>
    </xf>
    <xf numFmtId="0" fontId="20" fillId="20" borderId="10" xfId="5" applyFont="1" applyFill="1" applyBorder="1" applyAlignment="1">
      <alignment horizontal="center" vertical="center"/>
    </xf>
    <xf numFmtId="0" fontId="20" fillId="20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1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2" borderId="15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33" borderId="47" xfId="0" applyFont="1" applyFill="1" applyBorder="1"/>
    <xf numFmtId="0" fontId="11" fillId="33" borderId="48" xfId="0" applyFont="1" applyFill="1" applyBorder="1"/>
    <xf numFmtId="0" fontId="11" fillId="33" borderId="49" xfId="0" applyFont="1" applyFill="1" applyBorder="1"/>
    <xf numFmtId="0" fontId="8" fillId="14" borderId="50" xfId="0" applyFont="1" applyFill="1" applyBorder="1"/>
    <xf numFmtId="0" fontId="0" fillId="0" borderId="51" xfId="0" applyBorder="1"/>
    <xf numFmtId="0" fontId="0" fillId="0" borderId="52" xfId="0" applyBorder="1"/>
    <xf numFmtId="0" fontId="8" fillId="13" borderId="0" xfId="0" applyFont="1" applyFill="1"/>
    <xf numFmtId="0" fontId="8" fillId="10" borderId="0" xfId="0" applyFont="1" applyFill="1"/>
    <xf numFmtId="0" fontId="17" fillId="10" borderId="0" xfId="0" applyFont="1" applyFill="1"/>
    <xf numFmtId="0" fontId="9" fillId="0" borderId="0" xfId="0" applyFont="1"/>
    <xf numFmtId="0" fontId="16" fillId="19" borderId="0" xfId="0" applyFont="1" applyFill="1"/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color auto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[0]!WLE_DiscRates_PercentageColumn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[0]!ToAge_DiscRates_YearColumn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[0]!ToAge_DiscRates_PercentageColumn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2830857</xdr:colOff>
      <xdr:row>35</xdr:row>
      <xdr:rowOff>63476</xdr:rowOff>
    </xdr:from>
    <xdr:to>
      <xdr:col>10</xdr:col>
      <xdr:colOff>31749</xdr:colOff>
      <xdr:row>53</xdr:row>
      <xdr:rowOff>73025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0</xdr:row>
          <xdr:rowOff>190500</xdr:rowOff>
        </xdr:from>
        <xdr:to>
          <xdr:col>4</xdr:col>
          <xdr:colOff>1092200</xdr:colOff>
          <xdr:row>2</xdr:row>
          <xdr:rowOff>25400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0</xdr:row>
          <xdr:rowOff>203200</xdr:rowOff>
        </xdr:from>
        <xdr:to>
          <xdr:col>10</xdr:col>
          <xdr:colOff>127000</xdr:colOff>
          <xdr:row>2</xdr:row>
          <xdr:rowOff>12700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2692400</xdr:colOff>
          <xdr:row>35</xdr:row>
          <xdr:rowOff>12700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18" dataDxfId="16" headerRowBorderDxfId="17" tableBorderDxfId="15">
  <autoFilter ref="F2:G40" xr:uid="{87538414-6763-4762-BBF9-804546B5DEDD}"/>
  <tableColumns count="2">
    <tableColumn id="1" xr3:uid="{0C030725-2329-F44D-930F-375C013EE175}" name="Worksheet Name" dataDxfId="14"/>
    <tableColumn id="2" xr3:uid="{2060DBB4-7255-ED41-8D4D-9A30CE6BE3B1}" name="Table Name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12" dataDxfId="10" headerRowBorderDxfId="11" tableBorderDxfId="9">
  <autoFilter ref="I2:J40" xr:uid="{D75A3BDE-F911-4A92-A4BD-22AB3C491593}"/>
  <tableColumns count="2">
    <tableColumn id="1" xr3:uid="{6FB64C21-1841-7C47-A951-0664ACA36D17}" name="Worksheet Name" dataDxfId="8"/>
    <tableColumn id="2" xr3:uid="{453A281E-983A-1F4E-90B1-FDDDFD508457}" name="Chart Name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6" headerRowBorderDxfId="5" tableBorderDxfId="4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3" dataCellStyle="Normal 2"/>
    <tableColumn id="2" xr3:uid="{36B1F0DE-30E0-4B2E-B4AF-2A4E88053A3C}" name="Worksheet Name" dataDxfId="2" dataCellStyle="Normal 2"/>
    <tableColumn id="3" xr3:uid="{BDFA1931-96E0-49E1-9B0A-EA50418B3A1F}" name="Cell Reference" dataDxfId="1" dataCellStyle="Normal 2"/>
    <tableColumn id="4" xr3:uid="{4885EFF1-E377-47AD-A694-79A8DF5516EE}" name="Live Cell Value" dataDxfId="0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23" dataDxfId="22">
  <autoFilter ref="A2:C32" xr:uid="{D25BA94F-F2EA-4AAE-942B-F73F6553BE39}"/>
  <tableColumns count="3">
    <tableColumn id="1" xr3:uid="{C1A8695F-31C6-45EB-A63A-D4556CD17CBE}" uniqueName="1" name="Year" queryTableFieldId="1" dataDxfId="21"/>
    <tableColumn id="2" xr3:uid="{0C883D22-FCA4-4161-892C-EF72796B8A2D}" uniqueName="2" name="Time To Marity" queryTableFieldId="2" dataDxfId="20"/>
    <tableColumn id="3" xr3:uid="{B219988D-00A9-4D12-9B24-7CA341ADC811}" uniqueName="3" name="Discount Rate (Nominal)" queryTableFieldId="3" dataDxfId="1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opLeftCell="A85" workbookViewId="0">
      <selection activeCell="H8" sqref="H8"/>
    </sheetView>
  </sheetViews>
  <sheetFormatPr baseColWidth="10" defaultColWidth="8.83203125" defaultRowHeight="13" x14ac:dyDescent="0.15"/>
  <cols>
    <col min="1" max="1" width="37.6640625" style="48" bestFit="1" customWidth="1"/>
    <col min="2" max="2" width="22.83203125" style="48" bestFit="1" customWidth="1"/>
    <col min="3" max="3" width="17.33203125" style="48" customWidth="1"/>
    <col min="4" max="4" width="20.6640625" style="48" customWidth="1"/>
    <col min="5" max="5" width="8.83203125" style="48"/>
    <col min="6" max="6" width="26.33203125" style="48" customWidth="1"/>
    <col min="7" max="7" width="34.33203125" style="48" customWidth="1"/>
    <col min="8" max="8" width="8.83203125" style="48"/>
    <col min="9" max="9" width="31.5" style="48" bestFit="1" customWidth="1"/>
    <col min="10" max="10" width="25.1640625" style="48" customWidth="1"/>
    <col min="11" max="16384" width="8.83203125" style="48"/>
  </cols>
  <sheetData>
    <row r="1" spans="1:10" ht="20" x14ac:dyDescent="0.15">
      <c r="A1" s="147" t="s">
        <v>155</v>
      </c>
      <c r="B1" s="148"/>
      <c r="C1" s="148"/>
      <c r="D1" s="149"/>
      <c r="F1" s="150" t="str" cm="1">
        <f t="array" aca="1" ref="F1" ca="1">_xlfn.TEXTAFTER(_xlfn.TEXTBEFORE(CELL("filename",A1),"]"),"[") &amp; " TABLES"</f>
        <v>PV2_Current.xlsm TABLES</v>
      </c>
      <c r="G1" s="151"/>
      <c r="H1" s="49"/>
      <c r="I1" s="152" t="str" cm="1">
        <f t="array" aca="1" ref="I1" ca="1">_xlfn.TEXTAFTER(_xlfn.TEXTBEFORE(CELL("filename",D1),"]"),"[") &amp; " CHARTS"</f>
        <v>PV2_Current.xlsm CHARTS</v>
      </c>
      <c r="J1" s="153"/>
    </row>
    <row r="2" spans="1:10" ht="15" x14ac:dyDescent="0.15">
      <c r="A2" s="101" t="s">
        <v>156</v>
      </c>
      <c r="B2" s="50" t="s">
        <v>157</v>
      </c>
      <c r="C2" s="50" t="s">
        <v>158</v>
      </c>
      <c r="D2" s="107" t="s">
        <v>159</v>
      </c>
      <c r="F2" s="51" t="s">
        <v>157</v>
      </c>
      <c r="G2" s="52" t="s">
        <v>160</v>
      </c>
      <c r="I2" s="53" t="s">
        <v>157</v>
      </c>
      <c r="J2" s="54" t="s">
        <v>161</v>
      </c>
    </row>
    <row r="3" spans="1:10" ht="15" x14ac:dyDescent="0.2">
      <c r="A3" s="116" t="s">
        <v>182</v>
      </c>
      <c r="B3" s="67" t="s">
        <v>183</v>
      </c>
      <c r="C3" s="67" t="s">
        <v>177</v>
      </c>
      <c r="D3" s="110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56"/>
      <c r="G3" s="57"/>
      <c r="I3" s="58" t="s">
        <v>312</v>
      </c>
      <c r="J3" s="59" t="s">
        <v>333</v>
      </c>
    </row>
    <row r="4" spans="1:10" ht="15" x14ac:dyDescent="0.2">
      <c r="A4" s="105" t="s">
        <v>307</v>
      </c>
      <c r="B4" s="72" t="s">
        <v>183</v>
      </c>
      <c r="C4" s="144" t="s">
        <v>331</v>
      </c>
      <c r="D4" s="135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>0.25</v>
      </c>
      <c r="F4" s="61"/>
      <c r="G4" s="62"/>
      <c r="I4" s="63" t="s">
        <v>312</v>
      </c>
      <c r="J4" s="64" t="s">
        <v>334</v>
      </c>
    </row>
    <row r="5" spans="1:10" ht="15" x14ac:dyDescent="0.2">
      <c r="A5" s="102" t="s">
        <v>184</v>
      </c>
      <c r="B5" s="60" t="s">
        <v>183</v>
      </c>
      <c r="C5" s="118" t="s">
        <v>179</v>
      </c>
      <c r="D5" s="111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61"/>
      <c r="G5" s="62"/>
      <c r="I5" s="63"/>
      <c r="J5" s="64"/>
    </row>
    <row r="6" spans="1:10" ht="15" x14ac:dyDescent="0.2">
      <c r="A6" s="103" t="s">
        <v>186</v>
      </c>
      <c r="B6" s="65" t="s">
        <v>183</v>
      </c>
      <c r="C6" s="55" t="s">
        <v>243</v>
      </c>
      <c r="D6" s="11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61"/>
      <c r="G6" s="62"/>
      <c r="I6" s="63"/>
      <c r="J6" s="64"/>
    </row>
    <row r="7" spans="1:10" ht="15" x14ac:dyDescent="0.2">
      <c r="A7" s="102" t="s">
        <v>226</v>
      </c>
      <c r="B7" s="60" t="s">
        <v>183</v>
      </c>
      <c r="C7" s="118" t="s">
        <v>244</v>
      </c>
      <c r="D7" s="112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61"/>
      <c r="G7" s="62"/>
      <c r="I7" s="63"/>
      <c r="J7" s="64"/>
    </row>
    <row r="8" spans="1:10" ht="15" x14ac:dyDescent="0.2">
      <c r="A8" s="103" t="s">
        <v>185</v>
      </c>
      <c r="B8" s="65" t="s">
        <v>183</v>
      </c>
      <c r="C8" s="55" t="s">
        <v>241</v>
      </c>
      <c r="D8" s="11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61"/>
      <c r="G8" s="62"/>
      <c r="I8" s="63"/>
      <c r="J8" s="64"/>
    </row>
    <row r="9" spans="1:10" ht="15" x14ac:dyDescent="0.2">
      <c r="A9" s="102" t="s">
        <v>225</v>
      </c>
      <c r="B9" s="60" t="s">
        <v>183</v>
      </c>
      <c r="C9" s="118" t="s">
        <v>242</v>
      </c>
      <c r="D9" s="112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61"/>
      <c r="G9" s="62"/>
      <c r="I9" s="63"/>
      <c r="J9" s="64"/>
    </row>
    <row r="10" spans="1:10" ht="15" x14ac:dyDescent="0.2">
      <c r="A10" s="103" t="s">
        <v>188</v>
      </c>
      <c r="B10" s="65" t="s">
        <v>183</v>
      </c>
      <c r="C10" s="55" t="s">
        <v>245</v>
      </c>
      <c r="D10" s="11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61"/>
      <c r="G10" s="62"/>
      <c r="I10" s="63"/>
      <c r="J10" s="64"/>
    </row>
    <row r="11" spans="1:10" ht="15" x14ac:dyDescent="0.2">
      <c r="A11" s="102" t="s">
        <v>228</v>
      </c>
      <c r="B11" s="60" t="s">
        <v>183</v>
      </c>
      <c r="C11" s="60" t="s">
        <v>246</v>
      </c>
      <c r="D11" s="112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61"/>
      <c r="G11" s="62"/>
      <c r="I11" s="63"/>
      <c r="J11" s="64"/>
    </row>
    <row r="12" spans="1:10" ht="15" x14ac:dyDescent="0.2">
      <c r="A12" s="104" t="s">
        <v>175</v>
      </c>
      <c r="B12" s="66" t="s">
        <v>176</v>
      </c>
      <c r="C12" s="66" t="s">
        <v>177</v>
      </c>
      <c r="D12" s="110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100000</v>
      </c>
      <c r="F12" s="61"/>
      <c r="G12" s="62"/>
      <c r="I12" s="63"/>
      <c r="J12" s="64"/>
    </row>
    <row r="13" spans="1:10" ht="15" x14ac:dyDescent="0.2">
      <c r="A13" s="106" t="s">
        <v>302</v>
      </c>
      <c r="B13" s="73" t="s">
        <v>176</v>
      </c>
      <c r="C13" s="73" t="s">
        <v>331</v>
      </c>
      <c r="D13" s="134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0.25</v>
      </c>
      <c r="F13" s="61"/>
      <c r="G13" s="62"/>
      <c r="I13" s="63"/>
      <c r="J13" s="64"/>
    </row>
    <row r="14" spans="1:10" ht="15" x14ac:dyDescent="0.2">
      <c r="A14" s="102" t="s">
        <v>178</v>
      </c>
      <c r="B14" s="60" t="s">
        <v>176</v>
      </c>
      <c r="C14" s="60" t="s">
        <v>179</v>
      </c>
      <c r="D14" s="111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0.02</v>
      </c>
      <c r="F14" s="61"/>
      <c r="G14" s="62"/>
      <c r="I14" s="63"/>
      <c r="J14" s="64"/>
    </row>
    <row r="15" spans="1:10" ht="15" x14ac:dyDescent="0.2">
      <c r="A15" s="103" t="s">
        <v>181</v>
      </c>
      <c r="B15" s="65" t="s">
        <v>176</v>
      </c>
      <c r="C15" s="65" t="s">
        <v>243</v>
      </c>
      <c r="D15" s="110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3289923.1776453508</v>
      </c>
      <c r="F15" s="61"/>
      <c r="G15" s="62"/>
      <c r="I15" s="63"/>
      <c r="J15" s="64"/>
    </row>
    <row r="16" spans="1:10" ht="15" x14ac:dyDescent="0.2">
      <c r="A16" s="102" t="s">
        <v>224</v>
      </c>
      <c r="B16" s="60" t="s">
        <v>176</v>
      </c>
      <c r="C16" s="60" t="s">
        <v>244</v>
      </c>
      <c r="D16" s="112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2467442.3832340129</v>
      </c>
      <c r="F16" s="61"/>
      <c r="G16" s="62"/>
      <c r="I16" s="63"/>
      <c r="J16" s="64"/>
    </row>
    <row r="17" spans="1:10" ht="15" x14ac:dyDescent="0.2">
      <c r="A17" s="103" t="s">
        <v>180</v>
      </c>
      <c r="B17" s="65" t="s">
        <v>176</v>
      </c>
      <c r="C17" s="65" t="s">
        <v>241</v>
      </c>
      <c r="D17" s="110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306800</v>
      </c>
      <c r="F17" s="61"/>
      <c r="G17" s="62"/>
      <c r="I17" s="63"/>
      <c r="J17" s="64"/>
    </row>
    <row r="18" spans="1:10" ht="15" x14ac:dyDescent="0.2">
      <c r="A18" s="102" t="s">
        <v>223</v>
      </c>
      <c r="B18" s="60" t="s">
        <v>176</v>
      </c>
      <c r="C18" s="60" t="s">
        <v>242</v>
      </c>
      <c r="D18" s="112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230100</v>
      </c>
      <c r="F18" s="61"/>
      <c r="G18" s="62"/>
      <c r="I18" s="63"/>
      <c r="J18" s="64"/>
    </row>
    <row r="19" spans="1:10" ht="15" x14ac:dyDescent="0.2">
      <c r="A19" s="103" t="s">
        <v>187</v>
      </c>
      <c r="B19" s="65" t="s">
        <v>176</v>
      </c>
      <c r="C19" s="65" t="s">
        <v>245</v>
      </c>
      <c r="D19" s="110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3596723.1776453508</v>
      </c>
      <c r="F19" s="61"/>
      <c r="G19" s="62"/>
      <c r="I19" s="63"/>
      <c r="J19" s="64"/>
    </row>
    <row r="20" spans="1:10" ht="15" x14ac:dyDescent="0.2">
      <c r="A20" s="102" t="s">
        <v>227</v>
      </c>
      <c r="B20" s="60" t="s">
        <v>176</v>
      </c>
      <c r="C20" s="60" t="s">
        <v>246</v>
      </c>
      <c r="D20" s="112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2697542.3832340129</v>
      </c>
      <c r="F20" s="61"/>
      <c r="G20" s="62"/>
      <c r="I20" s="63"/>
      <c r="J20" s="64"/>
    </row>
    <row r="21" spans="1:10" ht="15" x14ac:dyDescent="0.2">
      <c r="A21" s="104" t="s">
        <v>194</v>
      </c>
      <c r="B21" s="66" t="s">
        <v>195</v>
      </c>
      <c r="C21" s="66" t="s">
        <v>177</v>
      </c>
      <c r="D21" s="110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61"/>
      <c r="G21" s="62"/>
      <c r="I21" s="63"/>
      <c r="J21" s="64"/>
    </row>
    <row r="22" spans="1:10" ht="15" x14ac:dyDescent="0.2">
      <c r="A22" s="106" t="s">
        <v>308</v>
      </c>
      <c r="B22" s="73" t="s">
        <v>195</v>
      </c>
      <c r="C22" s="73" t="s">
        <v>331</v>
      </c>
      <c r="D22" s="134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0.25</v>
      </c>
      <c r="F22" s="61"/>
      <c r="G22" s="62"/>
      <c r="I22" s="63"/>
      <c r="J22" s="64"/>
    </row>
    <row r="23" spans="1:10" ht="15" x14ac:dyDescent="0.2">
      <c r="A23" s="102" t="s">
        <v>196</v>
      </c>
      <c r="B23" s="60" t="s">
        <v>195</v>
      </c>
      <c r="C23" s="60" t="s">
        <v>179</v>
      </c>
      <c r="D23" s="111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61"/>
      <c r="G23" s="62"/>
      <c r="I23" s="63"/>
      <c r="J23" s="64"/>
    </row>
    <row r="24" spans="1:10" ht="15" x14ac:dyDescent="0.2">
      <c r="A24" s="103" t="s">
        <v>198</v>
      </c>
      <c r="B24" s="65" t="s">
        <v>195</v>
      </c>
      <c r="C24" s="65" t="s">
        <v>243</v>
      </c>
      <c r="D24" s="11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61"/>
      <c r="G24" s="62"/>
      <c r="I24" s="63"/>
      <c r="J24" s="64"/>
    </row>
    <row r="25" spans="1:10" ht="15" x14ac:dyDescent="0.2">
      <c r="A25" s="102" t="s">
        <v>232</v>
      </c>
      <c r="B25" s="60" t="s">
        <v>195</v>
      </c>
      <c r="C25" s="60" t="s">
        <v>244</v>
      </c>
      <c r="D25" s="112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61"/>
      <c r="G25" s="62"/>
      <c r="I25" s="63"/>
      <c r="J25" s="64"/>
    </row>
    <row r="26" spans="1:10" ht="15" x14ac:dyDescent="0.2">
      <c r="A26" s="103" t="s">
        <v>197</v>
      </c>
      <c r="B26" s="65" t="s">
        <v>195</v>
      </c>
      <c r="C26" s="65" t="s">
        <v>241</v>
      </c>
      <c r="D26" s="11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61"/>
      <c r="G26" s="62"/>
      <c r="I26" s="63"/>
      <c r="J26" s="64"/>
    </row>
    <row r="27" spans="1:10" ht="15" x14ac:dyDescent="0.2">
      <c r="A27" s="102" t="s">
        <v>231</v>
      </c>
      <c r="B27" s="60" t="s">
        <v>195</v>
      </c>
      <c r="C27" s="60" t="s">
        <v>242</v>
      </c>
      <c r="D27" s="112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61"/>
      <c r="G27" s="62"/>
      <c r="I27" s="63"/>
      <c r="J27" s="64"/>
    </row>
    <row r="28" spans="1:10" ht="15" x14ac:dyDescent="0.2">
      <c r="A28" s="103" t="s">
        <v>202</v>
      </c>
      <c r="B28" s="65" t="s">
        <v>195</v>
      </c>
      <c r="C28" s="65" t="s">
        <v>245</v>
      </c>
      <c r="D28" s="110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61"/>
      <c r="G28" s="62"/>
      <c r="I28" s="63"/>
      <c r="J28" s="64"/>
    </row>
    <row r="29" spans="1:10" ht="15" x14ac:dyDescent="0.2">
      <c r="A29" s="102" t="s">
        <v>234</v>
      </c>
      <c r="B29" s="60" t="s">
        <v>195</v>
      </c>
      <c r="C29" s="60" t="s">
        <v>246</v>
      </c>
      <c r="D29" s="112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61"/>
      <c r="G29" s="62"/>
      <c r="I29" s="63"/>
      <c r="J29" s="64"/>
    </row>
    <row r="30" spans="1:10" ht="15" x14ac:dyDescent="0.2">
      <c r="A30" s="104" t="s">
        <v>189</v>
      </c>
      <c r="B30" s="66" t="s">
        <v>190</v>
      </c>
      <c r="C30" s="66" t="s">
        <v>177</v>
      </c>
      <c r="D30" s="11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61"/>
      <c r="G30" s="62"/>
      <c r="I30" s="63"/>
      <c r="J30" s="64"/>
    </row>
    <row r="31" spans="1:10" ht="15" x14ac:dyDescent="0.2">
      <c r="A31" s="105" t="s">
        <v>303</v>
      </c>
      <c r="B31" s="72" t="s">
        <v>190</v>
      </c>
      <c r="C31" s="72" t="s">
        <v>331</v>
      </c>
      <c r="D31" s="135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0.25</v>
      </c>
      <c r="F31" s="61"/>
      <c r="G31" s="62"/>
      <c r="I31" s="63"/>
      <c r="J31" s="64"/>
    </row>
    <row r="32" spans="1:10" ht="15" x14ac:dyDescent="0.2">
      <c r="A32" s="102" t="s">
        <v>191</v>
      </c>
      <c r="B32" s="60" t="s">
        <v>190</v>
      </c>
      <c r="C32" s="60" t="s">
        <v>179</v>
      </c>
      <c r="D32" s="111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61"/>
      <c r="G32" s="62"/>
      <c r="I32" s="63"/>
      <c r="J32" s="64"/>
    </row>
    <row r="33" spans="1:10" ht="15" x14ac:dyDescent="0.2">
      <c r="A33" s="103" t="s">
        <v>193</v>
      </c>
      <c r="B33" s="65" t="s">
        <v>190</v>
      </c>
      <c r="C33" s="65" t="s">
        <v>243</v>
      </c>
      <c r="D33" s="110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61"/>
      <c r="G33" s="62"/>
      <c r="I33" s="63"/>
      <c r="J33" s="64"/>
    </row>
    <row r="34" spans="1:10" ht="15" x14ac:dyDescent="0.2">
      <c r="A34" s="102" t="s">
        <v>230</v>
      </c>
      <c r="B34" s="60" t="s">
        <v>190</v>
      </c>
      <c r="C34" s="60" t="s">
        <v>244</v>
      </c>
      <c r="D34" s="112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61"/>
      <c r="G34" s="62"/>
      <c r="I34" s="63"/>
      <c r="J34" s="64"/>
    </row>
    <row r="35" spans="1:10" ht="15" x14ac:dyDescent="0.2">
      <c r="A35" s="103" t="s">
        <v>192</v>
      </c>
      <c r="B35" s="65" t="s">
        <v>190</v>
      </c>
      <c r="C35" s="65" t="s">
        <v>241</v>
      </c>
      <c r="D35" s="110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61"/>
      <c r="G35" s="62"/>
      <c r="I35" s="63"/>
      <c r="J35" s="64"/>
    </row>
    <row r="36" spans="1:10" ht="15" x14ac:dyDescent="0.2">
      <c r="A36" s="102" t="s">
        <v>229</v>
      </c>
      <c r="B36" s="60" t="s">
        <v>190</v>
      </c>
      <c r="C36" s="60" t="s">
        <v>242</v>
      </c>
      <c r="D36" s="112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61"/>
      <c r="G36" s="62"/>
      <c r="I36" s="63"/>
      <c r="J36" s="64"/>
    </row>
    <row r="37" spans="1:10" ht="15" x14ac:dyDescent="0.2">
      <c r="A37" s="103" t="s">
        <v>199</v>
      </c>
      <c r="B37" s="65" t="s">
        <v>190</v>
      </c>
      <c r="C37" s="65" t="s">
        <v>245</v>
      </c>
      <c r="D37" s="110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61"/>
      <c r="G37" s="62"/>
      <c r="I37" s="63"/>
      <c r="J37" s="64"/>
    </row>
    <row r="38" spans="1:10" ht="15" x14ac:dyDescent="0.2">
      <c r="A38" s="102" t="s">
        <v>233</v>
      </c>
      <c r="B38" s="60" t="s">
        <v>190</v>
      </c>
      <c r="C38" s="60" t="s">
        <v>246</v>
      </c>
      <c r="D38" s="112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61"/>
      <c r="G38" s="62"/>
      <c r="I38" s="63"/>
      <c r="J38" s="64"/>
    </row>
    <row r="39" spans="1:10" ht="15" x14ac:dyDescent="0.2">
      <c r="A39" s="104" t="s">
        <v>208</v>
      </c>
      <c r="B39" s="66" t="s">
        <v>209</v>
      </c>
      <c r="C39" s="66" t="s">
        <v>177</v>
      </c>
      <c r="D39" s="110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61"/>
      <c r="G39" s="62"/>
      <c r="I39" s="63"/>
      <c r="J39" s="64"/>
    </row>
    <row r="40" spans="1:10" ht="16" thickBot="1" x14ac:dyDescent="0.25">
      <c r="A40" s="105" t="s">
        <v>309</v>
      </c>
      <c r="B40" s="72" t="s">
        <v>209</v>
      </c>
      <c r="C40" s="72" t="s">
        <v>331</v>
      </c>
      <c r="D40" s="135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0.25</v>
      </c>
      <c r="F40" s="68"/>
      <c r="G40" s="69"/>
      <c r="I40" s="70"/>
      <c r="J40" s="71"/>
    </row>
    <row r="41" spans="1:10" ht="15" x14ac:dyDescent="0.15">
      <c r="A41" s="102" t="s">
        <v>210</v>
      </c>
      <c r="B41" s="60" t="s">
        <v>209</v>
      </c>
      <c r="C41" s="60" t="s">
        <v>179</v>
      </c>
      <c r="D41" s="111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15">
      <c r="A42" s="103" t="s">
        <v>212</v>
      </c>
      <c r="B42" s="65" t="s">
        <v>209</v>
      </c>
      <c r="C42" s="65" t="s">
        <v>243</v>
      </c>
      <c r="D42" s="11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15">
      <c r="A43" s="102" t="s">
        <v>238</v>
      </c>
      <c r="B43" s="60" t="s">
        <v>209</v>
      </c>
      <c r="C43" s="60" t="s">
        <v>244</v>
      </c>
      <c r="D43" s="112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15">
      <c r="A44" s="103" t="s">
        <v>211</v>
      </c>
      <c r="B44" s="65" t="s">
        <v>209</v>
      </c>
      <c r="C44" s="65" t="s">
        <v>241</v>
      </c>
      <c r="D44" s="110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48" t="s">
        <v>200</v>
      </c>
    </row>
    <row r="45" spans="1:10" ht="15" x14ac:dyDescent="0.15">
      <c r="A45" s="102" t="s">
        <v>237</v>
      </c>
      <c r="B45" s="60" t="s">
        <v>209</v>
      </c>
      <c r="C45" s="60" t="s">
        <v>242</v>
      </c>
      <c r="D45" s="112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48" t="s">
        <v>201</v>
      </c>
    </row>
    <row r="46" spans="1:10" ht="15" x14ac:dyDescent="0.15">
      <c r="A46" s="103" t="s">
        <v>214</v>
      </c>
      <c r="B46" s="65" t="s">
        <v>209</v>
      </c>
      <c r="C46" s="65" t="s">
        <v>245</v>
      </c>
      <c r="D46" s="11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15">
      <c r="A47" s="102" t="s">
        <v>240</v>
      </c>
      <c r="B47" s="60" t="s">
        <v>209</v>
      </c>
      <c r="C47" s="60" t="s">
        <v>246</v>
      </c>
      <c r="D47" s="112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15">
      <c r="A48" s="104" t="s">
        <v>203</v>
      </c>
      <c r="B48" s="66" t="s">
        <v>204</v>
      </c>
      <c r="C48" s="66" t="s">
        <v>177</v>
      </c>
      <c r="D48" s="11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15">
      <c r="A49" s="106" t="s">
        <v>304</v>
      </c>
      <c r="B49" s="73" t="s">
        <v>204</v>
      </c>
      <c r="C49" s="73" t="s">
        <v>331</v>
      </c>
      <c r="D49" s="134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0.25</v>
      </c>
    </row>
    <row r="50" spans="1:4" ht="15" x14ac:dyDescent="0.15">
      <c r="A50" s="102" t="s">
        <v>205</v>
      </c>
      <c r="B50" s="60" t="s">
        <v>204</v>
      </c>
      <c r="C50" s="60" t="s">
        <v>179</v>
      </c>
      <c r="D50" s="111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15">
      <c r="A51" s="103" t="s">
        <v>207</v>
      </c>
      <c r="B51" s="65" t="s">
        <v>204</v>
      </c>
      <c r="C51" s="65" t="s">
        <v>243</v>
      </c>
      <c r="D51" s="110" t="str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/>
      </c>
    </row>
    <row r="52" spans="1:4" ht="15" x14ac:dyDescent="0.15">
      <c r="A52" s="102" t="s">
        <v>236</v>
      </c>
      <c r="B52" s="60" t="s">
        <v>204</v>
      </c>
      <c r="C52" s="60" t="s">
        <v>244</v>
      </c>
      <c r="D52" s="112" t="str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/>
      </c>
    </row>
    <row r="53" spans="1:4" ht="15" x14ac:dyDescent="0.15">
      <c r="A53" s="103" t="s">
        <v>206</v>
      </c>
      <c r="B53" s="65" t="s">
        <v>204</v>
      </c>
      <c r="C53" s="65" t="s">
        <v>241</v>
      </c>
      <c r="D53" s="110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15">
      <c r="A54" s="102" t="s">
        <v>235</v>
      </c>
      <c r="B54" s="60" t="s">
        <v>204</v>
      </c>
      <c r="C54" s="60" t="s">
        <v>242</v>
      </c>
      <c r="D54" s="112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15">
      <c r="A55" s="103" t="s">
        <v>213</v>
      </c>
      <c r="B55" s="65" t="s">
        <v>204</v>
      </c>
      <c r="C55" s="65" t="s">
        <v>245</v>
      </c>
      <c r="D55" s="110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15">
      <c r="A56" s="102" t="s">
        <v>239</v>
      </c>
      <c r="B56" s="60" t="s">
        <v>204</v>
      </c>
      <c r="C56" s="60" t="s">
        <v>246</v>
      </c>
      <c r="D56" s="112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15">
      <c r="A57" s="103" t="s">
        <v>290</v>
      </c>
      <c r="B57" s="65" t="s">
        <v>162</v>
      </c>
      <c r="C57" s="65" t="s">
        <v>163</v>
      </c>
      <c r="D57" s="108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22.93</v>
      </c>
    </row>
    <row r="58" spans="1:4" ht="15" x14ac:dyDescent="0.15">
      <c r="A58" s="103" t="s">
        <v>298</v>
      </c>
      <c r="B58" s="65" t="s">
        <v>162</v>
      </c>
      <c r="C58" s="65" t="s">
        <v>171</v>
      </c>
      <c r="D58" s="10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80</v>
      </c>
    </row>
    <row r="59" spans="1:4" ht="15" x14ac:dyDescent="0.15">
      <c r="A59" s="102" t="s">
        <v>291</v>
      </c>
      <c r="B59" s="60" t="s">
        <v>162</v>
      </c>
      <c r="C59" s="117" t="s">
        <v>164</v>
      </c>
      <c r="D59" s="109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25</v>
      </c>
    </row>
    <row r="60" spans="1:4" ht="15" x14ac:dyDescent="0.15">
      <c r="A60" s="103" t="s">
        <v>292</v>
      </c>
      <c r="B60" s="65" t="s">
        <v>162</v>
      </c>
      <c r="C60" s="65" t="s">
        <v>165</v>
      </c>
      <c r="D60" s="10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54.9</v>
      </c>
    </row>
    <row r="61" spans="1:4" ht="15" x14ac:dyDescent="0.15">
      <c r="A61" s="102" t="s">
        <v>293</v>
      </c>
      <c r="B61" s="60" t="s">
        <v>162</v>
      </c>
      <c r="C61" s="117" t="s">
        <v>166</v>
      </c>
      <c r="D61" s="109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52.83</v>
      </c>
    </row>
    <row r="62" spans="1:4" ht="15" x14ac:dyDescent="0.15">
      <c r="A62" s="102" t="s">
        <v>299</v>
      </c>
      <c r="B62" s="60" t="s">
        <v>162</v>
      </c>
      <c r="C62" s="60" t="s">
        <v>172</v>
      </c>
      <c r="D62" s="109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55</v>
      </c>
    </row>
    <row r="63" spans="1:4" ht="15" x14ac:dyDescent="0.15">
      <c r="A63" s="104" t="s">
        <v>300</v>
      </c>
      <c r="B63" s="66" t="s">
        <v>162</v>
      </c>
      <c r="C63" s="66" t="s">
        <v>173</v>
      </c>
      <c r="D63" s="108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55</v>
      </c>
    </row>
    <row r="64" spans="1:4" ht="15" x14ac:dyDescent="0.15">
      <c r="A64" s="102" t="s">
        <v>301</v>
      </c>
      <c r="B64" s="60" t="s">
        <v>162</v>
      </c>
      <c r="C64" s="60" t="s">
        <v>174</v>
      </c>
      <c r="D64" s="109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15">
      <c r="A65" s="103" t="s">
        <v>294</v>
      </c>
      <c r="B65" s="65" t="s">
        <v>162</v>
      </c>
      <c r="C65" s="65" t="s">
        <v>167</v>
      </c>
      <c r="D65" s="108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37.26</v>
      </c>
    </row>
    <row r="66" spans="1:4" ht="15" x14ac:dyDescent="0.15">
      <c r="A66" s="102" t="s">
        <v>295</v>
      </c>
      <c r="B66" s="60" t="s">
        <v>162</v>
      </c>
      <c r="C66" s="117" t="s">
        <v>168</v>
      </c>
      <c r="D66" s="109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35.19</v>
      </c>
    </row>
    <row r="67" spans="1:4" ht="15" x14ac:dyDescent="0.15">
      <c r="A67" s="104" t="s">
        <v>296</v>
      </c>
      <c r="B67" s="66" t="s">
        <v>162</v>
      </c>
      <c r="C67" s="66" t="s">
        <v>169</v>
      </c>
      <c r="D67" s="108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35</v>
      </c>
    </row>
    <row r="68" spans="1:4" ht="15" x14ac:dyDescent="0.15">
      <c r="A68" s="102" t="s">
        <v>297</v>
      </c>
      <c r="B68" s="60" t="s">
        <v>162</v>
      </c>
      <c r="C68" s="117" t="s">
        <v>170</v>
      </c>
      <c r="D68" s="109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0.18999999999999773</v>
      </c>
    </row>
    <row r="69" spans="1:4" ht="15" x14ac:dyDescent="0.15">
      <c r="A69" s="104" t="s">
        <v>217</v>
      </c>
      <c r="B69" s="66" t="s">
        <v>327</v>
      </c>
      <c r="C69" s="66" t="s">
        <v>177</v>
      </c>
      <c r="D69" s="110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15">
      <c r="A70" s="106" t="s">
        <v>310</v>
      </c>
      <c r="B70" s="73" t="s">
        <v>327</v>
      </c>
      <c r="C70" s="73" t="s">
        <v>331</v>
      </c>
      <c r="D70" s="134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0.25</v>
      </c>
    </row>
    <row r="71" spans="1:4" ht="15" x14ac:dyDescent="0.15">
      <c r="A71" s="102" t="s">
        <v>218</v>
      </c>
      <c r="B71" s="60" t="s">
        <v>327</v>
      </c>
      <c r="C71" s="60" t="s">
        <v>179</v>
      </c>
      <c r="D71" s="111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15">
      <c r="A72" s="103" t="s">
        <v>262</v>
      </c>
      <c r="B72" s="65" t="s">
        <v>327</v>
      </c>
      <c r="C72" s="65" t="s">
        <v>243</v>
      </c>
      <c r="D72" s="110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15">
      <c r="A73" s="102" t="s">
        <v>263</v>
      </c>
      <c r="B73" s="60" t="s">
        <v>327</v>
      </c>
      <c r="C73" s="60" t="s">
        <v>244</v>
      </c>
      <c r="D73" s="112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15">
      <c r="A74" s="103" t="s">
        <v>260</v>
      </c>
      <c r="B74" s="65" t="s">
        <v>327</v>
      </c>
      <c r="C74" s="65" t="s">
        <v>241</v>
      </c>
      <c r="D74" s="11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15">
      <c r="A75" s="102" t="s">
        <v>261</v>
      </c>
      <c r="B75" s="60" t="s">
        <v>327</v>
      </c>
      <c r="C75" s="60" t="s">
        <v>242</v>
      </c>
      <c r="D75" s="112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15">
      <c r="A76" s="106" t="s">
        <v>266</v>
      </c>
      <c r="B76" s="65" t="s">
        <v>327</v>
      </c>
      <c r="C76" s="73" t="s">
        <v>245</v>
      </c>
      <c r="D76" s="11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15">
      <c r="A77" s="105" t="s">
        <v>255</v>
      </c>
      <c r="B77" s="60" t="s">
        <v>327</v>
      </c>
      <c r="C77" s="72" t="s">
        <v>246</v>
      </c>
      <c r="D77" s="112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15">
      <c r="A78" s="104" t="s">
        <v>215</v>
      </c>
      <c r="B78" s="66" t="s">
        <v>328</v>
      </c>
      <c r="C78" s="66" t="s">
        <v>177</v>
      </c>
      <c r="D78" s="11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15">
      <c r="A79" s="105" t="s">
        <v>305</v>
      </c>
      <c r="B79" s="72" t="s">
        <v>328</v>
      </c>
      <c r="C79" s="72" t="s">
        <v>331</v>
      </c>
      <c r="D79" s="135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0.25</v>
      </c>
    </row>
    <row r="80" spans="1:4" ht="15" x14ac:dyDescent="0.15">
      <c r="A80" s="102" t="s">
        <v>216</v>
      </c>
      <c r="B80" s="60" t="s">
        <v>328</v>
      </c>
      <c r="C80" s="60" t="s">
        <v>179</v>
      </c>
      <c r="D80" s="111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15">
      <c r="A81" s="103" t="s">
        <v>258</v>
      </c>
      <c r="B81" s="65" t="s">
        <v>328</v>
      </c>
      <c r="C81" s="65" t="s">
        <v>243</v>
      </c>
      <c r="D81" s="110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15">
      <c r="A82" s="102" t="s">
        <v>259</v>
      </c>
      <c r="B82" s="60" t="s">
        <v>328</v>
      </c>
      <c r="C82" s="60" t="s">
        <v>244</v>
      </c>
      <c r="D82" s="112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15">
      <c r="A83" s="103" t="s">
        <v>256</v>
      </c>
      <c r="B83" s="65" t="s">
        <v>328</v>
      </c>
      <c r="C83" s="65" t="s">
        <v>241</v>
      </c>
      <c r="D83" s="110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15">
      <c r="A84" s="102" t="s">
        <v>257</v>
      </c>
      <c r="B84" s="60" t="s">
        <v>328</v>
      </c>
      <c r="C84" s="60" t="s">
        <v>242</v>
      </c>
      <c r="D84" s="112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15">
      <c r="A85" s="103" t="s">
        <v>264</v>
      </c>
      <c r="B85" s="65" t="s">
        <v>328</v>
      </c>
      <c r="C85" s="65" t="s">
        <v>245</v>
      </c>
      <c r="D85" s="110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15">
      <c r="A86" s="105" t="s">
        <v>265</v>
      </c>
      <c r="B86" s="60" t="s">
        <v>328</v>
      </c>
      <c r="C86" s="72" t="s">
        <v>246</v>
      </c>
      <c r="D86" s="112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15">
      <c r="A87" s="104" t="s">
        <v>221</v>
      </c>
      <c r="B87" s="66" t="s">
        <v>329</v>
      </c>
      <c r="C87" s="66" t="s">
        <v>177</v>
      </c>
      <c r="D87" s="110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15">
      <c r="A88" s="105" t="s">
        <v>311</v>
      </c>
      <c r="B88" s="72" t="s">
        <v>329</v>
      </c>
      <c r="C88" s="72" t="s">
        <v>331</v>
      </c>
      <c r="D88" s="135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0.25</v>
      </c>
    </row>
    <row r="89" spans="1:4" ht="15" x14ac:dyDescent="0.15">
      <c r="A89" s="102" t="s">
        <v>222</v>
      </c>
      <c r="B89" s="60" t="s">
        <v>329</v>
      </c>
      <c r="C89" s="60" t="s">
        <v>179</v>
      </c>
      <c r="D89" s="111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15">
      <c r="A90" s="103" t="s">
        <v>249</v>
      </c>
      <c r="B90" s="73" t="s">
        <v>329</v>
      </c>
      <c r="C90" s="73" t="s">
        <v>243</v>
      </c>
      <c r="D90" s="11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15">
      <c r="A91" s="102" t="s">
        <v>250</v>
      </c>
      <c r="B91" s="72" t="s">
        <v>329</v>
      </c>
      <c r="C91" s="72" t="s">
        <v>244</v>
      </c>
      <c r="D91" s="112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15">
      <c r="A92" s="103" t="s">
        <v>247</v>
      </c>
      <c r="B92" s="73" t="s">
        <v>329</v>
      </c>
      <c r="C92" s="73" t="s">
        <v>241</v>
      </c>
      <c r="D92" s="11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15">
      <c r="A93" s="102" t="s">
        <v>248</v>
      </c>
      <c r="B93" s="72" t="s">
        <v>329</v>
      </c>
      <c r="C93" s="72" t="s">
        <v>242</v>
      </c>
      <c r="D93" s="112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15">
      <c r="A94" s="106" t="s">
        <v>253</v>
      </c>
      <c r="B94" s="73" t="s">
        <v>329</v>
      </c>
      <c r="C94" s="73" t="s">
        <v>245</v>
      </c>
      <c r="D94" s="11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15">
      <c r="A95" s="105" t="s">
        <v>254</v>
      </c>
      <c r="B95" s="72" t="s">
        <v>329</v>
      </c>
      <c r="C95" s="72" t="s">
        <v>246</v>
      </c>
      <c r="D95" s="112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15">
      <c r="A96" s="104" t="s">
        <v>219</v>
      </c>
      <c r="B96" s="66" t="s">
        <v>330</v>
      </c>
      <c r="C96" s="66" t="s">
        <v>177</v>
      </c>
      <c r="D96" s="110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15">
      <c r="A97" s="106" t="s">
        <v>306</v>
      </c>
      <c r="B97" s="73" t="s">
        <v>330</v>
      </c>
      <c r="C97" s="73" t="s">
        <v>331</v>
      </c>
      <c r="D97" s="134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>0.25</v>
      </c>
    </row>
    <row r="98" spans="1:4" ht="15" x14ac:dyDescent="0.15">
      <c r="A98" s="102" t="s">
        <v>220</v>
      </c>
      <c r="B98" s="60" t="s">
        <v>330</v>
      </c>
      <c r="C98" s="60" t="s">
        <v>179</v>
      </c>
      <c r="D98" s="111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15">
      <c r="A99" s="103" t="s">
        <v>269</v>
      </c>
      <c r="B99" s="73" t="s">
        <v>330</v>
      </c>
      <c r="C99" s="73" t="s">
        <v>243</v>
      </c>
      <c r="D99" s="110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15">
      <c r="A100" s="102" t="s">
        <v>270</v>
      </c>
      <c r="B100" s="72" t="s">
        <v>330</v>
      </c>
      <c r="C100" s="72" t="s">
        <v>244</v>
      </c>
      <c r="D100" s="112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15">
      <c r="A101" s="103" t="s">
        <v>267</v>
      </c>
      <c r="B101" s="73" t="s">
        <v>330</v>
      </c>
      <c r="C101" s="73" t="s">
        <v>241</v>
      </c>
      <c r="D101" s="110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15">
      <c r="A102" s="102" t="s">
        <v>268</v>
      </c>
      <c r="B102" s="72" t="s">
        <v>330</v>
      </c>
      <c r="C102" s="72" t="s">
        <v>242</v>
      </c>
      <c r="D102" s="112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15">
      <c r="A103" s="103" t="s">
        <v>251</v>
      </c>
      <c r="B103" s="73" t="s">
        <v>330</v>
      </c>
      <c r="C103" s="73" t="s">
        <v>245</v>
      </c>
      <c r="D103" s="110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15">
      <c r="A104" s="105" t="s">
        <v>252</v>
      </c>
      <c r="B104" s="72" t="s">
        <v>330</v>
      </c>
      <c r="C104" s="72" t="s">
        <v>246</v>
      </c>
      <c r="D104" s="112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15">
      <c r="A105" s="105" t="s">
        <v>377</v>
      </c>
      <c r="B105" s="72" t="s">
        <v>367</v>
      </c>
      <c r="C105" s="72" t="s">
        <v>381</v>
      </c>
      <c r="D105" s="109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2081</v>
      </c>
    </row>
    <row r="106" spans="1:4" ht="15" x14ac:dyDescent="0.15">
      <c r="A106" s="105" t="s">
        <v>371</v>
      </c>
      <c r="B106" s="72" t="s">
        <v>367</v>
      </c>
      <c r="C106" s="72" t="s">
        <v>369</v>
      </c>
      <c r="D106" s="109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4.4660000000000002</v>
      </c>
    </row>
    <row r="107" spans="1:4" ht="15" x14ac:dyDescent="0.15">
      <c r="A107" s="105" t="s">
        <v>379</v>
      </c>
      <c r="B107" s="72" t="s">
        <v>367</v>
      </c>
      <c r="C107" s="72" t="s">
        <v>382</v>
      </c>
      <c r="D107" s="109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2081</v>
      </c>
    </row>
    <row r="108" spans="1:4" ht="15" x14ac:dyDescent="0.15">
      <c r="A108" s="106" t="s">
        <v>376</v>
      </c>
      <c r="B108" s="73" t="s">
        <v>367</v>
      </c>
      <c r="C108" s="73" t="s">
        <v>380</v>
      </c>
      <c r="D108" s="10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2026</v>
      </c>
    </row>
    <row r="109" spans="1:4" ht="15" x14ac:dyDescent="0.15">
      <c r="A109" s="106" t="s">
        <v>370</v>
      </c>
      <c r="B109" s="73" t="s">
        <v>367</v>
      </c>
      <c r="C109" s="73" t="s">
        <v>368</v>
      </c>
      <c r="D109" s="108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2.581</v>
      </c>
    </row>
    <row r="110" spans="1:4" ht="15" x14ac:dyDescent="0.15">
      <c r="A110" s="105" t="s">
        <v>375</v>
      </c>
      <c r="B110" s="72" t="s">
        <v>367</v>
      </c>
      <c r="C110" s="72" t="s">
        <v>165</v>
      </c>
      <c r="D110" s="109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2061</v>
      </c>
    </row>
    <row r="111" spans="1:4" ht="15" x14ac:dyDescent="0.15">
      <c r="A111" s="120" t="s">
        <v>373</v>
      </c>
      <c r="B111" s="72" t="s">
        <v>367</v>
      </c>
      <c r="C111" s="72" t="s">
        <v>169</v>
      </c>
      <c r="D111" s="109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4.4660000000000002</v>
      </c>
    </row>
    <row r="112" spans="1:4" ht="15" x14ac:dyDescent="0.15">
      <c r="A112" s="106" t="s">
        <v>378</v>
      </c>
      <c r="B112" s="73" t="s">
        <v>367</v>
      </c>
      <c r="C112" s="73" t="s">
        <v>166</v>
      </c>
      <c r="D112" s="10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2062</v>
      </c>
    </row>
    <row r="113" spans="1:4" ht="15" x14ac:dyDescent="0.15">
      <c r="A113" s="106" t="s">
        <v>374</v>
      </c>
      <c r="B113" s="73" t="s">
        <v>367</v>
      </c>
      <c r="C113" s="73" t="s">
        <v>164</v>
      </c>
      <c r="D113" s="108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>2026</v>
      </c>
    </row>
    <row r="114" spans="1:4" ht="15" x14ac:dyDescent="0.15">
      <c r="A114" s="104" t="s">
        <v>372</v>
      </c>
      <c r="B114" s="73" t="s">
        <v>367</v>
      </c>
      <c r="C114" s="73" t="s">
        <v>168</v>
      </c>
      <c r="D114" s="108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>2.581</v>
      </c>
    </row>
    <row r="115" spans="1:4" ht="15" x14ac:dyDescent="0.15">
      <c r="A115" s="106"/>
      <c r="B115" s="73"/>
      <c r="C115" s="73"/>
      <c r="D115" s="119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15">
      <c r="A116" s="105"/>
      <c r="B116" s="72"/>
      <c r="C116" s="72"/>
      <c r="D116" s="109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15">
      <c r="A117" s="106"/>
      <c r="B117" s="73"/>
      <c r="C117" s="73"/>
      <c r="D117" s="108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15">
      <c r="A118" s="105"/>
      <c r="B118" s="72"/>
      <c r="C118" s="72"/>
      <c r="D118" s="109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15">
      <c r="A119" s="106"/>
      <c r="B119" s="73"/>
      <c r="C119" s="73"/>
      <c r="D119" s="108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15">
      <c r="A120" s="105"/>
      <c r="B120" s="72"/>
      <c r="C120" s="72"/>
      <c r="D120" s="109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15">
      <c r="A121" s="106"/>
      <c r="B121" s="73"/>
      <c r="C121" s="73"/>
      <c r="D121" s="108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15">
      <c r="A122" s="105"/>
      <c r="B122" s="72"/>
      <c r="C122" s="72"/>
      <c r="D122" s="109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15">
      <c r="A123" s="106"/>
      <c r="B123" s="73"/>
      <c r="C123" s="73"/>
      <c r="D123" s="108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15">
      <c r="A124" s="113"/>
      <c r="B124" s="114"/>
      <c r="C124" s="114"/>
      <c r="D124" s="115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workbookViewId="0">
      <selection activeCell="E15" sqref="E15"/>
    </sheetView>
  </sheetViews>
  <sheetFormatPr baseColWidth="10" defaultColWidth="8.83203125" defaultRowHeight="13" x14ac:dyDescent="0.15"/>
  <cols>
    <col min="1" max="1" width="35.5" customWidth="1"/>
    <col min="2" max="2" width="21.33203125" customWidth="1"/>
    <col min="3" max="3" width="12.5" customWidth="1"/>
    <col min="5" max="5" width="15.83203125" customWidth="1"/>
    <col min="6" max="6" width="14.5" customWidth="1"/>
    <col min="7" max="7" width="11.6640625" customWidth="1"/>
    <col min="10" max="10" width="14.83203125" customWidth="1"/>
    <col min="14" max="14" width="15.83203125" customWidth="1"/>
    <col min="16" max="16" width="12.83203125" customWidth="1"/>
    <col min="18" max="18" width="11.1640625" customWidth="1"/>
  </cols>
  <sheetData>
    <row r="1" spans="1:19" ht="18" x14ac:dyDescent="0.2">
      <c r="A1" s="156" t="s">
        <v>79</v>
      </c>
      <c r="B1" s="156"/>
      <c r="C1" s="156"/>
      <c r="D1" s="156"/>
      <c r="K1" s="8"/>
      <c r="L1" s="8"/>
    </row>
    <row r="2" spans="1:19" ht="16" x14ac:dyDescent="0.2">
      <c r="F2" s="39" t="s">
        <v>0</v>
      </c>
      <c r="G2" s="40" t="s">
        <v>154</v>
      </c>
      <c r="K2" s="8"/>
      <c r="L2" s="8"/>
    </row>
    <row r="3" spans="1:19" ht="16" x14ac:dyDescent="0.2">
      <c r="A3" t="s">
        <v>80</v>
      </c>
      <c r="B3" s="47" t="s">
        <v>332</v>
      </c>
      <c r="F3" s="41">
        <v>2018</v>
      </c>
      <c r="G3" s="43"/>
      <c r="K3" s="8"/>
      <c r="L3" s="8"/>
    </row>
    <row r="4" spans="1:19" ht="16" x14ac:dyDescent="0.2">
      <c r="A4" t="s">
        <v>81</v>
      </c>
      <c r="B4" s="45">
        <v>37206</v>
      </c>
      <c r="F4" s="41">
        <v>2019</v>
      </c>
      <c r="G4" s="43"/>
      <c r="K4" s="8"/>
      <c r="L4" s="8"/>
      <c r="M4" s="8"/>
    </row>
    <row r="5" spans="1:19" ht="16" x14ac:dyDescent="0.2">
      <c r="A5" t="s">
        <v>82</v>
      </c>
      <c r="B5" s="45">
        <v>45581</v>
      </c>
      <c r="F5" s="41">
        <v>2020</v>
      </c>
      <c r="G5" s="43"/>
      <c r="K5" s="8"/>
      <c r="L5" s="8"/>
    </row>
    <row r="6" spans="1:19" ht="16" x14ac:dyDescent="0.2">
      <c r="A6" t="s">
        <v>83</v>
      </c>
      <c r="B6" s="45">
        <v>46337</v>
      </c>
      <c r="F6" s="41">
        <v>2021</v>
      </c>
      <c r="G6" s="43"/>
      <c r="Q6" s="8"/>
      <c r="S6" s="8"/>
    </row>
    <row r="7" spans="1:19" ht="16" x14ac:dyDescent="0.2">
      <c r="A7" t="s">
        <v>105</v>
      </c>
      <c r="B7" s="46">
        <v>80</v>
      </c>
      <c r="F7" s="41">
        <v>2022</v>
      </c>
      <c r="G7" s="43"/>
      <c r="O7" s="10"/>
      <c r="Q7" s="8"/>
    </row>
    <row r="8" spans="1:19" ht="16" x14ac:dyDescent="0.2">
      <c r="A8" t="s">
        <v>84</v>
      </c>
      <c r="B8" s="47" t="s">
        <v>69</v>
      </c>
      <c r="F8" s="41">
        <v>2023</v>
      </c>
      <c r="G8" s="43"/>
      <c r="O8" s="10"/>
      <c r="Q8" s="8"/>
      <c r="S8" s="8"/>
    </row>
    <row r="9" spans="1:19" ht="16" x14ac:dyDescent="0.2">
      <c r="A9" t="s">
        <v>85</v>
      </c>
      <c r="B9" s="137" t="s">
        <v>68</v>
      </c>
      <c r="F9" s="41">
        <v>2024</v>
      </c>
      <c r="G9" s="43"/>
      <c r="Q9" s="8"/>
    </row>
    <row r="10" spans="1:19" ht="16" x14ac:dyDescent="0.2">
      <c r="A10" t="s">
        <v>86</v>
      </c>
      <c r="B10" s="142">
        <v>100000</v>
      </c>
      <c r="F10" s="42">
        <v>2025</v>
      </c>
      <c r="G10" s="44"/>
      <c r="O10" s="8"/>
      <c r="Q10" s="8"/>
    </row>
    <row r="11" spans="1:19" ht="16" x14ac:dyDescent="0.2">
      <c r="Q11" s="8"/>
    </row>
    <row r="12" spans="1:19" ht="16" x14ac:dyDescent="0.2">
      <c r="A12" s="157" t="s">
        <v>87</v>
      </c>
      <c r="B12" s="158"/>
      <c r="C12" s="158"/>
      <c r="D12" s="159"/>
      <c r="Q12" s="8"/>
    </row>
    <row r="13" spans="1:19" ht="16" x14ac:dyDescent="0.2">
      <c r="A13" t="s">
        <v>88</v>
      </c>
      <c r="B13" s="141">
        <f>IF(OR(B5="",B4=""),"",ROUND((B5-B4)/365.25,2))</f>
        <v>22.93</v>
      </c>
      <c r="Q13" s="8"/>
    </row>
    <row r="14" spans="1:19" ht="16" x14ac:dyDescent="0.2">
      <c r="A14" t="s">
        <v>89</v>
      </c>
      <c r="B14" s="141">
        <f>IF(OR(B6="",B4=""),"",ROUND((B6-B4)/365.25,2))</f>
        <v>25</v>
      </c>
      <c r="Q14" s="8"/>
    </row>
    <row r="15" spans="1:19" ht="16" x14ac:dyDescent="0.2">
      <c r="A15" t="s">
        <v>90</v>
      </c>
      <c r="B15" s="141">
        <f>IF(B13="","",IF(UPPER(B8)="F",ROUND(_xlfn.XLOOKUP(INT(B13),LE_F!A:A,LE_F!B:B,""),2),IF(UPPER(B8)="M",ROUND(_xlfn.XLOOKUP(INT(B13),LE_M!A:A,LE_M!B:B,""),2),"")))</f>
        <v>54.9</v>
      </c>
      <c r="Q15" s="8"/>
    </row>
    <row r="16" spans="1:19" ht="16" x14ac:dyDescent="0.2">
      <c r="A16" t="s">
        <v>91</v>
      </c>
      <c r="B16" s="141">
        <f>IF(OR(B15="",B13="",B14=""),"",ROUND(B15-(B14-B13),2))</f>
        <v>52.83</v>
      </c>
      <c r="O16" s="8"/>
    </row>
    <row r="17" spans="1:15" ht="16" x14ac:dyDescent="0.2">
      <c r="A17" t="s">
        <v>92</v>
      </c>
      <c r="B17" s="141" cm="1">
        <f t="array" ref="B17">IF(OR(B8="",B9="",B13=""),"",ROUND(_xlfn.XLOOKUP(1,(WLE!A:A=B9)*(WLE!B:B=UPPER(LEFT(B8,1)))*(WLE!C:C=INT(B13)),WLE!D:D,""),2))</f>
        <v>37.26</v>
      </c>
      <c r="O17" s="8"/>
    </row>
    <row r="18" spans="1:15" ht="16" x14ac:dyDescent="0.2">
      <c r="A18" t="s">
        <v>93</v>
      </c>
      <c r="B18" s="141">
        <f>IF(OR(B17="",B13="",B14=""),"",ROUND(MAX(0,B17-(B14-B13)),2))</f>
        <v>35.19</v>
      </c>
      <c r="O18" s="8"/>
    </row>
    <row r="19" spans="1:15" ht="16" x14ac:dyDescent="0.2">
      <c r="A19" t="s">
        <v>94</v>
      </c>
      <c r="B19" s="143">
        <f>IF(B18="","",INT(B18))</f>
        <v>35</v>
      </c>
      <c r="O19" s="8"/>
    </row>
    <row r="20" spans="1:15" ht="16" x14ac:dyDescent="0.2">
      <c r="A20" t="s">
        <v>95</v>
      </c>
      <c r="B20" s="141">
        <f>IF(B18="","",B18-INT(B18))</f>
        <v>0.18999999999999773</v>
      </c>
      <c r="O20" s="8"/>
    </row>
    <row r="21" spans="1:15" ht="16" x14ac:dyDescent="0.2">
      <c r="A21" t="s">
        <v>106</v>
      </c>
      <c r="B21" s="141">
        <f>MAX(0, B7 - B14)</f>
        <v>55</v>
      </c>
      <c r="O21" s="8"/>
    </row>
    <row r="22" spans="1:15" x14ac:dyDescent="0.15">
      <c r="A22" t="s">
        <v>107</v>
      </c>
      <c r="B22" s="143">
        <f>INT(B21)</f>
        <v>55</v>
      </c>
    </row>
    <row r="23" spans="1:15" ht="16" x14ac:dyDescent="0.2">
      <c r="A23" t="s">
        <v>108</v>
      </c>
      <c r="B23" s="141">
        <f>B21-B22</f>
        <v>0</v>
      </c>
      <c r="O23" s="8"/>
    </row>
    <row r="24" spans="1:15" ht="16" x14ac:dyDescent="0.2">
      <c r="A24" t="s">
        <v>110</v>
      </c>
      <c r="B24" s="141">
        <f>ROUND((B6-B5)/365.25,2)</f>
        <v>2.0699999999999998</v>
      </c>
      <c r="O24" s="8"/>
    </row>
    <row r="25" spans="1:15" x14ac:dyDescent="0.15">
      <c r="A25" t="s">
        <v>111</v>
      </c>
      <c r="B25" s="143">
        <f>INT(B24)</f>
        <v>2</v>
      </c>
    </row>
    <row r="26" spans="1:15" x14ac:dyDescent="0.15">
      <c r="A26" s="160" t="s">
        <v>96</v>
      </c>
      <c r="B26" s="161"/>
      <c r="C26" s="161"/>
      <c r="D26" s="162"/>
    </row>
    <row r="27" spans="1:15" x14ac:dyDescent="0.15">
      <c r="A27" t="s">
        <v>97</v>
      </c>
      <c r="B27" s="29">
        <v>0</v>
      </c>
    </row>
    <row r="28" spans="1:15" x14ac:dyDescent="0.15">
      <c r="A28" t="s">
        <v>121</v>
      </c>
      <c r="B28" s="74" t="s">
        <v>150</v>
      </c>
      <c r="C28" s="30" t="s">
        <v>125</v>
      </c>
    </row>
    <row r="29" spans="1:15" x14ac:dyDescent="0.15">
      <c r="A29" t="s">
        <v>124</v>
      </c>
      <c r="B29" s="29">
        <v>0</v>
      </c>
    </row>
    <row r="31" spans="1:15" x14ac:dyDescent="0.15">
      <c r="A31" s="154" t="s">
        <v>98</v>
      </c>
      <c r="B31" s="155"/>
      <c r="C31" s="155"/>
      <c r="D31" s="155"/>
    </row>
    <row r="32" spans="1:15" ht="13.25" customHeight="1" x14ac:dyDescent="0.15"/>
    <row r="33" spans="1:10" x14ac:dyDescent="0.15">
      <c r="A33" s="32" t="s">
        <v>131</v>
      </c>
    </row>
    <row r="34" spans="1:10" x14ac:dyDescent="0.15">
      <c r="A34" t="s">
        <v>132</v>
      </c>
    </row>
    <row r="35" spans="1:10" x14ac:dyDescent="0.15">
      <c r="A35" t="s">
        <v>133</v>
      </c>
      <c r="B35" s="6">
        <f>'Base 1 PV Loss WLE'!G14</f>
        <v>306800</v>
      </c>
    </row>
    <row r="36" spans="1:10" x14ac:dyDescent="0.15">
      <c r="A36" t="s">
        <v>134</v>
      </c>
      <c r="B36" s="6">
        <f>'Base 1 PV Loss WLE'!G68</f>
        <v>3289923.1776453508</v>
      </c>
    </row>
    <row r="37" spans="1:10" x14ac:dyDescent="0.15">
      <c r="A37" s="18" t="s">
        <v>135</v>
      </c>
      <c r="B37" s="6">
        <f>'Base 1 PV Loss WLE'!G70</f>
        <v>3596723.1776453508</v>
      </c>
    </row>
    <row r="38" spans="1:10" x14ac:dyDescent="0.15">
      <c r="A38" t="s">
        <v>136</v>
      </c>
      <c r="B38" s="6"/>
    </row>
    <row r="39" spans="1:10" x14ac:dyDescent="0.15">
      <c r="A39" t="s">
        <v>133</v>
      </c>
      <c r="B39" s="6">
        <f>'Base 1 PV Loss To Age'!G14</f>
        <v>0</v>
      </c>
    </row>
    <row r="40" spans="1:10" x14ac:dyDescent="0.15">
      <c r="A40" t="s">
        <v>134</v>
      </c>
      <c r="B40" s="6">
        <f>'Base 1 PV Loss To Age'!G68</f>
        <v>0</v>
      </c>
    </row>
    <row r="41" spans="1:10" x14ac:dyDescent="0.15">
      <c r="A41" s="18" t="s">
        <v>137</v>
      </c>
      <c r="B41" s="6">
        <f>'Base 1 PV Loss To Age'!G70</f>
        <v>0</v>
      </c>
      <c r="G41" s="7"/>
    </row>
    <row r="43" spans="1:10" x14ac:dyDescent="0.15">
      <c r="A43" s="24" t="s">
        <v>138</v>
      </c>
    </row>
    <row r="44" spans="1:10" x14ac:dyDescent="0.15">
      <c r="A44" t="s">
        <v>132</v>
      </c>
    </row>
    <row r="45" spans="1:10" x14ac:dyDescent="0.15">
      <c r="A45" t="s">
        <v>133</v>
      </c>
      <c r="B45" s="6">
        <f>'Base 2 PV Loss WLE'!G14</f>
        <v>0</v>
      </c>
    </row>
    <row r="46" spans="1:10" x14ac:dyDescent="0.15">
      <c r="A46" t="s">
        <v>134</v>
      </c>
      <c r="B46" s="6">
        <f>'Base 2 PV Loss WLE'!G68</f>
        <v>0</v>
      </c>
      <c r="J46" s="7"/>
    </row>
    <row r="47" spans="1:10" x14ac:dyDescent="0.15">
      <c r="A47" s="18" t="s">
        <v>135</v>
      </c>
      <c r="B47" s="6">
        <f>'Base 2 PV Loss WLE'!G70</f>
        <v>0</v>
      </c>
      <c r="J47" s="7"/>
    </row>
    <row r="48" spans="1:10" x14ac:dyDescent="0.15">
      <c r="A48" t="s">
        <v>136</v>
      </c>
      <c r="B48" s="6"/>
      <c r="J48" s="7"/>
    </row>
    <row r="49" spans="1:10" x14ac:dyDescent="0.15">
      <c r="A49" t="s">
        <v>133</v>
      </c>
      <c r="B49" s="6">
        <f>'Base 2 PV Loss To Age'!G14</f>
        <v>0</v>
      </c>
    </row>
    <row r="50" spans="1:10" x14ac:dyDescent="0.15">
      <c r="A50" t="s">
        <v>134</v>
      </c>
      <c r="B50" s="6">
        <f>'Base 2 PV Loss To Age'!G68</f>
        <v>0</v>
      </c>
    </row>
    <row r="51" spans="1:10" x14ac:dyDescent="0.15">
      <c r="A51" s="18" t="s">
        <v>137</v>
      </c>
      <c r="B51" s="6">
        <f>'Base 2 PV Loss To Age'!G70</f>
        <v>0</v>
      </c>
    </row>
    <row r="53" spans="1:10" x14ac:dyDescent="0.15">
      <c r="A53" s="33" t="s">
        <v>139</v>
      </c>
      <c r="C53" s="7"/>
      <c r="J53" s="7"/>
    </row>
    <row r="54" spans="1:10" x14ac:dyDescent="0.15">
      <c r="A54" t="s">
        <v>132</v>
      </c>
      <c r="C54" s="7"/>
    </row>
    <row r="55" spans="1:10" x14ac:dyDescent="0.15">
      <c r="A55" t="s">
        <v>133</v>
      </c>
      <c r="B55" s="6">
        <f>'Base 3 PV Loss WLE'!G14</f>
        <v>0</v>
      </c>
      <c r="C55" s="7"/>
    </row>
    <row r="56" spans="1:10" x14ac:dyDescent="0.15">
      <c r="A56" t="s">
        <v>134</v>
      </c>
      <c r="B56" s="6">
        <f>'Base 3 PV Loss WLE'!G68</f>
        <v>0</v>
      </c>
    </row>
    <row r="57" spans="1:10" x14ac:dyDescent="0.15">
      <c r="A57" s="18" t="s">
        <v>135</v>
      </c>
      <c r="B57" s="6">
        <f>'Base 3 PV Loss WLE'!G70</f>
        <v>0</v>
      </c>
    </row>
    <row r="58" spans="1:10" x14ac:dyDescent="0.15">
      <c r="A58" t="s">
        <v>136</v>
      </c>
      <c r="B58" s="6"/>
      <c r="C58" s="7"/>
    </row>
    <row r="59" spans="1:10" x14ac:dyDescent="0.15">
      <c r="A59" t="s">
        <v>133</v>
      </c>
      <c r="B59" s="6">
        <f>'Base 3 PV Loss To Age'!G14</f>
        <v>0</v>
      </c>
      <c r="C59" s="7"/>
    </row>
    <row r="60" spans="1:10" x14ac:dyDescent="0.15">
      <c r="A60" t="s">
        <v>134</v>
      </c>
      <c r="B60" s="6">
        <f>'Base 3 PV Loss To Age'!G68</f>
        <v>0</v>
      </c>
    </row>
    <row r="61" spans="1:10" x14ac:dyDescent="0.15">
      <c r="A61" s="18" t="s">
        <v>137</v>
      </c>
      <c r="B61" s="6">
        <f>'Base 3 PV Loss To Age'!G70</f>
        <v>0</v>
      </c>
      <c r="C61" s="7"/>
    </row>
    <row r="62" spans="1:10" x14ac:dyDescent="0.15">
      <c r="C62" s="7"/>
    </row>
    <row r="63" spans="1:10" x14ac:dyDescent="0.15">
      <c r="A63" s="34" t="s">
        <v>146</v>
      </c>
    </row>
    <row r="64" spans="1:10" x14ac:dyDescent="0.15">
      <c r="A64" t="s">
        <v>132</v>
      </c>
      <c r="C64" s="7"/>
    </row>
    <row r="65" spans="1:2" x14ac:dyDescent="0.15">
      <c r="A65" s="18" t="s">
        <v>133</v>
      </c>
      <c r="B65" s="6">
        <f>'Credit 1 PV Loss WLE'!G14</f>
        <v>0</v>
      </c>
    </row>
    <row r="66" spans="1:2" x14ac:dyDescent="0.15">
      <c r="A66" t="s">
        <v>134</v>
      </c>
      <c r="B66" s="6">
        <f>'Credit 1 PV Loss WLE'!G68</f>
        <v>0</v>
      </c>
    </row>
    <row r="67" spans="1:2" x14ac:dyDescent="0.15">
      <c r="A67" s="18" t="s">
        <v>135</v>
      </c>
      <c r="B67" s="23">
        <f>'Credit 1 PV Loss WLE'!G70</f>
        <v>0</v>
      </c>
    </row>
    <row r="68" spans="1:2" x14ac:dyDescent="0.15">
      <c r="A68" t="s">
        <v>136</v>
      </c>
    </row>
    <row r="69" spans="1:2" x14ac:dyDescent="0.15">
      <c r="A69" s="18" t="s">
        <v>133</v>
      </c>
      <c r="B69" s="6">
        <f>'Credit 1 PV Loss to Age'!G14</f>
        <v>0</v>
      </c>
    </row>
    <row r="70" spans="1:2" x14ac:dyDescent="0.15">
      <c r="A70" t="s">
        <v>134</v>
      </c>
      <c r="B70" s="6">
        <f>'Credit 1 PV Loss to Age'!G68</f>
        <v>0</v>
      </c>
    </row>
    <row r="71" spans="1:2" x14ac:dyDescent="0.15">
      <c r="A71" s="18" t="s">
        <v>137</v>
      </c>
      <c r="B71" s="23">
        <f>'Credit 1 PV Loss to Age'!G70</f>
        <v>0</v>
      </c>
    </row>
    <row r="73" spans="1:2" x14ac:dyDescent="0.15">
      <c r="A73" s="35" t="s">
        <v>147</v>
      </c>
    </row>
    <row r="74" spans="1:2" x14ac:dyDescent="0.15">
      <c r="A74" t="s">
        <v>132</v>
      </c>
    </row>
    <row r="75" spans="1:2" x14ac:dyDescent="0.15">
      <c r="A75" s="18" t="s">
        <v>133</v>
      </c>
      <c r="B75" s="6">
        <f>'Credit 2 PV Loss WLE'!G14</f>
        <v>0</v>
      </c>
    </row>
    <row r="76" spans="1:2" x14ac:dyDescent="0.15">
      <c r="A76" t="s">
        <v>134</v>
      </c>
      <c r="B76" s="6">
        <f>'Credit 2 PV Loss WLE'!G68</f>
        <v>0</v>
      </c>
    </row>
    <row r="77" spans="1:2" x14ac:dyDescent="0.15">
      <c r="A77" s="18" t="s">
        <v>135</v>
      </c>
      <c r="B77" s="23">
        <f>'Credit 2 PV Loss WLE'!G70</f>
        <v>0</v>
      </c>
    </row>
    <row r="78" spans="1:2" x14ac:dyDescent="0.15">
      <c r="A78" t="s">
        <v>136</v>
      </c>
    </row>
    <row r="79" spans="1:2" x14ac:dyDescent="0.15">
      <c r="A79" s="18" t="s">
        <v>133</v>
      </c>
      <c r="B79" s="6">
        <f>'Credit 2 PV Loss To Age'!G14</f>
        <v>0</v>
      </c>
    </row>
    <row r="80" spans="1:2" x14ac:dyDescent="0.15">
      <c r="A80" t="s">
        <v>134</v>
      </c>
      <c r="B80" s="6">
        <f>'Credit 2 PV Loss To Age'!G68</f>
        <v>0</v>
      </c>
    </row>
    <row r="81" spans="1:2" x14ac:dyDescent="0.15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disablePrompts="1" count="3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  <dataValidation type="list" allowBlank="1" showInputMessage="1" showErrorMessage="1" sqref="B8" xr:uid="{2114CDF5-A574-CD4B-A6DE-EB1D11317149}">
      <formula1>"M,F"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B6" sqref="B6"/>
    </sheetView>
  </sheetViews>
  <sheetFormatPr baseColWidth="10" defaultColWidth="8.83203125" defaultRowHeight="13" x14ac:dyDescent="0.15"/>
  <cols>
    <col min="1" max="1" width="14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3.5" customWidth="1"/>
    <col min="11" max="11" width="11.1640625" customWidth="1"/>
  </cols>
  <sheetData>
    <row r="1" spans="1:36" ht="30" customHeight="1" x14ac:dyDescent="0.2">
      <c r="A1" s="156" t="s">
        <v>140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15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40">
        <f>'Case Inputs'!B20</f>
        <v>0.18999999999999773</v>
      </c>
      <c r="D5" s="7" t="s">
        <v>151</v>
      </c>
      <c r="E5" s="87">
        <v>0.25</v>
      </c>
      <c r="F5" s="38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15">
      <c r="AE15" s="6"/>
      <c r="AF15" s="6"/>
    </row>
    <row r="16" spans="1:36" x14ac:dyDescent="0.15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3.6089999999999997E-2</v>
      </c>
      <c r="E32" s="6">
        <f t="shared" si="1"/>
        <v>77847.206950265812</v>
      </c>
      <c r="F32" s="19">
        <f t="shared" ref="F32:F48" si="4">IF(A32="","",IF(A32&lt;=$E$4,1,IF(A32=$E$4+1,$B$5,0)))</f>
        <v>1</v>
      </c>
      <c r="G32" s="6">
        <f t="shared" si="3"/>
        <v>77847.206950265812</v>
      </c>
      <c r="H32" s="6" cm="1">
        <f t="array" ref="H32">_xlfn.IFS(A32="","",AND(A32&lt;&gt;"",$F$5=TRUE),G32*(1-$E$5))</f>
        <v>58385.405212699363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3.7409999999999999E-2</v>
      </c>
      <c r="E33" s="6">
        <f t="shared" si="1"/>
        <v>74997.296760896264</v>
      </c>
      <c r="F33" s="19">
        <f t="shared" si="4"/>
        <v>1</v>
      </c>
      <c r="G33" s="6">
        <f t="shared" si="3"/>
        <v>74997.296760896264</v>
      </c>
      <c r="H33" s="6" cm="1">
        <f t="array" ref="H33">_xlfn.IFS(A33="","",AND(A33&lt;&gt;"",$F$5=TRUE),G33*(1-$E$5))</f>
        <v>56247.972570672195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3.8730000000000001E-2</v>
      </c>
      <c r="E34" s="6">
        <f t="shared" si="1"/>
        <v>72070.070105490508</v>
      </c>
      <c r="F34" s="19">
        <f t="shared" si="4"/>
        <v>1</v>
      </c>
      <c r="G34" s="6">
        <f t="shared" si="3"/>
        <v>72070.070105490508</v>
      </c>
      <c r="H34" s="6" cm="1">
        <f t="array" ref="H34">_xlfn.IFS(A34="","",AND(A34&lt;&gt;"",$F$5=TRUE),G34*(1-$E$5))</f>
        <v>54052.552579117881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4.0099999999999997E-2</v>
      </c>
      <c r="E35" s="6">
        <f t="shared" si="1"/>
        <v>69020.234791502793</v>
      </c>
      <c r="F35" s="19">
        <f t="shared" si="4"/>
        <v>1</v>
      </c>
      <c r="G35" s="6">
        <f t="shared" si="3"/>
        <v>69020.234791502793</v>
      </c>
      <c r="H35" s="6" cm="1">
        <f t="array" ref="H35">_xlfn.IFS(A35="","",AND(A35&lt;&gt;"",$F$5=TRUE),G35*(1-$E$5))</f>
        <v>51765.176093627095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4.1329999999999999E-2</v>
      </c>
      <c r="E36" s="6">
        <f t="shared" si="1"/>
        <v>66105.231325071873</v>
      </c>
      <c r="F36" s="19">
        <f t="shared" si="4"/>
        <v>1</v>
      </c>
      <c r="G36" s="6">
        <f t="shared" si="3"/>
        <v>66105.231325071873</v>
      </c>
      <c r="H36" s="6" cm="1">
        <f t="array" ref="H36">_xlfn.IFS(A36="","",AND(A36&lt;&gt;"",$F$5=TRUE),G36*(1-$E$5))</f>
        <v>49578.923493803901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4.2140000000000004E-2</v>
      </c>
      <c r="E37" s="6">
        <f t="shared" si="1"/>
        <v>63702.463905118035</v>
      </c>
      <c r="F37" s="19">
        <f t="shared" si="4"/>
        <v>1</v>
      </c>
      <c r="G37" s="6">
        <f t="shared" si="3"/>
        <v>63702.463905118035</v>
      </c>
      <c r="H37" s="6" cm="1">
        <f t="array" ref="H37">_xlfn.IFS(A37="","",AND(A37&lt;&gt;"",$F$5=TRUE),G37*(1-$E$5))</f>
        <v>47776.847928838528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4.2800000000000005E-2</v>
      </c>
      <c r="E38" s="6">
        <f t="shared" si="1"/>
        <v>61486.713990879965</v>
      </c>
      <c r="F38" s="19">
        <f t="shared" si="4"/>
        <v>1</v>
      </c>
      <c r="G38" s="6">
        <f t="shared" si="3"/>
        <v>61486.713990879965</v>
      </c>
      <c r="H38" s="6" cm="1">
        <f t="array" ref="H38">_xlfn.IFS(A38="","",AND(A38&lt;&gt;"",$F$5=TRUE),G38*(1-$E$5))</f>
        <v>46115.035493159972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4.3250000000000004E-2</v>
      </c>
      <c r="E39" s="6">
        <f t="shared" si="1"/>
        <v>59548.510478986558</v>
      </c>
      <c r="F39" s="19">
        <f t="shared" si="4"/>
        <v>1</v>
      </c>
      <c r="G39" s="6">
        <f t="shared" si="3"/>
        <v>59548.510478986558</v>
      </c>
      <c r="H39" s="6" cm="1">
        <f t="array" ref="H39">_xlfn.IFS(A39="","",AND(A39&lt;&gt;"",$F$5=TRUE),G39*(1-$E$5))</f>
        <v>44661.382859239922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4.3769999999999996E-2</v>
      </c>
      <c r="E40" s="6">
        <f t="shared" si="1"/>
        <v>57529.245326259414</v>
      </c>
      <c r="F40" s="19">
        <f t="shared" si="4"/>
        <v>1</v>
      </c>
      <c r="G40" s="6">
        <f t="shared" si="3"/>
        <v>57529.245326259414</v>
      </c>
      <c r="H40" s="6" cm="1">
        <f t="array" ref="H40">_xlfn.IFS(A40="","",AND(A40&lt;&gt;"",$F$5=TRUE),G40*(1-$E$5))</f>
        <v>43146.933994694562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4.3990000000000001E-2</v>
      </c>
      <c r="E41" s="6">
        <f t="shared" si="1"/>
        <v>55923.690769333443</v>
      </c>
      <c r="F41" s="19">
        <f t="shared" si="4"/>
        <v>1</v>
      </c>
      <c r="G41" s="6">
        <f t="shared" si="3"/>
        <v>55923.690769333443</v>
      </c>
      <c r="H41" s="6" cm="1">
        <f t="array" ref="H41">_xlfn.IFS(A41="","",AND(A41&lt;&gt;"",$F$5=TRUE),G41*(1-$E$5))</f>
        <v>41942.768077000081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4.4219999999999995E-2</v>
      </c>
      <c r="E42" s="6">
        <f t="shared" si="1"/>
        <v>54326.569665980911</v>
      </c>
      <c r="F42" s="19">
        <f t="shared" si="4"/>
        <v>1</v>
      </c>
      <c r="G42" s="6">
        <f t="shared" si="3"/>
        <v>54326.569665980911</v>
      </c>
      <c r="H42" s="6" cm="1">
        <f t="array" ref="H42">_xlfn.IFS(A42="","",AND(A42&lt;&gt;"",$F$5=TRUE),G42*(1-$E$5))</f>
        <v>40744.927249485685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4.4359999999999997E-2</v>
      </c>
      <c r="E43" s="6">
        <f t="shared" si="1"/>
        <v>52874.763661005454</v>
      </c>
      <c r="F43" s="19">
        <f t="shared" si="4"/>
        <v>1</v>
      </c>
      <c r="G43" s="6">
        <f t="shared" si="3"/>
        <v>52874.763661005454</v>
      </c>
      <c r="H43" s="6" cm="1">
        <f t="array" ref="H43">_xlfn.IFS(A43="","",AND(A43&lt;&gt;"",$F$5=TRUE),G43*(1-$E$5))</f>
        <v>39656.072745754092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4.4600000000000001E-2</v>
      </c>
      <c r="E44" s="6">
        <f t="shared" si="1"/>
        <v>51310.259052813519</v>
      </c>
      <c r="F44" s="19">
        <f t="shared" si="4"/>
        <v>1</v>
      </c>
      <c r="G44" s="6">
        <f t="shared" si="3"/>
        <v>51310.259052813519</v>
      </c>
      <c r="H44" s="6" cm="1">
        <f t="array" ref="H44">_xlfn.IFS(A44="","",AND(A44&lt;&gt;"",$F$5=TRUE),G44*(1-$E$5))</f>
        <v>38482.694289610139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4.4660000000000005E-2</v>
      </c>
      <c r="E45" s="6">
        <f t="shared" si="1"/>
        <v>50018.535286761326</v>
      </c>
      <c r="F45" s="19">
        <f t="shared" si="4"/>
        <v>1</v>
      </c>
      <c r="G45" s="6">
        <f t="shared" si="3"/>
        <v>50018.535286761326</v>
      </c>
      <c r="H45" s="6" cm="1">
        <f t="array" ref="H45">_xlfn.IFS(A45="","",AND(A45&lt;&gt;"",$F$5=TRUE),G45*(1-$E$5))</f>
        <v>37513.901465070994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4.4859999999999997E-2</v>
      </c>
      <c r="E46" s="6">
        <f t="shared" si="1"/>
        <v>48558.140363573213</v>
      </c>
      <c r="F46" s="19">
        <f t="shared" si="4"/>
        <v>1</v>
      </c>
      <c r="G46" s="6">
        <f t="shared" si="3"/>
        <v>48558.140363573213</v>
      </c>
      <c r="H46" s="6" cm="1">
        <f t="array" ref="H46">_xlfn.IFS(A46="","",AND(A46&lt;&gt;"",$F$5=TRUE),G46*(1-$E$5))</f>
        <v>36418.60527267991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0.18999999999999773</v>
      </c>
      <c r="G52" s="6">
        <f t="shared" si="8"/>
        <v>38757.859530597911</v>
      </c>
      <c r="H52" s="6" cm="1">
        <f t="array" ref="H52">_xlfn.IFS(A52="","",AND(A52&lt;&gt;"",$F$5=TRUE),G52*(1-$E$5))</f>
        <v>29068.394647948433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3455154.0524863233</v>
      </c>
      <c r="F68" s="22"/>
      <c r="G68" s="22">
        <f>SUM(G17:G66)</f>
        <v>3289923.1776453508</v>
      </c>
      <c r="H68" s="23">
        <f>SUM(H17:H67)</f>
        <v>2467442.3832340129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3596723.1776453508</v>
      </c>
      <c r="H70" s="23">
        <f>H14+H68</f>
        <v>2697542.3832340129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activeCell="B6" sqref="B6"/>
    </sheetView>
  </sheetViews>
  <sheetFormatPr baseColWidth="10" defaultColWidth="8.83203125" defaultRowHeight="13" x14ac:dyDescent="0.15"/>
  <cols>
    <col min="1" max="1" width="18.83203125" customWidth="1"/>
    <col min="2" max="2" width="16" customWidth="1"/>
    <col min="3" max="3" width="10.83203125" customWidth="1"/>
    <col min="4" max="4" width="15.33203125" bestFit="1" customWidth="1"/>
    <col min="5" max="5" width="13" customWidth="1"/>
    <col min="6" max="6" width="14.33203125" bestFit="1" customWidth="1"/>
    <col min="7" max="7" width="13.332031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6" t="s">
        <v>141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40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40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64" t="s">
        <v>117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B5" sqref="B5"/>
    </sheetView>
  </sheetViews>
  <sheetFormatPr baseColWidth="10" defaultColWidth="8.83203125" defaultRowHeight="13" x14ac:dyDescent="0.15"/>
  <cols>
    <col min="1" max="1" width="14.1640625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6" t="s">
        <v>127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40">
        <f>'Case Inputs'!B20</f>
        <v>0.18999999999999773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activeCell="B4" sqref="B4:B5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6" t="s">
        <v>128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40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40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65" t="s">
        <v>149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activeCell="K39" sqref="K39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6" t="s">
        <v>129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40">
        <f>'Case Inputs'!B20</f>
        <v>0.18999999999999773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1" sqref="K2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6" t="s">
        <v>130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9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9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64" t="s">
        <v>117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4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  <col min="8" max="8" width="9.33203125" bestFit="1" customWidth="1"/>
  </cols>
  <sheetData>
    <row r="1" spans="1:32" ht="18" x14ac:dyDescent="0.2">
      <c r="A1" s="166" t="s">
        <v>142</v>
      </c>
      <c r="B1" s="155"/>
      <c r="C1" s="155"/>
      <c r="D1" s="155"/>
      <c r="E1" s="155"/>
      <c r="F1" s="155"/>
      <c r="G1" s="155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15">
      <c r="A5" t="s">
        <v>101</v>
      </c>
      <c r="B5">
        <f>'Case Inputs'!B20</f>
        <v>0.18999999999999773</v>
      </c>
      <c r="D5" t="s">
        <v>151</v>
      </c>
      <c r="E5" s="37">
        <v>0.25</v>
      </c>
      <c r="F5" t="b">
        <v>1</v>
      </c>
      <c r="G5" s="30" t="s">
        <v>153</v>
      </c>
    </row>
    <row r="7" spans="1:32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67" t="s">
        <v>115</v>
      </c>
      <c r="B16" s="167"/>
      <c r="C16" s="167"/>
      <c r="D16" s="167"/>
      <c r="E16" s="167"/>
      <c r="F16" s="167"/>
      <c r="G16" s="167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66" t="s">
        <v>143</v>
      </c>
      <c r="B1" s="155"/>
      <c r="C1" s="155"/>
      <c r="D1" s="155"/>
      <c r="E1" s="155"/>
      <c r="F1" s="155"/>
      <c r="G1" s="155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</row>
    <row r="7" spans="1:32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67" t="s">
        <v>148</v>
      </c>
      <c r="B16" s="167"/>
      <c r="C16" s="167"/>
      <c r="D16" s="167"/>
      <c r="E16" s="167"/>
      <c r="F16" s="167"/>
      <c r="G16" s="167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66" t="s">
        <v>144</v>
      </c>
      <c r="B1" s="155"/>
      <c r="C1" s="155"/>
      <c r="D1" s="155"/>
      <c r="E1" s="155"/>
      <c r="F1" s="155"/>
      <c r="G1" s="155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15">
      <c r="A5" t="s">
        <v>101</v>
      </c>
      <c r="B5">
        <f>'Case Inputs'!B20</f>
        <v>0.18999999999999773</v>
      </c>
      <c r="D5" t="s">
        <v>151</v>
      </c>
      <c r="E5" s="37">
        <v>0.25</v>
      </c>
      <c r="F5" t="b">
        <v>1</v>
      </c>
      <c r="G5" s="30" t="s">
        <v>153</v>
      </c>
    </row>
    <row r="7" spans="1:32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67" t="s">
        <v>115</v>
      </c>
      <c r="B16" s="167"/>
      <c r="C16" s="167"/>
      <c r="D16" s="167"/>
      <c r="E16" s="167"/>
      <c r="F16" s="167"/>
      <c r="G16" s="167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66" t="s">
        <v>145</v>
      </c>
      <c r="B1" s="155"/>
      <c r="C1" s="155"/>
      <c r="D1" s="155"/>
      <c r="E1" s="155"/>
      <c r="F1" s="155"/>
      <c r="G1" s="155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</row>
    <row r="7" spans="1:32" x14ac:dyDescent="0.15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67" t="s">
        <v>148</v>
      </c>
      <c r="B16" s="167"/>
      <c r="C16" s="167"/>
      <c r="D16" s="167"/>
      <c r="E16" s="167"/>
      <c r="F16" s="167"/>
      <c r="G16" s="167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tabSelected="1" workbookViewId="0">
      <selection activeCell="D22" sqref="D22"/>
    </sheetView>
  </sheetViews>
  <sheetFormatPr baseColWidth="10" defaultColWidth="8.83203125" defaultRowHeight="13" x14ac:dyDescent="0.15"/>
  <cols>
    <col min="1" max="1" width="7.5" bestFit="1" customWidth="1"/>
    <col min="2" max="2" width="15.6640625" bestFit="1" customWidth="1"/>
    <col min="3" max="3" width="23.33203125" bestFit="1" customWidth="1"/>
    <col min="4" max="4" width="42.33203125" customWidth="1"/>
    <col min="5" max="5" width="17.5" customWidth="1"/>
    <col min="6" max="6" width="16.83203125" customWidth="1"/>
    <col min="7" max="7" width="14.6640625" bestFit="1" customWidth="1"/>
    <col min="8" max="8" width="23.1640625" bestFit="1" customWidth="1"/>
    <col min="9" max="9" width="23.6640625" bestFit="1" customWidth="1"/>
    <col min="10" max="10" width="16.6640625" customWidth="1"/>
    <col min="11" max="11" width="15.83203125" customWidth="1"/>
    <col min="12" max="12" width="14.6640625" bestFit="1" customWidth="1"/>
    <col min="13" max="13" width="23.1640625" bestFit="1" customWidth="1"/>
    <col min="14" max="14" width="23.6640625" bestFit="1" customWidth="1"/>
    <col min="15" max="15" width="17.33203125" customWidth="1"/>
    <col min="16" max="16" width="15.1640625" customWidth="1"/>
    <col min="17" max="17" width="16.6640625" customWidth="1"/>
    <col min="18" max="18" width="13.6640625" customWidth="1"/>
    <col min="19" max="19" width="11.1640625" customWidth="1"/>
    <col min="20" max="20" width="22.6640625" customWidth="1"/>
    <col min="21" max="22" width="24.83203125" customWidth="1"/>
    <col min="25" max="25" width="17" bestFit="1" customWidth="1"/>
    <col min="26" max="26" width="25.5" bestFit="1" customWidth="1"/>
    <col min="27" max="27" width="24.83203125" customWidth="1"/>
  </cols>
  <sheetData>
    <row r="1" spans="1:22" ht="16.5" customHeight="1" x14ac:dyDescent="0.2">
      <c r="A1" s="146" t="s">
        <v>271</v>
      </c>
      <c r="B1" s="146"/>
      <c r="C1" s="146"/>
      <c r="D1" s="100" t="s">
        <v>324</v>
      </c>
      <c r="F1" s="146" t="s">
        <v>274</v>
      </c>
      <c r="G1" s="146"/>
      <c r="H1" s="146"/>
      <c r="I1" s="146"/>
      <c r="K1" s="146" t="s">
        <v>275</v>
      </c>
      <c r="L1" s="146"/>
      <c r="M1" s="146"/>
      <c r="N1" s="146"/>
      <c r="S1" s="75"/>
      <c r="T1" s="77"/>
      <c r="U1" s="77"/>
      <c r="V1" s="77"/>
    </row>
    <row r="2" spans="1:22" x14ac:dyDescent="0.15">
      <c r="A2" s="24" t="s">
        <v>0</v>
      </c>
      <c r="B2" s="24" t="s">
        <v>4</v>
      </c>
      <c r="C2" s="24" t="s">
        <v>5</v>
      </c>
      <c r="D2" s="121" t="str">
        <f>IF(HelperCells!$B$3&lt;&gt;"","Updated: " &amp; TEXT(HelperCells!$B$3, "mm/dd/yyyy hh:mm am/pm"),"")</f>
        <v>Updated: 05/21/2026 09:15 AM</v>
      </c>
      <c r="E2" s="85" t="b">
        <v>0</v>
      </c>
      <c r="F2" s="83" t="s">
        <v>0</v>
      </c>
      <c r="G2" s="78" t="s">
        <v>4</v>
      </c>
      <c r="H2" s="78" t="s">
        <v>5</v>
      </c>
      <c r="I2" s="78" t="s">
        <v>366</v>
      </c>
      <c r="J2" s="85" t="b">
        <v>0</v>
      </c>
      <c r="K2" s="79" t="s">
        <v>0</v>
      </c>
      <c r="L2" s="80" t="s">
        <v>4</v>
      </c>
      <c r="M2" s="80" t="s">
        <v>5</v>
      </c>
      <c r="N2" s="80" t="s">
        <v>366</v>
      </c>
      <c r="S2" s="76"/>
      <c r="T2" s="76"/>
      <c r="U2" s="76"/>
      <c r="V2" s="76"/>
    </row>
    <row r="3" spans="1:22" x14ac:dyDescent="0.15">
      <c r="A3" t="s">
        <v>7</v>
      </c>
      <c r="B3" t="s">
        <v>6</v>
      </c>
      <c r="C3" t="s">
        <v>289</v>
      </c>
      <c r="F3" s="84" cm="1">
        <f t="array" ref="F3:F32">_xlfn._xlws.FILTER(VALUE(_xlfn.VALUETOTEXT(A$3:A$32)),VALUE(_xlfn.VALUETOTEXT($A$3:$A$32))&lt;=HelperCells!$B$16)</f>
        <v>2027</v>
      </c>
      <c r="G3" s="84" cm="1">
        <f t="array" ref="G3:G32">_xlfn._xlws.FILTER(VALUE(_xlfn.VALUETOTEXT(B$3:B$32)),VALUE(_xlfn.VALUETOTEXT($A$3:$A$32))&lt;=HelperCells!$B$16)</f>
        <v>1</v>
      </c>
      <c r="H3" s="82" cm="1">
        <f t="array" ref="H3:H32">_xlfn._xlws.FILTER(VALUE(_xlfn.VALUETOTEXT(C$3:C$32)),VALUE(_xlfn.VALUETOTEXT($A$3:$A$32))&lt;=HelperCells!$B$16)</f>
        <v>2.581</v>
      </c>
      <c r="I3" s="139">
        <f>IF(H3&lt;&gt;"",H3/100,"")</f>
        <v>2.581E-2</v>
      </c>
      <c r="K3" s="84" cm="1">
        <f t="array" ref="K3:K32">_xlfn._xlws.FILTER(VALUE(_xlfn.VALUETOTEXT(A$3:A$32)),VALUE(_xlfn.VALUETOTEXT($A$3:$A$32))&lt;=HelperCells!$B$29)</f>
        <v>2027</v>
      </c>
      <c r="L3" s="84" cm="1">
        <f t="array" ref="L3:L32">_xlfn._xlws.FILTER(VALUE(_xlfn.VALUETOTEXT(B$3:B$32)),VALUE(_xlfn.VALUETOTEXT($A$3:$A$32))&lt;=HelperCells!$B$29)</f>
        <v>1</v>
      </c>
      <c r="M3" s="82" cm="1">
        <f t="array" ref="M3:M32">_xlfn._xlws.FILTER(VALUE(_xlfn.VALUETOTEXT(C$3:C$32)),VALUE(_xlfn.VALUETOTEXT($A$3:$A$32))&lt;=HelperCells!$B$29)</f>
        <v>2.581</v>
      </c>
      <c r="N3" s="139">
        <f>IF(M3&lt;&gt;"",M3/100,"")</f>
        <v>2.581E-2</v>
      </c>
    </row>
    <row r="4" spans="1:22" x14ac:dyDescent="0.15">
      <c r="A4" t="s">
        <v>9</v>
      </c>
      <c r="B4" t="s">
        <v>8</v>
      </c>
      <c r="C4" t="s">
        <v>340</v>
      </c>
      <c r="D4" s="90"/>
      <c r="F4" s="84">
        <v>2028</v>
      </c>
      <c r="G4" s="81">
        <v>2</v>
      </c>
      <c r="H4" s="82">
        <v>2.5760000000000001</v>
      </c>
      <c r="I4" s="139">
        <f t="shared" ref="I4:I33" si="0">IF(H4&lt;&gt;"",H4/100,"")</f>
        <v>2.5760000000000002E-2</v>
      </c>
      <c r="K4" s="81">
        <v>2028</v>
      </c>
      <c r="L4" s="81">
        <v>2</v>
      </c>
      <c r="M4" s="82">
        <v>2.5760000000000001</v>
      </c>
      <c r="N4" s="139">
        <f t="shared" ref="N4:N33" si="1">IF(M4&lt;&gt;"",M4/100,"")</f>
        <v>2.5760000000000002E-2</v>
      </c>
    </row>
    <row r="5" spans="1:22" x14ac:dyDescent="0.15">
      <c r="A5" t="s">
        <v>11</v>
      </c>
      <c r="B5" t="s">
        <v>10</v>
      </c>
      <c r="C5" t="s">
        <v>341</v>
      </c>
      <c r="F5" s="84">
        <v>2029</v>
      </c>
      <c r="G5" s="81">
        <v>3</v>
      </c>
      <c r="H5" s="82">
        <v>2.58</v>
      </c>
      <c r="I5" s="139">
        <f t="shared" si="0"/>
        <v>2.58E-2</v>
      </c>
      <c r="K5" s="81">
        <v>2029</v>
      </c>
      <c r="L5" s="81">
        <v>3</v>
      </c>
      <c r="M5" s="82">
        <v>2.58</v>
      </c>
      <c r="N5" s="139">
        <f t="shared" si="1"/>
        <v>2.58E-2</v>
      </c>
    </row>
    <row r="6" spans="1:22" x14ac:dyDescent="0.15">
      <c r="A6" t="s">
        <v>13</v>
      </c>
      <c r="B6" t="s">
        <v>12</v>
      </c>
      <c r="C6" t="s">
        <v>342</v>
      </c>
      <c r="F6" s="84">
        <v>2030</v>
      </c>
      <c r="G6" s="81">
        <v>4</v>
      </c>
      <c r="H6" s="82">
        <v>2.6259999999999999</v>
      </c>
      <c r="I6" s="139">
        <f t="shared" si="0"/>
        <v>2.6259999999999999E-2</v>
      </c>
      <c r="K6" s="81">
        <v>2030</v>
      </c>
      <c r="L6" s="81">
        <v>4</v>
      </c>
      <c r="M6" s="82">
        <v>2.6259999999999999</v>
      </c>
      <c r="N6" s="139">
        <f t="shared" si="1"/>
        <v>2.6259999999999999E-2</v>
      </c>
    </row>
    <row r="7" spans="1:22" x14ac:dyDescent="0.15">
      <c r="A7" t="s">
        <v>15</v>
      </c>
      <c r="B7" t="s">
        <v>14</v>
      </c>
      <c r="C7" t="s">
        <v>343</v>
      </c>
      <c r="F7" s="84">
        <v>2031</v>
      </c>
      <c r="G7" s="81">
        <v>5</v>
      </c>
      <c r="H7" s="82">
        <v>2.6779999999999999</v>
      </c>
      <c r="I7" s="139">
        <f t="shared" si="0"/>
        <v>2.6779999999999998E-2</v>
      </c>
      <c r="K7" s="81">
        <v>2031</v>
      </c>
      <c r="L7" s="81">
        <v>5</v>
      </c>
      <c r="M7" s="82">
        <v>2.6779999999999999</v>
      </c>
      <c r="N7" s="139">
        <f t="shared" si="1"/>
        <v>2.6779999999999998E-2</v>
      </c>
    </row>
    <row r="8" spans="1:22" x14ac:dyDescent="0.15">
      <c r="A8" t="s">
        <v>17</v>
      </c>
      <c r="B8" t="s">
        <v>16</v>
      </c>
      <c r="C8" t="s">
        <v>344</v>
      </c>
      <c r="F8" s="84">
        <v>2032</v>
      </c>
      <c r="G8" s="81">
        <v>6</v>
      </c>
      <c r="H8" s="82">
        <v>2.75</v>
      </c>
      <c r="I8" s="139">
        <f t="shared" si="0"/>
        <v>2.75E-2</v>
      </c>
      <c r="K8" s="81">
        <v>2032</v>
      </c>
      <c r="L8" s="81">
        <v>6</v>
      </c>
      <c r="M8" s="82">
        <v>2.75</v>
      </c>
      <c r="N8" s="139">
        <f t="shared" si="1"/>
        <v>2.75E-2</v>
      </c>
    </row>
    <row r="9" spans="1:22" x14ac:dyDescent="0.15">
      <c r="A9" t="s">
        <v>19</v>
      </c>
      <c r="B9" t="s">
        <v>18</v>
      </c>
      <c r="C9" t="s">
        <v>345</v>
      </c>
      <c r="F9" s="84">
        <v>2033</v>
      </c>
      <c r="G9" s="81">
        <v>7</v>
      </c>
      <c r="H9" s="82">
        <v>2.85</v>
      </c>
      <c r="I9" s="139">
        <f t="shared" si="0"/>
        <v>2.8500000000000001E-2</v>
      </c>
      <c r="K9" s="81">
        <v>2033</v>
      </c>
      <c r="L9" s="81">
        <v>7</v>
      </c>
      <c r="M9" s="82">
        <v>2.85</v>
      </c>
      <c r="N9" s="139">
        <f t="shared" si="1"/>
        <v>2.8500000000000001E-2</v>
      </c>
    </row>
    <row r="10" spans="1:22" x14ac:dyDescent="0.15">
      <c r="A10" t="s">
        <v>21</v>
      </c>
      <c r="B10" t="s">
        <v>20</v>
      </c>
      <c r="C10" t="s">
        <v>346</v>
      </c>
      <c r="F10" s="84">
        <v>2034</v>
      </c>
      <c r="G10" s="81">
        <v>8</v>
      </c>
      <c r="H10" s="82">
        <v>2.9140000000000001</v>
      </c>
      <c r="I10" s="139">
        <f t="shared" si="0"/>
        <v>2.9140000000000003E-2</v>
      </c>
      <c r="K10" s="81">
        <v>2034</v>
      </c>
      <c r="L10" s="81">
        <v>8</v>
      </c>
      <c r="M10" s="82">
        <v>2.9140000000000001</v>
      </c>
      <c r="N10" s="139">
        <f t="shared" si="1"/>
        <v>2.9140000000000003E-2</v>
      </c>
    </row>
    <row r="11" spans="1:22" x14ac:dyDescent="0.15">
      <c r="A11" t="s">
        <v>23</v>
      </c>
      <c r="B11" t="s">
        <v>22</v>
      </c>
      <c r="C11" t="s">
        <v>335</v>
      </c>
      <c r="F11" s="84">
        <v>2035</v>
      </c>
      <c r="G11" s="81">
        <v>9</v>
      </c>
      <c r="H11" s="82">
        <v>3.004</v>
      </c>
      <c r="I11" s="139">
        <f t="shared" si="0"/>
        <v>3.0040000000000001E-2</v>
      </c>
      <c r="K11" s="81">
        <v>2035</v>
      </c>
      <c r="L11" s="81">
        <v>9</v>
      </c>
      <c r="M11" s="82">
        <v>3.004</v>
      </c>
      <c r="N11" s="139">
        <f t="shared" si="1"/>
        <v>3.0040000000000001E-2</v>
      </c>
    </row>
    <row r="12" spans="1:22" x14ac:dyDescent="0.15">
      <c r="A12" t="s">
        <v>25</v>
      </c>
      <c r="B12" t="s">
        <v>24</v>
      </c>
      <c r="C12" t="s">
        <v>336</v>
      </c>
      <c r="F12" s="84">
        <v>2036</v>
      </c>
      <c r="G12" s="81">
        <v>10</v>
      </c>
      <c r="H12" s="82">
        <v>3.1080000000000001</v>
      </c>
      <c r="I12" s="139">
        <f t="shared" si="0"/>
        <v>3.108E-2</v>
      </c>
      <c r="K12" s="81">
        <v>2036</v>
      </c>
      <c r="L12" s="81">
        <v>10</v>
      </c>
      <c r="M12" s="82">
        <v>3.1080000000000001</v>
      </c>
      <c r="N12" s="139">
        <f t="shared" si="1"/>
        <v>3.108E-2</v>
      </c>
    </row>
    <row r="13" spans="1:22" x14ac:dyDescent="0.15">
      <c r="A13" t="s">
        <v>27</v>
      </c>
      <c r="B13" t="s">
        <v>26</v>
      </c>
      <c r="C13" t="s">
        <v>347</v>
      </c>
      <c r="F13" s="84">
        <v>2037</v>
      </c>
      <c r="G13" s="81">
        <v>11</v>
      </c>
      <c r="H13" s="82">
        <v>3.2</v>
      </c>
      <c r="I13" s="139">
        <f t="shared" si="0"/>
        <v>3.2000000000000001E-2</v>
      </c>
      <c r="K13" s="81">
        <v>2037</v>
      </c>
      <c r="L13" s="81">
        <v>11</v>
      </c>
      <c r="M13" s="82">
        <v>3.2</v>
      </c>
      <c r="N13" s="139">
        <f t="shared" si="1"/>
        <v>3.2000000000000001E-2</v>
      </c>
    </row>
    <row r="14" spans="1:22" x14ac:dyDescent="0.15">
      <c r="A14" t="s">
        <v>29</v>
      </c>
      <c r="B14" t="s">
        <v>28</v>
      </c>
      <c r="C14" t="s">
        <v>348</v>
      </c>
      <c r="F14" s="84">
        <v>2038</v>
      </c>
      <c r="G14" s="81">
        <v>12</v>
      </c>
      <c r="H14" s="82">
        <v>3.2970000000000002</v>
      </c>
      <c r="I14" s="139">
        <f t="shared" si="0"/>
        <v>3.2969999999999999E-2</v>
      </c>
      <c r="K14" s="81">
        <v>2038</v>
      </c>
      <c r="L14" s="81">
        <v>12</v>
      </c>
      <c r="M14" s="82">
        <v>3.2970000000000002</v>
      </c>
      <c r="N14" s="139">
        <f t="shared" si="1"/>
        <v>3.2969999999999999E-2</v>
      </c>
    </row>
    <row r="15" spans="1:22" x14ac:dyDescent="0.15">
      <c r="A15" t="s">
        <v>31</v>
      </c>
      <c r="B15" t="s">
        <v>30</v>
      </c>
      <c r="C15" t="s">
        <v>349</v>
      </c>
      <c r="F15" s="84">
        <v>2039</v>
      </c>
      <c r="G15" s="81">
        <v>13</v>
      </c>
      <c r="H15" s="82">
        <v>3.37</v>
      </c>
      <c r="I15" s="139">
        <f t="shared" si="0"/>
        <v>3.3700000000000001E-2</v>
      </c>
      <c r="K15" s="81">
        <v>2039</v>
      </c>
      <c r="L15" s="81">
        <v>13</v>
      </c>
      <c r="M15" s="82">
        <v>3.37</v>
      </c>
      <c r="N15" s="139">
        <f t="shared" si="1"/>
        <v>3.3700000000000001E-2</v>
      </c>
    </row>
    <row r="16" spans="1:22" x14ac:dyDescent="0.15">
      <c r="A16" t="s">
        <v>33</v>
      </c>
      <c r="B16" t="s">
        <v>32</v>
      </c>
      <c r="C16" t="s">
        <v>350</v>
      </c>
      <c r="F16" s="84">
        <v>2040</v>
      </c>
      <c r="G16" s="81">
        <v>14</v>
      </c>
      <c r="H16" s="82">
        <v>3.4510000000000001</v>
      </c>
      <c r="I16" s="139">
        <f t="shared" si="0"/>
        <v>3.4509999999999999E-2</v>
      </c>
      <c r="K16" s="81">
        <v>2040</v>
      </c>
      <c r="L16" s="81">
        <v>14</v>
      </c>
      <c r="M16" s="82">
        <v>3.4510000000000001</v>
      </c>
      <c r="N16" s="139">
        <f t="shared" si="1"/>
        <v>3.4509999999999999E-2</v>
      </c>
    </row>
    <row r="17" spans="1:14" x14ac:dyDescent="0.15">
      <c r="A17" t="s">
        <v>35</v>
      </c>
      <c r="B17" t="s">
        <v>34</v>
      </c>
      <c r="C17" t="s">
        <v>351</v>
      </c>
      <c r="F17" s="84">
        <v>2041</v>
      </c>
      <c r="G17" s="81">
        <v>15</v>
      </c>
      <c r="H17" s="82">
        <v>3.5009999999999999</v>
      </c>
      <c r="I17" s="139">
        <f t="shared" si="0"/>
        <v>3.5009999999999999E-2</v>
      </c>
      <c r="K17" s="81">
        <v>2041</v>
      </c>
      <c r="L17" s="81">
        <v>15</v>
      </c>
      <c r="M17" s="82">
        <v>3.5009999999999999</v>
      </c>
      <c r="N17" s="139">
        <f t="shared" si="1"/>
        <v>3.5009999999999999E-2</v>
      </c>
    </row>
    <row r="18" spans="1:14" x14ac:dyDescent="0.15">
      <c r="A18" t="s">
        <v>37</v>
      </c>
      <c r="B18" t="s">
        <v>36</v>
      </c>
      <c r="C18" t="s">
        <v>352</v>
      </c>
      <c r="F18" s="84">
        <v>2042</v>
      </c>
      <c r="G18" s="81">
        <v>16</v>
      </c>
      <c r="H18" s="82">
        <v>3.609</v>
      </c>
      <c r="I18" s="139">
        <f t="shared" si="0"/>
        <v>3.6089999999999997E-2</v>
      </c>
      <c r="K18" s="81">
        <v>2042</v>
      </c>
      <c r="L18" s="81">
        <v>16</v>
      </c>
      <c r="M18" s="82">
        <v>3.609</v>
      </c>
      <c r="N18" s="139">
        <f t="shared" si="1"/>
        <v>3.6089999999999997E-2</v>
      </c>
    </row>
    <row r="19" spans="1:14" x14ac:dyDescent="0.15">
      <c r="A19" t="s">
        <v>39</v>
      </c>
      <c r="B19" t="s">
        <v>38</v>
      </c>
      <c r="C19" t="s">
        <v>353</v>
      </c>
      <c r="F19" s="84">
        <v>2043</v>
      </c>
      <c r="G19" s="81">
        <v>17</v>
      </c>
      <c r="H19" s="82">
        <v>3.7410000000000001</v>
      </c>
      <c r="I19" s="139">
        <f t="shared" si="0"/>
        <v>3.7409999999999999E-2</v>
      </c>
      <c r="K19" s="81">
        <v>2043</v>
      </c>
      <c r="L19" s="81">
        <v>17</v>
      </c>
      <c r="M19" s="82">
        <v>3.7410000000000001</v>
      </c>
      <c r="N19" s="139">
        <f t="shared" si="1"/>
        <v>3.7409999999999999E-2</v>
      </c>
    </row>
    <row r="20" spans="1:14" x14ac:dyDescent="0.15">
      <c r="A20" t="s">
        <v>41</v>
      </c>
      <c r="B20" t="s">
        <v>40</v>
      </c>
      <c r="C20" t="s">
        <v>354</v>
      </c>
      <c r="F20" s="84">
        <v>2044</v>
      </c>
      <c r="G20" s="81">
        <v>18</v>
      </c>
      <c r="H20" s="82">
        <v>3.8730000000000002</v>
      </c>
      <c r="I20" s="139">
        <f t="shared" si="0"/>
        <v>3.8730000000000001E-2</v>
      </c>
      <c r="K20" s="81">
        <v>2044</v>
      </c>
      <c r="L20" s="81">
        <v>18</v>
      </c>
      <c r="M20" s="82">
        <v>3.8730000000000002</v>
      </c>
      <c r="N20" s="139">
        <f t="shared" si="1"/>
        <v>3.8730000000000001E-2</v>
      </c>
    </row>
    <row r="21" spans="1:14" x14ac:dyDescent="0.15">
      <c r="A21" t="s">
        <v>43</v>
      </c>
      <c r="B21" t="s">
        <v>42</v>
      </c>
      <c r="C21" t="s">
        <v>355</v>
      </c>
      <c r="F21" s="84">
        <v>2045</v>
      </c>
      <c r="G21" s="81">
        <v>19</v>
      </c>
      <c r="H21" s="82">
        <v>4.01</v>
      </c>
      <c r="I21" s="139">
        <f t="shared" si="0"/>
        <v>4.0099999999999997E-2</v>
      </c>
      <c r="K21" s="81">
        <v>2045</v>
      </c>
      <c r="L21" s="81">
        <v>19</v>
      </c>
      <c r="M21" s="82">
        <v>4.01</v>
      </c>
      <c r="N21" s="139">
        <f t="shared" si="1"/>
        <v>4.0099999999999997E-2</v>
      </c>
    </row>
    <row r="22" spans="1:14" x14ac:dyDescent="0.15">
      <c r="A22" t="s">
        <v>45</v>
      </c>
      <c r="B22" t="s">
        <v>44</v>
      </c>
      <c r="C22" t="s">
        <v>356</v>
      </c>
      <c r="F22" s="84">
        <v>2046</v>
      </c>
      <c r="G22" s="81">
        <v>20</v>
      </c>
      <c r="H22" s="82">
        <v>4.133</v>
      </c>
      <c r="I22" s="139">
        <f t="shared" si="0"/>
        <v>4.1329999999999999E-2</v>
      </c>
      <c r="K22" s="81">
        <v>2046</v>
      </c>
      <c r="L22" s="81">
        <v>20</v>
      </c>
      <c r="M22" s="82">
        <v>4.133</v>
      </c>
      <c r="N22" s="139">
        <f t="shared" si="1"/>
        <v>4.1329999999999999E-2</v>
      </c>
    </row>
    <row r="23" spans="1:14" x14ac:dyDescent="0.15">
      <c r="A23" t="s">
        <v>47</v>
      </c>
      <c r="B23" t="s">
        <v>46</v>
      </c>
      <c r="C23" t="s">
        <v>357</v>
      </c>
      <c r="F23" s="84">
        <v>2047</v>
      </c>
      <c r="G23" s="81">
        <v>21</v>
      </c>
      <c r="H23" s="82">
        <v>4.2140000000000004</v>
      </c>
      <c r="I23" s="139">
        <f t="shared" si="0"/>
        <v>4.2140000000000004E-2</v>
      </c>
      <c r="K23" s="81">
        <v>2047</v>
      </c>
      <c r="L23" s="81">
        <v>21</v>
      </c>
      <c r="M23" s="82">
        <v>4.2140000000000004</v>
      </c>
      <c r="N23" s="139">
        <f t="shared" si="1"/>
        <v>4.2140000000000004E-2</v>
      </c>
    </row>
    <row r="24" spans="1:14" x14ac:dyDescent="0.15">
      <c r="A24" t="s">
        <v>49</v>
      </c>
      <c r="B24" t="s">
        <v>48</v>
      </c>
      <c r="C24" t="s">
        <v>358</v>
      </c>
      <c r="F24" s="84">
        <v>2048</v>
      </c>
      <c r="G24" s="81">
        <v>22</v>
      </c>
      <c r="H24" s="82">
        <v>4.28</v>
      </c>
      <c r="I24" s="139">
        <f t="shared" si="0"/>
        <v>4.2800000000000005E-2</v>
      </c>
      <c r="K24" s="81">
        <v>2048</v>
      </c>
      <c r="L24" s="81">
        <v>22</v>
      </c>
      <c r="M24" s="82">
        <v>4.28</v>
      </c>
      <c r="N24" s="139">
        <f t="shared" si="1"/>
        <v>4.2800000000000005E-2</v>
      </c>
    </row>
    <row r="25" spans="1:14" x14ac:dyDescent="0.15">
      <c r="A25" t="s">
        <v>51</v>
      </c>
      <c r="B25" t="s">
        <v>50</v>
      </c>
      <c r="C25" t="s">
        <v>359</v>
      </c>
      <c r="F25" s="84">
        <v>2049</v>
      </c>
      <c r="G25" s="81">
        <v>23</v>
      </c>
      <c r="H25" s="82">
        <v>4.3250000000000002</v>
      </c>
      <c r="I25" s="139">
        <f t="shared" si="0"/>
        <v>4.3250000000000004E-2</v>
      </c>
      <c r="K25" s="81">
        <v>2049</v>
      </c>
      <c r="L25" s="81">
        <v>23</v>
      </c>
      <c r="M25" s="82">
        <v>4.3250000000000002</v>
      </c>
      <c r="N25" s="139">
        <f t="shared" si="1"/>
        <v>4.3250000000000004E-2</v>
      </c>
    </row>
    <row r="26" spans="1:14" x14ac:dyDescent="0.15">
      <c r="A26" t="s">
        <v>53</v>
      </c>
      <c r="B26" t="s">
        <v>52</v>
      </c>
      <c r="C26" t="s">
        <v>360</v>
      </c>
      <c r="F26" s="84">
        <v>2050</v>
      </c>
      <c r="G26" s="81">
        <v>24</v>
      </c>
      <c r="H26" s="82">
        <v>4.3769999999999998</v>
      </c>
      <c r="I26" s="139">
        <f t="shared" si="0"/>
        <v>4.3769999999999996E-2</v>
      </c>
      <c r="K26" s="81">
        <v>2050</v>
      </c>
      <c r="L26" s="81">
        <v>24</v>
      </c>
      <c r="M26" s="82">
        <v>4.3769999999999998</v>
      </c>
      <c r="N26" s="139">
        <f t="shared" si="1"/>
        <v>4.3769999999999996E-2</v>
      </c>
    </row>
    <row r="27" spans="1:14" x14ac:dyDescent="0.15">
      <c r="A27" t="s">
        <v>55</v>
      </c>
      <c r="B27" t="s">
        <v>54</v>
      </c>
      <c r="C27" t="s">
        <v>361</v>
      </c>
      <c r="F27" s="84">
        <v>2051</v>
      </c>
      <c r="G27" s="81">
        <v>25</v>
      </c>
      <c r="H27" s="82">
        <v>4.399</v>
      </c>
      <c r="I27" s="139">
        <f t="shared" si="0"/>
        <v>4.3990000000000001E-2</v>
      </c>
      <c r="K27" s="81">
        <v>2051</v>
      </c>
      <c r="L27" s="81">
        <v>25</v>
      </c>
      <c r="M27" s="82">
        <v>4.399</v>
      </c>
      <c r="N27" s="139">
        <f t="shared" si="1"/>
        <v>4.3990000000000001E-2</v>
      </c>
    </row>
    <row r="28" spans="1:14" x14ac:dyDescent="0.15">
      <c r="A28" t="s">
        <v>57</v>
      </c>
      <c r="B28" t="s">
        <v>56</v>
      </c>
      <c r="C28" t="s">
        <v>337</v>
      </c>
      <c r="F28" s="84">
        <v>2052</v>
      </c>
      <c r="G28" s="81">
        <v>26</v>
      </c>
      <c r="H28" s="82">
        <v>4.4219999999999997</v>
      </c>
      <c r="I28" s="139">
        <f t="shared" si="0"/>
        <v>4.4219999999999995E-2</v>
      </c>
      <c r="K28" s="81">
        <v>2052</v>
      </c>
      <c r="L28" s="81">
        <v>26</v>
      </c>
      <c r="M28" s="82">
        <v>4.4219999999999997</v>
      </c>
      <c r="N28" s="139">
        <f t="shared" si="1"/>
        <v>4.4219999999999995E-2</v>
      </c>
    </row>
    <row r="29" spans="1:14" x14ac:dyDescent="0.15">
      <c r="A29" t="s">
        <v>59</v>
      </c>
      <c r="B29" t="s">
        <v>58</v>
      </c>
      <c r="C29" t="s">
        <v>338</v>
      </c>
      <c r="F29" s="84">
        <v>2053</v>
      </c>
      <c r="G29" s="81">
        <v>27</v>
      </c>
      <c r="H29" s="82">
        <v>4.4359999999999999</v>
      </c>
      <c r="I29" s="139">
        <f t="shared" si="0"/>
        <v>4.4359999999999997E-2</v>
      </c>
      <c r="K29" s="81">
        <v>2053</v>
      </c>
      <c r="L29" s="81">
        <v>27</v>
      </c>
      <c r="M29" s="82">
        <v>4.4359999999999999</v>
      </c>
      <c r="N29" s="139">
        <f t="shared" si="1"/>
        <v>4.4359999999999997E-2</v>
      </c>
    </row>
    <row r="30" spans="1:14" x14ac:dyDescent="0.15">
      <c r="A30" t="s">
        <v>61</v>
      </c>
      <c r="B30" t="s">
        <v>60</v>
      </c>
      <c r="C30" t="s">
        <v>339</v>
      </c>
      <c r="F30" s="84">
        <v>2054</v>
      </c>
      <c r="G30" s="81">
        <v>28</v>
      </c>
      <c r="H30" s="82">
        <v>4.46</v>
      </c>
      <c r="I30" s="139">
        <f t="shared" si="0"/>
        <v>4.4600000000000001E-2</v>
      </c>
      <c r="K30" s="81">
        <v>2054</v>
      </c>
      <c r="L30" s="81">
        <v>28</v>
      </c>
      <c r="M30" s="82">
        <v>4.46</v>
      </c>
      <c r="N30" s="139">
        <f t="shared" si="1"/>
        <v>4.4600000000000001E-2</v>
      </c>
    </row>
    <row r="31" spans="1:14" x14ac:dyDescent="0.15">
      <c r="A31" t="s">
        <v>63</v>
      </c>
      <c r="B31" t="s">
        <v>62</v>
      </c>
      <c r="C31" t="s">
        <v>362</v>
      </c>
      <c r="F31" s="84">
        <v>2055</v>
      </c>
      <c r="G31" s="81">
        <v>29</v>
      </c>
      <c r="H31" s="82">
        <v>4.4660000000000002</v>
      </c>
      <c r="I31" s="139">
        <f t="shared" si="0"/>
        <v>4.4660000000000005E-2</v>
      </c>
      <c r="K31" s="81">
        <v>2055</v>
      </c>
      <c r="L31" s="81">
        <v>29</v>
      </c>
      <c r="M31" s="82">
        <v>4.4660000000000002</v>
      </c>
      <c r="N31" s="139">
        <f t="shared" si="1"/>
        <v>4.4660000000000005E-2</v>
      </c>
    </row>
    <row r="32" spans="1:14" x14ac:dyDescent="0.15">
      <c r="A32" t="s">
        <v>78</v>
      </c>
      <c r="B32" t="s">
        <v>64</v>
      </c>
      <c r="C32" t="s">
        <v>363</v>
      </c>
      <c r="F32" s="84">
        <v>2056</v>
      </c>
      <c r="G32" s="81">
        <v>30</v>
      </c>
      <c r="H32" s="82">
        <v>4.4859999999999998</v>
      </c>
      <c r="I32" s="139">
        <f t="shared" si="0"/>
        <v>4.4859999999999997E-2</v>
      </c>
      <c r="K32" s="81">
        <v>2056</v>
      </c>
      <c r="L32" s="81">
        <v>30</v>
      </c>
      <c r="M32" s="82">
        <v>4.4859999999999998</v>
      </c>
      <c r="N32" s="139">
        <f t="shared" si="1"/>
        <v>4.4859999999999997E-2</v>
      </c>
    </row>
    <row r="33" spans="1:14" x14ac:dyDescent="0.15">
      <c r="F33" s="86" t="str">
        <f>IF(F32&lt;&gt;"","*"&amp;F32+1,"")</f>
        <v>*2057</v>
      </c>
      <c r="G33" s="136" t="str">
        <f>IF(F33&lt;&gt;"","N/A","")</f>
        <v>N/A</v>
      </c>
      <c r="H33" s="86">
        <f>IF(F33&lt;&gt;"",H32,"")</f>
        <v>4.4859999999999998</v>
      </c>
      <c r="I33" s="139">
        <f t="shared" si="0"/>
        <v>4.4859999999999997E-2</v>
      </c>
      <c r="K33" t="str">
        <f>IF(K32&lt;&gt;"","*"&amp;K32+1,"")</f>
        <v>*2057</v>
      </c>
      <c r="L33" s="136" t="str">
        <f>IF(K33&lt;&gt;"","N/A","")</f>
        <v>N/A</v>
      </c>
      <c r="M33" s="86">
        <f>IF(K33&lt;&gt;"",M32,"")</f>
        <v>4.4859999999999998</v>
      </c>
      <c r="N33" s="139">
        <f t="shared" si="1"/>
        <v>4.4859999999999997E-2</v>
      </c>
    </row>
    <row r="35" spans="1:14" ht="16.5" customHeight="1" x14ac:dyDescent="0.15">
      <c r="A35" s="145" t="s">
        <v>288</v>
      </c>
      <c r="B35" s="145"/>
      <c r="C35" s="145"/>
      <c r="D35" s="85" t="b">
        <v>0</v>
      </c>
    </row>
    <row r="36" spans="1:14" ht="14" thickBot="1" x14ac:dyDescent="0.2">
      <c r="A36" s="88" t="s">
        <v>0</v>
      </c>
      <c r="B36" s="89" t="s">
        <v>4</v>
      </c>
      <c r="C36" s="89" t="s">
        <v>5</v>
      </c>
      <c r="D36" s="122" t="str">
        <f>IF(HelperCells!$B$2&lt;&gt;"","Updated: " &amp; TEXT(HelperCells!$B$2, "mm/dd/yyyy hh:mm AM/PM"),"")</f>
        <v/>
      </c>
    </row>
    <row r="37" spans="1:14" ht="14" thickTop="1" x14ac:dyDescent="0.15">
      <c r="A37" s="91"/>
      <c r="B37" s="92"/>
      <c r="C37" s="97"/>
    </row>
    <row r="38" spans="1:14" x14ac:dyDescent="0.15">
      <c r="A38" s="93"/>
      <c r="B38" s="94"/>
      <c r="C38" s="98"/>
    </row>
    <row r="39" spans="1:14" x14ac:dyDescent="0.15">
      <c r="A39" s="95"/>
      <c r="B39" s="96"/>
      <c r="C39" s="99"/>
    </row>
    <row r="40" spans="1:14" x14ac:dyDescent="0.15">
      <c r="A40" s="93"/>
      <c r="B40" s="94"/>
      <c r="C40" s="98"/>
    </row>
    <row r="41" spans="1:14" x14ac:dyDescent="0.15">
      <c r="A41" s="95"/>
      <c r="B41" s="96"/>
      <c r="C41" s="99"/>
    </row>
    <row r="42" spans="1:14" x14ac:dyDescent="0.15">
      <c r="A42" s="93"/>
      <c r="B42" s="94"/>
      <c r="C42" s="98"/>
    </row>
    <row r="43" spans="1:14" x14ac:dyDescent="0.15">
      <c r="A43" s="95"/>
      <c r="B43" s="96"/>
      <c r="C43" s="99"/>
    </row>
    <row r="44" spans="1:14" x14ac:dyDescent="0.15">
      <c r="A44" s="93"/>
      <c r="B44" s="94"/>
      <c r="C44" s="98"/>
    </row>
    <row r="45" spans="1:14" x14ac:dyDescent="0.15">
      <c r="A45" s="95"/>
      <c r="B45" s="96"/>
      <c r="C45" s="99"/>
    </row>
    <row r="46" spans="1:14" x14ac:dyDescent="0.15">
      <c r="A46" s="93"/>
      <c r="B46" s="94"/>
      <c r="C46" s="98"/>
    </row>
    <row r="47" spans="1:14" x14ac:dyDescent="0.15">
      <c r="A47" s="95"/>
      <c r="B47" s="96"/>
      <c r="C47" s="99"/>
    </row>
    <row r="48" spans="1:14" x14ac:dyDescent="0.15">
      <c r="A48" s="93"/>
      <c r="B48" s="94"/>
      <c r="C48" s="98"/>
    </row>
    <row r="49" spans="1:12" x14ac:dyDescent="0.15">
      <c r="A49" s="95"/>
      <c r="B49" s="96"/>
      <c r="C49" s="99"/>
    </row>
    <row r="50" spans="1:12" x14ac:dyDescent="0.15">
      <c r="A50" s="93"/>
      <c r="B50" s="94"/>
      <c r="C50" s="98"/>
    </row>
    <row r="51" spans="1:12" x14ac:dyDescent="0.15">
      <c r="A51" s="95"/>
      <c r="B51" s="96"/>
      <c r="C51" s="99"/>
    </row>
    <row r="52" spans="1:12" x14ac:dyDescent="0.15">
      <c r="A52" s="93"/>
      <c r="B52" s="94"/>
      <c r="C52" s="98"/>
    </row>
    <row r="53" spans="1:12" x14ac:dyDescent="0.15">
      <c r="A53" s="95"/>
      <c r="B53" s="96"/>
      <c r="C53" s="99"/>
    </row>
    <row r="54" spans="1:12" x14ac:dyDescent="0.15">
      <c r="A54" s="93"/>
      <c r="B54" s="94"/>
      <c r="C54" s="98"/>
    </row>
    <row r="55" spans="1:12" x14ac:dyDescent="0.15">
      <c r="A55" s="95"/>
      <c r="B55" s="96"/>
      <c r="C55" s="99"/>
      <c r="E55" s="7" t="s">
        <v>365</v>
      </c>
      <c r="L55" s="7" t="s">
        <v>364</v>
      </c>
    </row>
    <row r="56" spans="1:12" x14ac:dyDescent="0.15">
      <c r="A56" s="93"/>
      <c r="B56" s="94"/>
      <c r="C56" s="98"/>
    </row>
    <row r="57" spans="1:12" x14ac:dyDescent="0.15">
      <c r="A57" s="95"/>
      <c r="B57" s="96"/>
      <c r="C57" s="99"/>
    </row>
    <row r="58" spans="1:12" x14ac:dyDescent="0.15">
      <c r="A58" s="93"/>
      <c r="B58" s="94"/>
      <c r="C58" s="98"/>
    </row>
    <row r="59" spans="1:12" x14ac:dyDescent="0.15">
      <c r="A59" s="95"/>
      <c r="B59" s="96"/>
      <c r="C59" s="99"/>
    </row>
    <row r="60" spans="1:12" x14ac:dyDescent="0.15">
      <c r="A60" s="93"/>
      <c r="B60" s="94"/>
      <c r="C60" s="98"/>
    </row>
    <row r="61" spans="1:12" x14ac:dyDescent="0.15">
      <c r="A61" s="95"/>
      <c r="B61" s="96"/>
      <c r="C61" s="99"/>
    </row>
    <row r="62" spans="1:12" x14ac:dyDescent="0.15">
      <c r="A62" s="93"/>
      <c r="B62" s="94"/>
      <c r="C62" s="98"/>
    </row>
    <row r="63" spans="1:12" x14ac:dyDescent="0.15">
      <c r="A63" s="95"/>
      <c r="B63" s="96"/>
      <c r="C63" s="99"/>
    </row>
    <row r="64" spans="1:12" x14ac:dyDescent="0.15">
      <c r="A64" s="93"/>
      <c r="B64" s="94"/>
      <c r="C64" s="98"/>
    </row>
    <row r="65" spans="1:3" x14ac:dyDescent="0.15">
      <c r="A65" s="95"/>
      <c r="B65" s="96"/>
      <c r="C65" s="99"/>
    </row>
    <row r="66" spans="1:3" x14ac:dyDescent="0.15">
      <c r="A66" s="93"/>
      <c r="B66" s="94"/>
      <c r="C66" s="98"/>
    </row>
  </sheetData>
  <mergeCells count="4">
    <mergeCell ref="A35:C35"/>
    <mergeCell ref="A1:C1"/>
    <mergeCell ref="K1:N1"/>
    <mergeCell ref="F1:I1"/>
  </mergeCells>
  <conditionalFormatting sqref="F3:I33">
    <cfRule type="expression" dxfId="25" priority="4" stopIfTrue="1">
      <formula>F3:I3&lt;&gt;""</formula>
    </cfRule>
  </conditionalFormatting>
  <conditionalFormatting sqref="K3:N33">
    <cfRule type="expression" dxfId="24" priority="3">
      <formula>K3:N3&lt;&gt;""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25400</xdr:colOff>
                    <xdr:row>0</xdr:row>
                    <xdr:rowOff>190500</xdr:rowOff>
                  </from>
                  <to>
                    <xdr:col>4</xdr:col>
                    <xdr:colOff>1092200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25400</xdr:colOff>
                    <xdr:row>0</xdr:row>
                    <xdr:rowOff>203200</xdr:rowOff>
                  </from>
                  <to>
                    <xdr:col>10</xdr:col>
                    <xdr:colOff>127000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2692400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81.099999999999994</v>
      </c>
    </row>
    <row r="2" spans="1:2" x14ac:dyDescent="0.15">
      <c r="A2">
        <v>1</v>
      </c>
      <c r="B2" s="11">
        <v>80.5</v>
      </c>
    </row>
    <row r="3" spans="1:2" x14ac:dyDescent="0.15">
      <c r="A3">
        <v>2</v>
      </c>
      <c r="B3" s="11">
        <v>79.5</v>
      </c>
    </row>
    <row r="4" spans="1:2" x14ac:dyDescent="0.15">
      <c r="A4">
        <v>3</v>
      </c>
      <c r="B4" s="11">
        <v>78.5</v>
      </c>
    </row>
    <row r="5" spans="1:2" x14ac:dyDescent="0.15">
      <c r="A5">
        <v>4</v>
      </c>
      <c r="B5" s="11">
        <v>77.599999999999994</v>
      </c>
    </row>
    <row r="6" spans="1:2" x14ac:dyDescent="0.15">
      <c r="A6">
        <v>5</v>
      </c>
      <c r="B6" s="11">
        <v>76.599999999999994</v>
      </c>
    </row>
    <row r="7" spans="1:2" x14ac:dyDescent="0.15">
      <c r="A7">
        <v>6</v>
      </c>
      <c r="B7" s="11">
        <v>75.599999999999994</v>
      </c>
    </row>
    <row r="8" spans="1:2" x14ac:dyDescent="0.15">
      <c r="A8">
        <v>7</v>
      </c>
      <c r="B8" s="11">
        <v>74.599999999999994</v>
      </c>
    </row>
    <row r="9" spans="1:2" x14ac:dyDescent="0.15">
      <c r="A9">
        <v>8</v>
      </c>
      <c r="B9" s="11">
        <v>73.599999999999994</v>
      </c>
    </row>
    <row r="10" spans="1:2" x14ac:dyDescent="0.15">
      <c r="A10">
        <v>9</v>
      </c>
      <c r="B10" s="11">
        <v>72.599999999999994</v>
      </c>
    </row>
    <row r="11" spans="1:2" x14ac:dyDescent="0.15">
      <c r="A11">
        <v>10</v>
      </c>
      <c r="B11" s="11">
        <v>71.599999999999994</v>
      </c>
    </row>
    <row r="12" spans="1:2" x14ac:dyDescent="0.15">
      <c r="A12">
        <v>11</v>
      </c>
      <c r="B12" s="11">
        <v>70.599999999999994</v>
      </c>
    </row>
    <row r="13" spans="1:2" x14ac:dyDescent="0.15">
      <c r="A13">
        <v>12</v>
      </c>
      <c r="B13" s="11">
        <v>69.599999999999994</v>
      </c>
    </row>
    <row r="14" spans="1:2" x14ac:dyDescent="0.15">
      <c r="A14">
        <v>13</v>
      </c>
      <c r="B14" s="11">
        <v>68.599999999999994</v>
      </c>
    </row>
    <row r="15" spans="1:2" x14ac:dyDescent="0.15">
      <c r="A15">
        <v>14</v>
      </c>
      <c r="B15" s="11">
        <v>67.599999999999994</v>
      </c>
    </row>
    <row r="16" spans="1:2" x14ac:dyDescent="0.15">
      <c r="A16">
        <v>15</v>
      </c>
      <c r="B16" s="11">
        <v>66.7</v>
      </c>
    </row>
    <row r="17" spans="1:2" x14ac:dyDescent="0.15">
      <c r="A17">
        <v>16</v>
      </c>
      <c r="B17" s="11">
        <v>65.7</v>
      </c>
    </row>
    <row r="18" spans="1:2" x14ac:dyDescent="0.15">
      <c r="A18">
        <v>17</v>
      </c>
      <c r="B18" s="11">
        <v>64.7</v>
      </c>
    </row>
    <row r="19" spans="1:2" x14ac:dyDescent="0.15">
      <c r="A19">
        <v>18</v>
      </c>
      <c r="B19" s="11">
        <v>63.7</v>
      </c>
    </row>
    <row r="20" spans="1:2" x14ac:dyDescent="0.15">
      <c r="A20">
        <v>19</v>
      </c>
      <c r="B20" s="11">
        <v>62.7</v>
      </c>
    </row>
    <row r="21" spans="1:2" x14ac:dyDescent="0.15">
      <c r="A21">
        <v>20</v>
      </c>
      <c r="B21" s="11">
        <v>61.8</v>
      </c>
    </row>
    <row r="22" spans="1:2" x14ac:dyDescent="0.15">
      <c r="A22">
        <v>21</v>
      </c>
      <c r="B22" s="11">
        <v>60.8</v>
      </c>
    </row>
    <row r="23" spans="1:2" x14ac:dyDescent="0.15">
      <c r="A23">
        <v>22</v>
      </c>
      <c r="B23" s="11">
        <v>59.8</v>
      </c>
    </row>
    <row r="24" spans="1:2" x14ac:dyDescent="0.15">
      <c r="A24">
        <v>23</v>
      </c>
      <c r="B24" s="11">
        <v>58.9</v>
      </c>
    </row>
    <row r="25" spans="1:2" x14ac:dyDescent="0.15">
      <c r="A25">
        <v>24</v>
      </c>
      <c r="B25" s="11">
        <v>57.9</v>
      </c>
    </row>
    <row r="26" spans="1:2" x14ac:dyDescent="0.15">
      <c r="A26">
        <v>25</v>
      </c>
      <c r="B26" s="11">
        <v>56.9</v>
      </c>
    </row>
    <row r="27" spans="1:2" x14ac:dyDescent="0.15">
      <c r="A27">
        <v>26</v>
      </c>
      <c r="B27" s="11">
        <v>56</v>
      </c>
    </row>
    <row r="28" spans="1:2" x14ac:dyDescent="0.15">
      <c r="A28">
        <v>27</v>
      </c>
      <c r="B28" s="11">
        <v>55</v>
      </c>
    </row>
    <row r="29" spans="1:2" x14ac:dyDescent="0.15">
      <c r="A29">
        <v>28</v>
      </c>
      <c r="B29" s="11">
        <v>54</v>
      </c>
    </row>
    <row r="30" spans="1:2" x14ac:dyDescent="0.15">
      <c r="A30">
        <v>29</v>
      </c>
      <c r="B30" s="11">
        <v>53.1</v>
      </c>
    </row>
    <row r="31" spans="1:2" x14ac:dyDescent="0.15">
      <c r="A31">
        <v>30</v>
      </c>
      <c r="B31" s="11">
        <v>52.1</v>
      </c>
    </row>
    <row r="32" spans="1:2" x14ac:dyDescent="0.15">
      <c r="A32">
        <v>31</v>
      </c>
      <c r="B32" s="11">
        <v>51.2</v>
      </c>
    </row>
    <row r="33" spans="1:2" x14ac:dyDescent="0.15">
      <c r="A33">
        <v>32</v>
      </c>
      <c r="B33" s="11">
        <v>50.2</v>
      </c>
    </row>
    <row r="34" spans="1:2" x14ac:dyDescent="0.15">
      <c r="A34">
        <v>33</v>
      </c>
      <c r="B34" s="11">
        <v>49.3</v>
      </c>
    </row>
    <row r="35" spans="1:2" x14ac:dyDescent="0.15">
      <c r="A35">
        <v>34</v>
      </c>
      <c r="B35" s="11">
        <v>48.3</v>
      </c>
    </row>
    <row r="36" spans="1:2" x14ac:dyDescent="0.15">
      <c r="A36">
        <v>35</v>
      </c>
      <c r="B36" s="11">
        <v>47.4</v>
      </c>
    </row>
    <row r="37" spans="1:2" x14ac:dyDescent="0.15">
      <c r="A37">
        <v>36</v>
      </c>
      <c r="B37" s="11">
        <v>46.4</v>
      </c>
    </row>
    <row r="38" spans="1:2" x14ac:dyDescent="0.15">
      <c r="A38">
        <v>37</v>
      </c>
      <c r="B38" s="11">
        <v>45.5</v>
      </c>
    </row>
    <row r="39" spans="1:2" x14ac:dyDescent="0.15">
      <c r="A39">
        <v>38</v>
      </c>
      <c r="B39" s="11">
        <v>44.5</v>
      </c>
    </row>
    <row r="40" spans="1:2" x14ac:dyDescent="0.15">
      <c r="A40">
        <v>39</v>
      </c>
      <c r="B40" s="11">
        <v>43.6</v>
      </c>
    </row>
    <row r="41" spans="1:2" x14ac:dyDescent="0.15">
      <c r="A41">
        <v>40</v>
      </c>
      <c r="B41" s="11">
        <v>42.7</v>
      </c>
    </row>
    <row r="42" spans="1:2" x14ac:dyDescent="0.15">
      <c r="A42">
        <v>41</v>
      </c>
      <c r="B42" s="11">
        <v>41.7</v>
      </c>
    </row>
    <row r="43" spans="1:2" x14ac:dyDescent="0.15">
      <c r="A43">
        <v>42</v>
      </c>
      <c r="B43" s="11">
        <v>40.799999999999997</v>
      </c>
    </row>
    <row r="44" spans="1:2" x14ac:dyDescent="0.15">
      <c r="A44">
        <v>43</v>
      </c>
      <c r="B44" s="11">
        <v>39.9</v>
      </c>
    </row>
    <row r="45" spans="1:2" x14ac:dyDescent="0.15">
      <c r="A45">
        <v>44</v>
      </c>
      <c r="B45" s="11">
        <v>39</v>
      </c>
    </row>
    <row r="46" spans="1:2" x14ac:dyDescent="0.15">
      <c r="A46">
        <v>45</v>
      </c>
      <c r="B46" s="11">
        <v>38</v>
      </c>
    </row>
    <row r="47" spans="1:2" x14ac:dyDescent="0.15">
      <c r="A47">
        <v>46</v>
      </c>
      <c r="B47" s="11">
        <v>37.1</v>
      </c>
    </row>
    <row r="48" spans="1:2" x14ac:dyDescent="0.15">
      <c r="A48">
        <v>47</v>
      </c>
      <c r="B48" s="11">
        <v>36.200000000000003</v>
      </c>
    </row>
    <row r="49" spans="1:2" x14ac:dyDescent="0.15">
      <c r="A49">
        <v>48</v>
      </c>
      <c r="B49" s="11">
        <v>35.299999999999997</v>
      </c>
    </row>
    <row r="50" spans="1:2" x14ac:dyDescent="0.15">
      <c r="A50">
        <v>49</v>
      </c>
      <c r="B50" s="11">
        <v>34.4</v>
      </c>
    </row>
    <row r="51" spans="1:2" x14ac:dyDescent="0.15">
      <c r="A51">
        <v>50</v>
      </c>
      <c r="B51" s="11">
        <v>33.5</v>
      </c>
    </row>
    <row r="52" spans="1:2" x14ac:dyDescent="0.15">
      <c r="A52">
        <v>51</v>
      </c>
      <c r="B52" s="11">
        <v>32.6</v>
      </c>
    </row>
    <row r="53" spans="1:2" x14ac:dyDescent="0.15">
      <c r="A53">
        <v>52</v>
      </c>
      <c r="B53" s="11">
        <v>31.7</v>
      </c>
    </row>
    <row r="54" spans="1:2" x14ac:dyDescent="0.15">
      <c r="A54">
        <v>53</v>
      </c>
      <c r="B54" s="11">
        <v>30.8</v>
      </c>
    </row>
    <row r="55" spans="1:2" x14ac:dyDescent="0.15">
      <c r="A55">
        <v>54</v>
      </c>
      <c r="B55" s="11">
        <v>29.9</v>
      </c>
    </row>
    <row r="56" spans="1:2" x14ac:dyDescent="0.15">
      <c r="A56">
        <v>55</v>
      </c>
      <c r="B56" s="11">
        <v>29</v>
      </c>
    </row>
    <row r="57" spans="1:2" x14ac:dyDescent="0.15">
      <c r="A57">
        <v>56</v>
      </c>
      <c r="B57" s="11">
        <v>28.2</v>
      </c>
    </row>
    <row r="58" spans="1:2" x14ac:dyDescent="0.15">
      <c r="A58">
        <v>57</v>
      </c>
      <c r="B58" s="11">
        <v>27.3</v>
      </c>
    </row>
    <row r="59" spans="1:2" x14ac:dyDescent="0.15">
      <c r="A59">
        <v>58</v>
      </c>
      <c r="B59" s="11">
        <v>26.5</v>
      </c>
    </row>
    <row r="60" spans="1:2" x14ac:dyDescent="0.15">
      <c r="A60">
        <v>59</v>
      </c>
      <c r="B60" s="11">
        <v>25.6</v>
      </c>
    </row>
    <row r="61" spans="1:2" x14ac:dyDescent="0.15">
      <c r="A61">
        <v>60</v>
      </c>
      <c r="B61" s="11">
        <v>24.8</v>
      </c>
    </row>
    <row r="62" spans="1:2" x14ac:dyDescent="0.15">
      <c r="A62">
        <v>61</v>
      </c>
      <c r="B62" s="11">
        <v>23.9</v>
      </c>
    </row>
    <row r="63" spans="1:2" x14ac:dyDescent="0.15">
      <c r="A63">
        <v>62</v>
      </c>
      <c r="B63" s="11">
        <v>23.1</v>
      </c>
    </row>
    <row r="64" spans="1:2" x14ac:dyDescent="0.15">
      <c r="A64">
        <v>63</v>
      </c>
      <c r="B64" s="11">
        <v>22.3</v>
      </c>
    </row>
    <row r="65" spans="1:2" x14ac:dyDescent="0.15">
      <c r="A65">
        <v>64</v>
      </c>
      <c r="B65" s="11">
        <v>21.5</v>
      </c>
    </row>
    <row r="66" spans="1:2" x14ac:dyDescent="0.15">
      <c r="A66">
        <v>65</v>
      </c>
      <c r="B66" s="11">
        <v>20.7</v>
      </c>
    </row>
    <row r="67" spans="1:2" x14ac:dyDescent="0.15">
      <c r="A67">
        <v>66</v>
      </c>
      <c r="B67" s="11">
        <v>19.899999999999999</v>
      </c>
    </row>
    <row r="68" spans="1:2" x14ac:dyDescent="0.15">
      <c r="A68">
        <v>67</v>
      </c>
      <c r="B68" s="11">
        <v>19.100000000000001</v>
      </c>
    </row>
    <row r="69" spans="1:2" x14ac:dyDescent="0.15">
      <c r="A69">
        <v>68</v>
      </c>
      <c r="B69" s="11">
        <v>18.399999999999999</v>
      </c>
    </row>
    <row r="70" spans="1:2" x14ac:dyDescent="0.15">
      <c r="A70">
        <v>69</v>
      </c>
      <c r="B70" s="11">
        <v>17.600000000000001</v>
      </c>
    </row>
    <row r="71" spans="1:2" x14ac:dyDescent="0.15">
      <c r="A71">
        <v>70</v>
      </c>
      <c r="B71" s="11">
        <v>16.8</v>
      </c>
    </row>
    <row r="72" spans="1:2" x14ac:dyDescent="0.15">
      <c r="A72">
        <v>71</v>
      </c>
      <c r="B72" s="11">
        <v>16.100000000000001</v>
      </c>
    </row>
    <row r="73" spans="1:2" x14ac:dyDescent="0.15">
      <c r="A73">
        <v>72</v>
      </c>
      <c r="B73" s="11">
        <v>15.3</v>
      </c>
    </row>
    <row r="74" spans="1:2" x14ac:dyDescent="0.15">
      <c r="A74">
        <v>73</v>
      </c>
      <c r="B74" s="11">
        <v>14.6</v>
      </c>
    </row>
    <row r="75" spans="1:2" x14ac:dyDescent="0.15">
      <c r="A75">
        <v>74</v>
      </c>
      <c r="B75" s="11">
        <v>13.9</v>
      </c>
    </row>
    <row r="76" spans="1:2" x14ac:dyDescent="0.15">
      <c r="A76">
        <v>75</v>
      </c>
      <c r="B76" s="11">
        <v>13.2</v>
      </c>
    </row>
    <row r="77" spans="1:2" x14ac:dyDescent="0.15">
      <c r="A77">
        <v>76</v>
      </c>
      <c r="B77" s="11">
        <v>12.5</v>
      </c>
    </row>
    <row r="78" spans="1:2" x14ac:dyDescent="0.15">
      <c r="A78">
        <v>77</v>
      </c>
      <c r="B78" s="11">
        <v>11.8</v>
      </c>
    </row>
    <row r="79" spans="1:2" x14ac:dyDescent="0.15">
      <c r="A79">
        <v>78</v>
      </c>
      <c r="B79" s="11">
        <v>11.1</v>
      </c>
    </row>
    <row r="80" spans="1:2" x14ac:dyDescent="0.15">
      <c r="A80">
        <v>79</v>
      </c>
      <c r="B80" s="11">
        <v>10.5</v>
      </c>
    </row>
    <row r="81" spans="1:2" x14ac:dyDescent="0.15">
      <c r="A81">
        <v>80</v>
      </c>
      <c r="B81" s="11">
        <v>9.9</v>
      </c>
    </row>
    <row r="82" spans="1:2" x14ac:dyDescent="0.15">
      <c r="A82">
        <v>81</v>
      </c>
      <c r="B82" s="11">
        <v>9.1999999999999993</v>
      </c>
    </row>
    <row r="83" spans="1:2" x14ac:dyDescent="0.15">
      <c r="A83">
        <v>82</v>
      </c>
      <c r="B83" s="11">
        <v>8.6999999999999993</v>
      </c>
    </row>
    <row r="84" spans="1:2" x14ac:dyDescent="0.15">
      <c r="A84">
        <v>83</v>
      </c>
      <c r="B84" s="11">
        <v>8.1</v>
      </c>
    </row>
    <row r="85" spans="1:2" x14ac:dyDescent="0.15">
      <c r="A85">
        <v>84</v>
      </c>
      <c r="B85" s="11">
        <v>7.6</v>
      </c>
    </row>
    <row r="86" spans="1:2" x14ac:dyDescent="0.15">
      <c r="A86">
        <v>85</v>
      </c>
      <c r="B86" s="11">
        <v>7</v>
      </c>
    </row>
    <row r="87" spans="1:2" x14ac:dyDescent="0.15">
      <c r="A87">
        <v>86</v>
      </c>
      <c r="B87" s="11">
        <v>6.5</v>
      </c>
    </row>
    <row r="88" spans="1:2" x14ac:dyDescent="0.15">
      <c r="A88">
        <v>87</v>
      </c>
      <c r="B88" s="11">
        <v>6.1</v>
      </c>
    </row>
    <row r="89" spans="1:2" x14ac:dyDescent="0.15">
      <c r="A89">
        <v>88</v>
      </c>
      <c r="B89" s="11">
        <v>5.6</v>
      </c>
    </row>
    <row r="90" spans="1:2" x14ac:dyDescent="0.15">
      <c r="A90">
        <v>89</v>
      </c>
      <c r="B90" s="11">
        <v>5.2</v>
      </c>
    </row>
    <row r="91" spans="1:2" x14ac:dyDescent="0.15">
      <c r="A91">
        <v>90</v>
      </c>
      <c r="B91" s="11">
        <v>4.8</v>
      </c>
    </row>
    <row r="92" spans="1:2" x14ac:dyDescent="0.15">
      <c r="A92">
        <v>91</v>
      </c>
      <c r="B92" s="11">
        <v>4.5</v>
      </c>
    </row>
    <row r="93" spans="1:2" x14ac:dyDescent="0.15">
      <c r="A93">
        <v>92</v>
      </c>
      <c r="B93" s="11">
        <v>4.0999999999999996</v>
      </c>
    </row>
    <row r="94" spans="1:2" x14ac:dyDescent="0.15">
      <c r="A94">
        <v>93</v>
      </c>
      <c r="B94" s="11">
        <v>3.8</v>
      </c>
    </row>
    <row r="95" spans="1:2" x14ac:dyDescent="0.15">
      <c r="A95">
        <v>94</v>
      </c>
      <c r="B95" s="11">
        <v>3.5</v>
      </c>
    </row>
    <row r="96" spans="1:2" x14ac:dyDescent="0.15">
      <c r="A96">
        <v>95</v>
      </c>
      <c r="B96" s="11">
        <v>3.3</v>
      </c>
    </row>
    <row r="97" spans="1:2" x14ac:dyDescent="0.15">
      <c r="A97">
        <v>96</v>
      </c>
      <c r="B97" s="11">
        <v>3</v>
      </c>
    </row>
    <row r="98" spans="1:2" x14ac:dyDescent="0.15">
      <c r="A98">
        <v>97</v>
      </c>
      <c r="B98" s="11">
        <v>2.8</v>
      </c>
    </row>
    <row r="99" spans="1:2" x14ac:dyDescent="0.15">
      <c r="A99">
        <v>98</v>
      </c>
      <c r="B99" s="11">
        <v>2.6</v>
      </c>
    </row>
    <row r="100" spans="1:2" x14ac:dyDescent="0.15">
      <c r="A100">
        <v>99</v>
      </c>
      <c r="B100" s="11">
        <v>2.4</v>
      </c>
    </row>
    <row r="101" spans="1:2" x14ac:dyDescent="0.15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75.8</v>
      </c>
    </row>
    <row r="2" spans="1:2" x14ac:dyDescent="0.15">
      <c r="A2">
        <v>1</v>
      </c>
      <c r="B2" s="11">
        <v>75.3</v>
      </c>
    </row>
    <row r="3" spans="1:2" x14ac:dyDescent="0.15">
      <c r="A3">
        <v>2</v>
      </c>
      <c r="B3" s="11">
        <v>74.3</v>
      </c>
    </row>
    <row r="4" spans="1:2" x14ac:dyDescent="0.15">
      <c r="A4">
        <v>3</v>
      </c>
      <c r="B4" s="11">
        <v>73.3</v>
      </c>
    </row>
    <row r="5" spans="1:2" x14ac:dyDescent="0.15">
      <c r="A5">
        <v>4</v>
      </c>
      <c r="B5" s="11">
        <v>72.400000000000006</v>
      </c>
    </row>
    <row r="6" spans="1:2" x14ac:dyDescent="0.15">
      <c r="A6">
        <v>5</v>
      </c>
      <c r="B6" s="11">
        <v>71.400000000000006</v>
      </c>
    </row>
    <row r="7" spans="1:2" x14ac:dyDescent="0.15">
      <c r="A7">
        <v>6</v>
      </c>
      <c r="B7" s="11">
        <v>70.400000000000006</v>
      </c>
    </row>
    <row r="8" spans="1:2" x14ac:dyDescent="0.15">
      <c r="A8">
        <v>7</v>
      </c>
      <c r="B8" s="11">
        <v>69.400000000000006</v>
      </c>
    </row>
    <row r="9" spans="1:2" x14ac:dyDescent="0.15">
      <c r="A9">
        <v>8</v>
      </c>
      <c r="B9" s="11">
        <v>68.400000000000006</v>
      </c>
    </row>
    <row r="10" spans="1:2" x14ac:dyDescent="0.15">
      <c r="A10">
        <v>9</v>
      </c>
      <c r="B10" s="11">
        <v>67.400000000000006</v>
      </c>
    </row>
    <row r="11" spans="1:2" x14ac:dyDescent="0.15">
      <c r="A11">
        <v>10</v>
      </c>
      <c r="B11" s="11">
        <v>66.400000000000006</v>
      </c>
    </row>
    <row r="12" spans="1:2" x14ac:dyDescent="0.15">
      <c r="A12">
        <v>11</v>
      </c>
      <c r="B12" s="11">
        <v>65.400000000000006</v>
      </c>
    </row>
    <row r="13" spans="1:2" x14ac:dyDescent="0.15">
      <c r="A13">
        <v>12</v>
      </c>
      <c r="B13" s="11">
        <v>64.400000000000006</v>
      </c>
    </row>
    <row r="14" spans="1:2" x14ac:dyDescent="0.15">
      <c r="A14">
        <v>13</v>
      </c>
      <c r="B14" s="11">
        <v>63.4</v>
      </c>
    </row>
    <row r="15" spans="1:2" x14ac:dyDescent="0.15">
      <c r="A15">
        <v>14</v>
      </c>
      <c r="B15" s="11">
        <v>62.5</v>
      </c>
    </row>
    <row r="16" spans="1:2" x14ac:dyDescent="0.15">
      <c r="A16">
        <v>15</v>
      </c>
      <c r="B16" s="11">
        <v>61.5</v>
      </c>
    </row>
    <row r="17" spans="1:2" x14ac:dyDescent="0.15">
      <c r="A17">
        <v>16</v>
      </c>
      <c r="B17" s="11">
        <v>60.5</v>
      </c>
    </row>
    <row r="18" spans="1:2" x14ac:dyDescent="0.15">
      <c r="A18">
        <v>17</v>
      </c>
      <c r="B18" s="11">
        <v>59.6</v>
      </c>
    </row>
    <row r="19" spans="1:2" x14ac:dyDescent="0.15">
      <c r="A19">
        <v>18</v>
      </c>
      <c r="B19" s="11">
        <v>58.6</v>
      </c>
    </row>
    <row r="20" spans="1:2" x14ac:dyDescent="0.15">
      <c r="A20">
        <v>19</v>
      </c>
      <c r="B20" s="11">
        <v>57.7</v>
      </c>
    </row>
    <row r="21" spans="1:2" x14ac:dyDescent="0.15">
      <c r="A21">
        <v>20</v>
      </c>
      <c r="B21" s="11">
        <v>56.7</v>
      </c>
    </row>
    <row r="22" spans="1:2" x14ac:dyDescent="0.15">
      <c r="A22">
        <v>21</v>
      </c>
      <c r="B22" s="11">
        <v>55.8</v>
      </c>
    </row>
    <row r="23" spans="1:2" x14ac:dyDescent="0.15">
      <c r="A23">
        <v>22</v>
      </c>
      <c r="B23" s="11">
        <v>54.9</v>
      </c>
    </row>
    <row r="24" spans="1:2" x14ac:dyDescent="0.15">
      <c r="A24">
        <v>23</v>
      </c>
      <c r="B24" s="11">
        <v>53.9</v>
      </c>
    </row>
    <row r="25" spans="1:2" x14ac:dyDescent="0.15">
      <c r="A25">
        <v>24</v>
      </c>
      <c r="B25" s="11">
        <v>53</v>
      </c>
    </row>
    <row r="26" spans="1:2" x14ac:dyDescent="0.15">
      <c r="A26">
        <v>25</v>
      </c>
      <c r="B26" s="11">
        <v>52.1</v>
      </c>
    </row>
    <row r="27" spans="1:2" x14ac:dyDescent="0.15">
      <c r="A27">
        <v>26</v>
      </c>
      <c r="B27" s="11">
        <v>51.2</v>
      </c>
    </row>
    <row r="28" spans="1:2" x14ac:dyDescent="0.15">
      <c r="A28">
        <v>27</v>
      </c>
      <c r="B28" s="11">
        <v>50.3</v>
      </c>
    </row>
    <row r="29" spans="1:2" x14ac:dyDescent="0.15">
      <c r="A29">
        <v>28</v>
      </c>
      <c r="B29" s="11">
        <v>49.4</v>
      </c>
    </row>
    <row r="30" spans="1:2" x14ac:dyDescent="0.15">
      <c r="A30">
        <v>29</v>
      </c>
      <c r="B30" s="11">
        <v>48.4</v>
      </c>
    </row>
    <row r="31" spans="1:2" x14ac:dyDescent="0.15">
      <c r="A31">
        <v>30</v>
      </c>
      <c r="B31" s="11">
        <v>47.5</v>
      </c>
    </row>
    <row r="32" spans="1:2" x14ac:dyDescent="0.15">
      <c r="A32">
        <v>31</v>
      </c>
      <c r="B32" s="11">
        <v>46.6</v>
      </c>
    </row>
    <row r="33" spans="1:2" x14ac:dyDescent="0.15">
      <c r="A33">
        <v>32</v>
      </c>
      <c r="B33" s="11">
        <v>45.7</v>
      </c>
    </row>
    <row r="34" spans="1:2" x14ac:dyDescent="0.15">
      <c r="A34">
        <v>33</v>
      </c>
      <c r="B34" s="11">
        <v>44.9</v>
      </c>
    </row>
    <row r="35" spans="1:2" x14ac:dyDescent="0.15">
      <c r="A35">
        <v>34</v>
      </c>
      <c r="B35" s="11">
        <v>44</v>
      </c>
    </row>
    <row r="36" spans="1:2" x14ac:dyDescent="0.15">
      <c r="A36">
        <v>35</v>
      </c>
      <c r="B36" s="11">
        <v>43.1</v>
      </c>
    </row>
    <row r="37" spans="1:2" x14ac:dyDescent="0.15">
      <c r="A37">
        <v>36</v>
      </c>
      <c r="B37" s="11">
        <v>42.2</v>
      </c>
    </row>
    <row r="38" spans="1:2" x14ac:dyDescent="0.15">
      <c r="A38">
        <v>37</v>
      </c>
      <c r="B38" s="11">
        <v>41.3</v>
      </c>
    </row>
    <row r="39" spans="1:2" x14ac:dyDescent="0.15">
      <c r="A39">
        <v>38</v>
      </c>
      <c r="B39" s="11">
        <v>40.4</v>
      </c>
    </row>
    <row r="40" spans="1:2" x14ac:dyDescent="0.15">
      <c r="A40">
        <v>39</v>
      </c>
      <c r="B40" s="11">
        <v>39.5</v>
      </c>
    </row>
    <row r="41" spans="1:2" x14ac:dyDescent="0.15">
      <c r="A41">
        <v>40</v>
      </c>
      <c r="B41" s="11">
        <v>38.6</v>
      </c>
    </row>
    <row r="42" spans="1:2" x14ac:dyDescent="0.15">
      <c r="A42">
        <v>41</v>
      </c>
      <c r="B42" s="11">
        <v>37.799999999999997</v>
      </c>
    </row>
    <row r="43" spans="1:2" x14ac:dyDescent="0.15">
      <c r="A43">
        <v>42</v>
      </c>
      <c r="B43" s="11">
        <v>36.9</v>
      </c>
    </row>
    <row r="44" spans="1:2" x14ac:dyDescent="0.15">
      <c r="A44">
        <v>43</v>
      </c>
      <c r="B44" s="11">
        <v>36</v>
      </c>
    </row>
    <row r="45" spans="1:2" x14ac:dyDescent="0.15">
      <c r="A45">
        <v>44</v>
      </c>
      <c r="B45" s="11">
        <v>35.1</v>
      </c>
    </row>
    <row r="46" spans="1:2" x14ac:dyDescent="0.15">
      <c r="A46">
        <v>45</v>
      </c>
      <c r="B46" s="11">
        <v>34.299999999999997</v>
      </c>
    </row>
    <row r="47" spans="1:2" x14ac:dyDescent="0.15">
      <c r="A47">
        <v>46</v>
      </c>
      <c r="B47" s="11">
        <v>33.4</v>
      </c>
    </row>
    <row r="48" spans="1:2" x14ac:dyDescent="0.15">
      <c r="A48">
        <v>47</v>
      </c>
      <c r="B48" s="11">
        <v>32.5</v>
      </c>
    </row>
    <row r="49" spans="1:2" x14ac:dyDescent="0.15">
      <c r="A49">
        <v>48</v>
      </c>
      <c r="B49" s="11">
        <v>31.7</v>
      </c>
    </row>
    <row r="50" spans="1:2" x14ac:dyDescent="0.15">
      <c r="A50">
        <v>49</v>
      </c>
      <c r="B50" s="11">
        <v>30.8</v>
      </c>
    </row>
    <row r="51" spans="1:2" x14ac:dyDescent="0.15">
      <c r="A51">
        <v>50</v>
      </c>
      <c r="B51" s="11">
        <v>30</v>
      </c>
    </row>
    <row r="52" spans="1:2" x14ac:dyDescent="0.15">
      <c r="A52">
        <v>51</v>
      </c>
      <c r="B52" s="11">
        <v>29.1</v>
      </c>
    </row>
    <row r="53" spans="1:2" x14ac:dyDescent="0.15">
      <c r="A53">
        <v>52</v>
      </c>
      <c r="B53" s="11">
        <v>28.3</v>
      </c>
    </row>
    <row r="54" spans="1:2" x14ac:dyDescent="0.15">
      <c r="A54">
        <v>53</v>
      </c>
      <c r="B54" s="11">
        <v>27.4</v>
      </c>
    </row>
    <row r="55" spans="1:2" x14ac:dyDescent="0.15">
      <c r="A55">
        <v>54</v>
      </c>
      <c r="B55" s="11">
        <v>26.6</v>
      </c>
    </row>
    <row r="56" spans="1:2" x14ac:dyDescent="0.15">
      <c r="A56">
        <v>55</v>
      </c>
      <c r="B56" s="11">
        <v>25.8</v>
      </c>
    </row>
    <row r="57" spans="1:2" x14ac:dyDescent="0.15">
      <c r="A57">
        <v>56</v>
      </c>
      <c r="B57" s="11">
        <v>25</v>
      </c>
    </row>
    <row r="58" spans="1:2" x14ac:dyDescent="0.15">
      <c r="A58">
        <v>57</v>
      </c>
      <c r="B58" s="11">
        <v>24.2</v>
      </c>
    </row>
    <row r="59" spans="1:2" x14ac:dyDescent="0.15">
      <c r="A59">
        <v>58</v>
      </c>
      <c r="B59" s="11">
        <v>23.4</v>
      </c>
    </row>
    <row r="60" spans="1:2" x14ac:dyDescent="0.15">
      <c r="A60">
        <v>59</v>
      </c>
      <c r="B60" s="11">
        <v>22.6</v>
      </c>
    </row>
    <row r="61" spans="1:2" x14ac:dyDescent="0.15">
      <c r="A61">
        <v>60</v>
      </c>
      <c r="B61" s="11">
        <v>21.9</v>
      </c>
    </row>
    <row r="62" spans="1:2" x14ac:dyDescent="0.15">
      <c r="A62">
        <v>61</v>
      </c>
      <c r="B62" s="11">
        <v>21.1</v>
      </c>
    </row>
    <row r="63" spans="1:2" x14ac:dyDescent="0.15">
      <c r="A63">
        <v>62</v>
      </c>
      <c r="B63" s="11">
        <v>20.399999999999999</v>
      </c>
    </row>
    <row r="64" spans="1:2" x14ac:dyDescent="0.15">
      <c r="A64">
        <v>63</v>
      </c>
      <c r="B64" s="11">
        <v>19.600000000000001</v>
      </c>
    </row>
    <row r="65" spans="1:2" x14ac:dyDescent="0.15">
      <c r="A65">
        <v>64</v>
      </c>
      <c r="B65" s="11">
        <v>18.899999999999999</v>
      </c>
    </row>
    <row r="66" spans="1:2" x14ac:dyDescent="0.15">
      <c r="A66">
        <v>65</v>
      </c>
      <c r="B66" s="11">
        <v>18.2</v>
      </c>
    </row>
    <row r="67" spans="1:2" x14ac:dyDescent="0.15">
      <c r="A67">
        <v>66</v>
      </c>
      <c r="B67" s="11">
        <v>17.5</v>
      </c>
    </row>
    <row r="68" spans="1:2" x14ac:dyDescent="0.15">
      <c r="A68">
        <v>67</v>
      </c>
      <c r="B68" s="11">
        <v>16.8</v>
      </c>
    </row>
    <row r="69" spans="1:2" x14ac:dyDescent="0.15">
      <c r="A69">
        <v>68</v>
      </c>
      <c r="B69" s="11">
        <v>16.100000000000001</v>
      </c>
    </row>
    <row r="70" spans="1:2" x14ac:dyDescent="0.15">
      <c r="A70">
        <v>69</v>
      </c>
      <c r="B70" s="11">
        <v>15.4</v>
      </c>
    </row>
    <row r="71" spans="1:2" x14ac:dyDescent="0.15">
      <c r="A71">
        <v>70</v>
      </c>
      <c r="B71" s="11">
        <v>14.7</v>
      </c>
    </row>
    <row r="72" spans="1:2" x14ac:dyDescent="0.15">
      <c r="A72">
        <v>71</v>
      </c>
      <c r="B72" s="11">
        <v>14.1</v>
      </c>
    </row>
    <row r="73" spans="1:2" x14ac:dyDescent="0.15">
      <c r="A73">
        <v>72</v>
      </c>
      <c r="B73" s="11">
        <v>13.4</v>
      </c>
    </row>
    <row r="74" spans="1:2" x14ac:dyDescent="0.15">
      <c r="A74">
        <v>73</v>
      </c>
      <c r="B74" s="11">
        <v>12.8</v>
      </c>
    </row>
    <row r="75" spans="1:2" x14ac:dyDescent="0.15">
      <c r="A75">
        <v>74</v>
      </c>
      <c r="B75" s="11">
        <v>12.1</v>
      </c>
    </row>
    <row r="76" spans="1:2" x14ac:dyDescent="0.15">
      <c r="A76">
        <v>75</v>
      </c>
      <c r="B76" s="11">
        <v>11.5</v>
      </c>
    </row>
    <row r="77" spans="1:2" x14ac:dyDescent="0.15">
      <c r="A77">
        <v>76</v>
      </c>
      <c r="B77" s="11">
        <v>10.9</v>
      </c>
    </row>
    <row r="78" spans="1:2" x14ac:dyDescent="0.15">
      <c r="A78">
        <v>77</v>
      </c>
      <c r="B78" s="11">
        <v>10.3</v>
      </c>
    </row>
    <row r="79" spans="1:2" x14ac:dyDescent="0.15">
      <c r="A79">
        <v>78</v>
      </c>
      <c r="B79" s="11">
        <v>9.6999999999999993</v>
      </c>
    </row>
    <row r="80" spans="1:2" x14ac:dyDescent="0.15">
      <c r="A80">
        <v>79</v>
      </c>
      <c r="B80" s="11">
        <v>9.1</v>
      </c>
    </row>
    <row r="81" spans="1:2" x14ac:dyDescent="0.15">
      <c r="A81">
        <v>80</v>
      </c>
      <c r="B81" s="11">
        <v>8.5</v>
      </c>
    </row>
    <row r="82" spans="1:2" x14ac:dyDescent="0.15">
      <c r="A82">
        <v>81</v>
      </c>
      <c r="B82" s="11">
        <v>8</v>
      </c>
    </row>
    <row r="83" spans="1:2" x14ac:dyDescent="0.15">
      <c r="A83">
        <v>82</v>
      </c>
      <c r="B83" s="11">
        <v>7.5</v>
      </c>
    </row>
    <row r="84" spans="1:2" x14ac:dyDescent="0.15">
      <c r="A84">
        <v>83</v>
      </c>
      <c r="B84" s="11">
        <v>7</v>
      </c>
    </row>
    <row r="85" spans="1:2" x14ac:dyDescent="0.15">
      <c r="A85">
        <v>84</v>
      </c>
      <c r="B85" s="11">
        <v>6.5</v>
      </c>
    </row>
    <row r="86" spans="1:2" x14ac:dyDescent="0.15">
      <c r="A86">
        <v>85</v>
      </c>
      <c r="B86" s="11">
        <v>6.1</v>
      </c>
    </row>
    <row r="87" spans="1:2" x14ac:dyDescent="0.15">
      <c r="A87">
        <v>86</v>
      </c>
      <c r="B87" s="11">
        <v>5.6</v>
      </c>
    </row>
    <row r="88" spans="1:2" x14ac:dyDescent="0.15">
      <c r="A88">
        <v>87</v>
      </c>
      <c r="B88" s="11">
        <v>5.2</v>
      </c>
    </row>
    <row r="89" spans="1:2" x14ac:dyDescent="0.15">
      <c r="A89">
        <v>88</v>
      </c>
      <c r="B89" s="11">
        <v>4.8</v>
      </c>
    </row>
    <row r="90" spans="1:2" x14ac:dyDescent="0.15">
      <c r="A90">
        <v>89</v>
      </c>
      <c r="B90" s="11">
        <v>4.5</v>
      </c>
    </row>
    <row r="91" spans="1:2" x14ac:dyDescent="0.15">
      <c r="A91">
        <v>90</v>
      </c>
      <c r="B91" s="11">
        <v>4.0999999999999996</v>
      </c>
    </row>
    <row r="92" spans="1:2" x14ac:dyDescent="0.15">
      <c r="A92">
        <v>91</v>
      </c>
      <c r="B92" s="11">
        <v>3.8</v>
      </c>
    </row>
    <row r="93" spans="1:2" x14ac:dyDescent="0.15">
      <c r="A93">
        <v>92</v>
      </c>
      <c r="B93" s="11">
        <v>3.5</v>
      </c>
    </row>
    <row r="94" spans="1:2" x14ac:dyDescent="0.15">
      <c r="A94">
        <v>93</v>
      </c>
      <c r="B94" s="11">
        <v>3.3</v>
      </c>
    </row>
    <row r="95" spans="1:2" x14ac:dyDescent="0.15">
      <c r="A95">
        <v>94</v>
      </c>
      <c r="B95" s="11">
        <v>3</v>
      </c>
    </row>
    <row r="96" spans="1:2" x14ac:dyDescent="0.15">
      <c r="A96">
        <v>95</v>
      </c>
      <c r="B96" s="11">
        <v>2.8</v>
      </c>
    </row>
    <row r="97" spans="1:2" x14ac:dyDescent="0.15">
      <c r="A97">
        <v>96</v>
      </c>
      <c r="B97" s="11">
        <v>2.6</v>
      </c>
    </row>
    <row r="98" spans="1:2" x14ac:dyDescent="0.15">
      <c r="A98">
        <v>97</v>
      </c>
      <c r="B98" s="11">
        <v>2.5</v>
      </c>
    </row>
    <row r="99" spans="1:2" x14ac:dyDescent="0.15">
      <c r="A99">
        <v>98</v>
      </c>
      <c r="B99" s="11">
        <v>2.2999999999999998</v>
      </c>
    </row>
    <row r="100" spans="1:2" x14ac:dyDescent="0.15">
      <c r="A100">
        <v>99</v>
      </c>
      <c r="B100" s="11">
        <v>2.1</v>
      </c>
    </row>
    <row r="101" spans="1:2" x14ac:dyDescent="0.15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baseColWidth="10" defaultColWidth="8.83203125" defaultRowHeight="13" x14ac:dyDescent="0.15"/>
  <cols>
    <col min="1" max="1" width="15.1640625" customWidth="1"/>
  </cols>
  <sheetData>
    <row r="1" spans="1:5" ht="14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ht="14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ht="14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ht="14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ht="14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ht="14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ht="14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ht="14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ht="14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ht="14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ht="14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ht="14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ht="14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ht="14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ht="14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ht="14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ht="1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ht="1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ht="1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ht="1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ht="1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ht="1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ht="1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ht="1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ht="1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ht="1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ht="1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ht="1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ht="1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ht="1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ht="1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ht="1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ht="1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ht="1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ht="1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ht="1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ht="1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ht="1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ht="1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ht="1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ht="1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ht="1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ht="1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ht="1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ht="1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ht="1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ht="1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ht="1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ht="1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ht="1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ht="1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ht="1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ht="1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ht="1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ht="1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ht="1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ht="1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ht="1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ht="1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ht="1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ht="1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ht="1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ht="1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ht="1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ht="1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ht="1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ht="1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ht="1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ht="1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ht="1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ht="1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ht="1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ht="1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ht="1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ht="1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ht="1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ht="1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ht="1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ht="1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ht="1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ht="1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ht="1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ht="1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ht="1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ht="1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ht="1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ht="1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ht="1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ht="1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ht="1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ht="1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ht="1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ht="1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ht="1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ht="1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ht="1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ht="1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ht="1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ht="1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ht="1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ht="1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ht="1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ht="1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ht="1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ht="1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ht="1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ht="1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ht="1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ht="1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ht="1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ht="1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ht="1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ht="1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ht="1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ht="1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ht="1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ht="1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ht="1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ht="1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ht="1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ht="1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ht="1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ht="1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ht="1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ht="1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ht="1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ht="1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ht="1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ht="1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ht="1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ht="1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ht="1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ht="1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ht="1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ht="1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ht="1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ht="1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ht="1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ht="1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ht="1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ht="1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ht="1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ht="1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ht="1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ht="1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ht="1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ht="1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ht="1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ht="1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ht="1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ht="1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ht="1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ht="1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ht="1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ht="1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ht="1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ht="1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ht="1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ht="1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ht="1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ht="1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ht="1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ht="1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ht="1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ht="1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ht="1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ht="1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ht="1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ht="1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ht="1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ht="1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ht="1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ht="1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ht="1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ht="1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ht="1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ht="1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ht="1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ht="1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ht="1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ht="1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ht="1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ht="1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ht="1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ht="1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ht="1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ht="1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ht="1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ht="1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ht="1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ht="1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ht="1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ht="1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ht="1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ht="1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ht="1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ht="1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ht="1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ht="1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ht="1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ht="1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ht="1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ht="1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ht="1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ht="1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ht="1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ht="1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ht="1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ht="1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ht="1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ht="1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ht="1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ht="1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ht="1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ht="1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ht="1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ht="1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ht="1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ht="1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ht="1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ht="1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ht="1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ht="1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ht="1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ht="1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ht="1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ht="1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ht="1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ht="1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ht="1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ht="1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ht="1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ht="1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ht="1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ht="1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ht="1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ht="1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ht="1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ht="1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ht="1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ht="1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ht="1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ht="1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ht="1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ht="1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ht="1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ht="1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ht="1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ht="1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ht="1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ht="1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ht="1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ht="1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ht="1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ht="1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ht="1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ht="1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ht="1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ht="1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ht="1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ht="1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ht="1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ht="1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ht="1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ht="1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ht="1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ht="1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ht="1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ht="1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ht="1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ht="1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ht="1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ht="1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ht="1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ht="1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ht="1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ht="1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ht="1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ht="1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ht="1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ht="1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ht="1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ht="1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ht="1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ht="1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ht="1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ht="1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ht="1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ht="1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ht="1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ht="1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ht="1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ht="1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ht="1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ht="1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ht="1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ht="1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ht="1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ht="1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ht="1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ht="1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ht="1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ht="1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ht="1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ht="1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ht="1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ht="1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ht="1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ht="1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ht="1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ht="1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ht="1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ht="1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ht="1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ht="1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ht="1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ht="1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ht="1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ht="1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ht="1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ht="1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ht="1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ht="1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ht="1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ht="1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ht="1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ht="1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ht="1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ht="1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ht="1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ht="1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ht="1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ht="1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ht="1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ht="1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ht="1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ht="1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ht="1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ht="1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ht="1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ht="1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ht="1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ht="1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ht="1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ht="1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ht="1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ht="1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ht="1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ht="1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ht="1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ht="1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ht="1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ht="1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ht="1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ht="1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ht="1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ht="1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ht="1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ht="1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ht="1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ht="1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ht="1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ht="1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ht="1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ht="1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ht="1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ht="1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ht="1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ht="1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ht="1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ht="1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ht="1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ht="1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ht="1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ht="1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ht="1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ht="1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ht="1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ht="1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ht="1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ht="1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ht="1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ht="1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ht="1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ht="1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ht="1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ht="1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ht="1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ht="1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ht="1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ht="1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ht="1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ht="1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ht="1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ht="1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ht="1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ht="1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ht="1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ht="1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ht="1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ht="1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ht="1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ht="1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ht="1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ht="1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ht="1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ht="1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ht="1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ht="1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ht="1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ht="1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ht="1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ht="1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ht="1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ht="1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ht="1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ht="1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ht="1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ht="1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ht="1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ht="1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ht="1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ht="1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ht="1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ht="1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ht="1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ht="1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ht="1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ht="1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ht="1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ht="1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ht="1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ht="1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ht="1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ht="1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ht="1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ht="1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ht="1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ht="1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ht="1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ht="1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ht="1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ht="1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ht="1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ht="1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ht="1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ht="1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ht="1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ht="1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ht="1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ht="1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ht="1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ht="1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ht="1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ht="1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ht="1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ht="1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ht="1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ht="1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ht="1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ht="1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ht="1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ht="1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ht="1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ht="1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ht="1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ht="1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ht="1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ht="1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ht="1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ht="1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ht="1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ht="1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ht="1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ht="1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ht="1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ht="1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ht="1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ht="1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ht="1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ht="1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ht="1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ht="1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ht="1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ht="1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ht="1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ht="1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ht="1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ht="1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ht="1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ht="1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ht="1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ht="1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ht="1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ht="1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ht="1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ht="1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ht="1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ht="1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ht="1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ht="1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ht="1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ht="1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ht="1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ht="1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ht="1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ht="1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ht="1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ht="1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ht="1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ht="1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ht="1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ht="1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ht="1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ht="1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ht="1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ht="1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ht="1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ht="1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ht="1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ht="1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ht="1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ht="1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ht="1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ht="1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ht="1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ht="1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ht="1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ht="1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ht="1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ht="1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ht="1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ht="1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ht="1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ht="1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ht="1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ht="1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ht="1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ht="1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ht="1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ht="1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ht="1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ht="1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ht="1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ht="1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ht="1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ht="1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ht="1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ht="1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ht="1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ht="1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ht="1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ht="1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ht="1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ht="1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ht="1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ht="1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ht="1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ht="1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ht="1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ht="1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ht="1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ht="1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ht="1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ht="1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ht="1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ht="1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ht="1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ht="1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ht="1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ht="1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ht="1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ht="1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ht="1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ht="1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ht="1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ht="1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ht="1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ht="1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ht="1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ht="1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ht="1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ht="1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ht="1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ht="1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ht="1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ht="1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ht="1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ht="1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ht="1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ht="1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ht="1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ht="1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ht="1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ht="1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ht="1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ht="1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ht="1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ht="1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ht="1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ht="1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ht="1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ht="1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ht="1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ht="1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ht="1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ht="1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ht="1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ht="1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ht="1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ht="1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ht="1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ht="1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ht="1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ht="1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ht="1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ht="1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ht="1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ht="1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ht="1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ht="1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ht="1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ht="1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ht="1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ht="1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ht="1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ht="1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ht="1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ht="1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ht="1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ht="1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ht="1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ht="1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ht="1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ht="1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ht="1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ht="1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ht="1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ht="1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ht="1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ht="1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ht="1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ht="1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ht="1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ht="1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ht="1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ht="1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ht="1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ht="1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ht="1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ht="1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ht="1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ht="1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ht="1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ht="1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ht="1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ht="1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ht="1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ht="1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ht="1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ht="1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ht="1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ht="1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ht="1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ht="1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ht="1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ht="1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ht="1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ht="1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ht="1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ht="1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ht="1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ht="1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ht="1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ht="1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ht="1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ht="1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ht="1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ht="1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ht="1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ht="1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ht="1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ht="1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ht="1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ht="1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ht="1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ht="1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ht="1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ht="1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ht="1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ht="1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ht="1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ht="1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ht="1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ht="1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ht="1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ht="1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ht="1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ht="1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ht="1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ht="1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ht="1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ht="1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ht="1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ht="1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ht="1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ht="1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ht="1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ht="1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ht="1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ht="1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ht="1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ht="1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ht="1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ht="1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ht="1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ht="1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ht="1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ht="1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ht="1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ht="1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ht="1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ht="1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ht="1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ht="1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ht="1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ht="1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ht="1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ht="1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ht="1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ht="1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ht="1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ht="1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ht="1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ht="1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ht="1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ht="1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ht="1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ht="1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ht="1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ht="1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ht="1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ht="1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ht="1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ht="1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ht="1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ht="1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ht="1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ht="1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ht="1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ht="1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ht="1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ht="1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ht="1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ht="1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ht="1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ht="1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ht="1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ht="1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ht="1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ht="1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ht="1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ht="1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ht="1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ht="1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ht="1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ht="1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ht="1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ht="1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ht="1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ht="1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ht="1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ht="1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ht="1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ht="1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ht="1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ht="1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ht="1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ht="1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ht="1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ht="1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ht="1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ht="1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ht="1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ht="1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ht="1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ht="1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ht="1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ht="1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ht="1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ht="1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ht="1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ht="1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ht="1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ht="1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ht="1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ht="1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ht="1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ht="1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ht="1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ht="1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ht="1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ht="1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ht="1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ht="1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ht="1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ht="1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ht="1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ht="1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ht="1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ht="1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ht="1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ht="1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ht="1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ht="1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ht="1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ht="1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ht="1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ht="1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ht="1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ht="1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ht="1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ht="1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ht="1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ht="1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ht="1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ht="1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ht="1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ht="1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ht="1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ht="1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ht="1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ht="1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ht="1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ht="1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ht="1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ht="1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ht="1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ht="1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ht="1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ht="1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ht="1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ht="1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ht="1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ht="1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ht="1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ht="1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ht="1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ht="1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ht="1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ht="1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ht="1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ht="1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ht="1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ht="1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ht="1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ht="1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ht="1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ht="1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ht="1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ht="1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ht="1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ht="1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ht="1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ht="1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ht="1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ht="1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ht="1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ht="1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ht="1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ht="1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ht="1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ht="1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ht="1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ht="1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ht="1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ht="1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ht="1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ht="1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ht="1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ht="1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ht="1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ht="1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ht="1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ht="1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ht="1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ht="1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ht="1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ht="1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ht="1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ht="1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ht="1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ht="1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ht="1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ht="1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ht="1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ht="1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ht="1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ht="1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ht="1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ht="1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ht="1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ht="1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ht="1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ht="1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ht="1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ht="1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ht="1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ht="1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ht="1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ht="1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ht="1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ht="1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ht="1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ht="1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ht="1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ht="1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ht="1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ht="1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ht="1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ht="1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ht="1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ht="1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ht="1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ht="1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ht="1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ht="1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ht="1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ht="1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ht="1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ht="1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ht="1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ht="1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ht="1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ht="1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ht="1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ht="1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ht="1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ht="1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ht="1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ht="1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ht="1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ht="1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ht="1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ht="1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ht="1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ht="1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ht="1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ht="1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ht="1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ht="1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ht="1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ht="1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ht="1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ht="1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ht="1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ht="1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ht="1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ht="1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ht="1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ht="1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ht="1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ht="1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ht="1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ht="1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ht="1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ht="1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ht="1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ht="1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ht="1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ht="1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ht="1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ht="1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ht="1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ht="1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ht="1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ht="1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ht="1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ht="1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ht="1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ht="1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ht="1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ht="1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ht="1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ht="1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ht="1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ht="1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ht="1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ht="1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ht="1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ht="1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ht="1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ht="1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ht="1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ht="1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ht="1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ht="1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ht="1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ht="1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ht="1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ht="1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ht="1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ht="1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ht="1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ht="1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ht="1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ht="1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ht="1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ht="1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ht="1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ht="1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ht="1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ht="1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ht="1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ht="1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ht="1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ht="1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ht="1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ht="1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ht="1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ht="1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ht="1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ht="1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ht="1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ht="1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ht="1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ht="1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ht="1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ht="1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ht="1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ht="1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ht="1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ht="1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ht="1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ht="1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ht="1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ht="1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ht="1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ht="1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ht="1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ht="1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ht="1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ht="1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ht="1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ht="1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ht="1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ht="1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ht="1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ht="1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ht="1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ht="1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ht="1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ht="1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ht="1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ht="1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ht="1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ht="1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ht="1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ht="1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ht="1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ht="1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ht="1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ht="1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ht="1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ht="1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ht="1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ht="1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ht="1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ht="1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ht="1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ht="1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ht="1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ht="1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ht="1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ht="1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ht="1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ht="1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ht="1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ht="1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ht="1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ht="1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ht="1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ht="1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ht="1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ht="1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ht="1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ht="1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ht="1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ht="1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ht="1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ht="1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ht="1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ht="1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ht="1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ht="1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ht="1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ht="1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ht="1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ht="1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ht="1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ht="1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ht="1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ht="1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ht="1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ht="1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ht="1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ht="1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ht="1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ht="1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ht="1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ht="1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ht="1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ht="1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ht="1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ht="1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ht="1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ht="1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ht="1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ht="1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ht="1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ht="1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ht="1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ht="1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ht="1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ht="1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ht="1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ht="1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ht="1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ht="1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ht="1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ht="1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ht="1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ht="1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ht="1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ht="1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ht="1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ht="1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ht="1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ht="1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ht="1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ht="1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ht="1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ht="1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ht="1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ht="1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ht="1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ht="1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ht="1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ht="1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ht="1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ht="1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ht="1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ht="1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ht="1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ht="1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ht="1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ht="1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ht="1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ht="1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ht="1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ht="1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ht="1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ht="1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ht="1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ht="1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ht="1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ht="1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ht="1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ht="1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ht="1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ht="1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ht="1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ht="1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ht="1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ht="1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ht="1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ht="1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ht="1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ht="1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ht="1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ht="1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ht="1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ht="1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ht="1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ht="1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ht="1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ht="1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ht="1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ht="1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ht="1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ht="1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ht="1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ht="1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ht="1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ht="1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ht="1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ht="1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ht="1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ht="1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ht="1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ht="1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ht="1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ht="1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ht="1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ht="1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ht="1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ht="1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ht="1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ht="1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ht="1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ht="1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ht="1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ht="1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ht="1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ht="1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ht="1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ht="1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ht="1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ht="1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ht="1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ht="1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ht="1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ht="1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ht="1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ht="1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ht="1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ht="1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ht="1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ht="1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ht="1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ht="1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ht="1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ht="1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ht="1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ht="1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ht="1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ht="1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ht="1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ht="1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ht="1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ht="1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ht="1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ht="1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ht="1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ht="1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ht="1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ht="1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ht="1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ht="1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ht="1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ht="1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ht="1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ht="1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ht="1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ht="1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ht="1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ht="1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ht="1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ht="1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ht="1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ht="1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ht="1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ht="1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ht="1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ht="1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ht="1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ht="1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ht="1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ht="1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ht="1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ht="1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ht="1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ht="1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ht="1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ht="1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ht="1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ht="1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ht="1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ht="1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ht="1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ht="1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ht="1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ht="1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ht="1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ht="1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ht="1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ht="1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ht="1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ht="1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ht="1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ht="1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ht="1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ht="1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ht="1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ht="1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ht="1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ht="1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ht="1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ht="1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ht="1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ht="1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ht="1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ht="1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ht="1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ht="1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ht="1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ht="1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ht="1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ht="1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ht="1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ht="1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ht="1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ht="1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ht="1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ht="1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ht="1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ht="1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ht="1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ht="1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ht="1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ht="1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ht="1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ht="1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ht="1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ht="1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ht="1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ht="1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ht="1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ht="1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ht="1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ht="1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ht="1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ht="1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ht="1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ht="1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ht="1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ht="1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ht="1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ht="1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ht="1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ht="1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ht="1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ht="1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ht="1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ht="1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ht="1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ht="1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ht="1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ht="1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ht="1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ht="1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ht="1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ht="1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ht="1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ht="1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ht="1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ht="1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ht="1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ht="1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ht="1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ht="1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ht="1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ht="1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ht="1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ht="1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ht="1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ht="1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ht="1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ht="1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ht="1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ht="1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ht="1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ht="1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ht="1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ht="1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ht="1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ht="1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ht="1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ht="1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ht="1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ht="1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ht="1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ht="1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ht="1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ht="1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ht="1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ht="1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ht="1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ht="1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ht="1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ht="1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ht="1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ht="1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ht="1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ht="1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ht="1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ht="1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ht="1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ht="1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ht="1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ht="1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ht="1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ht="1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ht="1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ht="1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ht="1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ht="1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ht="1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ht="1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ht="1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ht="1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ht="1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ht="1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baseColWidth="10" defaultColWidth="8.83203125" defaultRowHeight="13" x14ac:dyDescent="0.15"/>
  <sheetData>
    <row r="1" spans="1:6" x14ac:dyDescent="0.15">
      <c r="A1" s="24" t="s">
        <v>0</v>
      </c>
      <c r="B1" s="24" t="s">
        <v>118</v>
      </c>
      <c r="C1" s="24" t="s">
        <v>119</v>
      </c>
    </row>
    <row r="2" spans="1:6" x14ac:dyDescent="0.15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15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15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15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15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15">
      <c r="A7" s="20">
        <v>2023</v>
      </c>
      <c r="B7" s="20">
        <v>6</v>
      </c>
      <c r="C7" s="28">
        <v>305.10899999999998</v>
      </c>
    </row>
    <row r="8" spans="1:6" x14ac:dyDescent="0.15">
      <c r="A8" s="20">
        <v>2023</v>
      </c>
      <c r="B8" s="20">
        <v>7</v>
      </c>
      <c r="C8" s="28">
        <v>305.69099999999997</v>
      </c>
    </row>
    <row r="9" spans="1:6" x14ac:dyDescent="0.15">
      <c r="A9" s="20">
        <v>2023</v>
      </c>
      <c r="B9" s="20">
        <v>8</v>
      </c>
      <c r="C9" s="28">
        <v>307.02600000000001</v>
      </c>
    </row>
    <row r="10" spans="1:6" x14ac:dyDescent="0.15">
      <c r="A10" s="20">
        <v>2023</v>
      </c>
      <c r="B10" s="20">
        <v>9</v>
      </c>
      <c r="C10" s="28">
        <v>307.78899999999999</v>
      </c>
    </row>
    <row r="11" spans="1:6" x14ac:dyDescent="0.15">
      <c r="A11" s="20">
        <v>2023</v>
      </c>
      <c r="B11" s="20">
        <v>10</v>
      </c>
      <c r="C11" s="28">
        <v>307.67099999999999</v>
      </c>
    </row>
    <row r="12" spans="1:6" x14ac:dyDescent="0.15">
      <c r="A12" s="20">
        <v>2023</v>
      </c>
      <c r="B12" s="20">
        <v>11</v>
      </c>
      <c r="C12" s="28">
        <v>307.05099999999999</v>
      </c>
    </row>
    <row r="13" spans="1:6" x14ac:dyDescent="0.15">
      <c r="A13" s="20">
        <v>2023</v>
      </c>
      <c r="B13" s="20">
        <v>12</v>
      </c>
      <c r="C13" s="28">
        <v>306.74599999999998</v>
      </c>
    </row>
    <row r="14" spans="1:6" x14ac:dyDescent="0.15">
      <c r="A14" s="20">
        <v>2024</v>
      </c>
      <c r="B14" s="20">
        <v>1</v>
      </c>
      <c r="C14" s="28">
        <v>308.41699999999997</v>
      </c>
    </row>
    <row r="15" spans="1:6" x14ac:dyDescent="0.15">
      <c r="A15" s="20">
        <v>2024</v>
      </c>
      <c r="B15" s="20">
        <v>2</v>
      </c>
      <c r="C15" s="28">
        <v>310.32600000000002</v>
      </c>
    </row>
    <row r="16" spans="1:6" x14ac:dyDescent="0.15">
      <c r="A16" s="20">
        <v>2024</v>
      </c>
      <c r="B16" s="20">
        <v>3</v>
      </c>
      <c r="C16" s="28">
        <v>312.33199999999999</v>
      </c>
    </row>
    <row r="17" spans="1:3" x14ac:dyDescent="0.15">
      <c r="A17" s="20">
        <v>2024</v>
      </c>
      <c r="B17" s="20">
        <v>4</v>
      </c>
      <c r="C17" s="28">
        <v>313.548</v>
      </c>
    </row>
    <row r="18" spans="1:3" x14ac:dyDescent="0.15">
      <c r="A18" s="20">
        <v>2024</v>
      </c>
      <c r="B18" s="20">
        <v>5</v>
      </c>
      <c r="C18" s="28">
        <v>314.06900000000002</v>
      </c>
    </row>
    <row r="19" spans="1:3" x14ac:dyDescent="0.15">
      <c r="A19" s="20">
        <v>2024</v>
      </c>
      <c r="B19" s="20">
        <v>6</v>
      </c>
      <c r="C19" s="28">
        <v>314.17500000000001</v>
      </c>
    </row>
    <row r="20" spans="1:3" x14ac:dyDescent="0.15">
      <c r="A20" s="20">
        <v>2024</v>
      </c>
      <c r="B20" s="20">
        <v>7</v>
      </c>
      <c r="C20" s="28">
        <v>314.54000000000002</v>
      </c>
    </row>
    <row r="21" spans="1:3" x14ac:dyDescent="0.15">
      <c r="A21" s="20">
        <v>2024</v>
      </c>
      <c r="B21" s="20">
        <v>8</v>
      </c>
      <c r="C21" s="28">
        <v>314.79599999999999</v>
      </c>
    </row>
    <row r="22" spans="1:3" x14ac:dyDescent="0.15">
      <c r="A22" s="20">
        <v>2024</v>
      </c>
      <c r="B22" s="20">
        <v>9</v>
      </c>
      <c r="C22" s="28">
        <v>315.30099999999999</v>
      </c>
    </row>
    <row r="23" spans="1:3" x14ac:dyDescent="0.15">
      <c r="A23" s="20">
        <v>2024</v>
      </c>
      <c r="B23" s="20">
        <v>10</v>
      </c>
      <c r="C23" s="28">
        <v>315.66399999999999</v>
      </c>
    </row>
    <row r="24" spans="1:3" x14ac:dyDescent="0.15">
      <c r="A24" s="20">
        <v>2024</v>
      </c>
      <c r="B24" s="20">
        <v>11</v>
      </c>
      <c r="C24" s="28">
        <v>315.49299999999999</v>
      </c>
    </row>
    <row r="25" spans="1:3" x14ac:dyDescent="0.15">
      <c r="A25" s="20">
        <v>2024</v>
      </c>
      <c r="B25" s="20">
        <v>12</v>
      </c>
      <c r="C25" s="28">
        <v>315.60500000000002</v>
      </c>
    </row>
    <row r="26" spans="1:3" x14ac:dyDescent="0.15">
      <c r="A26" s="20">
        <v>2025</v>
      </c>
      <c r="B26" s="20">
        <v>1</v>
      </c>
      <c r="C26" s="28">
        <v>317.81599999999997</v>
      </c>
    </row>
    <row r="27" spans="1:3" x14ac:dyDescent="0.15">
      <c r="A27" s="20">
        <v>2025</v>
      </c>
      <c r="B27" s="20">
        <v>2</v>
      </c>
      <c r="C27" s="28">
        <v>319.25400000000002</v>
      </c>
    </row>
    <row r="28" spans="1:3" x14ac:dyDescent="0.15">
      <c r="A28" s="20">
        <v>2025</v>
      </c>
      <c r="B28" s="20">
        <v>3</v>
      </c>
      <c r="C28" s="28">
        <v>320.428</v>
      </c>
    </row>
    <row r="29" spans="1:3" x14ac:dyDescent="0.15">
      <c r="A29" s="20">
        <v>2025</v>
      </c>
      <c r="B29" s="20">
        <v>4</v>
      </c>
      <c r="C29" s="28">
        <v>321.25</v>
      </c>
    </row>
    <row r="30" spans="1:3" x14ac:dyDescent="0.15">
      <c r="A30" s="20">
        <v>2025</v>
      </c>
      <c r="B30" s="20">
        <v>5</v>
      </c>
      <c r="C30" s="28">
        <v>321.78300000000002</v>
      </c>
    </row>
    <row r="31" spans="1:3" x14ac:dyDescent="0.15">
      <c r="A31" s="20">
        <v>2025</v>
      </c>
      <c r="B31" s="20">
        <v>6</v>
      </c>
      <c r="C31" s="28">
        <v>322.315</v>
      </c>
    </row>
    <row r="32" spans="1:3" x14ac:dyDescent="0.15">
      <c r="A32" s="20">
        <v>2025</v>
      </c>
      <c r="B32" s="20">
        <v>7</v>
      </c>
      <c r="C32" s="28">
        <v>322.84800000000001</v>
      </c>
    </row>
    <row r="33" spans="1:3" x14ac:dyDescent="0.15">
      <c r="A33" s="20">
        <v>2025</v>
      </c>
      <c r="B33" s="20">
        <v>8</v>
      </c>
      <c r="C33" s="28">
        <v>323.38</v>
      </c>
    </row>
    <row r="34" spans="1:3" x14ac:dyDescent="0.15">
      <c r="A34" s="20">
        <v>2025</v>
      </c>
      <c r="B34" s="20">
        <v>9</v>
      </c>
      <c r="C34" s="28">
        <v>323.91300000000001</v>
      </c>
    </row>
    <row r="35" spans="1:3" x14ac:dyDescent="0.15">
      <c r="A35" s="20">
        <v>2025</v>
      </c>
      <c r="B35" s="20">
        <v>10</v>
      </c>
      <c r="C35" s="28">
        <v>324.44499999999999</v>
      </c>
    </row>
    <row r="36" spans="1:3" x14ac:dyDescent="0.15">
      <c r="A36" s="20">
        <v>2025</v>
      </c>
      <c r="B36" s="20">
        <v>11</v>
      </c>
      <c r="C36" s="28">
        <v>324.97800000000001</v>
      </c>
    </row>
    <row r="37" spans="1:3" x14ac:dyDescent="0.15">
      <c r="A37" s="20">
        <v>2025</v>
      </c>
      <c r="B37" s="20">
        <v>12</v>
      </c>
      <c r="C37" s="28">
        <v>325.51</v>
      </c>
    </row>
    <row r="38" spans="1:3" x14ac:dyDescent="0.15">
      <c r="A38" s="20">
        <v>2026</v>
      </c>
      <c r="B38" s="20">
        <v>1</v>
      </c>
      <c r="C38" s="28">
        <v>326.58499999999998</v>
      </c>
    </row>
    <row r="39" spans="1:3" x14ac:dyDescent="0.15">
      <c r="A39" s="20">
        <v>2026</v>
      </c>
      <c r="B39" s="20">
        <v>2</v>
      </c>
      <c r="C39" s="28">
        <v>327.45999999999998</v>
      </c>
    </row>
    <row r="40" spans="1:3" x14ac:dyDescent="0.15">
      <c r="A40" s="20">
        <v>2026</v>
      </c>
      <c r="B40" s="20">
        <v>3</v>
      </c>
      <c r="C40" s="28">
        <v>328</v>
      </c>
    </row>
    <row r="41" spans="1:3" x14ac:dyDescent="0.15">
      <c r="A41" s="20">
        <v>2026</v>
      </c>
      <c r="B41" s="20">
        <v>4</v>
      </c>
      <c r="C41" s="28">
        <v>328.4</v>
      </c>
    </row>
    <row r="42" spans="1:3" x14ac:dyDescent="0.15">
      <c r="A42" s="20">
        <v>2026</v>
      </c>
      <c r="B42" s="20">
        <v>5</v>
      </c>
      <c r="C42" s="28">
        <v>328.8</v>
      </c>
    </row>
    <row r="43" spans="1:3" x14ac:dyDescent="0.15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B33"/>
  <sheetViews>
    <sheetView zoomScale="110" zoomScaleNormal="110" workbookViewId="0">
      <selection activeCell="H4" sqref="H4"/>
    </sheetView>
  </sheetViews>
  <sheetFormatPr baseColWidth="10" defaultColWidth="8.83203125" defaultRowHeight="13" x14ac:dyDescent="0.15"/>
  <cols>
    <col min="1" max="1" width="26.6640625" bestFit="1" customWidth="1"/>
    <col min="2" max="2" width="52.83203125" customWidth="1"/>
  </cols>
  <sheetData>
    <row r="1" spans="1:2" x14ac:dyDescent="0.15">
      <c r="A1" s="168" t="s">
        <v>319</v>
      </c>
      <c r="B1" s="168"/>
    </row>
    <row r="2" spans="1:2" x14ac:dyDescent="0.15">
      <c r="A2" s="123" t="s">
        <v>321</v>
      </c>
      <c r="B2" s="124"/>
    </row>
    <row r="3" spans="1:2" x14ac:dyDescent="0.15">
      <c r="A3" s="123" t="s">
        <v>320</v>
      </c>
      <c r="B3" s="124">
        <v>46163.385428240741</v>
      </c>
    </row>
    <row r="4" spans="1:2" x14ac:dyDescent="0.15">
      <c r="A4" s="123" t="s">
        <v>325</v>
      </c>
      <c r="B4" s="126">
        <f>IF(ISNONTEXT(HelperCells!$B$19),HelperCells!$B$19/100,"WLE DR Table Empty")</f>
        <v>4.4660000000000005E-2</v>
      </c>
    </row>
    <row r="5" spans="1:2" x14ac:dyDescent="0.15">
      <c r="A5" s="123" t="s">
        <v>326</v>
      </c>
      <c r="B5" s="127">
        <f>IF(ISNONTEXT(HelperCells!$B$32),HelperCells!$B$32/100,"To Age DR Table Empty")</f>
        <v>4.4660000000000005E-2</v>
      </c>
    </row>
    <row r="6" spans="1:2" x14ac:dyDescent="0.15">
      <c r="A6" s="123" t="s">
        <v>322</v>
      </c>
      <c r="B6" s="125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15">
      <c r="A7" s="123" t="s">
        <v>323</v>
      </c>
      <c r="B7" s="125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15">
      <c r="A8" s="122"/>
      <c r="B8" s="122"/>
    </row>
    <row r="9" spans="1:2" x14ac:dyDescent="0.15">
      <c r="A9" s="169" t="s">
        <v>284</v>
      </c>
      <c r="B9" s="169"/>
    </row>
    <row r="10" spans="1:2" x14ac:dyDescent="0.15">
      <c r="A10" s="128" t="s">
        <v>286</v>
      </c>
      <c r="B10" s="138">
        <f>'Case Inputs'!B18</f>
        <v>35.19</v>
      </c>
    </row>
    <row r="11" spans="1:2" x14ac:dyDescent="0.15">
      <c r="A11" s="128" t="s">
        <v>272</v>
      </c>
      <c r="B11" s="138">
        <f>'Case Inputs'!B19</f>
        <v>35</v>
      </c>
    </row>
    <row r="12" spans="1:2" x14ac:dyDescent="0.15">
      <c r="A12" s="128" t="s">
        <v>273</v>
      </c>
      <c r="B12" s="138">
        <f>'Case Inputs'!B20</f>
        <v>0.18999999999999773</v>
      </c>
    </row>
    <row r="13" spans="1:2" x14ac:dyDescent="0.15">
      <c r="A13" s="122"/>
      <c r="B13" s="131"/>
    </row>
    <row r="14" spans="1:2" x14ac:dyDescent="0.15">
      <c r="A14" s="128" t="s">
        <v>279</v>
      </c>
      <c r="B14" s="125">
        <f>YEAR('Case Inputs'!B6)</f>
        <v>2026</v>
      </c>
    </row>
    <row r="15" spans="1:2" x14ac:dyDescent="0.15">
      <c r="A15" s="128" t="s">
        <v>278</v>
      </c>
      <c r="B15" s="130">
        <f>B14+B11</f>
        <v>2061</v>
      </c>
    </row>
    <row r="16" spans="1:2" x14ac:dyDescent="0.15">
      <c r="A16" s="128" t="s">
        <v>280</v>
      </c>
      <c r="B16" s="130">
        <f>IF(B12&gt;0,B15+1,B15)</f>
        <v>2062</v>
      </c>
    </row>
    <row r="17" spans="1:2" x14ac:dyDescent="0.15">
      <c r="A17" s="122"/>
      <c r="B17" s="132"/>
    </row>
    <row r="18" spans="1:2" x14ac:dyDescent="0.15">
      <c r="A18" s="128" t="s">
        <v>313</v>
      </c>
      <c r="B18" s="133">
        <f>IF('Discount Rates'!$F$3&lt;&gt;"",INDEX('Discount Rates'!$H$3:$H$32,MATCH(MIN(WLE_DiscRates_YearColumn),'Discount Rates'!$F$3:$F$32,0)),"WLE DR Table Empty")</f>
        <v>2.581</v>
      </c>
    </row>
    <row r="19" spans="1:2" x14ac:dyDescent="0.15">
      <c r="A19" s="128" t="s">
        <v>314</v>
      </c>
      <c r="B19" s="133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4.4660000000000002</v>
      </c>
    </row>
    <row r="20" spans="1:2" x14ac:dyDescent="0.15">
      <c r="A20" s="128" t="s">
        <v>315</v>
      </c>
      <c r="B20" s="133">
        <f>IF(B16&lt;&gt;B15,INDEX('Discount Rates'!$H$3:$H$32,MATCH(MAX(WLE_DiscRates_YearColumn),'Discount Rates'!$F$3:$F$32,0)),"N/A")</f>
        <v>4.4859999999999998</v>
      </c>
    </row>
    <row r="21" spans="1:2" x14ac:dyDescent="0.15">
      <c r="A21" s="122"/>
      <c r="B21" s="122"/>
    </row>
    <row r="22" spans="1:2" x14ac:dyDescent="0.15">
      <c r="A22" s="169" t="s">
        <v>285</v>
      </c>
      <c r="B22" s="169"/>
    </row>
    <row r="23" spans="1:2" x14ac:dyDescent="0.15">
      <c r="A23" s="128" t="s">
        <v>287</v>
      </c>
      <c r="B23" s="138">
        <f>'Case Inputs'!B21</f>
        <v>55</v>
      </c>
    </row>
    <row r="24" spans="1:2" x14ac:dyDescent="0.15">
      <c r="A24" s="128" t="s">
        <v>277</v>
      </c>
      <c r="B24" s="138">
        <f>'Case Inputs'!B22</f>
        <v>55</v>
      </c>
    </row>
    <row r="25" spans="1:2" x14ac:dyDescent="0.15">
      <c r="A25" s="128" t="s">
        <v>276</v>
      </c>
      <c r="B25" s="138">
        <f>ROUND('Case Inputs'!B23,1)</f>
        <v>0</v>
      </c>
    </row>
    <row r="26" spans="1:2" x14ac:dyDescent="0.15">
      <c r="A26" s="128"/>
      <c r="B26" s="129"/>
    </row>
    <row r="27" spans="1:2" x14ac:dyDescent="0.15">
      <c r="A27" s="128" t="s">
        <v>281</v>
      </c>
      <c r="B27" s="130">
        <f>YEAR('Case Inputs'!B6)</f>
        <v>2026</v>
      </c>
    </row>
    <row r="28" spans="1:2" x14ac:dyDescent="0.15">
      <c r="A28" s="128" t="s">
        <v>282</v>
      </c>
      <c r="B28" s="130">
        <f>B27+B24</f>
        <v>2081</v>
      </c>
    </row>
    <row r="29" spans="1:2" x14ac:dyDescent="0.15">
      <c r="A29" s="128" t="s">
        <v>283</v>
      </c>
      <c r="B29" s="130">
        <f>IF(B25&gt;0,B28+1,B28)</f>
        <v>2081</v>
      </c>
    </row>
    <row r="30" spans="1:2" x14ac:dyDescent="0.15">
      <c r="A30" s="122"/>
      <c r="B30" s="122"/>
    </row>
    <row r="31" spans="1:2" x14ac:dyDescent="0.15">
      <c r="A31" s="128" t="s">
        <v>316</v>
      </c>
      <c r="B31" s="133">
        <f>IF('Discount Rates'!$M$3&lt;&gt;"",INDEX('Discount Rates'!$M$3:$M$32,MATCH(MIN(ToAge_DiscRates_YearColumn),'Discount Rates'!$K$3:$K$32,0)),"To Age DR Table Empty")</f>
        <v>2.581</v>
      </c>
    </row>
    <row r="32" spans="1:2" x14ac:dyDescent="0.15">
      <c r="A32" s="128" t="s">
        <v>317</v>
      </c>
      <c r="B32" s="133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4.4660000000000002</v>
      </c>
    </row>
    <row r="33" spans="1:2" x14ac:dyDescent="0.15">
      <c r="A33" s="128" t="s">
        <v>318</v>
      </c>
      <c r="B33" s="133" cm="1">
        <f t="array" ref="B33">_xlfn.IFS(ISTEXT(B32),B32,B25&lt;&gt;B24,INDEX('Discount Rates'!$M$3:$M$32,MATCH(MAX(ToAge_DiscRates_YearColumn),'Discount Rates'!$K$3:$K$32,0)),B25=B24,"N/A")</f>
        <v>4.4859999999999998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  <vt:lpstr>ToAge_DiscRates_PercentageColumn</vt:lpstr>
      <vt:lpstr>WLE_DiscRates_PercentageColumn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2026-05-21T22:42:23Z</dcterms:modified>
</cp:coreProperties>
</file>